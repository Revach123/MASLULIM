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DA301401-A5C7-4D87-A1D1-0ABD3EBA52E2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9" i="2" s="1"/>
  <c r="E13" i="2" l="1"/>
  <c r="E24" i="2"/>
  <c r="E4" i="2"/>
  <c r="E15" i="2"/>
  <c r="E22" i="2"/>
  <c r="E28" i="2"/>
  <c r="E25" i="2"/>
  <c r="E10" i="2"/>
  <c r="E3" i="2"/>
  <c r="E23" i="2"/>
  <c r="E16" i="2"/>
  <c r="E29" i="2"/>
  <c r="E21" i="2"/>
  <c r="E14" i="2"/>
  <c r="E8" i="2"/>
  <c r="E20" i="2"/>
  <c r="E27" i="2"/>
  <c r="E18" i="2"/>
  <c r="E12" i="2"/>
  <c r="E17" i="2"/>
  <c r="E7" i="2"/>
  <c r="E26" i="2"/>
  <c r="E19" i="2"/>
  <c r="E11" i="2"/>
  <c r="E6" i="2"/>
  <c r="E5" i="2"/>
  <c r="E30" i="2" l="1"/>
</calcChain>
</file>

<file path=xl/sharedStrings.xml><?xml version="1.0" encoding="utf-8"?>
<sst xmlns="http://schemas.openxmlformats.org/spreadsheetml/2006/main" count="5399" uniqueCount="1414">
  <si>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</si>
  <si>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</si>
  <si>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</si>
  <si>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</si>
  <si>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</si>
  <si>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</si>
  <si>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</si>
  <si>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</si>
  <si>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</si>
  <si>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</si>
  <si>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</si>
  <si>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</si>
  <si>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</si>
  <si>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</si>
  <si>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</si>
  <si>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</si>
  <si>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</si>
  <si>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</si>
  <si>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</si>
  <si>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</si>
  <si>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</si>
  <si>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</si>
  <si>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</si>
  <si>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</si>
  <si>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</si>
  <si>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</si>
  <si>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</si>
  <si>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</si>
  <si>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</si>
  <si>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</si>
  <si>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</si>
  <si>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</si>
  <si>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</si>
  <si>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</si>
  <si>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</si>
  <si>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</si>
  <si>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</si>
  <si>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</si>
  <si>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</si>
  <si>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</si>
  <si>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</si>
  <si>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</si>
  <si>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</si>
  <si>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</si>
  <si>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</si>
  <si>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</si>
  <si>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</si>
  <si>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</si>
  <si>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</si>
  <si>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</si>
  <si>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</si>
  <si>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</si>
  <si>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</si>
  <si>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</si>
  <si>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</si>
  <si>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</si>
  <si>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</si>
  <si>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</si>
  <si>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</si>
  <si>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</si>
  <si>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</si>
  <si>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</si>
  <si>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</si>
  <si>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</si>
  <si>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</si>
  <si>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</si>
  <si>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</si>
  <si>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</si>
  <si>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</si>
  <si>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</si>
  <si>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</si>
  <si>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</si>
  <si>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</si>
  <si>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</si>
  <si>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</si>
  <si>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</si>
  <si>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</si>
  <si>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</si>
  <si>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</si>
  <si>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</si>
  <si>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</si>
  <si>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</si>
  <si>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</si>
  <si>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</si>
  <si>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</si>
  <si>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</si>
  <si>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</si>
  <si>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</si>
  <si>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</si>
  <si>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</si>
  <si>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</si>
  <si>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</si>
  <si>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</si>
  <si>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</si>
  <si>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</si>
  <si>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</si>
  <si>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</si>
  <si>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</si>
  <si>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</si>
  <si>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</si>
  <si>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</si>
  <si>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</si>
  <si>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</si>
  <si>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</si>
  <si>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</si>
  <si>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</si>
  <si>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</si>
  <si>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</si>
  <si>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</si>
  <si>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</si>
  <si>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</si>
  <si>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</si>
  <si>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</si>
  <si>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</si>
  <si>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</si>
  <si>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</si>
  <si>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</si>
  <si>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</si>
  <si>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</si>
  <si>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</si>
  <si>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</si>
  <si>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</si>
  <si>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</si>
  <si>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</si>
  <si>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</si>
  <si>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</si>
  <si>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</si>
  <si>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</si>
  <si>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</si>
  <si>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</si>
  <si>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</si>
  <si>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</si>
  <si>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</si>
  <si>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</si>
  <si>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</si>
  <si>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</si>
  <si>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</si>
  <si>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</si>
  <si>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</si>
  <si>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</si>
  <si>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</si>
  <si>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</si>
  <si>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</si>
  <si>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</si>
  <si>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</si>
  <si>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</si>
  <si>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</si>
  <si>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</si>
  <si>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</si>
  <si>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</si>
  <si>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</si>
  <si>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</si>
  <si>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</si>
  <si>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</si>
  <si>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</si>
  <si>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</si>
  <si>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</si>
  <si>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</si>
  <si>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</si>
  <si>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</si>
  <si>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</si>
  <si>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</si>
  <si>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</si>
  <si>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</si>
  <si>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</si>
  <si>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</si>
  <si>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</si>
  <si>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</si>
  <si>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</si>
  <si>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</si>
  <si>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</si>
  <si>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</si>
  <si>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</si>
  <si>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</si>
  <si>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</si>
  <si>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</si>
  <si>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</si>
  <si>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</si>
  <si>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</si>
  <si>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</si>
  <si>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</si>
  <si>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</si>
  <si>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</si>
  <si>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</si>
  <si>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</si>
  <si>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</si>
  <si>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</si>
  <si>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</si>
  <si>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</si>
  <si>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</si>
  <si>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</si>
  <si>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</si>
  <si>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</si>
  <si>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</si>
  <si>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</si>
  <si>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</si>
  <si>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</si>
  <si>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</si>
  <si>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</si>
  <si>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</si>
  <si>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</si>
  <si>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</si>
  <si>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</si>
  <si>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</si>
  <si>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</si>
  <si>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</si>
  <si>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</si>
  <si>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</si>
  <si>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</si>
  <si>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</si>
  <si>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</si>
  <si>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</si>
  <si>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</si>
  <si>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</si>
  <si>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</si>
  <si>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</si>
  <si>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</si>
  <si>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</si>
  <si>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</si>
  <si>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</si>
  <si>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</si>
  <si>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</si>
  <si>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</si>
  <si>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</si>
  <si>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</si>
  <si>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</si>
  <si>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</si>
  <si>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</si>
  <si>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</si>
  <si>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</si>
  <si>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</si>
  <si>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</si>
  <si>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</si>
  <si>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</si>
  <si>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</si>
  <si>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</si>
  <si>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</si>
  <si>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</si>
  <si>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</si>
  <si>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</si>
  <si>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</si>
  <si>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</si>
  <si>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</si>
  <si>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</si>
  <si>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</si>
  <si>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</si>
  <si>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</si>
  <si>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</si>
  <si>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</si>
  <si>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</si>
  <si>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</si>
  <si>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</si>
  <si>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</si>
  <si>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</si>
  <si>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</si>
  <si>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</si>
  <si>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</si>
  <si>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</si>
  <si>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</si>
  <si>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</si>
  <si>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</si>
  <si>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</si>
  <si>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</si>
  <si>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</si>
  <si>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</si>
  <si>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</si>
  <si>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</si>
  <si>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</si>
  <si>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</si>
  <si>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</si>
  <si>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</si>
  <si>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</si>
  <si>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</si>
  <si>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</si>
  <si>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</si>
  <si>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</si>
  <si>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</si>
  <si>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</si>
  <si>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</si>
  <si>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</si>
  <si>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</si>
  <si>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</si>
  <si>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</si>
  <si>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</si>
  <si>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</si>
  <si>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</si>
  <si>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</si>
  <si>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</si>
  <si>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</si>
  <si>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</si>
  <si>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</si>
  <si>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</si>
  <si>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</si>
  <si>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</si>
  <si>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</si>
  <si>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</si>
  <si>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</si>
  <si>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</si>
  <si>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</si>
  <si>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</si>
  <si>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</si>
  <si>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</si>
  <si>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</si>
  <si>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</si>
  <si>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</si>
  <si>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</si>
  <si>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</si>
  <si>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</si>
  <si>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</si>
  <si>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</si>
  <si>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</si>
  <si>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</si>
  <si>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</si>
  <si>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</si>
  <si>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</si>
  <si>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</si>
  <si>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</si>
  <si>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</si>
  <si>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</si>
  <si>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</si>
  <si>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</si>
  <si>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</si>
  <si>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</si>
  <si>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</si>
  <si>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</si>
  <si>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</si>
  <si>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</si>
  <si>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</si>
  <si>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</si>
  <si>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</si>
  <si>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</si>
  <si>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</si>
  <si>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</si>
  <si>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</si>
  <si>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</si>
  <si>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</si>
  <si>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</si>
  <si>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</si>
  <si>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</si>
  <si>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</si>
  <si>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</si>
  <si>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</si>
  <si>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</si>
  <si>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</si>
  <si>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</si>
  <si>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</si>
  <si>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</si>
  <si>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</si>
  <si>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</si>
  <si>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</si>
  <si>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</si>
  <si>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</si>
  <si>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</si>
  <si>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</si>
  <si>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</si>
  <si>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</si>
  <si>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</si>
  <si>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</si>
  <si>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</si>
  <si>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</si>
  <si>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</si>
  <si>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</si>
  <si>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</si>
  <si>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</si>
  <si>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</si>
  <si>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</si>
  <si>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</si>
  <si>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</si>
  <si>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</si>
  <si>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</si>
  <si>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</si>
  <si>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</si>
  <si>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</si>
  <si>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</si>
  <si>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</si>
  <si>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</si>
  <si>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</si>
  <si>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</si>
  <si>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</si>
  <si>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</si>
  <si>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</si>
  <si>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</si>
  <si>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</si>
  <si>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</si>
  <si>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</si>
  <si>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</si>
  <si>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</si>
  <si>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</si>
  <si>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</si>
  <si>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</si>
  <si>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</si>
  <si>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</si>
  <si>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</si>
  <si>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</si>
  <si>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</si>
  <si>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</si>
  <si>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</si>
  <si>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</si>
  <si>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</si>
  <si>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</si>
  <si>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</si>
  <si>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</si>
  <si>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</si>
  <si>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</si>
  <si>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</si>
  <si>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</si>
  <si>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</si>
  <si>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</si>
  <si>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</si>
  <si>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</si>
  <si>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</si>
  <si>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</si>
  <si>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</si>
  <si>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</si>
  <si>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</si>
  <si>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</si>
  <si>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</si>
  <si>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</si>
  <si>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</si>
  <si>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</si>
  <si>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</si>
  <si>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</si>
  <si>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</si>
  <si>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</si>
  <si>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</si>
  <si>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</si>
  <si>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</si>
  <si>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</si>
  <si>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</si>
  <si>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</si>
  <si>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</si>
  <si>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</si>
  <si>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</si>
  <si>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</si>
  <si>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</si>
  <si>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</si>
  <si>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</si>
  <si>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</si>
  <si>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</si>
  <si>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</si>
  <si>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</si>
  <si>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</si>
  <si>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</si>
  <si>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</si>
  <si>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</si>
  <si>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</si>
  <si>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</si>
  <si>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</si>
  <si>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</si>
  <si>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</si>
  <si>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</si>
  <si>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</si>
  <si>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</si>
  <si>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</si>
  <si>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</si>
  <si>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</si>
  <si>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</si>
  <si>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</si>
  <si>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</si>
  <si>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</si>
  <si>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</si>
  <si>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</si>
  <si>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</si>
  <si>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</si>
  <si>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</si>
  <si>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</si>
  <si>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</si>
  <si>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</si>
  <si>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</si>
  <si>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</si>
  <si>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</si>
  <si>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</si>
  <si>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</si>
  <si>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</si>
  <si>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</si>
  <si>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</si>
  <si>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</si>
  <si>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</si>
  <si>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</si>
  <si>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</si>
  <si>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</si>
  <si>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</si>
  <si>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</si>
  <si>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</si>
  <si>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</si>
  <si>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</si>
  <si>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</si>
  <si>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</si>
  <si>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</si>
  <si>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</si>
  <si>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</si>
  <si>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</si>
  <si>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</si>
  <si>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</si>
  <si>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</si>
  <si>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</si>
  <si>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</si>
  <si>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</si>
  <si>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</si>
  <si>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</si>
  <si>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</si>
  <si>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</si>
  <si>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</si>
  <si>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</si>
  <si>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</si>
  <si>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</si>
  <si>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</si>
  <si>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</si>
  <si>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</si>
  <si>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</si>
  <si>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</si>
  <si>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</si>
  <si>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</si>
  <si>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</si>
  <si>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</si>
  <si>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</si>
  <si>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</si>
  <si>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</si>
  <si>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</si>
  <si>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</si>
  <si>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</si>
  <si>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</si>
  <si>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</si>
  <si>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</si>
  <si>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</si>
  <si>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</si>
  <si>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</si>
  <si>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</si>
  <si>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</si>
  <si>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</si>
  <si>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</si>
  <si>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</si>
  <si>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</si>
  <si>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</si>
  <si>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</si>
  <si>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</si>
  <si>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</si>
  <si>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</si>
  <si>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</si>
  <si>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</si>
  <si>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</si>
  <si>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</si>
  <si>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</si>
  <si>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</si>
  <si>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</si>
  <si>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</si>
  <si>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</si>
  <si>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</si>
  <si>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</si>
  <si>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</si>
  <si>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</si>
  <si>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</si>
  <si>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</si>
  <si>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</si>
  <si>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</si>
  <si>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</si>
  <si>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</si>
  <si>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</si>
  <si>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</si>
  <si>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</si>
  <si>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</si>
  <si>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</si>
  <si>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</si>
  <si>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</si>
  <si>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</si>
  <si>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</si>
  <si>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</si>
  <si>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</si>
  <si>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</si>
  <si>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</si>
  <si>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</si>
  <si>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</si>
  <si>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</si>
  <si>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</si>
  <si>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</si>
  <si>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</si>
  <si>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</si>
  <si>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</si>
  <si>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</si>
  <si>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</si>
  <si>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</si>
  <si>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</si>
  <si>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</si>
  <si>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</si>
  <si>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</si>
  <si>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</si>
  <si>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</si>
  <si>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</si>
  <si>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</si>
  <si>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</si>
  <si>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</si>
  <si>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</si>
  <si>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</si>
  <si>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</si>
  <si>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</si>
  <si>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</si>
  <si>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</si>
  <si>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</si>
  <si>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</si>
  <si>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</si>
  <si>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</si>
  <si>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</si>
  <si>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</si>
  <si>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</si>
  <si>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</si>
  <si>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</si>
  <si>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</si>
  <si>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</si>
  <si>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</si>
  <si>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</si>
  <si>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</si>
  <si>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</si>
  <si>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</si>
  <si>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</si>
  <si>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</si>
  <si>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</si>
  <si>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</si>
  <si>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</si>
  <si>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</si>
  <si>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</si>
  <si>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</si>
  <si>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</si>
  <si>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</si>
  <si>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</si>
  <si>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</si>
  <si>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</si>
  <si>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</si>
  <si>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</si>
  <si>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</si>
  <si>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</si>
  <si>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</si>
  <si>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</si>
  <si>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</si>
  <si>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</si>
  <si>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</si>
  <si>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</si>
  <si>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</si>
  <si>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</si>
  <si>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</si>
  <si>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</si>
  <si>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</si>
  <si>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</si>
  <si>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</si>
  <si>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</si>
  <si>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</si>
  <si>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</si>
  <si>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</si>
  <si>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</si>
  <si>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</si>
  <si>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</si>
  <si>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</si>
  <si>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</si>
  <si>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</si>
  <si>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</si>
  <si>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</si>
  <si>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</si>
  <si>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</si>
  <si>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</si>
  <si>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</si>
  <si>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</si>
  <si>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</si>
  <si>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</si>
  <si>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</si>
  <si>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</si>
  <si>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</si>
  <si>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</si>
  <si>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</si>
  <si>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</si>
  <si>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</si>
  <si>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</si>
  <si>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</si>
  <si>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</si>
  <si>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</si>
  <si>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</si>
  <si>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</si>
  <si>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</si>
  <si>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</si>
  <si>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</si>
  <si>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</si>
  <si>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</si>
  <si>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</si>
  <si>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</si>
  <si>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</si>
  <si>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</si>
  <si>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</si>
  <si>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</si>
  <si>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</si>
  <si>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</si>
  <si>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</si>
  <si>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</si>
  <si>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</si>
  <si>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</si>
  <si>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</si>
  <si>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</si>
  <si>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</si>
  <si>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</si>
  <si>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</si>
  <si>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</si>
  <si>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</si>
  <si>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</si>
  <si>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</si>
  <si>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</si>
  <si>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</si>
  <si>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</si>
  <si>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</si>
  <si>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</si>
  <si>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</si>
  <si>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</si>
  <si>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</si>
  <si>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</si>
  <si>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</si>
  <si>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</si>
  <si>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</si>
  <si>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</si>
  <si>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</si>
  <si>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</si>
  <si>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</si>
  <si>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</si>
  <si>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</si>
  <si>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</si>
  <si>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</si>
  <si>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</si>
  <si>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</si>
  <si>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</si>
  <si>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</si>
  <si>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</si>
  <si>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</si>
  <si>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</si>
  <si>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</si>
  <si>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</si>
  <si>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</si>
  <si>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</si>
  <si>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</si>
  <si>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</si>
  <si>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</si>
  <si>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</si>
  <si>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</si>
  <si>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</si>
  <si>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</si>
  <si>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</si>
  <si>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</si>
  <si>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</si>
  <si>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</si>
  <si>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</si>
  <si>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</si>
  <si>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</si>
  <si>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</si>
  <si>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</si>
  <si>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</si>
  <si>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</si>
  <si>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</si>
  <si>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</si>
  <si>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</si>
  <si>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</si>
  <si>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</si>
  <si>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</si>
  <si>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</si>
  <si>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</si>
  <si>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</si>
  <si>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</si>
  <si>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</si>
  <si>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</si>
  <si>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</si>
  <si>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</si>
  <si>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</si>
  <si>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</si>
  <si>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</si>
  <si>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</si>
  <si>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</si>
  <si>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</si>
  <si>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</si>
  <si>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</si>
  <si>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</si>
  <si>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</si>
  <si>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</si>
  <si>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</si>
  <si>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</si>
  <si>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</si>
  <si>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</si>
  <si>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</si>
  <si>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</si>
  <si>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</si>
  <si>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</si>
  <si>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</si>
  <si>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</si>
  <si>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</si>
  <si>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</si>
  <si>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</si>
  <si>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</si>
  <si>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</si>
  <si>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</si>
  <si>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</si>
  <si>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</si>
  <si>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</si>
  <si>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</si>
  <si>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</si>
  <si>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</si>
  <si>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</si>
  <si>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</si>
  <si>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</si>
  <si>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</si>
  <si>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</si>
  <si>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</si>
  <si>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</si>
  <si>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</si>
  <si>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</si>
  <si>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</si>
  <si>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</si>
  <si>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</si>
  <si>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</si>
  <si>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</si>
  <si>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</si>
  <si>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</si>
  <si>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</si>
  <si>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</si>
  <si>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</si>
  <si>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</si>
  <si>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</si>
  <si>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</si>
  <si>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</si>
  <si>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</si>
  <si>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</si>
  <si>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</si>
  <si>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</si>
  <si>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</si>
  <si>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</si>
  <si>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</si>
  <si>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</si>
  <si>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</si>
  <si>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</si>
  <si>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</si>
  <si>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</si>
  <si>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</si>
  <si>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</si>
  <si>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</si>
  <si>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</si>
  <si>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</si>
  <si>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</si>
  <si>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</si>
  <si>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</si>
  <si>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</si>
  <si>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</si>
  <si>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</si>
  <si>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</si>
  <si>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</si>
  <si>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</si>
  <si>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</si>
  <si>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</si>
  <si>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</si>
  <si>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</si>
  <si>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</si>
  <si>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</si>
  <si>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</si>
  <si>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</si>
  <si>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</si>
  <si>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</si>
  <si>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</si>
  <si>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</si>
  <si>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</si>
  <si>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</si>
  <si>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</si>
  <si>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</si>
  <si>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</si>
  <si>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</si>
  <si>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</si>
  <si>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</si>
  <si>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</si>
  <si>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</si>
  <si>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</si>
  <si>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</si>
  <si>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</si>
  <si>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</si>
  <si>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</si>
  <si>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</si>
  <si>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</si>
  <si>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</si>
  <si>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</si>
  <si>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</si>
  <si>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</si>
  <si>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</si>
  <si>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</si>
  <si>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</si>
  <si>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</si>
  <si>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</si>
  <si>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</si>
  <si>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</si>
  <si>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</si>
  <si>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</si>
  <si>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</si>
  <si>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</si>
  <si>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</si>
  <si>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</si>
  <si>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</si>
  <si>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</si>
  <si>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</si>
  <si>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</si>
  <si>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</si>
  <si>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</si>
  <si>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</si>
  <si>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</si>
  <si>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</si>
  <si>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</si>
  <si>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</si>
  <si>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</si>
  <si>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</si>
  <si>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</si>
  <si>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</si>
  <si>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</si>
  <si>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</si>
  <si>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</si>
  <si>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</si>
  <si>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</si>
  <si>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</si>
  <si>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</si>
  <si>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</si>
  <si>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</si>
  <si>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</si>
  <si>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</si>
  <si>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</si>
  <si>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</si>
  <si>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</si>
  <si>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</si>
  <si>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</si>
  <si>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</si>
  <si>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</si>
  <si>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</si>
  <si>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</si>
  <si>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</si>
  <si>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</si>
  <si>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</si>
  <si>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</si>
  <si>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</si>
  <si>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</si>
  <si>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</si>
  <si>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</si>
  <si>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</si>
  <si>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</si>
  <si>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</si>
  <si>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</si>
  <si>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</si>
  <si>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</si>
  <si>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</si>
  <si>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</si>
  <si>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</si>
  <si>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</si>
  <si>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</si>
  <si>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</si>
  <si>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</si>
  <si>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</si>
  <si>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</si>
  <si>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</si>
  <si>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</si>
  <si>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</si>
  <si>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</si>
  <si>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</si>
  <si>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</si>
  <si>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</si>
  <si>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</si>
  <si>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</si>
  <si>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</si>
  <si>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</si>
  <si>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</si>
  <si>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</si>
  <si>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</si>
  <si>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</si>
  <si>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</si>
  <si>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</si>
  <si>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</si>
  <si>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</si>
  <si>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</si>
  <si>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</si>
  <si>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</si>
  <si>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</si>
  <si>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</si>
  <si>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</si>
  <si>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</si>
  <si>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</si>
  <si>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</si>
  <si>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</si>
  <si>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</si>
  <si>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</si>
  <si>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</si>
  <si>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</si>
  <si>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</si>
  <si>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</si>
  <si>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</si>
  <si>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</si>
  <si>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</si>
  <si>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</si>
  <si>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</si>
  <si>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</si>
  <si>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</si>
  <si>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</si>
  <si>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</si>
  <si>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</si>
  <si>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</si>
  <si>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</si>
  <si>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</si>
  <si>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</si>
  <si>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</si>
  <si>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</si>
  <si>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</si>
  <si>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</si>
  <si>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</si>
  <si>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</si>
  <si>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</si>
  <si>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</si>
  <si>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</si>
  <si>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</si>
  <si>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</si>
  <si>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</si>
  <si>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</si>
  <si>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</si>
  <si>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</si>
  <si>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</si>
  <si>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</si>
  <si>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</si>
  <si>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</si>
  <si>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</si>
  <si>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</si>
  <si>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</si>
  <si>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</si>
  <si>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</si>
  <si>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</si>
  <si>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</si>
  <si>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</si>
  <si>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</si>
  <si>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</si>
  <si>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</si>
  <si>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</si>
  <si>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</si>
  <si>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</si>
  <si>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</si>
  <si>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</si>
  <si>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</si>
  <si>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</si>
  <si>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</si>
  <si>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</si>
  <si>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</si>
  <si>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</si>
  <si>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</si>
  <si>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</si>
  <si>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</si>
  <si>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</si>
  <si>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</si>
  <si>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</si>
  <si>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</si>
  <si>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</si>
  <si>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</si>
  <si>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</si>
  <si>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</si>
  <si>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</si>
  <si>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</si>
  <si>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</si>
  <si>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</si>
  <si>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</si>
  <si>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</si>
  <si>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</si>
  <si>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</si>
  <si>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</si>
  <si>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</si>
  <si>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</si>
  <si>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</si>
  <si>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</si>
  <si>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</si>
  <si>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</si>
  <si>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</si>
  <si>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</si>
  <si>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</si>
  <si>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</si>
  <si>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</si>
  <si>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</si>
  <si>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</si>
  <si>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</si>
  <si>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</si>
  <si>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</si>
  <si>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</si>
  <si>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</si>
  <si>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</si>
  <si>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</si>
  <si>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</si>
  <si>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</si>
  <si>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</si>
  <si>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</si>
  <si>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</si>
  <si>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</si>
  <si>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</si>
  <si>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</si>
  <si>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</si>
  <si>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</si>
  <si>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</si>
  <si>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</si>
  <si>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</si>
  <si>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</si>
  <si>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</si>
  <si>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</si>
  <si>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</si>
  <si>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</si>
  <si>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</si>
  <si>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</si>
  <si>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</si>
  <si>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</si>
  <si>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</si>
  <si>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</si>
  <si>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</si>
  <si>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</si>
  <si>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</si>
  <si>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</si>
  <si>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</si>
  <si>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</si>
  <si>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</si>
  <si>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</si>
  <si>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</si>
  <si>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</si>
  <si>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</si>
  <si>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</si>
  <si>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</si>
  <si>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</si>
  <si>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</si>
  <si>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</si>
  <si>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</si>
  <si>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</si>
  <si>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</si>
  <si>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</si>
  <si>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</si>
  <si>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</si>
  <si>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</si>
  <si>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</si>
  <si>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</si>
  <si>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</si>
  <si>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</si>
  <si>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</si>
  <si>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</si>
  <si>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</si>
  <si>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</si>
  <si>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</si>
  <si>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</si>
  <si>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</si>
  <si>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</si>
  <si>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</si>
  <si>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</si>
  <si>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</si>
  <si>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</si>
  <si>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</si>
  <si>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</si>
  <si>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</si>
  <si>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</si>
  <si>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</si>
  <si>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</si>
  <si>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</si>
  <si>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</si>
  <si>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</si>
  <si>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</si>
  <si>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</si>
  <si>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</si>
  <si>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</si>
  <si>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</si>
  <si>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</si>
  <si>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</si>
  <si>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</si>
  <si>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</si>
  <si>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</si>
  <si>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</si>
  <si>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</si>
  <si>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</si>
  <si>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</si>
  <si>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</si>
  <si>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</si>
  <si>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</si>
  <si>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</si>
  <si>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</si>
  <si>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</si>
  <si>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</si>
  <si>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</si>
  <si>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</si>
  <si>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</si>
  <si>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</si>
  <si>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</si>
  <si>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</si>
  <si>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</si>
  <si>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</si>
  <si>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</si>
  <si>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</si>
  <si>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</si>
  <si>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</si>
  <si>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</si>
  <si>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</si>
  <si>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</si>
  <si>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</si>
  <si>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</si>
  <si>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</si>
  <si>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</si>
  <si>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</si>
  <si>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</si>
  <si>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</si>
  <si>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</si>
  <si>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</si>
  <si>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</si>
  <si>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</si>
  <si>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</si>
  <si>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</si>
  <si>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</si>
  <si>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</si>
  <si>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</si>
  <si>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</si>
  <si>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</si>
  <si>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</si>
  <si>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</si>
  <si>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</si>
  <si>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</si>
  <si>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</si>
  <si>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ILS</t>
  </si>
  <si>
    <t>בנק הפועלים</t>
  </si>
  <si>
    <t>12-600</t>
  </si>
  <si>
    <t>בנק לאומי</t>
  </si>
  <si>
    <t>10-800</t>
  </si>
  <si>
    <t>ilAAA</t>
  </si>
  <si>
    <t>יו-בנק</t>
  </si>
  <si>
    <t>26-273</t>
  </si>
  <si>
    <t>EUR</t>
  </si>
  <si>
    <t>USD</t>
  </si>
  <si>
    <t>ממשלת ישראל</t>
  </si>
  <si>
    <t>ממשלתי שקלי 347</t>
  </si>
  <si>
    <t>IL0011401937</t>
  </si>
  <si>
    <t>ilRF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</si>
  <si>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</si>
  <si>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</si>
  <si>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</si>
  <si>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</si>
  <si>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</si>
  <si>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</si>
  <si>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</si>
  <si>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</si>
  <si>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צמוד 0536</t>
  </si>
  <si>
    <t>IL0010977085</t>
  </si>
  <si>
    <t>ממשלתי שקלי 1152</t>
  </si>
  <si>
    <t>IL0011840761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</si>
  <si>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</si>
  <si>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</si>
  <si>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</si>
  <si>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</si>
  <si>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</si>
  <si>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</si>
  <si>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</si>
  <si>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</si>
  <si>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 שקלית 0330</t>
  </si>
  <si>
    <t>IL0011609851</t>
  </si>
  <si>
    <t>מקמ 0714</t>
  </si>
  <si>
    <t>IL0082407151</t>
  </si>
  <si>
    <t>בינלאומי הנפקות</t>
  </si>
  <si>
    <t>בינל הנפק אגח י</t>
  </si>
  <si>
    <t>IL0011602906</t>
  </si>
  <si>
    <t>נתיבי הגז הטבעי לישראל בע"מ</t>
  </si>
  <si>
    <t>נתיבי גז אגח ד</t>
  </si>
  <si>
    <t>IL0011475030</t>
  </si>
  <si>
    <t>Aa1.il</t>
  </si>
  <si>
    <t>פועלים אגח 203</t>
  </si>
  <si>
    <t>IL0011998684</t>
  </si>
  <si>
    <t>בזק החברה הישראלית לתקשורת בע"מ</t>
  </si>
  <si>
    <t>בזק 9</t>
  </si>
  <si>
    <t>IL0023001766</t>
  </si>
  <si>
    <t>Aa2.il</t>
  </si>
  <si>
    <t>חברת החשמל לישראל בע"מ</t>
  </si>
  <si>
    <t>חשמל אגח 27</t>
  </si>
  <si>
    <t>IL0060002107</t>
  </si>
  <si>
    <t>AA</t>
  </si>
  <si>
    <t>מימון ישיר</t>
  </si>
  <si>
    <t>הפחתה בגין קניה בהנפקה מימון ישיר ו 12.9.23</t>
  </si>
  <si>
    <t>IL0011916595</t>
  </si>
  <si>
    <t>A1.il</t>
  </si>
  <si>
    <t>מזרחי טפחות הנפקות</t>
  </si>
  <si>
    <t>מזרחי  טפחות הנפקות  52</t>
  </si>
  <si>
    <t>IL0023103810</t>
  </si>
  <si>
    <t>מזרחי  טפחות הנפקות 64</t>
  </si>
  <si>
    <t>IL0023105559</t>
  </si>
  <si>
    <t>מזרחי טפ הנ אגח 68</t>
  </si>
  <si>
    <t>IL0012021429</t>
  </si>
  <si>
    <t>לאומי</t>
  </si>
  <si>
    <t>לאומי 186</t>
  </si>
  <si>
    <t>IL0012018391</t>
  </si>
  <si>
    <t>דיסקונט מנפיקים בע"מ</t>
  </si>
  <si>
    <t>דיסקונט מנפיקים אגח טו</t>
  </si>
  <si>
    <t>IL0074803045</t>
  </si>
  <si>
    <t>מימון ישיר אגח ד</t>
  </si>
  <si>
    <t>IL0011756603</t>
  </si>
  <si>
    <t>מימון ישיר קבוצה ו</t>
  </si>
  <si>
    <t>לאומי 183</t>
  </si>
  <si>
    <t>IL0060405474</t>
  </si>
  <si>
    <t>Aaa.il</t>
  </si>
  <si>
    <t>מזרחי טפחות הנפקות 46</t>
  </si>
  <si>
    <t>IL0023102259</t>
  </si>
  <si>
    <t>קבוצת עזריאלי בע"מ</t>
  </si>
  <si>
    <t>עזריאלי אגח ה</t>
  </si>
  <si>
    <t>IL0011566036</t>
  </si>
  <si>
    <t>מז טפ הנ אגח 66</t>
  </si>
  <si>
    <t>IL0011916678</t>
  </si>
  <si>
    <t>פועלים התח נד ז</t>
  </si>
  <si>
    <t>IL0011913295</t>
  </si>
  <si>
    <t>ilAA-</t>
  </si>
  <si>
    <t>מקורות חברת מים בע"מ</t>
  </si>
  <si>
    <t>מקורות סדרה 11</t>
  </si>
  <si>
    <t>IL0011584765</t>
  </si>
  <si>
    <t>חשמל 31</t>
  </si>
  <si>
    <t>IL0060002859</t>
  </si>
  <si>
    <t>לאומי אגח 182</t>
  </si>
  <si>
    <t>IL0060405391</t>
  </si>
  <si>
    <t>מזרחי טפחות הנפקות 45</t>
  </si>
  <si>
    <t>IL0023102176</t>
  </si>
  <si>
    <t>פועלים 200</t>
  </si>
  <si>
    <t>IL0066204962</t>
  </si>
  <si>
    <t>פועלים אגח 201</t>
  </si>
  <si>
    <t>IL0011913451</t>
  </si>
  <si>
    <t>חשמל אגח 33</t>
  </si>
  <si>
    <t>IL0060003923</t>
  </si>
  <si>
    <t>מזרחי טפחות הנפקות אגח 62</t>
  </si>
  <si>
    <t>IL0023104982</t>
  </si>
  <si>
    <t>מקורות סדרה 10</t>
  </si>
  <si>
    <t>IL0011584682</t>
  </si>
  <si>
    <t>מגדל קרנות נאמנות בע"מ</t>
  </si>
  <si>
    <t>MTF סל תל בונד שקלי 50</t>
  </si>
  <si>
    <t>IL0011501686</t>
  </si>
  <si>
    <t>מיטב תכלית קרנות נאמנות בע"מ</t>
  </si>
  <si>
    <t>תכלית סל תא 35</t>
  </si>
  <si>
    <t>IL0011437006</t>
  </si>
  <si>
    <t>הראל קרנות נאמנות בע"מ</t>
  </si>
  <si>
    <t>הראל סל תלבונד 20</t>
  </si>
  <si>
    <t>IL0011504409</t>
  </si>
  <si>
    <t>MTF סל תל בונד 60</t>
  </si>
  <si>
    <t>IL0011499964</t>
  </si>
  <si>
    <t>הראל סל תלבונד 40</t>
  </si>
  <si>
    <t>IL0011504995</t>
  </si>
  <si>
    <t>קסם קרנות נאמנות בע"מ</t>
  </si>
  <si>
    <t>קסם ETF תלבונד 40</t>
  </si>
  <si>
    <t>IL0011462160</t>
  </si>
  <si>
    <t>קסם תל בונד שקלי 50</t>
  </si>
  <si>
    <t>IL0011507626</t>
  </si>
  <si>
    <t>תכלית סל (00) תל בונד 40</t>
  </si>
  <si>
    <t>IL0011450934</t>
  </si>
  <si>
    <t>MTF סל (4A) ת"א 35</t>
  </si>
  <si>
    <t>IL0011501843</t>
  </si>
  <si>
    <t>פסגות קרנות נאמנות בע"מ</t>
  </si>
  <si>
    <t>פסגות ETF תלבונד 40</t>
  </si>
  <si>
    <t>IL0011479743</t>
  </si>
  <si>
    <t>הראל סל תא 35</t>
  </si>
  <si>
    <t>IL0011489072</t>
  </si>
  <si>
    <t>קסם ETF תלבונד 20</t>
  </si>
  <si>
    <t>IL0011459604</t>
  </si>
  <si>
    <t>קסם ETF תא 35</t>
  </si>
  <si>
    <t>IL0011465700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</si>
  <si>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</si>
  <si>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</si>
  <si>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</si>
  <si>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</si>
  <si>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</si>
  <si>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</si>
  <si>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AUEM FP AMUNDI MSCI EME</t>
  </si>
  <si>
    <t>LU1681045453</t>
  </si>
  <si>
    <t>ISHARES</t>
  </si>
  <si>
    <t>549300LRIF3NWCU26A80</t>
  </si>
  <si>
    <t>IWDA LN iShares MSCI World</t>
  </si>
  <si>
    <t>IE00B4L5Y983</t>
  </si>
  <si>
    <t>SDIG LN SHORT DUR CORP</t>
  </si>
  <si>
    <t>IE00BCRY5Y77</t>
  </si>
  <si>
    <t>State Street</t>
  </si>
  <si>
    <t>549300ZFEEJ2IP5VME73</t>
  </si>
  <si>
    <t>SWRD LN  MSCI World SPDR</t>
  </si>
  <si>
    <t>IE00BFY0GT14</t>
  </si>
  <si>
    <t>U127 Amundi MSCI EM</t>
  </si>
  <si>
    <t>LU2573966905</t>
  </si>
  <si>
    <t>FLOT LN</t>
  </si>
  <si>
    <t>IE00BZ048462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</si>
  <si>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</si>
  <si>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</si>
  <si>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</si>
  <si>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</si>
  <si>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</si>
  <si>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</si>
  <si>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</si>
  <si>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</si>
  <si>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</si>
  <si>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</si>
  <si>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</si>
  <si>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</si>
  <si>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</si>
  <si>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</si>
  <si>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</si>
  <si>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</si>
  <si>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</si>
  <si>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</si>
  <si>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</si>
  <si>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מקורות סדרה ו</t>
  </si>
  <si>
    <t>מקורות 8 4.1% 2048</t>
  </si>
  <si>
    <t>נתיבי גז ג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</si>
  <si>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</si>
  <si>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</si>
  <si>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</si>
  <si>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</si>
  <si>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</si>
  <si>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</si>
  <si>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</si>
  <si>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</si>
  <si>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</si>
  <si>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</si>
  <si>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</si>
  <si>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</si>
  <si>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</si>
  <si>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</si>
  <si>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</si>
  <si>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</si>
  <si>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</si>
  <si>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</si>
  <si>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חקלאים ס.מ.ישיר 31.03.24</t>
  </si>
  <si>
    <t>התח.ממש.אי העלאת ג.פרישה נשים</t>
  </si>
  <si>
    <t>570007476_pn_p_0224.xlsx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</si>
</sst>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30" sqref="B30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2" t="s">
        <v>1413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D35" sqref="D3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36859.886139999995</v>
      </c>
      <c r="C3" s="114"/>
      <c r="D3" s="115"/>
      <c r="E3" s="112">
        <f>IFERROR(B3/$B$30,0)</f>
        <v>1.3309622730159501E-2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202834.14530999996</v>
      </c>
      <c r="C4" s="114"/>
      <c r="D4" s="115"/>
      <c r="E4" s="112">
        <f t="shared" ref="E4:E29" si="0">IFERROR(B4/$B$30,0)</f>
        <v>7.3240756648480815E-2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58879.427309999999</v>
      </c>
      <c r="C6" s="114"/>
      <c r="D6" s="115"/>
      <c r="E6" s="112">
        <f t="shared" si="0"/>
        <v>2.1260591014510121E-2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347279.82419999997</v>
      </c>
      <c r="C8" s="114"/>
      <c r="D8" s="115"/>
      <c r="E8" s="112">
        <f t="shared" si="0"/>
        <v>0.12539820183769335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377005.31387000001</v>
      </c>
      <c r="C15" s="114"/>
      <c r="D15" s="115"/>
      <c r="E15" s="112">
        <f t="shared" si="0"/>
        <v>0.13613168732580003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4340.5219400000005</v>
      </c>
      <c r="C18" s="114"/>
      <c r="D18" s="115"/>
      <c r="E18" s="112">
        <f t="shared" si="0"/>
        <v>1.5673056952470561E-3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1.3489999999999997E-3</v>
      </c>
      <c r="C19" s="114"/>
      <c r="D19" s="115"/>
      <c r="E19" s="112">
        <f t="shared" si="0"/>
        <v>4.8710625406682731E-10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1742217.1802000001</v>
      </c>
      <c r="C29" s="114"/>
      <c r="D29" s="115"/>
      <c r="E29" s="112">
        <f t="shared" si="0"/>
        <v>0.62909183426100279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2769416.3003190001</v>
      </c>
      <c r="C30" s="116"/>
      <c r="D30" s="116"/>
      <c r="E30" s="113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N2" sqref="N2:N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307</v>
      </c>
      <c r="B2" s="119">
        <v>307</v>
      </c>
      <c r="C2" s="118" t="s">
        <v>1209</v>
      </c>
      <c r="D2" s="118" t="s">
        <v>1210</v>
      </c>
      <c r="E2" s="118" t="s">
        <v>314</v>
      </c>
      <c r="F2" s="118" t="s">
        <v>938</v>
      </c>
      <c r="G2" s="118" t="s">
        <v>203</v>
      </c>
      <c r="H2" s="118" t="s">
        <v>338</v>
      </c>
      <c r="I2" s="118" t="s">
        <v>1216</v>
      </c>
      <c r="J2" s="118" t="s">
        <v>412</v>
      </c>
      <c r="K2" s="118" t="s">
        <v>1211</v>
      </c>
      <c r="L2" s="120">
        <v>7833.5595400000002</v>
      </c>
      <c r="M2" s="120">
        <v>1</v>
      </c>
      <c r="N2" s="121"/>
      <c r="O2" s="120">
        <v>7833.5595400000002</v>
      </c>
      <c r="P2" s="121">
        <v>0.21252199999999999</v>
      </c>
      <c r="Q2" s="121">
        <v>2.8279999999999998E-3</v>
      </c>
    </row>
    <row r="3" spans="1:26" ht="15" customHeight="1">
      <c r="A3" s="119">
        <v>307</v>
      </c>
      <c r="B3" s="119">
        <v>307</v>
      </c>
      <c r="C3" s="118" t="s">
        <v>1212</v>
      </c>
      <c r="D3" s="118" t="s">
        <v>1213</v>
      </c>
      <c r="E3" s="118" t="s">
        <v>314</v>
      </c>
      <c r="F3" s="118" t="s">
        <v>935</v>
      </c>
      <c r="G3" s="118" t="s">
        <v>203</v>
      </c>
      <c r="H3" s="118" t="s">
        <v>338</v>
      </c>
      <c r="I3" s="118" t="s">
        <v>1216</v>
      </c>
      <c r="J3" s="118" t="s">
        <v>412</v>
      </c>
      <c r="K3" s="118" t="s">
        <v>1211</v>
      </c>
      <c r="L3" s="120">
        <v>10104.059520000001</v>
      </c>
      <c r="M3" s="120">
        <v>1</v>
      </c>
      <c r="N3" s="121"/>
      <c r="O3" s="120">
        <v>10104.059520000001</v>
      </c>
      <c r="P3" s="121">
        <v>0.274119</v>
      </c>
      <c r="Q3" s="121">
        <v>3.6470000000000001E-3</v>
      </c>
    </row>
    <row r="4" spans="1:26" ht="15" customHeight="1">
      <c r="A4" s="119">
        <v>307</v>
      </c>
      <c r="B4" s="119">
        <v>307</v>
      </c>
      <c r="C4" s="118" t="s">
        <v>1214</v>
      </c>
      <c r="D4" s="118" t="s">
        <v>1215</v>
      </c>
      <c r="E4" s="118" t="s">
        <v>314</v>
      </c>
      <c r="F4" s="118" t="s">
        <v>939</v>
      </c>
      <c r="G4" s="118" t="s">
        <v>203</v>
      </c>
      <c r="H4" s="118" t="s">
        <v>338</v>
      </c>
      <c r="I4" s="118" t="s">
        <v>1216</v>
      </c>
      <c r="J4" s="118" t="s">
        <v>412</v>
      </c>
      <c r="K4" s="118" t="s">
        <v>1211</v>
      </c>
      <c r="L4" s="120">
        <v>13795.1625</v>
      </c>
      <c r="M4" s="120">
        <v>1</v>
      </c>
      <c r="N4" s="121"/>
      <c r="O4" s="120">
        <v>13795.1625</v>
      </c>
      <c r="P4" s="121">
        <v>0.37425900000000001</v>
      </c>
      <c r="Q4" s="121">
        <v>4.9810000000000002E-3</v>
      </c>
    </row>
    <row r="5" spans="1:26" ht="15" customHeight="1">
      <c r="A5" s="119">
        <v>307</v>
      </c>
      <c r="B5" s="119">
        <v>307</v>
      </c>
      <c r="C5" s="118" t="s">
        <v>1214</v>
      </c>
      <c r="D5" s="118" t="s">
        <v>1215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1216</v>
      </c>
      <c r="J5" s="118" t="s">
        <v>412</v>
      </c>
      <c r="K5" s="118" t="s">
        <v>1211</v>
      </c>
      <c r="L5" s="120">
        <v>1419.7400600000001</v>
      </c>
      <c r="M5" s="120">
        <v>1</v>
      </c>
      <c r="N5" s="121"/>
      <c r="O5" s="120">
        <v>1419.7400600000001</v>
      </c>
      <c r="P5" s="121">
        <v>3.8517000000000003E-2</v>
      </c>
      <c r="Q5" s="121">
        <v>5.1199999999999998E-4</v>
      </c>
    </row>
    <row r="6" spans="1:26" ht="15" customHeight="1">
      <c r="A6" s="119">
        <v>307</v>
      </c>
      <c r="B6" s="119">
        <v>307</v>
      </c>
      <c r="C6" s="118" t="s">
        <v>1217</v>
      </c>
      <c r="D6" s="118" t="s">
        <v>1218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1216</v>
      </c>
      <c r="J6" s="118" t="s">
        <v>412</v>
      </c>
      <c r="K6" s="118" t="s">
        <v>1211</v>
      </c>
      <c r="L6" s="120">
        <v>253.27177</v>
      </c>
      <c r="M6" s="120">
        <v>1</v>
      </c>
      <c r="N6" s="121"/>
      <c r="O6" s="120">
        <v>253.27177</v>
      </c>
      <c r="P6" s="121">
        <v>6.8710000000000004E-3</v>
      </c>
      <c r="Q6" s="121">
        <v>9.1000000000000003E-5</v>
      </c>
    </row>
    <row r="7" spans="1:26" ht="15" customHeight="1">
      <c r="A7" s="119">
        <v>307</v>
      </c>
      <c r="B7" s="119">
        <v>307</v>
      </c>
      <c r="C7" s="118" t="s">
        <v>1214</v>
      </c>
      <c r="D7" s="118" t="s">
        <v>1215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1216</v>
      </c>
      <c r="J7" s="118" t="s">
        <v>412</v>
      </c>
      <c r="K7" s="118" t="s">
        <v>1219</v>
      </c>
      <c r="L7" s="120">
        <v>27.998619999999999</v>
      </c>
      <c r="M7" s="120">
        <v>4.0202</v>
      </c>
      <c r="N7" s="121"/>
      <c r="O7" s="120">
        <v>112.56005</v>
      </c>
      <c r="P7" s="121">
        <v>3.0530000000000002E-3</v>
      </c>
      <c r="Q7" s="121">
        <v>4.0000000000000003E-5</v>
      </c>
    </row>
    <row r="8" spans="1:26" ht="15" customHeight="1">
      <c r="A8" s="119">
        <v>307</v>
      </c>
      <c r="B8" s="119">
        <v>307</v>
      </c>
      <c r="C8" s="118" t="s">
        <v>1209</v>
      </c>
      <c r="D8" s="118" t="s">
        <v>1210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1216</v>
      </c>
      <c r="J8" s="118" t="s">
        <v>412</v>
      </c>
      <c r="K8" s="118" t="s">
        <v>1211</v>
      </c>
      <c r="L8" s="120">
        <v>3.0108299999999999</v>
      </c>
      <c r="M8" s="120">
        <v>1</v>
      </c>
      <c r="N8" s="121"/>
      <c r="O8" s="120">
        <v>3.0108299999999999</v>
      </c>
      <c r="P8" s="121">
        <v>8.1000000000000004E-5</v>
      </c>
      <c r="Q8" s="121">
        <v>9.9999999999999995E-7</v>
      </c>
    </row>
    <row r="9" spans="1:26" ht="15" customHeight="1">
      <c r="A9" s="119">
        <v>307</v>
      </c>
      <c r="B9" s="119">
        <v>307</v>
      </c>
      <c r="C9" s="118" t="s">
        <v>1209</v>
      </c>
      <c r="D9" s="118" t="s">
        <v>1210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1216</v>
      </c>
      <c r="J9" s="118" t="s">
        <v>412</v>
      </c>
      <c r="K9" s="118" t="s">
        <v>1220</v>
      </c>
      <c r="L9" s="120">
        <v>124.91244</v>
      </c>
      <c r="M9" s="120">
        <v>3.7589999999999999</v>
      </c>
      <c r="N9" s="121"/>
      <c r="O9" s="120">
        <v>469.54586</v>
      </c>
      <c r="P9" s="121">
        <v>1.2737999999999999E-2</v>
      </c>
      <c r="Q9" s="121">
        <v>1.6899999999999999E-4</v>
      </c>
    </row>
    <row r="10" spans="1:26" ht="15" customHeight="1">
      <c r="A10" s="119">
        <v>307</v>
      </c>
      <c r="B10" s="119">
        <v>307</v>
      </c>
      <c r="C10" s="118" t="s">
        <v>1214</v>
      </c>
      <c r="D10" s="118" t="s">
        <v>1215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1216</v>
      </c>
      <c r="J10" s="118" t="s">
        <v>412</v>
      </c>
      <c r="K10" s="118" t="s">
        <v>1220</v>
      </c>
      <c r="L10" s="120">
        <v>763.22852</v>
      </c>
      <c r="M10" s="120">
        <v>3.7589999999999999</v>
      </c>
      <c r="N10" s="121"/>
      <c r="O10" s="120">
        <v>2868.9760099999999</v>
      </c>
      <c r="P10" s="121">
        <v>7.7834E-2</v>
      </c>
      <c r="Q10" s="121">
        <v>1.0349999999999999E-3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4"/>
  <sheetViews>
    <sheetView rightToLeft="1" topLeftCell="G1" workbookViewId="0">
      <selection activeCell="S2" sqref="S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4.5" bestFit="1" customWidth="1"/>
    <col min="19" max="19" width="8.75" bestFit="1" customWidth="1"/>
    <col min="20" max="20" width="11.625" customWidth="1"/>
    <col min="21" max="21" width="10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1221</v>
      </c>
      <c r="D2" s="118" t="s">
        <v>1222</v>
      </c>
      <c r="E2" s="119" t="s">
        <v>1223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1211</v>
      </c>
      <c r="M2" s="120">
        <v>14.48</v>
      </c>
      <c r="N2" s="122">
        <v>53782</v>
      </c>
      <c r="O2" s="121">
        <v>3.7499999999999999E-2</v>
      </c>
      <c r="P2" s="121">
        <v>5.4699999999999999E-2</v>
      </c>
      <c r="Q2" s="120"/>
      <c r="R2" s="120">
        <v>7596454</v>
      </c>
      <c r="S2" s="120">
        <v>1</v>
      </c>
      <c r="T2" s="120">
        <v>78.790000000000006</v>
      </c>
      <c r="U2" s="120">
        <v>5985.24611</v>
      </c>
      <c r="V2" s="120"/>
      <c r="W2" s="118"/>
      <c r="X2" s="121">
        <v>2.8899999999999998E-4</v>
      </c>
      <c r="Y2" s="121">
        <v>2.9508E-2</v>
      </c>
      <c r="Z2" s="121">
        <v>2.1610000000000002E-3</v>
      </c>
    </row>
    <row r="3" spans="1:26" ht="15" customHeight="1">
      <c r="A3" s="119">
        <v>307</v>
      </c>
      <c r="B3" s="119">
        <v>307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1211</v>
      </c>
      <c r="M3" s="120">
        <v>24.94</v>
      </c>
      <c r="N3" s="122">
        <v>55487</v>
      </c>
      <c r="O3" s="121">
        <v>5.0000000000000001E-3</v>
      </c>
      <c r="P3" s="121">
        <v>2.46E-2</v>
      </c>
      <c r="Q3" s="118"/>
      <c r="R3" s="120">
        <v>4935731</v>
      </c>
      <c r="S3" s="120">
        <v>1</v>
      </c>
      <c r="T3" s="120">
        <v>69.900000000000006</v>
      </c>
      <c r="U3" s="120">
        <v>3450.0759699999999</v>
      </c>
      <c r="V3" s="118"/>
      <c r="W3" s="118"/>
      <c r="X3" s="121">
        <v>2.3499999999999999E-4</v>
      </c>
      <c r="Y3" s="121">
        <v>1.7009E-2</v>
      </c>
      <c r="Z3" s="121">
        <v>1.245E-3</v>
      </c>
    </row>
    <row r="4" spans="1:26" ht="15" customHeight="1">
      <c r="A4" s="119">
        <v>307</v>
      </c>
      <c r="B4" s="119">
        <v>307</v>
      </c>
      <c r="C4" s="118" t="s">
        <v>1221</v>
      </c>
      <c r="D4" s="118" t="s">
        <v>1227</v>
      </c>
      <c r="E4" s="119" t="s">
        <v>1228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1211</v>
      </c>
      <c r="M4" s="120">
        <v>7.39</v>
      </c>
      <c r="N4" s="122">
        <v>48182</v>
      </c>
      <c r="O4" s="121">
        <v>1E-3</v>
      </c>
      <c r="P4" s="121">
        <v>2.18E-2</v>
      </c>
      <c r="Q4" s="118"/>
      <c r="R4" s="120">
        <v>34380719</v>
      </c>
      <c r="S4" s="120">
        <v>1</v>
      </c>
      <c r="T4" s="120">
        <v>97.65</v>
      </c>
      <c r="U4" s="120">
        <v>33572.772100000002</v>
      </c>
      <c r="V4" s="118"/>
      <c r="W4" s="118"/>
      <c r="X4" s="121">
        <v>1.119E-3</v>
      </c>
      <c r="Y4" s="121">
        <v>0.165518</v>
      </c>
      <c r="Z4" s="121">
        <v>1.2122000000000001E-2</v>
      </c>
    </row>
    <row r="5" spans="1:26" ht="15" customHeight="1">
      <c r="A5" s="119">
        <v>307</v>
      </c>
      <c r="B5" s="119">
        <v>307</v>
      </c>
      <c r="C5" s="118" t="s">
        <v>1221</v>
      </c>
      <c r="D5" s="118" t="s">
        <v>1229</v>
      </c>
      <c r="E5" s="119" t="s">
        <v>1230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1211</v>
      </c>
      <c r="M5" s="120">
        <v>11.52</v>
      </c>
      <c r="N5" s="122">
        <v>51897</v>
      </c>
      <c r="O5" s="121">
        <v>5.5E-2</v>
      </c>
      <c r="P5" s="121">
        <v>5.33E-2</v>
      </c>
      <c r="Q5" s="118"/>
      <c r="R5" s="120">
        <v>924856</v>
      </c>
      <c r="S5" s="120">
        <v>1</v>
      </c>
      <c r="T5" s="120">
        <v>104.09</v>
      </c>
      <c r="U5" s="120">
        <v>962.68260999999995</v>
      </c>
      <c r="V5" s="118"/>
      <c r="W5" s="118"/>
      <c r="X5" s="121">
        <v>4.6999999999999997E-5</v>
      </c>
      <c r="Y5" s="121">
        <v>4.7460000000000002E-3</v>
      </c>
      <c r="Z5" s="121">
        <v>3.4699999999999998E-4</v>
      </c>
    </row>
    <row r="6" spans="1:26" ht="15" customHeight="1">
      <c r="A6" s="119">
        <v>307</v>
      </c>
      <c r="B6" s="119">
        <v>307</v>
      </c>
      <c r="C6" s="118" t="s">
        <v>1221</v>
      </c>
      <c r="D6" s="118" t="s">
        <v>1231</v>
      </c>
      <c r="E6" s="119" t="s">
        <v>1232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1211</v>
      </c>
      <c r="M6" s="120">
        <v>0.83</v>
      </c>
      <c r="N6" s="122">
        <v>45777</v>
      </c>
      <c r="O6" s="121">
        <v>5.0000000000000001E-3</v>
      </c>
      <c r="P6" s="121">
        <v>4.0399999999999998E-2</v>
      </c>
      <c r="Q6" s="118"/>
      <c r="R6" s="120">
        <v>904856</v>
      </c>
      <c r="S6" s="120">
        <v>1</v>
      </c>
      <c r="T6" s="120">
        <v>97.25</v>
      </c>
      <c r="U6" s="120">
        <v>879.97245999999996</v>
      </c>
      <c r="V6" s="118"/>
      <c r="W6" s="118"/>
      <c r="X6" s="121">
        <v>3.8000000000000002E-5</v>
      </c>
      <c r="Y6" s="121">
        <v>4.3379999999999998E-3</v>
      </c>
      <c r="Z6" s="121">
        <v>3.1700000000000001E-4</v>
      </c>
    </row>
    <row r="7" spans="1:26" ht="15" customHeight="1">
      <c r="A7" s="119">
        <v>307</v>
      </c>
      <c r="B7" s="119">
        <v>307</v>
      </c>
      <c r="C7" s="118" t="s">
        <v>1221</v>
      </c>
      <c r="D7" s="118" t="s">
        <v>1233</v>
      </c>
      <c r="E7" s="119" t="s">
        <v>1234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1211</v>
      </c>
      <c r="M7" s="120">
        <v>9.8800000000000008</v>
      </c>
      <c r="N7" s="122">
        <v>49825</v>
      </c>
      <c r="O7" s="121">
        <v>0.04</v>
      </c>
      <c r="P7" s="121">
        <v>2.3099999999999999E-2</v>
      </c>
      <c r="Q7" s="118"/>
      <c r="R7" s="120">
        <v>16551956</v>
      </c>
      <c r="S7" s="120">
        <v>1</v>
      </c>
      <c r="T7" s="120">
        <v>159.08000000000001</v>
      </c>
      <c r="U7" s="120">
        <v>26330.851600000002</v>
      </c>
      <c r="V7" s="118"/>
      <c r="W7" s="118"/>
      <c r="X7" s="121">
        <v>1.0380000000000001E-3</v>
      </c>
      <c r="Y7" s="121">
        <v>0.12981400000000001</v>
      </c>
      <c r="Z7" s="121">
        <v>9.5069999999999998E-3</v>
      </c>
    </row>
    <row r="8" spans="1:26" ht="15" customHeight="1">
      <c r="A8" s="119">
        <v>307</v>
      </c>
      <c r="B8" s="119">
        <v>307</v>
      </c>
      <c r="C8" s="118" t="s">
        <v>1221</v>
      </c>
      <c r="D8" s="118" t="s">
        <v>1235</v>
      </c>
      <c r="E8" s="119" t="s">
        <v>1236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1224</v>
      </c>
      <c r="K8" s="118" t="s">
        <v>412</v>
      </c>
      <c r="L8" s="118" t="s">
        <v>1211</v>
      </c>
      <c r="M8" s="120">
        <v>16.829999999999998</v>
      </c>
      <c r="N8" s="122">
        <v>55852</v>
      </c>
      <c r="O8" s="121">
        <v>2.8000000000000001E-2</v>
      </c>
      <c r="P8" s="121">
        <v>5.5599999999999997E-2</v>
      </c>
      <c r="Q8" s="118"/>
      <c r="R8" s="120">
        <v>10140132</v>
      </c>
      <c r="S8" s="120">
        <v>1</v>
      </c>
      <c r="T8" s="120">
        <v>62.6</v>
      </c>
      <c r="U8" s="120">
        <v>6347.7226300000002</v>
      </c>
      <c r="V8" s="118"/>
      <c r="W8" s="118"/>
      <c r="X8" s="121">
        <v>6.0800000000000003E-4</v>
      </c>
      <c r="Y8" s="121">
        <v>3.1295000000000003E-2</v>
      </c>
      <c r="Z8" s="121">
        <v>2.2920000000000002E-3</v>
      </c>
    </row>
    <row r="9" spans="1:26" ht="15" customHeight="1">
      <c r="A9" s="119">
        <v>307</v>
      </c>
      <c r="B9" s="119">
        <v>307</v>
      </c>
      <c r="C9" s="118" t="s">
        <v>1221</v>
      </c>
      <c r="D9" s="118" t="s">
        <v>1237</v>
      </c>
      <c r="E9" s="119" t="s">
        <v>1238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1224</v>
      </c>
      <c r="K9" s="118" t="s">
        <v>412</v>
      </c>
      <c r="L9" s="118" t="s">
        <v>1211</v>
      </c>
      <c r="M9" s="120">
        <v>13.72</v>
      </c>
      <c r="N9" s="122">
        <v>51744</v>
      </c>
      <c r="O9" s="121">
        <v>2.75E-2</v>
      </c>
      <c r="P9" s="121">
        <v>2.35E-2</v>
      </c>
      <c r="Q9" s="118"/>
      <c r="R9" s="120">
        <v>71124863</v>
      </c>
      <c r="S9" s="120">
        <v>1</v>
      </c>
      <c r="T9" s="120">
        <v>131.08000000000001</v>
      </c>
      <c r="U9" s="120">
        <v>93230.470419999998</v>
      </c>
      <c r="V9" s="118"/>
      <c r="W9" s="118"/>
      <c r="X9" s="121">
        <v>3.748E-3</v>
      </c>
      <c r="Y9" s="121">
        <v>0.45963799999999999</v>
      </c>
      <c r="Z9" s="121">
        <v>3.3663999999999999E-2</v>
      </c>
    </row>
    <row r="10" spans="1:26" ht="15" customHeight="1">
      <c r="A10" s="119">
        <v>307</v>
      </c>
      <c r="B10" s="119">
        <v>307</v>
      </c>
      <c r="C10" s="118" t="s">
        <v>1221</v>
      </c>
      <c r="D10" s="118" t="s">
        <v>1239</v>
      </c>
      <c r="E10" s="119" t="s">
        <v>1240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1224</v>
      </c>
      <c r="K10" s="118" t="s">
        <v>412</v>
      </c>
      <c r="L10" s="118" t="s">
        <v>1211</v>
      </c>
      <c r="M10" s="120">
        <v>4.0199999999999996</v>
      </c>
      <c r="N10" s="122">
        <v>47024</v>
      </c>
      <c r="O10" s="121">
        <v>2.2499999999999999E-2</v>
      </c>
      <c r="P10" s="121">
        <v>4.6199999999999998E-2</v>
      </c>
      <c r="Q10" s="118"/>
      <c r="R10" s="120">
        <v>1374384</v>
      </c>
      <c r="S10" s="120">
        <v>1</v>
      </c>
      <c r="T10" s="120">
        <v>92.73</v>
      </c>
      <c r="U10" s="120">
        <v>1274.4662800000001</v>
      </c>
      <c r="V10" s="118"/>
      <c r="W10" s="118"/>
      <c r="X10" s="121">
        <v>4.5000000000000003E-5</v>
      </c>
      <c r="Y10" s="121">
        <v>6.2830000000000004E-3</v>
      </c>
      <c r="Z10" s="121">
        <v>4.6000000000000001E-4</v>
      </c>
    </row>
    <row r="11" spans="1:26" ht="15" customHeight="1">
      <c r="A11" s="119">
        <v>307</v>
      </c>
      <c r="B11" s="119">
        <v>307</v>
      </c>
      <c r="C11" s="118" t="s">
        <v>1221</v>
      </c>
      <c r="D11" s="118" t="s">
        <v>1241</v>
      </c>
      <c r="E11" s="119" t="s">
        <v>1242</v>
      </c>
      <c r="F11" s="118" t="s">
        <v>947</v>
      </c>
      <c r="G11" s="118" t="s">
        <v>203</v>
      </c>
      <c r="H11" s="118" t="s">
        <v>203</v>
      </c>
      <c r="I11" s="118" t="s">
        <v>339</v>
      </c>
      <c r="J11" s="118" t="s">
        <v>1224</v>
      </c>
      <c r="K11" s="118" t="s">
        <v>412</v>
      </c>
      <c r="L11" s="118" t="s">
        <v>1211</v>
      </c>
      <c r="M11" s="120">
        <v>1</v>
      </c>
      <c r="N11" s="122">
        <v>46173</v>
      </c>
      <c r="O11" s="121">
        <v>0</v>
      </c>
      <c r="P11" s="121">
        <v>4.6899999999999997E-2</v>
      </c>
      <c r="Q11" s="118"/>
      <c r="R11" s="120">
        <v>144967</v>
      </c>
      <c r="S11" s="120">
        <v>1</v>
      </c>
      <c r="T11" s="120">
        <v>99.64</v>
      </c>
      <c r="U11" s="120">
        <v>144.44512</v>
      </c>
      <c r="V11" s="118"/>
      <c r="W11" s="118"/>
      <c r="X11" s="121">
        <v>6.0000000000000002E-6</v>
      </c>
      <c r="Y11" s="121">
        <v>7.1199999999999996E-4</v>
      </c>
      <c r="Z11" s="121">
        <v>5.1999999999999997E-5</v>
      </c>
    </row>
    <row r="12" spans="1:26" ht="15" customHeight="1">
      <c r="A12" s="119">
        <v>307</v>
      </c>
      <c r="B12" s="119">
        <v>307</v>
      </c>
      <c r="C12" s="118" t="s">
        <v>1221</v>
      </c>
      <c r="D12" s="118" t="s">
        <v>1243</v>
      </c>
      <c r="E12" s="119" t="s">
        <v>1244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1224</v>
      </c>
      <c r="K12" s="118" t="s">
        <v>412</v>
      </c>
      <c r="L12" s="118" t="s">
        <v>1211</v>
      </c>
      <c r="M12" s="120">
        <v>18.62</v>
      </c>
      <c r="N12" s="122">
        <v>53113</v>
      </c>
      <c r="O12" s="121">
        <v>0.01</v>
      </c>
      <c r="P12" s="121">
        <v>2.4299999999999999E-2</v>
      </c>
      <c r="Q12" s="118"/>
      <c r="R12" s="120">
        <v>4949443</v>
      </c>
      <c r="S12" s="120">
        <v>1</v>
      </c>
      <c r="T12" s="120">
        <v>88.06</v>
      </c>
      <c r="U12" s="120">
        <v>4358.4795100000001</v>
      </c>
      <c r="V12" s="118"/>
      <c r="W12" s="118"/>
      <c r="X12" s="121">
        <v>2.7300000000000002E-4</v>
      </c>
      <c r="Y12" s="121">
        <v>2.1486999999999999E-2</v>
      </c>
      <c r="Z12" s="121">
        <v>1.573E-3</v>
      </c>
    </row>
    <row r="13" spans="1:26" ht="15" customHeight="1">
      <c r="A13" s="119">
        <v>307</v>
      </c>
      <c r="B13" s="119">
        <v>307</v>
      </c>
      <c r="C13" s="118" t="s">
        <v>1221</v>
      </c>
      <c r="D13" s="118" t="s">
        <v>1245</v>
      </c>
      <c r="E13" s="119" t="s">
        <v>1246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1224</v>
      </c>
      <c r="K13" s="118" t="s">
        <v>412</v>
      </c>
      <c r="L13" s="118" t="s">
        <v>1211</v>
      </c>
      <c r="M13" s="120">
        <v>5.58</v>
      </c>
      <c r="N13" s="122">
        <v>47573</v>
      </c>
      <c r="O13" s="121">
        <v>0.01</v>
      </c>
      <c r="P13" s="121">
        <v>4.7600000000000003E-2</v>
      </c>
      <c r="Q13" s="118"/>
      <c r="R13" s="120">
        <v>4361049</v>
      </c>
      <c r="S13" s="120">
        <v>1</v>
      </c>
      <c r="T13" s="120">
        <v>81.73</v>
      </c>
      <c r="U13" s="120">
        <v>3564.2853500000001</v>
      </c>
      <c r="V13" s="118"/>
      <c r="W13" s="118"/>
      <c r="X13" s="121">
        <v>1.15E-4</v>
      </c>
      <c r="Y13" s="121">
        <v>1.7572000000000001E-2</v>
      </c>
      <c r="Z13" s="121">
        <v>1.2869999999999999E-3</v>
      </c>
    </row>
    <row r="14" spans="1:26" ht="15" customHeight="1">
      <c r="A14" s="119">
        <v>307</v>
      </c>
      <c r="B14" s="119">
        <v>307</v>
      </c>
      <c r="C14" s="118" t="s">
        <v>1221</v>
      </c>
      <c r="D14" s="118" t="s">
        <v>1247</v>
      </c>
      <c r="E14" s="119" t="s">
        <v>1248</v>
      </c>
      <c r="F14" s="118" t="s">
        <v>950</v>
      </c>
      <c r="G14" s="118" t="s">
        <v>203</v>
      </c>
      <c r="H14" s="118" t="s">
        <v>203</v>
      </c>
      <c r="I14" s="118" t="s">
        <v>339</v>
      </c>
      <c r="J14" s="118" t="s">
        <v>1224</v>
      </c>
      <c r="K14" s="118" t="s">
        <v>412</v>
      </c>
      <c r="L14" s="118" t="s">
        <v>1211</v>
      </c>
      <c r="M14" s="120">
        <v>0.01</v>
      </c>
      <c r="N14" s="122">
        <v>45476</v>
      </c>
      <c r="O14" s="121">
        <v>0</v>
      </c>
      <c r="P14" s="121">
        <v>5.6300000000000003E-2</v>
      </c>
      <c r="Q14" s="118"/>
      <c r="R14" s="120">
        <v>22739497</v>
      </c>
      <c r="S14" s="120">
        <v>1</v>
      </c>
      <c r="T14" s="120">
        <v>99.97</v>
      </c>
      <c r="U14" s="120">
        <v>22732.675149999999</v>
      </c>
      <c r="V14" s="118"/>
      <c r="W14" s="118"/>
      <c r="X14" s="121">
        <v>5.1599999999999997E-4</v>
      </c>
      <c r="Y14" s="121">
        <v>0.11207499999999999</v>
      </c>
      <c r="Z14" s="121">
        <v>8.208E-3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P1" workbookViewId="0">
      <selection activeCell="Y19" sqref="Y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307</v>
      </c>
      <c r="B2" s="119">
        <v>307</v>
      </c>
      <c r="C2" s="118" t="s">
        <v>1249</v>
      </c>
      <c r="D2" s="119">
        <v>513141879</v>
      </c>
      <c r="E2" s="118" t="s">
        <v>308</v>
      </c>
      <c r="F2" s="118" t="s">
        <v>1250</v>
      </c>
      <c r="G2" s="119" t="s">
        <v>1251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1216</v>
      </c>
      <c r="Q2" s="118" t="s">
        <v>412</v>
      </c>
      <c r="R2" s="118" t="s">
        <v>406</v>
      </c>
      <c r="S2" s="118" t="s">
        <v>1211</v>
      </c>
      <c r="T2" s="120">
        <v>1.19</v>
      </c>
      <c r="U2" s="122">
        <v>45910</v>
      </c>
      <c r="V2" s="121">
        <v>1E-3</v>
      </c>
      <c r="W2" s="121">
        <v>2.1999999999999999E-2</v>
      </c>
      <c r="X2" s="118" t="s">
        <v>411</v>
      </c>
      <c r="Y2" s="118"/>
      <c r="Z2" s="120">
        <v>554000</v>
      </c>
      <c r="AA2" s="120">
        <v>1</v>
      </c>
      <c r="AB2" s="120">
        <v>110.18</v>
      </c>
      <c r="AC2" s="120"/>
      <c r="AD2" s="120">
        <v>610.3972</v>
      </c>
      <c r="AE2" s="120"/>
      <c r="AF2" s="120"/>
      <c r="AG2" s="118"/>
      <c r="AH2" s="121">
        <v>3.6900000000000002E-4</v>
      </c>
      <c r="AI2" s="121">
        <v>1.0366E-2</v>
      </c>
      <c r="AJ2" s="121">
        <v>2.2000000000000001E-4</v>
      </c>
    </row>
    <row r="3" spans="1:36" ht="15" customHeight="1">
      <c r="A3" s="119">
        <v>307</v>
      </c>
      <c r="B3" s="119">
        <v>307</v>
      </c>
      <c r="C3" s="118" t="s">
        <v>1252</v>
      </c>
      <c r="D3" s="119">
        <v>513436394</v>
      </c>
      <c r="E3" s="118" t="s">
        <v>308</v>
      </c>
      <c r="F3" s="118" t="s">
        <v>1253</v>
      </c>
      <c r="G3" s="119" t="s">
        <v>1254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476</v>
      </c>
      <c r="O3" s="118" t="s">
        <v>338</v>
      </c>
      <c r="P3" s="118" t="s">
        <v>1255</v>
      </c>
      <c r="Q3" s="118" t="s">
        <v>414</v>
      </c>
      <c r="R3" s="118" t="s">
        <v>406</v>
      </c>
      <c r="S3" s="118" t="s">
        <v>1211</v>
      </c>
      <c r="T3" s="120">
        <v>5.72</v>
      </c>
      <c r="U3" s="122">
        <v>48760</v>
      </c>
      <c r="V3" s="121">
        <v>2.9499999999999998E-2</v>
      </c>
      <c r="W3" s="121">
        <v>2.81E-2</v>
      </c>
      <c r="X3" s="118" t="s">
        <v>411</v>
      </c>
      <c r="Y3" s="118"/>
      <c r="Z3" s="120">
        <v>2018896.79</v>
      </c>
      <c r="AA3" s="120">
        <v>1</v>
      </c>
      <c r="AB3" s="120">
        <v>113.29</v>
      </c>
      <c r="AC3" s="120"/>
      <c r="AD3" s="120">
        <v>2287.2081699999999</v>
      </c>
      <c r="AE3" s="118"/>
      <c r="AF3" s="118"/>
      <c r="AG3" s="118"/>
      <c r="AH3" s="121">
        <v>1.371E-3</v>
      </c>
      <c r="AI3" s="121">
        <v>3.8844999999999998E-2</v>
      </c>
      <c r="AJ3" s="121">
        <v>8.25E-4</v>
      </c>
    </row>
    <row r="4" spans="1:36" ht="15" customHeight="1">
      <c r="A4" s="119">
        <v>307</v>
      </c>
      <c r="B4" s="119">
        <v>307</v>
      </c>
      <c r="C4" s="118" t="s">
        <v>1212</v>
      </c>
      <c r="D4" s="119">
        <v>520000118</v>
      </c>
      <c r="E4" s="118" t="s">
        <v>308</v>
      </c>
      <c r="F4" s="118" t="s">
        <v>1256</v>
      </c>
      <c r="G4" s="119" t="s">
        <v>1257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1216</v>
      </c>
      <c r="Q4" s="118" t="s">
        <v>412</v>
      </c>
      <c r="R4" s="118" t="s">
        <v>406</v>
      </c>
      <c r="S4" s="118" t="s">
        <v>1211</v>
      </c>
      <c r="T4" s="120">
        <v>3.26</v>
      </c>
      <c r="U4" s="122">
        <v>47819</v>
      </c>
      <c r="V4" s="121">
        <v>1.7500000000000002E-2</v>
      </c>
      <c r="W4" s="121">
        <v>2.4400000000000002E-2</v>
      </c>
      <c r="X4" s="118" t="s">
        <v>411</v>
      </c>
      <c r="Y4" s="118"/>
      <c r="Z4" s="120">
        <v>366566.71</v>
      </c>
      <c r="AA4" s="120">
        <v>1</v>
      </c>
      <c r="AB4" s="120">
        <v>111.51</v>
      </c>
      <c r="AC4" s="120"/>
      <c r="AD4" s="120">
        <v>408.75853999999998</v>
      </c>
      <c r="AE4" s="118"/>
      <c r="AF4" s="118"/>
      <c r="AG4" s="118"/>
      <c r="AH4" s="121">
        <v>1.3999999999999999E-4</v>
      </c>
      <c r="AI4" s="121">
        <v>6.9420000000000003E-3</v>
      </c>
      <c r="AJ4" s="121">
        <v>1.47E-4</v>
      </c>
    </row>
    <row r="5" spans="1:36" ht="15" customHeight="1">
      <c r="A5" s="119">
        <v>307</v>
      </c>
      <c r="B5" s="119">
        <v>307</v>
      </c>
      <c r="C5" s="118" t="s">
        <v>1258</v>
      </c>
      <c r="D5" s="119">
        <v>520031931</v>
      </c>
      <c r="E5" s="118" t="s">
        <v>308</v>
      </c>
      <c r="F5" s="118" t="s">
        <v>1259</v>
      </c>
      <c r="G5" s="119" t="s">
        <v>1260</v>
      </c>
      <c r="H5" s="118" t="s">
        <v>320</v>
      </c>
      <c r="I5" s="118" t="s">
        <v>952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483</v>
      </c>
      <c r="O5" s="118" t="s">
        <v>338</v>
      </c>
      <c r="P5" s="118" t="s">
        <v>1261</v>
      </c>
      <c r="Q5" s="118" t="s">
        <v>414</v>
      </c>
      <c r="R5" s="118" t="s">
        <v>406</v>
      </c>
      <c r="S5" s="118" t="s">
        <v>1211</v>
      </c>
      <c r="T5" s="120">
        <v>0.9</v>
      </c>
      <c r="U5" s="122">
        <v>45992</v>
      </c>
      <c r="V5" s="121">
        <v>3.6499999999999998E-2</v>
      </c>
      <c r="W5" s="121">
        <v>4.87E-2</v>
      </c>
      <c r="X5" s="118" t="s">
        <v>411</v>
      </c>
      <c r="Y5" s="118"/>
      <c r="Z5" s="120">
        <v>518088.91</v>
      </c>
      <c r="AA5" s="120">
        <v>1</v>
      </c>
      <c r="AB5" s="120">
        <v>99.27</v>
      </c>
      <c r="AC5" s="120"/>
      <c r="AD5" s="120">
        <v>514.30686000000003</v>
      </c>
      <c r="AE5" s="118"/>
      <c r="AF5" s="118"/>
      <c r="AG5" s="118"/>
      <c r="AH5" s="121">
        <v>4.86E-4</v>
      </c>
      <c r="AI5" s="121">
        <v>8.7340000000000004E-3</v>
      </c>
      <c r="AJ5" s="121">
        <v>1.85E-4</v>
      </c>
    </row>
    <row r="6" spans="1:36" ht="15" customHeight="1">
      <c r="A6" s="119">
        <v>307</v>
      </c>
      <c r="B6" s="119">
        <v>307</v>
      </c>
      <c r="C6" s="118" t="s">
        <v>1262</v>
      </c>
      <c r="D6" s="119">
        <v>520000472</v>
      </c>
      <c r="E6" s="118" t="s">
        <v>308</v>
      </c>
      <c r="F6" s="118" t="s">
        <v>1263</v>
      </c>
      <c r="G6" s="119" t="s">
        <v>1264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439</v>
      </c>
      <c r="O6" s="118" t="s">
        <v>338</v>
      </c>
      <c r="P6" s="118" t="s">
        <v>1265</v>
      </c>
      <c r="Q6" s="118" t="s">
        <v>311</v>
      </c>
      <c r="R6" s="118" t="s">
        <v>406</v>
      </c>
      <c r="S6" s="118" t="s">
        <v>1211</v>
      </c>
      <c r="T6" s="120">
        <v>3.63</v>
      </c>
      <c r="U6" s="122">
        <v>47220</v>
      </c>
      <c r="V6" s="121">
        <v>3.85E-2</v>
      </c>
      <c r="W6" s="121">
        <v>2.4899999999999999E-2</v>
      </c>
      <c r="X6" s="118" t="s">
        <v>411</v>
      </c>
      <c r="Y6" s="118"/>
      <c r="Z6" s="120">
        <v>861109.47</v>
      </c>
      <c r="AA6" s="120">
        <v>1</v>
      </c>
      <c r="AB6" s="120">
        <v>121.05</v>
      </c>
      <c r="AC6" s="120"/>
      <c r="AD6" s="120">
        <v>1042.37301</v>
      </c>
      <c r="AE6" s="118"/>
      <c r="AF6" s="118"/>
      <c r="AG6" s="118"/>
      <c r="AH6" s="121">
        <v>3.3700000000000001E-4</v>
      </c>
      <c r="AI6" s="121">
        <v>1.7703E-2</v>
      </c>
      <c r="AJ6" s="121">
        <v>3.7599999999999998E-4</v>
      </c>
    </row>
    <row r="7" spans="1:36" ht="15" customHeight="1">
      <c r="A7" s="119">
        <v>307</v>
      </c>
      <c r="B7" s="119">
        <v>307</v>
      </c>
      <c r="C7" s="118" t="s">
        <v>1266</v>
      </c>
      <c r="D7" s="119">
        <v>513893123</v>
      </c>
      <c r="E7" s="118" t="s">
        <v>308</v>
      </c>
      <c r="F7" s="118" t="s">
        <v>1267</v>
      </c>
      <c r="G7" s="119" t="s">
        <v>1268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442</v>
      </c>
      <c r="O7" s="118" t="s">
        <v>338</v>
      </c>
      <c r="P7" s="118" t="s">
        <v>1269</v>
      </c>
      <c r="Q7" s="118" t="s">
        <v>414</v>
      </c>
      <c r="R7" s="118" t="s">
        <v>406</v>
      </c>
      <c r="S7" s="118" t="s">
        <v>1211</v>
      </c>
      <c r="T7" s="120">
        <v>1.87</v>
      </c>
      <c r="U7" s="122">
        <v>46477</v>
      </c>
      <c r="V7" s="121">
        <v>3.5400000000000001E-2</v>
      </c>
      <c r="W7" s="121">
        <v>7.0199999999999999E-2</v>
      </c>
      <c r="X7" s="118" t="s">
        <v>411</v>
      </c>
      <c r="Y7" s="118"/>
      <c r="Z7" s="120">
        <v>-3128.11</v>
      </c>
      <c r="AA7" s="120">
        <v>1</v>
      </c>
      <c r="AB7" s="120">
        <v>100</v>
      </c>
      <c r="AC7" s="120"/>
      <c r="AD7" s="120">
        <v>-3.1281099999999999</v>
      </c>
      <c r="AE7" s="118"/>
      <c r="AF7" s="118"/>
      <c r="AG7" s="118"/>
      <c r="AH7" s="121">
        <v>-1.9999999999999999E-6</v>
      </c>
      <c r="AI7" s="121">
        <v>-5.3000000000000001E-5</v>
      </c>
      <c r="AJ7" s="121">
        <v>-9.9999999999999995E-7</v>
      </c>
    </row>
    <row r="8" spans="1:36" ht="15" customHeight="1">
      <c r="A8" s="119">
        <v>307</v>
      </c>
      <c r="B8" s="119">
        <v>307</v>
      </c>
      <c r="C8" s="118" t="s">
        <v>1270</v>
      </c>
      <c r="D8" s="119">
        <v>520032046</v>
      </c>
      <c r="E8" s="118" t="s">
        <v>308</v>
      </c>
      <c r="F8" s="118" t="s">
        <v>1271</v>
      </c>
      <c r="G8" s="119" t="s">
        <v>1272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1216</v>
      </c>
      <c r="Q8" s="118" t="s">
        <v>412</v>
      </c>
      <c r="R8" s="118" t="s">
        <v>406</v>
      </c>
      <c r="S8" s="118" t="s">
        <v>1211</v>
      </c>
      <c r="T8" s="120">
        <v>5.97</v>
      </c>
      <c r="U8" s="122">
        <v>47665</v>
      </c>
      <c r="V8" s="121">
        <v>2E-3</v>
      </c>
      <c r="W8" s="121">
        <v>2.7300000000000001E-2</v>
      </c>
      <c r="X8" s="118" t="s">
        <v>411</v>
      </c>
      <c r="Y8" s="118"/>
      <c r="Z8" s="120">
        <v>3351500</v>
      </c>
      <c r="AA8" s="120">
        <v>1</v>
      </c>
      <c r="AB8" s="120">
        <v>97.95</v>
      </c>
      <c r="AC8" s="120">
        <v>7.6176599999999999</v>
      </c>
      <c r="AD8" s="120">
        <v>3290.4119099999998</v>
      </c>
      <c r="AE8" s="118"/>
      <c r="AF8" s="118"/>
      <c r="AG8" s="118"/>
      <c r="AH8" s="121">
        <v>3.496E-3</v>
      </c>
      <c r="AI8" s="121">
        <v>5.5883000000000002E-2</v>
      </c>
      <c r="AJ8" s="121">
        <v>1.1869999999999999E-3</v>
      </c>
    </row>
    <row r="9" spans="1:36" ht="15" customHeight="1">
      <c r="A9" s="119">
        <v>307</v>
      </c>
      <c r="B9" s="119">
        <v>307</v>
      </c>
      <c r="C9" s="118" t="s">
        <v>1270</v>
      </c>
      <c r="D9" s="119">
        <v>520032046</v>
      </c>
      <c r="E9" s="118" t="s">
        <v>308</v>
      </c>
      <c r="F9" s="118" t="s">
        <v>1273</v>
      </c>
      <c r="G9" s="119" t="s">
        <v>1274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1216</v>
      </c>
      <c r="Q9" s="118" t="s">
        <v>412</v>
      </c>
      <c r="R9" s="118" t="s">
        <v>406</v>
      </c>
      <c r="S9" s="118" t="s">
        <v>1211</v>
      </c>
      <c r="T9" s="120">
        <v>3.68</v>
      </c>
      <c r="U9" s="122">
        <v>47950</v>
      </c>
      <c r="V9" s="121">
        <v>1E-3</v>
      </c>
      <c r="W9" s="121">
        <v>2.53E-2</v>
      </c>
      <c r="X9" s="118" t="s">
        <v>411</v>
      </c>
      <c r="Y9" s="118"/>
      <c r="Z9" s="120">
        <v>420012</v>
      </c>
      <c r="AA9" s="120">
        <v>1</v>
      </c>
      <c r="AB9" s="120">
        <v>100.22</v>
      </c>
      <c r="AC9" s="118"/>
      <c r="AD9" s="120">
        <v>420.93603000000002</v>
      </c>
      <c r="AE9" s="118"/>
      <c r="AF9" s="118"/>
      <c r="AG9" s="118"/>
      <c r="AH9" s="121">
        <v>1.6100000000000001E-4</v>
      </c>
      <c r="AI9" s="121">
        <v>7.149E-3</v>
      </c>
      <c r="AJ9" s="121">
        <v>1.5100000000000001E-4</v>
      </c>
    </row>
    <row r="10" spans="1:36" ht="15" customHeight="1">
      <c r="A10" s="119">
        <v>307</v>
      </c>
      <c r="B10" s="119">
        <v>307</v>
      </c>
      <c r="C10" s="118" t="s">
        <v>1270</v>
      </c>
      <c r="D10" s="119">
        <v>520032046</v>
      </c>
      <c r="E10" s="118" t="s">
        <v>308</v>
      </c>
      <c r="F10" s="118" t="s">
        <v>1275</v>
      </c>
      <c r="G10" s="119" t="s">
        <v>1276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1216</v>
      </c>
      <c r="Q10" s="118" t="s">
        <v>412</v>
      </c>
      <c r="R10" s="118" t="s">
        <v>406</v>
      </c>
      <c r="S10" s="118" t="s">
        <v>1211</v>
      </c>
      <c r="T10" s="120">
        <v>4.63</v>
      </c>
      <c r="U10" s="122">
        <v>48938</v>
      </c>
      <c r="V10" s="121">
        <v>1.9900000000000001E-2</v>
      </c>
      <c r="W10" s="121">
        <v>2.58E-2</v>
      </c>
      <c r="X10" s="118" t="s">
        <v>411</v>
      </c>
      <c r="Y10" s="118"/>
      <c r="Z10" s="120">
        <v>4800000</v>
      </c>
      <c r="AA10" s="120">
        <v>1</v>
      </c>
      <c r="AB10" s="120">
        <v>100.23</v>
      </c>
      <c r="AC10" s="118"/>
      <c r="AD10" s="120">
        <v>4811.04</v>
      </c>
      <c r="AE10" s="118"/>
      <c r="AF10" s="118"/>
      <c r="AG10" s="118"/>
      <c r="AH10" s="121">
        <v>1.7769999999999999E-3</v>
      </c>
      <c r="AI10" s="121">
        <v>8.1710000000000005E-2</v>
      </c>
      <c r="AJ10" s="121">
        <v>1.737E-3</v>
      </c>
    </row>
    <row r="11" spans="1:36" ht="15" customHeight="1">
      <c r="A11" s="119">
        <v>307</v>
      </c>
      <c r="B11" s="119">
        <v>307</v>
      </c>
      <c r="C11" s="118" t="s">
        <v>1277</v>
      </c>
      <c r="D11" s="119">
        <v>520018078</v>
      </c>
      <c r="E11" s="118" t="s">
        <v>308</v>
      </c>
      <c r="F11" s="118" t="s">
        <v>1278</v>
      </c>
      <c r="G11" s="119" t="s">
        <v>1279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1216</v>
      </c>
      <c r="Q11" s="118" t="s">
        <v>412</v>
      </c>
      <c r="R11" s="118" t="s">
        <v>406</v>
      </c>
      <c r="S11" s="118" t="s">
        <v>1211</v>
      </c>
      <c r="T11" s="120">
        <v>5.3</v>
      </c>
      <c r="U11" s="122">
        <v>48913</v>
      </c>
      <c r="V11" s="121">
        <v>2.0199999999999999E-2</v>
      </c>
      <c r="W11" s="121">
        <v>2.5899999999999999E-2</v>
      </c>
      <c r="X11" s="118" t="s">
        <v>411</v>
      </c>
      <c r="Y11" s="118"/>
      <c r="Z11" s="120">
        <v>4800000</v>
      </c>
      <c r="AA11" s="120">
        <v>1</v>
      </c>
      <c r="AB11" s="120">
        <v>99.13</v>
      </c>
      <c r="AC11" s="118"/>
      <c r="AD11" s="120">
        <v>4758.24</v>
      </c>
      <c r="AE11" s="118"/>
      <c r="AF11" s="118"/>
      <c r="AG11" s="118"/>
      <c r="AH11" s="121">
        <v>2.261E-3</v>
      </c>
      <c r="AI11" s="121">
        <v>8.0812999999999996E-2</v>
      </c>
      <c r="AJ11" s="121">
        <v>1.7179999999999999E-3</v>
      </c>
    </row>
    <row r="12" spans="1:36" ht="15" customHeight="1">
      <c r="A12" s="119">
        <v>307</v>
      </c>
      <c r="B12" s="119">
        <v>307</v>
      </c>
      <c r="C12" s="118" t="s">
        <v>1280</v>
      </c>
      <c r="D12" s="119">
        <v>520029935</v>
      </c>
      <c r="E12" s="118" t="s">
        <v>308</v>
      </c>
      <c r="F12" s="118" t="s">
        <v>1281</v>
      </c>
      <c r="G12" s="119" t="s">
        <v>1282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1216</v>
      </c>
      <c r="Q12" s="118" t="s">
        <v>412</v>
      </c>
      <c r="R12" s="118" t="s">
        <v>406</v>
      </c>
      <c r="S12" s="118" t="s">
        <v>1211</v>
      </c>
      <c r="T12" s="120">
        <v>3.96</v>
      </c>
      <c r="U12" s="122">
        <v>48441</v>
      </c>
      <c r="V12" s="121">
        <v>2E-3</v>
      </c>
      <c r="W12" s="121">
        <v>2.58E-2</v>
      </c>
      <c r="X12" s="118" t="s">
        <v>411</v>
      </c>
      <c r="Y12" s="118"/>
      <c r="Z12" s="120">
        <v>1520573.95</v>
      </c>
      <c r="AA12" s="120">
        <v>1</v>
      </c>
      <c r="AB12" s="120">
        <v>100.85</v>
      </c>
      <c r="AC12" s="118"/>
      <c r="AD12" s="120">
        <v>1533.49883</v>
      </c>
      <c r="AE12" s="118"/>
      <c r="AF12" s="118"/>
      <c r="AG12" s="118"/>
      <c r="AH12" s="121">
        <v>3.9300000000000001E-4</v>
      </c>
      <c r="AI12" s="121">
        <v>2.6044000000000001E-2</v>
      </c>
      <c r="AJ12" s="121">
        <v>5.53E-4</v>
      </c>
    </row>
    <row r="13" spans="1:36" ht="15" customHeight="1">
      <c r="A13" s="119">
        <v>307</v>
      </c>
      <c r="B13" s="119">
        <v>307</v>
      </c>
      <c r="C13" s="118" t="s">
        <v>1266</v>
      </c>
      <c r="D13" s="119">
        <v>513893123</v>
      </c>
      <c r="E13" s="118" t="s">
        <v>308</v>
      </c>
      <c r="F13" s="118" t="s">
        <v>1283</v>
      </c>
      <c r="G13" s="119" t="s">
        <v>1284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442</v>
      </c>
      <c r="O13" s="118" t="s">
        <v>338</v>
      </c>
      <c r="P13" s="118" t="s">
        <v>1269</v>
      </c>
      <c r="Q13" s="118" t="s">
        <v>414</v>
      </c>
      <c r="R13" s="118" t="s">
        <v>406</v>
      </c>
      <c r="S13" s="118" t="s">
        <v>1211</v>
      </c>
      <c r="T13" s="120">
        <v>0.65</v>
      </c>
      <c r="U13" s="122">
        <v>46054</v>
      </c>
      <c r="V13" s="121">
        <v>0.01</v>
      </c>
      <c r="W13" s="121">
        <v>3.2500000000000001E-2</v>
      </c>
      <c r="X13" s="118" t="s">
        <v>411</v>
      </c>
      <c r="Y13" s="118"/>
      <c r="Z13" s="120">
        <v>296508.96000000002</v>
      </c>
      <c r="AA13" s="120">
        <v>1</v>
      </c>
      <c r="AB13" s="120">
        <v>111.26</v>
      </c>
      <c r="AC13" s="118"/>
      <c r="AD13" s="120">
        <v>329.89587</v>
      </c>
      <c r="AE13" s="118"/>
      <c r="AF13" s="118"/>
      <c r="AG13" s="118"/>
      <c r="AH13" s="121">
        <v>6.7400000000000001E-4</v>
      </c>
      <c r="AI13" s="121">
        <v>5.6020000000000002E-3</v>
      </c>
      <c r="AJ13" s="121">
        <v>1.1900000000000001E-4</v>
      </c>
    </row>
    <row r="14" spans="1:36" ht="15" customHeight="1">
      <c r="A14" s="119">
        <v>307</v>
      </c>
      <c r="B14" s="119">
        <v>307</v>
      </c>
      <c r="C14" s="118" t="s">
        <v>1266</v>
      </c>
      <c r="D14" s="119">
        <v>513893123</v>
      </c>
      <c r="E14" s="118" t="s">
        <v>308</v>
      </c>
      <c r="F14" s="118" t="s">
        <v>1285</v>
      </c>
      <c r="G14" s="119" t="s">
        <v>1268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442</v>
      </c>
      <c r="O14" s="118" t="s">
        <v>338</v>
      </c>
      <c r="P14" s="118" t="s">
        <v>1269</v>
      </c>
      <c r="Q14" s="118" t="s">
        <v>414</v>
      </c>
      <c r="R14" s="118" t="s">
        <v>406</v>
      </c>
      <c r="S14" s="118" t="s">
        <v>1211</v>
      </c>
      <c r="T14" s="120">
        <v>1.88</v>
      </c>
      <c r="U14" s="122">
        <v>46477</v>
      </c>
      <c r="V14" s="121">
        <v>3.5400000000000001E-2</v>
      </c>
      <c r="W14" s="121">
        <v>3.4500000000000003E-2</v>
      </c>
      <c r="X14" s="118" t="s">
        <v>411</v>
      </c>
      <c r="Y14" s="118"/>
      <c r="Z14" s="120">
        <v>713657</v>
      </c>
      <c r="AA14" s="120">
        <v>1</v>
      </c>
      <c r="AB14" s="120">
        <v>106.57</v>
      </c>
      <c r="AC14" s="118"/>
      <c r="AD14" s="120">
        <v>760.54426000000001</v>
      </c>
      <c r="AE14" s="118"/>
      <c r="AF14" s="118"/>
      <c r="AG14" s="118"/>
      <c r="AH14" s="121">
        <v>6.38E-4</v>
      </c>
      <c r="AI14" s="121">
        <v>1.2916E-2</v>
      </c>
      <c r="AJ14" s="121">
        <v>2.7399999999999999E-4</v>
      </c>
    </row>
    <row r="15" spans="1:36" ht="15" customHeight="1">
      <c r="A15" s="119">
        <v>307</v>
      </c>
      <c r="B15" s="119">
        <v>307</v>
      </c>
      <c r="C15" s="118" t="s">
        <v>1277</v>
      </c>
      <c r="D15" s="119">
        <v>520018078</v>
      </c>
      <c r="E15" s="118" t="s">
        <v>308</v>
      </c>
      <c r="F15" s="118" t="s">
        <v>1286</v>
      </c>
      <c r="G15" s="119" t="s">
        <v>1287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1288</v>
      </c>
      <c r="Q15" s="118" t="s">
        <v>414</v>
      </c>
      <c r="R15" s="118" t="s">
        <v>406</v>
      </c>
      <c r="S15" s="118" t="s">
        <v>1211</v>
      </c>
      <c r="T15" s="120">
        <v>5.39</v>
      </c>
      <c r="U15" s="122">
        <v>47447</v>
      </c>
      <c r="V15" s="121">
        <v>1E-3</v>
      </c>
      <c r="W15" s="121">
        <v>2.58E-2</v>
      </c>
      <c r="X15" s="118" t="s">
        <v>411</v>
      </c>
      <c r="Y15" s="118"/>
      <c r="Z15" s="120">
        <v>907509</v>
      </c>
      <c r="AA15" s="120">
        <v>1</v>
      </c>
      <c r="AB15" s="120">
        <v>97.13</v>
      </c>
      <c r="AC15" s="118"/>
      <c r="AD15" s="120">
        <v>881.46348999999998</v>
      </c>
      <c r="AE15" s="118"/>
      <c r="AF15" s="118"/>
      <c r="AG15" s="118"/>
      <c r="AH15" s="121">
        <v>3.6400000000000001E-4</v>
      </c>
      <c r="AI15" s="121">
        <v>1.4970000000000001E-2</v>
      </c>
      <c r="AJ15" s="121">
        <v>3.1799999999999998E-4</v>
      </c>
    </row>
    <row r="16" spans="1:36" ht="15" customHeight="1">
      <c r="A16" s="119">
        <v>307</v>
      </c>
      <c r="B16" s="119">
        <v>307</v>
      </c>
      <c r="C16" s="118" t="s">
        <v>1270</v>
      </c>
      <c r="D16" s="119">
        <v>520032046</v>
      </c>
      <c r="E16" s="118" t="s">
        <v>308</v>
      </c>
      <c r="F16" s="118" t="s">
        <v>1289</v>
      </c>
      <c r="G16" s="119" t="s">
        <v>1290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1216</v>
      </c>
      <c r="Q16" s="118" t="s">
        <v>412</v>
      </c>
      <c r="R16" s="118" t="s">
        <v>406</v>
      </c>
      <c r="S16" s="118" t="s">
        <v>1211</v>
      </c>
      <c r="T16" s="120">
        <v>3.17</v>
      </c>
      <c r="U16" s="122">
        <v>46658</v>
      </c>
      <c r="V16" s="121">
        <v>1.2200000000000001E-2</v>
      </c>
      <c r="W16" s="121">
        <v>2.41E-2</v>
      </c>
      <c r="X16" s="118" t="s">
        <v>411</v>
      </c>
      <c r="Y16" s="118"/>
      <c r="Z16" s="120">
        <v>2612762</v>
      </c>
      <c r="AA16" s="120">
        <v>1</v>
      </c>
      <c r="AB16" s="120">
        <v>111.52</v>
      </c>
      <c r="AC16" s="118"/>
      <c r="AD16" s="120">
        <v>2913.75218</v>
      </c>
      <c r="AE16" s="118"/>
      <c r="AF16" s="118"/>
      <c r="AG16" s="118"/>
      <c r="AH16" s="121">
        <v>8.6600000000000002E-4</v>
      </c>
      <c r="AI16" s="121">
        <v>4.9486000000000002E-2</v>
      </c>
      <c r="AJ16" s="121">
        <v>1.052E-3</v>
      </c>
    </row>
    <row r="17" spans="1:36" ht="15" customHeight="1">
      <c r="A17" s="119">
        <v>307</v>
      </c>
      <c r="B17" s="119">
        <v>307</v>
      </c>
      <c r="C17" s="118" t="s">
        <v>1291</v>
      </c>
      <c r="D17" s="119">
        <v>510960719</v>
      </c>
      <c r="E17" s="118" t="s">
        <v>308</v>
      </c>
      <c r="F17" s="118" t="s">
        <v>1292</v>
      </c>
      <c r="G17" s="119" t="s">
        <v>1293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463</v>
      </c>
      <c r="O17" s="118" t="s">
        <v>338</v>
      </c>
      <c r="P17" s="118" t="s">
        <v>1255</v>
      </c>
      <c r="Q17" s="118" t="s">
        <v>414</v>
      </c>
      <c r="R17" s="118" t="s">
        <v>406</v>
      </c>
      <c r="S17" s="118" t="s">
        <v>1211</v>
      </c>
      <c r="T17" s="120">
        <v>2.8</v>
      </c>
      <c r="U17" s="122">
        <v>46934</v>
      </c>
      <c r="V17" s="121">
        <v>1.77E-2</v>
      </c>
      <c r="W17" s="121">
        <v>2.6700000000000002E-2</v>
      </c>
      <c r="X17" s="118" t="s">
        <v>411</v>
      </c>
      <c r="Y17" s="118"/>
      <c r="Z17" s="120">
        <v>476000</v>
      </c>
      <c r="AA17" s="120">
        <v>1</v>
      </c>
      <c r="AB17" s="120">
        <v>110.8</v>
      </c>
      <c r="AC17" s="118"/>
      <c r="AD17" s="120">
        <v>527.40800000000002</v>
      </c>
      <c r="AE17" s="118"/>
      <c r="AF17" s="118"/>
      <c r="AG17" s="118"/>
      <c r="AH17" s="121">
        <v>1.83E-4</v>
      </c>
      <c r="AI17" s="121">
        <v>8.9569999999999997E-3</v>
      </c>
      <c r="AJ17" s="121">
        <v>1.9000000000000001E-4</v>
      </c>
    </row>
    <row r="18" spans="1:36" ht="15" customHeight="1">
      <c r="A18" s="119">
        <v>307</v>
      </c>
      <c r="B18" s="119">
        <v>307</v>
      </c>
      <c r="C18" s="118" t="s">
        <v>1270</v>
      </c>
      <c r="D18" s="119">
        <v>520032046</v>
      </c>
      <c r="E18" s="118" t="s">
        <v>308</v>
      </c>
      <c r="F18" s="118" t="s">
        <v>1294</v>
      </c>
      <c r="G18" s="119" t="s">
        <v>1295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1216</v>
      </c>
      <c r="Q18" s="118" t="s">
        <v>412</v>
      </c>
      <c r="R18" s="118" t="s">
        <v>406</v>
      </c>
      <c r="S18" s="118" t="s">
        <v>1211</v>
      </c>
      <c r="T18" s="120">
        <v>3.73</v>
      </c>
      <c r="U18" s="122">
        <v>48190</v>
      </c>
      <c r="V18" s="121">
        <v>1.6400000000000001E-2</v>
      </c>
      <c r="W18" s="121">
        <v>2.53E-2</v>
      </c>
      <c r="X18" s="118" t="s">
        <v>411</v>
      </c>
      <c r="Y18" s="118"/>
      <c r="Z18" s="120">
        <v>981345.6</v>
      </c>
      <c r="AA18" s="120">
        <v>1</v>
      </c>
      <c r="AB18" s="120">
        <v>102.97</v>
      </c>
      <c r="AC18" s="118"/>
      <c r="AD18" s="120">
        <v>1010.49156</v>
      </c>
      <c r="AE18" s="118"/>
      <c r="AF18" s="118"/>
      <c r="AG18" s="118"/>
      <c r="AH18" s="121">
        <v>9.1200000000000005E-4</v>
      </c>
      <c r="AI18" s="121">
        <v>1.7162E-2</v>
      </c>
      <c r="AJ18" s="121">
        <v>3.6400000000000001E-4</v>
      </c>
    </row>
    <row r="19" spans="1:36" ht="15" customHeight="1">
      <c r="A19" s="119">
        <v>307</v>
      </c>
      <c r="B19" s="119">
        <v>307</v>
      </c>
      <c r="C19" s="118" t="s">
        <v>1212</v>
      </c>
      <c r="D19" s="119">
        <v>520000118</v>
      </c>
      <c r="E19" s="118" t="s">
        <v>308</v>
      </c>
      <c r="F19" s="118" t="s">
        <v>1296</v>
      </c>
      <c r="G19" s="119" t="s">
        <v>1297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1298</v>
      </c>
      <c r="Q19" s="118" t="s">
        <v>412</v>
      </c>
      <c r="R19" s="118" t="s">
        <v>406</v>
      </c>
      <c r="S19" s="118" t="s">
        <v>1211</v>
      </c>
      <c r="T19" s="120">
        <v>4.12</v>
      </c>
      <c r="U19" s="122">
        <v>47086</v>
      </c>
      <c r="V19" s="121">
        <v>3.09E-2</v>
      </c>
      <c r="W19" s="121">
        <v>3.27E-2</v>
      </c>
      <c r="X19" s="118" t="s">
        <v>410</v>
      </c>
      <c r="Y19" s="118"/>
      <c r="Z19" s="120">
        <v>350000</v>
      </c>
      <c r="AA19" s="120">
        <v>1</v>
      </c>
      <c r="AB19" s="120">
        <v>106.53</v>
      </c>
      <c r="AC19" s="118"/>
      <c r="AD19" s="120">
        <v>372.85500000000002</v>
      </c>
      <c r="AE19" s="118"/>
      <c r="AF19" s="118"/>
      <c r="AG19" s="118"/>
      <c r="AH19" s="121">
        <v>3.68E-4</v>
      </c>
      <c r="AI19" s="121">
        <v>6.332E-3</v>
      </c>
      <c r="AJ19" s="121">
        <v>1.34E-4</v>
      </c>
    </row>
    <row r="20" spans="1:36" ht="15" customHeight="1">
      <c r="A20" s="119">
        <v>307</v>
      </c>
      <c r="B20" s="119">
        <v>307</v>
      </c>
      <c r="C20" s="118" t="s">
        <v>1299</v>
      </c>
      <c r="D20" s="119">
        <v>520010869</v>
      </c>
      <c r="E20" s="118" t="s">
        <v>308</v>
      </c>
      <c r="F20" s="118" t="s">
        <v>1300</v>
      </c>
      <c r="G20" s="119" t="s">
        <v>1301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476</v>
      </c>
      <c r="O20" s="118" t="s">
        <v>338</v>
      </c>
      <c r="P20" s="118" t="s">
        <v>1265</v>
      </c>
      <c r="Q20" s="118" t="s">
        <v>311</v>
      </c>
      <c r="R20" s="118" t="s">
        <v>406</v>
      </c>
      <c r="S20" s="118" t="s">
        <v>1211</v>
      </c>
      <c r="T20" s="120">
        <v>11.71</v>
      </c>
      <c r="U20" s="122">
        <v>56249</v>
      </c>
      <c r="V20" s="121">
        <v>2.07E-2</v>
      </c>
      <c r="W20" s="121">
        <v>3.2599999999999997E-2</v>
      </c>
      <c r="X20" s="118" t="s">
        <v>411</v>
      </c>
      <c r="Y20" s="118"/>
      <c r="Z20" s="120">
        <v>6417225.9000000004</v>
      </c>
      <c r="AA20" s="120">
        <v>1</v>
      </c>
      <c r="AB20" s="120">
        <v>97.32</v>
      </c>
      <c r="AC20" s="118"/>
      <c r="AD20" s="120">
        <v>6245.2442499999997</v>
      </c>
      <c r="AE20" s="118"/>
      <c r="AF20" s="118"/>
      <c r="AG20" s="118"/>
      <c r="AH20" s="121">
        <v>1.4090000000000001E-3</v>
      </c>
      <c r="AI20" s="121">
        <v>0.106068</v>
      </c>
      <c r="AJ20" s="121">
        <v>2.2550000000000001E-3</v>
      </c>
    </row>
    <row r="21" spans="1:36" ht="15" customHeight="1">
      <c r="A21" s="119">
        <v>307</v>
      </c>
      <c r="B21" s="119">
        <v>307</v>
      </c>
      <c r="C21" s="118" t="s">
        <v>1262</v>
      </c>
      <c r="D21" s="119">
        <v>520000472</v>
      </c>
      <c r="E21" s="118" t="s">
        <v>308</v>
      </c>
      <c r="F21" s="118" t="s">
        <v>1302</v>
      </c>
      <c r="G21" s="119" t="s">
        <v>1303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439</v>
      </c>
      <c r="O21" s="118" t="s">
        <v>338</v>
      </c>
      <c r="P21" s="118" t="s">
        <v>1265</v>
      </c>
      <c r="Q21" s="118" t="s">
        <v>311</v>
      </c>
      <c r="R21" s="118" t="s">
        <v>406</v>
      </c>
      <c r="S21" s="118" t="s">
        <v>1211</v>
      </c>
      <c r="T21" s="120">
        <v>5.98</v>
      </c>
      <c r="U21" s="122">
        <v>48112</v>
      </c>
      <c r="V21" s="121">
        <v>2.3900000000000001E-2</v>
      </c>
      <c r="W21" s="121">
        <v>3.0200000000000001E-2</v>
      </c>
      <c r="X21" s="118" t="s">
        <v>411</v>
      </c>
      <c r="Y21" s="118"/>
      <c r="Z21" s="120">
        <v>3004577</v>
      </c>
      <c r="AA21" s="120">
        <v>1</v>
      </c>
      <c r="AB21" s="120">
        <v>109.95</v>
      </c>
      <c r="AC21" s="118"/>
      <c r="AD21" s="120">
        <v>3303.5324099999998</v>
      </c>
      <c r="AE21" s="118"/>
      <c r="AF21" s="118"/>
      <c r="AG21" s="118"/>
      <c r="AH21" s="121">
        <v>7.7200000000000001E-4</v>
      </c>
      <c r="AI21" s="121">
        <v>5.6106000000000003E-2</v>
      </c>
      <c r="AJ21" s="121">
        <v>1.1919999999999999E-3</v>
      </c>
    </row>
    <row r="22" spans="1:36" ht="15" customHeight="1">
      <c r="A22" s="119">
        <v>307</v>
      </c>
      <c r="B22" s="119">
        <v>307</v>
      </c>
      <c r="C22" s="118" t="s">
        <v>1277</v>
      </c>
      <c r="D22" s="119">
        <v>520018078</v>
      </c>
      <c r="E22" s="118" t="s">
        <v>308</v>
      </c>
      <c r="F22" s="118" t="s">
        <v>1304</v>
      </c>
      <c r="G22" s="119" t="s">
        <v>1305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1288</v>
      </c>
      <c r="Q22" s="118" t="s">
        <v>414</v>
      </c>
      <c r="R22" s="118" t="s">
        <v>406</v>
      </c>
      <c r="S22" s="118" t="s">
        <v>1211</v>
      </c>
      <c r="T22" s="120">
        <v>3.4</v>
      </c>
      <c r="U22" s="122">
        <v>46716</v>
      </c>
      <c r="V22" s="121">
        <v>1E-3</v>
      </c>
      <c r="W22" s="121">
        <v>2.3599999999999999E-2</v>
      </c>
      <c r="X22" s="118" t="s">
        <v>411</v>
      </c>
      <c r="Y22" s="118"/>
      <c r="Z22" s="120">
        <v>428000</v>
      </c>
      <c r="AA22" s="120">
        <v>1</v>
      </c>
      <c r="AB22" s="120">
        <v>102.72</v>
      </c>
      <c r="AC22" s="118"/>
      <c r="AD22" s="120">
        <v>439.64159999999998</v>
      </c>
      <c r="AE22" s="118"/>
      <c r="AF22" s="118"/>
      <c r="AG22" s="118"/>
      <c r="AH22" s="121">
        <v>1.36E-4</v>
      </c>
      <c r="AI22" s="121">
        <v>7.4660000000000004E-3</v>
      </c>
      <c r="AJ22" s="121">
        <v>1.5799999999999999E-4</v>
      </c>
    </row>
    <row r="23" spans="1:36" ht="15" customHeight="1">
      <c r="A23" s="119">
        <v>307</v>
      </c>
      <c r="B23" s="119">
        <v>307</v>
      </c>
      <c r="C23" s="118" t="s">
        <v>1270</v>
      </c>
      <c r="D23" s="119">
        <v>520032046</v>
      </c>
      <c r="E23" s="118" t="s">
        <v>308</v>
      </c>
      <c r="F23" s="118" t="s">
        <v>1306</v>
      </c>
      <c r="G23" s="119" t="s">
        <v>1307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1216</v>
      </c>
      <c r="Q23" s="118" t="s">
        <v>412</v>
      </c>
      <c r="R23" s="118" t="s">
        <v>406</v>
      </c>
      <c r="S23" s="118" t="s">
        <v>1211</v>
      </c>
      <c r="T23" s="120">
        <v>0.25</v>
      </c>
      <c r="U23" s="122">
        <v>45563</v>
      </c>
      <c r="V23" s="121">
        <v>8.6E-3</v>
      </c>
      <c r="W23" s="121">
        <v>2.5399999999999999E-2</v>
      </c>
      <c r="X23" s="118" t="s">
        <v>411</v>
      </c>
      <c r="Y23" s="118"/>
      <c r="Z23" s="120">
        <v>2200000</v>
      </c>
      <c r="AA23" s="120">
        <v>1</v>
      </c>
      <c r="AB23" s="120">
        <v>114.94</v>
      </c>
      <c r="AC23" s="118"/>
      <c r="AD23" s="120">
        <v>2528.6799999999998</v>
      </c>
      <c r="AE23" s="118"/>
      <c r="AF23" s="118"/>
      <c r="AG23" s="118"/>
      <c r="AH23" s="121">
        <v>8.7900000000000001E-4</v>
      </c>
      <c r="AI23" s="121">
        <v>4.2945999999999998E-2</v>
      </c>
      <c r="AJ23" s="121">
        <v>9.1299999999999997E-4</v>
      </c>
    </row>
    <row r="24" spans="1:36" ht="15" customHeight="1">
      <c r="A24" s="119">
        <v>307</v>
      </c>
      <c r="B24" s="119">
        <v>307</v>
      </c>
      <c r="C24" s="118" t="s">
        <v>1212</v>
      </c>
      <c r="D24" s="119">
        <v>520000118</v>
      </c>
      <c r="E24" s="118" t="s">
        <v>308</v>
      </c>
      <c r="F24" s="118" t="s">
        <v>1308</v>
      </c>
      <c r="G24" s="119" t="s">
        <v>1309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447</v>
      </c>
      <c r="O24" s="118" t="s">
        <v>338</v>
      </c>
      <c r="P24" s="118" t="s">
        <v>1216</v>
      </c>
      <c r="Q24" s="118" t="s">
        <v>412</v>
      </c>
      <c r="R24" s="118" t="s">
        <v>406</v>
      </c>
      <c r="S24" s="118" t="s">
        <v>1211</v>
      </c>
      <c r="T24" s="120">
        <v>3.81</v>
      </c>
      <c r="U24" s="122">
        <v>48191</v>
      </c>
      <c r="V24" s="121">
        <v>1E-3</v>
      </c>
      <c r="W24" s="121">
        <v>2.5399999999999999E-2</v>
      </c>
      <c r="X24" s="118" t="s">
        <v>411</v>
      </c>
      <c r="Y24" s="118"/>
      <c r="Z24" s="120">
        <v>1861808</v>
      </c>
      <c r="AA24" s="120">
        <v>1</v>
      </c>
      <c r="AB24" s="120">
        <v>100.97</v>
      </c>
      <c r="AC24" s="118"/>
      <c r="AD24" s="120">
        <v>1879.86754</v>
      </c>
      <c r="AE24" s="118"/>
      <c r="AF24" s="118"/>
      <c r="AG24" s="118"/>
      <c r="AH24" s="121">
        <v>1.655E-3</v>
      </c>
      <c r="AI24" s="121">
        <v>3.1926999999999997E-2</v>
      </c>
      <c r="AJ24" s="121">
        <v>6.78E-4</v>
      </c>
    </row>
    <row r="25" spans="1:36" ht="15" customHeight="1">
      <c r="A25" s="119">
        <v>307</v>
      </c>
      <c r="B25" s="119">
        <v>307</v>
      </c>
      <c r="C25" s="118" t="s">
        <v>1212</v>
      </c>
      <c r="D25" s="119">
        <v>520000118</v>
      </c>
      <c r="E25" s="118" t="s">
        <v>308</v>
      </c>
      <c r="F25" s="118" t="s">
        <v>1310</v>
      </c>
      <c r="G25" s="119" t="s">
        <v>1311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447</v>
      </c>
      <c r="O25" s="118" t="s">
        <v>338</v>
      </c>
      <c r="P25" s="118" t="s">
        <v>1216</v>
      </c>
      <c r="Q25" s="118" t="s">
        <v>412</v>
      </c>
      <c r="R25" s="118" t="s">
        <v>406</v>
      </c>
      <c r="S25" s="118" t="s">
        <v>1211</v>
      </c>
      <c r="T25" s="120">
        <v>4.16</v>
      </c>
      <c r="U25" s="122">
        <v>48547</v>
      </c>
      <c r="V25" s="121">
        <v>1.3899999999999999E-2</v>
      </c>
      <c r="W25" s="121">
        <v>2.5100000000000001E-2</v>
      </c>
      <c r="X25" s="118" t="s">
        <v>411</v>
      </c>
      <c r="Y25" s="118"/>
      <c r="Z25" s="120">
        <v>267300</v>
      </c>
      <c r="AA25" s="120">
        <v>1</v>
      </c>
      <c r="AB25" s="120">
        <v>101.46</v>
      </c>
      <c r="AC25" s="118"/>
      <c r="AD25" s="120">
        <v>271.20258000000001</v>
      </c>
      <c r="AE25" s="118"/>
      <c r="AF25" s="118"/>
      <c r="AG25" s="118"/>
      <c r="AH25" s="121">
        <v>1.4799999999999999E-4</v>
      </c>
      <c r="AI25" s="121">
        <v>4.6059999999999999E-3</v>
      </c>
      <c r="AJ25" s="121">
        <v>9.7E-5</v>
      </c>
    </row>
    <row r="26" spans="1:36" ht="15" customHeight="1">
      <c r="A26" s="119">
        <v>307</v>
      </c>
      <c r="B26" s="119">
        <v>307</v>
      </c>
      <c r="C26" s="118" t="s">
        <v>1262</v>
      </c>
      <c r="D26" s="119">
        <v>520000472</v>
      </c>
      <c r="E26" s="118" t="s">
        <v>308</v>
      </c>
      <c r="F26" s="118" t="s">
        <v>1312</v>
      </c>
      <c r="G26" s="119" t="s">
        <v>1313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439</v>
      </c>
      <c r="O26" s="118" t="s">
        <v>338</v>
      </c>
      <c r="P26" s="118" t="s">
        <v>1265</v>
      </c>
      <c r="Q26" s="118" t="s">
        <v>311</v>
      </c>
      <c r="R26" s="118" t="s">
        <v>406</v>
      </c>
      <c r="S26" s="118" t="s">
        <v>1211</v>
      </c>
      <c r="T26" s="120">
        <v>11.01</v>
      </c>
      <c r="U26" s="122">
        <v>49825</v>
      </c>
      <c r="V26" s="121">
        <v>1.2500000000000001E-2</v>
      </c>
      <c r="W26" s="121">
        <v>3.5299999999999998E-2</v>
      </c>
      <c r="X26" s="118" t="s">
        <v>411</v>
      </c>
      <c r="Y26" s="118"/>
      <c r="Z26" s="120">
        <v>745200</v>
      </c>
      <c r="AA26" s="120">
        <v>1</v>
      </c>
      <c r="AB26" s="120">
        <v>87.53</v>
      </c>
      <c r="AC26" s="118"/>
      <c r="AD26" s="120">
        <v>652.27355999999997</v>
      </c>
      <c r="AE26" s="118"/>
      <c r="AF26" s="118"/>
      <c r="AG26" s="118"/>
      <c r="AH26" s="121">
        <v>1.73E-4</v>
      </c>
      <c r="AI26" s="121">
        <v>1.1077999999999999E-2</v>
      </c>
      <c r="AJ26" s="121">
        <v>2.3499999999999999E-4</v>
      </c>
    </row>
    <row r="27" spans="1:36" ht="15" customHeight="1">
      <c r="A27" s="119">
        <v>307</v>
      </c>
      <c r="B27" s="119">
        <v>307</v>
      </c>
      <c r="C27" s="118" t="s">
        <v>1270</v>
      </c>
      <c r="D27" s="119">
        <v>520032046</v>
      </c>
      <c r="E27" s="118" t="s">
        <v>308</v>
      </c>
      <c r="F27" s="118" t="s">
        <v>1314</v>
      </c>
      <c r="G27" s="119" t="s">
        <v>1315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447</v>
      </c>
      <c r="O27" s="118" t="s">
        <v>338</v>
      </c>
      <c r="P27" s="118" t="s">
        <v>1216</v>
      </c>
      <c r="Q27" s="118" t="s">
        <v>412</v>
      </c>
      <c r="R27" s="118" t="s">
        <v>406</v>
      </c>
      <c r="S27" s="118" t="s">
        <v>1211</v>
      </c>
      <c r="T27" s="120">
        <v>4.3</v>
      </c>
      <c r="U27" s="122">
        <v>47048</v>
      </c>
      <c r="V27" s="121">
        <v>1E-3</v>
      </c>
      <c r="W27" s="121">
        <v>2.5499999999999998E-2</v>
      </c>
      <c r="X27" s="118" t="s">
        <v>411</v>
      </c>
      <c r="Y27" s="118"/>
      <c r="Z27" s="120">
        <v>16731519</v>
      </c>
      <c r="AA27" s="120">
        <v>1</v>
      </c>
      <c r="AB27" s="120">
        <v>99.99</v>
      </c>
      <c r="AC27" s="118"/>
      <c r="AD27" s="120">
        <v>16729.845850000002</v>
      </c>
      <c r="AE27" s="118"/>
      <c r="AF27" s="118"/>
      <c r="AG27" s="118"/>
      <c r="AH27" s="121">
        <v>4.9540000000000001E-3</v>
      </c>
      <c r="AI27" s="121">
        <v>0.28413699999999997</v>
      </c>
      <c r="AJ27" s="121">
        <v>6.0400000000000002E-3</v>
      </c>
    </row>
    <row r="28" spans="1:36" ht="15" customHeight="1">
      <c r="A28" s="119">
        <v>307</v>
      </c>
      <c r="B28" s="119">
        <v>307</v>
      </c>
      <c r="C28" s="118" t="s">
        <v>1299</v>
      </c>
      <c r="D28" s="119">
        <v>520010869</v>
      </c>
      <c r="E28" s="118" t="s">
        <v>308</v>
      </c>
      <c r="F28" s="118" t="s">
        <v>1316</v>
      </c>
      <c r="G28" s="119" t="s">
        <v>1317</v>
      </c>
      <c r="H28" s="118" t="s">
        <v>320</v>
      </c>
      <c r="I28" s="118" t="s">
        <v>753</v>
      </c>
      <c r="J28" s="118" t="s">
        <v>203</v>
      </c>
      <c r="K28" s="118" t="s">
        <v>203</v>
      </c>
      <c r="L28" s="118" t="s">
        <v>324</v>
      </c>
      <c r="M28" s="118" t="s">
        <v>339</v>
      </c>
      <c r="N28" s="118" t="s">
        <v>476</v>
      </c>
      <c r="O28" s="118" t="s">
        <v>338</v>
      </c>
      <c r="P28" s="118" t="s">
        <v>1265</v>
      </c>
      <c r="Q28" s="118" t="s">
        <v>311</v>
      </c>
      <c r="R28" s="118" t="s">
        <v>406</v>
      </c>
      <c r="S28" s="118" t="s">
        <v>1211</v>
      </c>
      <c r="T28" s="120">
        <v>1.97</v>
      </c>
      <c r="U28" s="122">
        <v>46752</v>
      </c>
      <c r="V28" s="121">
        <v>1E-3</v>
      </c>
      <c r="W28" s="121">
        <v>2.1299999999999999E-2</v>
      </c>
      <c r="X28" s="118" t="s">
        <v>411</v>
      </c>
      <c r="Y28" s="118"/>
      <c r="Z28" s="120">
        <v>333600</v>
      </c>
      <c r="AA28" s="120">
        <v>1</v>
      </c>
      <c r="AB28" s="120">
        <v>107.52</v>
      </c>
      <c r="AC28" s="118"/>
      <c r="AD28" s="120">
        <v>358.68671999999998</v>
      </c>
      <c r="AE28" s="118"/>
      <c r="AF28" s="118"/>
      <c r="AG28" s="118"/>
      <c r="AH28" s="121">
        <v>3.8900000000000002E-4</v>
      </c>
      <c r="AI28" s="121">
        <v>6.0910000000000001E-3</v>
      </c>
      <c r="AJ28" s="121">
        <v>1.2899999999999999E-4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8.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1"/>
  <sheetViews>
    <sheetView rightToLeft="1" topLeftCell="I1" workbookViewId="0">
      <selection activeCell="N26" sqref="N2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1318</v>
      </c>
      <c r="D2" s="119">
        <v>511303661</v>
      </c>
      <c r="E2" s="118" t="s">
        <v>308</v>
      </c>
      <c r="F2" s="118" t="s">
        <v>1319</v>
      </c>
      <c r="G2" s="119" t="s">
        <v>1320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631</v>
      </c>
      <c r="N2" s="118" t="s">
        <v>338</v>
      </c>
      <c r="O2" s="118" t="s">
        <v>1211</v>
      </c>
      <c r="P2" s="120">
        <v>473500</v>
      </c>
      <c r="Q2" s="120">
        <v>1</v>
      </c>
      <c r="R2" s="120">
        <v>307.74</v>
      </c>
      <c r="S2" s="120"/>
      <c r="T2" s="120">
        <v>1457.1488999999999</v>
      </c>
      <c r="U2" s="121">
        <v>1.8940000000000001E-3</v>
      </c>
      <c r="V2" s="121">
        <v>4.1949999999999999E-3</v>
      </c>
      <c r="W2" s="121">
        <v>5.2599999999999999E-4</v>
      </c>
    </row>
    <row r="3" spans="1:26" ht="15" customHeight="1">
      <c r="A3" s="119">
        <v>307</v>
      </c>
      <c r="B3" s="119">
        <v>307</v>
      </c>
      <c r="C3" s="118" t="s">
        <v>1321</v>
      </c>
      <c r="D3" s="119">
        <v>513534974</v>
      </c>
      <c r="E3" s="118" t="s">
        <v>308</v>
      </c>
      <c r="F3" s="118" t="s">
        <v>1322</v>
      </c>
      <c r="G3" s="119" t="s">
        <v>1323</v>
      </c>
      <c r="H3" s="118" t="s">
        <v>320</v>
      </c>
      <c r="I3" s="118" t="s">
        <v>965</v>
      </c>
      <c r="J3" s="118" t="s">
        <v>203</v>
      </c>
      <c r="K3" s="118" t="s">
        <v>203</v>
      </c>
      <c r="L3" s="118" t="s">
        <v>339</v>
      </c>
      <c r="M3" s="130" t="s">
        <v>573</v>
      </c>
      <c r="N3" s="118" t="s">
        <v>338</v>
      </c>
      <c r="O3" s="118" t="s">
        <v>1211</v>
      </c>
      <c r="P3" s="120">
        <v>276104</v>
      </c>
      <c r="Q3" s="120">
        <v>1</v>
      </c>
      <c r="R3" s="120">
        <v>1960</v>
      </c>
      <c r="S3" s="118"/>
      <c r="T3" s="120">
        <v>5411.6383999999998</v>
      </c>
      <c r="U3" s="121">
        <v>1.0759999999999999E-3</v>
      </c>
      <c r="V3" s="121">
        <v>1.5582E-2</v>
      </c>
      <c r="W3" s="121">
        <v>1.954E-3</v>
      </c>
    </row>
    <row r="4" spans="1:26" ht="15" customHeight="1">
      <c r="A4" s="119">
        <v>307</v>
      </c>
      <c r="B4" s="119">
        <v>307</v>
      </c>
      <c r="C4" s="118" t="s">
        <v>1324</v>
      </c>
      <c r="D4" s="119">
        <v>511776783</v>
      </c>
      <c r="E4" s="118" t="s">
        <v>308</v>
      </c>
      <c r="F4" s="118" t="s">
        <v>1325</v>
      </c>
      <c r="G4" s="119" t="s">
        <v>1326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1211</v>
      </c>
      <c r="P4" s="120">
        <v>1089740</v>
      </c>
      <c r="Q4" s="120">
        <v>1</v>
      </c>
      <c r="R4" s="120">
        <v>364.58</v>
      </c>
      <c r="S4" s="118"/>
      <c r="T4" s="120">
        <v>3972.9740900000002</v>
      </c>
      <c r="U4" s="121">
        <v>4.4689999999999999E-3</v>
      </c>
      <c r="V4" s="121">
        <v>1.1440000000000001E-2</v>
      </c>
      <c r="W4" s="121">
        <v>1.4339999999999999E-3</v>
      </c>
    </row>
    <row r="5" spans="1:26" ht="15" customHeight="1">
      <c r="A5" s="119">
        <v>307</v>
      </c>
      <c r="B5" s="119">
        <v>307</v>
      </c>
      <c r="C5" s="118" t="s">
        <v>1318</v>
      </c>
      <c r="D5" s="119">
        <v>511303661</v>
      </c>
      <c r="E5" s="118" t="s">
        <v>308</v>
      </c>
      <c r="F5" s="118" t="s">
        <v>1327</v>
      </c>
      <c r="G5" s="119" t="s">
        <v>1328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575</v>
      </c>
      <c r="N5" s="118" t="s">
        <v>338</v>
      </c>
      <c r="O5" s="118" t="s">
        <v>1211</v>
      </c>
      <c r="P5" s="120">
        <v>1463405</v>
      </c>
      <c r="Q5" s="120">
        <v>1</v>
      </c>
      <c r="R5" s="120">
        <v>454.12</v>
      </c>
      <c r="S5" s="118"/>
      <c r="T5" s="120">
        <v>6645.6147899999996</v>
      </c>
      <c r="U5" s="121">
        <v>1.0102999999999999E-2</v>
      </c>
      <c r="V5" s="121">
        <v>1.9136E-2</v>
      </c>
      <c r="W5" s="121">
        <v>2.3990000000000001E-3</v>
      </c>
    </row>
    <row r="6" spans="1:26" ht="15" customHeight="1">
      <c r="A6" s="119">
        <v>307</v>
      </c>
      <c r="B6" s="119">
        <v>307</v>
      </c>
      <c r="C6" s="118" t="s">
        <v>1324</v>
      </c>
      <c r="D6" s="119">
        <v>511776783</v>
      </c>
      <c r="E6" s="118" t="s">
        <v>308</v>
      </c>
      <c r="F6" s="118" t="s">
        <v>1329</v>
      </c>
      <c r="G6" s="119" t="s">
        <v>1330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574</v>
      </c>
      <c r="N6" s="118" t="s">
        <v>338</v>
      </c>
      <c r="O6" s="118" t="s">
        <v>1211</v>
      </c>
      <c r="P6" s="120">
        <v>873020</v>
      </c>
      <c r="Q6" s="120">
        <v>1</v>
      </c>
      <c r="R6" s="120">
        <v>347.85</v>
      </c>
      <c r="S6" s="118"/>
      <c r="T6" s="120">
        <v>3036.8000699999998</v>
      </c>
      <c r="U6" s="121">
        <v>6.025E-3</v>
      </c>
      <c r="V6" s="121">
        <v>8.744E-3</v>
      </c>
      <c r="W6" s="121">
        <v>1.096E-3</v>
      </c>
    </row>
    <row r="7" spans="1:26" ht="15" customHeight="1">
      <c r="A7" s="119">
        <v>307</v>
      </c>
      <c r="B7" s="119">
        <v>307</v>
      </c>
      <c r="C7" s="118" t="s">
        <v>1331</v>
      </c>
      <c r="D7" s="119">
        <v>510938608</v>
      </c>
      <c r="E7" s="118" t="s">
        <v>308</v>
      </c>
      <c r="F7" s="118" t="s">
        <v>1332</v>
      </c>
      <c r="G7" s="119" t="s">
        <v>1333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1211</v>
      </c>
      <c r="P7" s="120">
        <v>28567</v>
      </c>
      <c r="Q7" s="120">
        <v>1</v>
      </c>
      <c r="R7" s="120">
        <v>3455.48</v>
      </c>
      <c r="S7" s="118"/>
      <c r="T7" s="120">
        <v>987.12697000000003</v>
      </c>
      <c r="U7" s="121">
        <v>1.2979999999999999E-3</v>
      </c>
      <c r="V7" s="121">
        <v>2.8419999999999999E-3</v>
      </c>
      <c r="W7" s="121">
        <v>3.5599999999999998E-4</v>
      </c>
    </row>
    <row r="8" spans="1:26" ht="15" customHeight="1">
      <c r="A8" s="119">
        <v>307</v>
      </c>
      <c r="B8" s="119">
        <v>307</v>
      </c>
      <c r="C8" s="118" t="s">
        <v>1331</v>
      </c>
      <c r="D8" s="119">
        <v>510938608</v>
      </c>
      <c r="E8" s="118" t="s">
        <v>308</v>
      </c>
      <c r="F8" s="118" t="s">
        <v>1334</v>
      </c>
      <c r="G8" s="119" t="s">
        <v>1335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631</v>
      </c>
      <c r="N8" s="118" t="s">
        <v>338</v>
      </c>
      <c r="O8" s="118" t="s">
        <v>1211</v>
      </c>
      <c r="P8" s="120">
        <v>76759.23</v>
      </c>
      <c r="Q8" s="120">
        <v>1</v>
      </c>
      <c r="R8" s="120">
        <v>3843.36</v>
      </c>
      <c r="S8" s="118"/>
      <c r="T8" s="120">
        <v>2950.1335399999998</v>
      </c>
      <c r="U8" s="121">
        <v>1.967E-3</v>
      </c>
      <c r="V8" s="121">
        <v>8.4939999999999998E-3</v>
      </c>
      <c r="W8" s="121">
        <v>1.065E-3</v>
      </c>
    </row>
    <row r="9" spans="1:26" ht="15" customHeight="1">
      <c r="A9" s="119">
        <v>307</v>
      </c>
      <c r="B9" s="119">
        <v>307</v>
      </c>
      <c r="C9" s="118" t="s">
        <v>1321</v>
      </c>
      <c r="D9" s="119">
        <v>513534974</v>
      </c>
      <c r="E9" s="118" t="s">
        <v>308</v>
      </c>
      <c r="F9" s="118" t="s">
        <v>1336</v>
      </c>
      <c r="G9" s="119" t="s">
        <v>1337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1211</v>
      </c>
      <c r="P9" s="120">
        <v>175995</v>
      </c>
      <c r="Q9" s="120">
        <v>1</v>
      </c>
      <c r="R9" s="120">
        <v>347.61</v>
      </c>
      <c r="S9" s="118"/>
      <c r="T9" s="120">
        <v>611.77621999999997</v>
      </c>
      <c r="U9" s="121">
        <v>3.0600000000000001E-4</v>
      </c>
      <c r="V9" s="121">
        <v>1.761E-3</v>
      </c>
      <c r="W9" s="121">
        <v>2.2000000000000001E-4</v>
      </c>
    </row>
    <row r="10" spans="1:26" ht="15" customHeight="1">
      <c r="A10" s="119">
        <v>307</v>
      </c>
      <c r="B10" s="119">
        <v>307</v>
      </c>
      <c r="C10" s="118" t="s">
        <v>1318</v>
      </c>
      <c r="D10" s="119">
        <v>511303661</v>
      </c>
      <c r="E10" s="118" t="s">
        <v>308</v>
      </c>
      <c r="F10" s="118" t="s">
        <v>1338</v>
      </c>
      <c r="G10" s="119" t="s">
        <v>1339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1211</v>
      </c>
      <c r="P10" s="120">
        <v>414202</v>
      </c>
      <c r="Q10" s="120">
        <v>1</v>
      </c>
      <c r="R10" s="120">
        <v>2671</v>
      </c>
      <c r="S10" s="118"/>
      <c r="T10" s="120">
        <v>11063.335419999999</v>
      </c>
      <c r="U10" s="121">
        <v>5.9170000000000004E-3</v>
      </c>
      <c r="V10" s="121">
        <v>3.1857000000000003E-2</v>
      </c>
      <c r="W10" s="121">
        <v>3.9940000000000002E-3</v>
      </c>
    </row>
    <row r="11" spans="1:26" ht="15" customHeight="1">
      <c r="A11" s="119">
        <v>307</v>
      </c>
      <c r="B11" s="119">
        <v>307</v>
      </c>
      <c r="C11" s="118" t="s">
        <v>1340</v>
      </c>
      <c r="D11" s="119">
        <v>513765339</v>
      </c>
      <c r="E11" s="118" t="s">
        <v>308</v>
      </c>
      <c r="F11" s="118" t="s">
        <v>1341</v>
      </c>
      <c r="G11" s="119" t="s">
        <v>1342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574</v>
      </c>
      <c r="N11" s="118" t="s">
        <v>338</v>
      </c>
      <c r="O11" s="118" t="s">
        <v>1211</v>
      </c>
      <c r="P11" s="120">
        <v>466290</v>
      </c>
      <c r="Q11" s="120">
        <v>1</v>
      </c>
      <c r="R11" s="120">
        <v>348.38</v>
      </c>
      <c r="S11" s="118"/>
      <c r="T11" s="120">
        <v>1624.4611</v>
      </c>
      <c r="U11" s="121">
        <v>4.8799999999999999E-4</v>
      </c>
      <c r="V11" s="121">
        <v>4.6769999999999997E-3</v>
      </c>
      <c r="W11" s="121">
        <v>5.8600000000000004E-4</v>
      </c>
    </row>
    <row r="12" spans="1:26" ht="15" customHeight="1">
      <c r="A12" s="119">
        <v>307</v>
      </c>
      <c r="B12" s="119">
        <v>307</v>
      </c>
      <c r="C12" s="118" t="s">
        <v>1324</v>
      </c>
      <c r="D12" s="119">
        <v>511776783</v>
      </c>
      <c r="E12" s="118" t="s">
        <v>308</v>
      </c>
      <c r="F12" s="118" t="s">
        <v>1343</v>
      </c>
      <c r="G12" s="119" t="s">
        <v>1344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1211</v>
      </c>
      <c r="P12" s="120">
        <v>472030</v>
      </c>
      <c r="Q12" s="120">
        <v>1</v>
      </c>
      <c r="R12" s="120">
        <v>1961</v>
      </c>
      <c r="S12" s="118"/>
      <c r="T12" s="120">
        <v>9256.5082999999995</v>
      </c>
      <c r="U12" s="121">
        <v>5.5399999999999998E-3</v>
      </c>
      <c r="V12" s="121">
        <v>2.6654000000000001E-2</v>
      </c>
      <c r="W12" s="121">
        <v>3.3419999999999999E-3</v>
      </c>
    </row>
    <row r="13" spans="1:26" ht="15" customHeight="1">
      <c r="A13" s="119">
        <v>307</v>
      </c>
      <c r="B13" s="119">
        <v>307</v>
      </c>
      <c r="C13" s="118" t="s">
        <v>1331</v>
      </c>
      <c r="D13" s="119">
        <v>510938608</v>
      </c>
      <c r="E13" s="118" t="s">
        <v>308</v>
      </c>
      <c r="F13" s="118" t="s">
        <v>1345</v>
      </c>
      <c r="G13" s="119" t="s">
        <v>1346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1211</v>
      </c>
      <c r="P13" s="120">
        <v>107590.82</v>
      </c>
      <c r="Q13" s="120">
        <v>1</v>
      </c>
      <c r="R13" s="120">
        <v>3605.5</v>
      </c>
      <c r="S13" s="118"/>
      <c r="T13" s="120">
        <v>3879.1870199999998</v>
      </c>
      <c r="U13" s="121">
        <v>1.3630000000000001E-3</v>
      </c>
      <c r="V13" s="121">
        <v>1.1169999999999999E-2</v>
      </c>
      <c r="W13" s="121">
        <v>1.4E-3</v>
      </c>
    </row>
    <row r="14" spans="1:26" ht="15" customHeight="1">
      <c r="A14" s="119">
        <v>307</v>
      </c>
      <c r="B14" s="119">
        <v>307</v>
      </c>
      <c r="C14" s="118" t="s">
        <v>1331</v>
      </c>
      <c r="D14" s="119">
        <v>510938608</v>
      </c>
      <c r="E14" s="118" t="s">
        <v>308</v>
      </c>
      <c r="F14" s="118" t="s">
        <v>1347</v>
      </c>
      <c r="G14" s="119" t="s">
        <v>1348</v>
      </c>
      <c r="H14" s="118" t="s">
        <v>320</v>
      </c>
      <c r="I14" s="118" t="s">
        <v>965</v>
      </c>
      <c r="J14" s="118" t="s">
        <v>203</v>
      </c>
      <c r="K14" s="118" t="s">
        <v>203</v>
      </c>
      <c r="L14" s="118" t="s">
        <v>339</v>
      </c>
      <c r="M14" s="130" t="s">
        <v>573</v>
      </c>
      <c r="N14" s="118" t="s">
        <v>338</v>
      </c>
      <c r="O14" s="118" t="s">
        <v>1211</v>
      </c>
      <c r="P14" s="120">
        <v>144108.85999999999</v>
      </c>
      <c r="Q14" s="120">
        <v>1</v>
      </c>
      <c r="R14" s="120">
        <v>19470</v>
      </c>
      <c r="S14" s="118"/>
      <c r="T14" s="120">
        <v>28057.995040000002</v>
      </c>
      <c r="U14" s="121">
        <v>4.509E-3</v>
      </c>
      <c r="V14" s="121">
        <v>8.0793000000000004E-2</v>
      </c>
      <c r="W14" s="121">
        <v>1.0130999999999999E-2</v>
      </c>
    </row>
    <row r="15" spans="1:26" ht="15" customHeight="1">
      <c r="A15" s="119">
        <v>307</v>
      </c>
      <c r="B15" s="119">
        <v>307</v>
      </c>
      <c r="C15" s="118" t="s">
        <v>1349</v>
      </c>
      <c r="D15" s="119" t="s">
        <v>1350</v>
      </c>
      <c r="E15" s="118" t="s">
        <v>312</v>
      </c>
      <c r="F15" s="118" t="s">
        <v>1351</v>
      </c>
      <c r="G15" s="119" t="s">
        <v>1352</v>
      </c>
      <c r="H15" s="118" t="s">
        <v>320</v>
      </c>
      <c r="I15" s="118" t="s">
        <v>966</v>
      </c>
      <c r="J15" s="118" t="s">
        <v>204</v>
      </c>
      <c r="K15" s="118" t="s">
        <v>288</v>
      </c>
      <c r="L15" s="118" t="s">
        <v>379</v>
      </c>
      <c r="M15" s="130" t="s">
        <v>734</v>
      </c>
      <c r="N15" s="118" t="s">
        <v>338</v>
      </c>
      <c r="O15" s="118" t="s">
        <v>1220</v>
      </c>
      <c r="P15" s="120">
        <v>87418</v>
      </c>
      <c r="Q15" s="120">
        <v>3.7589999999999999</v>
      </c>
      <c r="R15" s="120">
        <v>11153</v>
      </c>
      <c r="S15" s="118"/>
      <c r="T15" s="120">
        <v>36649.233339999999</v>
      </c>
      <c r="U15" s="121">
        <v>7.6199999999999998E-4</v>
      </c>
      <c r="V15" s="121">
        <v>0.105532</v>
      </c>
      <c r="W15" s="121">
        <v>1.3233E-2</v>
      </c>
    </row>
    <row r="16" spans="1:26" ht="15" customHeight="1">
      <c r="A16" s="119">
        <v>307</v>
      </c>
      <c r="B16" s="119">
        <v>307</v>
      </c>
      <c r="C16" s="118" t="s">
        <v>1353</v>
      </c>
      <c r="D16" s="119" t="s">
        <v>1354</v>
      </c>
      <c r="E16" s="118" t="s">
        <v>312</v>
      </c>
      <c r="F16" s="118" t="s">
        <v>1355</v>
      </c>
      <c r="G16" s="119" t="s">
        <v>1356</v>
      </c>
      <c r="H16" s="118" t="s">
        <v>320</v>
      </c>
      <c r="I16" s="118" t="s">
        <v>966</v>
      </c>
      <c r="J16" s="118" t="s">
        <v>204</v>
      </c>
      <c r="K16" s="118" t="s">
        <v>295</v>
      </c>
      <c r="L16" s="118" t="s">
        <v>363</v>
      </c>
      <c r="M16" s="130" t="s">
        <v>734</v>
      </c>
      <c r="N16" s="118" t="s">
        <v>338</v>
      </c>
      <c r="O16" s="118" t="s">
        <v>1220</v>
      </c>
      <c r="P16" s="120">
        <v>582537</v>
      </c>
      <c r="Q16" s="120">
        <v>3.7589999999999999</v>
      </c>
      <c r="R16" s="120">
        <v>539.11</v>
      </c>
      <c r="S16" s="118"/>
      <c r="T16" s="120">
        <v>11805.19671</v>
      </c>
      <c r="U16" s="121">
        <v>3.4480000000000001E-3</v>
      </c>
      <c r="V16" s="121">
        <v>3.3993000000000002E-2</v>
      </c>
      <c r="W16" s="121">
        <v>4.2620000000000002E-3</v>
      </c>
    </row>
    <row r="17" spans="1:23" ht="15" customHeight="1">
      <c r="A17" s="119">
        <v>307</v>
      </c>
      <c r="B17" s="119">
        <v>307</v>
      </c>
      <c r="C17" s="118" t="s">
        <v>1357</v>
      </c>
      <c r="D17" s="119" t="s">
        <v>1358</v>
      </c>
      <c r="E17" s="118" t="s">
        <v>312</v>
      </c>
      <c r="F17" s="118" t="s">
        <v>1359</v>
      </c>
      <c r="G17" s="119" t="s">
        <v>1360</v>
      </c>
      <c r="H17" s="118" t="s">
        <v>320</v>
      </c>
      <c r="I17" s="118" t="s">
        <v>966</v>
      </c>
      <c r="J17" s="118" t="s">
        <v>204</v>
      </c>
      <c r="K17" s="118" t="s">
        <v>288</v>
      </c>
      <c r="L17" s="118" t="s">
        <v>379</v>
      </c>
      <c r="M17" s="130" t="s">
        <v>734</v>
      </c>
      <c r="N17" s="118" t="s">
        <v>338</v>
      </c>
      <c r="O17" s="118" t="s">
        <v>1220</v>
      </c>
      <c r="P17" s="120">
        <v>503676</v>
      </c>
      <c r="Q17" s="120">
        <v>3.7589999999999999</v>
      </c>
      <c r="R17" s="120">
        <v>10203</v>
      </c>
      <c r="S17" s="118"/>
      <c r="T17" s="120">
        <v>193175.24411</v>
      </c>
      <c r="U17" s="121">
        <v>6.6600000000000003E-4</v>
      </c>
      <c r="V17" s="121">
        <v>0.55625199999999997</v>
      </c>
      <c r="W17" s="121">
        <v>6.9752999999999996E-2</v>
      </c>
    </row>
    <row r="18" spans="1:23" ht="15" customHeight="1">
      <c r="A18" s="119">
        <v>307</v>
      </c>
      <c r="B18" s="119">
        <v>307</v>
      </c>
      <c r="C18" s="118" t="s">
        <v>1357</v>
      </c>
      <c r="D18" s="119" t="s">
        <v>1358</v>
      </c>
      <c r="E18" s="118" t="s">
        <v>312</v>
      </c>
      <c r="F18" s="118" t="s">
        <v>1361</v>
      </c>
      <c r="G18" s="119" t="s">
        <v>1362</v>
      </c>
      <c r="H18" s="118" t="s">
        <v>320</v>
      </c>
      <c r="I18" s="118" t="s">
        <v>313</v>
      </c>
      <c r="J18" s="118" t="s">
        <v>204</v>
      </c>
      <c r="K18" s="118" t="s">
        <v>295</v>
      </c>
      <c r="L18" s="118" t="s">
        <v>379</v>
      </c>
      <c r="M18" s="130" t="s">
        <v>677</v>
      </c>
      <c r="N18" s="118" t="s">
        <v>338</v>
      </c>
      <c r="O18" s="118" t="s">
        <v>1220</v>
      </c>
      <c r="P18" s="120">
        <v>6500</v>
      </c>
      <c r="Q18" s="120">
        <v>3.7589999999999999</v>
      </c>
      <c r="R18" s="120">
        <v>9830</v>
      </c>
      <c r="S18" s="118"/>
      <c r="T18" s="120">
        <v>2401.8130500000002</v>
      </c>
      <c r="U18" s="121">
        <v>2.6200000000000003E-4</v>
      </c>
      <c r="V18" s="121">
        <v>6.9160000000000003E-3</v>
      </c>
      <c r="W18" s="121">
        <v>8.6700000000000004E-4</v>
      </c>
    </row>
    <row r="19" spans="1:23" ht="15" customHeight="1">
      <c r="A19" s="119">
        <v>307</v>
      </c>
      <c r="B19" s="119">
        <v>307</v>
      </c>
      <c r="C19" s="118" t="s">
        <v>1363</v>
      </c>
      <c r="D19" s="119" t="s">
        <v>1364</v>
      </c>
      <c r="E19" s="118" t="s">
        <v>312</v>
      </c>
      <c r="F19" s="118" t="s">
        <v>1365</v>
      </c>
      <c r="G19" s="119" t="s">
        <v>1366</v>
      </c>
      <c r="H19" s="118" t="s">
        <v>320</v>
      </c>
      <c r="I19" s="118" t="s">
        <v>966</v>
      </c>
      <c r="J19" s="118" t="s">
        <v>204</v>
      </c>
      <c r="K19" s="118" t="s">
        <v>288</v>
      </c>
      <c r="L19" s="118" t="s">
        <v>379</v>
      </c>
      <c r="M19" s="130" t="s">
        <v>734</v>
      </c>
      <c r="N19" s="118" t="s">
        <v>338</v>
      </c>
      <c r="O19" s="118" t="s">
        <v>1220</v>
      </c>
      <c r="P19" s="120">
        <v>41976</v>
      </c>
      <c r="Q19" s="120">
        <v>3.7589999999999999</v>
      </c>
      <c r="R19" s="120">
        <v>3727</v>
      </c>
      <c r="S19" s="118"/>
      <c r="T19" s="120">
        <v>5880.7507100000003</v>
      </c>
      <c r="U19" s="121">
        <v>2.22E-4</v>
      </c>
      <c r="V19" s="121">
        <v>1.6933E-2</v>
      </c>
      <c r="W19" s="121">
        <v>2.1229999999999999E-3</v>
      </c>
    </row>
    <row r="20" spans="1:23" ht="15" customHeight="1">
      <c r="A20" s="119">
        <v>307</v>
      </c>
      <c r="B20" s="119">
        <v>307</v>
      </c>
      <c r="C20" s="118" t="s">
        <v>1353</v>
      </c>
      <c r="D20" s="119" t="s">
        <v>1354</v>
      </c>
      <c r="E20" s="118" t="s">
        <v>312</v>
      </c>
      <c r="F20" s="118" t="s">
        <v>1367</v>
      </c>
      <c r="G20" s="119" t="s">
        <v>1368</v>
      </c>
      <c r="H20" s="118" t="s">
        <v>320</v>
      </c>
      <c r="I20" s="118" t="s">
        <v>966</v>
      </c>
      <c r="J20" s="118" t="s">
        <v>204</v>
      </c>
      <c r="K20" s="118" t="s">
        <v>295</v>
      </c>
      <c r="L20" s="118" t="s">
        <v>379</v>
      </c>
      <c r="M20" s="130" t="s">
        <v>734</v>
      </c>
      <c r="N20" s="118" t="s">
        <v>338</v>
      </c>
      <c r="O20" s="118" t="s">
        <v>1220</v>
      </c>
      <c r="P20" s="120">
        <v>74815</v>
      </c>
      <c r="Q20" s="120">
        <v>3.7589999999999999</v>
      </c>
      <c r="R20" s="120">
        <v>4830.75</v>
      </c>
      <c r="S20" s="118"/>
      <c r="T20" s="120">
        <v>13585.498180000001</v>
      </c>
      <c r="U20" s="121">
        <v>2.0240000000000002E-3</v>
      </c>
      <c r="V20" s="121">
        <v>3.9119000000000001E-2</v>
      </c>
      <c r="W20" s="121">
        <v>4.9049999999999996E-3</v>
      </c>
    </row>
    <row r="21" spans="1:23" ht="15" customHeight="1">
      <c r="A21" s="119">
        <v>307</v>
      </c>
      <c r="B21" s="119">
        <v>307</v>
      </c>
      <c r="C21" s="118" t="s">
        <v>1357</v>
      </c>
      <c r="D21" s="119" t="s">
        <v>1358</v>
      </c>
      <c r="E21" s="118" t="s">
        <v>312</v>
      </c>
      <c r="F21" s="118" t="s">
        <v>1369</v>
      </c>
      <c r="G21" s="119" t="s">
        <v>1370</v>
      </c>
      <c r="H21" s="118" t="s">
        <v>320</v>
      </c>
      <c r="I21" s="118" t="s">
        <v>313</v>
      </c>
      <c r="J21" s="118" t="s">
        <v>204</v>
      </c>
      <c r="K21" s="118" t="s">
        <v>223</v>
      </c>
      <c r="L21" s="118" t="s">
        <v>379</v>
      </c>
      <c r="M21" s="130" t="s">
        <v>677</v>
      </c>
      <c r="N21" s="118" t="s">
        <v>338</v>
      </c>
      <c r="O21" s="118" t="s">
        <v>1220</v>
      </c>
      <c r="P21" s="120">
        <v>254100</v>
      </c>
      <c r="Q21" s="120">
        <v>3.7589999999999999</v>
      </c>
      <c r="R21" s="120">
        <v>505.4</v>
      </c>
      <c r="S21" s="118"/>
      <c r="T21" s="120">
        <v>4827.3882400000002</v>
      </c>
      <c r="U21" s="121">
        <v>3.4299999999999999E-3</v>
      </c>
      <c r="V21" s="121">
        <v>1.3899999999999999E-2</v>
      </c>
      <c r="W21" s="121">
        <v>1.743E-3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L26" sqref="L2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H1" workbookViewId="0">
      <selection activeCell="AD2" sqref="A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25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B1" workbookViewId="0">
      <selection activeCell="Y12" sqref="Y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topLeftCell="H1" workbookViewId="0">
      <selection activeCell="AE1" sqref="AE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topLeftCell="K1" workbookViewId="0">
      <selection activeCell="AG1" sqref="AG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0"/>
  <sheetViews>
    <sheetView rightToLeft="1" workbookViewId="0">
      <selection activeCell="H24" sqref="H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4.5" bestFit="1" customWidth="1"/>
    <col min="13" max="13" width="11.625" customWidth="1"/>
    <col min="14" max="14" width="10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984</v>
      </c>
      <c r="D2" s="118" t="s">
        <v>1371</v>
      </c>
      <c r="E2" s="119">
        <v>8288250</v>
      </c>
      <c r="F2" s="122">
        <v>42095</v>
      </c>
      <c r="G2" s="120">
        <v>5.0999999999999996</v>
      </c>
      <c r="H2" s="118" t="s">
        <v>753</v>
      </c>
      <c r="I2" s="122">
        <v>47574</v>
      </c>
      <c r="J2" s="121">
        <v>4.8000000000000001E-2</v>
      </c>
      <c r="K2" s="121">
        <v>2.0299999999999999E-2</v>
      </c>
      <c r="L2" s="120">
        <v>3743000</v>
      </c>
      <c r="M2" s="120">
        <v>134.05099999999999</v>
      </c>
      <c r="N2" s="120">
        <v>5017.5296600000001</v>
      </c>
      <c r="O2" s="120"/>
      <c r="P2" s="118"/>
      <c r="Q2" s="121">
        <v>1.3308E-2</v>
      </c>
      <c r="R2" s="121">
        <v>1.8109999999999999E-3</v>
      </c>
    </row>
    <row r="3" spans="1:26" ht="15" customHeight="1">
      <c r="A3" s="119">
        <v>307</v>
      </c>
      <c r="B3" s="119">
        <v>307</v>
      </c>
      <c r="C3" s="118" t="s">
        <v>984</v>
      </c>
      <c r="D3" s="118" t="s">
        <v>1372</v>
      </c>
      <c r="E3" s="119">
        <v>8288987</v>
      </c>
      <c r="F3" s="122">
        <v>44348</v>
      </c>
      <c r="G3" s="120">
        <v>9.5399999999999991</v>
      </c>
      <c r="H3" s="118" t="s">
        <v>753</v>
      </c>
      <c r="I3" s="122">
        <v>49827</v>
      </c>
      <c r="J3" s="121">
        <v>4.8000000000000001E-2</v>
      </c>
      <c r="K3" s="121">
        <v>2.29E-2</v>
      </c>
      <c r="L3" s="120">
        <v>24116000</v>
      </c>
      <c r="M3" s="120">
        <v>142.31620000000001</v>
      </c>
      <c r="N3" s="120">
        <v>34320.982709999997</v>
      </c>
      <c r="O3" s="118"/>
      <c r="P3" s="118"/>
      <c r="Q3" s="121">
        <v>9.1035000000000005E-2</v>
      </c>
      <c r="R3" s="121">
        <v>1.2392E-2</v>
      </c>
    </row>
    <row r="4" spans="1:26" ht="15" customHeight="1">
      <c r="A4" s="119">
        <v>307</v>
      </c>
      <c r="B4" s="119">
        <v>307</v>
      </c>
      <c r="C4" s="118" t="s">
        <v>984</v>
      </c>
      <c r="D4" s="118" t="s">
        <v>1373</v>
      </c>
      <c r="E4" s="119">
        <v>8288227</v>
      </c>
      <c r="F4" s="122">
        <v>42005</v>
      </c>
      <c r="G4" s="120">
        <v>4.8499999999999996</v>
      </c>
      <c r="H4" s="118" t="s">
        <v>753</v>
      </c>
      <c r="I4" s="122">
        <v>47484</v>
      </c>
      <c r="J4" s="121">
        <v>4.8000000000000001E-2</v>
      </c>
      <c r="K4" s="121">
        <v>2.01E-2</v>
      </c>
      <c r="L4" s="120">
        <v>12633000</v>
      </c>
      <c r="M4" s="120">
        <v>132.70070000000001</v>
      </c>
      <c r="N4" s="120">
        <v>16764.081259999999</v>
      </c>
      <c r="O4" s="118"/>
      <c r="P4" s="118"/>
      <c r="Q4" s="121">
        <v>4.4465999999999999E-2</v>
      </c>
      <c r="R4" s="121">
        <v>6.0530000000000002E-3</v>
      </c>
    </row>
    <row r="5" spans="1:26" ht="15" customHeight="1">
      <c r="A5" s="119">
        <v>307</v>
      </c>
      <c r="B5" s="119">
        <v>307</v>
      </c>
      <c r="C5" s="118" t="s">
        <v>984</v>
      </c>
      <c r="D5" s="118" t="s">
        <v>1374</v>
      </c>
      <c r="E5" s="119">
        <v>8288599</v>
      </c>
      <c r="F5" s="122">
        <v>43132</v>
      </c>
      <c r="G5" s="120">
        <v>7.18</v>
      </c>
      <c r="H5" s="118" t="s">
        <v>753</v>
      </c>
      <c r="I5" s="122">
        <v>48611</v>
      </c>
      <c r="J5" s="121">
        <v>4.8000000000000001E-2</v>
      </c>
      <c r="K5" s="121">
        <v>2.1899999999999999E-2</v>
      </c>
      <c r="L5" s="120">
        <v>20976000</v>
      </c>
      <c r="M5" s="120">
        <v>140.09129999999999</v>
      </c>
      <c r="N5" s="120">
        <v>29385.55097</v>
      </c>
      <c r="O5" s="118"/>
      <c r="P5" s="118"/>
      <c r="Q5" s="121">
        <v>7.7943999999999999E-2</v>
      </c>
      <c r="R5" s="121">
        <v>1.061E-2</v>
      </c>
    </row>
    <row r="6" spans="1:26" ht="15" customHeight="1">
      <c r="A6" s="119">
        <v>307</v>
      </c>
      <c r="B6" s="119">
        <v>307</v>
      </c>
      <c r="C6" s="118" t="s">
        <v>984</v>
      </c>
      <c r="D6" s="118" t="s">
        <v>1375</v>
      </c>
      <c r="E6" s="119">
        <v>8288102</v>
      </c>
      <c r="F6" s="122">
        <v>41640</v>
      </c>
      <c r="G6" s="120">
        <v>4.05</v>
      </c>
      <c r="H6" s="118" t="s">
        <v>753</v>
      </c>
      <c r="I6" s="122">
        <v>47119</v>
      </c>
      <c r="J6" s="121">
        <v>4.8000000000000001E-2</v>
      </c>
      <c r="K6" s="121">
        <v>1.9099999999999999E-2</v>
      </c>
      <c r="L6" s="120">
        <v>8163000</v>
      </c>
      <c r="M6" s="120">
        <v>130.23650000000001</v>
      </c>
      <c r="N6" s="120">
        <v>10631.20558</v>
      </c>
      <c r="O6" s="118"/>
      <c r="P6" s="118"/>
      <c r="Q6" s="121">
        <v>2.8198999999999998E-2</v>
      </c>
      <c r="R6" s="121">
        <v>3.8379999999999998E-3</v>
      </c>
    </row>
    <row r="7" spans="1:26" ht="15" customHeight="1">
      <c r="A7" s="119">
        <v>307</v>
      </c>
      <c r="B7" s="119">
        <v>307</v>
      </c>
      <c r="C7" s="118" t="s">
        <v>984</v>
      </c>
      <c r="D7" s="118" t="s">
        <v>1376</v>
      </c>
      <c r="E7" s="119">
        <v>8288946</v>
      </c>
      <c r="F7" s="122">
        <v>44228</v>
      </c>
      <c r="G7" s="120">
        <v>9.2100000000000009</v>
      </c>
      <c r="H7" s="118" t="s">
        <v>753</v>
      </c>
      <c r="I7" s="122">
        <v>49706</v>
      </c>
      <c r="J7" s="121">
        <v>4.8000000000000001E-2</v>
      </c>
      <c r="K7" s="121">
        <v>2.2800000000000001E-2</v>
      </c>
      <c r="L7" s="120">
        <v>11833000</v>
      </c>
      <c r="M7" s="120">
        <v>145.0985</v>
      </c>
      <c r="N7" s="120">
        <v>17169.50965</v>
      </c>
      <c r="O7" s="118"/>
      <c r="P7" s="118"/>
      <c r="Q7" s="121">
        <v>4.5540999999999998E-2</v>
      </c>
      <c r="R7" s="121">
        <v>6.1989999999999996E-3</v>
      </c>
    </row>
    <row r="8" spans="1:26" ht="15" customHeight="1">
      <c r="A8" s="119">
        <v>307</v>
      </c>
      <c r="B8" s="119">
        <v>307</v>
      </c>
      <c r="C8" s="118" t="s">
        <v>984</v>
      </c>
      <c r="D8" s="118" t="s">
        <v>1377</v>
      </c>
      <c r="E8" s="119">
        <v>8288235</v>
      </c>
      <c r="F8" s="122">
        <v>42036</v>
      </c>
      <c r="G8" s="120">
        <v>4.9400000000000004</v>
      </c>
      <c r="H8" s="118" t="s">
        <v>753</v>
      </c>
      <c r="I8" s="122">
        <v>47515</v>
      </c>
      <c r="J8" s="121">
        <v>4.8000000000000001E-2</v>
      </c>
      <c r="K8" s="121">
        <v>2.01E-2</v>
      </c>
      <c r="L8" s="120">
        <v>1347000</v>
      </c>
      <c r="M8" s="120">
        <v>132.4847</v>
      </c>
      <c r="N8" s="120">
        <v>1784.56891</v>
      </c>
      <c r="O8" s="118"/>
      <c r="P8" s="118"/>
      <c r="Q8" s="121">
        <v>4.7330000000000002E-3</v>
      </c>
      <c r="R8" s="121">
        <v>6.4400000000000004E-4</v>
      </c>
    </row>
    <row r="9" spans="1:26" ht="15" customHeight="1">
      <c r="A9" s="119">
        <v>307</v>
      </c>
      <c r="B9" s="119">
        <v>307</v>
      </c>
      <c r="C9" s="118" t="s">
        <v>984</v>
      </c>
      <c r="D9" s="118" t="s">
        <v>1378</v>
      </c>
      <c r="E9" s="119">
        <v>8288839</v>
      </c>
      <c r="F9" s="122">
        <v>43863</v>
      </c>
      <c r="G9" s="120">
        <v>8.56</v>
      </c>
      <c r="H9" s="118" t="s">
        <v>753</v>
      </c>
      <c r="I9" s="122">
        <v>49342</v>
      </c>
      <c r="J9" s="121">
        <v>4.8000000000000001E-2</v>
      </c>
      <c r="K9" s="121">
        <v>2.2499999999999999E-2</v>
      </c>
      <c r="L9" s="120">
        <v>1989000</v>
      </c>
      <c r="M9" s="120">
        <v>142.12909999999999</v>
      </c>
      <c r="N9" s="120">
        <v>2826.9473499999999</v>
      </c>
      <c r="O9" s="118"/>
      <c r="P9" s="118"/>
      <c r="Q9" s="121">
        <v>7.4980000000000003E-3</v>
      </c>
      <c r="R9" s="121">
        <v>1.0200000000000001E-3</v>
      </c>
    </row>
    <row r="10" spans="1:26" ht="15" customHeight="1">
      <c r="A10" s="119">
        <v>307</v>
      </c>
      <c r="B10" s="119">
        <v>307</v>
      </c>
      <c r="C10" s="118" t="s">
        <v>984</v>
      </c>
      <c r="D10" s="118" t="s">
        <v>1379</v>
      </c>
      <c r="E10" s="119">
        <v>8288086</v>
      </c>
      <c r="F10" s="122">
        <v>41579</v>
      </c>
      <c r="G10" s="120">
        <v>3.97</v>
      </c>
      <c r="H10" s="118" t="s">
        <v>753</v>
      </c>
      <c r="I10" s="122">
        <v>47058</v>
      </c>
      <c r="J10" s="121">
        <v>4.8000000000000001E-2</v>
      </c>
      <c r="K10" s="121">
        <v>1.8800000000000001E-2</v>
      </c>
      <c r="L10" s="120">
        <v>16840000</v>
      </c>
      <c r="M10" s="120">
        <v>127.93470000000001</v>
      </c>
      <c r="N10" s="120">
        <v>21544.21128</v>
      </c>
      <c r="O10" s="118"/>
      <c r="P10" s="118"/>
      <c r="Q10" s="121">
        <v>5.7145000000000001E-2</v>
      </c>
      <c r="R10" s="121">
        <v>7.7790000000000003E-3</v>
      </c>
    </row>
    <row r="11" spans="1:26" ht="15" customHeight="1">
      <c r="A11" s="119">
        <v>307</v>
      </c>
      <c r="B11" s="119">
        <v>307</v>
      </c>
      <c r="C11" s="118" t="s">
        <v>984</v>
      </c>
      <c r="D11" s="118" t="s">
        <v>1380</v>
      </c>
      <c r="E11" s="119">
        <v>8288144</v>
      </c>
      <c r="F11" s="122">
        <v>41760</v>
      </c>
      <c r="G11" s="120">
        <v>4.38</v>
      </c>
      <c r="H11" s="118" t="s">
        <v>753</v>
      </c>
      <c r="I11" s="122">
        <v>47239</v>
      </c>
      <c r="J11" s="121">
        <v>4.8000000000000001E-2</v>
      </c>
      <c r="K11" s="121">
        <v>1.9300000000000001E-2</v>
      </c>
      <c r="L11" s="120">
        <v>25464000</v>
      </c>
      <c r="M11" s="120">
        <v>129.7928</v>
      </c>
      <c r="N11" s="120">
        <v>33050.444669999997</v>
      </c>
      <c r="O11" s="118"/>
      <c r="P11" s="118"/>
      <c r="Q11" s="121">
        <v>8.7665000000000007E-2</v>
      </c>
      <c r="R11" s="121">
        <v>1.1934E-2</v>
      </c>
    </row>
    <row r="12" spans="1:26" ht="15" customHeight="1">
      <c r="A12" s="119">
        <v>307</v>
      </c>
      <c r="B12" s="119">
        <v>307</v>
      </c>
      <c r="C12" s="118" t="s">
        <v>984</v>
      </c>
      <c r="D12" s="118" t="s">
        <v>1381</v>
      </c>
      <c r="E12" s="119">
        <v>8288474</v>
      </c>
      <c r="F12" s="122">
        <v>42767</v>
      </c>
      <c r="G12" s="120">
        <v>6.46</v>
      </c>
      <c r="H12" s="118" t="s">
        <v>753</v>
      </c>
      <c r="I12" s="122">
        <v>48245</v>
      </c>
      <c r="J12" s="121">
        <v>4.8000000000000001E-2</v>
      </c>
      <c r="K12" s="121">
        <v>2.1399999999999999E-2</v>
      </c>
      <c r="L12" s="120">
        <v>1596000</v>
      </c>
      <c r="M12" s="120">
        <v>138.53579999999999</v>
      </c>
      <c r="N12" s="120">
        <v>2211.0307600000001</v>
      </c>
      <c r="O12" s="118"/>
      <c r="P12" s="118"/>
      <c r="Q12" s="121">
        <v>5.8640000000000003E-3</v>
      </c>
      <c r="R12" s="121">
        <v>7.9799999999999999E-4</v>
      </c>
    </row>
    <row r="13" spans="1:26" ht="15" customHeight="1">
      <c r="A13" s="119">
        <v>307</v>
      </c>
      <c r="B13" s="119">
        <v>307</v>
      </c>
      <c r="C13" s="118" t="s">
        <v>984</v>
      </c>
      <c r="D13" s="118" t="s">
        <v>1382</v>
      </c>
      <c r="E13" s="119">
        <v>8288607</v>
      </c>
      <c r="F13" s="122">
        <v>43161</v>
      </c>
      <c r="G13" s="120">
        <v>7.26</v>
      </c>
      <c r="H13" s="118" t="s">
        <v>753</v>
      </c>
      <c r="I13" s="122">
        <v>48640</v>
      </c>
      <c r="J13" s="121">
        <v>4.8000000000000001E-2</v>
      </c>
      <c r="K13" s="121">
        <v>2.1999999999999999E-2</v>
      </c>
      <c r="L13" s="120">
        <v>622000</v>
      </c>
      <c r="M13" s="120">
        <v>140.4265</v>
      </c>
      <c r="N13" s="120">
        <v>873.45259999999996</v>
      </c>
      <c r="O13" s="118"/>
      <c r="P13" s="118"/>
      <c r="Q13" s="121">
        <v>2.3159999999999999E-3</v>
      </c>
      <c r="R13" s="121">
        <v>3.1500000000000001E-4</v>
      </c>
    </row>
    <row r="14" spans="1:26" ht="15" customHeight="1">
      <c r="A14" s="119">
        <v>307</v>
      </c>
      <c r="B14" s="119">
        <v>307</v>
      </c>
      <c r="C14" s="118" t="s">
        <v>984</v>
      </c>
      <c r="D14" s="118" t="s">
        <v>1383</v>
      </c>
      <c r="E14" s="119">
        <v>8288938</v>
      </c>
      <c r="F14" s="122">
        <v>44197</v>
      </c>
      <c r="G14" s="120">
        <v>9.1199999999999992</v>
      </c>
      <c r="H14" s="118" t="s">
        <v>753</v>
      </c>
      <c r="I14" s="122">
        <v>49675</v>
      </c>
      <c r="J14" s="121">
        <v>4.8000000000000001E-2</v>
      </c>
      <c r="K14" s="121">
        <v>2.2800000000000001E-2</v>
      </c>
      <c r="L14" s="120">
        <v>3291000</v>
      </c>
      <c r="M14" s="120">
        <v>145.21639999999999</v>
      </c>
      <c r="N14" s="120">
        <v>4779.0704900000001</v>
      </c>
      <c r="O14" s="118"/>
      <c r="P14" s="118"/>
      <c r="Q14" s="121">
        <v>1.2676E-2</v>
      </c>
      <c r="R14" s="121">
        <v>1.725E-3</v>
      </c>
    </row>
    <row r="15" spans="1:26" ht="15" customHeight="1">
      <c r="A15" s="119">
        <v>307</v>
      </c>
      <c r="B15" s="119">
        <v>307</v>
      </c>
      <c r="C15" s="118" t="s">
        <v>984</v>
      </c>
      <c r="D15" s="118" t="s">
        <v>1384</v>
      </c>
      <c r="E15" s="119">
        <v>8287740</v>
      </c>
      <c r="F15" s="122">
        <v>40545</v>
      </c>
      <c r="G15" s="120">
        <v>1.44</v>
      </c>
      <c r="H15" s="118" t="s">
        <v>753</v>
      </c>
      <c r="I15" s="122">
        <v>46024</v>
      </c>
      <c r="J15" s="121">
        <v>4.8000000000000001E-2</v>
      </c>
      <c r="K15" s="121">
        <v>1.4999999999999999E-2</v>
      </c>
      <c r="L15" s="120">
        <v>55714000</v>
      </c>
      <c r="M15" s="120">
        <v>128.965</v>
      </c>
      <c r="N15" s="120">
        <v>71851.577120000002</v>
      </c>
      <c r="O15" s="118"/>
      <c r="P15" s="118"/>
      <c r="Q15" s="121">
        <v>0.190585</v>
      </c>
      <c r="R15" s="121">
        <v>2.5943999999999998E-2</v>
      </c>
    </row>
    <row r="16" spans="1:26" ht="15" customHeight="1">
      <c r="A16" s="119">
        <v>307</v>
      </c>
      <c r="B16" s="119">
        <v>307</v>
      </c>
      <c r="C16" s="118" t="s">
        <v>984</v>
      </c>
      <c r="D16" s="118" t="s">
        <v>1385</v>
      </c>
      <c r="E16" s="119">
        <v>8288979</v>
      </c>
      <c r="F16" s="122">
        <v>44318</v>
      </c>
      <c r="G16" s="120">
        <v>9.4600000000000009</v>
      </c>
      <c r="H16" s="118" t="s">
        <v>753</v>
      </c>
      <c r="I16" s="122">
        <v>49797</v>
      </c>
      <c r="J16" s="121">
        <v>4.8000000000000001E-2</v>
      </c>
      <c r="K16" s="121">
        <v>2.2800000000000001E-2</v>
      </c>
      <c r="L16" s="120">
        <v>11643000</v>
      </c>
      <c r="M16" s="120">
        <v>143.07980000000001</v>
      </c>
      <c r="N16" s="120">
        <v>16658.775809999999</v>
      </c>
      <c r="O16" s="118"/>
      <c r="P16" s="118"/>
      <c r="Q16" s="121">
        <v>4.4186999999999997E-2</v>
      </c>
      <c r="R16" s="121">
        <v>6.0150000000000004E-3</v>
      </c>
    </row>
    <row r="17" spans="1:18" ht="15" customHeight="1">
      <c r="A17" s="119">
        <v>307</v>
      </c>
      <c r="B17" s="119">
        <v>307</v>
      </c>
      <c r="C17" s="118" t="s">
        <v>984</v>
      </c>
      <c r="D17" s="118" t="s">
        <v>1386</v>
      </c>
      <c r="E17" s="119">
        <v>8288359</v>
      </c>
      <c r="F17" s="122">
        <v>42401</v>
      </c>
      <c r="G17" s="120">
        <v>5.71</v>
      </c>
      <c r="H17" s="118" t="s">
        <v>753</v>
      </c>
      <c r="I17" s="122">
        <v>47880</v>
      </c>
      <c r="J17" s="121">
        <v>4.8000000000000001E-2</v>
      </c>
      <c r="K17" s="121">
        <v>2.0799999999999999E-2</v>
      </c>
      <c r="L17" s="120">
        <v>9147000</v>
      </c>
      <c r="M17" s="120">
        <v>136.07910000000001</v>
      </c>
      <c r="N17" s="120">
        <v>12447.15438</v>
      </c>
      <c r="O17" s="118"/>
      <c r="P17" s="118"/>
      <c r="Q17" s="121">
        <v>3.3015000000000003E-2</v>
      </c>
      <c r="R17" s="121">
        <v>4.4939999999999997E-3</v>
      </c>
    </row>
    <row r="18" spans="1:18" ht="15" customHeight="1">
      <c r="A18" s="119">
        <v>307</v>
      </c>
      <c r="B18" s="119">
        <v>307</v>
      </c>
      <c r="C18" s="118" t="s">
        <v>984</v>
      </c>
      <c r="D18" s="118" t="s">
        <v>1387</v>
      </c>
      <c r="E18" s="119">
        <v>8287997</v>
      </c>
      <c r="F18" s="122">
        <v>41306</v>
      </c>
      <c r="G18" s="120">
        <v>3.3</v>
      </c>
      <c r="H18" s="118" t="s">
        <v>753</v>
      </c>
      <c r="I18" s="122">
        <v>46784</v>
      </c>
      <c r="J18" s="121">
        <v>4.8000000000000001E-2</v>
      </c>
      <c r="K18" s="121">
        <v>1.7999999999999999E-2</v>
      </c>
      <c r="L18" s="120">
        <v>31777000</v>
      </c>
      <c r="M18" s="120">
        <v>129.65440000000001</v>
      </c>
      <c r="N18" s="120">
        <v>41200.287850000001</v>
      </c>
      <c r="O18" s="118"/>
      <c r="P18" s="118"/>
      <c r="Q18" s="121">
        <v>0.10928300000000001</v>
      </c>
      <c r="R18" s="121">
        <v>1.4876E-2</v>
      </c>
    </row>
    <row r="19" spans="1:18" ht="15" customHeight="1">
      <c r="A19" s="119">
        <v>307</v>
      </c>
      <c r="B19" s="119">
        <v>307</v>
      </c>
      <c r="C19" s="118" t="s">
        <v>984</v>
      </c>
      <c r="D19" s="118" t="s">
        <v>1388</v>
      </c>
      <c r="E19" s="119">
        <v>8288110</v>
      </c>
      <c r="F19" s="122">
        <v>41672</v>
      </c>
      <c r="G19" s="120">
        <v>4.1399999999999997</v>
      </c>
      <c r="H19" s="118" t="s">
        <v>753</v>
      </c>
      <c r="I19" s="122">
        <v>47151</v>
      </c>
      <c r="J19" s="121">
        <v>4.8000000000000001E-2</v>
      </c>
      <c r="K19" s="121">
        <v>1.9099999999999999E-2</v>
      </c>
      <c r="L19" s="120">
        <v>41331000</v>
      </c>
      <c r="M19" s="120">
        <v>129.9</v>
      </c>
      <c r="N19" s="120">
        <v>53688.981670000001</v>
      </c>
      <c r="O19" s="118"/>
      <c r="P19" s="118"/>
      <c r="Q19" s="121">
        <v>0.14240900000000001</v>
      </c>
      <c r="R19" s="121">
        <v>1.9386E-2</v>
      </c>
    </row>
    <row r="20" spans="1:18" ht="15" customHeight="1">
      <c r="A20" s="119">
        <v>307</v>
      </c>
      <c r="B20" s="119">
        <v>307</v>
      </c>
      <c r="C20" s="118" t="s">
        <v>984</v>
      </c>
      <c r="D20" s="118" t="s">
        <v>1389</v>
      </c>
      <c r="E20" s="119">
        <v>8288243</v>
      </c>
      <c r="F20" s="122">
        <v>42064</v>
      </c>
      <c r="G20" s="120">
        <v>5.0199999999999996</v>
      </c>
      <c r="H20" s="118" t="s">
        <v>753</v>
      </c>
      <c r="I20" s="122">
        <v>47543</v>
      </c>
      <c r="J20" s="121">
        <v>4.8000000000000001E-2</v>
      </c>
      <c r="K20" s="121">
        <v>2.0299999999999999E-2</v>
      </c>
      <c r="L20" s="120">
        <v>600000</v>
      </c>
      <c r="M20" s="120">
        <v>133.3252</v>
      </c>
      <c r="N20" s="120">
        <v>799.95114999999998</v>
      </c>
      <c r="O20" s="118"/>
      <c r="P20" s="118"/>
      <c r="Q20" s="121">
        <v>2.1210000000000001E-3</v>
      </c>
      <c r="R20" s="121">
        <v>2.8800000000000001E-4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topLeftCell="S1" workbookViewId="0">
      <selection activeCell="AP8" sqref="AP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T1" workbookViewId="0">
      <selection activeCell="Y9" sqref="Y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307</v>
      </c>
      <c r="B2" s="119">
        <v>307</v>
      </c>
      <c r="C2" s="118" t="s">
        <v>1299</v>
      </c>
      <c r="D2" s="119">
        <v>520010869</v>
      </c>
      <c r="E2" s="118" t="s">
        <v>308</v>
      </c>
      <c r="F2" s="118" t="s">
        <v>1390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1265</v>
      </c>
      <c r="Q2" s="118" t="s">
        <v>311</v>
      </c>
      <c r="R2" s="118" t="s">
        <v>406</v>
      </c>
      <c r="S2" s="118" t="s">
        <v>1211</v>
      </c>
      <c r="T2" s="120">
        <v>5.56</v>
      </c>
      <c r="U2" s="122">
        <v>50034</v>
      </c>
      <c r="V2" s="121">
        <v>3.1699999999999999E-2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45473</v>
      </c>
      <c r="AC2" s="122"/>
      <c r="AD2" s="120">
        <v>187200.04</v>
      </c>
      <c r="AE2" s="120">
        <v>1</v>
      </c>
      <c r="AF2" s="120">
        <v>153.87</v>
      </c>
      <c r="AG2" s="120">
        <v>288.04469999999998</v>
      </c>
      <c r="AH2" s="120"/>
      <c r="AI2" s="120"/>
      <c r="AJ2" s="118"/>
      <c r="AK2" s="121">
        <v>6.6361000000000003E-2</v>
      </c>
      <c r="AL2" s="121">
        <v>1.0399999999999999E-4</v>
      </c>
    </row>
    <row r="3" spans="1:38" ht="15" customHeight="1">
      <c r="A3" s="119">
        <v>307</v>
      </c>
      <c r="B3" s="119">
        <v>307</v>
      </c>
      <c r="C3" s="118" t="s">
        <v>1299</v>
      </c>
      <c r="D3" s="119">
        <v>520010869</v>
      </c>
      <c r="E3" s="118" t="s">
        <v>308</v>
      </c>
      <c r="F3" s="118" t="s">
        <v>1391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1265</v>
      </c>
      <c r="Q3" s="118" t="s">
        <v>311</v>
      </c>
      <c r="R3" s="118" t="s">
        <v>406</v>
      </c>
      <c r="S3" s="118" t="s">
        <v>1211</v>
      </c>
      <c r="T3" s="120">
        <v>9.0299999999999994</v>
      </c>
      <c r="U3" s="122">
        <v>54253</v>
      </c>
      <c r="V3" s="121">
        <v>3.4099999999999998E-2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45473</v>
      </c>
      <c r="AC3" s="118"/>
      <c r="AD3" s="120">
        <v>2980769.38</v>
      </c>
      <c r="AE3" s="120">
        <v>1</v>
      </c>
      <c r="AF3" s="120">
        <v>129.74</v>
      </c>
      <c r="AG3" s="120">
        <v>3867.2501900000002</v>
      </c>
      <c r="AH3" s="120"/>
      <c r="AI3" s="120"/>
      <c r="AJ3" s="118"/>
      <c r="AK3" s="121">
        <v>0.89096399999999998</v>
      </c>
      <c r="AL3" s="121">
        <v>1.3960000000000001E-3</v>
      </c>
    </row>
    <row r="4" spans="1:38" ht="15" customHeight="1">
      <c r="A4" s="119">
        <v>307</v>
      </c>
      <c r="B4" s="119">
        <v>307</v>
      </c>
      <c r="C4" s="118" t="s">
        <v>1252</v>
      </c>
      <c r="D4" s="119">
        <v>513436394</v>
      </c>
      <c r="E4" s="118" t="s">
        <v>308</v>
      </c>
      <c r="F4" s="118" t="s">
        <v>1392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1255</v>
      </c>
      <c r="Q4" s="118" t="s">
        <v>414</v>
      </c>
      <c r="R4" s="118" t="s">
        <v>406</v>
      </c>
      <c r="S4" s="118" t="s">
        <v>1211</v>
      </c>
      <c r="T4" s="120">
        <v>3.99</v>
      </c>
      <c r="U4" s="122">
        <v>48213</v>
      </c>
      <c r="V4" s="121">
        <v>2.8500000000000001E-2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45473</v>
      </c>
      <c r="AC4" s="118"/>
      <c r="AD4" s="120">
        <v>146355.13</v>
      </c>
      <c r="AE4" s="120">
        <v>1</v>
      </c>
      <c r="AF4" s="120">
        <v>126.56</v>
      </c>
      <c r="AG4" s="120">
        <v>185.22704999999999</v>
      </c>
      <c r="AH4" s="120"/>
      <c r="AI4" s="120"/>
      <c r="AJ4" s="118"/>
      <c r="AK4" s="121">
        <v>4.2673000000000003E-2</v>
      </c>
      <c r="AL4" s="121">
        <v>6.6000000000000005E-5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3"/>
  <sheetViews>
    <sheetView rightToLeft="1" topLeftCell="G1" workbookViewId="0">
      <selection activeCell="P18" sqref="P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875" bestFit="1" customWidth="1"/>
    <col min="4" max="4" width="9.875" bestFit="1" customWidth="1"/>
    <col min="5" max="5" width="9.625" bestFit="1" customWidth="1"/>
    <col min="6" max="6" width="14.87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4.5" bestFit="1" customWidth="1"/>
    <col min="22" max="22" width="8.75" bestFit="1" customWidth="1"/>
    <col min="23" max="23" width="11.625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1393</v>
      </c>
      <c r="D2" s="119">
        <v>520017484</v>
      </c>
      <c r="E2" s="118" t="s">
        <v>308</v>
      </c>
      <c r="F2" s="118" t="s">
        <v>1393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1211</v>
      </c>
      <c r="Q2" s="118" t="s">
        <v>313</v>
      </c>
      <c r="R2" s="118" t="s">
        <v>890</v>
      </c>
      <c r="S2" s="122">
        <v>45291</v>
      </c>
      <c r="T2" s="122"/>
      <c r="U2" s="120">
        <v>1</v>
      </c>
      <c r="V2" s="120">
        <v>1</v>
      </c>
      <c r="W2" s="120">
        <v>0.01</v>
      </c>
      <c r="X2" s="120">
        <v>9.9999999999999995E-7</v>
      </c>
      <c r="Y2" s="121">
        <v>7.4100000000000001E-4</v>
      </c>
      <c r="Z2" s="121">
        <v>0</v>
      </c>
    </row>
    <row r="3" spans="1:26" ht="15" customHeight="1">
      <c r="A3" s="119">
        <v>307</v>
      </c>
      <c r="B3" s="119">
        <v>307</v>
      </c>
      <c r="C3" s="118" t="s">
        <v>1394</v>
      </c>
      <c r="D3" s="119">
        <v>520028473</v>
      </c>
      <c r="E3" s="118" t="s">
        <v>308</v>
      </c>
      <c r="F3" s="118" t="s">
        <v>1395</v>
      </c>
      <c r="G3" s="119">
        <v>729848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338</v>
      </c>
      <c r="O3" s="122">
        <v>24473</v>
      </c>
      <c r="P3" s="118" t="s">
        <v>1211</v>
      </c>
      <c r="Q3" s="118" t="s">
        <v>313</v>
      </c>
      <c r="R3" s="118" t="s">
        <v>890</v>
      </c>
      <c r="S3" s="122">
        <v>45291</v>
      </c>
      <c r="T3" s="118"/>
      <c r="U3" s="120">
        <v>23017</v>
      </c>
      <c r="V3" s="120">
        <v>1</v>
      </c>
      <c r="W3" s="120">
        <v>9.9999999999999995E-7</v>
      </c>
      <c r="X3" s="120">
        <v>9.9999999999999995E-7</v>
      </c>
      <c r="Y3" s="121">
        <v>7.4100000000000001E-4</v>
      </c>
      <c r="Z3" s="121">
        <v>0</v>
      </c>
    </row>
    <row r="4" spans="1:26" ht="15" customHeight="1">
      <c r="A4" s="119">
        <v>307</v>
      </c>
      <c r="B4" s="119">
        <v>307</v>
      </c>
      <c r="C4" s="118" t="s">
        <v>1394</v>
      </c>
      <c r="D4" s="119">
        <v>520028473</v>
      </c>
      <c r="E4" s="118" t="s">
        <v>308</v>
      </c>
      <c r="F4" s="118" t="s">
        <v>1396</v>
      </c>
      <c r="G4" s="119">
        <v>729830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338</v>
      </c>
      <c r="O4" s="122">
        <v>24473</v>
      </c>
      <c r="P4" s="118" t="s">
        <v>1211</v>
      </c>
      <c r="Q4" s="118" t="s">
        <v>313</v>
      </c>
      <c r="R4" s="118" t="s">
        <v>890</v>
      </c>
      <c r="S4" s="122">
        <v>45291</v>
      </c>
      <c r="T4" s="118"/>
      <c r="U4" s="120">
        <v>309954</v>
      </c>
      <c r="V4" s="120">
        <v>1</v>
      </c>
      <c r="W4" s="120">
        <v>9.9999999999999995E-7</v>
      </c>
      <c r="X4" s="120">
        <v>9.9999999999999995E-7</v>
      </c>
      <c r="Y4" s="121">
        <v>7.4100000000000001E-4</v>
      </c>
      <c r="Z4" s="121">
        <v>0</v>
      </c>
    </row>
    <row r="5" spans="1:26" ht="15" customHeight="1">
      <c r="A5" s="119">
        <v>307</v>
      </c>
      <c r="B5" s="119">
        <v>307</v>
      </c>
      <c r="C5" s="118" t="s">
        <v>1394</v>
      </c>
      <c r="D5" s="119">
        <v>520028473</v>
      </c>
      <c r="E5" s="118" t="s">
        <v>308</v>
      </c>
      <c r="F5" s="118" t="s">
        <v>1397</v>
      </c>
      <c r="G5" s="119">
        <v>729822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338</v>
      </c>
      <c r="O5" s="122">
        <v>24473</v>
      </c>
      <c r="P5" s="118" t="s">
        <v>1211</v>
      </c>
      <c r="Q5" s="118" t="s">
        <v>313</v>
      </c>
      <c r="R5" s="118" t="s">
        <v>890</v>
      </c>
      <c r="S5" s="122">
        <v>45291</v>
      </c>
      <c r="T5" s="118"/>
      <c r="U5" s="120">
        <v>107338</v>
      </c>
      <c r="V5" s="120">
        <v>1</v>
      </c>
      <c r="W5" s="120">
        <v>9.9999999999999995E-7</v>
      </c>
      <c r="X5" s="120">
        <v>9.9999999999999995E-7</v>
      </c>
      <c r="Y5" s="121">
        <v>7.4100000000000001E-4</v>
      </c>
      <c r="Z5" s="121">
        <v>0</v>
      </c>
    </row>
    <row r="6" spans="1:26" ht="15" customHeight="1">
      <c r="A6" s="119">
        <v>307</v>
      </c>
      <c r="B6" s="119">
        <v>307</v>
      </c>
      <c r="C6" s="118" t="s">
        <v>1394</v>
      </c>
      <c r="D6" s="119">
        <v>520028473</v>
      </c>
      <c r="E6" s="118" t="s">
        <v>308</v>
      </c>
      <c r="F6" s="118" t="s">
        <v>1398</v>
      </c>
      <c r="G6" s="119">
        <v>729814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338</v>
      </c>
      <c r="O6" s="122">
        <v>24473</v>
      </c>
      <c r="P6" s="118" t="s">
        <v>1211</v>
      </c>
      <c r="Q6" s="118" t="s">
        <v>313</v>
      </c>
      <c r="R6" s="118" t="s">
        <v>890</v>
      </c>
      <c r="S6" s="122">
        <v>45291</v>
      </c>
      <c r="T6" s="118"/>
      <c r="U6" s="120">
        <v>43086</v>
      </c>
      <c r="V6" s="120">
        <v>1</v>
      </c>
      <c r="W6" s="120">
        <v>9.9999999999999995E-7</v>
      </c>
      <c r="X6" s="120">
        <v>9.9999999999999995E-7</v>
      </c>
      <c r="Y6" s="121">
        <v>7.4100000000000001E-4</v>
      </c>
      <c r="Z6" s="121">
        <v>0</v>
      </c>
    </row>
    <row r="7" spans="1:26" ht="15" customHeight="1">
      <c r="A7" s="119">
        <v>307</v>
      </c>
      <c r="B7" s="119">
        <v>307</v>
      </c>
      <c r="C7" s="118" t="s">
        <v>1399</v>
      </c>
      <c r="D7" s="119">
        <v>520025495</v>
      </c>
      <c r="E7" s="118" t="s">
        <v>308</v>
      </c>
      <c r="F7" s="118" t="s">
        <v>1400</v>
      </c>
      <c r="G7" s="119">
        <v>729749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338</v>
      </c>
      <c r="O7" s="122">
        <v>24473</v>
      </c>
      <c r="P7" s="118" t="s">
        <v>1211</v>
      </c>
      <c r="Q7" s="118" t="s">
        <v>313</v>
      </c>
      <c r="R7" s="118" t="s">
        <v>890</v>
      </c>
      <c r="S7" s="122">
        <v>45291</v>
      </c>
      <c r="T7" s="118"/>
      <c r="U7" s="120">
        <v>93849730</v>
      </c>
      <c r="V7" s="120">
        <v>1</v>
      </c>
      <c r="W7" s="120">
        <v>9.9999999999999995E-7</v>
      </c>
      <c r="X7" s="120">
        <v>9.3999999999999997E-4</v>
      </c>
      <c r="Y7" s="121">
        <v>0.69681199999999999</v>
      </c>
      <c r="Z7" s="121">
        <v>0</v>
      </c>
    </row>
    <row r="8" spans="1:26" ht="15" customHeight="1">
      <c r="A8" s="119">
        <v>307</v>
      </c>
      <c r="B8" s="119">
        <v>307</v>
      </c>
      <c r="C8" s="118" t="s">
        <v>1401</v>
      </c>
      <c r="D8" s="119">
        <v>520025495</v>
      </c>
      <c r="E8" s="118" t="s">
        <v>308</v>
      </c>
      <c r="F8" s="118" t="s">
        <v>1402</v>
      </c>
      <c r="G8" s="119">
        <v>729731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24473</v>
      </c>
      <c r="P8" s="118" t="s">
        <v>1211</v>
      </c>
      <c r="Q8" s="118" t="s">
        <v>313</v>
      </c>
      <c r="R8" s="118" t="s">
        <v>890</v>
      </c>
      <c r="S8" s="122">
        <v>45291</v>
      </c>
      <c r="T8" s="118"/>
      <c r="U8" s="120">
        <v>27701</v>
      </c>
      <c r="V8" s="120">
        <v>1</v>
      </c>
      <c r="W8" s="120">
        <v>9.9999999999999995E-7</v>
      </c>
      <c r="X8" s="120">
        <v>9.9999999999999995E-7</v>
      </c>
      <c r="Y8" s="121">
        <v>7.4100000000000001E-4</v>
      </c>
      <c r="Z8" s="121">
        <v>0</v>
      </c>
    </row>
    <row r="9" spans="1:26" ht="15" customHeight="1">
      <c r="A9" s="119">
        <v>307</v>
      </c>
      <c r="B9" s="119">
        <v>307</v>
      </c>
      <c r="C9" s="118" t="s">
        <v>1403</v>
      </c>
      <c r="D9" s="119">
        <v>520023474</v>
      </c>
      <c r="E9" s="118" t="s">
        <v>308</v>
      </c>
      <c r="F9" s="118" t="s">
        <v>1404</v>
      </c>
      <c r="G9" s="119">
        <v>634022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22340</v>
      </c>
      <c r="P9" s="118" t="s">
        <v>1211</v>
      </c>
      <c r="Q9" s="118" t="s">
        <v>313</v>
      </c>
      <c r="R9" s="118" t="s">
        <v>890</v>
      </c>
      <c r="S9" s="122">
        <v>45291</v>
      </c>
      <c r="T9" s="118"/>
      <c r="U9" s="120">
        <v>3893.2</v>
      </c>
      <c r="V9" s="120">
        <v>1</v>
      </c>
      <c r="W9" s="120">
        <v>0.01</v>
      </c>
      <c r="X9" s="120">
        <v>3.8999999999999999E-4</v>
      </c>
      <c r="Y9" s="121">
        <v>0.289103</v>
      </c>
      <c r="Z9" s="121">
        <v>0</v>
      </c>
    </row>
    <row r="10" spans="1:26" ht="15" customHeight="1">
      <c r="A10" s="119">
        <v>307</v>
      </c>
      <c r="B10" s="119">
        <v>307</v>
      </c>
      <c r="C10" s="118" t="s">
        <v>1405</v>
      </c>
      <c r="D10" s="119">
        <v>520017708</v>
      </c>
      <c r="E10" s="118" t="s">
        <v>308</v>
      </c>
      <c r="F10" s="118" t="s">
        <v>1406</v>
      </c>
      <c r="G10" s="119">
        <v>44024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18811</v>
      </c>
      <c r="P10" s="118" t="s">
        <v>1211</v>
      </c>
      <c r="Q10" s="118" t="s">
        <v>313</v>
      </c>
      <c r="R10" s="118" t="s">
        <v>890</v>
      </c>
      <c r="S10" s="122">
        <v>45291</v>
      </c>
      <c r="T10" s="118"/>
      <c r="U10" s="120">
        <v>1</v>
      </c>
      <c r="V10" s="120">
        <v>1</v>
      </c>
      <c r="W10" s="120">
        <v>0.01</v>
      </c>
      <c r="X10" s="120">
        <v>9.9999999999999995E-7</v>
      </c>
      <c r="Y10" s="121">
        <v>7.4100000000000001E-4</v>
      </c>
      <c r="Z10" s="121">
        <v>0</v>
      </c>
    </row>
    <row r="11" spans="1:26" ht="15" customHeight="1">
      <c r="A11" s="119">
        <v>307</v>
      </c>
      <c r="B11" s="119">
        <v>307</v>
      </c>
      <c r="C11" s="118" t="s">
        <v>1401</v>
      </c>
      <c r="D11" s="119">
        <v>520025495</v>
      </c>
      <c r="E11" s="118" t="s">
        <v>308</v>
      </c>
      <c r="F11" s="118" t="s">
        <v>1407</v>
      </c>
      <c r="G11" s="119">
        <v>23275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24473</v>
      </c>
      <c r="P11" s="118" t="s">
        <v>1211</v>
      </c>
      <c r="Q11" s="118" t="s">
        <v>313</v>
      </c>
      <c r="R11" s="118" t="s">
        <v>890</v>
      </c>
      <c r="S11" s="122">
        <v>45291</v>
      </c>
      <c r="T11" s="118"/>
      <c r="U11" s="120">
        <v>42924</v>
      </c>
      <c r="V11" s="120">
        <v>1</v>
      </c>
      <c r="W11" s="120">
        <v>9.9999999999999995E-7</v>
      </c>
      <c r="X11" s="120">
        <v>9.9999999999999995E-7</v>
      </c>
      <c r="Y11" s="121">
        <v>7.4100000000000001E-4</v>
      </c>
      <c r="Z11" s="121">
        <v>0</v>
      </c>
    </row>
    <row r="12" spans="1:26" ht="15" customHeight="1">
      <c r="A12" s="119">
        <v>307</v>
      </c>
      <c r="B12" s="119">
        <v>307</v>
      </c>
      <c r="C12" s="118" t="s">
        <v>1399</v>
      </c>
      <c r="D12" s="119">
        <v>520025495</v>
      </c>
      <c r="E12" s="118" t="s">
        <v>308</v>
      </c>
      <c r="F12" s="118" t="s">
        <v>1408</v>
      </c>
      <c r="G12" s="119">
        <v>729970</v>
      </c>
      <c r="H12" s="118" t="s">
        <v>311</v>
      </c>
      <c r="I12" s="118" t="s">
        <v>764</v>
      </c>
      <c r="J12" s="118" t="s">
        <v>203</v>
      </c>
      <c r="K12" s="118" t="s">
        <v>203</v>
      </c>
      <c r="L12" s="118" t="s">
        <v>325</v>
      </c>
      <c r="M12" s="118" t="s">
        <v>313</v>
      </c>
      <c r="N12" s="118" t="s">
        <v>338</v>
      </c>
      <c r="O12" s="122">
        <v>24473</v>
      </c>
      <c r="P12" s="118" t="s">
        <v>1211</v>
      </c>
      <c r="Q12" s="118" t="s">
        <v>313</v>
      </c>
      <c r="R12" s="118" t="s">
        <v>890</v>
      </c>
      <c r="S12" s="122">
        <v>45291</v>
      </c>
      <c r="T12" s="118"/>
      <c r="U12" s="120">
        <v>800000</v>
      </c>
      <c r="V12" s="120">
        <v>1</v>
      </c>
      <c r="W12" s="120">
        <v>9.9999999999999995E-7</v>
      </c>
      <c r="X12" s="120">
        <v>1.0000000000000001E-5</v>
      </c>
      <c r="Y12" s="121">
        <v>7.4120000000000002E-3</v>
      </c>
      <c r="Z12" s="121">
        <v>0</v>
      </c>
    </row>
    <row r="13" spans="1:26" ht="15" customHeight="1">
      <c r="A13" s="119">
        <v>307</v>
      </c>
      <c r="B13" s="119">
        <v>307</v>
      </c>
      <c r="C13" s="118" t="s">
        <v>1409</v>
      </c>
      <c r="D13" s="119">
        <v>520020579</v>
      </c>
      <c r="E13" s="118" t="s">
        <v>308</v>
      </c>
      <c r="F13" s="118" t="s">
        <v>1410</v>
      </c>
      <c r="G13" s="119">
        <v>797027</v>
      </c>
      <c r="H13" s="118" t="s">
        <v>311</v>
      </c>
      <c r="I13" s="118" t="s">
        <v>764</v>
      </c>
      <c r="J13" s="118" t="s">
        <v>203</v>
      </c>
      <c r="K13" s="118" t="s">
        <v>203</v>
      </c>
      <c r="L13" s="118" t="s">
        <v>325</v>
      </c>
      <c r="M13" s="118" t="s">
        <v>313</v>
      </c>
      <c r="N13" s="118" t="s">
        <v>338</v>
      </c>
      <c r="O13" s="122">
        <v>24965</v>
      </c>
      <c r="P13" s="118" t="s">
        <v>1211</v>
      </c>
      <c r="Q13" s="118" t="s">
        <v>313</v>
      </c>
      <c r="R13" s="118" t="s">
        <v>890</v>
      </c>
      <c r="S13" s="122">
        <v>45291</v>
      </c>
      <c r="T13" s="118"/>
      <c r="U13" s="120">
        <v>9.5</v>
      </c>
      <c r="V13" s="120">
        <v>1</v>
      </c>
      <c r="W13" s="120">
        <v>0.01</v>
      </c>
      <c r="X13" s="120">
        <v>9.9999999999999995E-7</v>
      </c>
      <c r="Y13" s="121">
        <v>7.4100000000000001E-4</v>
      </c>
      <c r="Z13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A6" sqref="A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F1" workbookViewId="0">
      <selection activeCell="AB4" sqref="AB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H1" workbookViewId="0">
      <selection activeCell="AD2" sqref="A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0.375" bestFit="1" customWidth="1"/>
    <col min="6" max="6" width="9.25" bestFit="1" customWidth="1"/>
    <col min="7" max="7" width="8" bestFit="1" customWidth="1"/>
    <col min="8" max="8" width="9.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8" bestFit="1" customWidth="1"/>
    <col min="15" max="15" width="9.25" bestFit="1" customWidth="1"/>
    <col min="16" max="16" width="9.75" bestFit="1" customWidth="1"/>
    <col min="17" max="17" width="8.75" bestFit="1" customWidth="1"/>
    <col min="18" max="18" width="11.125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4.375" bestFit="1" customWidth="1"/>
    <col min="25" max="25" width="9.625" bestFit="1" customWidth="1"/>
    <col min="26" max="26" width="9.2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25" t="s">
        <v>65</v>
      </c>
    </row>
    <row r="2" spans="1:41" ht="15" customHeight="1">
      <c r="A2" s="119">
        <v>307</v>
      </c>
      <c r="B2" s="119">
        <v>307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topLeftCell="AE1" workbookViewId="0">
      <selection activeCell="AI3" sqref="AI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875" bestFit="1" customWidth="1"/>
    <col min="44" max="44" width="10" bestFit="1" customWidth="1"/>
    <col min="45" max="45" width="9.25" bestFit="1" customWidth="1"/>
    <col min="46" max="46" width="9.875" bestFit="1" customWidth="1"/>
    <col min="47" max="47" width="7.875" bestFit="1" customWidth="1"/>
    <col min="48" max="48" width="9.875" bestFit="1" customWidth="1"/>
    <col min="49" max="49" width="7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307</v>
      </c>
      <c r="B2" s="119">
        <v>307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S1" workbookViewId="0">
      <selection activeCell="AM2" sqref="AM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D2" sqref="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B2" sqref="B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T5" sqref="T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1411</v>
      </c>
      <c r="D2" s="119">
        <v>7893825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1211</v>
      </c>
      <c r="K2" s="122">
        <v>45473</v>
      </c>
      <c r="L2" s="120">
        <v>1721217.1802000001</v>
      </c>
      <c r="M2" s="120">
        <v>1</v>
      </c>
      <c r="N2" s="120">
        <v>1721217.1802000001</v>
      </c>
      <c r="O2" s="120"/>
      <c r="P2" s="118"/>
      <c r="Q2" s="121">
        <v>0.98794599999999999</v>
      </c>
      <c r="R2" s="121">
        <v>0.62150899999999998</v>
      </c>
    </row>
    <row r="3" spans="1:26" ht="15" customHeight="1">
      <c r="A3" s="119">
        <v>307</v>
      </c>
      <c r="B3" s="119">
        <v>307</v>
      </c>
      <c r="C3" s="118" t="s">
        <v>1412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1211</v>
      </c>
      <c r="K3" s="122">
        <v>45473</v>
      </c>
      <c r="L3" s="120">
        <v>21000</v>
      </c>
      <c r="M3" s="120">
        <v>1</v>
      </c>
      <c r="N3" s="120">
        <v>21000</v>
      </c>
      <c r="O3" s="118"/>
      <c r="P3" s="118"/>
      <c r="Q3" s="121">
        <v>1.2052999999999999E-2</v>
      </c>
      <c r="R3" s="121">
        <v>7.5820000000000002E-3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A688" sqref="A688:XFD689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2024-08-01T10:09:50Z</dcterms:modified>
</cp:coreProperties>
</file>