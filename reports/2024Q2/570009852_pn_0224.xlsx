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D252917B-2038-4641-B8D9-133274380413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הלוואות!$A$1:$BA$446</definedName>
    <definedName name="_xlnm._FilterDatabase" localSheetId="32" hidden="1">'מיפוי סעיפים'!$A$1:$D$795</definedName>
    <definedName name="_xlnm._FilterDatabase" localSheetId="19" hidden="1">'קרנות השקעה'!$A$1:$Z$370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7" i="2"/>
  <c r="B26" i="2"/>
  <c r="B21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<sst xmlns="http://schemas.openxmlformats.org/spreadsheetml/2006/main" count="21985" uniqueCount="2734">
  <si>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</si>
  <si>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</si>
  <si>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</si>
  <si>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</si>
  <si>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</si>
  <si>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</si>
  <si>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</si>
  <si>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</si>
  <si>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</si>
  <si>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</si>
  <si>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</si>
  <si>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</si>
  <si>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</si>
  <si>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</si>
  <si>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</si>
  <si>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</si>
  <si>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</si>
  <si>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</si>
  <si>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</si>
  <si>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</si>
  <si>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</si>
  <si>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</si>
  <si>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</si>
  <si>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</si>
  <si>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</si>
  <si>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</si>
  <si>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</si>
  <si>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</si>
  <si>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</si>
  <si>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</si>
  <si>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</si>
  <si>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</si>
  <si>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</si>
  <si>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</si>
  <si>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</si>
  <si>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</si>
  <si>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</si>
  <si>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</si>
  <si>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</si>
  <si>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</si>
  <si>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</si>
  <si>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</si>
  <si>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</si>
  <si>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</si>
  <si>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</si>
  <si>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</si>
  <si>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</si>
  <si>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</si>
  <si>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</si>
  <si>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</si>
  <si>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</si>
  <si>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</si>
  <si>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</si>
  <si>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</si>
  <si>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</si>
  <si>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</si>
  <si>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</si>
  <si>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</si>
  <si>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</si>
  <si>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</si>
  <si>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</si>
  <si>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</si>
  <si>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</si>
  <si>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</si>
  <si>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</si>
  <si>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</si>
  <si>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</si>
  <si>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</si>
  <si>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</si>
  <si>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</si>
  <si>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</si>
  <si>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</si>
  <si>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</si>
  <si>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</si>
  <si>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</si>
  <si>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</si>
  <si>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</si>
  <si>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</si>
  <si>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</si>
  <si>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</si>
  <si>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</si>
  <si>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</si>
  <si>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</si>
  <si>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</si>
  <si>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</si>
  <si>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</si>
  <si>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</si>
  <si>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</si>
  <si>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</si>
  <si>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</si>
  <si>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</si>
  <si>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</si>
  <si>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</si>
  <si>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</si>
  <si>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</si>
  <si>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</si>
  <si>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</si>
  <si>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</si>
  <si>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</si>
  <si>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</si>
  <si>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</si>
  <si>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</si>
  <si>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</si>
  <si>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</si>
  <si>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</si>
  <si>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</si>
  <si>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</si>
  <si>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</si>
  <si>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</si>
  <si>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</si>
  <si>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</si>
  <si>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</si>
  <si>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</si>
  <si>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</si>
  <si>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</si>
  <si>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</si>
  <si>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</si>
  <si>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</si>
  <si>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</si>
  <si>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</si>
  <si>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</si>
  <si>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</si>
  <si>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</si>
  <si>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</si>
  <si>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</si>
  <si>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</si>
  <si>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</si>
  <si>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</si>
  <si>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</si>
  <si>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</si>
  <si>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</si>
  <si>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</si>
  <si>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</si>
  <si>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</si>
  <si>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</si>
  <si>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</si>
  <si>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</si>
  <si>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</si>
  <si>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</si>
  <si>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</si>
  <si>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</si>
  <si>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</si>
  <si>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</si>
  <si>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</si>
  <si>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</si>
  <si>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</si>
  <si>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</si>
  <si>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</si>
  <si>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</si>
  <si>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</si>
  <si>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</si>
  <si>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</si>
  <si>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</si>
  <si>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</si>
  <si>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</si>
  <si>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</si>
  <si>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</si>
  <si>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</si>
  <si>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</si>
  <si>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</si>
  <si>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</si>
  <si>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</si>
  <si>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</si>
  <si>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</si>
  <si>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</si>
  <si>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</si>
  <si>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</si>
  <si>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</si>
  <si>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</si>
  <si>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</si>
  <si>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</si>
  <si>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</si>
  <si>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</si>
  <si>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</si>
  <si>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</si>
  <si>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</si>
  <si>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</si>
  <si>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</si>
  <si>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</si>
  <si>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</si>
  <si>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</si>
  <si>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</si>
  <si>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</si>
  <si>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</si>
  <si>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</si>
  <si>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</si>
  <si>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</si>
  <si>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</si>
  <si>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</si>
  <si>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</si>
  <si>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</si>
  <si>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</si>
  <si>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</si>
  <si>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</si>
  <si>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</si>
  <si>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</si>
  <si>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</si>
  <si>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</si>
  <si>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</si>
  <si>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</si>
  <si>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</si>
  <si>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</si>
  <si>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</si>
  <si>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</si>
  <si>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</si>
  <si>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</si>
  <si>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</si>
  <si>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</si>
  <si>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</si>
  <si>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</si>
  <si>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</si>
  <si>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</si>
  <si>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</si>
  <si>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</si>
  <si>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</si>
  <si>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</si>
  <si>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</si>
  <si>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</si>
  <si>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</si>
  <si>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</si>
  <si>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</si>
  <si>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</si>
  <si>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</si>
  <si>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</si>
  <si>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</si>
  <si>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</si>
  <si>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</si>
  <si>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</si>
  <si>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</si>
  <si>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</si>
  <si>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</si>
  <si>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</si>
  <si>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</si>
  <si>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</si>
  <si>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</si>
  <si>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</si>
  <si>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</si>
  <si>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</si>
  <si>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</si>
  <si>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</si>
  <si>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</si>
  <si>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</si>
  <si>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</si>
  <si>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</si>
  <si>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</si>
  <si>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</si>
  <si>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</si>
  <si>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</si>
  <si>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</si>
  <si>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</si>
  <si>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</si>
  <si>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</si>
  <si>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</si>
  <si>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</si>
  <si>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</si>
  <si>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</si>
  <si>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</si>
  <si>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</si>
  <si>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</si>
  <si>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</si>
  <si>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</si>
  <si>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</si>
  <si>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</si>
  <si>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</si>
  <si>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</si>
  <si>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</si>
  <si>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</si>
  <si>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</si>
  <si>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</si>
  <si>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</si>
  <si>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</si>
  <si>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</si>
  <si>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</si>
  <si>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</si>
  <si>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</si>
  <si>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</si>
  <si>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</si>
  <si>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</si>
  <si>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</si>
  <si>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</si>
  <si>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</si>
  <si>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</si>
  <si>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</si>
  <si>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</si>
  <si>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</si>
  <si>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</si>
  <si>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</si>
  <si>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</si>
  <si>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</si>
  <si>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</si>
  <si>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</si>
  <si>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</si>
  <si>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</si>
  <si>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</si>
  <si>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</si>
  <si>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</si>
  <si>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</si>
  <si>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</si>
  <si>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</si>
  <si>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</si>
  <si>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</si>
  <si>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</si>
  <si>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</si>
  <si>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</si>
  <si>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</si>
  <si>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</si>
  <si>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</si>
  <si>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</si>
  <si>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</si>
  <si>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</si>
  <si>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</si>
  <si>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</si>
  <si>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</si>
  <si>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</si>
  <si>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</si>
  <si>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</si>
  <si>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</si>
  <si>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</si>
  <si>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</si>
  <si>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</si>
  <si>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</si>
  <si>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</si>
  <si>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</si>
  <si>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</si>
  <si>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</si>
  <si>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</si>
  <si>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</si>
  <si>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</si>
  <si>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</si>
  <si>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</si>
  <si>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</si>
  <si>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</si>
  <si>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</si>
  <si>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</si>
  <si>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</si>
  <si>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</si>
  <si>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</si>
  <si>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</si>
  <si>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</si>
  <si>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</si>
  <si>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</si>
  <si>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</si>
  <si>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</si>
  <si>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</si>
  <si>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</si>
  <si>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</si>
  <si>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</si>
  <si>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</si>
  <si>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</si>
  <si>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</si>
  <si>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</si>
  <si>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</si>
  <si>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</si>
  <si>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</si>
  <si>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</si>
  <si>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</si>
  <si>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</si>
  <si>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</si>
  <si>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</si>
  <si>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</si>
  <si>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</si>
  <si>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</si>
  <si>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</si>
  <si>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</si>
  <si>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</si>
  <si>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</si>
  <si>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</si>
  <si>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</si>
  <si>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</si>
  <si>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</si>
  <si>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</si>
  <si>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</si>
  <si>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</si>
  <si>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</si>
  <si>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</si>
  <si>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</si>
  <si>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</si>
  <si>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</si>
  <si>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</si>
  <si>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</si>
  <si>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</si>
  <si>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</si>
  <si>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</si>
  <si>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</si>
  <si>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</si>
  <si>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</si>
  <si>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</si>
  <si>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</si>
  <si>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</si>
  <si>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</si>
  <si>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</si>
  <si>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</si>
  <si>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</si>
  <si>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</si>
  <si>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</si>
  <si>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</si>
  <si>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</si>
  <si>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</si>
  <si>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</si>
  <si>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</si>
  <si>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</si>
  <si>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</si>
  <si>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</si>
  <si>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</si>
  <si>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</si>
  <si>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</si>
  <si>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</si>
  <si>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</si>
  <si>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</si>
  <si>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</si>
  <si>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</si>
  <si>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</si>
  <si>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</si>
  <si>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</si>
  <si>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</si>
  <si>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</si>
  <si>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</si>
  <si>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</si>
  <si>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</si>
  <si>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</si>
  <si>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</si>
  <si>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</si>
  <si>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</si>
  <si>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</si>
  <si>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</si>
  <si>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</si>
  <si>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</si>
  <si>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</si>
  <si>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</si>
  <si>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</si>
  <si>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</si>
  <si>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</si>
  <si>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</si>
  <si>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</si>
  <si>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</si>
  <si>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</si>
  <si>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</si>
  <si>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</si>
  <si>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</si>
  <si>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</si>
  <si>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</si>
  <si>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</si>
  <si>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</si>
  <si>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</si>
  <si>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</si>
  <si>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</si>
  <si>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</si>
  <si>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</si>
  <si>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</si>
  <si>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</si>
  <si>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</si>
  <si>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</si>
  <si>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</si>
  <si>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</si>
  <si>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</si>
  <si>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</si>
  <si>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</si>
  <si>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</si>
  <si>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</si>
  <si>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</si>
  <si>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</si>
  <si>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</si>
  <si>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</si>
  <si>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</si>
  <si>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</si>
  <si>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</si>
  <si>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</si>
  <si>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</si>
  <si>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</si>
  <si>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</si>
  <si>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</si>
  <si>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</si>
  <si>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</si>
  <si>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</si>
  <si>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</si>
  <si>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</si>
  <si>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</si>
  <si>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</si>
  <si>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</si>
  <si>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</si>
  <si>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</si>
  <si>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</si>
  <si>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</si>
  <si>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</si>
  <si>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</si>
  <si>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</si>
  <si>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</si>
  <si>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</si>
  <si>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</si>
  <si>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</si>
  <si>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</si>
  <si>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</si>
  <si>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</si>
  <si>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</si>
  <si>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</si>
  <si>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</si>
  <si>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</si>
  <si>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</si>
  <si>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</si>
  <si>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</si>
  <si>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</si>
  <si>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</si>
  <si>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</si>
  <si>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</si>
  <si>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</si>
  <si>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</si>
  <si>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</si>
  <si>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</si>
  <si>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</si>
  <si>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</si>
  <si>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</si>
  <si>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</si>
  <si>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</si>
  <si>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</si>
  <si>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</si>
  <si>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</si>
  <si>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</si>
  <si>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</si>
  <si>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</si>
  <si>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</si>
  <si>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</si>
  <si>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</si>
  <si>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</si>
  <si>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</si>
  <si>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</si>
  <si>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</si>
  <si>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</si>
  <si>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</si>
  <si>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</si>
  <si>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</si>
  <si>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</si>
  <si>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</si>
  <si>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</si>
  <si>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</si>
  <si>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</si>
  <si>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</si>
  <si>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</si>
  <si>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</si>
  <si>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</si>
  <si>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</si>
  <si>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</si>
  <si>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</si>
  <si>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</si>
  <si>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</si>
  <si>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</si>
  <si>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</si>
  <si>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</si>
  <si>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</si>
  <si>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</si>
  <si>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</si>
  <si>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</si>
  <si>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</si>
  <si>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</si>
  <si>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</si>
  <si>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</si>
  <si>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</si>
  <si>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</si>
  <si>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</si>
  <si>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</si>
  <si>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</si>
  <si>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</si>
  <si>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</si>
  <si>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</si>
  <si>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</si>
  <si>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</si>
  <si>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</si>
  <si>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</si>
  <si>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</si>
  <si>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</si>
  <si>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</si>
  <si>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</si>
  <si>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</si>
  <si>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</si>
  <si>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</si>
  <si>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</si>
  <si>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</si>
  <si>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</si>
  <si>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</si>
  <si>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</si>
  <si>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</si>
  <si>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</si>
  <si>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</si>
  <si>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</si>
  <si>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</si>
  <si>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</si>
  <si>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</si>
  <si>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</si>
  <si>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</si>
  <si>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</si>
  <si>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</si>
  <si>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</si>
  <si>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</si>
  <si>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</si>
  <si>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</si>
  <si>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</si>
  <si>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</si>
  <si>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</si>
  <si>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</si>
  <si>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</si>
  <si>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</si>
  <si>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</si>
  <si>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</si>
  <si>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</si>
  <si>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</si>
  <si>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</si>
  <si>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</si>
  <si>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</si>
  <si>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</si>
  <si>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</si>
  <si>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</si>
  <si>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</si>
  <si>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</si>
  <si>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</si>
  <si>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</si>
  <si>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</si>
  <si>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</si>
  <si>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</si>
  <si>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</si>
  <si>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</si>
  <si>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</si>
  <si>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</si>
  <si>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</si>
  <si>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</si>
  <si>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</si>
  <si>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</si>
  <si>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</si>
  <si>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</si>
  <si>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</si>
  <si>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</si>
  <si>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</si>
  <si>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</si>
  <si>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</si>
  <si>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</si>
  <si>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</si>
  <si>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</si>
  <si>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</si>
  <si>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</si>
  <si>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</si>
  <si>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</si>
  <si>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</si>
  <si>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</si>
  <si>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</si>
  <si>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</si>
  <si>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</si>
  <si>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</si>
  <si>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</si>
  <si>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</si>
  <si>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</si>
  <si>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</si>
  <si>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</si>
  <si>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</si>
  <si>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</si>
  <si>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</si>
  <si>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</si>
  <si>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</si>
  <si>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</si>
  <si>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</si>
  <si>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</si>
  <si>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</si>
  <si>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</si>
  <si>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</si>
  <si>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</si>
  <si>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</si>
  <si>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</si>
  <si>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</si>
  <si>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</si>
  <si>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</si>
  <si>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</si>
  <si>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</si>
  <si>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</si>
  <si>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</si>
  <si>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</si>
  <si>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</si>
  <si>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</si>
  <si>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</si>
  <si>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</si>
  <si>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</si>
  <si>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</si>
  <si>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</si>
  <si>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</si>
  <si>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</si>
  <si>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</si>
  <si>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</si>
  <si>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</si>
  <si>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</si>
  <si>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</si>
  <si>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</si>
  <si>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</si>
  <si>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</si>
  <si>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</si>
  <si>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</si>
  <si>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</si>
  <si>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</si>
  <si>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</si>
  <si>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</si>
  <si>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</si>
  <si>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</si>
  <si>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</si>
  <si>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</si>
  <si>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</si>
  <si>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</si>
  <si>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</si>
  <si>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</si>
  <si>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</si>
  <si>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</si>
  <si>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</si>
  <si>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</si>
  <si>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</si>
  <si>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</si>
  <si>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</si>
  <si>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</si>
  <si>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</si>
  <si>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</si>
  <si>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</si>
  <si>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</si>
  <si>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</si>
  <si>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</si>
  <si>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</si>
  <si>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</si>
  <si>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</si>
  <si>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</si>
  <si>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</si>
  <si>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</si>
  <si>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</si>
  <si>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</si>
  <si>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</si>
  <si>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</si>
  <si>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</si>
  <si>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</si>
  <si>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</si>
  <si>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</si>
  <si>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</si>
  <si>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</si>
  <si>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</si>
  <si>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</si>
  <si>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</si>
  <si>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</si>
  <si>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</si>
  <si>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</si>
  <si>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</si>
  <si>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</si>
  <si>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</si>
  <si>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</si>
  <si>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</si>
  <si>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</si>
  <si>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</si>
  <si>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</si>
  <si>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</si>
  <si>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</si>
  <si>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</si>
  <si>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</si>
  <si>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</si>
  <si>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</si>
  <si>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</si>
  <si>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</si>
  <si>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</si>
  <si>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</si>
  <si>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</si>
  <si>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</si>
  <si>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</si>
  <si>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</si>
  <si>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</si>
  <si>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</si>
  <si>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</si>
  <si>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</si>
  <si>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</si>
  <si>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</si>
  <si>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</si>
  <si>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</si>
  <si>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</si>
  <si>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</si>
  <si>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</si>
  <si>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</si>
  <si>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</si>
  <si>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</si>
  <si>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</si>
  <si>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</si>
  <si>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</si>
  <si>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</si>
  <si>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</si>
  <si>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</si>
  <si>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</si>
  <si>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</si>
  <si>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</si>
  <si>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</si>
  <si>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</si>
  <si>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</si>
  <si>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</si>
  <si>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</si>
  <si>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</si>
  <si>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</si>
  <si>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</si>
  <si>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</si>
  <si>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</si>
  <si>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</si>
  <si>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</si>
  <si>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</si>
  <si>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</si>
  <si>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</si>
  <si>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</si>
  <si>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</si>
  <si>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</si>
  <si>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</si>
  <si>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</si>
  <si>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</si>
  <si>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</si>
  <si>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</si>
  <si>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</si>
  <si>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</si>
  <si>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</si>
  <si>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</si>
  <si>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</si>
  <si>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</si>
  <si>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</si>
  <si>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</si>
  <si>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</si>
  <si>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</si>
  <si>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</si>
  <si>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</si>
  <si>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</si>
  <si>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</si>
  <si>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</si>
  <si>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</si>
  <si>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</si>
  <si>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</si>
  <si>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</si>
  <si>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</si>
  <si>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</si>
  <si>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</si>
  <si>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</si>
  <si>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</si>
  <si>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</si>
  <si>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</si>
  <si>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</si>
  <si>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</si>
  <si>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</si>
  <si>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</si>
  <si>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</si>
  <si>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</si>
  <si>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</si>
  <si>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</si>
  <si>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</si>
  <si>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</si>
  <si>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</si>
  <si>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</si>
  <si>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</si>
  <si>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</si>
  <si>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</si>
  <si>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</si>
  <si>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</si>
  <si>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</si>
  <si>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</si>
  <si>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</si>
  <si>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</si>
  <si>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</si>
  <si>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</si>
  <si>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</si>
  <si>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</si>
  <si>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</si>
  <si>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</si>
  <si>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</si>
  <si>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</si>
  <si>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</si>
  <si>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</si>
  <si>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</si>
  <si>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</si>
  <si>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</si>
  <si>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</si>
  <si>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</si>
  <si>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</si>
  <si>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</si>
  <si>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</si>
  <si>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</si>
  <si>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</si>
  <si>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</si>
  <si>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</si>
  <si>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</si>
  <si>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</si>
  <si>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</si>
  <si>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</si>
  <si>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</si>
  <si>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</si>
  <si>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</si>
  <si>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</si>
  <si>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</si>
  <si>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</si>
  <si>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</si>
  <si>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</si>
  <si>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</si>
  <si>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</si>
  <si>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</si>
  <si>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</si>
  <si>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</si>
  <si>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</si>
  <si>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</si>
  <si>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</si>
  <si>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</si>
  <si>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</si>
  <si>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</si>
  <si>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</si>
  <si>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</si>
  <si>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</si>
  <si>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</si>
  <si>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</si>
  <si>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</si>
  <si>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</si>
  <si>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</si>
  <si>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</si>
  <si>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</si>
  <si>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</si>
  <si>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</si>
  <si>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</si>
  <si>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</si>
  <si>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</si>
  <si>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</si>
  <si>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</si>
  <si>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</si>
  <si>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</si>
  <si>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</si>
  <si>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</si>
  <si>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</si>
  <si>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</si>
  <si>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</si>
  <si>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</si>
  <si>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</si>
  <si>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</si>
  <si>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</si>
  <si>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</si>
  <si>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</si>
  <si>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</si>
  <si>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</si>
  <si>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</si>
  <si>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</si>
  <si>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</si>
  <si>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</si>
  <si>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</si>
  <si>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</si>
  <si>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</si>
  <si>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</si>
  <si>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</si>
  <si>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</si>
  <si>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</si>
  <si>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</si>
  <si>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</si>
  <si>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</si>
  <si>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</si>
  <si>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</si>
  <si>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</si>
  <si>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</si>
  <si>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</si>
  <si>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</si>
  <si>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</si>
  <si>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</si>
  <si>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</si>
  <si>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</si>
  <si>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</si>
  <si>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</si>
  <si>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</si>
  <si>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</si>
  <si>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</si>
  <si>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</si>
  <si>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</si>
  <si>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</si>
  <si>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</si>
  <si>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</si>
  <si>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</si>
  <si>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</si>
  <si>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</si>
  <si>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</si>
  <si>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</si>
  <si>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</si>
  <si>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</si>
  <si>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</si>
  <si>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</si>
  <si>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</si>
  <si>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</si>
  <si>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</si>
  <si>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</si>
  <si>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</si>
  <si>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</si>
  <si>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</si>
  <si>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</si>
  <si>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</si>
  <si>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</si>
  <si>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</si>
  <si>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</si>
  <si>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</si>
  <si>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</si>
  <si>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</si>
  <si>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</si>
  <si>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</si>
  <si>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</si>
  <si>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</si>
  <si>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</si>
  <si>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</si>
  <si>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</si>
  <si>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</si>
  <si>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</si>
  <si>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</si>
  <si>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</si>
  <si>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</si>
  <si>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</si>
  <si>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</si>
  <si>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</si>
  <si>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</si>
  <si>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</si>
  <si>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</si>
  <si>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</si>
  <si>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</si>
  <si>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</si>
  <si>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</si>
  <si>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</si>
  <si>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</si>
  <si>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</si>
  <si>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</si>
  <si>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</si>
  <si>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</si>
  <si>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</si>
  <si>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</si>
  <si>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</si>
  <si>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</si>
  <si>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</si>
  <si>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</si>
  <si>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</si>
  <si>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</si>
  <si>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</si>
  <si>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</si>
  <si>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</si>
  <si>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</si>
  <si>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</si>
  <si>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</si>
  <si>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</si>
  <si>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</si>
  <si>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</si>
  <si>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</si>
  <si>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</si>
  <si>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</si>
  <si>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</si>
  <si>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</si>
  <si>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</si>
  <si>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</si>
  <si>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</si>
  <si>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</si>
  <si>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</si>
  <si>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</si>
  <si>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</si>
  <si>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</si>
  <si>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</si>
  <si>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</si>
  <si>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</si>
  <si>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</si>
  <si>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</si>
  <si>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</si>
  <si>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</si>
  <si>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</si>
  <si>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</si>
  <si>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</si>
  <si>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</si>
  <si>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</si>
  <si>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</si>
  <si>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</si>
  <si>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</si>
  <si>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</si>
  <si>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</si>
  <si>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</si>
  <si>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</si>
  <si>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</si>
  <si>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</si>
  <si>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</si>
  <si>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</si>
  <si>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</si>
  <si>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</si>
  <si>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</si>
  <si>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</si>
  <si>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</si>
  <si>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</si>
  <si>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</si>
  <si>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</si>
  <si>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</si>
  <si>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</si>
  <si>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</si>
  <si>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</si>
  <si>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</si>
  <si>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</si>
  <si>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</si>
  <si>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</si>
  <si>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</si>
  <si>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</si>
  <si>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</si>
  <si>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</si>
  <si>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</si>
  <si>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</si>
  <si>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</si>
  <si>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</si>
  <si>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</si>
  <si>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</si>
  <si>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</si>
  <si>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</si>
  <si>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</si>
  <si>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</si>
  <si>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</si>
  <si>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</si>
  <si>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</si>
  <si>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</si>
  <si>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</si>
  <si>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</si>
  <si>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</si>
  <si>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</si>
  <si>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</si>
  <si>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</si>
  <si>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</si>
  <si>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</si>
  <si>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</si>
  <si>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</si>
  <si>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</si>
  <si>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</si>
  <si>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</si>
  <si>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</si>
  <si>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</si>
  <si>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</si>
  <si>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</si>
  <si>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</si>
  <si>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</si>
  <si>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</si>
  <si>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</si>
  <si>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</si>
  <si>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</si>
  <si>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</si>
  <si>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</si>
  <si>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</si>
  <si>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</si>
  <si>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</si>
  <si>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</si>
  <si>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</si>
  <si>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</si>
  <si>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</si>
  <si>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</si>
  <si>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</si>
  <si>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</si>
  <si>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</si>
  <si>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</si>
  <si>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</si>
  <si>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</si>
  <si>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</si>
  <si>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</si>
  <si>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</si>
  <si>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</si>
  <si>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</si>
  <si>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</si>
  <si>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</si>
  <si>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</si>
  <si>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</si>
  <si>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</si>
  <si>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</si>
  <si>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</si>
  <si>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</si>
  <si>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</si>
  <si>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</si>
  <si>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</si>
  <si>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</si>
  <si>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</si>
  <si>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</si>
  <si>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</si>
  <si>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</si>
  <si>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</si>
  <si>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</si>
  <si>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</si>
  <si>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</si>
  <si>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</si>
  <si>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</si>
  <si>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</si>
  <si>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</si>
  <si>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</si>
  <si>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</si>
  <si>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</si>
  <si>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</si>
  <si>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</si>
  <si>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</si>
  <si>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</si>
  <si>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</si>
  <si>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</si>
  <si>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</si>
  <si>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</si>
  <si>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</si>
  <si>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</si>
  <si>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</si>
  <si>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</si>
  <si>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</si>
  <si>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</si>
  <si>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</si>
  <si>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</si>
  <si>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</si>
  <si>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</si>
  <si>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</si>
  <si>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</si>
  <si>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</si>
  <si>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</si>
  <si>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</si>
  <si>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</si>
  <si>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</si>
  <si>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</si>
  <si>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</si>
  <si>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</si>
  <si>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</si>
  <si>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</si>
  <si>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</si>
  <si>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</si>
  <si>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</si>
  <si>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</si>
  <si>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דיסקונט</t>
  </si>
  <si>
    <t>11-10</t>
  </si>
  <si>
    <t>Aaa.il</t>
  </si>
  <si>
    <t>USD</t>
  </si>
  <si>
    <t>בנק מזרחי</t>
  </si>
  <si>
    <t>20-21</t>
  </si>
  <si>
    <t>ilAAA</t>
  </si>
  <si>
    <t>EUR</t>
  </si>
  <si>
    <t>ILS</t>
  </si>
  <si>
    <t>1.000000</t>
  </si>
  <si>
    <t>בנק לאומי</t>
  </si>
  <si>
    <t>10-800</t>
  </si>
  <si>
    <t>בנק הפועלים</t>
  </si>
  <si>
    <t>12-600</t>
  </si>
  <si>
    <t>AUD</t>
  </si>
  <si>
    <t>DKK</t>
  </si>
  <si>
    <t>יו-בנק</t>
  </si>
  <si>
    <t>26-273</t>
  </si>
  <si>
    <t>ilAA</t>
  </si>
  <si>
    <t>JPY</t>
  </si>
  <si>
    <t>CAD</t>
  </si>
  <si>
    <t>GBP</t>
  </si>
  <si>
    <t>CHF</t>
  </si>
  <si>
    <t>ממשלת ישראל</t>
  </si>
  <si>
    <t>ממשלתי שקלי 1026</t>
  </si>
  <si>
    <t>IL0010994569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</si>
  <si>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</si>
  <si>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</si>
  <si>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</si>
  <si>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</si>
  <si>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</si>
  <si>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</si>
  <si>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</si>
  <si>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</si>
  <si>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</si>
  <si>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</si>
  <si>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</si>
  <si>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</si>
  <si>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</si>
  <si>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</si>
  <si>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</si>
  <si>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</si>
  <si>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</si>
  <si>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0327</t>
  </si>
  <si>
    <t>IL0011393449</t>
  </si>
  <si>
    <t>ממשלתי שקלי 347</t>
  </si>
  <si>
    <t>IL0011401937</t>
  </si>
  <si>
    <t>ממשל צמודה 1131</t>
  </si>
  <si>
    <t>IL0011722209</t>
  </si>
  <si>
    <t>ממשל שקלית 425</t>
  </si>
  <si>
    <t>IL0011626681</t>
  </si>
  <si>
    <t>ממשלתי שקלי 142</t>
  </si>
  <si>
    <t>IL0011254005</t>
  </si>
  <si>
    <t>ממשלתי צמוד  1151</t>
  </si>
  <si>
    <t>IL0011683013</t>
  </si>
  <si>
    <t>ממשלתי שקלי 1152</t>
  </si>
  <si>
    <t>IL0011840761</t>
  </si>
  <si>
    <t>ממשלתי צמוד 0536</t>
  </si>
  <si>
    <t>IL0010977085</t>
  </si>
  <si>
    <t>ממשל שקלית 0537</t>
  </si>
  <si>
    <t>IL0011661803</t>
  </si>
  <si>
    <t>US Government</t>
  </si>
  <si>
    <t>B 0 09/12/24</t>
  </si>
  <si>
    <t>US912797KK23</t>
  </si>
  <si>
    <t>Aaa</t>
  </si>
  <si>
    <t>B 0 10/17/24 Leumi</t>
  </si>
  <si>
    <t>US912797KU05</t>
  </si>
  <si>
    <t>ISRAEL 2.75 07/03/30</t>
  </si>
  <si>
    <t>US46513JB346</t>
  </si>
  <si>
    <t>A2</t>
  </si>
  <si>
    <t>ממשלת ארה"ב</t>
  </si>
  <si>
    <t>B 0 08/20/24</t>
  </si>
  <si>
    <t>US912797KY27</t>
  </si>
  <si>
    <t>AA+</t>
  </si>
  <si>
    <t>ISRAEL 4 1/2 01/43</t>
  </si>
  <si>
    <t>US4651387N91</t>
  </si>
  <si>
    <t>B 0 02/20/25</t>
  </si>
  <si>
    <t>US912797KA41</t>
  </si>
  <si>
    <t>מזרחי טפחות הנפקות</t>
  </si>
  <si>
    <t>מזרחי טפחות  הנפקות 49</t>
  </si>
  <si>
    <t>IL0023102820</t>
  </si>
  <si>
    <t>חברת החשמל לישראל בע"מ</t>
  </si>
  <si>
    <t>חשמל 34</t>
  </si>
  <si>
    <t>IL0011967812</t>
  </si>
  <si>
    <t>AA</t>
  </si>
  <si>
    <t>הראל ביטוח מימון והנפקות בע"מ</t>
  </si>
  <si>
    <t>הראל הנפק אגח י</t>
  </si>
  <si>
    <t>IL0011340481</t>
  </si>
  <si>
    <t>Aa3.il</t>
  </si>
  <si>
    <t>חשמל 31</t>
  </si>
  <si>
    <t>IL0060002859</t>
  </si>
  <si>
    <t>הראל שטר הון נדחה יג 2029 3.95%</t>
  </si>
  <si>
    <t>IL0011381717</t>
  </si>
  <si>
    <t>מזרחי טפחות הנפקות 45</t>
  </si>
  <si>
    <t>IL0023102176</t>
  </si>
  <si>
    <t>מקורות חברת מים בע"מ</t>
  </si>
  <si>
    <t>מקורות סדרה 10</t>
  </si>
  <si>
    <t>IL0011584682</t>
  </si>
  <si>
    <t>דיסקונט מנפיקים בע"מ</t>
  </si>
  <si>
    <t>דיסקונט מנפיקים טז</t>
  </si>
  <si>
    <t>IL0012031576</t>
  </si>
  <si>
    <t>פועלים אגח 203</t>
  </si>
  <si>
    <t>IL0011998684</t>
  </si>
  <si>
    <t>מימון ישיר</t>
  </si>
  <si>
    <t>מימון ישיר קבוצה ו</t>
  </si>
  <si>
    <t>IL0011916595</t>
  </si>
  <si>
    <t>A1.il</t>
  </si>
  <si>
    <t>מז טפ הנפק 40</t>
  </si>
  <si>
    <t>IL0023101673</t>
  </si>
  <si>
    <t>חשמל 35</t>
  </si>
  <si>
    <t>IL0011967994</t>
  </si>
  <si>
    <t>הראל טז הון רובד 2</t>
  </si>
  <si>
    <t>IL0011576019</t>
  </si>
  <si>
    <t>לאומי</t>
  </si>
  <si>
    <t>לאומי 183</t>
  </si>
  <si>
    <t>IL0060405474</t>
  </si>
  <si>
    <t>קבוצת עזריאלי בע"מ</t>
  </si>
  <si>
    <t>עזריאלי אגח ה</t>
  </si>
  <si>
    <t>IL0011566036</t>
  </si>
  <si>
    <t>Aa1.il</t>
  </si>
  <si>
    <t>מז טפ הנ אגח 66</t>
  </si>
  <si>
    <t>IL0011916678</t>
  </si>
  <si>
    <t>איידיאיי הנפקות</t>
  </si>
  <si>
    <t>אידיאי הנפקות שטר הון נדחה ה 3.27% 15.11.25 רובד2</t>
  </si>
  <si>
    <t>IL0011558785</t>
  </si>
  <si>
    <t>A2.il</t>
  </si>
  <si>
    <t>פועלים 200</t>
  </si>
  <si>
    <t>IL0066204962</t>
  </si>
  <si>
    <t>דליה חברות אנרגיה בע"מ</t>
  </si>
  <si>
    <t>דליה אגח א</t>
  </si>
  <si>
    <t>IL0011849515</t>
  </si>
  <si>
    <t>A3.il</t>
  </si>
  <si>
    <t>מזרחי טפחות הנפקות 46</t>
  </si>
  <si>
    <t>IL0023102259</t>
  </si>
  <si>
    <t>דיסקונט מנפיקים אגח טו</t>
  </si>
  <si>
    <t>IL0074803045</t>
  </si>
  <si>
    <t>מקורות סדרה 11</t>
  </si>
  <si>
    <t>IL0011584765</t>
  </si>
  <si>
    <t>פועלים אגח 201</t>
  </si>
  <si>
    <t>IL0011913451</t>
  </si>
  <si>
    <t>מזרחי טפ הנ אגח 68</t>
  </si>
  <si>
    <t>IL0012021429</t>
  </si>
  <si>
    <t>לאומי מימון 179</t>
  </si>
  <si>
    <t>IL0060403727</t>
  </si>
  <si>
    <t>עזריאלי   אגח ד</t>
  </si>
  <si>
    <t>IL0011386500</t>
  </si>
  <si>
    <t>פועלים  אגח 202</t>
  </si>
  <si>
    <t>IL0011998502</t>
  </si>
  <si>
    <t>פועלים התח נד ז</t>
  </si>
  <si>
    <t>IL0011913295</t>
  </si>
  <si>
    <t>ilAA-</t>
  </si>
  <si>
    <t>פועלים התח נד ה</t>
  </si>
  <si>
    <t>IL0066204624</t>
  </si>
  <si>
    <t>מזרחי  טפחות הנפקות 64</t>
  </si>
  <si>
    <t>IL0023105559</t>
  </si>
  <si>
    <t>חשמל אגח 33</t>
  </si>
  <si>
    <t>IL0060003923</t>
  </si>
  <si>
    <t>הפחתה בגין קניה בהנפקה מימון ישיר ו 12.9.23</t>
  </si>
  <si>
    <t>נתיבי הגז הטבעי לישראל בע"מ</t>
  </si>
  <si>
    <t>נתיבי גז אגח ד</t>
  </si>
  <si>
    <t>IL0011475030</t>
  </si>
  <si>
    <t>לאומי 186</t>
  </si>
  <si>
    <t>IL0012018391</t>
  </si>
  <si>
    <t>הראל הנפק אגח ט</t>
  </si>
  <si>
    <t>IL0011340309</t>
  </si>
  <si>
    <t>בינלאומי הנפקות</t>
  </si>
  <si>
    <t>בינל הנפק אגח י</t>
  </si>
  <si>
    <t>IL0011602906</t>
  </si>
  <si>
    <t>הפניקס גיוסי הון (2009) בע"מ</t>
  </si>
  <si>
    <t>פניקס הון אגח ה</t>
  </si>
  <si>
    <t>IL0011354177</t>
  </si>
  <si>
    <t>מז טפ הנ אגח 67</t>
  </si>
  <si>
    <t>IL0011968075</t>
  </si>
  <si>
    <t>חשמל אגח 27</t>
  </si>
  <si>
    <t>IL0060002107</t>
  </si>
  <si>
    <t>מזרחי טפחות הנפקות אגח 62</t>
  </si>
  <si>
    <t>IL0023104982</t>
  </si>
  <si>
    <t>מזרחי  טפחות הנפקות  52</t>
  </si>
  <si>
    <t>IL0023103810</t>
  </si>
  <si>
    <t>META PLATFORMS INC</t>
  </si>
  <si>
    <t>BQ4BKCS1HXDV9HN80Z93</t>
  </si>
  <si>
    <t>META 4.95% 15/05/33</t>
  </si>
  <si>
    <t>US30303M8N52</t>
  </si>
  <si>
    <t>A1</t>
  </si>
  <si>
    <t>Verisign</t>
  </si>
  <si>
    <t>LMPL4N8ZOJRMF0KOF759</t>
  </si>
  <si>
    <t>VRSN 2.7 06/15/31</t>
  </si>
  <si>
    <t>US92343EAM49</t>
  </si>
  <si>
    <t>Baa3</t>
  </si>
  <si>
    <t>Juniper Networks Inc.</t>
  </si>
  <si>
    <t>AUHIXNGG7U2U7JEHM527</t>
  </si>
  <si>
    <t>JNPR 2 12/10/30 COR</t>
  </si>
  <si>
    <t>US48203RAP91</t>
  </si>
  <si>
    <t>Baa2</t>
  </si>
  <si>
    <t>Wipro IT Services</t>
  </si>
  <si>
    <t>335800IFS1IJHESG8362</t>
  </si>
  <si>
    <t>WPROIN 1.5 06/23/26</t>
  </si>
  <si>
    <t>USU9841MAA00</t>
  </si>
  <si>
    <t>A-</t>
  </si>
  <si>
    <t>HYUNDAI CAPITAL AMERICA</t>
  </si>
  <si>
    <t>9884004RQX8PRBXQ8S60</t>
  </si>
  <si>
    <t>HYNMTR 5.35% 03/19/29</t>
  </si>
  <si>
    <t>US44891CCY75</t>
  </si>
  <si>
    <t>BBB+</t>
  </si>
  <si>
    <t>HF SINCLAIR CORP</t>
  </si>
  <si>
    <t>98840072S6T63E2V1291</t>
  </si>
  <si>
    <t>DINO 4 1/2 10/01/30</t>
  </si>
  <si>
    <t>US403949AC48</t>
  </si>
  <si>
    <t>BBB-</t>
  </si>
  <si>
    <t>7.75% I.ELECTRIC 12/27</t>
  </si>
  <si>
    <t>US46507WAB63</t>
  </si>
  <si>
    <t>Hong Kong Airport Authority</t>
  </si>
  <si>
    <t>549300DSMAD69T7GGN13</t>
  </si>
  <si>
    <t>HKAA 2.1 PERP</t>
  </si>
  <si>
    <t>XS2264054706</t>
  </si>
  <si>
    <t>Pershing Square Holdings</t>
  </si>
  <si>
    <t>G67KJ524WPCAX4V2X190</t>
  </si>
  <si>
    <t>PSHNA 3.25 10/01/31</t>
  </si>
  <si>
    <t>XS2392997172</t>
  </si>
  <si>
    <t>GENERAL MOTORS</t>
  </si>
  <si>
    <t>54930070NSV60J38I987</t>
  </si>
  <si>
    <t>GM 4.2 01.10.27</t>
  </si>
  <si>
    <t>US37045VAN01</t>
  </si>
  <si>
    <t>Tapestry</t>
  </si>
  <si>
    <t>549300LJNVY5SW3VTN33</t>
  </si>
  <si>
    <t>TPR 3.05 03/15/32</t>
  </si>
  <si>
    <t>US876030AA54</t>
  </si>
  <si>
    <t>BBB</t>
  </si>
  <si>
    <t>Micron Technology Inc</t>
  </si>
  <si>
    <t>B3DXGBC8GAIYWI2Z0172</t>
  </si>
  <si>
    <t>MU 5 7.8 09.15.33</t>
  </si>
  <si>
    <t>US595112CB74</t>
  </si>
  <si>
    <t>Expedia group</t>
  </si>
  <si>
    <t>549300IMO4B4W5RWYH14</t>
  </si>
  <si>
    <t>EXPE 2.95 03/15/31</t>
  </si>
  <si>
    <t>US30212PBH73</t>
  </si>
  <si>
    <t>ISRAEL ELECTRIC 8.1% 2096</t>
  </si>
  <si>
    <t>USM60170AC79</t>
  </si>
  <si>
    <t>Valero Energy Partners</t>
  </si>
  <si>
    <t>549300XTO5VR8SKV1V74</t>
  </si>
  <si>
    <t>VLO 4.5 03/15/28</t>
  </si>
  <si>
    <t>US91914JAB89</t>
  </si>
  <si>
    <t>HKAA 2.4 PERP</t>
  </si>
  <si>
    <t>XS2264055182</t>
  </si>
  <si>
    <t>H&amp;R Block</t>
  </si>
  <si>
    <t>549300CE3KUCWLZBG404</t>
  </si>
  <si>
    <t>HRB 3.875 08/15/30</t>
  </si>
  <si>
    <t>US093662AH70</t>
  </si>
  <si>
    <t>Lenovo</t>
  </si>
  <si>
    <t>254900VUZRGD5U73RE46</t>
  </si>
  <si>
    <t>Lenovo 3.421 11/02/30</t>
  </si>
  <si>
    <t>USY5257YAJ65</t>
  </si>
  <si>
    <t>Kyndryl Holdings, Inc.</t>
  </si>
  <si>
    <t>549300LQ4LWX2R8ZV130</t>
  </si>
  <si>
    <t>KD 6.35 02/20/34</t>
  </si>
  <si>
    <t>US50155QAN07</t>
  </si>
  <si>
    <t>POSCO</t>
  </si>
  <si>
    <t>988400E5HRVX81AYLM04</t>
  </si>
  <si>
    <t>POHANG 5.75 01/17/28</t>
  </si>
  <si>
    <t>USY7S272AG74</t>
  </si>
  <si>
    <t>Baa1</t>
  </si>
  <si>
    <t>Olympus</t>
  </si>
  <si>
    <t>5299000Y52IFDI1I2A21</t>
  </si>
  <si>
    <t>Olympu 2.143 12/08/26</t>
  </si>
  <si>
    <t>USJ61240AN76</t>
  </si>
  <si>
    <t>TPR 4 1/8 07/15/27</t>
  </si>
  <si>
    <t>US189754AC88</t>
  </si>
  <si>
    <t>איירפורט סיטי</t>
  </si>
  <si>
    <t>ארפורט סיטי</t>
  </si>
  <si>
    <t>IL0010958358</t>
  </si>
  <si>
    <t>טבע</t>
  </si>
  <si>
    <t>IL0006290147</t>
  </si>
  <si>
    <t>שפיר הנדסה ותעשיה בע"מ</t>
  </si>
  <si>
    <t>IL0011338758</t>
  </si>
  <si>
    <t>אנרג'יקס פרויקטים 1 ש.מ</t>
  </si>
  <si>
    <t>אנרג'יקס</t>
  </si>
  <si>
    <t>IL0011233553</t>
  </si>
  <si>
    <t>דלק קידוחים</t>
  </si>
  <si>
    <t>ניו-מד אנרג יהש</t>
  </si>
  <si>
    <t>IL0004750209</t>
  </si>
  <si>
    <t>דיסקונט א</t>
  </si>
  <si>
    <t>IL0006912120</t>
  </si>
  <si>
    <t>אנלייט אנרגיה</t>
  </si>
  <si>
    <t>IL0007200111</t>
  </si>
  <si>
    <t>בזק החברה הישראלית לתקשורת בע"מ</t>
  </si>
  <si>
    <t>בזק</t>
  </si>
  <si>
    <t>IL0002300114</t>
  </si>
  <si>
    <t>עזריאלי קבוצה</t>
  </si>
  <si>
    <t>IL0011194789</t>
  </si>
  <si>
    <t>קבוצת דלק בע"מ</t>
  </si>
  <si>
    <t>דלק קבוצה</t>
  </si>
  <si>
    <t>IL0010841281</t>
  </si>
  <si>
    <t>קמטק</t>
  </si>
  <si>
    <t>IL0010952641</t>
  </si>
  <si>
    <t>טאואר</t>
  </si>
  <si>
    <t>IL0010823792</t>
  </si>
  <si>
    <t>רציו חיפושי נפט</t>
  </si>
  <si>
    <t>רציו יהש</t>
  </si>
  <si>
    <t>IL0003940157</t>
  </si>
  <si>
    <t>סאפיינס אינטרנשיונל קורפוריישן</t>
  </si>
  <si>
    <t>סאפיינס</t>
  </si>
  <si>
    <t>KYG7T16G1039</t>
  </si>
  <si>
    <t>נייס</t>
  </si>
  <si>
    <t>IL0002730112</t>
  </si>
  <si>
    <t>ביג מרכזי קניות</t>
  </si>
  <si>
    <t>ביג</t>
  </si>
  <si>
    <t>IL0010972607</t>
  </si>
  <si>
    <t>שיכון ובינוי</t>
  </si>
  <si>
    <t>IL0010819428</t>
  </si>
  <si>
    <t>ג'י סיטי בע"מ</t>
  </si>
  <si>
    <t>גזית גלוב</t>
  </si>
  <si>
    <t>IL0001260111</t>
  </si>
  <si>
    <t>הראל השקעות</t>
  </si>
  <si>
    <t>IL0005850180</t>
  </si>
  <si>
    <t>מבנה נדל"ן (כ.ד) בע"מ</t>
  </si>
  <si>
    <t>מבני תעשיה</t>
  </si>
  <si>
    <t>IL0002260193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</si>
  <si>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</si>
  <si>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</si>
  <si>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</si>
  <si>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</si>
  <si>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</si>
  <si>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</si>
  <si>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החברה לישראל</t>
  </si>
  <si>
    <t>חברה לישראל</t>
  </si>
  <si>
    <t>IL0005760173</t>
  </si>
  <si>
    <t>אורמת טכנולוגיות, אינק (דואלי)</t>
  </si>
  <si>
    <t>אורמת טכנולוגיות בע"מ</t>
  </si>
  <si>
    <t>US6866881021</t>
  </si>
  <si>
    <t>בינלאומי</t>
  </si>
  <si>
    <t>בינלאומי  5</t>
  </si>
  <si>
    <t>IL0005930388</t>
  </si>
  <si>
    <t>מליסרון</t>
  </si>
  <si>
    <t>IL0003230146</t>
  </si>
  <si>
    <t>זפירוס ווינג אנרג'יס בע"מ</t>
  </si>
  <si>
    <t>זפירוס</t>
  </si>
  <si>
    <t>IL0011946956</t>
  </si>
  <si>
    <t>כיל</t>
  </si>
  <si>
    <t>אי.סי. אל  -  כיל</t>
  </si>
  <si>
    <t>IL0002810146</t>
  </si>
  <si>
    <t>פרטנר</t>
  </si>
  <si>
    <t>IL0010834849</t>
  </si>
  <si>
    <t>פתאל החזקות</t>
  </si>
  <si>
    <t>IL0011434292</t>
  </si>
  <si>
    <t>אלביט מערכות</t>
  </si>
  <si>
    <t>IL0010811243</t>
  </si>
  <si>
    <t>שטראוס גרופ</t>
  </si>
  <si>
    <t>שטראוס-עלית</t>
  </si>
  <si>
    <t>IL0007460160</t>
  </si>
  <si>
    <t>IL0006046119</t>
  </si>
  <si>
    <t>בנק מזרחי טפחות בע"מ</t>
  </si>
  <si>
    <t>מזרחי טפחות</t>
  </si>
  <si>
    <t>IL0006954379</t>
  </si>
  <si>
    <t>סלקום ישראל בע"מ</t>
  </si>
  <si>
    <t>סלקום</t>
  </si>
  <si>
    <t>IL0011015349</t>
  </si>
  <si>
    <t>ריט 1</t>
  </si>
  <si>
    <t>IL0010989205</t>
  </si>
  <si>
    <t>אמות השקעות</t>
  </si>
  <si>
    <t>אמות</t>
  </si>
  <si>
    <t>IL0010972789</t>
  </si>
  <si>
    <t>או פי סי אנרגיה</t>
  </si>
  <si>
    <t>IL0011415713</t>
  </si>
  <si>
    <t>פועלים</t>
  </si>
  <si>
    <t>IL0006625771</t>
  </si>
  <si>
    <t>אלקטרה</t>
  </si>
  <si>
    <t>IL0007390375</t>
  </si>
  <si>
    <t>שופרסל</t>
  </si>
  <si>
    <t>IL0007770378</t>
  </si>
  <si>
    <t>נובה מכשירי מדידה</t>
  </si>
  <si>
    <t>נובה</t>
  </si>
  <si>
    <t>IL0010845571</t>
  </si>
  <si>
    <t>אנרג'יאן נפט וגז פי אל סי</t>
  </si>
  <si>
    <t>אנרג'יאן</t>
  </si>
  <si>
    <t>GB00BG12Y042</t>
  </si>
  <si>
    <t>Western Digital</t>
  </si>
  <si>
    <t>549300QQXOOYEF89IC56 </t>
  </si>
  <si>
    <t>WDC - Western Digital</t>
  </si>
  <si>
    <t>US9581021055</t>
  </si>
  <si>
    <t>Iberdrola</t>
  </si>
  <si>
    <t>5QK37QC7NWOJ8D7WVQ45 </t>
  </si>
  <si>
    <t>IBE Iberdrola</t>
  </si>
  <si>
    <t>ES0144580Y14</t>
  </si>
  <si>
    <t>APPLE INC</t>
  </si>
  <si>
    <t>HWUPKR0MPOU8FGXBT394</t>
  </si>
  <si>
    <t>AAPL - Apple</t>
  </si>
  <si>
    <t>US0378331005</t>
  </si>
  <si>
    <t>camt-קמטק חול</t>
  </si>
  <si>
    <t>InMode</t>
  </si>
  <si>
    <t>549300TTHIODYMGND828</t>
  </si>
  <si>
    <t>INMD - InMode</t>
  </si>
  <si>
    <t>IL0011595993</t>
  </si>
  <si>
    <t>ENLIGHT RENEWABLE ENERGY LTD</t>
  </si>
  <si>
    <t>SOLAREDGE</t>
  </si>
  <si>
    <t>5493000K6Y58XXPDF853</t>
  </si>
  <si>
    <t>SEDG US</t>
  </si>
  <si>
    <t>US83417M1045</t>
  </si>
  <si>
    <t>ASML</t>
  </si>
  <si>
    <t>724500Y6DUVHQD6OXN27</t>
  </si>
  <si>
    <t>ASML NA ASML Holding NV</t>
  </si>
  <si>
    <t>NL0010273215</t>
  </si>
  <si>
    <t>US6536561086</t>
  </si>
  <si>
    <t>META Meta Platforms Inc</t>
  </si>
  <si>
    <t>US30303M1027</t>
  </si>
  <si>
    <t>Novo Nordisk</t>
  </si>
  <si>
    <t>529900UTAHSVRYZL0380</t>
  </si>
  <si>
    <t>NOVOB - Novo Nordisk</t>
  </si>
  <si>
    <t>DK0062498333</t>
  </si>
  <si>
    <t>US8816242098</t>
  </si>
  <si>
    <t>MICROSOFT COPR</t>
  </si>
  <si>
    <t>INR2EJN1ERAN0W5ZP974</t>
  </si>
  <si>
    <t>MSFT  US</t>
  </si>
  <si>
    <t>US5949181045</t>
  </si>
  <si>
    <t>Advanced Micro Devices</t>
  </si>
  <si>
    <t>R2I72C950HOYXII45366</t>
  </si>
  <si>
    <t>AMD US Advanced Micro Devices</t>
  </si>
  <si>
    <t>US0079031078</t>
  </si>
  <si>
    <t>RHEINMETALL AG</t>
  </si>
  <si>
    <t>5299001OU9CSE29O6S05</t>
  </si>
  <si>
    <t>RHM - Rheinmetall</t>
  </si>
  <si>
    <t>DE0007030009</t>
  </si>
  <si>
    <t>Orsted</t>
  </si>
  <si>
    <t>W9NG6WMZIYEU8VEDOG48</t>
  </si>
  <si>
    <t>ORSTED DC Orsted</t>
  </si>
  <si>
    <t>DK0060094928</t>
  </si>
  <si>
    <t>Lam Research Corp</t>
  </si>
  <si>
    <t>549300I4GMO6D34U1T02</t>
  </si>
  <si>
    <t>LRCX Lam Research Corp</t>
  </si>
  <si>
    <t>US5128071082</t>
  </si>
  <si>
    <t>AMAZON.COM INC</t>
  </si>
  <si>
    <t>ZXTILKJKG63JELOEG630</t>
  </si>
  <si>
    <t>AMZN - Amazon</t>
  </si>
  <si>
    <t>US0231351067</t>
  </si>
  <si>
    <t>קסם קרנות נאמנות בע"מ</t>
  </si>
  <si>
    <t>קסם ETF תלבונד 20</t>
  </si>
  <si>
    <t>IL0011459604</t>
  </si>
  <si>
    <t>מגדל קרנות נאמנות בע"מ</t>
  </si>
  <si>
    <t>MTF סל (00) תל בונד 20</t>
  </si>
  <si>
    <t>IL0011499881</t>
  </si>
  <si>
    <t>מיטב תכלית קרנות נאמנות בע"מ</t>
  </si>
  <si>
    <t>תכלית סל תא 35</t>
  </si>
  <si>
    <t>IL0011437006</t>
  </si>
  <si>
    <t>הראל קרנות נאמנות בע"מ</t>
  </si>
  <si>
    <t>הראל סל תלבונד 20</t>
  </si>
  <si>
    <t>IL0011504409</t>
  </si>
  <si>
    <t>קסם ETF תא 35</t>
  </si>
  <si>
    <t>IL0011465700</t>
  </si>
  <si>
    <t>MTF סל (4A) ת"א 35</t>
  </si>
  <si>
    <t>IL0011501843</t>
  </si>
  <si>
    <t>מור ניהול קרנות נאמנות (2013) בע"מ</t>
  </si>
  <si>
    <t>מור סל (4A) תא 90</t>
  </si>
  <si>
    <t>IL0011961468</t>
  </si>
  <si>
    <t>Vanguard Group Inc</t>
  </si>
  <si>
    <t>5493002789CX3L0CJP65</t>
  </si>
  <si>
    <t>VNQ REIT</t>
  </si>
  <si>
    <t>US9229085538</t>
  </si>
  <si>
    <t>DWS</t>
  </si>
  <si>
    <t>7LTWFZYICNSX8D621K86</t>
  </si>
  <si>
    <t>XD9U LN DB MSCI US</t>
  </si>
  <si>
    <t>IE00BJ0KDR00</t>
  </si>
  <si>
    <t>Global X</t>
  </si>
  <si>
    <t>254900QBKK4WBSO3GE51</t>
  </si>
  <si>
    <t>PAVE Infrastructure US (LEUMI)</t>
  </si>
  <si>
    <t>US37954Y6730</t>
  </si>
  <si>
    <t>AMUNDI INVT SOLUTIONS</t>
  </si>
  <si>
    <t>549300FMBJ5S1PXQ2305</t>
  </si>
  <si>
    <t>SP5C LN S&amp;P 500</t>
  </si>
  <si>
    <t>LU1135865084</t>
  </si>
  <si>
    <t>INVESCO</t>
  </si>
  <si>
    <t>ECPGFXU8A2SHKVVGJI15</t>
  </si>
  <si>
    <t>MUNI LN</t>
  </si>
  <si>
    <t>IE00BNG70R26</t>
  </si>
  <si>
    <t>XMEU GR DB MSCI Europe</t>
  </si>
  <si>
    <t>LU0274209237</t>
  </si>
  <si>
    <t>State Street</t>
  </si>
  <si>
    <t>549300ZFEEJ2IP5VME73</t>
  </si>
  <si>
    <t>SWRD LN  MSCI World SPDR</t>
  </si>
  <si>
    <t>IE00BFY0GT14</t>
  </si>
  <si>
    <t>INVESCO MARKETS PLC</t>
  </si>
  <si>
    <t>SPXS LN Invesco S&amp;P 500</t>
  </si>
  <si>
    <t>IE00B3YCGJ38</t>
  </si>
  <si>
    <t>XLE - Energy Sector</t>
  </si>
  <si>
    <t>US81369Y5069</t>
  </si>
  <si>
    <t>MXWO LN Invesco MSCI World</t>
  </si>
  <si>
    <t>IE00B60SX394</t>
  </si>
  <si>
    <t>Nomura holdings Inc</t>
  </si>
  <si>
    <t>549300B3CEAHYG7K8164</t>
  </si>
  <si>
    <t>1306 JP NEXT FUND TOPIX</t>
  </si>
  <si>
    <t>JP3027630007</t>
  </si>
  <si>
    <t>XLV US Healthcare Sector</t>
  </si>
  <si>
    <t>US81369Y2090</t>
  </si>
  <si>
    <t>XLC  Communictaions Services</t>
  </si>
  <si>
    <t>US81369Y8527</t>
  </si>
  <si>
    <t>ISHARES</t>
  </si>
  <si>
    <t>549300LRIF3NWCU26A80</t>
  </si>
  <si>
    <t>SDIG LN SHORT DUR CORP</t>
  </si>
  <si>
    <t>IE00BCRY5Y77</t>
  </si>
  <si>
    <t>FIRST TRUST</t>
  </si>
  <si>
    <t>254900RHL9MEUS5NKX63</t>
  </si>
  <si>
    <t>GRID Smart Grid Infrastructure</t>
  </si>
  <si>
    <t>US33737A1088</t>
  </si>
  <si>
    <t>U127 Amundi MSCI EM</t>
  </si>
  <si>
    <t>LU2573966905</t>
  </si>
  <si>
    <t>SHLD - GLOBAL X DEFENSE</t>
  </si>
  <si>
    <t>US37960A5294</t>
  </si>
  <si>
    <t>Tabula</t>
  </si>
  <si>
    <t>635400BK5J6GBMBFNG77</t>
  </si>
  <si>
    <t>TAHY LN - Asia USD HY</t>
  </si>
  <si>
    <t>IE000LZC9M0</t>
  </si>
  <si>
    <t>XSPU LN S&amp;P500</t>
  </si>
  <si>
    <t>LU0490618542</t>
  </si>
  <si>
    <t>4BRZ GY iShares MSCI Brazil UCITS</t>
  </si>
  <si>
    <t>DE000A0Q4R85</t>
  </si>
  <si>
    <t>XDJP GR Nikkei 225</t>
  </si>
  <si>
    <t>LU0839027447</t>
  </si>
  <si>
    <t>HXT CN Canada TSX 60</t>
  </si>
  <si>
    <t>CA37963M1086</t>
  </si>
  <si>
    <t>CEU FP AMUNDI MSCI Europe</t>
  </si>
  <si>
    <t>LU1681042609</t>
  </si>
  <si>
    <t>XLF Financial Sector</t>
  </si>
  <si>
    <t>US81369Y6059</t>
  </si>
  <si>
    <t>MFE FP- Lyxor Core MSCI EMU (DR) UCITS ETF</t>
  </si>
  <si>
    <t>LU1646360971</t>
  </si>
  <si>
    <t>HYFA  LN</t>
  </si>
  <si>
    <t>IE00BD0Q9673</t>
  </si>
  <si>
    <t>FRANKLIN</t>
  </si>
  <si>
    <t>RIFQSET379FOGTEFKS80</t>
  </si>
  <si>
    <t>FLXK LN FTSE Korea</t>
  </si>
  <si>
    <t>IE00BHZRR030</t>
  </si>
  <si>
    <t>Blackrock</t>
  </si>
  <si>
    <t>(LEUMI)    FLOA LN Float Bond US</t>
  </si>
  <si>
    <t>IE00BDFGJ627</t>
  </si>
  <si>
    <t>1615JP NF TOPIX BANKS ETF</t>
  </si>
  <si>
    <t>JP3040170007</t>
  </si>
  <si>
    <t>XLY Consumer Disc</t>
  </si>
  <si>
    <t>US81369Y4070</t>
  </si>
  <si>
    <t>HYGU LN</t>
  </si>
  <si>
    <t>IE00BF3NC260</t>
  </si>
  <si>
    <t>UBS</t>
  </si>
  <si>
    <t>549300SZJ9VS8SGXAN81</t>
  </si>
  <si>
    <t>CBSEUD SW</t>
  </si>
  <si>
    <t>LU1484799926</t>
  </si>
  <si>
    <t>BNP PARIBAS</t>
  </si>
  <si>
    <t>R0MUWSFPU8MPRO8K5P83</t>
  </si>
  <si>
    <t>ESD FP S&amp;P500</t>
  </si>
  <si>
    <t>FR0011550177</t>
  </si>
  <si>
    <t>I500 NA iShares S&amp;P 500 Swap UCITS</t>
  </si>
  <si>
    <t>IE00BMTX1Y45</t>
  </si>
  <si>
    <t>XLK Technology</t>
  </si>
  <si>
    <t>US81369Y8030</t>
  </si>
  <si>
    <t>XPXD LN DB Pacific Ex- Japan</t>
  </si>
  <si>
    <t>LU0322252338</t>
  </si>
  <si>
    <t>Nomura Asset Management UK</t>
  </si>
  <si>
    <t>Nomura US HY</t>
  </si>
  <si>
    <t>IE00B3RW8498</t>
  </si>
  <si>
    <t>Lazard Inc</t>
  </si>
  <si>
    <t>254900RIBCDJSUFG1A11</t>
  </si>
  <si>
    <t>Lazard Japanese Strategic Equity</t>
  </si>
  <si>
    <t>IE000UTYHEP1</t>
  </si>
  <si>
    <t>Neuberger Berman</t>
  </si>
  <si>
    <t>549300XIWEKOTC8HO652</t>
  </si>
  <si>
    <t>NB Commodities</t>
  </si>
  <si>
    <t>IE0000TMDNF9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</si>
  <si>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</si>
  <si>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</si>
  <si>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</si>
  <si>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</si>
  <si>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</si>
  <si>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</si>
  <si>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</si>
  <si>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</si>
  <si>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Amundi - Emerging Markets</t>
  </si>
  <si>
    <t>LU0906530919</t>
  </si>
  <si>
    <t>FIL Investment Management</t>
  </si>
  <si>
    <t>549300478VTUOFTSUU57</t>
  </si>
  <si>
    <t>Fidelity US HY</t>
  </si>
  <si>
    <t>LU0891474172</t>
  </si>
  <si>
    <t>Daiwa</t>
  </si>
  <si>
    <t>2138008IOOVSKCGISQ06</t>
  </si>
  <si>
    <t>DAIWA SBI JAPAN SC</t>
  </si>
  <si>
    <t>LU1907539057</t>
  </si>
  <si>
    <t>Credit Suisse</t>
  </si>
  <si>
    <t>5493008PSQK2E4YETX19</t>
  </si>
  <si>
    <t>Credit Suisse Global FI</t>
  </si>
  <si>
    <t>KYG445041018</t>
  </si>
  <si>
    <t>Liontrust</t>
  </si>
  <si>
    <t>549300XVXU6S7PLCL855</t>
  </si>
  <si>
    <t>Liontrust European Dynamic</t>
  </si>
  <si>
    <t>GB00BKPQVT86</t>
  </si>
  <si>
    <t>Threadneedle</t>
  </si>
  <si>
    <t>6ZLKQF7QB6JAEKQS5388</t>
  </si>
  <si>
    <t>THREADNEEDLE EUROPEAN SE 2EEUR</t>
  </si>
  <si>
    <t>LU1868839777</t>
  </si>
  <si>
    <t>Gresham</t>
  </si>
  <si>
    <t>5493000WQ6TEWTEBPG71</t>
  </si>
  <si>
    <t>Gresham Commodities TAP</t>
  </si>
  <si>
    <t>KYG8672S1681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</si>
  <si>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</si>
  <si>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</si>
  <si>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</si>
  <si>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</si>
  <si>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</si>
  <si>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</si>
  <si>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</si>
  <si>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</si>
  <si>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</si>
  <si>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</si>
  <si>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</si>
  <si>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</si>
  <si>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</si>
  <si>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</si>
  <si>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</si>
  <si>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</si>
  <si>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</si>
  <si>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</si>
  <si>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</si>
  <si>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</si>
  <si>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Threadneedle US</t>
  </si>
  <si>
    <t>LU1859430891</t>
  </si>
  <si>
    <t>Sparx</t>
  </si>
  <si>
    <t>635400BTSWMY84SXPB33</t>
  </si>
  <si>
    <t>SPARX Japan JPY Inst G</t>
  </si>
  <si>
    <t>IE00BD6HM324</t>
  </si>
  <si>
    <t>India Acorn ICAV</t>
  </si>
  <si>
    <t>213800MG9QHLSQHZYD08</t>
  </si>
  <si>
    <t>Ashoka Indian Opportunities</t>
  </si>
  <si>
    <t>IE00BH3N4915</t>
  </si>
  <si>
    <t>זפירוס אפ1</t>
  </si>
  <si>
    <t>IL0011947038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</si>
  <si>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</si>
  <si>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</si>
  <si>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</si>
  <si>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</si>
  <si>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</si>
  <si>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</si>
  <si>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</si>
  <si>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</si>
  <si>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</si>
  <si>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</si>
  <si>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</si>
  <si>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</si>
  <si>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</si>
  <si>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</si>
  <si>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</si>
  <si>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</si>
  <si>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</si>
  <si>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</si>
  <si>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</si>
  <si>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</si>
  <si>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</si>
  <si>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</si>
  <si>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</si>
  <si>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</si>
  <si>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</si>
  <si>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</si>
  <si>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</si>
  <si>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</si>
  <si>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</si>
  <si>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</si>
  <si>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</si>
  <si>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</si>
  <si>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</si>
  <si>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</si>
  <si>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</si>
  <si>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</si>
  <si>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</si>
  <si>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</si>
  <si>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</si>
  <si>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</si>
  <si>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</si>
  <si>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</si>
  <si>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</si>
  <si>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</si>
  <si>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</si>
  <si>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</si>
  <si>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</si>
  <si>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</si>
  <si>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</si>
  <si>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</si>
  <si>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</si>
  <si>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</si>
  <si>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</si>
  <si>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</si>
  <si>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</si>
  <si>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</si>
  <si>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</si>
  <si>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</si>
  <si>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</si>
  <si>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</si>
  <si>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</si>
  <si>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</si>
  <si>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</si>
  <si>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</si>
  <si>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</si>
  <si>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</si>
  <si>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</si>
  <si>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</si>
  <si>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</si>
  <si>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</si>
  <si>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</si>
  <si>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</si>
  <si>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</si>
  <si>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</si>
  <si>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</si>
  <si>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</si>
  <si>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</si>
  <si>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</si>
  <si>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</si>
  <si>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</si>
  <si>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</si>
  <si>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</si>
  <si>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</si>
  <si>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</si>
  <si>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</si>
  <si>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</si>
  <si>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</si>
  <si>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</si>
  <si>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אגד</t>
  </si>
  <si>
    <t>אגד אגח -1רמ</t>
  </si>
  <si>
    <t>IL0011987877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</si>
  <si>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</si>
  <si>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</si>
  <si>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</si>
  <si>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</si>
  <si>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</si>
  <si>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</si>
  <si>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דרך ארץ</t>
  </si>
  <si>
    <t>דרך ארץ מזנין 2</t>
  </si>
  <si>
    <t>נתיבים אגרות חוב</t>
  </si>
  <si>
    <t>נתיבים א</t>
  </si>
  <si>
    <t>בנק מרכנתיל דיסקונט</t>
  </si>
  <si>
    <t>מר.דסקונט כ.ה.נדחה 4.1% 07/2</t>
  </si>
  <si>
    <t>Aa2.il</t>
  </si>
  <si>
    <t>חשמל 2029 6%</t>
  </si>
  <si>
    <t>רשות שדות התעופה בישראל</t>
  </si>
  <si>
    <t>רש"ת אגח ב-רמ</t>
  </si>
  <si>
    <t>רש"ת אגח א-רמ</t>
  </si>
  <si>
    <t>אורמת 4</t>
  </si>
  <si>
    <t>אוצר החייל כ.התח 03/26 3.95%</t>
  </si>
  <si>
    <t>ilAA+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</si>
  <si>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</si>
  <si>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</si>
  <si>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</si>
  <si>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</si>
  <si>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</si>
  <si>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</si>
  <si>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</si>
  <si>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</si>
  <si>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</si>
  <si>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</si>
  <si>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</si>
  <si>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</si>
  <si>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</si>
  <si>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לאומי למשכנ שה</t>
  </si>
  <si>
    <t>מרכז משען בעמ</t>
  </si>
  <si>
    <t>משען-חב.רגיל</t>
  </si>
  <si>
    <t>קרן השקעות</t>
  </si>
  <si>
    <t>ק.השק -בכ'ב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</si>
  <si>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</si>
  <si>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</si>
  <si>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</si>
  <si>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</si>
  <si>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</si>
  <si>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</si>
  <si>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</si>
  <si>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</si>
  <si>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</si>
  <si>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</si>
  <si>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</si>
  <si>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</si>
  <si>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</si>
  <si>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</si>
  <si>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</si>
  <si>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</si>
  <si>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</si>
  <si>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</si>
  <si>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רנט איט - ריט מגורים בע"מ</t>
  </si>
  <si>
    <t>Rent It Israel</t>
  </si>
  <si>
    <t>ק השקעות מר</t>
  </si>
  <si>
    <t>ק.השק מר א'</t>
  </si>
  <si>
    <t>ק הש ח עובדים מר ד</t>
  </si>
  <si>
    <t>Gaia Class A Multifamily Properties LP</t>
  </si>
  <si>
    <t>GAIA Class A Multifam Prop HON</t>
  </si>
  <si>
    <t>Milestone Real Estate Investors</t>
  </si>
  <si>
    <t>Milestone RE V</t>
  </si>
  <si>
    <t>GAIA Class A Multifam Prop HOV</t>
  </si>
  <si>
    <t>Makefet Texas 12 LP- CASH</t>
  </si>
  <si>
    <t>Makefet US LLC -Holds BIP</t>
  </si>
  <si>
    <t>Makefet US LLC  100% Holding in BIP</t>
  </si>
  <si>
    <t>Amitim Mak U.S. Real Estate Investments Hon (2014)</t>
  </si>
  <si>
    <t>Dulles Greene Holdco, LP</t>
  </si>
  <si>
    <t>Amitim Mak U.S. Real Estate Investments Hov LP</t>
  </si>
  <si>
    <t>Makefet Reit LP</t>
  </si>
  <si>
    <t>MM Sunbelt, LP</t>
  </si>
  <si>
    <t>MM Sunbelt, LP CLASS 2</t>
  </si>
  <si>
    <t>GAIA Class A Multifam Prop Accrued Int</t>
  </si>
  <si>
    <t>Related - RFM</t>
  </si>
  <si>
    <t>RFM Affordable Housing Fund Co-Investment I LP</t>
  </si>
  <si>
    <t>10S LaSalle Chicago JV LLC</t>
  </si>
  <si>
    <t>10S LaSalle Chicago QFPF</t>
  </si>
  <si>
    <t>Herald Square JV LP</t>
  </si>
  <si>
    <t>GAIA GOLD COAST</t>
  </si>
  <si>
    <t>GAIA GOLD COAST PORTFOLIO</t>
  </si>
  <si>
    <t>51 W. 52nd - Black Rock ,LP</t>
  </si>
  <si>
    <t>W. 52nd - Black Rock ,LP 51-LOAN</t>
  </si>
  <si>
    <t>Makefet Reit LP - CASH</t>
  </si>
  <si>
    <t>W. 52nd - Black Rock ,LP 51 - ACCU INT</t>
  </si>
  <si>
    <t>TopMed 860 Chicago</t>
  </si>
  <si>
    <t>TopMed 680 Chicago</t>
  </si>
  <si>
    <t>MSP Portfolio</t>
  </si>
  <si>
    <t>MSP PORTFOLIO</t>
  </si>
  <si>
    <t>TMG Avondale JV, LLC</t>
  </si>
  <si>
    <t>West Palm Beach Portfolio</t>
  </si>
  <si>
    <t>West Palm Beach Portfolio LP</t>
  </si>
  <si>
    <t>SL 150 E42 St. Realty</t>
  </si>
  <si>
    <t>SL150E42 MOBILE - Accrued int</t>
  </si>
  <si>
    <t>Milestone RE IV</t>
  </si>
  <si>
    <t>Bloor Islington Place, LP</t>
  </si>
  <si>
    <t>Bloor Islington Place via hon to llc-100%</t>
  </si>
  <si>
    <t>Thor Gateway</t>
  </si>
  <si>
    <t>Thor Gateway 1 and 2 ,LLC</t>
  </si>
  <si>
    <t>SL150E42 MOBIL - HON</t>
  </si>
  <si>
    <t>SL150E42 Loans to LPs MOBIL</t>
  </si>
  <si>
    <t>10S LaSalle Chicago HON</t>
  </si>
  <si>
    <t>NOY Infrastructure and Energy</t>
  </si>
  <si>
    <t>NOY fund  III</t>
  </si>
  <si>
    <t>Vintage Investment Partners</t>
  </si>
  <si>
    <t>Vintage Fund of Funds II (Israel)</t>
  </si>
  <si>
    <t>Vintage Secondary Fund II (Israel)</t>
  </si>
  <si>
    <t>IIF</t>
  </si>
  <si>
    <t>A ת.ש.י דרכים מר</t>
  </si>
  <si>
    <t>Vintage Co-Investment Fund I (Israel)</t>
  </si>
  <si>
    <t>Klirmark</t>
  </si>
  <si>
    <t>Klirmark I</t>
  </si>
  <si>
    <t>Advent International</t>
  </si>
  <si>
    <t>Klirmark III</t>
  </si>
  <si>
    <t>(Vintage FOF V (Israel</t>
  </si>
  <si>
    <t>Israel Growth Partnes</t>
  </si>
  <si>
    <t>Israel Growth Partnes I</t>
  </si>
  <si>
    <t>שותפות שיכון ובינוי (כרמלטון + נתיבי הצפון)</t>
  </si>
  <si>
    <t>Tene Growth Capital</t>
  </si>
  <si>
    <t>Tene IV - Haifa Co-Investment</t>
  </si>
  <si>
    <t>FIMI Opportunity Funds</t>
  </si>
  <si>
    <t>Fimi Opportunity VII</t>
  </si>
  <si>
    <t>Tene IV</t>
  </si>
  <si>
    <t>Vintage Fund of Funds I (Israel)</t>
  </si>
  <si>
    <t>Fortissimo Capital</t>
  </si>
  <si>
    <t>Fortissimo VI</t>
  </si>
  <si>
    <t>Klirmark Capital Ltd.</t>
  </si>
  <si>
    <t>AMI I - APAX  ISRAEL</t>
  </si>
  <si>
    <t>Yesodot</t>
  </si>
  <si>
    <t>Yesodot II - Tama 38 Finance</t>
  </si>
  <si>
    <t>Helios Energy Investments</t>
  </si>
  <si>
    <t>Helios 4</t>
  </si>
  <si>
    <t>Vintage FOF VII (Breakout)</t>
  </si>
  <si>
    <t>Yesodot I - Tama 38 Finance</t>
  </si>
  <si>
    <t>Vintage</t>
  </si>
  <si>
    <t>Vintage Fund of Funds IV (Amitim)</t>
  </si>
  <si>
    <t>Fimi V</t>
  </si>
  <si>
    <t>Kedma</t>
  </si>
  <si>
    <t>Kedma Capital Partners IV</t>
  </si>
  <si>
    <t>NOY fund II</t>
  </si>
  <si>
    <t>S.H. SKY Management L.P.</t>
  </si>
  <si>
    <t>Sky II</t>
  </si>
  <si>
    <t>Israel Infrastructure Fund</t>
  </si>
  <si>
    <t>Israel Infrastructure II</t>
  </si>
  <si>
    <t>Yesodot III - Tama 38 Finance</t>
  </si>
  <si>
    <t>Tene</t>
  </si>
  <si>
    <t>Tene Growth Capital III</t>
  </si>
  <si>
    <t>A1 ת.ש.י דרכים מר</t>
  </si>
  <si>
    <t>תימורה קרן נדל"ן מניב</t>
  </si>
  <si>
    <t>תימורה - קרן נדל"ן - ישראל</t>
  </si>
  <si>
    <t>Shaked Partners</t>
  </si>
  <si>
    <t>Shaked Partners Fund II</t>
  </si>
  <si>
    <t>נוי עיר הבהד"ים</t>
  </si>
  <si>
    <t>Greenfield Partners</t>
  </si>
  <si>
    <t>Greenfield Partners Fund III</t>
  </si>
  <si>
    <t>Israel Growth Partners</t>
  </si>
  <si>
    <t>Israel Growth Partners II</t>
  </si>
  <si>
    <t>Green Lantern</t>
  </si>
  <si>
    <t>Green Lantern VI</t>
  </si>
  <si>
    <t>Israel Infrastructure I</t>
  </si>
  <si>
    <t>Pitango  Venture Capital Partners</t>
  </si>
  <si>
    <t>Pitango Growth II</t>
  </si>
  <si>
    <t>CVC Capital Partners</t>
  </si>
  <si>
    <t>Klirmark IV</t>
  </si>
  <si>
    <t>FIMI Opportunity VI</t>
  </si>
  <si>
    <t>Vintage FOF VII (Israel)</t>
  </si>
  <si>
    <t>Vintage FOF VI (Israel)</t>
  </si>
  <si>
    <t>Reality Real Estate Investment Fund 5</t>
  </si>
  <si>
    <t>Reality Fund V</t>
  </si>
  <si>
    <t>ARBEL</t>
  </si>
  <si>
    <t>Arbel II</t>
  </si>
  <si>
    <t>Viola Group</t>
  </si>
  <si>
    <t>Viola Venture IV</t>
  </si>
  <si>
    <t>Fimi Opportunity IV</t>
  </si>
  <si>
    <t>Faire</t>
  </si>
  <si>
    <t>Faire fund II</t>
  </si>
  <si>
    <t>Arbel Capital Group</t>
  </si>
  <si>
    <t>ARBEL I</t>
  </si>
  <si>
    <t>RAM Energy</t>
  </si>
  <si>
    <t>RAM Energy L.P</t>
  </si>
  <si>
    <t>Fortissimo III</t>
  </si>
  <si>
    <t>SCP Private Equity Management L.P.</t>
  </si>
  <si>
    <t>SCP VitaLife II</t>
  </si>
  <si>
    <t>Noy Infrastructure</t>
  </si>
  <si>
    <t>Noy Fund IV</t>
  </si>
  <si>
    <t>Tene III - Gadot Co-Investment</t>
  </si>
  <si>
    <t>FIMI</t>
  </si>
  <si>
    <t>FIMI Opportunity II</t>
  </si>
  <si>
    <t>Vintage Fund of Funds III (Amitim)</t>
  </si>
  <si>
    <t>Copenhagen Infrastructure Partners</t>
  </si>
  <si>
    <t>PROJECT GOLDEN BEAR</t>
  </si>
  <si>
    <t>Bridgepoint Capital Ltd.</t>
  </si>
  <si>
    <t>Partners Group Direct Investments 2012 EUR, LP Inc</t>
  </si>
  <si>
    <t>HarbourVest Amitim Fund L.P</t>
  </si>
  <si>
    <t>Ekaterra B.V</t>
  </si>
  <si>
    <t>מאזני HarbourVest Amitim Fund</t>
  </si>
  <si>
    <t>Vintage Co-Investment Amitim L.P.</t>
  </si>
  <si>
    <t>AL Growth 2021</t>
  </si>
  <si>
    <t>Polaris Capital Group Co., Limited</t>
  </si>
  <si>
    <t>Crown CG Private Equity</t>
  </si>
  <si>
    <t>F24 AG</t>
  </si>
  <si>
    <t>Blackstone</t>
  </si>
  <si>
    <t>Investcorp Private Equity 2007 Fund, L.P. (2</t>
  </si>
  <si>
    <t>Castlelake</t>
  </si>
  <si>
    <t>HgCapital Mercury C L.P</t>
  </si>
  <si>
    <t>Keensight Capital</t>
  </si>
  <si>
    <t>Blackstone Energy II</t>
  </si>
  <si>
    <t>Partners Group</t>
  </si>
  <si>
    <t>Advent International GPE IX</t>
  </si>
  <si>
    <t>Ares Management Corporation</t>
  </si>
  <si>
    <t>Ares EF VI</t>
  </si>
  <si>
    <t>BROOKFIELD RE III</t>
  </si>
  <si>
    <t>Morgan Stanley Investment Management</t>
  </si>
  <si>
    <t>North Haven Credit Partners IV</t>
  </si>
  <si>
    <t>Partners Group Direct Mezzanine 2013</t>
  </si>
  <si>
    <t>TLE 2021</t>
  </si>
  <si>
    <t>Pantheon Ventures Inc.</t>
  </si>
  <si>
    <t>Anacap Credit Opportunities III</t>
  </si>
  <si>
    <t>Saw Mill Capital</t>
  </si>
  <si>
    <t>Saw Mill Capital Partners II</t>
  </si>
  <si>
    <t>Starlight Capital</t>
  </si>
  <si>
    <t>Pantheon Global Infrastructure fund IV</t>
  </si>
  <si>
    <t>Insight Equity Partners</t>
  </si>
  <si>
    <t>Insight Equity III</t>
  </si>
  <si>
    <t>Intermediate Capital Group plc</t>
  </si>
  <si>
    <t>SSG Capital III</t>
  </si>
  <si>
    <t>Waterland PE Fund VII</t>
  </si>
  <si>
    <t>GV 2022</t>
  </si>
  <si>
    <t>Independent Vet Care</t>
  </si>
  <si>
    <t>Amitim Fund I</t>
  </si>
  <si>
    <t>Hamilton Lane</t>
  </si>
  <si>
    <t>Secondary SPV-4-Providence</t>
  </si>
  <si>
    <t>Odyssey Investment Partners</t>
  </si>
  <si>
    <t>Odyssey Investment Partners IV</t>
  </si>
  <si>
    <t>Brookfield Asset Management</t>
  </si>
  <si>
    <t>Partners Group Direct Mezzanine 2011, L.P. Inc. (6</t>
  </si>
  <si>
    <t>Prime Group Holdings, LLC</t>
  </si>
  <si>
    <t>Astorg Mid-Cap I</t>
  </si>
  <si>
    <t>Lightspeed Venture Partners</t>
  </si>
  <si>
    <t>Castlelake Fund VI</t>
  </si>
  <si>
    <t>Caverion Oyj</t>
  </si>
  <si>
    <t>Vintage Amitim Co-Investment, L.P - Class B</t>
  </si>
  <si>
    <t>Hamilton Lane Secondary II</t>
  </si>
  <si>
    <t>Faropoint LP</t>
  </si>
  <si>
    <t>Platinum Equity III</t>
  </si>
  <si>
    <t>Starlight Canadian Residential Growth Fund</t>
  </si>
  <si>
    <t>SCGF (STARLIGHT 1 ) CANADIAN HOLDINGS 1 LTD</t>
  </si>
  <si>
    <t>Hamilton Secondary Fund VI</t>
  </si>
  <si>
    <t>IFS</t>
  </si>
  <si>
    <t>Symeres</t>
  </si>
  <si>
    <t>American Securities, LLC</t>
  </si>
  <si>
    <t>American Securities VII</t>
  </si>
  <si>
    <t>Brookfield Infrastructure III</t>
  </si>
  <si>
    <t>Ridgemont Equity Partners</t>
  </si>
  <si>
    <t>Ridgemont Equity I</t>
  </si>
  <si>
    <t>Madison realty capital debt fund ,LP</t>
  </si>
  <si>
    <t>Madison realty capital debt fund IV Mak</t>
  </si>
  <si>
    <t>Pantheon Global Infrastructure fund III - Makefet</t>
  </si>
  <si>
    <t>Permira Advisers Limited</t>
  </si>
  <si>
    <t>Dover Street X</t>
  </si>
  <si>
    <t>Coller International Partners</t>
  </si>
  <si>
    <t>Pooling Project Nevada</t>
  </si>
  <si>
    <t>Hamilton Lane International Investors - Series H1d</t>
  </si>
  <si>
    <t>Sixth Street Partners</t>
  </si>
  <si>
    <t>TPG Opportunity II</t>
  </si>
  <si>
    <t>SSG Capital Management</t>
  </si>
  <si>
    <t>Clearlake VII</t>
  </si>
  <si>
    <t>I Squared Capital</t>
  </si>
  <si>
    <t>ISQ Co-Investment Fund III</t>
  </si>
  <si>
    <t>HGI Multifamily Credit Fund</t>
  </si>
  <si>
    <t>TLE 2021 SF</t>
  </si>
  <si>
    <t>Nomios Group</t>
  </si>
  <si>
    <t>ANHO 2021</t>
  </si>
  <si>
    <t>Pooling Project Poseidon</t>
  </si>
  <si>
    <t>TOUS</t>
  </si>
  <si>
    <t>Coller International VIII</t>
  </si>
  <si>
    <t>Levine Leichtman VI</t>
  </si>
  <si>
    <t>HL International Feeder H-Aion</t>
  </si>
  <si>
    <t>GHO Capital</t>
  </si>
  <si>
    <t>Gores Small Cap</t>
  </si>
  <si>
    <t>ICG VII</t>
  </si>
  <si>
    <t>Phoenix Logistics Portfolio</t>
  </si>
  <si>
    <t>Lexington Partners L.P.</t>
  </si>
  <si>
    <t>Blackstone VII</t>
  </si>
  <si>
    <t>H.I.G. Capital</t>
  </si>
  <si>
    <t>H.I.G.Opportunity Fund II</t>
  </si>
  <si>
    <t>BR 2022</t>
  </si>
  <si>
    <t>Blackstone RE VIII</t>
  </si>
  <si>
    <t>Hahn &amp; Company Korea Ltd.</t>
  </si>
  <si>
    <t>Hahn III-S</t>
  </si>
  <si>
    <t>Kayne Anderson Capital Advisors</t>
  </si>
  <si>
    <t>KAREP VI</t>
  </si>
  <si>
    <t>Ethos Private Equity Ltd.</t>
  </si>
  <si>
    <t>Ethos PE VI</t>
  </si>
  <si>
    <t>SCGF II Canadian Holdings 2 LTD - loan</t>
  </si>
  <si>
    <t>SCGF III Canadian Holdings 1 LTD - LOAN ACCR</t>
  </si>
  <si>
    <t>Vintage Co-Investment Amitim, L.P</t>
  </si>
  <si>
    <t>BC Partners</t>
  </si>
  <si>
    <t>Fourth Cinven Fund, L.P. (3</t>
  </si>
  <si>
    <t>Partners Group II</t>
  </si>
  <si>
    <t>מאזני HarbourVest Amitim Fund tranche C</t>
  </si>
  <si>
    <t>CDH Partners</t>
  </si>
  <si>
    <t>CDH Fund VI L.P</t>
  </si>
  <si>
    <t>Pooling Project Bonhomme</t>
  </si>
  <si>
    <t>Foncia Groupe SAS</t>
  </si>
  <si>
    <t>Waterland PE Fund VIII</t>
  </si>
  <si>
    <t>Arjun Investment Partners</t>
  </si>
  <si>
    <t>Arjun Alliance LP</t>
  </si>
  <si>
    <t>Insight Partners</t>
  </si>
  <si>
    <t>Insight Partners XI</t>
  </si>
  <si>
    <t>BY Ventures 2019 SF</t>
  </si>
  <si>
    <t>Arjun</t>
  </si>
  <si>
    <t>Dakota Co-Investment (Arjun I)</t>
  </si>
  <si>
    <t>HPS Investment Partners, LLC</t>
  </si>
  <si>
    <t>Waterton Precious Metals II</t>
  </si>
  <si>
    <t>ECI Fund XI</t>
  </si>
  <si>
    <t>NRTH 2021 SPV</t>
  </si>
  <si>
    <t>The Varde Asia Credit Fund, L.P</t>
  </si>
  <si>
    <t>TZP Group LLC</t>
  </si>
  <si>
    <t>TZP Capital Partrners III</t>
  </si>
  <si>
    <t>פתאל פרטנרשיפ 3 ג'י. פי. בע"מ</t>
  </si>
  <si>
    <t>Fattal Partnership III (International) LP</t>
  </si>
  <si>
    <t>Madison Realty Capital</t>
  </si>
  <si>
    <t>Madison realty capital debt fund V</t>
  </si>
  <si>
    <t>Ascribe Capital LLC</t>
  </si>
  <si>
    <t>Ascribe III</t>
  </si>
  <si>
    <t>EPEP III</t>
  </si>
  <si>
    <t>Platinum Equity Capital Partners</t>
  </si>
  <si>
    <t>Platinum VI</t>
  </si>
  <si>
    <t>HL International Feeder H1-A</t>
  </si>
  <si>
    <t>Blackstone Energy</t>
  </si>
  <si>
    <t>IDG Capital Partners</t>
  </si>
  <si>
    <t>IDG China Capital Fund III</t>
  </si>
  <si>
    <t>EQT Limited</t>
  </si>
  <si>
    <t>EQT Infrastructure V</t>
  </si>
  <si>
    <t>ISQ Fund III</t>
  </si>
  <si>
    <t>CVC VII</t>
  </si>
  <si>
    <t>Baring Vostock Capital Partners</t>
  </si>
  <si>
    <t>Baring Vostok V</t>
  </si>
  <si>
    <t>Electra America</t>
  </si>
  <si>
    <t>Electra Multifamily Investments Fund III Feed  IV</t>
  </si>
  <si>
    <t>VIG IV Private Equity Fund</t>
  </si>
  <si>
    <t>YBS SPV 2022</t>
  </si>
  <si>
    <t>Threestones Capital Management SA</t>
  </si>
  <si>
    <t>Advent International GPE X</t>
  </si>
  <si>
    <t>ANHO SII</t>
  </si>
  <si>
    <t>Veld Credit Opportunities IV</t>
  </si>
  <si>
    <t>HL International Feeder H1-C</t>
  </si>
  <si>
    <t>Verdane Capital</t>
  </si>
  <si>
    <t>Blackstone RE X</t>
  </si>
  <si>
    <t>Earnix Inc</t>
  </si>
  <si>
    <t>Portobello Capital</t>
  </si>
  <si>
    <t>GHO Capital Partners III</t>
  </si>
  <si>
    <t>HL International Feeder H2-B</t>
  </si>
  <si>
    <t>Argo Infrastructure Partners</t>
  </si>
  <si>
    <t>Argo Co Investment -Project Inception</t>
  </si>
  <si>
    <t>Verdane Edda II</t>
  </si>
  <si>
    <t>Dover Street XI</t>
  </si>
  <si>
    <t>ANHO SIII</t>
  </si>
  <si>
    <t>Astrog VI, FCPI</t>
  </si>
  <si>
    <t>Vitruvian Investment Partnership IV</t>
  </si>
  <si>
    <t>Castlelake IV</t>
  </si>
  <si>
    <t>Harbor Group International (HGI)</t>
  </si>
  <si>
    <t>Blackstone RE VII</t>
  </si>
  <si>
    <t>Platinum V</t>
  </si>
  <si>
    <t>HL International Feeder H2-A</t>
  </si>
  <si>
    <t>HarborVest VI Asia Pacific</t>
  </si>
  <si>
    <t>BERERP Crescent</t>
  </si>
  <si>
    <t>Waterland Private Equity Investments B.V.</t>
  </si>
  <si>
    <t>Macquarie Infrastructure Partners VI</t>
  </si>
  <si>
    <t>Waterland</t>
  </si>
  <si>
    <t>Waterland Private Equity Fund IX</t>
  </si>
  <si>
    <t>Elysian Capital LLP</t>
  </si>
  <si>
    <t>Elysian Capital III</t>
  </si>
  <si>
    <t>(Vintage FOF V (EM</t>
  </si>
  <si>
    <t>Pantheon Europe VI</t>
  </si>
  <si>
    <t>Energy Capital Partners</t>
  </si>
  <si>
    <t>Energy Capital Partners III</t>
  </si>
  <si>
    <t>Gatewood Capital</t>
  </si>
  <si>
    <t>Gatewood II</t>
  </si>
  <si>
    <t>TZ 2022</t>
  </si>
  <si>
    <t>Verdane Edda</t>
  </si>
  <si>
    <t>SEK</t>
  </si>
  <si>
    <t>Veld Capital</t>
  </si>
  <si>
    <t>CVC Credit Direct Lending III</t>
  </si>
  <si>
    <t>Argo Series 3</t>
  </si>
  <si>
    <t>ANHO 2020</t>
  </si>
  <si>
    <t>Mehler Vario System GmgH</t>
  </si>
  <si>
    <t>HL International Feeder H1-B</t>
  </si>
  <si>
    <t>Kersia SAS</t>
  </si>
  <si>
    <t>מאזני VINTAGE CO INV Class B</t>
  </si>
  <si>
    <t>Trilantic Capital Partners IV (Europe) L.P. (1</t>
  </si>
  <si>
    <t>Blackstone RE IX</t>
  </si>
  <si>
    <t>ZM Capital (Zelnick Media)</t>
  </si>
  <si>
    <t>ZM Capital II</t>
  </si>
  <si>
    <t>Verdane Capital XI</t>
  </si>
  <si>
    <t>Gridiron Capital</t>
  </si>
  <si>
    <t>Gridiron V</t>
  </si>
  <si>
    <t>MBK V</t>
  </si>
  <si>
    <t>One Peak Growth II</t>
  </si>
  <si>
    <t>Bridgepoint</t>
  </si>
  <si>
    <t>BRIDGEPOINT EUROPE VII</t>
  </si>
  <si>
    <t>Electra Multifamily Investments Fund II, L.P</t>
  </si>
  <si>
    <t>Solina Group SAS</t>
  </si>
  <si>
    <t>Carlyle Europe Partners III, L.P. (3</t>
  </si>
  <si>
    <t>Infobric Group AB</t>
  </si>
  <si>
    <t>Lexington Capital Partners IX</t>
  </si>
  <si>
    <t>Harvest Partners</t>
  </si>
  <si>
    <t>Harvest Partners IX, L.P</t>
  </si>
  <si>
    <t>Pooling Project Roadrunner</t>
  </si>
  <si>
    <t>CVC Credit Partners</t>
  </si>
  <si>
    <t>Blackstone VI</t>
  </si>
  <si>
    <t>Unither Pharmaceuticals SAS</t>
  </si>
  <si>
    <t>MBK Partners</t>
  </si>
  <si>
    <t>H2 equity Partners V</t>
  </si>
  <si>
    <t>American Securities Partners VIII</t>
  </si>
  <si>
    <t>Kohlberg &amp; Company, L.L.C.</t>
  </si>
  <si>
    <t>Kohlberg IX</t>
  </si>
  <si>
    <t>Hahn &amp; Co. II</t>
  </si>
  <si>
    <t>Varde Partners</t>
  </si>
  <si>
    <t>ATF Thor Trust 3</t>
  </si>
  <si>
    <t>Clearlake Capital</t>
  </si>
  <si>
    <t>Livingbridge Enterprise 2 LP</t>
  </si>
  <si>
    <t>(Vintage FOF V (Access</t>
  </si>
  <si>
    <t>BY Ventures 2019</t>
  </si>
  <si>
    <t>SCGF II Canadian Holdings 1 LTD</t>
  </si>
  <si>
    <t>Apax Partners</t>
  </si>
  <si>
    <t>Apax Europe VII - B</t>
  </si>
  <si>
    <t>Forma</t>
  </si>
  <si>
    <t>Forma Fund II</t>
  </si>
  <si>
    <t>Prime Storage Fund III</t>
  </si>
  <si>
    <t>Gridiron Capital IV</t>
  </si>
  <si>
    <t>Vintage Co-Investment Class B</t>
  </si>
  <si>
    <t>ECI Partners LLP</t>
  </si>
  <si>
    <t>American Securities VI</t>
  </si>
  <si>
    <t>Harvest Partners VII</t>
  </si>
  <si>
    <t>Pooling Project Gate</t>
  </si>
  <si>
    <t>BERERP Silver Co-Invest SCSp</t>
  </si>
  <si>
    <t>Lightspeed Venture Partners XII</t>
  </si>
  <si>
    <t>Keensight VI</t>
  </si>
  <si>
    <t>Ascribe II</t>
  </si>
  <si>
    <t>CDH Fund V</t>
  </si>
  <si>
    <t>Tikehau Capital Partners (“Tikehau”)</t>
  </si>
  <si>
    <t>Permira VIII</t>
  </si>
  <si>
    <t>istituto centrale delle banche popolari italiane 5</t>
  </si>
  <si>
    <t>NetRom Holding B.V.</t>
  </si>
  <si>
    <t>Hamilton Lane International Investors - Series H1e</t>
  </si>
  <si>
    <t>Roark Capital Group, Inc.</t>
  </si>
  <si>
    <t>Roark Capital Partners VI</t>
  </si>
  <si>
    <t>ProA Capital Iberian Buyout Fund II, F.C.R</t>
  </si>
  <si>
    <t>BEREP 30 Fenchurch</t>
  </si>
  <si>
    <t>KMNOCH Aggregator I (Co-invest Kohlberg IX)</t>
  </si>
  <si>
    <t>Lexington Capital Partners X</t>
  </si>
  <si>
    <t>Roark IV</t>
  </si>
  <si>
    <t>Tikehau Direct Lending V</t>
  </si>
  <si>
    <t>Seqens SAS</t>
  </si>
  <si>
    <t>Faropoint Industrial Fund III</t>
  </si>
  <si>
    <t>H2 Equity Partners</t>
  </si>
  <si>
    <t>BC European Partners IX</t>
  </si>
  <si>
    <t>HgCapital 7 L.P. (1</t>
  </si>
  <si>
    <t>Macquarie</t>
  </si>
  <si>
    <t>Coller International VII</t>
  </si>
  <si>
    <t>Advent International VIII</t>
  </si>
  <si>
    <t>Clessidra Capital Prtners III</t>
  </si>
  <si>
    <t>Gavea Investimentos</t>
  </si>
  <si>
    <t>Gavea Investment V</t>
  </si>
  <si>
    <t>Thoma Bravo, LLC</t>
  </si>
  <si>
    <t>Thoma Bravo L.P XV</t>
  </si>
  <si>
    <t>GateWood</t>
  </si>
  <si>
    <t>Ares European RE Fund V, SCSP</t>
  </si>
  <si>
    <t>Apollo Management</t>
  </si>
  <si>
    <t>Partners Group I</t>
  </si>
  <si>
    <t>American Industrial Partners</t>
  </si>
  <si>
    <t>American Industrial Partners  VI</t>
  </si>
  <si>
    <t>VIG Partners</t>
  </si>
  <si>
    <t>HPS Core Senior Lending Fund II</t>
  </si>
  <si>
    <t>GV 2022 SPV</t>
  </si>
  <si>
    <t>Paragon Partners</t>
  </si>
  <si>
    <t>Dover Street IX</t>
  </si>
  <si>
    <t>Astorg Partners</t>
  </si>
  <si>
    <t>Partners Group European Mezzanine 2008, L.P. (4</t>
  </si>
  <si>
    <t>Hahn III</t>
  </si>
  <si>
    <t>Gridiron Capital II</t>
  </si>
  <si>
    <t>Medica Group plc</t>
  </si>
  <si>
    <t>MONARCH</t>
  </si>
  <si>
    <t>MONARCH CAPITAL PARTNERS OFFSHORE VI LP</t>
  </si>
  <si>
    <t>Reward Gateway</t>
  </si>
  <si>
    <t>Jewel CG Private Equity Main Fund</t>
  </si>
  <si>
    <t>HarbourVest Partners, LLC</t>
  </si>
  <si>
    <t>Advent International GPE VII</t>
  </si>
  <si>
    <t>Kohlberg VIII</t>
  </si>
  <si>
    <t>OMERS Investment Management Inc.</t>
  </si>
  <si>
    <t>Brookfield RE II</t>
  </si>
  <si>
    <t>Partners Group Direct Investments 2009, L.P.(6</t>
  </si>
  <si>
    <t>Waterland PE Fund VI</t>
  </si>
  <si>
    <t>SSG Capital V</t>
  </si>
  <si>
    <t>ANHO SI</t>
  </si>
  <si>
    <t>Electra Multifamily Investments Fund IV</t>
  </si>
  <si>
    <t>Vitruvian Partners LLP</t>
  </si>
  <si>
    <t>Pantheon Global Secondary Fund VII</t>
  </si>
  <si>
    <t>Arjun Alliance LP II</t>
  </si>
  <si>
    <t>Hestia Invest SAS</t>
  </si>
  <si>
    <t>Platinum IV</t>
  </si>
  <si>
    <t>Insight Partners XII</t>
  </si>
  <si>
    <t>Pooling Project Wallaby 5</t>
  </si>
  <si>
    <t>The Paragon Fund IV</t>
  </si>
  <si>
    <t>Equistone Partners Europe Fund IV, L.P</t>
  </si>
  <si>
    <t>NG Capital Partners</t>
  </si>
  <si>
    <t>NG Capital II</t>
  </si>
  <si>
    <t>Blackstone Capital Partners VIII</t>
  </si>
  <si>
    <t>Gamut Capital</t>
  </si>
  <si>
    <t>Gamut Investment Fund I</t>
  </si>
  <si>
    <t>Breakthrough Properties</t>
  </si>
  <si>
    <t>Gridiron Capital III</t>
  </si>
  <si>
    <t>Ares Pan-European Logistics Partnership, L.P.</t>
  </si>
  <si>
    <t>Partners Group European Buyout 2008 (B), L.P. (7</t>
  </si>
  <si>
    <t>TZP Capital II</t>
  </si>
  <si>
    <t>SCGF III Canadian Holdings 1 LTD - loan</t>
  </si>
  <si>
    <t>Pooling Vitruvian Investment Partnership II</t>
  </si>
  <si>
    <t>SCGF (STARLIGHT 1 ) CANADIAN HOLDINGS LTD- LOAN</t>
  </si>
  <si>
    <t>Apollo IX</t>
  </si>
  <si>
    <t>RG 2022</t>
  </si>
  <si>
    <t>NRTH 2021</t>
  </si>
  <si>
    <t>Pan-European Logistics Portfolio</t>
  </si>
  <si>
    <t>Elysian Capital II</t>
  </si>
  <si>
    <t>Cerba Healthcare SAS</t>
  </si>
  <si>
    <t>SSG Capital IV</t>
  </si>
  <si>
    <t>Stonepeak Associates, LLC</t>
  </si>
  <si>
    <t>Stonepeak IV</t>
  </si>
  <si>
    <t>SCGF III Canadian Holdings 1 LTD</t>
  </si>
  <si>
    <t>Pantheon Senior Debt Secondary III</t>
  </si>
  <si>
    <t>CIM</t>
  </si>
  <si>
    <t>CIM Fund VIII - Makefet</t>
  </si>
  <si>
    <t>Bridgepoint Development Capital Fund IV</t>
  </si>
  <si>
    <t>Action Holding B.V.</t>
  </si>
  <si>
    <t>מאזני Amitim Fund II</t>
  </si>
  <si>
    <t>Amitim Fund II</t>
  </si>
  <si>
    <t>Creador Sdn Bhd</t>
  </si>
  <si>
    <t>Creador II</t>
  </si>
  <si>
    <t>HPS Strategic Investment Partners V</t>
  </si>
  <si>
    <t>Gemini Capital Fund Management, Ltd</t>
  </si>
  <si>
    <t>Gemini Israel V L.P</t>
  </si>
  <si>
    <t>Levine Leichtman</t>
  </si>
  <si>
    <t>Levine Leichtman IV</t>
  </si>
  <si>
    <t>Vintage FOF VI Access</t>
  </si>
  <si>
    <t>Fortissimo II</t>
  </si>
  <si>
    <t>Astorg VIII</t>
  </si>
  <si>
    <t>Vitruvian Investment Partnership V</t>
  </si>
  <si>
    <t>Verdane capital advisors</t>
  </si>
  <si>
    <t>Verdane Edda III</t>
  </si>
  <si>
    <t>Envision Pharma Group Limited</t>
  </si>
  <si>
    <t>Partners Group European SMC Buyout 2011, L.P. Inc</t>
  </si>
  <si>
    <t>Jewel CG Co-Invest Fund-S</t>
  </si>
  <si>
    <t>Visma Group Holdings A/S</t>
  </si>
  <si>
    <t>Levine Leichtman Capital Partners, Inc.</t>
  </si>
  <si>
    <t>Levine Leichtman V</t>
  </si>
  <si>
    <t>Hamilton Lane International Investors - Series H1f</t>
  </si>
  <si>
    <t>Roark Capital Partners V</t>
  </si>
  <si>
    <t>CVC VIII</t>
  </si>
  <si>
    <t>ICG VI</t>
  </si>
  <si>
    <t>CIM Group, Inc.</t>
  </si>
  <si>
    <t>Pooling Project Madrid</t>
  </si>
  <si>
    <t>Klirmark II</t>
  </si>
  <si>
    <t>HarbourVest Amitim Fund L.P. tranche C</t>
  </si>
  <si>
    <t>Vintage Co-Investment</t>
  </si>
  <si>
    <t>Egeria Private Equity Fund IV</t>
  </si>
  <si>
    <t>Personal &amp; Informatik AG</t>
  </si>
  <si>
    <t>Boyu Capital</t>
  </si>
  <si>
    <t>Boyu III</t>
  </si>
  <si>
    <t>SCGF (STARLIGHT 1 ) CANADIAN HOLDINGS- LOAN ACCR</t>
  </si>
  <si>
    <t>Vintage FOF VII (Access)</t>
  </si>
  <si>
    <t>American Industrial Partners Capital Fund VII</t>
  </si>
  <si>
    <t>BREP Asia III</t>
  </si>
  <si>
    <t>High Road Capital Partners</t>
  </si>
  <si>
    <t>High Road Capital II</t>
  </si>
  <si>
    <t>BSREP IV</t>
  </si>
  <si>
    <t>Gores Technology Group</t>
  </si>
  <si>
    <t>BCP Special Opportunities Fund III LP</t>
  </si>
  <si>
    <t>מאזני Amitim Fund I</t>
  </si>
  <si>
    <t>HarbourVest Amitim Fund L.P tranche C</t>
  </si>
  <si>
    <t>KPS</t>
  </si>
  <si>
    <t>KPS SS V</t>
  </si>
  <si>
    <t>מאזני VINTAGE CO INV</t>
  </si>
  <si>
    <t>Kleiner Perkins</t>
  </si>
  <si>
    <t>KPCB XVII</t>
  </si>
  <si>
    <t>Lightspeed Venture Partners Select III</t>
  </si>
  <si>
    <t>Breakthrough Properties LLC</t>
  </si>
  <si>
    <t>CapVis Equity IV</t>
  </si>
  <si>
    <t>KeenSight V</t>
  </si>
  <si>
    <t>HL International Investors - Series H2c (Asia)</t>
  </si>
  <si>
    <t>ICG VIII</t>
  </si>
  <si>
    <t>TSC Eurocare IV</t>
  </si>
  <si>
    <t>SCGF II Canadian Holdings 2 LTD - LOAN ACCR</t>
  </si>
  <si>
    <t>One Peak Partners LLP</t>
  </si>
  <si>
    <t>Brookfield European Real Estate Partnership SCSp</t>
  </si>
  <si>
    <t>Prime Capital AG</t>
  </si>
  <si>
    <t>Permira Growth Opportunities II</t>
  </si>
  <si>
    <t>Pooling Project Hg</t>
  </si>
  <si>
    <t>The Jordan Company</t>
  </si>
  <si>
    <t>The Resolute Fund VI, L.P</t>
  </si>
  <si>
    <t>Vintage FOF VI Breakout</t>
  </si>
  <si>
    <t>Portobello Capital Fondo IV</t>
  </si>
  <si>
    <t>Related Fund Management LLC</t>
  </si>
  <si>
    <t>Related affordable Housing Fund</t>
  </si>
  <si>
    <t>Coller International VI</t>
  </si>
  <si>
    <t>Apollo VIII</t>
  </si>
  <si>
    <t>Kayne Anderson Real Estate Partners V, L.P</t>
  </si>
  <si>
    <t>MBK IV</t>
  </si>
  <si>
    <t>MiDEAL Group</t>
  </si>
  <si>
    <t>Mideal Management 2, L.P</t>
  </si>
  <si>
    <t>Ascribe Opportunities Fund IV, L.P</t>
  </si>
  <si>
    <t>KPCB DGF III</t>
  </si>
  <si>
    <t>Roark Capital Partners II Sidecar Fund</t>
  </si>
  <si>
    <t>פיימנט טכנולוגיות פיננסיות בע"מ</t>
  </si>
  <si>
    <t>פיימנט- כתבי אופציה  01.07.26/12.01.27</t>
  </si>
  <si>
    <t>IL0011808768</t>
  </si>
  <si>
    <t>ILSILS</t>
  </si>
  <si>
    <t>POALIILIT</t>
  </si>
  <si>
    <t>LEUMIILILTXXX</t>
  </si>
  <si>
    <t>NDDUWI INDEX</t>
  </si>
  <si>
    <t>IDBLILITXXX</t>
  </si>
  <si>
    <t>USDILS</t>
  </si>
  <si>
    <t>BARCUS33</t>
  </si>
  <si>
    <t>EURILS</t>
  </si>
  <si>
    <t>GOLDUS33001</t>
  </si>
  <si>
    <t>CHASUS33</t>
  </si>
  <si>
    <t>CITIUS33</t>
  </si>
  <si>
    <t>DEUTUS33</t>
  </si>
  <si>
    <t>NDDUUS INDEX</t>
  </si>
  <si>
    <t>קבועה</t>
  </si>
  <si>
    <t>Baa1.il</t>
  </si>
  <si>
    <t>נדל"ן מניב - מגורים (כולל דיור מוגן)</t>
  </si>
  <si>
    <t>AA-</t>
  </si>
  <si>
    <t>A</t>
  </si>
  <si>
    <t>ilBBB</t>
  </si>
  <si>
    <t>ilBBB+</t>
  </si>
  <si>
    <t>נדל"ן מניב - לוגיסטיקה</t>
  </si>
  <si>
    <t>נדל"ן מניב - מסחר</t>
  </si>
  <si>
    <t>A+</t>
  </si>
  <si>
    <t>נדל"ן מניב - אחר/לא מסווג</t>
  </si>
  <si>
    <t>ilA-</t>
  </si>
  <si>
    <t>ilA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</si>
  <si>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</si>
  <si>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</si>
  <si>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</si>
  <si>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</si>
  <si>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</si>
  <si>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מקפת ס.מ.ישיר 31.03.24</t>
  </si>
  <si>
    <t>התח.ממש.אי העלאת ג.פרישה נשים</t>
  </si>
  <si>
    <t>85-1058970</t>
  </si>
  <si>
    <t>38-3981213</t>
  </si>
  <si>
    <t>Fortissimo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</si>
  <si>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</si>
  <si>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</si>
  <si>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</si>
  <si>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</si>
  <si>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</si>
  <si>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</si>
  <si>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</si>
  <si>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</si>
  <si>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</si>
  <si>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</si>
  <si>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</si>
  <si>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</si>
  <si>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</si>
  <si>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</si>
  <si>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</si>
  <si>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</si>
  <si>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</si>
  <si>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</si>
  <si>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</si>
  <si>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Pantheon</t>
  </si>
  <si>
    <t>Odyssey Investment</t>
  </si>
  <si>
    <t>Odyssey Investment IV</t>
  </si>
  <si>
    <t>Levine Leicthman IV</t>
  </si>
  <si>
    <t>Harbourvest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</si>
  <si>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</si>
  <si>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</si>
  <si>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</si>
  <si>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</si>
  <si>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</si>
  <si>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</si>
  <si>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</si>
  <si>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</si>
  <si>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</si>
  <si>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</si>
  <si>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</si>
  <si>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</si>
  <si>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</si>
  <si>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</si>
  <si>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</si>
  <si>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</si>
  <si>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</si>
  <si>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</si>
  <si>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</si>
  <si>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</si>
  <si>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</si>
  <si>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</si>
  <si>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</si>
  <si>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</si>
  <si>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</si>
  <si>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</si>
  <si>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</si>
  <si>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</si>
  <si>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</si>
  <si>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</si>
  <si>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</si>
  <si>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</si>
  <si>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</si>
  <si>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</si>
  <si>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</si>
  <si>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</si>
  <si>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</si>
  <si>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</si>
  <si>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</si>
  <si>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</si>
  <si>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</si>
  <si>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</si>
  <si>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</si>
  <si>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</si>
  <si>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</si>
  <si>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</si>
  <si>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</si>
  <si>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</si>
  <si>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</si>
  <si>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</si>
  <si>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</si>
  <si>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</si>
  <si>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</si>
  <si>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</si>
  <si>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</si>
  <si>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</si>
  <si>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</si>
  <si>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</si>
  <si>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</si>
  <si>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</si>
  <si>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</si>
  <si>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</si>
  <si>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</si>
  <si>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</si>
  <si>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</si>
  <si>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</si>
  <si>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</si>
  <si>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</si>
  <si>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</si>
  <si>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</si>
  <si>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</si>
  <si>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</si>
  <si>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</si>
  <si>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</si>
  <si>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</si>
  <si>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</si>
  <si>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</si>
  <si>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</si>
  <si>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</si>
  <si>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</si>
  <si>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</si>
  <si>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</si>
  <si>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</si>
  <si>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</si>
  <si>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</si>
  <si>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</si>
  <si>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</si>
  <si>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</si>
  <si>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</si>
  <si>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</si>
  <si>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</si>
  <si>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</si>
  <si>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</si>
  <si>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</si>
  <si>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</si>
  <si>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</si>
  <si>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</si>
  <si>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</si>
  <si>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</t>
  </si>
  <si>
    <t>GTCR Fund XIV</t>
  </si>
  <si>
    <t>HPS</t>
  </si>
  <si>
    <t>Incline</t>
  </si>
  <si>
    <t>Incline Equity Partners VI</t>
  </si>
  <si>
    <t>Waterland Partnership Fund I</t>
  </si>
  <si>
    <t>IK Investment Partners</t>
  </si>
  <si>
    <t>IK X</t>
  </si>
  <si>
    <t>Kohlberg Investors X - TE-B</t>
  </si>
  <si>
    <t>Kohlberg Investors X - TE</t>
  </si>
  <si>
    <t>OMERS</t>
  </si>
  <si>
    <t>BSREP V</t>
  </si>
  <si>
    <t>CVC IX</t>
  </si>
  <si>
    <t>KPS Special Situations Fund VI</t>
  </si>
  <si>
    <t>TJC</t>
  </si>
  <si>
    <t>Monarch Alternative Capital LP</t>
  </si>
  <si>
    <t>Milestone RE VI</t>
  </si>
  <si>
    <t>Prime Capital</t>
  </si>
  <si>
    <t>Prime Green Energy Infrastructure Fund II</t>
  </si>
  <si>
    <t>COPENHAGEN INFRASTRUCTURE V</t>
  </si>
  <si>
    <t>RFM Affordable Housing Fund, L.P.</t>
  </si>
  <si>
    <t>פתאל פרטנרשיפ 3, ג'י. פי. בע"מ</t>
  </si>
  <si>
    <t>HGI Opportunity XVIII Equity  Fund, LP</t>
  </si>
  <si>
    <t>HGI Opportunity XVIII Credit Fund, LP</t>
  </si>
  <si>
    <t>LS Power Equity Partners</t>
  </si>
  <si>
    <t>LS POWER FUND V</t>
  </si>
  <si>
    <t>3.759000</t>
  </si>
  <si>
    <t>MRMDUS33</t>
  </si>
  <si>
    <t>570009852_pn_p_0224.xlsx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</si>
</sst>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7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D2D2D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  <font>
      <sz val="11"/>
      <color theme="1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2"/>
    <xf numFmtId="0" fontId="1" fillId="0" borderId="2"/>
  </cellStyleXfs>
  <cellXfs count="160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4" borderId="2" xfId="0" applyFont="1" applyFill="1" applyBorder="1"/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8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1" fillId="0" borderId="0" xfId="0" applyFont="1"/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/>
    <xf numFmtId="0" fontId="11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vertical="top" wrapText="1"/>
    </xf>
    <xf numFmtId="0" fontId="6" fillId="5" borderId="10" xfId="0" applyFont="1" applyFill="1" applyBorder="1" applyAlignment="1">
      <alignment vertical="top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center"/>
    </xf>
    <xf numFmtId="0" fontId="6" fillId="5" borderId="10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center"/>
    </xf>
    <xf numFmtId="0" fontId="6" fillId="0" borderId="9" xfId="0" applyFont="1" applyBorder="1" applyAlignment="1"/>
    <xf numFmtId="0" fontId="6" fillId="0" borderId="9" xfId="0" applyFont="1" applyBorder="1"/>
    <xf numFmtId="0" fontId="6" fillId="0" borderId="13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14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2" xfId="0" applyFont="1" applyBorder="1" applyAlignment="1">
      <alignment horizontal="right" vertical="top"/>
    </xf>
    <xf numFmtId="0" fontId="6" fillId="0" borderId="17" xfId="0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5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5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5" borderId="14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6" fillId="5" borderId="14" xfId="0" applyFont="1" applyFill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14" fillId="5" borderId="9" xfId="0" applyFont="1" applyFill="1" applyBorder="1" applyAlignment="1">
      <alignment horizontal="right"/>
    </xf>
    <xf numFmtId="0" fontId="6" fillId="6" borderId="2" xfId="0" applyFont="1" applyFill="1" applyBorder="1"/>
    <xf numFmtId="0" fontId="16" fillId="0" borderId="19" xfId="0" applyFont="1" applyBorder="1" applyAlignment="1"/>
    <xf numFmtId="0" fontId="16" fillId="0" borderId="20" xfId="0" applyFont="1" applyBorder="1" applyAlignment="1"/>
    <xf numFmtId="0" fontId="16" fillId="0" borderId="21" xfId="0" applyFont="1" applyBorder="1" applyAlignment="1">
      <alignment horizontal="right"/>
    </xf>
    <xf numFmtId="0" fontId="16" fillId="0" borderId="0" xfId="0" applyFont="1"/>
    <xf numFmtId="0" fontId="17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right" vertical="center" wrapText="1" readingOrder="2"/>
    </xf>
    <xf numFmtId="2" fontId="17" fillId="0" borderId="22" xfId="0" applyNumberFormat="1" applyFont="1" applyBorder="1" applyAlignment="1">
      <alignment horizontal="right" vertical="center" wrapText="1" readingOrder="2"/>
    </xf>
    <xf numFmtId="0" fontId="19" fillId="0" borderId="22" xfId="0" applyFont="1" applyBorder="1" applyAlignment="1">
      <alignment horizontal="center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165" fontId="17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0" fontId="20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Fill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7" fontId="12" fillId="0" borderId="4" xfId="2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2" fontId="11" fillId="0" borderId="4" xfId="3" applyNumberFormat="1" applyFont="1" applyBorder="1" applyAlignment="1">
      <alignment horizontal="center" vertical="center" wrapText="1"/>
    </xf>
    <xf numFmtId="2" fontId="12" fillId="0" borderId="4" xfId="1" applyNumberFormat="1" applyFont="1" applyBorder="1" applyAlignment="1">
      <alignment horizontal="center" vertical="center" wrapText="1"/>
    </xf>
    <xf numFmtId="166" fontId="12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10" fillId="2" borderId="7" xfId="1" applyNumberFormat="1" applyFont="1" applyFill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wrapText="1"/>
    </xf>
    <xf numFmtId="168" fontId="10" fillId="2" borderId="7" xfId="0" applyNumberFormat="1" applyFont="1" applyFill="1" applyBorder="1" applyAlignment="1">
      <alignment horizontal="center" vertical="center" wrapText="1"/>
    </xf>
    <xf numFmtId="167" fontId="10" fillId="2" borderId="7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0" borderId="0" xfId="0" quotePrefix="1" applyFont="1" applyAlignment="1">
      <alignment horizontal="left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69" fontId="0" fillId="0" borderId="0" xfId="0" applyNumberFormat="1"/>
    <xf numFmtId="0" fontId="0" fillId="0" borderId="0" xfId="0" quotePrefix="1" applyAlignment="1">
      <alignment horizontal="right"/>
    </xf>
    <xf numFmtId="0" fontId="23" fillId="0" borderId="0" xfId="0" quotePrefix="1" applyFont="1" applyAlignment="1">
      <alignment horizontal="right"/>
    </xf>
    <xf numFmtId="0" fontId="0" fillId="0" borderId="0" xfId="0" applyAlignment="1">
      <alignment horizontal="right"/>
    </xf>
    <xf numFmtId="167" fontId="0" fillId="0" borderId="0" xfId="0" applyNumberFormat="1" applyFill="1"/>
    <xf numFmtId="168" fontId="0" fillId="0" borderId="0" xfId="0" applyNumberFormat="1" applyFill="1"/>
    <xf numFmtId="169" fontId="0" fillId="0" borderId="0" xfId="0" applyNumberFormat="1" applyFill="1"/>
    <xf numFmtId="169" fontId="11" fillId="0" borderId="4" xfId="0" applyNumberFormat="1" applyFont="1" applyBorder="1" applyAlignment="1">
      <alignment horizontal="left" vertical="center" wrapText="1"/>
    </xf>
    <xf numFmtId="0" fontId="3" fillId="0" borderId="2" xfId="0" applyFont="1" applyBorder="1"/>
    <xf numFmtId="0" fontId="3" fillId="0" borderId="2" xfId="0" applyFont="1" applyFill="1" applyBorder="1"/>
    <xf numFmtId="0" fontId="24" fillId="0" borderId="2" xfId="3" applyFont="1" applyFill="1" applyBorder="1" applyAlignment="1">
      <alignment horizontal="right"/>
    </xf>
    <xf numFmtId="3" fontId="24" fillId="0" borderId="2" xfId="3" applyNumberFormat="1" applyFont="1" applyFill="1" applyBorder="1"/>
    <xf numFmtId="167" fontId="3" fillId="0" borderId="2" xfId="0" applyNumberFormat="1" applyFont="1" applyFill="1" applyBorder="1" applyProtection="1">
      <protection locked="0"/>
    </xf>
    <xf numFmtId="167" fontId="3" fillId="0" borderId="0" xfId="0" applyNumberFormat="1" applyFont="1" applyFill="1"/>
    <xf numFmtId="169" fontId="3" fillId="0" borderId="0" xfId="0" applyNumberFormat="1" applyFont="1"/>
    <xf numFmtId="169" fontId="3" fillId="0" borderId="0" xfId="0" applyNumberFormat="1" applyFont="1" applyFill="1"/>
    <xf numFmtId="3" fontId="24" fillId="0" borderId="2" xfId="3" quotePrefix="1" applyNumberFormat="1" applyFont="1" applyFill="1" applyBorder="1" applyAlignment="1">
      <alignment horizontal="left"/>
    </xf>
    <xf numFmtId="0" fontId="25" fillId="0" borderId="2" xfId="0" applyFont="1" applyBorder="1"/>
    <xf numFmtId="0" fontId="24" fillId="0" borderId="2" xfId="3" applyFont="1" applyFill="1" applyBorder="1"/>
    <xf numFmtId="166" fontId="0" fillId="0" borderId="0" xfId="0" applyNumberFormat="1" applyFont="1" applyAlignment="1"/>
    <xf numFmtId="0" fontId="26" fillId="0" borderId="2" xfId="4" applyFont="1" applyBorder="1"/>
    <xf numFmtId="0" fontId="4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4" xfId="4" xr:uid="{97F7210C-B0F3-4EDE-BBDD-3128161AAA4D}"/>
    <cellStyle name="Percent" xfId="2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A31" sqref="A3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59" t="s">
        <v>2733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2" priority="1" operator="containsText" text="Please fill in data">
      <formula>NOT(ISERROR(SEARCH(("Please fill in data"),(D21))))</formula>
    </cfRule>
  </conditionalFormatting>
  <conditionalFormatting sqref="D17">
    <cfRule type="containsText" dxfId="21" priority="2" operator="containsText" text="Please fill in data">
      <formula>NOT(ISERROR(SEARCH(("Please fill in data"),(D17))))</formula>
    </cfRule>
  </conditionalFormatting>
  <conditionalFormatting sqref="D19">
    <cfRule type="containsText" dxfId="20" priority="3" operator="containsText" text="Please fill in data">
      <formula>NOT(ISERROR(SEARCH(("Please fill in data"),(D19))))</formula>
    </cfRule>
  </conditionalFormatting>
  <conditionalFormatting sqref="D16">
    <cfRule type="containsText" dxfId="19" priority="4" operator="containsText" text="Please fill in data">
      <formula>NOT(ISERROR(SEARCH(("Please fill in data"),(D16))))</formula>
    </cfRule>
  </conditionalFormatting>
  <conditionalFormatting sqref="D3">
    <cfRule type="containsText" dxfId="18" priority="5" operator="containsText" text="Please fill in data">
      <formula>NOT(ISERROR(SEARCH(("Please fill in data"),(D3))))</formula>
    </cfRule>
  </conditionalFormatting>
  <conditionalFormatting sqref="D7">
    <cfRule type="containsText" dxfId="17" priority="6" operator="containsText" text="Please fill in data">
      <formula>NOT(ISERROR(SEARCH(("Please fill in data"),(D7))))</formula>
    </cfRule>
  </conditionalFormatting>
  <conditionalFormatting sqref="D8">
    <cfRule type="containsText" dxfId="16" priority="7" operator="containsText" text="Please fill in data">
      <formula>NOT(ISERROR(SEARCH(("Please fill in data"),(D8))))</formula>
    </cfRule>
  </conditionalFormatting>
  <conditionalFormatting sqref="D5">
    <cfRule type="containsText" dxfId="15" priority="8" operator="containsText" text="Please fill in data">
      <formula>NOT(ISERROR(SEARCH(("Please fill in data"),(D5))))</formula>
    </cfRule>
  </conditionalFormatting>
  <conditionalFormatting sqref="D9">
    <cfRule type="containsText" dxfId="14" priority="9" operator="containsText" text="Please fill in data">
      <formula>NOT(ISERROR(SEARCH(("Please fill in data"),(D9))))</formula>
    </cfRule>
  </conditionalFormatting>
  <conditionalFormatting sqref="D11">
    <cfRule type="containsText" dxfId="13" priority="10" operator="containsText" text="Please fill in data">
      <formula>NOT(ISERROR(SEARCH(("Please fill in data"),(D11))))</formula>
    </cfRule>
  </conditionalFormatting>
  <conditionalFormatting sqref="D13">
    <cfRule type="containsText" dxfId="12" priority="11" operator="containsText" text="Please fill in data">
      <formula>NOT(ISERROR(SEARCH(("Please fill in data"),(D13))))</formula>
    </cfRule>
  </conditionalFormatting>
  <conditionalFormatting sqref="D15">
    <cfRule type="containsText" dxfId="11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23" sqref="B23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1605668.24639</v>
      </c>
      <c r="C3" s="116"/>
      <c r="D3" s="117"/>
      <c r="E3" s="114">
        <f>IFERROR(B3/$B$30,0)</f>
        <v>2.7584826276301218E-2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9203452.4427900035</v>
      </c>
      <c r="C4" s="116"/>
      <c r="D4" s="117"/>
      <c r="E4" s="114">
        <f t="shared" ref="E4:E29" si="0">IFERROR(B4/$B$30,0)</f>
        <v>0.15811213639389526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906626.73663000041</v>
      </c>
      <c r="C6" s="116"/>
      <c r="D6" s="117"/>
      <c r="E6" s="114">
        <f t="shared" si="0"/>
        <v>1.5575534412925049E-2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1280832.7974900003</v>
      </c>
      <c r="C7" s="116"/>
      <c r="D7" s="117"/>
      <c r="E7" s="114">
        <f t="shared" si="0"/>
        <v>2.2004265381211814E-2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3581495.187189999</v>
      </c>
      <c r="C8" s="116"/>
      <c r="D8" s="117"/>
      <c r="E8" s="114">
        <f t="shared" si="0"/>
        <v>6.1528851162227435E-2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705335.76383999991</v>
      </c>
      <c r="C9" s="116"/>
      <c r="D9" s="117"/>
      <c r="E9" s="114">
        <f t="shared" si="0"/>
        <v>1.2117424976007669E-2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316.12349999999998</v>
      </c>
      <c r="C10" s="116"/>
      <c r="D10" s="117"/>
      <c r="E10" s="114">
        <f t="shared" si="0"/>
        <v>5.4308926199181121E-6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16153050.640109992</v>
      </c>
      <c r="C15" s="116"/>
      <c r="D15" s="117"/>
      <c r="E15" s="114">
        <f t="shared" si="0"/>
        <v>0.2775038347688068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520867.28518100013</v>
      </c>
      <c r="C18" s="116"/>
      <c r="D18" s="117"/>
      <c r="E18" s="114">
        <f t="shared" si="0"/>
        <v>8.9483201819740583E-3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708683.13656399993</v>
      </c>
      <c r="C19" s="116"/>
      <c r="D19" s="117"/>
      <c r="E19" s="114">
        <f t="shared" si="0"/>
        <v>1.2174931684059701E-2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5789361.296280005</v>
      </c>
      <c r="C20" s="116"/>
      <c r="D20" s="117"/>
      <c r="E20" s="114">
        <f t="shared" si="0"/>
        <v>9.9459228871016034E-2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10.29894</v>
      </c>
      <c r="C21" s="116"/>
      <c r="D21" s="117"/>
      <c r="E21" s="114">
        <f t="shared" si="0"/>
        <v>1.7693223451903907E-7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137199.10674000002</v>
      </c>
      <c r="C23" s="116"/>
      <c r="D23" s="117"/>
      <c r="E23" s="114">
        <f t="shared" si="0"/>
        <v>2.3570332994972644E-3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2622035.2790299994</v>
      </c>
      <c r="C24" s="116"/>
      <c r="D24" s="117"/>
      <c r="E24" s="114">
        <f t="shared" si="0"/>
        <v>4.5045661097795488E-2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157378.57727000001</v>
      </c>
      <c r="C26" s="116"/>
      <c r="D26" s="117"/>
      <c r="E26" s="114">
        <f t="shared" si="0"/>
        <v>2.7037096382548447E-3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27651.953390000002</v>
      </c>
      <c r="C27" s="116"/>
      <c r="D27" s="117"/>
      <c r="E27" s="114">
        <f t="shared" si="0"/>
        <v>4.7505101516360105E-4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14808422.243629999</v>
      </c>
      <c r="C29" s="116"/>
      <c r="D29" s="117"/>
      <c r="E29" s="114">
        <f t="shared" si="0"/>
        <v>0.25440358301600918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58208387.114965007</v>
      </c>
      <c r="C30" s="118"/>
      <c r="D30" s="118"/>
      <c r="E30" s="115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5">
        <v>1389500.023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45">
        <v>3436198.5959999999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9"/>
  <sheetViews>
    <sheetView rightToLeft="1" workbookViewId="0">
      <selection activeCell="F14" sqref="F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1.875" bestFit="1" customWidth="1"/>
    <col min="13" max="13" width="8.75" bestFit="1" customWidth="1"/>
    <col min="14" max="14" width="9.375" bestFit="1" customWidth="1"/>
    <col min="15" max="15" width="11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951</v>
      </c>
      <c r="G2" s="120" t="s">
        <v>203</v>
      </c>
      <c r="H2" s="120" t="s">
        <v>338</v>
      </c>
      <c r="I2" s="120" t="s">
        <v>1215</v>
      </c>
      <c r="J2" s="120" t="s">
        <v>412</v>
      </c>
      <c r="K2" s="120" t="s">
        <v>1212</v>
      </c>
      <c r="L2" s="122">
        <v>62975.88</v>
      </c>
      <c r="M2" s="122">
        <v>3.7589999999999999</v>
      </c>
      <c r="N2" s="123"/>
      <c r="O2" s="122">
        <v>236726.33291999999</v>
      </c>
      <c r="P2" s="123">
        <v>0.14743100000000001</v>
      </c>
      <c r="Q2" s="123">
        <v>3.9719999999999998E-3</v>
      </c>
    </row>
    <row r="3" spans="1:26" ht="15" customHeight="1">
      <c r="A3" s="121">
        <v>313</v>
      </c>
      <c r="B3" s="121">
        <v>313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1215</v>
      </c>
      <c r="J3" s="120" t="s">
        <v>412</v>
      </c>
      <c r="K3" s="120" t="s">
        <v>1216</v>
      </c>
      <c r="L3" s="122">
        <v>4252.20424</v>
      </c>
      <c r="M3" s="122">
        <v>4.0202</v>
      </c>
      <c r="N3" s="123"/>
      <c r="O3" s="122">
        <v>17094.711490000002</v>
      </c>
      <c r="P3" s="123">
        <v>1.0645999999999999E-2</v>
      </c>
      <c r="Q3" s="123">
        <v>2.8600000000000001E-4</v>
      </c>
    </row>
    <row r="4" spans="1:26" ht="15" customHeight="1">
      <c r="A4" s="121">
        <v>313</v>
      </c>
      <c r="B4" s="121">
        <v>313</v>
      </c>
      <c r="C4" s="120" t="s">
        <v>1213</v>
      </c>
      <c r="D4" s="120" t="s">
        <v>1214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1215</v>
      </c>
      <c r="J4" s="120" t="s">
        <v>412</v>
      </c>
      <c r="K4" s="120" t="s">
        <v>1217</v>
      </c>
      <c r="L4" s="122">
        <v>-24461.163649999999</v>
      </c>
      <c r="M4" s="122">
        <v>1</v>
      </c>
      <c r="N4" s="123"/>
      <c r="O4" s="122">
        <v>-24461.163649999999</v>
      </c>
      <c r="P4" s="123">
        <v>-1.5233999999999999E-2</v>
      </c>
      <c r="Q4" s="123">
        <v>-4.0999999999999999E-4</v>
      </c>
    </row>
    <row r="5" spans="1:26" ht="15" customHeight="1">
      <c r="A5" s="121">
        <v>313</v>
      </c>
      <c r="B5" s="121">
        <v>313</v>
      </c>
      <c r="C5" s="120" t="s">
        <v>1209</v>
      </c>
      <c r="D5" s="120" t="s">
        <v>1210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1215</v>
      </c>
      <c r="J5" s="120" t="s">
        <v>412</v>
      </c>
      <c r="K5" s="120" t="s">
        <v>1217</v>
      </c>
      <c r="L5" s="122">
        <v>1563.7969700000001</v>
      </c>
      <c r="M5" s="122">
        <v>1</v>
      </c>
      <c r="N5" s="123"/>
      <c r="O5" s="122">
        <v>1563.7969700000001</v>
      </c>
      <c r="P5" s="123">
        <v>9.7300000000000002E-4</v>
      </c>
      <c r="Q5" s="123">
        <v>2.5999999999999998E-5</v>
      </c>
    </row>
    <row r="6" spans="1:26" ht="15" customHeight="1">
      <c r="A6" s="121">
        <v>313</v>
      </c>
      <c r="B6" s="121">
        <v>313</v>
      </c>
      <c r="C6" s="120" t="s">
        <v>1219</v>
      </c>
      <c r="D6" s="120" t="s">
        <v>1220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1215</v>
      </c>
      <c r="J6" s="120" t="s">
        <v>412</v>
      </c>
      <c r="K6" s="120" t="s">
        <v>1216</v>
      </c>
      <c r="L6" s="122">
        <v>7210.9879899999996</v>
      </c>
      <c r="M6" s="122">
        <v>4.0202</v>
      </c>
      <c r="N6" s="123"/>
      <c r="O6" s="122">
        <v>28989.61392</v>
      </c>
      <c r="P6" s="123">
        <v>1.8054000000000001E-2</v>
      </c>
      <c r="Q6" s="123">
        <v>4.86E-4</v>
      </c>
    </row>
    <row r="7" spans="1:26" ht="15" customHeight="1">
      <c r="A7" s="121">
        <v>313</v>
      </c>
      <c r="B7" s="121">
        <v>313</v>
      </c>
      <c r="C7" s="120" t="s">
        <v>1219</v>
      </c>
      <c r="D7" s="120" t="s">
        <v>1220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1215</v>
      </c>
      <c r="J7" s="120" t="s">
        <v>412</v>
      </c>
      <c r="K7" s="120" t="s">
        <v>1217</v>
      </c>
      <c r="L7" s="122">
        <v>40535.127030000003</v>
      </c>
      <c r="M7" s="122">
        <v>1</v>
      </c>
      <c r="N7" s="123"/>
      <c r="O7" s="122">
        <v>40535.127030000003</v>
      </c>
      <c r="P7" s="123">
        <v>2.5245E-2</v>
      </c>
      <c r="Q7" s="123">
        <v>6.8000000000000005E-4</v>
      </c>
    </row>
    <row r="8" spans="1:26" ht="15" customHeight="1">
      <c r="A8" s="121">
        <v>313</v>
      </c>
      <c r="B8" s="121">
        <v>313</v>
      </c>
      <c r="C8" s="120" t="s">
        <v>1213</v>
      </c>
      <c r="D8" s="120" t="s">
        <v>1214</v>
      </c>
      <c r="E8" s="120" t="s">
        <v>314</v>
      </c>
      <c r="F8" s="120" t="s">
        <v>938</v>
      </c>
      <c r="G8" s="120" t="s">
        <v>203</v>
      </c>
      <c r="H8" s="120" t="s">
        <v>338</v>
      </c>
      <c r="I8" s="120" t="s">
        <v>1215</v>
      </c>
      <c r="J8" s="120" t="s">
        <v>412</v>
      </c>
      <c r="K8" s="120" t="s">
        <v>1217</v>
      </c>
      <c r="L8" s="122">
        <v>299080.88422000001</v>
      </c>
      <c r="M8" s="122">
        <v>1</v>
      </c>
      <c r="N8" s="123"/>
      <c r="O8" s="122">
        <v>299080.88422000001</v>
      </c>
      <c r="P8" s="123">
        <v>0.18626500000000001</v>
      </c>
      <c r="Q8" s="123">
        <v>5.0179999999999999E-3</v>
      </c>
    </row>
    <row r="9" spans="1:26" ht="15" customHeight="1">
      <c r="A9" s="121">
        <v>313</v>
      </c>
      <c r="B9" s="121">
        <v>313</v>
      </c>
      <c r="C9" s="120" t="s">
        <v>1221</v>
      </c>
      <c r="D9" s="120" t="s">
        <v>1222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1215</v>
      </c>
      <c r="J9" s="120" t="s">
        <v>412</v>
      </c>
      <c r="K9" s="120" t="s">
        <v>1212</v>
      </c>
      <c r="L9" s="122">
        <v>582.22946000000002</v>
      </c>
      <c r="M9" s="122">
        <v>3.7589999999999999</v>
      </c>
      <c r="N9" s="123"/>
      <c r="O9" s="122">
        <v>2188.6005399999999</v>
      </c>
      <c r="P9" s="123">
        <v>1.3630000000000001E-3</v>
      </c>
      <c r="Q9" s="123">
        <v>3.6000000000000001E-5</v>
      </c>
    </row>
    <row r="10" spans="1:26" ht="15" customHeight="1">
      <c r="A10" s="121">
        <v>313</v>
      </c>
      <c r="B10" s="121">
        <v>313</v>
      </c>
      <c r="C10" s="120" t="s">
        <v>1213</v>
      </c>
      <c r="D10" s="120" t="s">
        <v>1214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1215</v>
      </c>
      <c r="J10" s="120" t="s">
        <v>412</v>
      </c>
      <c r="K10" s="120" t="s">
        <v>1223</v>
      </c>
      <c r="L10" s="122">
        <v>70.548699999999997</v>
      </c>
      <c r="M10" s="122">
        <v>2.4931000000000001</v>
      </c>
      <c r="N10" s="123"/>
      <c r="O10" s="122">
        <v>175.88496000000001</v>
      </c>
      <c r="P10" s="123">
        <v>1.0900000000000001E-4</v>
      </c>
      <c r="Q10" s="123">
        <v>1.9999999999999999E-6</v>
      </c>
    </row>
    <row r="11" spans="1:26" ht="15" customHeight="1">
      <c r="A11" s="121">
        <v>313</v>
      </c>
      <c r="B11" s="121">
        <v>313</v>
      </c>
      <c r="C11" s="120" t="s">
        <v>1219</v>
      </c>
      <c r="D11" s="120" t="s">
        <v>1220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1215</v>
      </c>
      <c r="J11" s="120" t="s">
        <v>412</v>
      </c>
      <c r="K11" s="120" t="s">
        <v>1212</v>
      </c>
      <c r="L11" s="122">
        <v>36740.476799999997</v>
      </c>
      <c r="M11" s="122">
        <v>3.7589999999999999</v>
      </c>
      <c r="N11" s="123"/>
      <c r="O11" s="122">
        <v>138107.45228999999</v>
      </c>
      <c r="P11" s="123">
        <v>8.6012000000000005E-2</v>
      </c>
      <c r="Q11" s="123">
        <v>2.3180000000000002E-3</v>
      </c>
    </row>
    <row r="12" spans="1:26" ht="15" customHeight="1">
      <c r="A12" s="121">
        <v>313</v>
      </c>
      <c r="B12" s="121">
        <v>313</v>
      </c>
      <c r="C12" s="120" t="s">
        <v>1221</v>
      </c>
      <c r="D12" s="120" t="s">
        <v>1222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1215</v>
      </c>
      <c r="J12" s="120" t="s">
        <v>412</v>
      </c>
      <c r="K12" s="120" t="s">
        <v>1217</v>
      </c>
      <c r="L12" s="122">
        <v>277564.48810000002</v>
      </c>
      <c r="M12" s="122">
        <v>1</v>
      </c>
      <c r="N12" s="123"/>
      <c r="O12" s="122">
        <v>277564.48810000002</v>
      </c>
      <c r="P12" s="123">
        <v>0.17286399999999999</v>
      </c>
      <c r="Q12" s="123">
        <v>4.6560000000000004E-3</v>
      </c>
    </row>
    <row r="13" spans="1:26" ht="15" customHeight="1">
      <c r="A13" s="121">
        <v>313</v>
      </c>
      <c r="B13" s="121">
        <v>313</v>
      </c>
      <c r="C13" s="120" t="s">
        <v>1213</v>
      </c>
      <c r="D13" s="120" t="s">
        <v>1214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1215</v>
      </c>
      <c r="J13" s="120" t="s">
        <v>412</v>
      </c>
      <c r="K13" s="120" t="s">
        <v>1212</v>
      </c>
      <c r="L13" s="122">
        <v>19547.196810000001</v>
      </c>
      <c r="M13" s="122">
        <v>3.7589999999999999</v>
      </c>
      <c r="N13" s="123"/>
      <c r="O13" s="122">
        <v>73477.912809999994</v>
      </c>
      <c r="P13" s="123">
        <v>4.5761000000000003E-2</v>
      </c>
      <c r="Q13" s="123">
        <v>1.2329999999999999E-3</v>
      </c>
    </row>
    <row r="14" spans="1:26" ht="15" customHeight="1">
      <c r="A14" s="121">
        <v>313</v>
      </c>
      <c r="B14" s="121">
        <v>313</v>
      </c>
      <c r="C14" s="120" t="s">
        <v>1221</v>
      </c>
      <c r="D14" s="120" t="s">
        <v>1222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1215</v>
      </c>
      <c r="J14" s="120" t="s">
        <v>412</v>
      </c>
      <c r="K14" s="120" t="s">
        <v>1216</v>
      </c>
      <c r="L14" s="122">
        <v>11.55274</v>
      </c>
      <c r="M14" s="122">
        <v>4.0202</v>
      </c>
      <c r="N14" s="123"/>
      <c r="O14" s="122">
        <v>46.444330000000001</v>
      </c>
      <c r="P14" s="123">
        <v>2.8E-5</v>
      </c>
      <c r="Q14" s="123">
        <v>0</v>
      </c>
    </row>
    <row r="15" spans="1:26" ht="15" customHeight="1">
      <c r="A15" s="121">
        <v>313</v>
      </c>
      <c r="B15" s="121">
        <v>313</v>
      </c>
      <c r="C15" s="120" t="s">
        <v>1219</v>
      </c>
      <c r="D15" s="120" t="s">
        <v>1220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1215</v>
      </c>
      <c r="J15" s="120" t="s">
        <v>412</v>
      </c>
      <c r="K15" s="120" t="s">
        <v>1224</v>
      </c>
      <c r="L15" s="122">
        <v>504.88553999999999</v>
      </c>
      <c r="M15" s="122">
        <v>0.53900000000000003</v>
      </c>
      <c r="N15" s="123"/>
      <c r="O15" s="122">
        <v>272.13330999999999</v>
      </c>
      <c r="P15" s="123">
        <v>1.6899999999999999E-4</v>
      </c>
      <c r="Q15" s="123">
        <v>3.9999999999999998E-6</v>
      </c>
    </row>
    <row r="16" spans="1:26" ht="15" customHeight="1">
      <c r="A16" s="121">
        <v>313</v>
      </c>
      <c r="B16" s="121">
        <v>313</v>
      </c>
      <c r="C16" s="120" t="s">
        <v>1225</v>
      </c>
      <c r="D16" s="120" t="s">
        <v>1226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1215</v>
      </c>
      <c r="J16" s="120" t="s">
        <v>412</v>
      </c>
      <c r="K16" s="120" t="s">
        <v>1217</v>
      </c>
      <c r="L16" s="122">
        <v>624.38489000000004</v>
      </c>
      <c r="M16" s="122">
        <v>1</v>
      </c>
      <c r="N16" s="123"/>
      <c r="O16" s="122">
        <v>624.38489000000004</v>
      </c>
      <c r="P16" s="123">
        <v>3.88E-4</v>
      </c>
      <c r="Q16" s="123">
        <v>1.0000000000000001E-5</v>
      </c>
    </row>
    <row r="17" spans="1:17" ht="15" customHeight="1">
      <c r="A17" s="121">
        <v>313</v>
      </c>
      <c r="B17" s="121">
        <v>313</v>
      </c>
      <c r="C17" s="120" t="s">
        <v>1213</v>
      </c>
      <c r="D17" s="120" t="s">
        <v>1214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1215</v>
      </c>
      <c r="J17" s="120" t="s">
        <v>412</v>
      </c>
      <c r="K17" s="120" t="s">
        <v>1228</v>
      </c>
      <c r="L17" s="122">
        <v>13288.834699999999</v>
      </c>
      <c r="M17" s="122">
        <v>2.3359000000000001E-2</v>
      </c>
      <c r="N17" s="123"/>
      <c r="O17" s="122">
        <v>310.41388999999998</v>
      </c>
      <c r="P17" s="123">
        <v>1.93E-4</v>
      </c>
      <c r="Q17" s="123">
        <v>5.0000000000000004E-6</v>
      </c>
    </row>
    <row r="18" spans="1:17" ht="15" customHeight="1">
      <c r="A18" s="121">
        <v>313</v>
      </c>
      <c r="B18" s="121">
        <v>313</v>
      </c>
      <c r="C18" s="120" t="s">
        <v>1213</v>
      </c>
      <c r="D18" s="120" t="s">
        <v>1214</v>
      </c>
      <c r="E18" s="120" t="s">
        <v>314</v>
      </c>
      <c r="F18" s="120" t="s">
        <v>951</v>
      </c>
      <c r="G18" s="120" t="s">
        <v>203</v>
      </c>
      <c r="H18" s="120" t="s">
        <v>338</v>
      </c>
      <c r="I18" s="120" t="s">
        <v>1215</v>
      </c>
      <c r="J18" s="120" t="s">
        <v>412</v>
      </c>
      <c r="K18" s="120" t="s">
        <v>1212</v>
      </c>
      <c r="L18" s="122">
        <v>101975.655</v>
      </c>
      <c r="M18" s="122">
        <v>3.7589999999999999</v>
      </c>
      <c r="N18" s="123"/>
      <c r="O18" s="122">
        <v>383326.48715</v>
      </c>
      <c r="P18" s="123">
        <v>0.238732</v>
      </c>
      <c r="Q18" s="123">
        <v>6.4320000000000002E-3</v>
      </c>
    </row>
    <row r="19" spans="1:17" ht="15" customHeight="1">
      <c r="A19" s="121">
        <v>313</v>
      </c>
      <c r="B19" s="121">
        <v>313</v>
      </c>
      <c r="C19" s="120" t="s">
        <v>1219</v>
      </c>
      <c r="D19" s="120" t="s">
        <v>1220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1215</v>
      </c>
      <c r="J19" s="120" t="s">
        <v>412</v>
      </c>
      <c r="K19" s="120" t="s">
        <v>1228</v>
      </c>
      <c r="L19" s="122">
        <v>31354.436969999999</v>
      </c>
      <c r="M19" s="122">
        <v>2.3359000000000001E-2</v>
      </c>
      <c r="N19" s="123"/>
      <c r="O19" s="122">
        <v>732.40828999999997</v>
      </c>
      <c r="P19" s="123">
        <v>4.5600000000000003E-4</v>
      </c>
      <c r="Q19" s="123">
        <v>1.2E-5</v>
      </c>
    </row>
    <row r="20" spans="1:17" ht="15" customHeight="1">
      <c r="A20" s="121">
        <v>313</v>
      </c>
      <c r="B20" s="121">
        <v>313</v>
      </c>
      <c r="C20" s="120" t="s">
        <v>1213</v>
      </c>
      <c r="D20" s="120" t="s">
        <v>1214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1215</v>
      </c>
      <c r="J20" s="120" t="s">
        <v>412</v>
      </c>
      <c r="K20" s="120" t="s">
        <v>1229</v>
      </c>
      <c r="L20" s="122">
        <v>646.07815000000005</v>
      </c>
      <c r="M20" s="122">
        <v>2.7412999999999998</v>
      </c>
      <c r="N20" s="123"/>
      <c r="O20" s="122">
        <v>1771.09403</v>
      </c>
      <c r="P20" s="123">
        <v>1.103E-3</v>
      </c>
      <c r="Q20" s="123">
        <v>2.9E-5</v>
      </c>
    </row>
    <row r="21" spans="1:17" ht="15" customHeight="1">
      <c r="A21" s="121">
        <v>313</v>
      </c>
      <c r="B21" s="121">
        <v>313</v>
      </c>
      <c r="C21" s="120" t="s">
        <v>1213</v>
      </c>
      <c r="D21" s="120" t="s">
        <v>1214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1215</v>
      </c>
      <c r="J21" s="120" t="s">
        <v>412</v>
      </c>
      <c r="K21" s="120" t="s">
        <v>1230</v>
      </c>
      <c r="L21" s="122">
        <v>220.72898000000001</v>
      </c>
      <c r="M21" s="122">
        <v>4.7504999999999997</v>
      </c>
      <c r="N21" s="123"/>
      <c r="O21" s="122">
        <v>1048.57302</v>
      </c>
      <c r="P21" s="123">
        <v>6.5300000000000004E-4</v>
      </c>
      <c r="Q21" s="123">
        <v>1.7E-5</v>
      </c>
    </row>
    <row r="22" spans="1:17" ht="15" customHeight="1">
      <c r="A22" s="121">
        <v>313</v>
      </c>
      <c r="B22" s="121">
        <v>313</v>
      </c>
      <c r="C22" s="120" t="s">
        <v>1213</v>
      </c>
      <c r="D22" s="120" t="s">
        <v>1214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1215</v>
      </c>
      <c r="J22" s="120" t="s">
        <v>412</v>
      </c>
      <c r="K22" s="120" t="s">
        <v>1231</v>
      </c>
      <c r="L22" s="122">
        <v>74.007320000000007</v>
      </c>
      <c r="M22" s="122">
        <v>4.1790000000000003</v>
      </c>
      <c r="N22" s="123"/>
      <c r="O22" s="122">
        <v>309.27661000000001</v>
      </c>
      <c r="P22" s="123">
        <v>1.92E-4</v>
      </c>
      <c r="Q22" s="123">
        <v>5.0000000000000004E-6</v>
      </c>
    </row>
    <row r="23" spans="1:17" ht="15" customHeight="1">
      <c r="A23" s="121">
        <v>313</v>
      </c>
      <c r="B23" s="121">
        <v>313</v>
      </c>
      <c r="C23" s="120" t="s">
        <v>1219</v>
      </c>
      <c r="D23" s="120" t="s">
        <v>1220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1215</v>
      </c>
      <c r="J23" s="120" t="s">
        <v>412</v>
      </c>
      <c r="K23" s="120" t="s">
        <v>1229</v>
      </c>
      <c r="L23" s="122">
        <v>2895.56711</v>
      </c>
      <c r="M23" s="122">
        <v>2.7412999999999998</v>
      </c>
      <c r="N23" s="123"/>
      <c r="O23" s="122">
        <v>7937.6181200000001</v>
      </c>
      <c r="P23" s="123">
        <v>4.9430000000000003E-3</v>
      </c>
      <c r="Q23" s="123">
        <v>1.3300000000000001E-4</v>
      </c>
    </row>
    <row r="24" spans="1:17" ht="15" customHeight="1">
      <c r="A24" s="121">
        <v>313</v>
      </c>
      <c r="B24" s="121">
        <v>313</v>
      </c>
      <c r="C24" s="120" t="s">
        <v>1219</v>
      </c>
      <c r="D24" s="120" t="s">
        <v>1220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1215</v>
      </c>
      <c r="J24" s="120" t="s">
        <v>412</v>
      </c>
      <c r="K24" s="120" t="s">
        <v>1230</v>
      </c>
      <c r="L24" s="122">
        <v>616.48818000000006</v>
      </c>
      <c r="M24" s="122">
        <v>4.7504999999999997</v>
      </c>
      <c r="N24" s="123"/>
      <c r="O24" s="122">
        <v>2928.6271000000002</v>
      </c>
      <c r="P24" s="123">
        <v>1.823E-3</v>
      </c>
      <c r="Q24" s="123">
        <v>4.8999999999999998E-5</v>
      </c>
    </row>
    <row r="25" spans="1:17" ht="15" customHeight="1">
      <c r="A25" s="121">
        <v>313</v>
      </c>
      <c r="B25" s="121">
        <v>313</v>
      </c>
      <c r="C25" s="120" t="s">
        <v>1219</v>
      </c>
      <c r="D25" s="120" t="s">
        <v>1220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1215</v>
      </c>
      <c r="J25" s="120" t="s">
        <v>412</v>
      </c>
      <c r="K25" s="120" t="s">
        <v>1231</v>
      </c>
      <c r="L25" s="122">
        <v>8.4113900000000008</v>
      </c>
      <c r="M25" s="122">
        <v>4.1790000000000003</v>
      </c>
      <c r="N25" s="123"/>
      <c r="O25" s="122">
        <v>35.15119</v>
      </c>
      <c r="P25" s="123">
        <v>2.0999999999999999E-5</v>
      </c>
      <c r="Q25" s="123">
        <v>0</v>
      </c>
    </row>
    <row r="26" spans="1:17" ht="15" customHeight="1">
      <c r="A26" s="121">
        <v>313</v>
      </c>
      <c r="B26" s="121">
        <v>313</v>
      </c>
      <c r="C26" s="120" t="s">
        <v>1225</v>
      </c>
      <c r="D26" s="120" t="s">
        <v>1226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1215</v>
      </c>
      <c r="J26" s="120" t="s">
        <v>412</v>
      </c>
      <c r="K26" s="120" t="s">
        <v>1212</v>
      </c>
      <c r="L26" s="122">
        <v>1984.9478200000001</v>
      </c>
      <c r="M26" s="122">
        <v>3.7589999999999999</v>
      </c>
      <c r="N26" s="123"/>
      <c r="O26" s="122">
        <v>7461.4188599999998</v>
      </c>
      <c r="P26" s="123">
        <v>4.646E-3</v>
      </c>
      <c r="Q26" s="123">
        <v>1.25E-4</v>
      </c>
    </row>
    <row r="27" spans="1:17" ht="15" customHeight="1">
      <c r="A27" s="121">
        <v>313</v>
      </c>
      <c r="B27" s="121">
        <v>313</v>
      </c>
      <c r="C27" s="120" t="s">
        <v>1225</v>
      </c>
      <c r="D27" s="120" t="s">
        <v>1226</v>
      </c>
      <c r="E27" s="120" t="s">
        <v>314</v>
      </c>
      <c r="F27" s="120" t="s">
        <v>942</v>
      </c>
      <c r="G27" s="120" t="s">
        <v>203</v>
      </c>
      <c r="H27" s="120" t="s">
        <v>338</v>
      </c>
      <c r="I27" s="120" t="s">
        <v>1215</v>
      </c>
      <c r="J27" s="120" t="s">
        <v>412</v>
      </c>
      <c r="K27" s="120" t="s">
        <v>1212</v>
      </c>
      <c r="L27" s="122">
        <v>28426.50432</v>
      </c>
      <c r="M27" s="122">
        <v>3.7589999999999999</v>
      </c>
      <c r="N27" s="123"/>
      <c r="O27" s="122">
        <v>106855.22974</v>
      </c>
      <c r="P27" s="123">
        <v>6.6547999999999996E-2</v>
      </c>
      <c r="Q27" s="123">
        <v>1.792E-3</v>
      </c>
    </row>
    <row r="28" spans="1:17" ht="15" customHeight="1">
      <c r="A28" s="121">
        <v>313</v>
      </c>
      <c r="B28" s="121">
        <v>313</v>
      </c>
      <c r="C28" s="120" t="s">
        <v>1219</v>
      </c>
      <c r="D28" s="120" t="s">
        <v>1220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1215</v>
      </c>
      <c r="J28" s="120" t="s">
        <v>412</v>
      </c>
      <c r="K28" s="120" t="s">
        <v>1223</v>
      </c>
      <c r="L28" s="122">
        <v>245.64688000000001</v>
      </c>
      <c r="M28" s="122">
        <v>2.4931000000000001</v>
      </c>
      <c r="N28" s="123"/>
      <c r="O28" s="122">
        <v>612.42223999999999</v>
      </c>
      <c r="P28" s="123">
        <v>3.8099999999999999E-4</v>
      </c>
      <c r="Q28" s="123">
        <v>1.0000000000000001E-5</v>
      </c>
    </row>
    <row r="29" spans="1:17" ht="15" customHeight="1">
      <c r="A29" s="121">
        <v>313</v>
      </c>
      <c r="B29" s="121">
        <v>313</v>
      </c>
      <c r="C29" s="120" t="s">
        <v>1209</v>
      </c>
      <c r="D29" s="120" t="s">
        <v>1210</v>
      </c>
      <c r="E29" s="120" t="s">
        <v>314</v>
      </c>
      <c r="F29" s="120" t="s">
        <v>937</v>
      </c>
      <c r="G29" s="120" t="s">
        <v>203</v>
      </c>
      <c r="H29" s="120" t="s">
        <v>338</v>
      </c>
      <c r="I29" s="120" t="s">
        <v>1215</v>
      </c>
      <c r="J29" s="120" t="s">
        <v>412</v>
      </c>
      <c r="K29" s="120" t="s">
        <v>1212</v>
      </c>
      <c r="L29" s="122">
        <v>93.887209999999996</v>
      </c>
      <c r="M29" s="122">
        <v>3.7589999999999999</v>
      </c>
      <c r="N29" s="123"/>
      <c r="O29" s="122">
        <v>352.92201999999997</v>
      </c>
      <c r="P29" s="123">
        <v>2.1900000000000001E-4</v>
      </c>
      <c r="Q29" s="123">
        <v>5.0000000000000004E-6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5"/>
  <sheetViews>
    <sheetView rightToLeft="1" topLeftCell="E1" workbookViewId="0">
      <selection activeCell="X28" sqref="X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75" bestFit="1" customWidth="1"/>
    <col min="20" max="20" width="11.625" customWidth="1"/>
    <col min="21" max="21" width="13.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1232</v>
      </c>
      <c r="D2" s="120" t="s">
        <v>1233</v>
      </c>
      <c r="E2" s="121" t="s">
        <v>1234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1217</v>
      </c>
      <c r="M2" s="122">
        <v>2.16</v>
      </c>
      <c r="N2" s="124">
        <v>46326</v>
      </c>
      <c r="O2" s="123">
        <v>6.25E-2</v>
      </c>
      <c r="P2" s="123">
        <v>4.41E-2</v>
      </c>
      <c r="Q2" s="122"/>
      <c r="R2" s="122">
        <v>36721974</v>
      </c>
      <c r="S2" s="122">
        <v>1</v>
      </c>
      <c r="T2" s="122">
        <v>108.16</v>
      </c>
      <c r="U2" s="122">
        <v>39718.487079999999</v>
      </c>
      <c r="V2" s="122"/>
      <c r="W2" s="120"/>
      <c r="X2" s="123">
        <v>2.4650000000000002E-3</v>
      </c>
      <c r="Y2" s="123">
        <v>4.3150000000000003E-3</v>
      </c>
      <c r="Z2" s="123">
        <v>6.6600000000000003E-4</v>
      </c>
    </row>
    <row r="3" spans="1:26" ht="15" customHeight="1">
      <c r="A3" s="121">
        <v>313</v>
      </c>
      <c r="B3" s="121">
        <v>313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1217</v>
      </c>
      <c r="M3" s="122">
        <v>2.08</v>
      </c>
      <c r="N3" s="124">
        <v>46234</v>
      </c>
      <c r="O3" s="123">
        <v>1E-3</v>
      </c>
      <c r="P3" s="123">
        <v>1.6400000000000001E-2</v>
      </c>
      <c r="Q3" s="120"/>
      <c r="R3" s="122">
        <v>75257800</v>
      </c>
      <c r="S3" s="122">
        <v>1</v>
      </c>
      <c r="T3" s="122">
        <v>110.2</v>
      </c>
      <c r="U3" s="122">
        <v>82934.095600000001</v>
      </c>
      <c r="V3" s="120"/>
      <c r="W3" s="120"/>
      <c r="X3" s="123">
        <v>3.7239999999999999E-3</v>
      </c>
      <c r="Y3" s="123">
        <v>9.0109999999999999E-3</v>
      </c>
      <c r="Z3" s="123">
        <v>1.3910000000000001E-3</v>
      </c>
    </row>
    <row r="4" spans="1:26" ht="15" customHeight="1">
      <c r="A4" s="121">
        <v>313</v>
      </c>
      <c r="B4" s="121">
        <v>313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1217</v>
      </c>
      <c r="M4" s="122">
        <v>8.68</v>
      </c>
      <c r="N4" s="124">
        <v>48883</v>
      </c>
      <c r="O4" s="123">
        <v>1.6E-2</v>
      </c>
      <c r="P4" s="123">
        <v>2.3E-2</v>
      </c>
      <c r="Q4" s="120"/>
      <c r="R4" s="122">
        <v>86018000</v>
      </c>
      <c r="S4" s="122">
        <v>1</v>
      </c>
      <c r="T4" s="122">
        <v>96.6</v>
      </c>
      <c r="U4" s="122">
        <v>83093.388000000006</v>
      </c>
      <c r="V4" s="120"/>
      <c r="W4" s="120"/>
      <c r="X4" s="123">
        <v>1.3284000000000001E-2</v>
      </c>
      <c r="Y4" s="123">
        <v>9.0279999999999996E-3</v>
      </c>
      <c r="Z4" s="123">
        <v>1.3940000000000001E-3</v>
      </c>
    </row>
    <row r="5" spans="1:26" ht="15" customHeight="1">
      <c r="A5" s="121">
        <v>313</v>
      </c>
      <c r="B5" s="121">
        <v>313</v>
      </c>
      <c r="C5" s="120" t="s">
        <v>1232</v>
      </c>
      <c r="D5" s="120" t="s">
        <v>1240</v>
      </c>
      <c r="E5" s="121" t="s">
        <v>1241</v>
      </c>
      <c r="F5" s="120" t="s">
        <v>947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1217</v>
      </c>
      <c r="M5" s="122">
        <v>1</v>
      </c>
      <c r="N5" s="124">
        <v>47816</v>
      </c>
      <c r="O5" s="123">
        <v>0</v>
      </c>
      <c r="P5" s="123">
        <v>4.8599999999999997E-2</v>
      </c>
      <c r="Q5" s="120"/>
      <c r="R5" s="122">
        <v>1006241</v>
      </c>
      <c r="S5" s="122">
        <v>1</v>
      </c>
      <c r="T5" s="122">
        <v>97.22</v>
      </c>
      <c r="U5" s="122">
        <v>978.26750000000004</v>
      </c>
      <c r="V5" s="120"/>
      <c r="W5" s="120"/>
      <c r="X5" s="123">
        <v>3.1000000000000001E-5</v>
      </c>
      <c r="Y5" s="123">
        <v>1.06E-4</v>
      </c>
      <c r="Z5" s="123">
        <v>1.5999999999999999E-5</v>
      </c>
    </row>
    <row r="6" spans="1:26" ht="15" customHeight="1">
      <c r="A6" s="121">
        <v>313</v>
      </c>
      <c r="B6" s="121">
        <v>313</v>
      </c>
      <c r="C6" s="120" t="s">
        <v>1232</v>
      </c>
      <c r="D6" s="120" t="s">
        <v>1242</v>
      </c>
      <c r="E6" s="121" t="s">
        <v>1243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1217</v>
      </c>
      <c r="M6" s="122">
        <v>5.58</v>
      </c>
      <c r="N6" s="124">
        <v>47573</v>
      </c>
      <c r="O6" s="123">
        <v>0.01</v>
      </c>
      <c r="P6" s="123">
        <v>4.7600000000000003E-2</v>
      </c>
      <c r="Q6" s="120"/>
      <c r="R6" s="122">
        <v>68863325</v>
      </c>
      <c r="S6" s="122">
        <v>1</v>
      </c>
      <c r="T6" s="122">
        <v>81.73</v>
      </c>
      <c r="U6" s="122">
        <v>56281.995519999997</v>
      </c>
      <c r="V6" s="120"/>
      <c r="W6" s="120"/>
      <c r="X6" s="123">
        <v>1.823E-3</v>
      </c>
      <c r="Y6" s="123">
        <v>6.1149999999999998E-3</v>
      </c>
      <c r="Z6" s="123">
        <v>9.4399999999999996E-4</v>
      </c>
    </row>
    <row r="7" spans="1:26" ht="15" customHeight="1">
      <c r="A7" s="121">
        <v>313</v>
      </c>
      <c r="B7" s="121">
        <v>313</v>
      </c>
      <c r="C7" s="120" t="s">
        <v>1232</v>
      </c>
      <c r="D7" s="120" t="s">
        <v>1244</v>
      </c>
      <c r="E7" s="121" t="s">
        <v>1245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1217</v>
      </c>
      <c r="M7" s="122">
        <v>13.72</v>
      </c>
      <c r="N7" s="124">
        <v>51744</v>
      </c>
      <c r="O7" s="123">
        <v>2.75E-2</v>
      </c>
      <c r="P7" s="123">
        <v>2.35E-2</v>
      </c>
      <c r="Q7" s="120"/>
      <c r="R7" s="122">
        <v>1870321110</v>
      </c>
      <c r="S7" s="122">
        <v>1</v>
      </c>
      <c r="T7" s="122">
        <v>131.08000000000001</v>
      </c>
      <c r="U7" s="122">
        <v>2451616.9109899998</v>
      </c>
      <c r="V7" s="120"/>
      <c r="W7" s="120"/>
      <c r="X7" s="123">
        <v>9.8566000000000001E-2</v>
      </c>
      <c r="Y7" s="123">
        <v>0.26638000000000001</v>
      </c>
      <c r="Z7" s="123">
        <v>4.1140999999999997E-2</v>
      </c>
    </row>
    <row r="8" spans="1:26" ht="15" customHeight="1">
      <c r="A8" s="121">
        <v>313</v>
      </c>
      <c r="B8" s="121">
        <v>313</v>
      </c>
      <c r="C8" s="120" t="s">
        <v>1232</v>
      </c>
      <c r="D8" s="120" t="s">
        <v>1246</v>
      </c>
      <c r="E8" s="121" t="s">
        <v>1247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1217</v>
      </c>
      <c r="M8" s="122">
        <v>4.0199999999999996</v>
      </c>
      <c r="N8" s="124">
        <v>47024</v>
      </c>
      <c r="O8" s="123">
        <v>2.2499999999999999E-2</v>
      </c>
      <c r="P8" s="123">
        <v>4.6199999999999998E-2</v>
      </c>
      <c r="Q8" s="120"/>
      <c r="R8" s="122">
        <v>81121872</v>
      </c>
      <c r="S8" s="122">
        <v>1</v>
      </c>
      <c r="T8" s="122">
        <v>92.73</v>
      </c>
      <c r="U8" s="122">
        <v>75224.311910000004</v>
      </c>
      <c r="V8" s="120"/>
      <c r="W8" s="120"/>
      <c r="X8" s="123">
        <v>2.66E-3</v>
      </c>
      <c r="Y8" s="123">
        <v>8.1729999999999997E-3</v>
      </c>
      <c r="Z8" s="123">
        <v>1.2620000000000001E-3</v>
      </c>
    </row>
    <row r="9" spans="1:26" ht="15" customHeight="1">
      <c r="A9" s="121">
        <v>313</v>
      </c>
      <c r="B9" s="121">
        <v>313</v>
      </c>
      <c r="C9" s="120" t="s">
        <v>1232</v>
      </c>
      <c r="D9" s="120" t="s">
        <v>1248</v>
      </c>
      <c r="E9" s="121" t="s">
        <v>1249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1217</v>
      </c>
      <c r="M9" s="122">
        <v>1</v>
      </c>
      <c r="N9" s="124">
        <v>46173</v>
      </c>
      <c r="O9" s="123">
        <v>0</v>
      </c>
      <c r="P9" s="123">
        <v>4.6899999999999997E-2</v>
      </c>
      <c r="Q9" s="120"/>
      <c r="R9" s="122">
        <v>14557451</v>
      </c>
      <c r="S9" s="122">
        <v>1</v>
      </c>
      <c r="T9" s="122">
        <v>99.64</v>
      </c>
      <c r="U9" s="122">
        <v>14505.044180000001</v>
      </c>
      <c r="V9" s="120"/>
      <c r="W9" s="120"/>
      <c r="X9" s="123">
        <v>6.8599999999999998E-4</v>
      </c>
      <c r="Y9" s="123">
        <v>1.5759999999999999E-3</v>
      </c>
      <c r="Z9" s="123">
        <v>2.43E-4</v>
      </c>
    </row>
    <row r="10" spans="1:26" ht="15" customHeight="1">
      <c r="A10" s="121">
        <v>313</v>
      </c>
      <c r="B10" s="121">
        <v>313</v>
      </c>
      <c r="C10" s="120" t="s">
        <v>1232</v>
      </c>
      <c r="D10" s="120" t="s">
        <v>1250</v>
      </c>
      <c r="E10" s="121" t="s">
        <v>1251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1217</v>
      </c>
      <c r="M10" s="122">
        <v>18.62</v>
      </c>
      <c r="N10" s="124">
        <v>53113</v>
      </c>
      <c r="O10" s="123">
        <v>0.01</v>
      </c>
      <c r="P10" s="123">
        <v>2.4299999999999999E-2</v>
      </c>
      <c r="Q10" s="120"/>
      <c r="R10" s="122">
        <v>696600676</v>
      </c>
      <c r="S10" s="122">
        <v>1</v>
      </c>
      <c r="T10" s="122">
        <v>88.06</v>
      </c>
      <c r="U10" s="122">
        <v>613426.55529000005</v>
      </c>
      <c r="V10" s="120"/>
      <c r="W10" s="120"/>
      <c r="X10" s="123">
        <v>3.8475000000000002E-2</v>
      </c>
      <c r="Y10" s="123">
        <v>6.6651000000000002E-2</v>
      </c>
      <c r="Z10" s="123">
        <v>1.0293999999999999E-2</v>
      </c>
    </row>
    <row r="11" spans="1:26" ht="15" customHeight="1">
      <c r="A11" s="121">
        <v>313</v>
      </c>
      <c r="B11" s="121">
        <v>313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1217</v>
      </c>
      <c r="M11" s="122">
        <v>2.69</v>
      </c>
      <c r="N11" s="124">
        <v>46477</v>
      </c>
      <c r="O11" s="123">
        <v>0.02</v>
      </c>
      <c r="P11" s="123">
        <v>4.4900000000000002E-2</v>
      </c>
      <c r="Q11" s="120"/>
      <c r="R11" s="122">
        <v>136289504</v>
      </c>
      <c r="S11" s="122">
        <v>1</v>
      </c>
      <c r="T11" s="122">
        <v>94.2</v>
      </c>
      <c r="U11" s="122">
        <v>128384.71275999999</v>
      </c>
      <c r="V11" s="120"/>
      <c r="W11" s="120"/>
      <c r="X11" s="123">
        <v>5.2729999999999999E-3</v>
      </c>
      <c r="Y11" s="123">
        <v>1.3948E-2</v>
      </c>
      <c r="Z11" s="123">
        <v>2.153E-3</v>
      </c>
    </row>
    <row r="12" spans="1:26" ht="15" customHeight="1">
      <c r="A12" s="121">
        <v>313</v>
      </c>
      <c r="B12" s="121">
        <v>313</v>
      </c>
      <c r="C12" s="120" t="s">
        <v>1232</v>
      </c>
      <c r="D12" s="120" t="s">
        <v>1254</v>
      </c>
      <c r="E12" s="121" t="s">
        <v>1255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1217</v>
      </c>
      <c r="M12" s="122">
        <v>14.48</v>
      </c>
      <c r="N12" s="124">
        <v>53782</v>
      </c>
      <c r="O12" s="123">
        <v>3.7499999999999999E-2</v>
      </c>
      <c r="P12" s="123">
        <v>5.4699999999999999E-2</v>
      </c>
      <c r="Q12" s="120"/>
      <c r="R12" s="122">
        <v>456691064</v>
      </c>
      <c r="S12" s="122">
        <v>1</v>
      </c>
      <c r="T12" s="122">
        <v>78.790000000000006</v>
      </c>
      <c r="U12" s="122">
        <v>359826.88932999998</v>
      </c>
      <c r="V12" s="120"/>
      <c r="W12" s="120"/>
      <c r="X12" s="123">
        <v>1.7399999999999999E-2</v>
      </c>
      <c r="Y12" s="123">
        <v>3.9095999999999999E-2</v>
      </c>
      <c r="Z12" s="123">
        <v>6.038E-3</v>
      </c>
    </row>
    <row r="13" spans="1:26" ht="15" customHeight="1">
      <c r="A13" s="121">
        <v>313</v>
      </c>
      <c r="B13" s="121">
        <v>313</v>
      </c>
      <c r="C13" s="120" t="s">
        <v>1232</v>
      </c>
      <c r="D13" s="120" t="s">
        <v>1256</v>
      </c>
      <c r="E13" s="121" t="s">
        <v>1257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1217</v>
      </c>
      <c r="M13" s="122">
        <v>7.39</v>
      </c>
      <c r="N13" s="124">
        <v>48182</v>
      </c>
      <c r="O13" s="123">
        <v>1E-3</v>
      </c>
      <c r="P13" s="123">
        <v>2.18E-2</v>
      </c>
      <c r="Q13" s="120"/>
      <c r="R13" s="122">
        <v>863307423</v>
      </c>
      <c r="S13" s="122">
        <v>1</v>
      </c>
      <c r="T13" s="122">
        <v>97.65</v>
      </c>
      <c r="U13" s="122">
        <v>843019.69856000005</v>
      </c>
      <c r="V13" s="120"/>
      <c r="W13" s="120"/>
      <c r="X13" s="123">
        <v>2.8117E-2</v>
      </c>
      <c r="Y13" s="123">
        <v>9.1597999999999999E-2</v>
      </c>
      <c r="Z13" s="123">
        <v>1.4146000000000001E-2</v>
      </c>
    </row>
    <row r="14" spans="1:26" ht="15" customHeight="1">
      <c r="A14" s="121">
        <v>313</v>
      </c>
      <c r="B14" s="121">
        <v>313</v>
      </c>
      <c r="C14" s="120" t="s">
        <v>1232</v>
      </c>
      <c r="D14" s="120" t="s">
        <v>1258</v>
      </c>
      <c r="E14" s="121" t="s">
        <v>1259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1217</v>
      </c>
      <c r="M14" s="122">
        <v>0.83</v>
      </c>
      <c r="N14" s="124">
        <v>45777</v>
      </c>
      <c r="O14" s="123">
        <v>5.0000000000000001E-3</v>
      </c>
      <c r="P14" s="123">
        <v>4.0399999999999998E-2</v>
      </c>
      <c r="Q14" s="120"/>
      <c r="R14" s="122">
        <v>16844566</v>
      </c>
      <c r="S14" s="122">
        <v>1</v>
      </c>
      <c r="T14" s="122">
        <v>97.25</v>
      </c>
      <c r="U14" s="122">
        <v>16381.34044</v>
      </c>
      <c r="V14" s="120"/>
      <c r="W14" s="120"/>
      <c r="X14" s="123">
        <v>7.1699999999999997E-4</v>
      </c>
      <c r="Y14" s="123">
        <v>1.779E-3</v>
      </c>
      <c r="Z14" s="123">
        <v>2.7399999999999999E-4</v>
      </c>
    </row>
    <row r="15" spans="1:26" ht="15" customHeight="1">
      <c r="A15" s="121">
        <v>313</v>
      </c>
      <c r="B15" s="121">
        <v>313</v>
      </c>
      <c r="C15" s="120" t="s">
        <v>1232</v>
      </c>
      <c r="D15" s="120" t="s">
        <v>1260</v>
      </c>
      <c r="E15" s="121" t="s">
        <v>1261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1217</v>
      </c>
      <c r="M15" s="122">
        <v>11.52</v>
      </c>
      <c r="N15" s="124">
        <v>51897</v>
      </c>
      <c r="O15" s="123">
        <v>5.5E-2</v>
      </c>
      <c r="P15" s="123">
        <v>5.33E-2</v>
      </c>
      <c r="Q15" s="120"/>
      <c r="R15" s="122">
        <v>642114494</v>
      </c>
      <c r="S15" s="122">
        <v>1</v>
      </c>
      <c r="T15" s="122">
        <v>104.09</v>
      </c>
      <c r="U15" s="122">
        <v>668376.97679999995</v>
      </c>
      <c r="V15" s="120"/>
      <c r="W15" s="120"/>
      <c r="X15" s="123">
        <v>3.3256000000000001E-2</v>
      </c>
      <c r="Y15" s="123">
        <v>7.2622000000000006E-2</v>
      </c>
      <c r="Z15" s="123">
        <v>1.1216E-2</v>
      </c>
    </row>
    <row r="16" spans="1:26" ht="15" customHeight="1">
      <c r="A16" s="121">
        <v>313</v>
      </c>
      <c r="B16" s="121">
        <v>313</v>
      </c>
      <c r="C16" s="120" t="s">
        <v>1232</v>
      </c>
      <c r="D16" s="120" t="s">
        <v>1262</v>
      </c>
      <c r="E16" s="121" t="s">
        <v>1263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1217</v>
      </c>
      <c r="M16" s="122">
        <v>24.94</v>
      </c>
      <c r="N16" s="124">
        <v>55487</v>
      </c>
      <c r="O16" s="123">
        <v>5.0000000000000001E-3</v>
      </c>
      <c r="P16" s="123">
        <v>2.46E-2</v>
      </c>
      <c r="Q16" s="120"/>
      <c r="R16" s="122">
        <v>1617813772</v>
      </c>
      <c r="S16" s="122">
        <v>1</v>
      </c>
      <c r="T16" s="122">
        <v>69.900000000000006</v>
      </c>
      <c r="U16" s="122">
        <v>1130851.82663</v>
      </c>
      <c r="V16" s="120"/>
      <c r="W16" s="120"/>
      <c r="X16" s="123">
        <v>7.7239000000000002E-2</v>
      </c>
      <c r="Y16" s="123">
        <v>0.122872</v>
      </c>
      <c r="Z16" s="123">
        <v>1.8977000000000001E-2</v>
      </c>
    </row>
    <row r="17" spans="1:26" ht="15" customHeight="1">
      <c r="A17" s="121">
        <v>313</v>
      </c>
      <c r="B17" s="121">
        <v>313</v>
      </c>
      <c r="C17" s="120" t="s">
        <v>1232</v>
      </c>
      <c r="D17" s="120" t="s">
        <v>1264</v>
      </c>
      <c r="E17" s="121" t="s">
        <v>1265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1235</v>
      </c>
      <c r="K17" s="120" t="s">
        <v>412</v>
      </c>
      <c r="L17" s="120" t="s">
        <v>1217</v>
      </c>
      <c r="M17" s="122">
        <v>16.829999999999998</v>
      </c>
      <c r="N17" s="124">
        <v>55852</v>
      </c>
      <c r="O17" s="123">
        <v>2.8000000000000001E-2</v>
      </c>
      <c r="P17" s="123">
        <v>5.5599999999999997E-2</v>
      </c>
      <c r="Q17" s="120"/>
      <c r="R17" s="122">
        <v>516384418</v>
      </c>
      <c r="S17" s="122">
        <v>1</v>
      </c>
      <c r="T17" s="122">
        <v>62.6</v>
      </c>
      <c r="U17" s="122">
        <v>323256.64567</v>
      </c>
      <c r="V17" s="120"/>
      <c r="W17" s="120"/>
      <c r="X17" s="123">
        <v>3.0967999999999999E-2</v>
      </c>
      <c r="Y17" s="123">
        <v>3.5123000000000001E-2</v>
      </c>
      <c r="Z17" s="123">
        <v>5.424E-3</v>
      </c>
    </row>
    <row r="18" spans="1:26" ht="15" customHeight="1">
      <c r="A18" s="121">
        <v>313</v>
      </c>
      <c r="B18" s="121">
        <v>313</v>
      </c>
      <c r="C18" s="120" t="s">
        <v>1232</v>
      </c>
      <c r="D18" s="120" t="s">
        <v>1266</v>
      </c>
      <c r="E18" s="121" t="s">
        <v>1267</v>
      </c>
      <c r="F18" s="120" t="s">
        <v>944</v>
      </c>
      <c r="G18" s="120" t="s">
        <v>203</v>
      </c>
      <c r="H18" s="120" t="s">
        <v>203</v>
      </c>
      <c r="I18" s="120" t="s">
        <v>339</v>
      </c>
      <c r="J18" s="120" t="s">
        <v>1235</v>
      </c>
      <c r="K18" s="120" t="s">
        <v>412</v>
      </c>
      <c r="L18" s="120" t="s">
        <v>1217</v>
      </c>
      <c r="M18" s="122">
        <v>9.8800000000000008</v>
      </c>
      <c r="N18" s="124">
        <v>49825</v>
      </c>
      <c r="O18" s="123">
        <v>0.04</v>
      </c>
      <c r="P18" s="123">
        <v>2.3099999999999999E-2</v>
      </c>
      <c r="Q18" s="120"/>
      <c r="R18" s="122">
        <v>1254959602</v>
      </c>
      <c r="S18" s="122">
        <v>1</v>
      </c>
      <c r="T18" s="122">
        <v>159.08000000000001</v>
      </c>
      <c r="U18" s="122">
        <v>1996389.7348499999</v>
      </c>
      <c r="V18" s="120"/>
      <c r="W18" s="120"/>
      <c r="X18" s="123">
        <v>7.8768000000000005E-2</v>
      </c>
      <c r="Y18" s="123">
        <v>0.216916</v>
      </c>
      <c r="Z18" s="123">
        <v>3.3501000000000003E-2</v>
      </c>
    </row>
    <row r="19" spans="1:26" ht="15" customHeight="1">
      <c r="A19" s="121">
        <v>313</v>
      </c>
      <c r="B19" s="121">
        <v>313</v>
      </c>
      <c r="C19" s="120" t="s">
        <v>1232</v>
      </c>
      <c r="D19" s="120" t="s">
        <v>1268</v>
      </c>
      <c r="E19" s="121" t="s">
        <v>1269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1235</v>
      </c>
      <c r="K19" s="120" t="s">
        <v>412</v>
      </c>
      <c r="L19" s="120" t="s">
        <v>1217</v>
      </c>
      <c r="M19" s="122">
        <v>11.5</v>
      </c>
      <c r="N19" s="124">
        <v>50191</v>
      </c>
      <c r="O19" s="123">
        <v>1.4999999999999999E-2</v>
      </c>
      <c r="P19" s="123">
        <v>5.21E-2</v>
      </c>
      <c r="Q19" s="120"/>
      <c r="R19" s="122">
        <v>25100000</v>
      </c>
      <c r="S19" s="122">
        <v>1</v>
      </c>
      <c r="T19" s="122">
        <v>65.83</v>
      </c>
      <c r="U19" s="122">
        <v>16523.330000000002</v>
      </c>
      <c r="V19" s="120"/>
      <c r="W19" s="120"/>
      <c r="X19" s="123">
        <v>7.8200000000000003E-4</v>
      </c>
      <c r="Y19" s="123">
        <v>1.7949999999999999E-3</v>
      </c>
      <c r="Z19" s="123">
        <v>2.7700000000000001E-4</v>
      </c>
    </row>
    <row r="20" spans="1:26" ht="15" customHeight="1">
      <c r="A20" s="121">
        <v>313</v>
      </c>
      <c r="B20" s="121">
        <v>313</v>
      </c>
      <c r="C20" s="120" t="s">
        <v>1270</v>
      </c>
      <c r="D20" s="120" t="s">
        <v>1271</v>
      </c>
      <c r="E20" s="121" t="s">
        <v>1272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1273</v>
      </c>
      <c r="K20" s="120" t="s">
        <v>430</v>
      </c>
      <c r="L20" s="120" t="s">
        <v>1212</v>
      </c>
      <c r="M20" s="122">
        <v>0.2</v>
      </c>
      <c r="N20" s="124">
        <v>45547</v>
      </c>
      <c r="O20" s="123">
        <v>0</v>
      </c>
      <c r="P20" s="123">
        <v>5.3699999999999998E-2</v>
      </c>
      <c r="Q20" s="120"/>
      <c r="R20" s="122">
        <v>3981000</v>
      </c>
      <c r="S20" s="122">
        <v>3.7589999999999999</v>
      </c>
      <c r="T20" s="122">
        <v>98.945300000000003</v>
      </c>
      <c r="U20" s="122">
        <v>14806.747590000001</v>
      </c>
      <c r="V20" s="120"/>
      <c r="W20" s="120"/>
      <c r="X20" s="123">
        <v>5.5999999999999999E-5</v>
      </c>
      <c r="Y20" s="123">
        <v>1.6080000000000001E-3</v>
      </c>
      <c r="Z20" s="123">
        <v>2.4800000000000001E-4</v>
      </c>
    </row>
    <row r="21" spans="1:26" ht="15" customHeight="1">
      <c r="A21" s="121">
        <v>313</v>
      </c>
      <c r="B21" s="121">
        <v>313</v>
      </c>
      <c r="C21" s="120" t="s">
        <v>1270</v>
      </c>
      <c r="D21" s="120" t="s">
        <v>1274</v>
      </c>
      <c r="E21" s="121" t="s">
        <v>1275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1273</v>
      </c>
      <c r="K21" s="120" t="s">
        <v>430</v>
      </c>
      <c r="L21" s="120" t="s">
        <v>1212</v>
      </c>
      <c r="M21" s="122">
        <v>0.3</v>
      </c>
      <c r="N21" s="124">
        <v>45582</v>
      </c>
      <c r="O21" s="123">
        <v>0</v>
      </c>
      <c r="P21" s="123">
        <v>5.3900000000000003E-2</v>
      </c>
      <c r="Q21" s="120"/>
      <c r="R21" s="122">
        <v>11350000</v>
      </c>
      <c r="S21" s="122">
        <v>3.7589999999999999</v>
      </c>
      <c r="T21" s="122">
        <v>98.445499999999996</v>
      </c>
      <c r="U21" s="122">
        <v>42001.428019999999</v>
      </c>
      <c r="V21" s="120"/>
      <c r="W21" s="120"/>
      <c r="X21" s="123">
        <v>1.5100000000000001E-4</v>
      </c>
      <c r="Y21" s="123">
        <v>4.5630000000000002E-3</v>
      </c>
      <c r="Z21" s="123">
        <v>7.0399999999999998E-4</v>
      </c>
    </row>
    <row r="22" spans="1:26" ht="15" customHeight="1">
      <c r="A22" s="121">
        <v>313</v>
      </c>
      <c r="B22" s="121">
        <v>313</v>
      </c>
      <c r="C22" s="120" t="s">
        <v>1232</v>
      </c>
      <c r="D22" s="120" t="s">
        <v>1276</v>
      </c>
      <c r="E22" s="121" t="s">
        <v>1277</v>
      </c>
      <c r="F22" s="120" t="s">
        <v>951</v>
      </c>
      <c r="G22" s="120" t="s">
        <v>204</v>
      </c>
      <c r="H22" s="120" t="s">
        <v>203</v>
      </c>
      <c r="I22" s="120" t="s">
        <v>313</v>
      </c>
      <c r="J22" s="120" t="s">
        <v>1278</v>
      </c>
      <c r="K22" s="120" t="s">
        <v>430</v>
      </c>
      <c r="L22" s="120" t="s">
        <v>1212</v>
      </c>
      <c r="M22" s="122">
        <v>5.45</v>
      </c>
      <c r="N22" s="124">
        <v>47667</v>
      </c>
      <c r="O22" s="123">
        <v>2.75E-2</v>
      </c>
      <c r="P22" s="123">
        <v>5.9799999999999999E-2</v>
      </c>
      <c r="Q22" s="120"/>
      <c r="R22" s="122">
        <v>5469000</v>
      </c>
      <c r="S22" s="122">
        <v>3.7589999999999999</v>
      </c>
      <c r="T22" s="122">
        <v>85.627099999999999</v>
      </c>
      <c r="U22" s="122">
        <v>17603.194390000001</v>
      </c>
      <c r="V22" s="120"/>
      <c r="W22" s="120"/>
      <c r="X22" s="123">
        <v>2.7339999999999999E-3</v>
      </c>
      <c r="Y22" s="123">
        <v>1.9120000000000001E-3</v>
      </c>
      <c r="Z22" s="123">
        <v>2.9500000000000001E-4</v>
      </c>
    </row>
    <row r="23" spans="1:26" ht="15" customHeight="1">
      <c r="A23" s="121">
        <v>313</v>
      </c>
      <c r="B23" s="121">
        <v>313</v>
      </c>
      <c r="C23" s="120" t="s">
        <v>1279</v>
      </c>
      <c r="D23" s="120" t="s">
        <v>1280</v>
      </c>
      <c r="E23" s="121" t="s">
        <v>1281</v>
      </c>
      <c r="F23" s="120" t="s">
        <v>950</v>
      </c>
      <c r="G23" s="120" t="s">
        <v>204</v>
      </c>
      <c r="H23" s="120" t="s">
        <v>223</v>
      </c>
      <c r="I23" s="120" t="s">
        <v>313</v>
      </c>
      <c r="J23" s="120" t="s">
        <v>1282</v>
      </c>
      <c r="K23" s="120" t="s">
        <v>432</v>
      </c>
      <c r="L23" s="120" t="s">
        <v>1212</v>
      </c>
      <c r="M23" s="122">
        <v>0.14000000000000001</v>
      </c>
      <c r="N23" s="124">
        <v>45524</v>
      </c>
      <c r="O23" s="123">
        <v>0</v>
      </c>
      <c r="P23" s="123">
        <v>5.3400000000000003E-2</v>
      </c>
      <c r="Q23" s="120"/>
      <c r="R23" s="122">
        <v>57158000</v>
      </c>
      <c r="S23" s="122">
        <v>3.7589999999999999</v>
      </c>
      <c r="T23" s="122">
        <v>99.275599999999997</v>
      </c>
      <c r="U23" s="122">
        <v>213300.49846</v>
      </c>
      <c r="V23" s="120"/>
      <c r="W23" s="120"/>
      <c r="X23" s="123">
        <v>9.4799999999999995E-4</v>
      </c>
      <c r="Y23" s="123">
        <v>2.3175999999999999E-2</v>
      </c>
      <c r="Z23" s="123">
        <v>3.5790000000000001E-3</v>
      </c>
    </row>
    <row r="24" spans="1:26" ht="15" customHeight="1">
      <c r="A24" s="121">
        <v>313</v>
      </c>
      <c r="B24" s="121">
        <v>313</v>
      </c>
      <c r="C24" s="120" t="s">
        <v>1232</v>
      </c>
      <c r="D24" s="120" t="s">
        <v>1283</v>
      </c>
      <c r="E24" s="121" t="s">
        <v>1284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1278</v>
      </c>
      <c r="K24" s="120" t="s">
        <v>430</v>
      </c>
      <c r="L24" s="120" t="s">
        <v>1212</v>
      </c>
      <c r="M24" s="122">
        <v>11.8</v>
      </c>
      <c r="N24" s="124">
        <v>52261</v>
      </c>
      <c r="O24" s="123">
        <v>4.4999999999999998E-2</v>
      </c>
      <c r="P24" s="123">
        <v>6.3100000000000003E-2</v>
      </c>
      <c r="Q24" s="120"/>
      <c r="R24" s="122">
        <v>4000000</v>
      </c>
      <c r="S24" s="122">
        <v>3.7589999999999999</v>
      </c>
      <c r="T24" s="122">
        <v>83.099100000000007</v>
      </c>
      <c r="U24" s="122">
        <v>12494.78068</v>
      </c>
      <c r="V24" s="120"/>
      <c r="W24" s="120"/>
      <c r="X24" s="123">
        <v>2.3519999999999999E-3</v>
      </c>
      <c r="Y24" s="123">
        <v>1.3569999999999999E-3</v>
      </c>
      <c r="Z24" s="123">
        <v>2.0900000000000001E-4</v>
      </c>
    </row>
    <row r="25" spans="1:26" ht="15" customHeight="1">
      <c r="A25" s="121">
        <v>313</v>
      </c>
      <c r="B25" s="121">
        <v>313</v>
      </c>
      <c r="C25" s="120" t="s">
        <v>1270</v>
      </c>
      <c r="D25" s="120" t="s">
        <v>1285</v>
      </c>
      <c r="E25" s="121" t="s">
        <v>1286</v>
      </c>
      <c r="F25" s="120" t="s">
        <v>950</v>
      </c>
      <c r="G25" s="120" t="s">
        <v>204</v>
      </c>
      <c r="H25" s="120" t="s">
        <v>223</v>
      </c>
      <c r="I25" s="120" t="s">
        <v>313</v>
      </c>
      <c r="J25" s="120" t="s">
        <v>1273</v>
      </c>
      <c r="K25" s="120" t="s">
        <v>430</v>
      </c>
      <c r="L25" s="120" t="s">
        <v>1212</v>
      </c>
      <c r="M25" s="122">
        <v>0.64</v>
      </c>
      <c r="N25" s="124">
        <v>45708</v>
      </c>
      <c r="O25" s="123">
        <v>0</v>
      </c>
      <c r="P25" s="123">
        <v>5.2200000000000003E-2</v>
      </c>
      <c r="Q25" s="120"/>
      <c r="R25" s="122">
        <v>675000</v>
      </c>
      <c r="S25" s="122">
        <v>3.7589999999999999</v>
      </c>
      <c r="T25" s="122">
        <v>96.778400000000005</v>
      </c>
      <c r="U25" s="122">
        <v>2455.5825399999999</v>
      </c>
      <c r="V25" s="120"/>
      <c r="W25" s="120"/>
      <c r="X25" s="123">
        <v>1.2999999999999999E-5</v>
      </c>
      <c r="Y25" s="123">
        <v>2.6600000000000001E-4</v>
      </c>
      <c r="Z25" s="123">
        <v>4.1E-5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4"/>
  <sheetViews>
    <sheetView rightToLeft="1" topLeftCell="K1" workbookViewId="0">
      <selection activeCell="Y21" sqref="Y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5.5" bestFit="1" customWidth="1"/>
    <col min="4" max="4" width="24.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5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313</v>
      </c>
      <c r="B2" s="121">
        <v>313</v>
      </c>
      <c r="C2" s="120" t="s">
        <v>1287</v>
      </c>
      <c r="D2" s="121">
        <v>520032046</v>
      </c>
      <c r="E2" s="120" t="s">
        <v>308</v>
      </c>
      <c r="F2" s="120" t="s">
        <v>1288</v>
      </c>
      <c r="G2" s="121" t="s">
        <v>1289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1215</v>
      </c>
      <c r="Q2" s="120" t="s">
        <v>412</v>
      </c>
      <c r="R2" s="120" t="s">
        <v>406</v>
      </c>
      <c r="S2" s="120" t="s">
        <v>1217</v>
      </c>
      <c r="T2" s="122">
        <v>1.97</v>
      </c>
      <c r="U2" s="124">
        <v>46196</v>
      </c>
      <c r="V2" s="123">
        <v>3.8E-3</v>
      </c>
      <c r="W2" s="123">
        <v>2.1999999999999999E-2</v>
      </c>
      <c r="X2" s="120" t="s">
        <v>411</v>
      </c>
      <c r="Y2" s="120"/>
      <c r="Z2" s="122">
        <v>10339000</v>
      </c>
      <c r="AA2" s="122">
        <v>1</v>
      </c>
      <c r="AB2" s="122">
        <v>107.97</v>
      </c>
      <c r="AC2" s="122"/>
      <c r="AD2" s="122">
        <v>11163.0183</v>
      </c>
      <c r="AE2" s="122"/>
      <c r="AF2" s="122"/>
      <c r="AG2" s="120"/>
      <c r="AH2" s="123">
        <v>3.4459999999999998E-3</v>
      </c>
      <c r="AI2" s="123">
        <v>1.2312E-2</v>
      </c>
      <c r="AJ2" s="123">
        <v>1.8699999999999999E-4</v>
      </c>
    </row>
    <row r="3" spans="1:36" ht="15" customHeight="1">
      <c r="A3" s="121">
        <v>313</v>
      </c>
      <c r="B3" s="121">
        <v>313</v>
      </c>
      <c r="C3" s="120" t="s">
        <v>1290</v>
      </c>
      <c r="D3" s="121">
        <v>520000472</v>
      </c>
      <c r="E3" s="120" t="s">
        <v>308</v>
      </c>
      <c r="F3" s="120" t="s">
        <v>1291</v>
      </c>
      <c r="G3" s="121" t="s">
        <v>1292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439</v>
      </c>
      <c r="O3" s="120" t="s">
        <v>338</v>
      </c>
      <c r="P3" s="120" t="s">
        <v>1293</v>
      </c>
      <c r="Q3" s="120" t="s">
        <v>311</v>
      </c>
      <c r="R3" s="120" t="s">
        <v>406</v>
      </c>
      <c r="S3" s="120" t="s">
        <v>1217</v>
      </c>
      <c r="T3" s="122">
        <v>7.89</v>
      </c>
      <c r="U3" s="124">
        <v>48742</v>
      </c>
      <c r="V3" s="123">
        <v>0.03</v>
      </c>
      <c r="W3" s="123">
        <v>3.3599999999999998E-2</v>
      </c>
      <c r="X3" s="120" t="s">
        <v>411</v>
      </c>
      <c r="Y3" s="120"/>
      <c r="Z3" s="122">
        <v>13733000</v>
      </c>
      <c r="AA3" s="122">
        <v>1</v>
      </c>
      <c r="AB3" s="122">
        <v>100.46</v>
      </c>
      <c r="AC3" s="122"/>
      <c r="AD3" s="122">
        <v>13796.1718</v>
      </c>
      <c r="AE3" s="120"/>
      <c r="AF3" s="120"/>
      <c r="AG3" s="120"/>
      <c r="AH3" s="123">
        <v>5.372E-3</v>
      </c>
      <c r="AI3" s="123">
        <v>1.5217E-2</v>
      </c>
      <c r="AJ3" s="123">
        <v>2.31E-4</v>
      </c>
    </row>
    <row r="4" spans="1:36" ht="15" customHeight="1">
      <c r="A4" s="121">
        <v>313</v>
      </c>
      <c r="B4" s="121">
        <v>313</v>
      </c>
      <c r="C4" s="120" t="s">
        <v>1294</v>
      </c>
      <c r="D4" s="121">
        <v>513834200</v>
      </c>
      <c r="E4" s="120" t="s">
        <v>308</v>
      </c>
      <c r="F4" s="120" t="s">
        <v>1295</v>
      </c>
      <c r="G4" s="121" t="s">
        <v>1296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444</v>
      </c>
      <c r="O4" s="120" t="s">
        <v>338</v>
      </c>
      <c r="P4" s="120" t="s">
        <v>1297</v>
      </c>
      <c r="Q4" s="120" t="s">
        <v>414</v>
      </c>
      <c r="R4" s="120" t="s">
        <v>406</v>
      </c>
      <c r="S4" s="120" t="s">
        <v>1217</v>
      </c>
      <c r="T4" s="122">
        <v>2.44</v>
      </c>
      <c r="U4" s="124">
        <v>46387</v>
      </c>
      <c r="V4" s="123">
        <v>2.4E-2</v>
      </c>
      <c r="W4" s="123">
        <v>2.29E-2</v>
      </c>
      <c r="X4" s="120" t="s">
        <v>410</v>
      </c>
      <c r="Y4" s="120"/>
      <c r="Z4" s="122">
        <v>15916913</v>
      </c>
      <c r="AA4" s="122">
        <v>1</v>
      </c>
      <c r="AB4" s="122">
        <v>113.85</v>
      </c>
      <c r="AC4" s="122"/>
      <c r="AD4" s="122">
        <v>18121.405449999998</v>
      </c>
      <c r="AE4" s="120"/>
      <c r="AF4" s="120"/>
      <c r="AG4" s="120"/>
      <c r="AH4" s="123">
        <v>5.3920000000000003E-2</v>
      </c>
      <c r="AI4" s="123">
        <v>1.9987000000000001E-2</v>
      </c>
      <c r="AJ4" s="123">
        <v>3.0400000000000002E-4</v>
      </c>
    </row>
    <row r="5" spans="1:36" ht="15" customHeight="1">
      <c r="A5" s="121">
        <v>313</v>
      </c>
      <c r="B5" s="121">
        <v>313</v>
      </c>
      <c r="C5" s="120" t="s">
        <v>1290</v>
      </c>
      <c r="D5" s="121">
        <v>520000472</v>
      </c>
      <c r="E5" s="120" t="s">
        <v>308</v>
      </c>
      <c r="F5" s="120" t="s">
        <v>1298</v>
      </c>
      <c r="G5" s="121" t="s">
        <v>1299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338</v>
      </c>
      <c r="P5" s="120" t="s">
        <v>1293</v>
      </c>
      <c r="Q5" s="120" t="s">
        <v>311</v>
      </c>
      <c r="R5" s="120" t="s">
        <v>406</v>
      </c>
      <c r="S5" s="120" t="s">
        <v>1217</v>
      </c>
      <c r="T5" s="122">
        <v>5.98</v>
      </c>
      <c r="U5" s="124">
        <v>48112</v>
      </c>
      <c r="V5" s="123">
        <v>2.3900000000000001E-2</v>
      </c>
      <c r="W5" s="123">
        <v>3.0200000000000001E-2</v>
      </c>
      <c r="X5" s="120" t="s">
        <v>411</v>
      </c>
      <c r="Y5" s="120"/>
      <c r="Z5" s="122">
        <v>45802000</v>
      </c>
      <c r="AA5" s="122">
        <v>1</v>
      </c>
      <c r="AB5" s="122">
        <v>109.95</v>
      </c>
      <c r="AC5" s="122"/>
      <c r="AD5" s="122">
        <v>50359.298999999999</v>
      </c>
      <c r="AE5" s="120"/>
      <c r="AF5" s="120"/>
      <c r="AG5" s="120"/>
      <c r="AH5" s="123">
        <v>1.1776E-2</v>
      </c>
      <c r="AI5" s="123">
        <v>5.5544999999999997E-2</v>
      </c>
      <c r="AJ5" s="123">
        <v>8.4500000000000005E-4</v>
      </c>
    </row>
    <row r="6" spans="1:36" ht="15" customHeight="1">
      <c r="A6" s="121">
        <v>313</v>
      </c>
      <c r="B6" s="121">
        <v>313</v>
      </c>
      <c r="C6" s="120" t="s">
        <v>1294</v>
      </c>
      <c r="D6" s="121">
        <v>513834200</v>
      </c>
      <c r="E6" s="120" t="s">
        <v>308</v>
      </c>
      <c r="F6" s="120" t="s">
        <v>1300</v>
      </c>
      <c r="G6" s="121" t="s">
        <v>1301</v>
      </c>
      <c r="H6" s="120" t="s">
        <v>320</v>
      </c>
      <c r="I6" s="120" t="s">
        <v>952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444</v>
      </c>
      <c r="O6" s="120" t="s">
        <v>338</v>
      </c>
      <c r="P6" s="120" t="s">
        <v>1297</v>
      </c>
      <c r="Q6" s="120" t="s">
        <v>414</v>
      </c>
      <c r="R6" s="120" t="s">
        <v>406</v>
      </c>
      <c r="S6" s="120" t="s">
        <v>1217</v>
      </c>
      <c r="T6" s="122">
        <v>4.9800000000000004</v>
      </c>
      <c r="U6" s="124">
        <v>47483</v>
      </c>
      <c r="V6" s="123">
        <v>3.95E-2</v>
      </c>
      <c r="W6" s="123">
        <v>5.5500000000000001E-2</v>
      </c>
      <c r="X6" s="120" t="s">
        <v>410</v>
      </c>
      <c r="Y6" s="120"/>
      <c r="Z6" s="122">
        <v>9797081</v>
      </c>
      <c r="AA6" s="122">
        <v>1</v>
      </c>
      <c r="AB6" s="122">
        <v>92.82</v>
      </c>
      <c r="AC6" s="122"/>
      <c r="AD6" s="122">
        <v>9093.6505799999995</v>
      </c>
      <c r="AE6" s="120"/>
      <c r="AF6" s="120"/>
      <c r="AG6" s="120"/>
      <c r="AH6" s="123">
        <v>4.0819000000000001E-2</v>
      </c>
      <c r="AI6" s="123">
        <v>1.0030000000000001E-2</v>
      </c>
      <c r="AJ6" s="123">
        <v>1.5200000000000001E-4</v>
      </c>
    </row>
    <row r="7" spans="1:36" ht="15" customHeight="1">
      <c r="A7" s="121">
        <v>313</v>
      </c>
      <c r="B7" s="121">
        <v>313</v>
      </c>
      <c r="C7" s="120" t="s">
        <v>1287</v>
      </c>
      <c r="D7" s="121">
        <v>520032046</v>
      </c>
      <c r="E7" s="120" t="s">
        <v>308</v>
      </c>
      <c r="F7" s="120" t="s">
        <v>1302</v>
      </c>
      <c r="G7" s="121" t="s">
        <v>1303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1215</v>
      </c>
      <c r="Q7" s="120" t="s">
        <v>412</v>
      </c>
      <c r="R7" s="120" t="s">
        <v>406</v>
      </c>
      <c r="S7" s="120" t="s">
        <v>1217</v>
      </c>
      <c r="T7" s="122">
        <v>0.25</v>
      </c>
      <c r="U7" s="124">
        <v>45563</v>
      </c>
      <c r="V7" s="123">
        <v>8.6E-3</v>
      </c>
      <c r="W7" s="123">
        <v>2.5399999999999999E-2</v>
      </c>
      <c r="X7" s="120" t="s">
        <v>411</v>
      </c>
      <c r="Y7" s="120"/>
      <c r="Z7" s="122">
        <v>56000000</v>
      </c>
      <c r="AA7" s="122">
        <v>1</v>
      </c>
      <c r="AB7" s="122">
        <v>114.94</v>
      </c>
      <c r="AC7" s="122"/>
      <c r="AD7" s="122">
        <v>64366.400000000001</v>
      </c>
      <c r="AE7" s="120"/>
      <c r="AF7" s="120"/>
      <c r="AG7" s="120"/>
      <c r="AH7" s="123">
        <v>2.2387000000000001E-2</v>
      </c>
      <c r="AI7" s="123">
        <v>7.0995000000000003E-2</v>
      </c>
      <c r="AJ7" s="123">
        <v>1.08E-3</v>
      </c>
    </row>
    <row r="8" spans="1:36" ht="15" customHeight="1">
      <c r="A8" s="121">
        <v>313</v>
      </c>
      <c r="B8" s="121">
        <v>313</v>
      </c>
      <c r="C8" s="120" t="s">
        <v>1304</v>
      </c>
      <c r="D8" s="121">
        <v>520010869</v>
      </c>
      <c r="E8" s="120" t="s">
        <v>308</v>
      </c>
      <c r="F8" s="120" t="s">
        <v>1305</v>
      </c>
      <c r="G8" s="121" t="s">
        <v>1306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476</v>
      </c>
      <c r="O8" s="120" t="s">
        <v>338</v>
      </c>
      <c r="P8" s="120" t="s">
        <v>1293</v>
      </c>
      <c r="Q8" s="120" t="s">
        <v>311</v>
      </c>
      <c r="R8" s="120" t="s">
        <v>406</v>
      </c>
      <c r="S8" s="120" t="s">
        <v>1217</v>
      </c>
      <c r="T8" s="122">
        <v>1.97</v>
      </c>
      <c r="U8" s="124">
        <v>46752</v>
      </c>
      <c r="V8" s="123">
        <v>1E-3</v>
      </c>
      <c r="W8" s="123">
        <v>2.1299999999999999E-2</v>
      </c>
      <c r="X8" s="120" t="s">
        <v>411</v>
      </c>
      <c r="Y8" s="120"/>
      <c r="Z8" s="122">
        <v>16855200</v>
      </c>
      <c r="AA8" s="122">
        <v>1</v>
      </c>
      <c r="AB8" s="122">
        <v>107.52</v>
      </c>
      <c r="AC8" s="122"/>
      <c r="AD8" s="122">
        <v>18122.711039999998</v>
      </c>
      <c r="AE8" s="120"/>
      <c r="AF8" s="120"/>
      <c r="AG8" s="120"/>
      <c r="AH8" s="123">
        <v>1.9681000000000001E-2</v>
      </c>
      <c r="AI8" s="123">
        <v>1.9989E-2</v>
      </c>
      <c r="AJ8" s="123">
        <v>3.0400000000000002E-4</v>
      </c>
    </row>
    <row r="9" spans="1:36" ht="15" customHeight="1">
      <c r="A9" s="121">
        <v>313</v>
      </c>
      <c r="B9" s="121">
        <v>313</v>
      </c>
      <c r="C9" s="120" t="s">
        <v>1307</v>
      </c>
      <c r="D9" s="121">
        <v>520029935</v>
      </c>
      <c r="E9" s="120" t="s">
        <v>308</v>
      </c>
      <c r="F9" s="120" t="s">
        <v>1308</v>
      </c>
      <c r="G9" s="121" t="s">
        <v>1309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1215</v>
      </c>
      <c r="Q9" s="120" t="s">
        <v>412</v>
      </c>
      <c r="R9" s="120" t="s">
        <v>406</v>
      </c>
      <c r="S9" s="120" t="s">
        <v>1217</v>
      </c>
      <c r="T9" s="122">
        <v>5.3</v>
      </c>
      <c r="U9" s="124">
        <v>49388</v>
      </c>
      <c r="V9" s="123">
        <v>2.1100000000000001E-2</v>
      </c>
      <c r="W9" s="123">
        <v>2.5999999999999999E-2</v>
      </c>
      <c r="X9" s="120" t="s">
        <v>411</v>
      </c>
      <c r="Y9" s="120"/>
      <c r="Z9" s="122">
        <v>14200000</v>
      </c>
      <c r="AA9" s="122">
        <v>1</v>
      </c>
      <c r="AB9" s="122">
        <v>100.34</v>
      </c>
      <c r="AC9" s="122"/>
      <c r="AD9" s="122">
        <v>14248.28</v>
      </c>
      <c r="AE9" s="120"/>
      <c r="AF9" s="120"/>
      <c r="AG9" s="120"/>
      <c r="AH9" s="123">
        <v>9.0869999999999996E-3</v>
      </c>
      <c r="AI9" s="123">
        <v>1.5715E-2</v>
      </c>
      <c r="AJ9" s="123">
        <v>2.3900000000000001E-4</v>
      </c>
    </row>
    <row r="10" spans="1:36" ht="15" customHeight="1">
      <c r="A10" s="121">
        <v>313</v>
      </c>
      <c r="B10" s="121">
        <v>313</v>
      </c>
      <c r="C10" s="120" t="s">
        <v>1221</v>
      </c>
      <c r="D10" s="121">
        <v>520000118</v>
      </c>
      <c r="E10" s="120" t="s">
        <v>308</v>
      </c>
      <c r="F10" s="120" t="s">
        <v>1310</v>
      </c>
      <c r="G10" s="121" t="s">
        <v>1311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1215</v>
      </c>
      <c r="Q10" s="120" t="s">
        <v>412</v>
      </c>
      <c r="R10" s="120" t="s">
        <v>406</v>
      </c>
      <c r="S10" s="120" t="s">
        <v>1217</v>
      </c>
      <c r="T10" s="122">
        <v>3.26</v>
      </c>
      <c r="U10" s="124">
        <v>47819</v>
      </c>
      <c r="V10" s="123">
        <v>1.7500000000000002E-2</v>
      </c>
      <c r="W10" s="123">
        <v>2.4400000000000002E-2</v>
      </c>
      <c r="X10" s="120" t="s">
        <v>411</v>
      </c>
      <c r="Y10" s="120"/>
      <c r="Z10" s="122">
        <v>11457969.029999999</v>
      </c>
      <c r="AA10" s="122">
        <v>1</v>
      </c>
      <c r="AB10" s="122">
        <v>111.51</v>
      </c>
      <c r="AC10" s="122"/>
      <c r="AD10" s="122">
        <v>12776.781269999999</v>
      </c>
      <c r="AE10" s="120"/>
      <c r="AF10" s="120"/>
      <c r="AG10" s="120"/>
      <c r="AH10" s="123">
        <v>4.4060000000000002E-3</v>
      </c>
      <c r="AI10" s="123">
        <v>1.4092E-2</v>
      </c>
      <c r="AJ10" s="123">
        <v>2.14E-4</v>
      </c>
    </row>
    <row r="11" spans="1:36" ht="15" customHeight="1">
      <c r="A11" s="121">
        <v>313</v>
      </c>
      <c r="B11" s="121">
        <v>313</v>
      </c>
      <c r="C11" s="120" t="s">
        <v>1312</v>
      </c>
      <c r="D11" s="121">
        <v>513893123</v>
      </c>
      <c r="E11" s="120" t="s">
        <v>308</v>
      </c>
      <c r="F11" s="120" t="s">
        <v>1313</v>
      </c>
      <c r="G11" s="121" t="s">
        <v>1314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442</v>
      </c>
      <c r="O11" s="120" t="s">
        <v>338</v>
      </c>
      <c r="P11" s="120" t="s">
        <v>1315</v>
      </c>
      <c r="Q11" s="120" t="s">
        <v>414</v>
      </c>
      <c r="R11" s="120" t="s">
        <v>406</v>
      </c>
      <c r="S11" s="120" t="s">
        <v>1217</v>
      </c>
      <c r="T11" s="122">
        <v>1.88</v>
      </c>
      <c r="U11" s="124">
        <v>46477</v>
      </c>
      <c r="V11" s="123">
        <v>3.5400000000000001E-2</v>
      </c>
      <c r="W11" s="123">
        <v>3.4500000000000003E-2</v>
      </c>
      <c r="X11" s="120" t="s">
        <v>411</v>
      </c>
      <c r="Y11" s="120"/>
      <c r="Z11" s="122">
        <v>3732973</v>
      </c>
      <c r="AA11" s="122">
        <v>1</v>
      </c>
      <c r="AB11" s="122">
        <v>106.57</v>
      </c>
      <c r="AC11" s="122"/>
      <c r="AD11" s="122">
        <v>3978.2293300000001</v>
      </c>
      <c r="AE11" s="120"/>
      <c r="AF11" s="120"/>
      <c r="AG11" s="120"/>
      <c r="AH11" s="123">
        <v>3.3409999999999998E-3</v>
      </c>
      <c r="AI11" s="123">
        <v>4.3870000000000003E-3</v>
      </c>
      <c r="AJ11" s="123">
        <v>6.6000000000000005E-5</v>
      </c>
    </row>
    <row r="12" spans="1:36" ht="15" customHeight="1">
      <c r="A12" s="121">
        <v>313</v>
      </c>
      <c r="B12" s="121">
        <v>313</v>
      </c>
      <c r="C12" s="120" t="s">
        <v>1287</v>
      </c>
      <c r="D12" s="121">
        <v>520032046</v>
      </c>
      <c r="E12" s="120" t="s">
        <v>308</v>
      </c>
      <c r="F12" s="120" t="s">
        <v>1316</v>
      </c>
      <c r="G12" s="121" t="s">
        <v>1317</v>
      </c>
      <c r="H12" s="120" t="s">
        <v>320</v>
      </c>
      <c r="I12" s="120" t="s">
        <v>952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1215</v>
      </c>
      <c r="Q12" s="120" t="s">
        <v>412</v>
      </c>
      <c r="R12" s="120" t="s">
        <v>406</v>
      </c>
      <c r="S12" s="120" t="s">
        <v>1217</v>
      </c>
      <c r="T12" s="122">
        <v>0.94</v>
      </c>
      <c r="U12" s="124">
        <v>45815</v>
      </c>
      <c r="V12" s="123">
        <v>2.98E-2</v>
      </c>
      <c r="W12" s="123">
        <v>4.4999999999999998E-2</v>
      </c>
      <c r="X12" s="120" t="s">
        <v>411</v>
      </c>
      <c r="Y12" s="120"/>
      <c r="Z12" s="122">
        <v>266813</v>
      </c>
      <c r="AA12" s="122">
        <v>1</v>
      </c>
      <c r="AB12" s="122">
        <v>98.82</v>
      </c>
      <c r="AC12" s="122"/>
      <c r="AD12" s="122">
        <v>263.66460999999998</v>
      </c>
      <c r="AE12" s="120"/>
      <c r="AF12" s="120"/>
      <c r="AG12" s="120"/>
      <c r="AH12" s="123">
        <v>1.0399999999999999E-4</v>
      </c>
      <c r="AI12" s="123">
        <v>2.9E-4</v>
      </c>
      <c r="AJ12" s="123">
        <v>3.9999999999999998E-6</v>
      </c>
    </row>
    <row r="13" spans="1:36" ht="15" customHeight="1">
      <c r="A13" s="121">
        <v>313</v>
      </c>
      <c r="B13" s="121">
        <v>313</v>
      </c>
      <c r="C13" s="120" t="s">
        <v>1290</v>
      </c>
      <c r="D13" s="121">
        <v>520000472</v>
      </c>
      <c r="E13" s="120" t="s">
        <v>308</v>
      </c>
      <c r="F13" s="120" t="s">
        <v>1318</v>
      </c>
      <c r="G13" s="121" t="s">
        <v>1319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439</v>
      </c>
      <c r="O13" s="120" t="s">
        <v>338</v>
      </c>
      <c r="P13" s="120" t="s">
        <v>1293</v>
      </c>
      <c r="Q13" s="120" t="s">
        <v>311</v>
      </c>
      <c r="R13" s="120" t="s">
        <v>406</v>
      </c>
      <c r="S13" s="120" t="s">
        <v>1217</v>
      </c>
      <c r="T13" s="122">
        <v>10.65</v>
      </c>
      <c r="U13" s="124">
        <v>50203</v>
      </c>
      <c r="V13" s="123">
        <v>3.2000000000000001E-2</v>
      </c>
      <c r="W13" s="123">
        <v>3.5200000000000002E-2</v>
      </c>
      <c r="X13" s="120" t="s">
        <v>411</v>
      </c>
      <c r="Y13" s="120"/>
      <c r="Z13" s="122">
        <v>9206000</v>
      </c>
      <c r="AA13" s="122">
        <v>1</v>
      </c>
      <c r="AB13" s="122">
        <v>100</v>
      </c>
      <c r="AC13" s="122"/>
      <c r="AD13" s="122">
        <v>9206</v>
      </c>
      <c r="AE13" s="120"/>
      <c r="AF13" s="120"/>
      <c r="AG13" s="120"/>
      <c r="AH13" s="123">
        <v>2.9489999999999998E-3</v>
      </c>
      <c r="AI13" s="123">
        <v>1.0154E-2</v>
      </c>
      <c r="AJ13" s="123">
        <v>1.54E-4</v>
      </c>
    </row>
    <row r="14" spans="1:36" ht="15" customHeight="1">
      <c r="A14" s="121">
        <v>313</v>
      </c>
      <c r="B14" s="121">
        <v>313</v>
      </c>
      <c r="C14" s="120" t="s">
        <v>1294</v>
      </c>
      <c r="D14" s="121">
        <v>513834200</v>
      </c>
      <c r="E14" s="120" t="s">
        <v>308</v>
      </c>
      <c r="F14" s="120" t="s">
        <v>1320</v>
      </c>
      <c r="G14" s="121" t="s">
        <v>1321</v>
      </c>
      <c r="H14" s="120" t="s">
        <v>320</v>
      </c>
      <c r="I14" s="120" t="s">
        <v>952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444</v>
      </c>
      <c r="O14" s="120" t="s">
        <v>338</v>
      </c>
      <c r="P14" s="120" t="s">
        <v>1297</v>
      </c>
      <c r="Q14" s="120" t="s">
        <v>414</v>
      </c>
      <c r="R14" s="120" t="s">
        <v>406</v>
      </c>
      <c r="S14" s="120" t="s">
        <v>1217</v>
      </c>
      <c r="T14" s="122">
        <v>1.95</v>
      </c>
      <c r="U14" s="124">
        <v>46203</v>
      </c>
      <c r="V14" s="123">
        <v>2.9100000000000001E-2</v>
      </c>
      <c r="W14" s="123">
        <v>5.04E-2</v>
      </c>
      <c r="X14" s="120" t="s">
        <v>410</v>
      </c>
      <c r="Y14" s="120"/>
      <c r="Z14" s="122">
        <v>3634300</v>
      </c>
      <c r="AA14" s="122">
        <v>1</v>
      </c>
      <c r="AB14" s="122">
        <v>96.12</v>
      </c>
      <c r="AC14" s="122"/>
      <c r="AD14" s="122">
        <v>3493.2891599999998</v>
      </c>
      <c r="AE14" s="120"/>
      <c r="AF14" s="120"/>
      <c r="AG14" s="120"/>
      <c r="AH14" s="123">
        <v>6.0569999999999999E-3</v>
      </c>
      <c r="AI14" s="123">
        <v>3.8530000000000001E-3</v>
      </c>
      <c r="AJ14" s="123">
        <v>5.8E-5</v>
      </c>
    </row>
    <row r="15" spans="1:36" ht="15" customHeight="1">
      <c r="A15" s="121">
        <v>313</v>
      </c>
      <c r="B15" s="121">
        <v>313</v>
      </c>
      <c r="C15" s="120" t="s">
        <v>1322</v>
      </c>
      <c r="D15" s="121">
        <v>520018078</v>
      </c>
      <c r="E15" s="120" t="s">
        <v>308</v>
      </c>
      <c r="F15" s="120" t="s">
        <v>1323</v>
      </c>
      <c r="G15" s="121" t="s">
        <v>1324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414</v>
      </c>
      <c r="R15" s="120" t="s">
        <v>406</v>
      </c>
      <c r="S15" s="120" t="s">
        <v>1217</v>
      </c>
      <c r="T15" s="122">
        <v>5.39</v>
      </c>
      <c r="U15" s="124">
        <v>47447</v>
      </c>
      <c r="V15" s="123">
        <v>1E-3</v>
      </c>
      <c r="W15" s="123">
        <v>2.58E-2</v>
      </c>
      <c r="X15" s="120" t="s">
        <v>411</v>
      </c>
      <c r="Y15" s="120"/>
      <c r="Z15" s="122">
        <v>33176567</v>
      </c>
      <c r="AA15" s="122">
        <v>1</v>
      </c>
      <c r="AB15" s="122">
        <v>97.13</v>
      </c>
      <c r="AC15" s="122"/>
      <c r="AD15" s="122">
        <v>32224.399529999999</v>
      </c>
      <c r="AE15" s="120"/>
      <c r="AF15" s="120"/>
      <c r="AG15" s="120"/>
      <c r="AH15" s="123">
        <v>1.3339999999999999E-2</v>
      </c>
      <c r="AI15" s="123">
        <v>3.5542999999999998E-2</v>
      </c>
      <c r="AJ15" s="123">
        <v>5.4000000000000001E-4</v>
      </c>
    </row>
    <row r="16" spans="1:36" ht="15" customHeight="1">
      <c r="A16" s="121">
        <v>313</v>
      </c>
      <c r="B16" s="121">
        <v>313</v>
      </c>
      <c r="C16" s="120" t="s">
        <v>1325</v>
      </c>
      <c r="D16" s="121">
        <v>510960719</v>
      </c>
      <c r="E16" s="120" t="s">
        <v>308</v>
      </c>
      <c r="F16" s="120" t="s">
        <v>1326</v>
      </c>
      <c r="G16" s="121" t="s">
        <v>1327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1328</v>
      </c>
      <c r="Q16" s="120" t="s">
        <v>414</v>
      </c>
      <c r="R16" s="120" t="s">
        <v>406</v>
      </c>
      <c r="S16" s="120" t="s">
        <v>1217</v>
      </c>
      <c r="T16" s="122">
        <v>2.8</v>
      </c>
      <c r="U16" s="124">
        <v>46934</v>
      </c>
      <c r="V16" s="123">
        <v>1.77E-2</v>
      </c>
      <c r="W16" s="123">
        <v>2.6700000000000002E-2</v>
      </c>
      <c r="X16" s="120" t="s">
        <v>411</v>
      </c>
      <c r="Y16" s="120"/>
      <c r="Z16" s="122">
        <v>14312000.01</v>
      </c>
      <c r="AA16" s="122">
        <v>1</v>
      </c>
      <c r="AB16" s="122">
        <v>110.8</v>
      </c>
      <c r="AC16" s="122"/>
      <c r="AD16" s="122">
        <v>15857.69601</v>
      </c>
      <c r="AE16" s="120"/>
      <c r="AF16" s="120"/>
      <c r="AG16" s="120"/>
      <c r="AH16" s="123">
        <v>5.5149999999999999E-3</v>
      </c>
      <c r="AI16" s="123">
        <v>1.7489999999999999E-2</v>
      </c>
      <c r="AJ16" s="123">
        <v>2.6600000000000001E-4</v>
      </c>
    </row>
    <row r="17" spans="1:36" ht="15" customHeight="1">
      <c r="A17" s="121">
        <v>313</v>
      </c>
      <c r="B17" s="121">
        <v>313</v>
      </c>
      <c r="C17" s="120" t="s">
        <v>1287</v>
      </c>
      <c r="D17" s="121">
        <v>520032046</v>
      </c>
      <c r="E17" s="120" t="s">
        <v>308</v>
      </c>
      <c r="F17" s="120" t="s">
        <v>1329</v>
      </c>
      <c r="G17" s="121" t="s">
        <v>1330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1215</v>
      </c>
      <c r="Q17" s="120" t="s">
        <v>412</v>
      </c>
      <c r="R17" s="120" t="s">
        <v>406</v>
      </c>
      <c r="S17" s="120" t="s">
        <v>1217</v>
      </c>
      <c r="T17" s="122">
        <v>3.73</v>
      </c>
      <c r="U17" s="124">
        <v>48190</v>
      </c>
      <c r="V17" s="123">
        <v>1.6400000000000001E-2</v>
      </c>
      <c r="W17" s="123">
        <v>2.53E-2</v>
      </c>
      <c r="X17" s="120" t="s">
        <v>411</v>
      </c>
      <c r="Y17" s="120"/>
      <c r="Z17" s="122">
        <v>5200065</v>
      </c>
      <c r="AA17" s="122">
        <v>1</v>
      </c>
      <c r="AB17" s="122">
        <v>102.97</v>
      </c>
      <c r="AC17" s="122"/>
      <c r="AD17" s="122">
        <v>5354.5069299999996</v>
      </c>
      <c r="AE17" s="120"/>
      <c r="AF17" s="120"/>
      <c r="AG17" s="120"/>
      <c r="AH17" s="123">
        <v>4.8339999999999998E-3</v>
      </c>
      <c r="AI17" s="123">
        <v>5.9049999999999997E-3</v>
      </c>
      <c r="AJ17" s="123">
        <v>8.8999999999999995E-5</v>
      </c>
    </row>
    <row r="18" spans="1:36" ht="15" customHeight="1">
      <c r="A18" s="121">
        <v>313</v>
      </c>
      <c r="B18" s="121">
        <v>313</v>
      </c>
      <c r="C18" s="120" t="s">
        <v>1331</v>
      </c>
      <c r="D18" s="121">
        <v>514486042</v>
      </c>
      <c r="E18" s="120" t="s">
        <v>308</v>
      </c>
      <c r="F18" s="120" t="s">
        <v>1332</v>
      </c>
      <c r="G18" s="121" t="s">
        <v>1333</v>
      </c>
      <c r="H18" s="120" t="s">
        <v>320</v>
      </c>
      <c r="I18" s="120" t="s">
        <v>952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444</v>
      </c>
      <c r="O18" s="120" t="s">
        <v>338</v>
      </c>
      <c r="P18" s="120" t="s">
        <v>1334</v>
      </c>
      <c r="Q18" s="120" t="s">
        <v>414</v>
      </c>
      <c r="R18" s="120" t="s">
        <v>406</v>
      </c>
      <c r="S18" s="120" t="s">
        <v>1217</v>
      </c>
      <c r="T18" s="122">
        <v>1.38</v>
      </c>
      <c r="U18" s="124">
        <v>45976</v>
      </c>
      <c r="V18" s="123">
        <v>3.27E-2</v>
      </c>
      <c r="W18" s="123">
        <v>5.0099999999999999E-2</v>
      </c>
      <c r="X18" s="120" t="s">
        <v>410</v>
      </c>
      <c r="Y18" s="120"/>
      <c r="Z18" s="122">
        <v>7097000</v>
      </c>
      <c r="AA18" s="122">
        <v>1</v>
      </c>
      <c r="AB18" s="122">
        <v>98.16</v>
      </c>
      <c r="AC18" s="122"/>
      <c r="AD18" s="122">
        <v>6966.4152000000004</v>
      </c>
      <c r="AE18" s="120"/>
      <c r="AF18" s="120"/>
      <c r="AG18" s="120"/>
      <c r="AH18" s="123">
        <v>2.2487E-2</v>
      </c>
      <c r="AI18" s="123">
        <v>7.6829999999999997E-3</v>
      </c>
      <c r="AJ18" s="123">
        <v>1.16E-4</v>
      </c>
    </row>
    <row r="19" spans="1:36" ht="15" customHeight="1">
      <c r="A19" s="121">
        <v>313</v>
      </c>
      <c r="B19" s="121">
        <v>313</v>
      </c>
      <c r="C19" s="120" t="s">
        <v>1221</v>
      </c>
      <c r="D19" s="121">
        <v>520000118</v>
      </c>
      <c r="E19" s="120" t="s">
        <v>308</v>
      </c>
      <c r="F19" s="120" t="s">
        <v>1335</v>
      </c>
      <c r="G19" s="121" t="s">
        <v>1336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1215</v>
      </c>
      <c r="Q19" s="120" t="s">
        <v>412</v>
      </c>
      <c r="R19" s="120" t="s">
        <v>406</v>
      </c>
      <c r="S19" s="120" t="s">
        <v>1217</v>
      </c>
      <c r="T19" s="122">
        <v>3.81</v>
      </c>
      <c r="U19" s="124">
        <v>48191</v>
      </c>
      <c r="V19" s="123">
        <v>1E-3</v>
      </c>
      <c r="W19" s="123">
        <v>2.5399999999999999E-2</v>
      </c>
      <c r="X19" s="120" t="s">
        <v>411</v>
      </c>
      <c r="Y19" s="120"/>
      <c r="Z19" s="122">
        <v>16053315.199999999</v>
      </c>
      <c r="AA19" s="122">
        <v>1</v>
      </c>
      <c r="AB19" s="122">
        <v>100.97</v>
      </c>
      <c r="AC19" s="122"/>
      <c r="AD19" s="122">
        <v>16209.032359999999</v>
      </c>
      <c r="AE19" s="120"/>
      <c r="AF19" s="120"/>
      <c r="AG19" s="120"/>
      <c r="AH19" s="123">
        <v>1.4272E-2</v>
      </c>
      <c r="AI19" s="123">
        <v>1.7878000000000002E-2</v>
      </c>
      <c r="AJ19" s="123">
        <v>2.72E-4</v>
      </c>
    </row>
    <row r="20" spans="1:36" ht="15" customHeight="1">
      <c r="A20" s="121">
        <v>313</v>
      </c>
      <c r="B20" s="121">
        <v>313</v>
      </c>
      <c r="C20" s="120" t="s">
        <v>1337</v>
      </c>
      <c r="D20" s="121">
        <v>516269248</v>
      </c>
      <c r="E20" s="120" t="s">
        <v>308</v>
      </c>
      <c r="F20" s="120" t="s">
        <v>1338</v>
      </c>
      <c r="G20" s="121" t="s">
        <v>1339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484</v>
      </c>
      <c r="O20" s="120" t="s">
        <v>338</v>
      </c>
      <c r="P20" s="120" t="s">
        <v>1340</v>
      </c>
      <c r="Q20" s="120" t="s">
        <v>414</v>
      </c>
      <c r="R20" s="120" t="s">
        <v>406</v>
      </c>
      <c r="S20" s="120" t="s">
        <v>1217</v>
      </c>
      <c r="T20" s="122">
        <v>3.69</v>
      </c>
      <c r="U20" s="124">
        <v>48121</v>
      </c>
      <c r="V20" s="123">
        <v>1.7999999999999999E-2</v>
      </c>
      <c r="W20" s="123">
        <v>3.5799999999999998E-2</v>
      </c>
      <c r="X20" s="120" t="s">
        <v>411</v>
      </c>
      <c r="Y20" s="120"/>
      <c r="Z20" s="122">
        <v>21651647.870000001</v>
      </c>
      <c r="AA20" s="122">
        <v>1</v>
      </c>
      <c r="AB20" s="122">
        <v>106.94</v>
      </c>
      <c r="AC20" s="122"/>
      <c r="AD20" s="122">
        <v>23154.272229999999</v>
      </c>
      <c r="AE20" s="120"/>
      <c r="AF20" s="120"/>
      <c r="AG20" s="120"/>
      <c r="AH20" s="123">
        <v>2.1760999999999999E-2</v>
      </c>
      <c r="AI20" s="123">
        <v>2.5538000000000002E-2</v>
      </c>
      <c r="AJ20" s="123">
        <v>3.88E-4</v>
      </c>
    </row>
    <row r="21" spans="1:36" ht="15" customHeight="1">
      <c r="A21" s="121">
        <v>313</v>
      </c>
      <c r="B21" s="121">
        <v>313</v>
      </c>
      <c r="C21" s="120" t="s">
        <v>1287</v>
      </c>
      <c r="D21" s="121">
        <v>520032046</v>
      </c>
      <c r="E21" s="120" t="s">
        <v>308</v>
      </c>
      <c r="F21" s="120" t="s">
        <v>1341</v>
      </c>
      <c r="G21" s="121" t="s">
        <v>1342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1215</v>
      </c>
      <c r="Q21" s="120" t="s">
        <v>412</v>
      </c>
      <c r="R21" s="120" t="s">
        <v>406</v>
      </c>
      <c r="S21" s="120" t="s">
        <v>1217</v>
      </c>
      <c r="T21" s="122">
        <v>3.17</v>
      </c>
      <c r="U21" s="124">
        <v>46658</v>
      </c>
      <c r="V21" s="123">
        <v>1.2200000000000001E-2</v>
      </c>
      <c r="W21" s="123">
        <v>2.41E-2</v>
      </c>
      <c r="X21" s="120" t="s">
        <v>411</v>
      </c>
      <c r="Y21" s="120"/>
      <c r="Z21" s="122">
        <v>13789687</v>
      </c>
      <c r="AA21" s="122">
        <v>1</v>
      </c>
      <c r="AB21" s="122">
        <v>111.52</v>
      </c>
      <c r="AC21" s="122"/>
      <c r="AD21" s="122">
        <v>15378.25894</v>
      </c>
      <c r="AE21" s="120"/>
      <c r="AF21" s="120"/>
      <c r="AG21" s="120"/>
      <c r="AH21" s="123">
        <v>4.5719999999999997E-3</v>
      </c>
      <c r="AI21" s="123">
        <v>1.6962000000000001E-2</v>
      </c>
      <c r="AJ21" s="123">
        <v>2.5799999999999998E-4</v>
      </c>
    </row>
    <row r="22" spans="1:36" ht="15" customHeight="1">
      <c r="A22" s="121">
        <v>313</v>
      </c>
      <c r="B22" s="121">
        <v>313</v>
      </c>
      <c r="C22" s="120" t="s">
        <v>1307</v>
      </c>
      <c r="D22" s="121">
        <v>520029935</v>
      </c>
      <c r="E22" s="120" t="s">
        <v>308</v>
      </c>
      <c r="F22" s="120" t="s">
        <v>1343</v>
      </c>
      <c r="G22" s="121" t="s">
        <v>1344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1215</v>
      </c>
      <c r="Q22" s="120" t="s">
        <v>412</v>
      </c>
      <c r="R22" s="120" t="s">
        <v>406</v>
      </c>
      <c r="S22" s="120" t="s">
        <v>1217</v>
      </c>
      <c r="T22" s="122">
        <v>3.96</v>
      </c>
      <c r="U22" s="124">
        <v>48441</v>
      </c>
      <c r="V22" s="123">
        <v>2E-3</v>
      </c>
      <c r="W22" s="123">
        <v>2.58E-2</v>
      </c>
      <c r="X22" s="120" t="s">
        <v>411</v>
      </c>
      <c r="Y22" s="120"/>
      <c r="Z22" s="122">
        <v>37773325.390000001</v>
      </c>
      <c r="AA22" s="122">
        <v>1</v>
      </c>
      <c r="AB22" s="122">
        <v>100.85</v>
      </c>
      <c r="AC22" s="122"/>
      <c r="AD22" s="122">
        <v>38094.398659999999</v>
      </c>
      <c r="AE22" s="120"/>
      <c r="AF22" s="120"/>
      <c r="AG22" s="120"/>
      <c r="AH22" s="123">
        <v>9.7769999999999992E-3</v>
      </c>
      <c r="AI22" s="123">
        <v>4.2016999999999999E-2</v>
      </c>
      <c r="AJ22" s="123">
        <v>6.3900000000000003E-4</v>
      </c>
    </row>
    <row r="23" spans="1:36" ht="15" customHeight="1">
      <c r="A23" s="121">
        <v>313</v>
      </c>
      <c r="B23" s="121">
        <v>313</v>
      </c>
      <c r="C23" s="120" t="s">
        <v>1304</v>
      </c>
      <c r="D23" s="121">
        <v>520010869</v>
      </c>
      <c r="E23" s="120" t="s">
        <v>308</v>
      </c>
      <c r="F23" s="120" t="s">
        <v>1345</v>
      </c>
      <c r="G23" s="121" t="s">
        <v>1346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476</v>
      </c>
      <c r="O23" s="120" t="s">
        <v>338</v>
      </c>
      <c r="P23" s="120" t="s">
        <v>1293</v>
      </c>
      <c r="Q23" s="120" t="s">
        <v>311</v>
      </c>
      <c r="R23" s="120" t="s">
        <v>406</v>
      </c>
      <c r="S23" s="120" t="s">
        <v>1217</v>
      </c>
      <c r="T23" s="122">
        <v>11.71</v>
      </c>
      <c r="U23" s="124">
        <v>56249</v>
      </c>
      <c r="V23" s="123">
        <v>2.07E-2</v>
      </c>
      <c r="W23" s="123">
        <v>3.2599999999999997E-2</v>
      </c>
      <c r="X23" s="120" t="s">
        <v>411</v>
      </c>
      <c r="Y23" s="120"/>
      <c r="Z23" s="122">
        <v>100667970.53</v>
      </c>
      <c r="AA23" s="122">
        <v>1</v>
      </c>
      <c r="AB23" s="122">
        <v>97.32</v>
      </c>
      <c r="AC23" s="122"/>
      <c r="AD23" s="122">
        <v>97970.068920000005</v>
      </c>
      <c r="AE23" s="120"/>
      <c r="AF23" s="120"/>
      <c r="AG23" s="120"/>
      <c r="AH23" s="123">
        <v>2.2107000000000002E-2</v>
      </c>
      <c r="AI23" s="123">
        <v>0.108059</v>
      </c>
      <c r="AJ23" s="123">
        <v>1.6440000000000001E-3</v>
      </c>
    </row>
    <row r="24" spans="1:36" ht="15" customHeight="1">
      <c r="A24" s="121">
        <v>313</v>
      </c>
      <c r="B24" s="121">
        <v>313</v>
      </c>
      <c r="C24" s="120" t="s">
        <v>1221</v>
      </c>
      <c r="D24" s="121">
        <v>520000118</v>
      </c>
      <c r="E24" s="120" t="s">
        <v>308</v>
      </c>
      <c r="F24" s="120" t="s">
        <v>1347</v>
      </c>
      <c r="G24" s="121" t="s">
        <v>1348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1215</v>
      </c>
      <c r="Q24" s="120" t="s">
        <v>412</v>
      </c>
      <c r="R24" s="120" t="s">
        <v>406</v>
      </c>
      <c r="S24" s="120" t="s">
        <v>1217</v>
      </c>
      <c r="T24" s="122">
        <v>4.16</v>
      </c>
      <c r="U24" s="124">
        <v>48547</v>
      </c>
      <c r="V24" s="123">
        <v>1.3899999999999999E-2</v>
      </c>
      <c r="W24" s="123">
        <v>2.5100000000000001E-2</v>
      </c>
      <c r="X24" s="120" t="s">
        <v>411</v>
      </c>
      <c r="Y24" s="120"/>
      <c r="Z24" s="122">
        <v>1314900</v>
      </c>
      <c r="AA24" s="122">
        <v>1</v>
      </c>
      <c r="AB24" s="122">
        <v>101.46</v>
      </c>
      <c r="AC24" s="122"/>
      <c r="AD24" s="122">
        <v>1334.09754</v>
      </c>
      <c r="AE24" s="120"/>
      <c r="AF24" s="120"/>
      <c r="AG24" s="120"/>
      <c r="AH24" s="123">
        <v>7.2999999999999996E-4</v>
      </c>
      <c r="AI24" s="123">
        <v>1.4710000000000001E-3</v>
      </c>
      <c r="AJ24" s="123">
        <v>2.1999999999999999E-5</v>
      </c>
    </row>
    <row r="25" spans="1:36" ht="15" customHeight="1">
      <c r="A25" s="121">
        <v>313</v>
      </c>
      <c r="B25" s="121">
        <v>313</v>
      </c>
      <c r="C25" s="120" t="s">
        <v>1287</v>
      </c>
      <c r="D25" s="121">
        <v>520032046</v>
      </c>
      <c r="E25" s="120" t="s">
        <v>308</v>
      </c>
      <c r="F25" s="120" t="s">
        <v>1349</v>
      </c>
      <c r="G25" s="121" t="s">
        <v>1350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1215</v>
      </c>
      <c r="Q25" s="120" t="s">
        <v>412</v>
      </c>
      <c r="R25" s="120" t="s">
        <v>406</v>
      </c>
      <c r="S25" s="120" t="s">
        <v>1217</v>
      </c>
      <c r="T25" s="122">
        <v>4.63</v>
      </c>
      <c r="U25" s="124">
        <v>48938</v>
      </c>
      <c r="V25" s="123">
        <v>1.9900000000000001E-2</v>
      </c>
      <c r="W25" s="123">
        <v>2.58E-2</v>
      </c>
      <c r="X25" s="120" t="s">
        <v>411</v>
      </c>
      <c r="Y25" s="120"/>
      <c r="Z25" s="122">
        <v>21200000</v>
      </c>
      <c r="AA25" s="122">
        <v>1</v>
      </c>
      <c r="AB25" s="122">
        <v>100.23</v>
      </c>
      <c r="AC25" s="122"/>
      <c r="AD25" s="122">
        <v>21248.76</v>
      </c>
      <c r="AE25" s="120"/>
      <c r="AF25" s="120"/>
      <c r="AG25" s="120"/>
      <c r="AH25" s="123">
        <v>7.8510000000000003E-3</v>
      </c>
      <c r="AI25" s="123">
        <v>2.3436999999999999E-2</v>
      </c>
      <c r="AJ25" s="123">
        <v>3.5599999999999998E-4</v>
      </c>
    </row>
    <row r="26" spans="1:36" ht="15" customHeight="1">
      <c r="A26" s="121">
        <v>313</v>
      </c>
      <c r="B26" s="121">
        <v>313</v>
      </c>
      <c r="C26" s="120" t="s">
        <v>1322</v>
      </c>
      <c r="D26" s="121">
        <v>520018078</v>
      </c>
      <c r="E26" s="120" t="s">
        <v>308</v>
      </c>
      <c r="F26" s="120" t="s">
        <v>1351</v>
      </c>
      <c r="G26" s="121" t="s">
        <v>1352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1211</v>
      </c>
      <c r="Q26" s="120" t="s">
        <v>414</v>
      </c>
      <c r="R26" s="120" t="s">
        <v>406</v>
      </c>
      <c r="S26" s="120" t="s">
        <v>1217</v>
      </c>
      <c r="T26" s="122">
        <v>1.99</v>
      </c>
      <c r="U26" s="124">
        <v>46203</v>
      </c>
      <c r="V26" s="123">
        <v>8.3000000000000001E-3</v>
      </c>
      <c r="W26" s="123">
        <v>2.1000000000000001E-2</v>
      </c>
      <c r="X26" s="120" t="s">
        <v>411</v>
      </c>
      <c r="Y26" s="120"/>
      <c r="Z26" s="122">
        <v>15500000</v>
      </c>
      <c r="AA26" s="122">
        <v>1</v>
      </c>
      <c r="AB26" s="122">
        <v>110.75</v>
      </c>
      <c r="AC26" s="122"/>
      <c r="AD26" s="122">
        <v>17166.25</v>
      </c>
      <c r="AE26" s="120"/>
      <c r="AF26" s="120"/>
      <c r="AG26" s="120"/>
      <c r="AH26" s="123">
        <v>1.0191E-2</v>
      </c>
      <c r="AI26" s="123">
        <v>1.8933999999999999E-2</v>
      </c>
      <c r="AJ26" s="123">
        <v>2.8800000000000001E-4</v>
      </c>
    </row>
    <row r="27" spans="1:36" ht="15" customHeight="1">
      <c r="A27" s="121">
        <v>313</v>
      </c>
      <c r="B27" s="121">
        <v>313</v>
      </c>
      <c r="C27" s="120" t="s">
        <v>1325</v>
      </c>
      <c r="D27" s="121">
        <v>510960719</v>
      </c>
      <c r="E27" s="120" t="s">
        <v>308</v>
      </c>
      <c r="F27" s="120" t="s">
        <v>1353</v>
      </c>
      <c r="G27" s="121" t="s">
        <v>1354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1328</v>
      </c>
      <c r="Q27" s="120" t="s">
        <v>414</v>
      </c>
      <c r="R27" s="120" t="s">
        <v>406</v>
      </c>
      <c r="S27" s="120" t="s">
        <v>1217</v>
      </c>
      <c r="T27" s="122">
        <v>3.14</v>
      </c>
      <c r="U27" s="124">
        <v>47669</v>
      </c>
      <c r="V27" s="123">
        <v>1.34E-2</v>
      </c>
      <c r="W27" s="123">
        <v>2.7799999999999998E-2</v>
      </c>
      <c r="X27" s="120" t="s">
        <v>411</v>
      </c>
      <c r="Y27" s="120"/>
      <c r="Z27" s="122">
        <v>1078183.42</v>
      </c>
      <c r="AA27" s="122">
        <v>1</v>
      </c>
      <c r="AB27" s="122">
        <v>110</v>
      </c>
      <c r="AC27" s="122">
        <v>112.33833</v>
      </c>
      <c r="AD27" s="122">
        <v>1298.3400899999999</v>
      </c>
      <c r="AE27" s="120"/>
      <c r="AF27" s="120"/>
      <c r="AG27" s="120"/>
      <c r="AH27" s="123">
        <v>4.06E-4</v>
      </c>
      <c r="AI27" s="123">
        <v>1.4300000000000001E-3</v>
      </c>
      <c r="AJ27" s="123">
        <v>2.0000000000000002E-5</v>
      </c>
    </row>
    <row r="28" spans="1:36" ht="15" customHeight="1">
      <c r="A28" s="121">
        <v>313</v>
      </c>
      <c r="B28" s="121">
        <v>313</v>
      </c>
      <c r="C28" s="120" t="s">
        <v>1221</v>
      </c>
      <c r="D28" s="121">
        <v>520000118</v>
      </c>
      <c r="E28" s="120" t="s">
        <v>308</v>
      </c>
      <c r="F28" s="120" t="s">
        <v>1355</v>
      </c>
      <c r="G28" s="121" t="s">
        <v>1356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1215</v>
      </c>
      <c r="Q28" s="120" t="s">
        <v>412</v>
      </c>
      <c r="R28" s="120" t="s">
        <v>406</v>
      </c>
      <c r="S28" s="120" t="s">
        <v>1217</v>
      </c>
      <c r="T28" s="122">
        <v>2.29</v>
      </c>
      <c r="U28" s="124">
        <v>46872</v>
      </c>
      <c r="V28" s="123">
        <v>6.0000000000000001E-3</v>
      </c>
      <c r="W28" s="123">
        <v>2.1600000000000001E-2</v>
      </c>
      <c r="X28" s="120" t="s">
        <v>411</v>
      </c>
      <c r="Y28" s="120"/>
      <c r="Z28" s="122">
        <v>16576031.02</v>
      </c>
      <c r="AA28" s="122">
        <v>1</v>
      </c>
      <c r="AB28" s="122">
        <v>110.68</v>
      </c>
      <c r="AC28" s="122"/>
      <c r="AD28" s="122">
        <v>18346.351129999999</v>
      </c>
      <c r="AE28" s="120"/>
      <c r="AF28" s="120"/>
      <c r="AG28" s="120"/>
      <c r="AH28" s="123">
        <v>1.8631000000000002E-2</v>
      </c>
      <c r="AI28" s="123">
        <v>2.0235E-2</v>
      </c>
      <c r="AJ28" s="123">
        <v>3.0699999999999998E-4</v>
      </c>
    </row>
    <row r="29" spans="1:36" ht="15" customHeight="1">
      <c r="A29" s="121">
        <v>313</v>
      </c>
      <c r="B29" s="121">
        <v>313</v>
      </c>
      <c r="C29" s="120" t="s">
        <v>1221</v>
      </c>
      <c r="D29" s="121">
        <v>520000118</v>
      </c>
      <c r="E29" s="120" t="s">
        <v>308</v>
      </c>
      <c r="F29" s="120" t="s">
        <v>1357</v>
      </c>
      <c r="G29" s="121" t="s">
        <v>1358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1359</v>
      </c>
      <c r="Q29" s="120" t="s">
        <v>412</v>
      </c>
      <c r="R29" s="120" t="s">
        <v>406</v>
      </c>
      <c r="S29" s="120" t="s">
        <v>1217</v>
      </c>
      <c r="T29" s="122">
        <v>4.12</v>
      </c>
      <c r="U29" s="124">
        <v>47086</v>
      </c>
      <c r="V29" s="123">
        <v>3.09E-2</v>
      </c>
      <c r="W29" s="123">
        <v>3.27E-2</v>
      </c>
      <c r="X29" s="120" t="s">
        <v>410</v>
      </c>
      <c r="Y29" s="120"/>
      <c r="Z29" s="122">
        <v>8300000</v>
      </c>
      <c r="AA29" s="122">
        <v>1</v>
      </c>
      <c r="AB29" s="122">
        <v>106.53</v>
      </c>
      <c r="AC29" s="122"/>
      <c r="AD29" s="122">
        <v>8841.99</v>
      </c>
      <c r="AE29" s="120"/>
      <c r="AF29" s="120"/>
      <c r="AG29" s="120"/>
      <c r="AH29" s="123">
        <v>8.7360000000000007E-3</v>
      </c>
      <c r="AI29" s="123">
        <v>9.7520000000000003E-3</v>
      </c>
      <c r="AJ29" s="123">
        <v>1.4799999999999999E-4</v>
      </c>
    </row>
    <row r="30" spans="1:36" ht="15" customHeight="1">
      <c r="A30" s="121">
        <v>313</v>
      </c>
      <c r="B30" s="121">
        <v>313</v>
      </c>
      <c r="C30" s="120" t="s">
        <v>1221</v>
      </c>
      <c r="D30" s="121">
        <v>520000118</v>
      </c>
      <c r="E30" s="120" t="s">
        <v>308</v>
      </c>
      <c r="F30" s="120" t="s">
        <v>1360</v>
      </c>
      <c r="G30" s="121" t="s">
        <v>1361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1359</v>
      </c>
      <c r="Q30" s="120" t="s">
        <v>412</v>
      </c>
      <c r="R30" s="120" t="s">
        <v>406</v>
      </c>
      <c r="S30" s="120" t="s">
        <v>1217</v>
      </c>
      <c r="T30" s="122">
        <v>2.04</v>
      </c>
      <c r="U30" s="124">
        <v>46251</v>
      </c>
      <c r="V30" s="123">
        <v>2.9700000000000001E-2</v>
      </c>
      <c r="W30" s="123">
        <v>2.6499999999999999E-2</v>
      </c>
      <c r="X30" s="120" t="s">
        <v>410</v>
      </c>
      <c r="Y30" s="120"/>
      <c r="Z30" s="122">
        <v>8450000</v>
      </c>
      <c r="AA30" s="122">
        <v>1</v>
      </c>
      <c r="AB30" s="122">
        <v>117.2</v>
      </c>
      <c r="AC30" s="122"/>
      <c r="AD30" s="122">
        <v>9903.4</v>
      </c>
      <c r="AE30" s="120"/>
      <c r="AF30" s="120"/>
      <c r="AG30" s="120"/>
      <c r="AH30" s="123">
        <v>1.2071E-2</v>
      </c>
      <c r="AI30" s="123">
        <v>1.0923E-2</v>
      </c>
      <c r="AJ30" s="123">
        <v>1.66E-4</v>
      </c>
    </row>
    <row r="31" spans="1:36" ht="15" customHeight="1">
      <c r="A31" s="121">
        <v>313</v>
      </c>
      <c r="B31" s="121">
        <v>313</v>
      </c>
      <c r="C31" s="120" t="s">
        <v>1287</v>
      </c>
      <c r="D31" s="121">
        <v>520032046</v>
      </c>
      <c r="E31" s="120" t="s">
        <v>308</v>
      </c>
      <c r="F31" s="120" t="s">
        <v>1362</v>
      </c>
      <c r="G31" s="121" t="s">
        <v>1363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1215</v>
      </c>
      <c r="Q31" s="120" t="s">
        <v>412</v>
      </c>
      <c r="R31" s="120" t="s">
        <v>406</v>
      </c>
      <c r="S31" s="120" t="s">
        <v>1217</v>
      </c>
      <c r="T31" s="122">
        <v>3.68</v>
      </c>
      <c r="U31" s="124">
        <v>47950</v>
      </c>
      <c r="V31" s="123">
        <v>1E-3</v>
      </c>
      <c r="W31" s="123">
        <v>2.53E-2</v>
      </c>
      <c r="X31" s="120" t="s">
        <v>411</v>
      </c>
      <c r="Y31" s="120"/>
      <c r="Z31" s="122">
        <v>11838116.01</v>
      </c>
      <c r="AA31" s="122">
        <v>1</v>
      </c>
      <c r="AB31" s="122">
        <v>100.22</v>
      </c>
      <c r="AC31" s="122"/>
      <c r="AD31" s="122">
        <v>11864.15987</v>
      </c>
      <c r="AE31" s="120"/>
      <c r="AF31" s="120"/>
      <c r="AG31" s="120"/>
      <c r="AH31" s="123">
        <v>4.5469999999999998E-3</v>
      </c>
      <c r="AI31" s="123">
        <v>1.3086E-2</v>
      </c>
      <c r="AJ31" s="123">
        <v>1.9900000000000001E-4</v>
      </c>
    </row>
    <row r="32" spans="1:36" ht="15" customHeight="1">
      <c r="A32" s="121">
        <v>313</v>
      </c>
      <c r="B32" s="121">
        <v>313</v>
      </c>
      <c r="C32" s="120" t="s">
        <v>1290</v>
      </c>
      <c r="D32" s="121">
        <v>520000472</v>
      </c>
      <c r="E32" s="120" t="s">
        <v>308</v>
      </c>
      <c r="F32" s="120" t="s">
        <v>1364</v>
      </c>
      <c r="G32" s="121" t="s">
        <v>1365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439</v>
      </c>
      <c r="O32" s="120" t="s">
        <v>338</v>
      </c>
      <c r="P32" s="120" t="s">
        <v>1293</v>
      </c>
      <c r="Q32" s="120" t="s">
        <v>311</v>
      </c>
      <c r="R32" s="120" t="s">
        <v>406</v>
      </c>
      <c r="S32" s="120" t="s">
        <v>1217</v>
      </c>
      <c r="T32" s="122">
        <v>11.01</v>
      </c>
      <c r="U32" s="124">
        <v>49825</v>
      </c>
      <c r="V32" s="123">
        <v>1.2500000000000001E-2</v>
      </c>
      <c r="W32" s="123">
        <v>3.5299999999999998E-2</v>
      </c>
      <c r="X32" s="120" t="s">
        <v>411</v>
      </c>
      <c r="Y32" s="120"/>
      <c r="Z32" s="122">
        <v>1890000</v>
      </c>
      <c r="AA32" s="122">
        <v>1</v>
      </c>
      <c r="AB32" s="122">
        <v>87.53</v>
      </c>
      <c r="AC32" s="122"/>
      <c r="AD32" s="122">
        <v>1654.317</v>
      </c>
      <c r="AE32" s="120"/>
      <c r="AF32" s="120"/>
      <c r="AG32" s="120"/>
      <c r="AH32" s="123">
        <v>4.4000000000000002E-4</v>
      </c>
      <c r="AI32" s="123">
        <v>1.8240000000000001E-3</v>
      </c>
      <c r="AJ32" s="123">
        <v>2.6999999999999999E-5</v>
      </c>
    </row>
    <row r="33" spans="1:36" ht="15" customHeight="1">
      <c r="A33" s="121">
        <v>313</v>
      </c>
      <c r="B33" s="121">
        <v>313</v>
      </c>
      <c r="C33" s="120" t="s">
        <v>1312</v>
      </c>
      <c r="D33" s="121">
        <v>513893123</v>
      </c>
      <c r="E33" s="120" t="s">
        <v>308</v>
      </c>
      <c r="F33" s="120" t="s">
        <v>1366</v>
      </c>
      <c r="G33" s="121" t="s">
        <v>1314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442</v>
      </c>
      <c r="O33" s="120" t="s">
        <v>338</v>
      </c>
      <c r="P33" s="120" t="s">
        <v>1315</v>
      </c>
      <c r="Q33" s="120" t="s">
        <v>414</v>
      </c>
      <c r="R33" s="120" t="s">
        <v>406</v>
      </c>
      <c r="S33" s="120" t="s">
        <v>1217</v>
      </c>
      <c r="T33" s="122">
        <v>1.87</v>
      </c>
      <c r="U33" s="124">
        <v>46477</v>
      </c>
      <c r="V33" s="123">
        <v>3.5400000000000001E-2</v>
      </c>
      <c r="W33" s="123">
        <v>7.0199999999999999E-2</v>
      </c>
      <c r="X33" s="120" t="s">
        <v>411</v>
      </c>
      <c r="Y33" s="120"/>
      <c r="Z33" s="122">
        <v>-16362.5</v>
      </c>
      <c r="AA33" s="122">
        <v>1</v>
      </c>
      <c r="AB33" s="122">
        <v>100</v>
      </c>
      <c r="AC33" s="122"/>
      <c r="AD33" s="122">
        <v>-16.362500000000001</v>
      </c>
      <c r="AE33" s="120"/>
      <c r="AF33" s="120"/>
      <c r="AG33" s="120"/>
      <c r="AH33" s="123">
        <v>-1.4E-5</v>
      </c>
      <c r="AI33" s="123">
        <v>-1.8E-5</v>
      </c>
      <c r="AJ33" s="123">
        <v>0</v>
      </c>
    </row>
    <row r="34" spans="1:36" ht="15" customHeight="1">
      <c r="A34" s="121">
        <v>313</v>
      </c>
      <c r="B34" s="121">
        <v>313</v>
      </c>
      <c r="C34" s="120" t="s">
        <v>1367</v>
      </c>
      <c r="D34" s="121">
        <v>513436394</v>
      </c>
      <c r="E34" s="120" t="s">
        <v>308</v>
      </c>
      <c r="F34" s="120" t="s">
        <v>1368</v>
      </c>
      <c r="G34" s="121" t="s">
        <v>1369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476</v>
      </c>
      <c r="O34" s="120" t="s">
        <v>338</v>
      </c>
      <c r="P34" s="120" t="s">
        <v>1328</v>
      </c>
      <c r="Q34" s="120" t="s">
        <v>414</v>
      </c>
      <c r="R34" s="120" t="s">
        <v>406</v>
      </c>
      <c r="S34" s="120" t="s">
        <v>1217</v>
      </c>
      <c r="T34" s="122">
        <v>5.72</v>
      </c>
      <c r="U34" s="124">
        <v>48760</v>
      </c>
      <c r="V34" s="123">
        <v>2.9499999999999998E-2</v>
      </c>
      <c r="W34" s="123">
        <v>2.81E-2</v>
      </c>
      <c r="X34" s="120" t="s">
        <v>411</v>
      </c>
      <c r="Y34" s="120"/>
      <c r="Z34" s="122">
        <v>59789915.82</v>
      </c>
      <c r="AA34" s="122">
        <v>1</v>
      </c>
      <c r="AB34" s="122">
        <v>113.29</v>
      </c>
      <c r="AC34" s="122"/>
      <c r="AD34" s="122">
        <v>67735.995630000005</v>
      </c>
      <c r="AE34" s="120"/>
      <c r="AF34" s="120"/>
      <c r="AG34" s="120"/>
      <c r="AH34" s="123">
        <v>4.0627000000000003E-2</v>
      </c>
      <c r="AI34" s="123">
        <v>7.4712000000000001E-2</v>
      </c>
      <c r="AJ34" s="123">
        <v>1.1360000000000001E-3</v>
      </c>
    </row>
    <row r="35" spans="1:36" ht="15" customHeight="1">
      <c r="A35" s="121">
        <v>313</v>
      </c>
      <c r="B35" s="121">
        <v>313</v>
      </c>
      <c r="C35" s="120" t="s">
        <v>1322</v>
      </c>
      <c r="D35" s="121">
        <v>520018078</v>
      </c>
      <c r="E35" s="120" t="s">
        <v>308</v>
      </c>
      <c r="F35" s="120" t="s">
        <v>1370</v>
      </c>
      <c r="G35" s="121" t="s">
        <v>1371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1215</v>
      </c>
      <c r="Q35" s="120" t="s">
        <v>412</v>
      </c>
      <c r="R35" s="120" t="s">
        <v>406</v>
      </c>
      <c r="S35" s="120" t="s">
        <v>1217</v>
      </c>
      <c r="T35" s="122">
        <v>5.3</v>
      </c>
      <c r="U35" s="124">
        <v>48913</v>
      </c>
      <c r="V35" s="123">
        <v>2.0199999999999999E-2</v>
      </c>
      <c r="W35" s="123">
        <v>2.5899999999999999E-2</v>
      </c>
      <c r="X35" s="120" t="s">
        <v>411</v>
      </c>
      <c r="Y35" s="120"/>
      <c r="Z35" s="122">
        <v>21200000</v>
      </c>
      <c r="AA35" s="122">
        <v>1</v>
      </c>
      <c r="AB35" s="122">
        <v>99.13</v>
      </c>
      <c r="AC35" s="122"/>
      <c r="AD35" s="122">
        <v>21015.56</v>
      </c>
      <c r="AE35" s="120"/>
      <c r="AF35" s="120"/>
      <c r="AG35" s="120"/>
      <c r="AH35" s="123">
        <v>9.9869999999999994E-3</v>
      </c>
      <c r="AI35" s="123">
        <v>2.3179000000000002E-2</v>
      </c>
      <c r="AJ35" s="123">
        <v>3.5199999999999999E-4</v>
      </c>
    </row>
    <row r="36" spans="1:36" ht="15" customHeight="1">
      <c r="A36" s="121">
        <v>313</v>
      </c>
      <c r="B36" s="121">
        <v>313</v>
      </c>
      <c r="C36" s="120" t="s">
        <v>1294</v>
      </c>
      <c r="D36" s="121">
        <v>513834200</v>
      </c>
      <c r="E36" s="120" t="s">
        <v>308</v>
      </c>
      <c r="F36" s="120" t="s">
        <v>1372</v>
      </c>
      <c r="G36" s="121" t="s">
        <v>1373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444</v>
      </c>
      <c r="O36" s="120" t="s">
        <v>338</v>
      </c>
      <c r="P36" s="120" t="s">
        <v>1297</v>
      </c>
      <c r="Q36" s="120" t="s">
        <v>414</v>
      </c>
      <c r="R36" s="120" t="s">
        <v>406</v>
      </c>
      <c r="S36" s="120" t="s">
        <v>1217</v>
      </c>
      <c r="T36" s="122">
        <v>1.48</v>
      </c>
      <c r="U36" s="124">
        <v>46022</v>
      </c>
      <c r="V36" s="123">
        <v>2.4E-2</v>
      </c>
      <c r="W36" s="123">
        <v>2.1299999999999999E-2</v>
      </c>
      <c r="X36" s="120" t="s">
        <v>410</v>
      </c>
      <c r="Y36" s="120"/>
      <c r="Z36" s="122">
        <v>14499067</v>
      </c>
      <c r="AA36" s="122">
        <v>1</v>
      </c>
      <c r="AB36" s="122">
        <v>113.99</v>
      </c>
      <c r="AC36" s="122"/>
      <c r="AD36" s="122">
        <v>16527.48647</v>
      </c>
      <c r="AE36" s="120"/>
      <c r="AF36" s="120"/>
      <c r="AG36" s="120"/>
      <c r="AH36" s="123">
        <v>4.9117000000000001E-2</v>
      </c>
      <c r="AI36" s="123">
        <v>1.8228999999999999E-2</v>
      </c>
      <c r="AJ36" s="123">
        <v>2.7700000000000001E-4</v>
      </c>
    </row>
    <row r="37" spans="1:36" ht="15" customHeight="1">
      <c r="A37" s="121">
        <v>313</v>
      </c>
      <c r="B37" s="121">
        <v>313</v>
      </c>
      <c r="C37" s="120" t="s">
        <v>1374</v>
      </c>
      <c r="D37" s="121">
        <v>513141879</v>
      </c>
      <c r="E37" s="120" t="s">
        <v>308</v>
      </c>
      <c r="F37" s="120" t="s">
        <v>1375</v>
      </c>
      <c r="G37" s="121" t="s">
        <v>1376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1215</v>
      </c>
      <c r="Q37" s="120" t="s">
        <v>412</v>
      </c>
      <c r="R37" s="120" t="s">
        <v>406</v>
      </c>
      <c r="S37" s="120" t="s">
        <v>1217</v>
      </c>
      <c r="T37" s="122">
        <v>1.19</v>
      </c>
      <c r="U37" s="124">
        <v>45910</v>
      </c>
      <c r="V37" s="123">
        <v>1E-3</v>
      </c>
      <c r="W37" s="123">
        <v>2.1999999999999999E-2</v>
      </c>
      <c r="X37" s="120" t="s">
        <v>411</v>
      </c>
      <c r="Y37" s="120"/>
      <c r="Z37" s="122">
        <v>10919000</v>
      </c>
      <c r="AA37" s="122">
        <v>1</v>
      </c>
      <c r="AB37" s="122">
        <v>110.18</v>
      </c>
      <c r="AC37" s="122"/>
      <c r="AD37" s="122">
        <v>12030.5542</v>
      </c>
      <c r="AE37" s="120"/>
      <c r="AF37" s="120"/>
      <c r="AG37" s="120"/>
      <c r="AH37" s="123">
        <v>7.2789999999999999E-3</v>
      </c>
      <c r="AI37" s="123">
        <v>1.3269E-2</v>
      </c>
      <c r="AJ37" s="123">
        <v>2.0100000000000001E-4</v>
      </c>
    </row>
    <row r="38" spans="1:36" ht="15" customHeight="1">
      <c r="A38" s="121">
        <v>313</v>
      </c>
      <c r="B38" s="121">
        <v>313</v>
      </c>
      <c r="C38" s="120" t="s">
        <v>1377</v>
      </c>
      <c r="D38" s="121">
        <v>514290345</v>
      </c>
      <c r="E38" s="120" t="s">
        <v>308</v>
      </c>
      <c r="F38" s="120" t="s">
        <v>1378</v>
      </c>
      <c r="G38" s="121" t="s">
        <v>1379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444</v>
      </c>
      <c r="O38" s="120" t="s">
        <v>338</v>
      </c>
      <c r="P38" s="120" t="s">
        <v>1297</v>
      </c>
      <c r="Q38" s="120" t="s">
        <v>414</v>
      </c>
      <c r="R38" s="120" t="s">
        <v>406</v>
      </c>
      <c r="S38" s="120" t="s">
        <v>1217</v>
      </c>
      <c r="T38" s="122">
        <v>2.2799999999999998</v>
      </c>
      <c r="U38" s="124">
        <v>46326</v>
      </c>
      <c r="V38" s="123">
        <v>2.2499999999999999E-2</v>
      </c>
      <c r="W38" s="123">
        <v>2.24E-2</v>
      </c>
      <c r="X38" s="120" t="s">
        <v>411</v>
      </c>
      <c r="Y38" s="120"/>
      <c r="Z38" s="122">
        <v>20034881</v>
      </c>
      <c r="AA38" s="122">
        <v>1</v>
      </c>
      <c r="AB38" s="122">
        <v>115.51</v>
      </c>
      <c r="AC38" s="122"/>
      <c r="AD38" s="122">
        <v>23142.29104</v>
      </c>
      <c r="AE38" s="120"/>
      <c r="AF38" s="120"/>
      <c r="AG38" s="120"/>
      <c r="AH38" s="123">
        <v>4.8971000000000001E-2</v>
      </c>
      <c r="AI38" s="123">
        <v>2.5524999999999999E-2</v>
      </c>
      <c r="AJ38" s="123">
        <v>3.88E-4</v>
      </c>
    </row>
    <row r="39" spans="1:36" ht="15" customHeight="1">
      <c r="A39" s="121">
        <v>313</v>
      </c>
      <c r="B39" s="121">
        <v>313</v>
      </c>
      <c r="C39" s="120" t="s">
        <v>1287</v>
      </c>
      <c r="D39" s="121">
        <v>520032046</v>
      </c>
      <c r="E39" s="120" t="s">
        <v>308</v>
      </c>
      <c r="F39" s="120" t="s">
        <v>1380</v>
      </c>
      <c r="G39" s="121" t="s">
        <v>1381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1215</v>
      </c>
      <c r="Q39" s="120" t="s">
        <v>412</v>
      </c>
      <c r="R39" s="120" t="s">
        <v>406</v>
      </c>
      <c r="S39" s="120" t="s">
        <v>1217</v>
      </c>
      <c r="T39" s="122">
        <v>4.66</v>
      </c>
      <c r="U39" s="124">
        <v>48742</v>
      </c>
      <c r="V39" s="123">
        <v>2.06E-2</v>
      </c>
      <c r="W39" s="123">
        <v>2.58E-2</v>
      </c>
      <c r="X39" s="120" t="s">
        <v>411</v>
      </c>
      <c r="Y39" s="120"/>
      <c r="Z39" s="122">
        <v>16650000</v>
      </c>
      <c r="AA39" s="122">
        <v>1</v>
      </c>
      <c r="AB39" s="122">
        <v>100.67</v>
      </c>
      <c r="AC39" s="122"/>
      <c r="AD39" s="122">
        <v>16761.555</v>
      </c>
      <c r="AE39" s="120"/>
      <c r="AF39" s="120"/>
      <c r="AG39" s="120"/>
      <c r="AH39" s="123">
        <v>9.2490000000000003E-3</v>
      </c>
      <c r="AI39" s="123">
        <v>1.8487E-2</v>
      </c>
      <c r="AJ39" s="123">
        <v>2.81E-4</v>
      </c>
    </row>
    <row r="40" spans="1:36" ht="15" customHeight="1">
      <c r="A40" s="121">
        <v>313</v>
      </c>
      <c r="B40" s="121">
        <v>313</v>
      </c>
      <c r="C40" s="120" t="s">
        <v>1290</v>
      </c>
      <c r="D40" s="121">
        <v>520000472</v>
      </c>
      <c r="E40" s="120" t="s">
        <v>308</v>
      </c>
      <c r="F40" s="120" t="s">
        <v>1382</v>
      </c>
      <c r="G40" s="121" t="s">
        <v>1383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439</v>
      </c>
      <c r="O40" s="120" t="s">
        <v>338</v>
      </c>
      <c r="P40" s="120" t="s">
        <v>1293</v>
      </c>
      <c r="Q40" s="120" t="s">
        <v>311</v>
      </c>
      <c r="R40" s="120" t="s">
        <v>406</v>
      </c>
      <c r="S40" s="120" t="s">
        <v>1217</v>
      </c>
      <c r="T40" s="122">
        <v>3.63</v>
      </c>
      <c r="U40" s="124">
        <v>47220</v>
      </c>
      <c r="V40" s="123">
        <v>3.85E-2</v>
      </c>
      <c r="W40" s="123">
        <v>2.4899999999999999E-2</v>
      </c>
      <c r="X40" s="120" t="s">
        <v>411</v>
      </c>
      <c r="Y40" s="120"/>
      <c r="Z40" s="122">
        <v>48861565.109999999</v>
      </c>
      <c r="AA40" s="122">
        <v>1</v>
      </c>
      <c r="AB40" s="122">
        <v>121.05</v>
      </c>
      <c r="AC40" s="122"/>
      <c r="AD40" s="122">
        <v>59146.924570000003</v>
      </c>
      <c r="AE40" s="120"/>
      <c r="AF40" s="120"/>
      <c r="AG40" s="120"/>
      <c r="AH40" s="123">
        <v>1.9123999999999999E-2</v>
      </c>
      <c r="AI40" s="123">
        <v>6.5238000000000004E-2</v>
      </c>
      <c r="AJ40" s="123">
        <v>9.9200000000000004E-4</v>
      </c>
    </row>
    <row r="41" spans="1:36" ht="15" customHeight="1">
      <c r="A41" s="121">
        <v>313</v>
      </c>
      <c r="B41" s="121">
        <v>313</v>
      </c>
      <c r="C41" s="120" t="s">
        <v>1287</v>
      </c>
      <c r="D41" s="121">
        <v>520032046</v>
      </c>
      <c r="E41" s="120" t="s">
        <v>308</v>
      </c>
      <c r="F41" s="120" t="s">
        <v>1384</v>
      </c>
      <c r="G41" s="121" t="s">
        <v>1385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447</v>
      </c>
      <c r="O41" s="120" t="s">
        <v>338</v>
      </c>
      <c r="P41" s="120" t="s">
        <v>1215</v>
      </c>
      <c r="Q41" s="120" t="s">
        <v>412</v>
      </c>
      <c r="R41" s="120" t="s">
        <v>406</v>
      </c>
      <c r="S41" s="120" t="s">
        <v>1217</v>
      </c>
      <c r="T41" s="122">
        <v>4.3</v>
      </c>
      <c r="U41" s="124">
        <v>47048</v>
      </c>
      <c r="V41" s="123">
        <v>1E-3</v>
      </c>
      <c r="W41" s="123">
        <v>2.5499999999999998E-2</v>
      </c>
      <c r="X41" s="120" t="s">
        <v>411</v>
      </c>
      <c r="Y41" s="120"/>
      <c r="Z41" s="122">
        <v>6620582</v>
      </c>
      <c r="AA41" s="122">
        <v>1</v>
      </c>
      <c r="AB41" s="122">
        <v>99.99</v>
      </c>
      <c r="AC41" s="122"/>
      <c r="AD41" s="122">
        <v>6619.9199399999998</v>
      </c>
      <c r="AE41" s="120"/>
      <c r="AF41" s="120"/>
      <c r="AG41" s="120"/>
      <c r="AH41" s="123">
        <v>1.9599999999999999E-3</v>
      </c>
      <c r="AI41" s="123">
        <v>7.3010000000000002E-3</v>
      </c>
      <c r="AJ41" s="123">
        <v>1.11E-4</v>
      </c>
    </row>
    <row r="42" spans="1:36" ht="15" customHeight="1">
      <c r="A42" s="121">
        <v>313</v>
      </c>
      <c r="B42" s="121">
        <v>313</v>
      </c>
      <c r="C42" s="120" t="s">
        <v>1287</v>
      </c>
      <c r="D42" s="121">
        <v>520032046</v>
      </c>
      <c r="E42" s="120" t="s">
        <v>308</v>
      </c>
      <c r="F42" s="120" t="s">
        <v>1386</v>
      </c>
      <c r="G42" s="121" t="s">
        <v>1387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447</v>
      </c>
      <c r="O42" s="120" t="s">
        <v>338</v>
      </c>
      <c r="P42" s="120" t="s">
        <v>1215</v>
      </c>
      <c r="Q42" s="120" t="s">
        <v>412</v>
      </c>
      <c r="R42" s="120" t="s">
        <v>406</v>
      </c>
      <c r="S42" s="120" t="s">
        <v>1217</v>
      </c>
      <c r="T42" s="122">
        <v>5.97</v>
      </c>
      <c r="U42" s="124">
        <v>47665</v>
      </c>
      <c r="V42" s="123">
        <v>2E-3</v>
      </c>
      <c r="W42" s="123">
        <v>2.7300000000000001E-2</v>
      </c>
      <c r="X42" s="120" t="s">
        <v>411</v>
      </c>
      <c r="Y42" s="120"/>
      <c r="Z42" s="122">
        <v>587500</v>
      </c>
      <c r="AA42" s="122">
        <v>1</v>
      </c>
      <c r="AB42" s="122">
        <v>97.95</v>
      </c>
      <c r="AC42" s="122">
        <v>1.3353299999999999</v>
      </c>
      <c r="AD42" s="122">
        <v>576.79157999999995</v>
      </c>
      <c r="AE42" s="120"/>
      <c r="AF42" s="120"/>
      <c r="AG42" s="120"/>
      <c r="AH42" s="123">
        <v>6.1200000000000002E-4</v>
      </c>
      <c r="AI42" s="123">
        <v>6.3500000000000004E-4</v>
      </c>
      <c r="AJ42" s="123">
        <v>9.0000000000000002E-6</v>
      </c>
    </row>
    <row r="43" spans="1:36" ht="15" customHeight="1">
      <c r="A43" s="121">
        <v>313</v>
      </c>
      <c r="B43" s="121">
        <v>313</v>
      </c>
      <c r="C43" s="120" t="s">
        <v>1388</v>
      </c>
      <c r="D43" s="121" t="s">
        <v>1389</v>
      </c>
      <c r="E43" s="120" t="s">
        <v>312</v>
      </c>
      <c r="F43" s="120" t="s">
        <v>1390</v>
      </c>
      <c r="G43" s="121" t="s">
        <v>1391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313</v>
      </c>
      <c r="N43" s="120" t="s">
        <v>542</v>
      </c>
      <c r="O43" s="120" t="s">
        <v>338</v>
      </c>
      <c r="P43" s="120" t="s">
        <v>1392</v>
      </c>
      <c r="Q43" s="120" t="s">
        <v>430</v>
      </c>
      <c r="R43" s="120" t="s">
        <v>406</v>
      </c>
      <c r="S43" s="120" t="s">
        <v>1212</v>
      </c>
      <c r="T43" s="122">
        <v>7.26</v>
      </c>
      <c r="U43" s="124">
        <v>48714</v>
      </c>
      <c r="V43" s="123">
        <v>4.9500000000000002E-2</v>
      </c>
      <c r="W43" s="123">
        <v>4.9099999999999998E-2</v>
      </c>
      <c r="X43" s="120" t="s">
        <v>411</v>
      </c>
      <c r="Y43" s="120"/>
      <c r="Z43" s="122">
        <v>422000</v>
      </c>
      <c r="AA43" s="122">
        <v>3.7589999999999999</v>
      </c>
      <c r="AB43" s="122">
        <v>101.2957</v>
      </c>
      <c r="AC43" s="120"/>
      <c r="AD43" s="122">
        <v>1606.85166</v>
      </c>
      <c r="AE43" s="120"/>
      <c r="AF43" s="120"/>
      <c r="AG43" s="120"/>
      <c r="AH43" s="123">
        <v>2.41E-4</v>
      </c>
      <c r="AI43" s="123">
        <v>1.7719999999999999E-3</v>
      </c>
      <c r="AJ43" s="123">
        <v>2.5999999999999998E-5</v>
      </c>
    </row>
    <row r="44" spans="1:36" ht="15" customHeight="1">
      <c r="A44" s="121">
        <v>313</v>
      </c>
      <c r="B44" s="121">
        <v>313</v>
      </c>
      <c r="C44" s="120" t="s">
        <v>1393</v>
      </c>
      <c r="D44" s="121" t="s">
        <v>1394</v>
      </c>
      <c r="E44" s="120" t="s">
        <v>312</v>
      </c>
      <c r="F44" s="120" t="s">
        <v>1395</v>
      </c>
      <c r="G44" s="121" t="s">
        <v>1396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543</v>
      </c>
      <c r="O44" s="120" t="s">
        <v>338</v>
      </c>
      <c r="P44" s="120" t="s">
        <v>1397</v>
      </c>
      <c r="Q44" s="120" t="s">
        <v>430</v>
      </c>
      <c r="R44" s="120" t="s">
        <v>406</v>
      </c>
      <c r="S44" s="120" t="s">
        <v>1212</v>
      </c>
      <c r="T44" s="122">
        <v>6.32</v>
      </c>
      <c r="U44" s="124">
        <v>48014</v>
      </c>
      <c r="V44" s="123">
        <v>2.7E-2</v>
      </c>
      <c r="W44" s="123">
        <v>5.57E-2</v>
      </c>
      <c r="X44" s="120" t="s">
        <v>411</v>
      </c>
      <c r="Y44" s="120"/>
      <c r="Z44" s="122">
        <v>574000</v>
      </c>
      <c r="AA44" s="122">
        <v>3.7589999999999999</v>
      </c>
      <c r="AB44" s="122">
        <v>84.12</v>
      </c>
      <c r="AC44" s="120"/>
      <c r="AD44" s="122">
        <v>1815.02864</v>
      </c>
      <c r="AE44" s="120"/>
      <c r="AF44" s="120"/>
      <c r="AG44" s="120"/>
      <c r="AH44" s="123">
        <v>7.6499999999999995E-4</v>
      </c>
      <c r="AI44" s="123">
        <v>2.0010000000000002E-3</v>
      </c>
      <c r="AJ44" s="123">
        <v>3.0000000000000001E-5</v>
      </c>
    </row>
    <row r="45" spans="1:36" ht="15" customHeight="1">
      <c r="A45" s="121">
        <v>313</v>
      </c>
      <c r="B45" s="121">
        <v>313</v>
      </c>
      <c r="C45" s="120" t="s">
        <v>1398</v>
      </c>
      <c r="D45" s="121" t="s">
        <v>1399</v>
      </c>
      <c r="E45" s="120" t="s">
        <v>312</v>
      </c>
      <c r="F45" s="120" t="s">
        <v>1400</v>
      </c>
      <c r="G45" s="121" t="s">
        <v>1401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545</v>
      </c>
      <c r="O45" s="120" t="s">
        <v>338</v>
      </c>
      <c r="P45" s="120" t="s">
        <v>1402</v>
      </c>
      <c r="Q45" s="120" t="s">
        <v>430</v>
      </c>
      <c r="R45" s="120" t="s">
        <v>406</v>
      </c>
      <c r="S45" s="120" t="s">
        <v>1212</v>
      </c>
      <c r="T45" s="122">
        <v>6.02</v>
      </c>
      <c r="U45" s="124">
        <v>47827</v>
      </c>
      <c r="V45" s="123">
        <v>0.02</v>
      </c>
      <c r="W45" s="123">
        <v>5.6000000000000001E-2</v>
      </c>
      <c r="X45" s="120" t="s">
        <v>411</v>
      </c>
      <c r="Y45" s="120"/>
      <c r="Z45" s="122">
        <v>809000</v>
      </c>
      <c r="AA45" s="122">
        <v>3.7589999999999999</v>
      </c>
      <c r="AB45" s="122">
        <v>81.181600000000003</v>
      </c>
      <c r="AC45" s="120"/>
      <c r="AD45" s="122">
        <v>2468.7576199999999</v>
      </c>
      <c r="AE45" s="120"/>
      <c r="AF45" s="120"/>
      <c r="AG45" s="120"/>
      <c r="AH45" s="123">
        <v>2.0219999999999999E-3</v>
      </c>
      <c r="AI45" s="123">
        <v>2.7230000000000002E-3</v>
      </c>
      <c r="AJ45" s="123">
        <v>4.1E-5</v>
      </c>
    </row>
    <row r="46" spans="1:36" ht="15" customHeight="1">
      <c r="A46" s="121">
        <v>313</v>
      </c>
      <c r="B46" s="121">
        <v>313</v>
      </c>
      <c r="C46" s="120" t="s">
        <v>1403</v>
      </c>
      <c r="D46" s="121" t="s">
        <v>1404</v>
      </c>
      <c r="E46" s="120" t="s">
        <v>312</v>
      </c>
      <c r="F46" s="120" t="s">
        <v>1405</v>
      </c>
      <c r="G46" s="121" t="s">
        <v>1406</v>
      </c>
      <c r="H46" s="120" t="s">
        <v>320</v>
      </c>
      <c r="I46" s="120" t="s">
        <v>754</v>
      </c>
      <c r="J46" s="120" t="s">
        <v>204</v>
      </c>
      <c r="K46" s="120" t="s">
        <v>295</v>
      </c>
      <c r="L46" s="120" t="s">
        <v>324</v>
      </c>
      <c r="M46" s="120" t="s">
        <v>391</v>
      </c>
      <c r="N46" s="120" t="s">
        <v>543</v>
      </c>
      <c r="O46" s="120" t="s">
        <v>338</v>
      </c>
      <c r="P46" s="120" t="s">
        <v>1407</v>
      </c>
      <c r="Q46" s="120" t="s">
        <v>432</v>
      </c>
      <c r="R46" s="120" t="s">
        <v>406</v>
      </c>
      <c r="S46" s="120" t="s">
        <v>1212</v>
      </c>
      <c r="T46" s="122">
        <v>1.96</v>
      </c>
      <c r="U46" s="124">
        <v>46196</v>
      </c>
      <c r="V46" s="123">
        <v>1.4999999999999999E-2</v>
      </c>
      <c r="W46" s="123">
        <v>5.3999999999999999E-2</v>
      </c>
      <c r="X46" s="120" t="s">
        <v>411</v>
      </c>
      <c r="Y46" s="120"/>
      <c r="Z46" s="122">
        <v>895000</v>
      </c>
      <c r="AA46" s="122">
        <v>3.7589999999999999</v>
      </c>
      <c r="AB46" s="122">
        <v>92.918700000000001</v>
      </c>
      <c r="AC46" s="120"/>
      <c r="AD46" s="122">
        <v>3126.0684700000002</v>
      </c>
      <c r="AE46" s="120"/>
      <c r="AF46" s="120"/>
      <c r="AG46" s="120"/>
      <c r="AH46" s="123">
        <v>1.193E-3</v>
      </c>
      <c r="AI46" s="123">
        <v>3.4480000000000001E-3</v>
      </c>
      <c r="AJ46" s="123">
        <v>5.1999999999999997E-5</v>
      </c>
    </row>
    <row r="47" spans="1:36" ht="15" customHeight="1">
      <c r="A47" s="121">
        <v>313</v>
      </c>
      <c r="B47" s="121">
        <v>313</v>
      </c>
      <c r="C47" s="120" t="s">
        <v>1408</v>
      </c>
      <c r="D47" s="121" t="s">
        <v>1409</v>
      </c>
      <c r="E47" s="120" t="s">
        <v>312</v>
      </c>
      <c r="F47" s="120" t="s">
        <v>1410</v>
      </c>
      <c r="G47" s="121" t="s">
        <v>1411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509</v>
      </c>
      <c r="O47" s="120" t="s">
        <v>338</v>
      </c>
      <c r="P47" s="120" t="s">
        <v>1412</v>
      </c>
      <c r="Q47" s="120" t="s">
        <v>432</v>
      </c>
      <c r="R47" s="120" t="s">
        <v>406</v>
      </c>
      <c r="S47" s="120" t="s">
        <v>1212</v>
      </c>
      <c r="T47" s="122">
        <v>4.17</v>
      </c>
      <c r="U47" s="124">
        <v>47196</v>
      </c>
      <c r="V47" s="123">
        <v>5.3499999999999999E-2</v>
      </c>
      <c r="W47" s="123">
        <v>5.4300000000000001E-2</v>
      </c>
      <c r="X47" s="120" t="s">
        <v>411</v>
      </c>
      <c r="Y47" s="120"/>
      <c r="Z47" s="122">
        <v>282000</v>
      </c>
      <c r="AA47" s="122">
        <v>3.7589999999999999</v>
      </c>
      <c r="AB47" s="122">
        <v>101.4388</v>
      </c>
      <c r="AC47" s="120"/>
      <c r="AD47" s="122">
        <v>1075.2898299999999</v>
      </c>
      <c r="AE47" s="120"/>
      <c r="AF47" s="120"/>
      <c r="AG47" s="120"/>
      <c r="AH47" s="123">
        <v>5.6400000000000005E-4</v>
      </c>
      <c r="AI47" s="123">
        <v>1.186E-3</v>
      </c>
      <c r="AJ47" s="123">
        <v>1.8E-5</v>
      </c>
    </row>
    <row r="48" spans="1:36" ht="15" customHeight="1">
      <c r="A48" s="121">
        <v>313</v>
      </c>
      <c r="B48" s="121">
        <v>313</v>
      </c>
      <c r="C48" s="120" t="s">
        <v>1413</v>
      </c>
      <c r="D48" s="121" t="s">
        <v>1414</v>
      </c>
      <c r="E48" s="120" t="s">
        <v>312</v>
      </c>
      <c r="F48" s="120" t="s">
        <v>1415</v>
      </c>
      <c r="G48" s="121" t="s">
        <v>1416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485</v>
      </c>
      <c r="O48" s="120" t="s">
        <v>338</v>
      </c>
      <c r="P48" s="120" t="s">
        <v>1417</v>
      </c>
      <c r="Q48" s="120" t="s">
        <v>432</v>
      </c>
      <c r="R48" s="120" t="s">
        <v>406</v>
      </c>
      <c r="S48" s="120" t="s">
        <v>1212</v>
      </c>
      <c r="T48" s="122">
        <v>5.43</v>
      </c>
      <c r="U48" s="124">
        <v>47757</v>
      </c>
      <c r="V48" s="123">
        <v>4.4999999999999998E-2</v>
      </c>
      <c r="W48" s="123">
        <v>5.8500000000000003E-2</v>
      </c>
      <c r="X48" s="120" t="s">
        <v>411</v>
      </c>
      <c r="Y48" s="120"/>
      <c r="Z48" s="122">
        <v>239000</v>
      </c>
      <c r="AA48" s="122">
        <v>3.7589999999999999</v>
      </c>
      <c r="AB48" s="122">
        <v>94.491900000000001</v>
      </c>
      <c r="AC48" s="120"/>
      <c r="AD48" s="122">
        <v>848.91616999999997</v>
      </c>
      <c r="AE48" s="120"/>
      <c r="AF48" s="120"/>
      <c r="AG48" s="120"/>
      <c r="AH48" s="123">
        <v>7.36E-4</v>
      </c>
      <c r="AI48" s="123">
        <v>9.3599999999999998E-4</v>
      </c>
      <c r="AJ48" s="123">
        <v>1.4E-5</v>
      </c>
    </row>
    <row r="49" spans="1:36" ht="15" customHeight="1">
      <c r="A49" s="121">
        <v>313</v>
      </c>
      <c r="B49" s="121">
        <v>313</v>
      </c>
      <c r="C49" s="120" t="s">
        <v>1290</v>
      </c>
      <c r="D49" s="121">
        <v>520000472</v>
      </c>
      <c r="E49" s="120" t="s">
        <v>308</v>
      </c>
      <c r="F49" s="120" t="s">
        <v>1418</v>
      </c>
      <c r="G49" s="121" t="s">
        <v>1419</v>
      </c>
      <c r="H49" s="120" t="s">
        <v>320</v>
      </c>
      <c r="I49" s="120" t="s">
        <v>754</v>
      </c>
      <c r="J49" s="120" t="s">
        <v>204</v>
      </c>
      <c r="K49" s="120" t="s">
        <v>203</v>
      </c>
      <c r="L49" s="120" t="s">
        <v>324</v>
      </c>
      <c r="M49" s="120" t="s">
        <v>313</v>
      </c>
      <c r="N49" s="120" t="s">
        <v>553</v>
      </c>
      <c r="O49" s="120" t="s">
        <v>338</v>
      </c>
      <c r="P49" s="120" t="s">
        <v>1412</v>
      </c>
      <c r="Q49" s="120" t="s">
        <v>432</v>
      </c>
      <c r="R49" s="120" t="s">
        <v>406</v>
      </c>
      <c r="S49" s="120" t="s">
        <v>1212</v>
      </c>
      <c r="T49" s="122">
        <v>3.1</v>
      </c>
      <c r="U49" s="124">
        <v>46736</v>
      </c>
      <c r="V49" s="123">
        <v>7.7499999999999999E-2</v>
      </c>
      <c r="W49" s="123">
        <v>6.4799999999999996E-2</v>
      </c>
      <c r="X49" s="120" t="s">
        <v>411</v>
      </c>
      <c r="Y49" s="120"/>
      <c r="Z49" s="122">
        <v>14200000</v>
      </c>
      <c r="AA49" s="122">
        <v>3.7589999999999999</v>
      </c>
      <c r="AB49" s="122">
        <v>104.51900000000001</v>
      </c>
      <c r="AC49" s="120"/>
      <c r="AD49" s="122">
        <v>55789.942779999998</v>
      </c>
      <c r="AE49" s="120"/>
      <c r="AF49" s="120"/>
      <c r="AG49" s="120"/>
      <c r="AH49" s="123">
        <v>4.7333E-2</v>
      </c>
      <c r="AI49" s="123">
        <v>6.1534999999999999E-2</v>
      </c>
      <c r="AJ49" s="123">
        <v>9.3599999999999998E-4</v>
      </c>
    </row>
    <row r="50" spans="1:36" ht="15" customHeight="1">
      <c r="A50" s="121">
        <v>313</v>
      </c>
      <c r="B50" s="121">
        <v>313</v>
      </c>
      <c r="C50" s="120" t="s">
        <v>1420</v>
      </c>
      <c r="D50" s="121" t="s">
        <v>1421</v>
      </c>
      <c r="E50" s="120" t="s">
        <v>312</v>
      </c>
      <c r="F50" s="120" t="s">
        <v>1422</v>
      </c>
      <c r="G50" s="121" t="s">
        <v>1423</v>
      </c>
      <c r="H50" s="120" t="s">
        <v>320</v>
      </c>
      <c r="I50" s="120" t="s">
        <v>754</v>
      </c>
      <c r="J50" s="120" t="s">
        <v>204</v>
      </c>
      <c r="K50" s="120" t="s">
        <v>245</v>
      </c>
      <c r="L50" s="120" t="s">
        <v>324</v>
      </c>
      <c r="M50" s="120" t="s">
        <v>369</v>
      </c>
      <c r="N50" s="120" t="s">
        <v>568</v>
      </c>
      <c r="O50" s="120" t="s">
        <v>338</v>
      </c>
      <c r="P50" s="120" t="s">
        <v>1293</v>
      </c>
      <c r="Q50" s="120" t="s">
        <v>432</v>
      </c>
      <c r="R50" s="120" t="s">
        <v>406</v>
      </c>
      <c r="S50" s="120" t="s">
        <v>1212</v>
      </c>
      <c r="T50" s="122">
        <v>1.66</v>
      </c>
      <c r="U50" s="124">
        <v>46089</v>
      </c>
      <c r="V50" s="123">
        <v>2.1000000000000001E-2</v>
      </c>
      <c r="W50" s="123">
        <v>5.9299999999999999E-2</v>
      </c>
      <c r="X50" s="120" t="s">
        <v>410</v>
      </c>
      <c r="Y50" s="120"/>
      <c r="Z50" s="122">
        <v>468000</v>
      </c>
      <c r="AA50" s="122">
        <v>3.7589999999999999</v>
      </c>
      <c r="AB50" s="122">
        <v>94.198499999999996</v>
      </c>
      <c r="AC50" s="120"/>
      <c r="AD50" s="122">
        <v>1657.1513199999999</v>
      </c>
      <c r="AE50" s="120"/>
      <c r="AF50" s="120"/>
      <c r="AG50" s="120"/>
      <c r="AH50" s="123">
        <v>6.2399999999999999E-4</v>
      </c>
      <c r="AI50" s="123">
        <v>1.8270000000000001E-3</v>
      </c>
      <c r="AJ50" s="123">
        <v>2.6999999999999999E-5</v>
      </c>
    </row>
    <row r="51" spans="1:36" ht="15" customHeight="1">
      <c r="A51" s="121">
        <v>313</v>
      </c>
      <c r="B51" s="121">
        <v>313</v>
      </c>
      <c r="C51" s="120" t="s">
        <v>1424</v>
      </c>
      <c r="D51" s="121" t="s">
        <v>1425</v>
      </c>
      <c r="E51" s="120" t="s">
        <v>312</v>
      </c>
      <c r="F51" s="120" t="s">
        <v>1426</v>
      </c>
      <c r="G51" s="121" t="s">
        <v>1427</v>
      </c>
      <c r="H51" s="120" t="s">
        <v>320</v>
      </c>
      <c r="I51" s="120" t="s">
        <v>754</v>
      </c>
      <c r="J51" s="120" t="s">
        <v>204</v>
      </c>
      <c r="K51" s="120" t="s">
        <v>237</v>
      </c>
      <c r="L51" s="120" t="s">
        <v>324</v>
      </c>
      <c r="M51" s="120" t="s">
        <v>367</v>
      </c>
      <c r="N51" s="120" t="s">
        <v>548</v>
      </c>
      <c r="O51" s="120" t="s">
        <v>338</v>
      </c>
      <c r="P51" s="120" t="s">
        <v>1412</v>
      </c>
      <c r="Q51" s="120" t="s">
        <v>432</v>
      </c>
      <c r="R51" s="120" t="s">
        <v>406</v>
      </c>
      <c r="S51" s="120" t="s">
        <v>1212</v>
      </c>
      <c r="T51" s="122">
        <v>6.36</v>
      </c>
      <c r="U51" s="124">
        <v>48122</v>
      </c>
      <c r="V51" s="123">
        <v>3.2500000000000001E-2</v>
      </c>
      <c r="W51" s="123">
        <v>6.6299999999999998E-2</v>
      </c>
      <c r="X51" s="120" t="s">
        <v>411</v>
      </c>
      <c r="Y51" s="120"/>
      <c r="Z51" s="122">
        <v>952000</v>
      </c>
      <c r="AA51" s="122">
        <v>3.7589999999999999</v>
      </c>
      <c r="AB51" s="122">
        <v>82.113500000000002</v>
      </c>
      <c r="AC51" s="120"/>
      <c r="AD51" s="122">
        <v>2938.4874300000001</v>
      </c>
      <c r="AE51" s="120"/>
      <c r="AF51" s="120"/>
      <c r="AG51" s="120"/>
      <c r="AH51" s="123">
        <v>1.3600000000000001E-3</v>
      </c>
      <c r="AI51" s="123">
        <v>3.241E-3</v>
      </c>
      <c r="AJ51" s="123">
        <v>4.8999999999999998E-5</v>
      </c>
    </row>
    <row r="52" spans="1:36" ht="15" customHeight="1">
      <c r="A52" s="121">
        <v>313</v>
      </c>
      <c r="B52" s="121">
        <v>313</v>
      </c>
      <c r="C52" s="120" t="s">
        <v>1428</v>
      </c>
      <c r="D52" s="121" t="s">
        <v>1429</v>
      </c>
      <c r="E52" s="120" t="s">
        <v>312</v>
      </c>
      <c r="F52" s="120" t="s">
        <v>1430</v>
      </c>
      <c r="G52" s="121" t="s">
        <v>1431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509</v>
      </c>
      <c r="O52" s="120" t="s">
        <v>338</v>
      </c>
      <c r="P52" s="120" t="s">
        <v>1402</v>
      </c>
      <c r="Q52" s="120" t="s">
        <v>430</v>
      </c>
      <c r="R52" s="120" t="s">
        <v>406</v>
      </c>
      <c r="S52" s="120" t="s">
        <v>1212</v>
      </c>
      <c r="T52" s="122">
        <v>3.04</v>
      </c>
      <c r="U52" s="124">
        <v>46661</v>
      </c>
      <c r="V52" s="123">
        <v>4.2000000000000003E-2</v>
      </c>
      <c r="W52" s="123">
        <v>5.5199999999999999E-2</v>
      </c>
      <c r="X52" s="120" t="s">
        <v>411</v>
      </c>
      <c r="Y52" s="120"/>
      <c r="Z52" s="122">
        <v>598000</v>
      </c>
      <c r="AA52" s="122">
        <v>3.7589999999999999</v>
      </c>
      <c r="AB52" s="122">
        <v>97.341999999999999</v>
      </c>
      <c r="AC52" s="120"/>
      <c r="AD52" s="122">
        <v>2188.1333</v>
      </c>
      <c r="AE52" s="120"/>
      <c r="AF52" s="120"/>
      <c r="AG52" s="120"/>
      <c r="AH52" s="123">
        <v>7.9699999999999997E-4</v>
      </c>
      <c r="AI52" s="123">
        <v>2.4130000000000002E-3</v>
      </c>
      <c r="AJ52" s="123">
        <v>3.6000000000000001E-5</v>
      </c>
    </row>
    <row r="53" spans="1:36" ht="15" customHeight="1">
      <c r="A53" s="121">
        <v>313</v>
      </c>
      <c r="B53" s="121">
        <v>313</v>
      </c>
      <c r="C53" s="120" t="s">
        <v>1432</v>
      </c>
      <c r="D53" s="121" t="s">
        <v>1433</v>
      </c>
      <c r="E53" s="120" t="s">
        <v>312</v>
      </c>
      <c r="F53" s="120" t="s">
        <v>1434</v>
      </c>
      <c r="G53" s="121" t="s">
        <v>1435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527</v>
      </c>
      <c r="O53" s="120" t="s">
        <v>338</v>
      </c>
      <c r="P53" s="120" t="s">
        <v>1436</v>
      </c>
      <c r="Q53" s="120" t="s">
        <v>432</v>
      </c>
      <c r="R53" s="120" t="s">
        <v>406</v>
      </c>
      <c r="S53" s="120" t="s">
        <v>1212</v>
      </c>
      <c r="T53" s="122">
        <v>6.75</v>
      </c>
      <c r="U53" s="124">
        <v>48288</v>
      </c>
      <c r="V53" s="123">
        <v>3.0499999999999999E-2</v>
      </c>
      <c r="W53" s="123">
        <v>6.3100000000000003E-2</v>
      </c>
      <c r="X53" s="120" t="s">
        <v>411</v>
      </c>
      <c r="Y53" s="120"/>
      <c r="Z53" s="122">
        <v>792000</v>
      </c>
      <c r="AA53" s="122">
        <v>3.7589999999999999</v>
      </c>
      <c r="AB53" s="122">
        <v>81.720100000000002</v>
      </c>
      <c r="AC53" s="120"/>
      <c r="AD53" s="122">
        <v>2432.9119799999999</v>
      </c>
      <c r="AE53" s="120"/>
      <c r="AF53" s="120"/>
      <c r="AG53" s="120"/>
      <c r="AH53" s="123">
        <v>1.5839999999999999E-3</v>
      </c>
      <c r="AI53" s="123">
        <v>2.6830000000000001E-3</v>
      </c>
      <c r="AJ53" s="123">
        <v>4.0000000000000003E-5</v>
      </c>
    </row>
    <row r="54" spans="1:36" ht="15" customHeight="1">
      <c r="A54" s="121">
        <v>313</v>
      </c>
      <c r="B54" s="121">
        <v>313</v>
      </c>
      <c r="C54" s="120" t="s">
        <v>1437</v>
      </c>
      <c r="D54" s="121" t="s">
        <v>1438</v>
      </c>
      <c r="E54" s="120" t="s">
        <v>312</v>
      </c>
      <c r="F54" s="120" t="s">
        <v>1439</v>
      </c>
      <c r="G54" s="121" t="s">
        <v>1440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545</v>
      </c>
      <c r="O54" s="120" t="s">
        <v>338</v>
      </c>
      <c r="P54" s="120" t="s">
        <v>1397</v>
      </c>
      <c r="Q54" s="120" t="s">
        <v>430</v>
      </c>
      <c r="R54" s="120" t="s">
        <v>406</v>
      </c>
      <c r="S54" s="120" t="s">
        <v>1212</v>
      </c>
      <c r="T54" s="122">
        <v>7.16</v>
      </c>
      <c r="U54" s="124">
        <v>48837</v>
      </c>
      <c r="V54" s="123">
        <v>5.8749999999999997E-2</v>
      </c>
      <c r="W54" s="123">
        <v>5.5899999999999998E-2</v>
      </c>
      <c r="X54" s="120" t="s">
        <v>411</v>
      </c>
      <c r="Y54" s="120"/>
      <c r="Z54" s="122">
        <v>396000</v>
      </c>
      <c r="AA54" s="122">
        <v>3.7589999999999999</v>
      </c>
      <c r="AB54" s="122">
        <v>104.253</v>
      </c>
      <c r="AC54" s="120"/>
      <c r="AD54" s="122">
        <v>1551.8726300000001</v>
      </c>
      <c r="AE54" s="120"/>
      <c r="AF54" s="120"/>
      <c r="AG54" s="120"/>
      <c r="AH54" s="123">
        <v>4.4000000000000002E-4</v>
      </c>
      <c r="AI54" s="123">
        <v>1.7110000000000001E-3</v>
      </c>
      <c r="AJ54" s="123">
        <v>2.5999999999999998E-5</v>
      </c>
    </row>
    <row r="55" spans="1:36" ht="15" customHeight="1">
      <c r="A55" s="121">
        <v>313</v>
      </c>
      <c r="B55" s="121">
        <v>313</v>
      </c>
      <c r="C55" s="120" t="s">
        <v>1441</v>
      </c>
      <c r="D55" s="121" t="s">
        <v>1442</v>
      </c>
      <c r="E55" s="120" t="s">
        <v>312</v>
      </c>
      <c r="F55" s="120" t="s">
        <v>1443</v>
      </c>
      <c r="G55" s="121" t="s">
        <v>1444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515</v>
      </c>
      <c r="O55" s="120" t="s">
        <v>338</v>
      </c>
      <c r="P55" s="120" t="s">
        <v>1397</v>
      </c>
      <c r="Q55" s="120" t="s">
        <v>430</v>
      </c>
      <c r="R55" s="120" t="s">
        <v>406</v>
      </c>
      <c r="S55" s="120" t="s">
        <v>1212</v>
      </c>
      <c r="T55" s="122">
        <v>6.03</v>
      </c>
      <c r="U55" s="124">
        <v>47922</v>
      </c>
      <c r="V55" s="123">
        <v>2.9499999999999998E-2</v>
      </c>
      <c r="W55" s="123">
        <v>5.3999999999999999E-2</v>
      </c>
      <c r="X55" s="120" t="s">
        <v>411</v>
      </c>
      <c r="Y55" s="120"/>
      <c r="Z55" s="122">
        <v>955000</v>
      </c>
      <c r="AA55" s="122">
        <v>3.7589999999999999</v>
      </c>
      <c r="AB55" s="122">
        <v>87.598699999999994</v>
      </c>
      <c r="AC55" s="120"/>
      <c r="AD55" s="122">
        <v>3144.6575499999999</v>
      </c>
      <c r="AE55" s="120"/>
      <c r="AF55" s="120"/>
      <c r="AG55" s="120"/>
      <c r="AH55" s="123">
        <v>9.59E-4</v>
      </c>
      <c r="AI55" s="123">
        <v>3.4680000000000002E-3</v>
      </c>
      <c r="AJ55" s="123">
        <v>5.1999999999999997E-5</v>
      </c>
    </row>
    <row r="56" spans="1:36" ht="15" customHeight="1">
      <c r="A56" s="121">
        <v>313</v>
      </c>
      <c r="B56" s="121">
        <v>313</v>
      </c>
      <c r="C56" s="120" t="s">
        <v>1290</v>
      </c>
      <c r="D56" s="121">
        <v>520000472</v>
      </c>
      <c r="E56" s="120" t="s">
        <v>308</v>
      </c>
      <c r="F56" s="120" t="s">
        <v>1445</v>
      </c>
      <c r="G56" s="121" t="s">
        <v>1446</v>
      </c>
      <c r="H56" s="120" t="s">
        <v>320</v>
      </c>
      <c r="I56" s="120" t="s">
        <v>754</v>
      </c>
      <c r="J56" s="120" t="s">
        <v>204</v>
      </c>
      <c r="K56" s="120" t="s">
        <v>203</v>
      </c>
      <c r="L56" s="120" t="s">
        <v>324</v>
      </c>
      <c r="M56" s="120" t="s">
        <v>313</v>
      </c>
      <c r="N56" s="120" t="s">
        <v>553</v>
      </c>
      <c r="O56" s="120" t="s">
        <v>338</v>
      </c>
      <c r="P56" s="120" t="s">
        <v>1412</v>
      </c>
      <c r="Q56" s="120" t="s">
        <v>432</v>
      </c>
      <c r="R56" s="120" t="s">
        <v>406</v>
      </c>
      <c r="S56" s="120" t="s">
        <v>1212</v>
      </c>
      <c r="T56" s="122">
        <v>14.34</v>
      </c>
      <c r="U56" s="124">
        <v>71939</v>
      </c>
      <c r="V56" s="123">
        <v>8.1000000000000003E-2</v>
      </c>
      <c r="W56" s="123">
        <v>7.2700000000000001E-2</v>
      </c>
      <c r="X56" s="120" t="s">
        <v>411</v>
      </c>
      <c r="Y56" s="120"/>
      <c r="Z56" s="122">
        <v>2845000</v>
      </c>
      <c r="AA56" s="122">
        <v>3.7589999999999999</v>
      </c>
      <c r="AB56" s="122">
        <v>113.65</v>
      </c>
      <c r="AC56" s="120"/>
      <c r="AD56" s="122">
        <v>12154.134459999999</v>
      </c>
      <c r="AE56" s="120"/>
      <c r="AF56" s="120"/>
      <c r="AG56" s="120"/>
      <c r="AH56" s="123">
        <v>2.2759999999999999E-2</v>
      </c>
      <c r="AI56" s="123">
        <v>1.3405E-2</v>
      </c>
      <c r="AJ56" s="123">
        <v>2.03E-4</v>
      </c>
    </row>
    <row r="57" spans="1:36" ht="15" customHeight="1">
      <c r="A57" s="121">
        <v>313</v>
      </c>
      <c r="B57" s="121">
        <v>313</v>
      </c>
      <c r="C57" s="120" t="s">
        <v>1447</v>
      </c>
      <c r="D57" s="121" t="s">
        <v>1448</v>
      </c>
      <c r="E57" s="120" t="s">
        <v>312</v>
      </c>
      <c r="F57" s="120" t="s">
        <v>1449</v>
      </c>
      <c r="G57" s="121" t="s">
        <v>1450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485</v>
      </c>
      <c r="O57" s="120" t="s">
        <v>338</v>
      </c>
      <c r="P57" s="120" t="s">
        <v>1402</v>
      </c>
      <c r="Q57" s="120" t="s">
        <v>430</v>
      </c>
      <c r="R57" s="120" t="s">
        <v>406</v>
      </c>
      <c r="S57" s="120" t="s">
        <v>1212</v>
      </c>
      <c r="T57" s="122">
        <v>3.41</v>
      </c>
      <c r="U57" s="124">
        <v>46827</v>
      </c>
      <c r="V57" s="123">
        <v>4.4999999999999998E-2</v>
      </c>
      <c r="W57" s="123">
        <v>5.3699999999999998E-2</v>
      </c>
      <c r="X57" s="120" t="s">
        <v>411</v>
      </c>
      <c r="Y57" s="120"/>
      <c r="Z57" s="122">
        <v>637000</v>
      </c>
      <c r="AA57" s="122">
        <v>3.7589999999999999</v>
      </c>
      <c r="AB57" s="122">
        <v>98.635599999999997</v>
      </c>
      <c r="AC57" s="120"/>
      <c r="AD57" s="122">
        <v>2361.8126699999998</v>
      </c>
      <c r="AE57" s="120"/>
      <c r="AF57" s="120"/>
      <c r="AG57" s="120"/>
      <c r="AH57" s="123">
        <v>1.274E-3</v>
      </c>
      <c r="AI57" s="123">
        <v>2.6050000000000001E-3</v>
      </c>
      <c r="AJ57" s="123">
        <v>3.8999999999999999E-5</v>
      </c>
    </row>
    <row r="58" spans="1:36" ht="15" customHeight="1">
      <c r="A58" s="121">
        <v>313</v>
      </c>
      <c r="B58" s="121">
        <v>313</v>
      </c>
      <c r="C58" s="120" t="s">
        <v>1420</v>
      </c>
      <c r="D58" s="121" t="s">
        <v>1421</v>
      </c>
      <c r="E58" s="120" t="s">
        <v>312</v>
      </c>
      <c r="F58" s="120" t="s">
        <v>1451</v>
      </c>
      <c r="G58" s="121" t="s">
        <v>1452</v>
      </c>
      <c r="H58" s="120" t="s">
        <v>320</v>
      </c>
      <c r="I58" s="120" t="s">
        <v>754</v>
      </c>
      <c r="J58" s="120" t="s">
        <v>204</v>
      </c>
      <c r="K58" s="120" t="s">
        <v>245</v>
      </c>
      <c r="L58" s="120" t="s">
        <v>324</v>
      </c>
      <c r="M58" s="120" t="s">
        <v>369</v>
      </c>
      <c r="N58" s="120" t="s">
        <v>568</v>
      </c>
      <c r="O58" s="120" t="s">
        <v>338</v>
      </c>
      <c r="P58" s="120" t="s">
        <v>1293</v>
      </c>
      <c r="Q58" s="120" t="s">
        <v>432</v>
      </c>
      <c r="R58" s="120" t="s">
        <v>406</v>
      </c>
      <c r="S58" s="120" t="s">
        <v>1212</v>
      </c>
      <c r="T58" s="122">
        <v>3.54</v>
      </c>
      <c r="U58" s="124">
        <v>46820</v>
      </c>
      <c r="V58" s="123">
        <v>2.4E-2</v>
      </c>
      <c r="W58" s="123">
        <v>5.5399999999999998E-2</v>
      </c>
      <c r="X58" s="120" t="s">
        <v>410</v>
      </c>
      <c r="Y58" s="120"/>
      <c r="Z58" s="122">
        <v>1342000</v>
      </c>
      <c r="AA58" s="122">
        <v>3.7589999999999999</v>
      </c>
      <c r="AB58" s="122">
        <v>90.037000000000006</v>
      </c>
      <c r="AC58" s="120"/>
      <c r="AD58" s="122">
        <v>4541.9866899999997</v>
      </c>
      <c r="AE58" s="120"/>
      <c r="AF58" s="120"/>
      <c r="AG58" s="120"/>
      <c r="AH58" s="123">
        <v>1.789E-3</v>
      </c>
      <c r="AI58" s="123">
        <v>5.0090000000000004E-3</v>
      </c>
      <c r="AJ58" s="123">
        <v>7.6000000000000004E-5</v>
      </c>
    </row>
    <row r="59" spans="1:36" ht="15" customHeight="1">
      <c r="A59" s="121">
        <v>313</v>
      </c>
      <c r="B59" s="121">
        <v>313</v>
      </c>
      <c r="C59" s="120" t="s">
        <v>1453</v>
      </c>
      <c r="D59" s="121" t="s">
        <v>1454</v>
      </c>
      <c r="E59" s="120" t="s">
        <v>312</v>
      </c>
      <c r="F59" s="120" t="s">
        <v>1455</v>
      </c>
      <c r="G59" s="121" t="s">
        <v>1456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343</v>
      </c>
      <c r="N59" s="120" t="s">
        <v>553</v>
      </c>
      <c r="O59" s="120" t="s">
        <v>338</v>
      </c>
      <c r="P59" s="120" t="s">
        <v>1397</v>
      </c>
      <c r="Q59" s="120" t="s">
        <v>430</v>
      </c>
      <c r="R59" s="120" t="s">
        <v>406</v>
      </c>
      <c r="S59" s="120" t="s">
        <v>1212</v>
      </c>
      <c r="T59" s="122">
        <v>5.4</v>
      </c>
      <c r="U59" s="124">
        <v>47710</v>
      </c>
      <c r="V59" s="123">
        <v>3.875E-2</v>
      </c>
      <c r="W59" s="123">
        <v>5.6399999999999999E-2</v>
      </c>
      <c r="X59" s="120" t="s">
        <v>411</v>
      </c>
      <c r="Y59" s="120"/>
      <c r="Z59" s="122">
        <v>878000</v>
      </c>
      <c r="AA59" s="122">
        <v>3.7589999999999999</v>
      </c>
      <c r="AB59" s="122">
        <v>92.792400000000001</v>
      </c>
      <c r="AC59" s="120"/>
      <c r="AD59" s="122">
        <v>3062.52223</v>
      </c>
      <c r="AE59" s="120"/>
      <c r="AF59" s="120"/>
      <c r="AG59" s="120"/>
      <c r="AH59" s="123">
        <v>1.3500000000000001E-3</v>
      </c>
      <c r="AI59" s="123">
        <v>3.3769999999999998E-3</v>
      </c>
      <c r="AJ59" s="123">
        <v>5.1E-5</v>
      </c>
    </row>
    <row r="60" spans="1:36" ht="15" customHeight="1">
      <c r="A60" s="121">
        <v>313</v>
      </c>
      <c r="B60" s="121">
        <v>313</v>
      </c>
      <c r="C60" s="120" t="s">
        <v>1457</v>
      </c>
      <c r="D60" s="121" t="s">
        <v>1458</v>
      </c>
      <c r="E60" s="120" t="s">
        <v>312</v>
      </c>
      <c r="F60" s="120" t="s">
        <v>1459</v>
      </c>
      <c r="G60" s="121" t="s">
        <v>1460</v>
      </c>
      <c r="H60" s="120" t="s">
        <v>320</v>
      </c>
      <c r="I60" s="120" t="s">
        <v>754</v>
      </c>
      <c r="J60" s="120" t="s">
        <v>204</v>
      </c>
      <c r="K60" s="120" t="s">
        <v>267</v>
      </c>
      <c r="L60" s="120" t="s">
        <v>324</v>
      </c>
      <c r="M60" s="120" t="s">
        <v>369</v>
      </c>
      <c r="N60" s="120" t="s">
        <v>545</v>
      </c>
      <c r="O60" s="120" t="s">
        <v>338</v>
      </c>
      <c r="P60" s="120" t="s">
        <v>1436</v>
      </c>
      <c r="Q60" s="120" t="s">
        <v>432</v>
      </c>
      <c r="R60" s="120" t="s">
        <v>406</v>
      </c>
      <c r="S60" s="120" t="s">
        <v>1212</v>
      </c>
      <c r="T60" s="122">
        <v>5.68</v>
      </c>
      <c r="U60" s="124">
        <v>47789</v>
      </c>
      <c r="V60" s="123">
        <v>3.4209999999999997E-2</v>
      </c>
      <c r="W60" s="123">
        <v>5.62E-2</v>
      </c>
      <c r="X60" s="120" t="s">
        <v>411</v>
      </c>
      <c r="Y60" s="120"/>
      <c r="Z60" s="122">
        <v>857000</v>
      </c>
      <c r="AA60" s="122">
        <v>3.7589999999999999</v>
      </c>
      <c r="AB60" s="122">
        <v>89.310599999999994</v>
      </c>
      <c r="AC60" s="120"/>
      <c r="AD60" s="122">
        <v>2877.1079300000001</v>
      </c>
      <c r="AE60" s="120"/>
      <c r="AF60" s="120"/>
      <c r="AG60" s="120"/>
      <c r="AH60" s="123">
        <v>8.5700000000000001E-4</v>
      </c>
      <c r="AI60" s="123">
        <v>3.173E-3</v>
      </c>
      <c r="AJ60" s="123">
        <v>4.8000000000000001E-5</v>
      </c>
    </row>
    <row r="61" spans="1:36" ht="15" customHeight="1">
      <c r="A61" s="121">
        <v>313</v>
      </c>
      <c r="B61" s="121">
        <v>313</v>
      </c>
      <c r="C61" s="120" t="s">
        <v>1461</v>
      </c>
      <c r="D61" s="121" t="s">
        <v>1462</v>
      </c>
      <c r="E61" s="120" t="s">
        <v>312</v>
      </c>
      <c r="F61" s="120" t="s">
        <v>1463</v>
      </c>
      <c r="G61" s="121" t="s">
        <v>1464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343</v>
      </c>
      <c r="N61" s="120" t="s">
        <v>543</v>
      </c>
      <c r="O61" s="120" t="s">
        <v>338</v>
      </c>
      <c r="P61" s="120" t="s">
        <v>1417</v>
      </c>
      <c r="Q61" s="120" t="s">
        <v>432</v>
      </c>
      <c r="R61" s="120" t="s">
        <v>406</v>
      </c>
      <c r="S61" s="120" t="s">
        <v>1212</v>
      </c>
      <c r="T61" s="122">
        <v>7.22</v>
      </c>
      <c r="U61" s="124">
        <v>48995</v>
      </c>
      <c r="V61" s="123">
        <v>6.3500000000000001E-2</v>
      </c>
      <c r="W61" s="123">
        <v>6.2300000000000001E-2</v>
      </c>
      <c r="X61" s="120" t="s">
        <v>411</v>
      </c>
      <c r="Y61" s="120"/>
      <c r="Z61" s="122">
        <v>80000</v>
      </c>
      <c r="AA61" s="122">
        <v>3.7589999999999999</v>
      </c>
      <c r="AB61" s="122">
        <v>103.7728</v>
      </c>
      <c r="AC61" s="120"/>
      <c r="AD61" s="122">
        <v>312.06556</v>
      </c>
      <c r="AE61" s="120"/>
      <c r="AF61" s="120"/>
      <c r="AG61" s="120"/>
      <c r="AH61" s="123">
        <v>1.6000000000000001E-4</v>
      </c>
      <c r="AI61" s="123">
        <v>3.4400000000000001E-4</v>
      </c>
      <c r="AJ61" s="123">
        <v>5.0000000000000004E-6</v>
      </c>
    </row>
    <row r="62" spans="1:36" ht="15" customHeight="1">
      <c r="A62" s="121">
        <v>313</v>
      </c>
      <c r="B62" s="121">
        <v>313</v>
      </c>
      <c r="C62" s="120" t="s">
        <v>1465</v>
      </c>
      <c r="D62" s="121" t="s">
        <v>1466</v>
      </c>
      <c r="E62" s="120" t="s">
        <v>312</v>
      </c>
      <c r="F62" s="120" t="s">
        <v>1467</v>
      </c>
      <c r="G62" s="121" t="s">
        <v>1468</v>
      </c>
      <c r="H62" s="120" t="s">
        <v>320</v>
      </c>
      <c r="I62" s="120" t="s">
        <v>754</v>
      </c>
      <c r="J62" s="120" t="s">
        <v>204</v>
      </c>
      <c r="K62" s="120" t="s">
        <v>303</v>
      </c>
      <c r="L62" s="120" t="s">
        <v>324</v>
      </c>
      <c r="M62" s="120" t="s">
        <v>367</v>
      </c>
      <c r="N62" s="120" t="s">
        <v>490</v>
      </c>
      <c r="O62" s="120" t="s">
        <v>338</v>
      </c>
      <c r="P62" s="120" t="s">
        <v>1469</v>
      </c>
      <c r="Q62" s="120" t="s">
        <v>430</v>
      </c>
      <c r="R62" s="120" t="s">
        <v>406</v>
      </c>
      <c r="S62" s="120" t="s">
        <v>1212</v>
      </c>
      <c r="T62" s="122">
        <v>3.18</v>
      </c>
      <c r="U62" s="124">
        <v>46769</v>
      </c>
      <c r="V62" s="123">
        <v>5.7500000000000002E-2</v>
      </c>
      <c r="W62" s="123">
        <v>5.3800000000000001E-2</v>
      </c>
      <c r="X62" s="120" t="s">
        <v>411</v>
      </c>
      <c r="Y62" s="120"/>
      <c r="Z62" s="122">
        <v>562000</v>
      </c>
      <c r="AA62" s="122">
        <v>3.7589999999999999</v>
      </c>
      <c r="AB62" s="122">
        <v>103.9824</v>
      </c>
      <c r="AC62" s="120"/>
      <c r="AD62" s="122">
        <v>2196.68851</v>
      </c>
      <c r="AE62" s="120"/>
      <c r="AF62" s="120"/>
      <c r="AG62" s="120"/>
      <c r="AH62" s="123">
        <v>5.62E-4</v>
      </c>
      <c r="AI62" s="123">
        <v>2.4220000000000001E-3</v>
      </c>
      <c r="AJ62" s="123">
        <v>3.6000000000000001E-5</v>
      </c>
    </row>
    <row r="63" spans="1:36" ht="15" customHeight="1">
      <c r="A63" s="121">
        <v>313</v>
      </c>
      <c r="B63" s="121">
        <v>313</v>
      </c>
      <c r="C63" s="120" t="s">
        <v>1470</v>
      </c>
      <c r="D63" s="121" t="s">
        <v>1471</v>
      </c>
      <c r="E63" s="120" t="s">
        <v>312</v>
      </c>
      <c r="F63" s="120" t="s">
        <v>1472</v>
      </c>
      <c r="G63" s="121" t="s">
        <v>1473</v>
      </c>
      <c r="H63" s="120" t="s">
        <v>320</v>
      </c>
      <c r="I63" s="120" t="s">
        <v>754</v>
      </c>
      <c r="J63" s="120" t="s">
        <v>204</v>
      </c>
      <c r="K63" s="120" t="s">
        <v>250</v>
      </c>
      <c r="L63" s="120" t="s">
        <v>324</v>
      </c>
      <c r="M63" s="120" t="s">
        <v>391</v>
      </c>
      <c r="N63" s="120" t="s">
        <v>530</v>
      </c>
      <c r="O63" s="120" t="s">
        <v>338</v>
      </c>
      <c r="P63" s="120" t="s">
        <v>1402</v>
      </c>
      <c r="Q63" s="120" t="s">
        <v>430</v>
      </c>
      <c r="R63" s="120" t="s">
        <v>406</v>
      </c>
      <c r="S63" s="120" t="s">
        <v>1212</v>
      </c>
      <c r="T63" s="122">
        <v>2.39</v>
      </c>
      <c r="U63" s="124">
        <v>46364</v>
      </c>
      <c r="V63" s="123">
        <v>2.1430000000000001E-2</v>
      </c>
      <c r="W63" s="123">
        <v>5.5500000000000001E-2</v>
      </c>
      <c r="X63" s="120" t="s">
        <v>411</v>
      </c>
      <c r="Y63" s="120"/>
      <c r="Z63" s="122">
        <v>770000</v>
      </c>
      <c r="AA63" s="122">
        <v>3.7589999999999999</v>
      </c>
      <c r="AB63" s="122">
        <v>92.606099999999998</v>
      </c>
      <c r="AC63" s="120"/>
      <c r="AD63" s="122">
        <v>2680.4187400000001</v>
      </c>
      <c r="AE63" s="120"/>
      <c r="AF63" s="120"/>
      <c r="AG63" s="120"/>
      <c r="AH63" s="123">
        <v>1.5399999999999999E-3</v>
      </c>
      <c r="AI63" s="123">
        <v>2.9559999999999999E-3</v>
      </c>
      <c r="AJ63" s="123">
        <v>4.3999999999999999E-5</v>
      </c>
    </row>
    <row r="64" spans="1:36" ht="15" customHeight="1">
      <c r="A64" s="121">
        <v>313</v>
      </c>
      <c r="B64" s="121">
        <v>313</v>
      </c>
      <c r="C64" s="120" t="s">
        <v>1432</v>
      </c>
      <c r="D64" s="121" t="s">
        <v>1433</v>
      </c>
      <c r="E64" s="120" t="s">
        <v>312</v>
      </c>
      <c r="F64" s="120" t="s">
        <v>1474</v>
      </c>
      <c r="G64" s="121" t="s">
        <v>1475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324</v>
      </c>
      <c r="M64" s="120" t="s">
        <v>343</v>
      </c>
      <c r="N64" s="120" t="s">
        <v>527</v>
      </c>
      <c r="O64" s="120" t="s">
        <v>338</v>
      </c>
      <c r="P64" s="120" t="s">
        <v>1436</v>
      </c>
      <c r="Q64" s="120" t="s">
        <v>432</v>
      </c>
      <c r="R64" s="120" t="s">
        <v>406</v>
      </c>
      <c r="S64" s="120" t="s">
        <v>1212</v>
      </c>
      <c r="T64" s="122">
        <v>2.83</v>
      </c>
      <c r="U64" s="124">
        <v>46583</v>
      </c>
      <c r="V64" s="123">
        <v>4.1250000000000002E-2</v>
      </c>
      <c r="W64" s="123">
        <v>5.79E-2</v>
      </c>
      <c r="X64" s="120" t="s">
        <v>411</v>
      </c>
      <c r="Y64" s="120"/>
      <c r="Z64" s="122">
        <v>109000</v>
      </c>
      <c r="AA64" s="122">
        <v>3.7589999999999999</v>
      </c>
      <c r="AB64" s="122">
        <v>97.527299999999997</v>
      </c>
      <c r="AC64" s="120"/>
      <c r="AD64" s="122">
        <v>399.59958</v>
      </c>
      <c r="AE64" s="120"/>
      <c r="AF64" s="120"/>
      <c r="AG64" s="120"/>
      <c r="AH64" s="123">
        <v>2.7399999999999999E-4</v>
      </c>
      <c r="AI64" s="123">
        <v>4.4000000000000002E-4</v>
      </c>
      <c r="AJ64" s="123">
        <v>6.0000000000000002E-6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6"/>
  <sheetViews>
    <sheetView rightToLeft="1" topLeftCell="G40" workbookViewId="0">
      <selection activeCell="V68" sqref="V6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6.8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.375" bestFit="1" customWidth="1"/>
    <col min="24" max="24" width="11" bestFit="1" customWidth="1"/>
    <col min="25" max="25" width="9.62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1476</v>
      </c>
      <c r="D2" s="121">
        <v>511659401</v>
      </c>
      <c r="E2" s="120" t="s">
        <v>308</v>
      </c>
      <c r="F2" s="120" t="s">
        <v>1477</v>
      </c>
      <c r="G2" s="121" t="s">
        <v>1478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1217</v>
      </c>
      <c r="Q2" s="122">
        <v>210184.68</v>
      </c>
      <c r="R2" s="122">
        <v>1</v>
      </c>
      <c r="S2" s="122">
        <v>5317</v>
      </c>
      <c r="T2" s="122"/>
      <c r="U2" s="122">
        <v>11175.51944</v>
      </c>
      <c r="V2" s="123">
        <v>1.598E-3</v>
      </c>
      <c r="W2" s="123">
        <v>8.7250000000000001E-3</v>
      </c>
      <c r="X2" s="123">
        <v>1.8699999999999999E-4</v>
      </c>
    </row>
    <row r="3" spans="1:26" ht="15" customHeight="1">
      <c r="A3" s="121">
        <v>313</v>
      </c>
      <c r="B3" s="121">
        <v>313</v>
      </c>
      <c r="C3" s="120" t="s">
        <v>1479</v>
      </c>
      <c r="D3" s="121">
        <v>520013954</v>
      </c>
      <c r="E3" s="120" t="s">
        <v>308</v>
      </c>
      <c r="F3" s="120" t="s">
        <v>1479</v>
      </c>
      <c r="G3" s="121" t="s">
        <v>1480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466</v>
      </c>
      <c r="O3" s="120" t="s">
        <v>338</v>
      </c>
      <c r="P3" s="120" t="s">
        <v>1217</v>
      </c>
      <c r="Q3" s="122">
        <v>1447091</v>
      </c>
      <c r="R3" s="122">
        <v>1</v>
      </c>
      <c r="S3" s="122">
        <v>6120</v>
      </c>
      <c r="T3" s="122"/>
      <c r="U3" s="122">
        <v>88561.969200000007</v>
      </c>
      <c r="V3" s="123">
        <v>1.168E-3</v>
      </c>
      <c r="W3" s="123">
        <v>6.9143999999999997E-2</v>
      </c>
      <c r="X3" s="123">
        <v>1.4859999999999999E-3</v>
      </c>
    </row>
    <row r="4" spans="1:26" ht="15" customHeight="1">
      <c r="A4" s="121">
        <v>313</v>
      </c>
      <c r="B4" s="121">
        <v>313</v>
      </c>
      <c r="C4" s="120" t="s">
        <v>1481</v>
      </c>
      <c r="D4" s="121">
        <v>514892801</v>
      </c>
      <c r="E4" s="120" t="s">
        <v>308</v>
      </c>
      <c r="F4" s="120" t="s">
        <v>1481</v>
      </c>
      <c r="G4" s="121" t="s">
        <v>1482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462</v>
      </c>
      <c r="O4" s="120" t="s">
        <v>338</v>
      </c>
      <c r="P4" s="120" t="s">
        <v>1217</v>
      </c>
      <c r="Q4" s="122">
        <v>328296</v>
      </c>
      <c r="R4" s="122">
        <v>1</v>
      </c>
      <c r="S4" s="122">
        <v>1920</v>
      </c>
      <c r="T4" s="122"/>
      <c r="U4" s="122">
        <v>6303.2831999999999</v>
      </c>
      <c r="V4" s="123">
        <v>9.1799999999999998E-4</v>
      </c>
      <c r="W4" s="123">
        <v>4.921E-3</v>
      </c>
      <c r="X4" s="123">
        <v>1.05E-4</v>
      </c>
    </row>
    <row r="5" spans="1:26" ht="15" customHeight="1">
      <c r="A5" s="121">
        <v>313</v>
      </c>
      <c r="B5" s="121">
        <v>313</v>
      </c>
      <c r="C5" s="120" t="s">
        <v>1483</v>
      </c>
      <c r="D5" s="121">
        <v>513901371</v>
      </c>
      <c r="E5" s="120" t="s">
        <v>308</v>
      </c>
      <c r="F5" s="120" t="s">
        <v>1484</v>
      </c>
      <c r="G5" s="121" t="s">
        <v>1485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440</v>
      </c>
      <c r="O5" s="120" t="s">
        <v>338</v>
      </c>
      <c r="P5" s="120" t="s">
        <v>1217</v>
      </c>
      <c r="Q5" s="122">
        <v>616663</v>
      </c>
      <c r="R5" s="122">
        <v>1</v>
      </c>
      <c r="S5" s="122">
        <v>1395</v>
      </c>
      <c r="T5" s="122"/>
      <c r="U5" s="122">
        <v>8602.4488500000007</v>
      </c>
      <c r="V5" s="123">
        <v>1.122E-3</v>
      </c>
      <c r="W5" s="123">
        <v>6.7159999999999997E-3</v>
      </c>
      <c r="X5" s="123">
        <v>1.44E-4</v>
      </c>
    </row>
    <row r="6" spans="1:26" ht="15" customHeight="1">
      <c r="A6" s="121">
        <v>313</v>
      </c>
      <c r="B6" s="121">
        <v>313</v>
      </c>
      <c r="C6" s="120" t="s">
        <v>1486</v>
      </c>
      <c r="D6" s="121">
        <v>550013098</v>
      </c>
      <c r="E6" s="120" t="s">
        <v>308</v>
      </c>
      <c r="F6" s="120" t="s">
        <v>1487</v>
      </c>
      <c r="G6" s="121" t="s">
        <v>1488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453</v>
      </c>
      <c r="O6" s="120" t="s">
        <v>338</v>
      </c>
      <c r="P6" s="120" t="s">
        <v>1217</v>
      </c>
      <c r="Q6" s="122">
        <v>1858774</v>
      </c>
      <c r="R6" s="122">
        <v>1</v>
      </c>
      <c r="S6" s="122">
        <v>895.6</v>
      </c>
      <c r="T6" s="122"/>
      <c r="U6" s="122">
        <v>16647.179940000002</v>
      </c>
      <c r="V6" s="123">
        <v>1.583E-3</v>
      </c>
      <c r="W6" s="123">
        <v>1.2997E-2</v>
      </c>
      <c r="X6" s="123">
        <v>2.7900000000000001E-4</v>
      </c>
    </row>
    <row r="7" spans="1:26" ht="15" customHeight="1">
      <c r="A7" s="121">
        <v>313</v>
      </c>
      <c r="B7" s="121">
        <v>313</v>
      </c>
      <c r="C7" s="120" t="s">
        <v>1209</v>
      </c>
      <c r="D7" s="121">
        <v>520007030</v>
      </c>
      <c r="E7" s="120" t="s">
        <v>308</v>
      </c>
      <c r="F7" s="120" t="s">
        <v>1489</v>
      </c>
      <c r="G7" s="121" t="s">
        <v>1490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1217</v>
      </c>
      <c r="Q7" s="122">
        <v>4398695.8099999996</v>
      </c>
      <c r="R7" s="122">
        <v>1</v>
      </c>
      <c r="S7" s="122">
        <v>1909</v>
      </c>
      <c r="T7" s="122"/>
      <c r="U7" s="122">
        <v>83971.103010000006</v>
      </c>
      <c r="V7" s="123">
        <v>3.555E-3</v>
      </c>
      <c r="W7" s="123">
        <v>6.5559000000000006E-2</v>
      </c>
      <c r="X7" s="123">
        <v>1.4090000000000001E-3</v>
      </c>
    </row>
    <row r="8" spans="1:26" ht="15" customHeight="1">
      <c r="A8" s="121">
        <v>313</v>
      </c>
      <c r="B8" s="121">
        <v>313</v>
      </c>
      <c r="C8" s="120" t="s">
        <v>1491</v>
      </c>
      <c r="D8" s="121">
        <v>520041146</v>
      </c>
      <c r="E8" s="120" t="s">
        <v>308</v>
      </c>
      <c r="F8" s="120" t="s">
        <v>1491</v>
      </c>
      <c r="G8" s="121" t="s">
        <v>1492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440</v>
      </c>
      <c r="O8" s="120" t="s">
        <v>338</v>
      </c>
      <c r="P8" s="120" t="s">
        <v>1217</v>
      </c>
      <c r="Q8" s="122">
        <v>278167.7</v>
      </c>
      <c r="R8" s="122">
        <v>1</v>
      </c>
      <c r="S8" s="122">
        <v>5985</v>
      </c>
      <c r="T8" s="122"/>
      <c r="U8" s="122">
        <v>16648.33685</v>
      </c>
      <c r="V8" s="123">
        <v>2.3479999999999998E-3</v>
      </c>
      <c r="W8" s="123">
        <v>1.2997999999999999E-2</v>
      </c>
      <c r="X8" s="123">
        <v>2.7900000000000001E-4</v>
      </c>
    </row>
    <row r="9" spans="1:26" ht="15" customHeight="1">
      <c r="A9" s="121">
        <v>313</v>
      </c>
      <c r="B9" s="121">
        <v>313</v>
      </c>
      <c r="C9" s="120" t="s">
        <v>1493</v>
      </c>
      <c r="D9" s="121">
        <v>520031931</v>
      </c>
      <c r="E9" s="120" t="s">
        <v>308</v>
      </c>
      <c r="F9" s="120" t="s">
        <v>1494</v>
      </c>
      <c r="G9" s="121" t="s">
        <v>1495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483</v>
      </c>
      <c r="O9" s="120" t="s">
        <v>338</v>
      </c>
      <c r="P9" s="120" t="s">
        <v>1217</v>
      </c>
      <c r="Q9" s="122">
        <v>6174370</v>
      </c>
      <c r="R9" s="122">
        <v>1</v>
      </c>
      <c r="S9" s="122">
        <v>423.6</v>
      </c>
      <c r="T9" s="122"/>
      <c r="U9" s="122">
        <v>26154.63132</v>
      </c>
      <c r="V9" s="123">
        <v>2.2309999999999999E-3</v>
      </c>
      <c r="W9" s="123">
        <v>2.0420000000000001E-2</v>
      </c>
      <c r="X9" s="123">
        <v>4.3800000000000002E-4</v>
      </c>
    </row>
    <row r="10" spans="1:26" ht="15" customHeight="1">
      <c r="A10" s="121">
        <v>313</v>
      </c>
      <c r="B10" s="121">
        <v>313</v>
      </c>
      <c r="C10" s="120" t="s">
        <v>1325</v>
      </c>
      <c r="D10" s="121">
        <v>510960719</v>
      </c>
      <c r="E10" s="120" t="s">
        <v>308</v>
      </c>
      <c r="F10" s="120" t="s">
        <v>1496</v>
      </c>
      <c r="G10" s="121" t="s">
        <v>1497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1217</v>
      </c>
      <c r="Q10" s="122">
        <v>99862</v>
      </c>
      <c r="R10" s="122">
        <v>1</v>
      </c>
      <c r="S10" s="122">
        <v>22000</v>
      </c>
      <c r="T10" s="122"/>
      <c r="U10" s="122">
        <v>21969.64</v>
      </c>
      <c r="V10" s="123">
        <v>8.2299999999999995E-4</v>
      </c>
      <c r="W10" s="123">
        <v>1.7152000000000001E-2</v>
      </c>
      <c r="X10" s="123">
        <v>3.68E-4</v>
      </c>
    </row>
    <row r="11" spans="1:26" ht="15" customHeight="1">
      <c r="A11" s="121">
        <v>313</v>
      </c>
      <c r="B11" s="121">
        <v>313</v>
      </c>
      <c r="C11" s="120" t="s">
        <v>1498</v>
      </c>
      <c r="D11" s="121">
        <v>520044322</v>
      </c>
      <c r="E11" s="120" t="s">
        <v>308</v>
      </c>
      <c r="F11" s="120" t="s">
        <v>1499</v>
      </c>
      <c r="G11" s="121" t="s">
        <v>1500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453</v>
      </c>
      <c r="O11" s="120" t="s">
        <v>338</v>
      </c>
      <c r="P11" s="120" t="s">
        <v>1217</v>
      </c>
      <c r="Q11" s="122">
        <v>25112</v>
      </c>
      <c r="R11" s="122">
        <v>1</v>
      </c>
      <c r="S11" s="122">
        <v>39520</v>
      </c>
      <c r="T11" s="122"/>
      <c r="U11" s="122">
        <v>9924.2623999999996</v>
      </c>
      <c r="V11" s="123">
        <v>1.3500000000000001E-3</v>
      </c>
      <c r="W11" s="123">
        <v>7.7479999999999997E-3</v>
      </c>
      <c r="X11" s="123">
        <v>1.66E-4</v>
      </c>
    </row>
    <row r="12" spans="1:26" ht="15" customHeight="1">
      <c r="A12" s="121">
        <v>313</v>
      </c>
      <c r="B12" s="121">
        <v>313</v>
      </c>
      <c r="C12" s="120" t="s">
        <v>1501</v>
      </c>
      <c r="D12" s="121">
        <v>511235434</v>
      </c>
      <c r="E12" s="120" t="s">
        <v>308</v>
      </c>
      <c r="F12" s="120" t="s">
        <v>1501</v>
      </c>
      <c r="G12" s="121" t="s">
        <v>1502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475</v>
      </c>
      <c r="O12" s="120" t="s">
        <v>338</v>
      </c>
      <c r="P12" s="120" t="s">
        <v>1217</v>
      </c>
      <c r="Q12" s="122">
        <v>63700</v>
      </c>
      <c r="R12" s="122">
        <v>1</v>
      </c>
      <c r="S12" s="122">
        <v>47200</v>
      </c>
      <c r="T12" s="122"/>
      <c r="U12" s="122">
        <v>30066.400000000001</v>
      </c>
      <c r="V12" s="123">
        <v>1.374E-3</v>
      </c>
      <c r="W12" s="123">
        <v>2.3473999999999998E-2</v>
      </c>
      <c r="X12" s="123">
        <v>5.04E-4</v>
      </c>
    </row>
    <row r="13" spans="1:26" ht="15" customHeight="1">
      <c r="A13" s="121">
        <v>313</v>
      </c>
      <c r="B13" s="121">
        <v>313</v>
      </c>
      <c r="C13" s="120" t="s">
        <v>1503</v>
      </c>
      <c r="D13" s="121">
        <v>520041997</v>
      </c>
      <c r="E13" s="120" t="s">
        <v>308</v>
      </c>
      <c r="F13" s="120" t="s">
        <v>1503</v>
      </c>
      <c r="G13" s="121" t="s">
        <v>1504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457</v>
      </c>
      <c r="O13" s="120" t="s">
        <v>338</v>
      </c>
      <c r="P13" s="120" t="s">
        <v>1217</v>
      </c>
      <c r="Q13" s="122">
        <v>257632.88</v>
      </c>
      <c r="R13" s="122">
        <v>1</v>
      </c>
      <c r="S13" s="122">
        <v>14820</v>
      </c>
      <c r="T13" s="122"/>
      <c r="U13" s="122">
        <v>38181.192819999997</v>
      </c>
      <c r="V13" s="123">
        <v>2.3189999999999999E-3</v>
      </c>
      <c r="W13" s="123">
        <v>2.9808999999999999E-2</v>
      </c>
      <c r="X13" s="123">
        <v>6.4000000000000005E-4</v>
      </c>
    </row>
    <row r="14" spans="1:26" ht="15" customHeight="1">
      <c r="A14" s="121">
        <v>313</v>
      </c>
      <c r="B14" s="121">
        <v>313</v>
      </c>
      <c r="C14" s="120" t="s">
        <v>1505</v>
      </c>
      <c r="D14" s="121">
        <v>550012777</v>
      </c>
      <c r="E14" s="120" t="s">
        <v>308</v>
      </c>
      <c r="F14" s="120" t="s">
        <v>1506</v>
      </c>
      <c r="G14" s="121" t="s">
        <v>1507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453</v>
      </c>
      <c r="O14" s="120" t="s">
        <v>338</v>
      </c>
      <c r="P14" s="120" t="s">
        <v>1217</v>
      </c>
      <c r="Q14" s="122">
        <v>1152949</v>
      </c>
      <c r="R14" s="122">
        <v>1</v>
      </c>
      <c r="S14" s="122">
        <v>259.2</v>
      </c>
      <c r="T14" s="122"/>
      <c r="U14" s="122">
        <v>2988.4438100000002</v>
      </c>
      <c r="V14" s="123">
        <v>1.0250000000000001E-3</v>
      </c>
      <c r="W14" s="123">
        <v>2.333E-3</v>
      </c>
      <c r="X14" s="123">
        <v>5.0000000000000002E-5</v>
      </c>
    </row>
    <row r="15" spans="1:26" ht="15" customHeight="1">
      <c r="A15" s="121">
        <v>313</v>
      </c>
      <c r="B15" s="121">
        <v>313</v>
      </c>
      <c r="C15" s="120" t="s">
        <v>1508</v>
      </c>
      <c r="D15" s="121">
        <v>560038986</v>
      </c>
      <c r="E15" s="120" t="s">
        <v>308</v>
      </c>
      <c r="F15" s="120" t="s">
        <v>1509</v>
      </c>
      <c r="G15" s="121" t="s">
        <v>1510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479</v>
      </c>
      <c r="O15" s="120" t="s">
        <v>338</v>
      </c>
      <c r="P15" s="120" t="s">
        <v>1217</v>
      </c>
      <c r="Q15" s="122">
        <v>68769</v>
      </c>
      <c r="R15" s="122">
        <v>1</v>
      </c>
      <c r="S15" s="122">
        <v>12820</v>
      </c>
      <c r="T15" s="122"/>
      <c r="U15" s="122">
        <v>8816.1857999999993</v>
      </c>
      <c r="V15" s="123">
        <v>1.1839999999999999E-3</v>
      </c>
      <c r="W15" s="123">
        <v>6.8830000000000002E-3</v>
      </c>
      <c r="X15" s="123">
        <v>1.47E-4</v>
      </c>
    </row>
    <row r="16" spans="1:26" ht="15" customHeight="1">
      <c r="A16" s="121">
        <v>313</v>
      </c>
      <c r="B16" s="121">
        <v>313</v>
      </c>
      <c r="C16" s="120" t="s">
        <v>1511</v>
      </c>
      <c r="D16" s="121">
        <v>520036872</v>
      </c>
      <c r="E16" s="120" t="s">
        <v>308</v>
      </c>
      <c r="F16" s="120" t="s">
        <v>1511</v>
      </c>
      <c r="G16" s="121" t="s">
        <v>1512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479</v>
      </c>
      <c r="O16" s="120" t="s">
        <v>338</v>
      </c>
      <c r="P16" s="120" t="s">
        <v>1217</v>
      </c>
      <c r="Q16" s="122">
        <v>86381</v>
      </c>
      <c r="R16" s="122">
        <v>1</v>
      </c>
      <c r="S16" s="122">
        <v>64400</v>
      </c>
      <c r="T16" s="122"/>
      <c r="U16" s="122">
        <v>55629.364000000001</v>
      </c>
      <c r="V16" s="123">
        <v>1.155E-3</v>
      </c>
      <c r="W16" s="123">
        <v>4.3431999999999998E-2</v>
      </c>
      <c r="X16" s="123">
        <v>9.3300000000000002E-4</v>
      </c>
    </row>
    <row r="17" spans="1:24" ht="15" customHeight="1">
      <c r="A17" s="121">
        <v>313</v>
      </c>
      <c r="B17" s="121">
        <v>313</v>
      </c>
      <c r="C17" s="120" t="s">
        <v>1513</v>
      </c>
      <c r="D17" s="121">
        <v>513623314</v>
      </c>
      <c r="E17" s="120" t="s">
        <v>308</v>
      </c>
      <c r="F17" s="120" t="s">
        <v>1514</v>
      </c>
      <c r="G17" s="121" t="s">
        <v>1515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1217</v>
      </c>
      <c r="Q17" s="122">
        <v>47771</v>
      </c>
      <c r="R17" s="122">
        <v>1</v>
      </c>
      <c r="S17" s="122">
        <v>35740</v>
      </c>
      <c r="T17" s="122"/>
      <c r="U17" s="122">
        <v>17073.3554</v>
      </c>
      <c r="V17" s="123">
        <v>1.941E-3</v>
      </c>
      <c r="W17" s="123">
        <v>1.3329000000000001E-2</v>
      </c>
      <c r="X17" s="123">
        <v>2.8600000000000001E-4</v>
      </c>
    </row>
    <row r="18" spans="1:24" ht="15" customHeight="1">
      <c r="A18" s="121">
        <v>313</v>
      </c>
      <c r="B18" s="121">
        <v>313</v>
      </c>
      <c r="C18" s="120" t="s">
        <v>1516</v>
      </c>
      <c r="D18" s="121">
        <v>520036104</v>
      </c>
      <c r="E18" s="120" t="s">
        <v>308</v>
      </c>
      <c r="F18" s="120" t="s">
        <v>1516</v>
      </c>
      <c r="G18" s="121" t="s">
        <v>1517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446</v>
      </c>
      <c r="O18" s="120" t="s">
        <v>338</v>
      </c>
      <c r="P18" s="120" t="s">
        <v>1217</v>
      </c>
      <c r="Q18" s="122">
        <v>650175.30000000005</v>
      </c>
      <c r="R18" s="122">
        <v>1</v>
      </c>
      <c r="S18" s="122">
        <v>703.3</v>
      </c>
      <c r="T18" s="122"/>
      <c r="U18" s="122">
        <v>4572.6828800000003</v>
      </c>
      <c r="V18" s="123">
        <v>1.1720000000000001E-3</v>
      </c>
      <c r="W18" s="123">
        <v>3.5699999999999998E-3</v>
      </c>
      <c r="X18" s="123">
        <v>7.6000000000000004E-5</v>
      </c>
    </row>
    <row r="19" spans="1:24" ht="15" customHeight="1">
      <c r="A19" s="121">
        <v>313</v>
      </c>
      <c r="B19" s="121">
        <v>313</v>
      </c>
      <c r="C19" s="120" t="s">
        <v>1518</v>
      </c>
      <c r="D19" s="121">
        <v>520033234</v>
      </c>
      <c r="E19" s="120" t="s">
        <v>308</v>
      </c>
      <c r="F19" s="120" t="s">
        <v>1519</v>
      </c>
      <c r="G19" s="121" t="s">
        <v>1520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464</v>
      </c>
      <c r="O19" s="120" t="s">
        <v>338</v>
      </c>
      <c r="P19" s="120" t="s">
        <v>1217</v>
      </c>
      <c r="Q19" s="122">
        <v>589877</v>
      </c>
      <c r="R19" s="122">
        <v>1</v>
      </c>
      <c r="S19" s="122">
        <v>881.8</v>
      </c>
      <c r="T19" s="122"/>
      <c r="U19" s="122">
        <v>5201.53539</v>
      </c>
      <c r="V19" s="123">
        <v>3.1670000000000001E-3</v>
      </c>
      <c r="W19" s="123">
        <v>4.0610000000000004E-3</v>
      </c>
      <c r="X19" s="123">
        <v>8.7000000000000001E-5</v>
      </c>
    </row>
    <row r="20" spans="1:24" ht="15" customHeight="1">
      <c r="A20" s="121">
        <v>313</v>
      </c>
      <c r="B20" s="121">
        <v>313</v>
      </c>
      <c r="C20" s="120" t="s">
        <v>1521</v>
      </c>
      <c r="D20" s="121">
        <v>520033986</v>
      </c>
      <c r="E20" s="120" t="s">
        <v>308</v>
      </c>
      <c r="F20" s="120" t="s">
        <v>1521</v>
      </c>
      <c r="G20" s="121" t="s">
        <v>1522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444</v>
      </c>
      <c r="O20" s="120" t="s">
        <v>338</v>
      </c>
      <c r="P20" s="120" t="s">
        <v>1217</v>
      </c>
      <c r="Q20" s="122">
        <v>410066</v>
      </c>
      <c r="R20" s="122">
        <v>1</v>
      </c>
      <c r="S20" s="122">
        <v>2997</v>
      </c>
      <c r="T20" s="122"/>
      <c r="U20" s="122">
        <v>12289.678019999999</v>
      </c>
      <c r="V20" s="123">
        <v>1.8389999999999999E-3</v>
      </c>
      <c r="W20" s="123">
        <v>9.5949999999999994E-3</v>
      </c>
      <c r="X20" s="123">
        <v>2.0599999999999999E-4</v>
      </c>
    </row>
    <row r="21" spans="1:24" ht="15" customHeight="1">
      <c r="A21" s="121">
        <v>313</v>
      </c>
      <c r="B21" s="121">
        <v>313</v>
      </c>
      <c r="C21" s="120" t="s">
        <v>1523</v>
      </c>
      <c r="D21" s="121">
        <v>520024126</v>
      </c>
      <c r="E21" s="120" t="s">
        <v>308</v>
      </c>
      <c r="F21" s="120" t="s">
        <v>1524</v>
      </c>
      <c r="G21" s="121" t="s">
        <v>1525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463</v>
      </c>
      <c r="O21" s="120" t="s">
        <v>338</v>
      </c>
      <c r="P21" s="120" t="s">
        <v>1217</v>
      </c>
      <c r="Q21" s="122">
        <v>1778596</v>
      </c>
      <c r="R21" s="122">
        <v>1</v>
      </c>
      <c r="S21" s="122">
        <v>881</v>
      </c>
      <c r="T21" s="122"/>
      <c r="U21" s="122">
        <v>15669.430759999999</v>
      </c>
      <c r="V21" s="123">
        <v>2.3540000000000002E-3</v>
      </c>
      <c r="W21" s="123">
        <v>1.2233000000000001E-2</v>
      </c>
      <c r="X21" s="123">
        <v>2.6200000000000003E-4</v>
      </c>
    </row>
    <row r="22" spans="1:24" ht="15" customHeight="1">
      <c r="A22" s="121">
        <v>313</v>
      </c>
      <c r="B22" s="121">
        <v>313</v>
      </c>
      <c r="C22" s="120" t="s">
        <v>1526</v>
      </c>
      <c r="D22" s="121">
        <v>520017450</v>
      </c>
      <c r="E22" s="120" t="s">
        <v>308</v>
      </c>
      <c r="F22" s="120" t="s">
        <v>1527</v>
      </c>
      <c r="G22" s="121" t="s">
        <v>1528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444</v>
      </c>
      <c r="O22" s="120" t="s">
        <v>338</v>
      </c>
      <c r="P22" s="120" t="s">
        <v>1217</v>
      </c>
      <c r="Q22" s="122">
        <v>500376</v>
      </c>
      <c r="R22" s="122">
        <v>1</v>
      </c>
      <c r="S22" s="122">
        <v>3419</v>
      </c>
      <c r="T22" s="122"/>
      <c r="U22" s="122">
        <v>17107.855439999999</v>
      </c>
      <c r="V22" s="123">
        <v>1.9170000000000001E-3</v>
      </c>
      <c r="W22" s="123">
        <v>1.3356E-2</v>
      </c>
      <c r="X22" s="123">
        <v>2.8699999999999998E-4</v>
      </c>
    </row>
    <row r="23" spans="1:24" ht="15" customHeight="1">
      <c r="A23" s="121">
        <v>313</v>
      </c>
      <c r="B23" s="121">
        <v>313</v>
      </c>
      <c r="C23" s="120" t="s">
        <v>1529</v>
      </c>
      <c r="D23" s="121">
        <v>510381601</v>
      </c>
      <c r="E23" s="120" t="s">
        <v>308</v>
      </c>
      <c r="F23" s="120" t="s">
        <v>1530</v>
      </c>
      <c r="G23" s="121" t="s">
        <v>1531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446</v>
      </c>
      <c r="O23" s="120" t="s">
        <v>338</v>
      </c>
      <c r="P23" s="120" t="s">
        <v>1217</v>
      </c>
      <c r="Q23" s="122">
        <v>110572</v>
      </c>
      <c r="R23" s="122">
        <v>1</v>
      </c>
      <c r="S23" s="122">
        <v>4328</v>
      </c>
      <c r="T23" s="122"/>
      <c r="U23" s="122">
        <v>4785.5561600000001</v>
      </c>
      <c r="V23" s="123">
        <v>1.09E-3</v>
      </c>
      <c r="W23" s="123">
        <v>3.7360000000000002E-3</v>
      </c>
      <c r="X23" s="123">
        <v>8.0000000000000007E-5</v>
      </c>
    </row>
    <row r="24" spans="1:24" ht="15" customHeight="1">
      <c r="A24" s="121">
        <v>313</v>
      </c>
      <c r="B24" s="121">
        <v>313</v>
      </c>
      <c r="C24" s="120" t="s">
        <v>1532</v>
      </c>
      <c r="D24" s="121">
        <v>520028010</v>
      </c>
      <c r="E24" s="120" t="s">
        <v>308</v>
      </c>
      <c r="F24" s="120" t="s">
        <v>1533</v>
      </c>
      <c r="G24" s="121" t="s">
        <v>1534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450</v>
      </c>
      <c r="O24" s="120" t="s">
        <v>338</v>
      </c>
      <c r="P24" s="120" t="s">
        <v>1217</v>
      </c>
      <c r="Q24" s="122">
        <v>19736</v>
      </c>
      <c r="R24" s="122">
        <v>1</v>
      </c>
      <c r="S24" s="122">
        <v>83740</v>
      </c>
      <c r="T24" s="122"/>
      <c r="U24" s="122">
        <v>16526.9264</v>
      </c>
      <c r="V24" s="123">
        <v>2.562E-3</v>
      </c>
      <c r="W24" s="123">
        <v>1.2903E-2</v>
      </c>
      <c r="X24" s="123">
        <v>2.7700000000000001E-4</v>
      </c>
    </row>
    <row r="25" spans="1:24" ht="15" customHeight="1">
      <c r="A25" s="121">
        <v>313</v>
      </c>
      <c r="B25" s="121">
        <v>313</v>
      </c>
      <c r="C25" s="120" t="s">
        <v>1535</v>
      </c>
      <c r="D25" s="121">
        <v>880326081</v>
      </c>
      <c r="E25" s="120" t="s">
        <v>308</v>
      </c>
      <c r="F25" s="120" t="s">
        <v>1536</v>
      </c>
      <c r="G25" s="121" t="s">
        <v>1537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440</v>
      </c>
      <c r="O25" s="120" t="s">
        <v>338</v>
      </c>
      <c r="P25" s="120" t="s">
        <v>1217</v>
      </c>
      <c r="Q25" s="122">
        <v>114771</v>
      </c>
      <c r="R25" s="122">
        <v>1</v>
      </c>
      <c r="S25" s="122">
        <v>26580</v>
      </c>
      <c r="T25" s="122"/>
      <c r="U25" s="122">
        <v>30506.131799999999</v>
      </c>
      <c r="V25" s="123">
        <v>2.036E-3</v>
      </c>
      <c r="W25" s="123">
        <v>2.3817000000000001E-2</v>
      </c>
      <c r="X25" s="123">
        <v>5.1099999999999995E-4</v>
      </c>
    </row>
    <row r="26" spans="1:24" ht="15" customHeight="1">
      <c r="A26" s="121">
        <v>313</v>
      </c>
      <c r="B26" s="121">
        <v>313</v>
      </c>
      <c r="C26" s="120" t="s">
        <v>1538</v>
      </c>
      <c r="D26" s="121">
        <v>520029083</v>
      </c>
      <c r="E26" s="120" t="s">
        <v>308</v>
      </c>
      <c r="F26" s="120" t="s">
        <v>1539</v>
      </c>
      <c r="G26" s="121" t="s">
        <v>1540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1217</v>
      </c>
      <c r="Q26" s="122">
        <v>142710</v>
      </c>
      <c r="R26" s="122">
        <v>1</v>
      </c>
      <c r="S26" s="122">
        <v>14410</v>
      </c>
      <c r="T26" s="122"/>
      <c r="U26" s="122">
        <v>20564.510999999999</v>
      </c>
      <c r="V26" s="123">
        <v>1.4220000000000001E-3</v>
      </c>
      <c r="W26" s="123">
        <v>1.6055E-2</v>
      </c>
      <c r="X26" s="123">
        <v>3.4499999999999998E-4</v>
      </c>
    </row>
    <row r="27" spans="1:24" ht="15" customHeight="1">
      <c r="A27" s="121">
        <v>313</v>
      </c>
      <c r="B27" s="121">
        <v>313</v>
      </c>
      <c r="C27" s="120" t="s">
        <v>1541</v>
      </c>
      <c r="D27" s="121">
        <v>520037789</v>
      </c>
      <c r="E27" s="120" t="s">
        <v>308</v>
      </c>
      <c r="F27" s="120" t="s">
        <v>1541</v>
      </c>
      <c r="G27" s="121" t="s">
        <v>1542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1217</v>
      </c>
      <c r="Q27" s="122">
        <v>49574</v>
      </c>
      <c r="R27" s="122">
        <v>1</v>
      </c>
      <c r="S27" s="122">
        <v>24710</v>
      </c>
      <c r="T27" s="122"/>
      <c r="U27" s="122">
        <v>12249.7354</v>
      </c>
      <c r="V27" s="123">
        <v>1.0430000000000001E-3</v>
      </c>
      <c r="W27" s="123">
        <v>9.5630000000000003E-3</v>
      </c>
      <c r="X27" s="123">
        <v>2.05E-4</v>
      </c>
    </row>
    <row r="28" spans="1:24" ht="15" customHeight="1">
      <c r="A28" s="121">
        <v>313</v>
      </c>
      <c r="B28" s="121">
        <v>313</v>
      </c>
      <c r="C28" s="120" t="s">
        <v>1543</v>
      </c>
      <c r="D28" s="121">
        <v>516537560</v>
      </c>
      <c r="E28" s="120" t="s">
        <v>308</v>
      </c>
      <c r="F28" s="120" t="s">
        <v>1544</v>
      </c>
      <c r="G28" s="121" t="s">
        <v>1545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440</v>
      </c>
      <c r="O28" s="120" t="s">
        <v>338</v>
      </c>
      <c r="P28" s="120" t="s">
        <v>1217</v>
      </c>
      <c r="Q28" s="122">
        <v>128448</v>
      </c>
      <c r="R28" s="122">
        <v>1</v>
      </c>
      <c r="S28" s="122">
        <v>1393</v>
      </c>
      <c r="T28" s="122"/>
      <c r="U28" s="122">
        <v>1789.2806399999999</v>
      </c>
      <c r="V28" s="123">
        <v>1.9750000000000002E-3</v>
      </c>
      <c r="W28" s="123">
        <v>1.3960000000000001E-3</v>
      </c>
      <c r="X28" s="123">
        <v>3.0000000000000001E-5</v>
      </c>
    </row>
    <row r="29" spans="1:24" ht="15" customHeight="1">
      <c r="A29" s="121">
        <v>313</v>
      </c>
      <c r="B29" s="121">
        <v>313</v>
      </c>
      <c r="C29" s="120" t="s">
        <v>1546</v>
      </c>
      <c r="D29" s="121">
        <v>520027830</v>
      </c>
      <c r="E29" s="120" t="s">
        <v>308</v>
      </c>
      <c r="F29" s="120" t="s">
        <v>1547</v>
      </c>
      <c r="G29" s="121" t="s">
        <v>1548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455</v>
      </c>
      <c r="O29" s="120" t="s">
        <v>338</v>
      </c>
      <c r="P29" s="120" t="s">
        <v>1217</v>
      </c>
      <c r="Q29" s="122">
        <v>2015587</v>
      </c>
      <c r="R29" s="122">
        <v>1</v>
      </c>
      <c r="S29" s="122">
        <v>1612</v>
      </c>
      <c r="T29" s="122"/>
      <c r="U29" s="122">
        <v>32491.262439999999</v>
      </c>
      <c r="V29" s="123">
        <v>1.5330000000000001E-3</v>
      </c>
      <c r="W29" s="123">
        <v>2.5367000000000001E-2</v>
      </c>
      <c r="X29" s="123">
        <v>5.4500000000000002E-4</v>
      </c>
    </row>
    <row r="30" spans="1:24" ht="15" customHeight="1">
      <c r="A30" s="121">
        <v>313</v>
      </c>
      <c r="B30" s="121">
        <v>313</v>
      </c>
      <c r="C30" s="120" t="s">
        <v>1549</v>
      </c>
      <c r="D30" s="121">
        <v>520044314</v>
      </c>
      <c r="E30" s="120" t="s">
        <v>308</v>
      </c>
      <c r="F30" s="120" t="s">
        <v>1549</v>
      </c>
      <c r="G30" s="121" t="s">
        <v>1550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461</v>
      </c>
      <c r="O30" s="120" t="s">
        <v>338</v>
      </c>
      <c r="P30" s="120" t="s">
        <v>1217</v>
      </c>
      <c r="Q30" s="122">
        <v>558689</v>
      </c>
      <c r="R30" s="122">
        <v>1</v>
      </c>
      <c r="S30" s="122">
        <v>1535</v>
      </c>
      <c r="T30" s="122"/>
      <c r="U30" s="122">
        <v>8575.8761500000001</v>
      </c>
      <c r="V30" s="123">
        <v>2.9229999999999998E-3</v>
      </c>
      <c r="W30" s="123">
        <v>6.6950000000000004E-3</v>
      </c>
      <c r="X30" s="123">
        <v>1.4300000000000001E-4</v>
      </c>
    </row>
    <row r="31" spans="1:24" ht="15" customHeight="1">
      <c r="A31" s="121">
        <v>313</v>
      </c>
      <c r="B31" s="121">
        <v>313</v>
      </c>
      <c r="C31" s="120" t="s">
        <v>1551</v>
      </c>
      <c r="D31" s="121">
        <v>512607888</v>
      </c>
      <c r="E31" s="120" t="s">
        <v>308</v>
      </c>
      <c r="F31" s="120" t="s">
        <v>1551</v>
      </c>
      <c r="G31" s="121" t="s">
        <v>1552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460</v>
      </c>
      <c r="O31" s="120" t="s">
        <v>338</v>
      </c>
      <c r="P31" s="120" t="s">
        <v>1217</v>
      </c>
      <c r="Q31" s="122">
        <v>34116</v>
      </c>
      <c r="R31" s="122">
        <v>1</v>
      </c>
      <c r="S31" s="122">
        <v>38750</v>
      </c>
      <c r="T31" s="122"/>
      <c r="U31" s="122">
        <v>13219.95</v>
      </c>
      <c r="V31" s="123">
        <v>2.075E-3</v>
      </c>
      <c r="W31" s="123">
        <v>1.0321E-2</v>
      </c>
      <c r="X31" s="123">
        <v>2.2100000000000001E-4</v>
      </c>
    </row>
    <row r="32" spans="1:24" ht="15" customHeight="1">
      <c r="A32" s="121">
        <v>313</v>
      </c>
      <c r="B32" s="121">
        <v>313</v>
      </c>
      <c r="C32" s="120" t="s">
        <v>1553</v>
      </c>
      <c r="D32" s="121">
        <v>520043027</v>
      </c>
      <c r="E32" s="120" t="s">
        <v>308</v>
      </c>
      <c r="F32" s="120" t="s">
        <v>1553</v>
      </c>
      <c r="G32" s="121" t="s">
        <v>1554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445</v>
      </c>
      <c r="O32" s="120" t="s">
        <v>338</v>
      </c>
      <c r="P32" s="120" t="s">
        <v>1217</v>
      </c>
      <c r="Q32" s="122">
        <v>79368</v>
      </c>
      <c r="R32" s="122">
        <v>1</v>
      </c>
      <c r="S32" s="122">
        <v>66410</v>
      </c>
      <c r="T32" s="122">
        <v>151.88802999999999</v>
      </c>
      <c r="U32" s="122">
        <v>52860.176829999997</v>
      </c>
      <c r="V32" s="123">
        <v>1.784E-3</v>
      </c>
      <c r="W32" s="123">
        <v>4.1269E-2</v>
      </c>
      <c r="X32" s="123">
        <v>8.8599999999999996E-4</v>
      </c>
    </row>
    <row r="33" spans="1:24" ht="15" customHeight="1">
      <c r="A33" s="121">
        <v>313</v>
      </c>
      <c r="B33" s="121">
        <v>313</v>
      </c>
      <c r="C33" s="120" t="s">
        <v>1555</v>
      </c>
      <c r="D33" s="121">
        <v>520003781</v>
      </c>
      <c r="E33" s="120" t="s">
        <v>308</v>
      </c>
      <c r="F33" s="120" t="s">
        <v>1556</v>
      </c>
      <c r="G33" s="121" t="s">
        <v>1557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458</v>
      </c>
      <c r="O33" s="120" t="s">
        <v>338</v>
      </c>
      <c r="P33" s="120" t="s">
        <v>1217</v>
      </c>
      <c r="Q33" s="122">
        <v>242417</v>
      </c>
      <c r="R33" s="122">
        <v>1</v>
      </c>
      <c r="S33" s="122">
        <v>5599</v>
      </c>
      <c r="T33" s="122"/>
      <c r="U33" s="122">
        <v>13572.927830000001</v>
      </c>
      <c r="V33" s="123">
        <v>2.0639999999999999E-3</v>
      </c>
      <c r="W33" s="123">
        <v>1.0596E-2</v>
      </c>
      <c r="X33" s="123">
        <v>2.2699999999999999E-4</v>
      </c>
    </row>
    <row r="34" spans="1:24" ht="15" customHeight="1">
      <c r="A34" s="121">
        <v>313</v>
      </c>
      <c r="B34" s="121">
        <v>313</v>
      </c>
      <c r="C34" s="120" t="s">
        <v>1322</v>
      </c>
      <c r="D34" s="121">
        <v>520018078</v>
      </c>
      <c r="E34" s="120" t="s">
        <v>308</v>
      </c>
      <c r="F34" s="120" t="s">
        <v>1322</v>
      </c>
      <c r="G34" s="121" t="s">
        <v>1558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1217</v>
      </c>
      <c r="Q34" s="122">
        <v>2844618.01</v>
      </c>
      <c r="R34" s="122">
        <v>1</v>
      </c>
      <c r="S34" s="122">
        <v>3110</v>
      </c>
      <c r="T34" s="122"/>
      <c r="U34" s="122">
        <v>88467.620110000003</v>
      </c>
      <c r="V34" s="123">
        <v>1.7600000000000001E-3</v>
      </c>
      <c r="W34" s="123">
        <v>6.9070000000000006E-2</v>
      </c>
      <c r="X34" s="123">
        <v>1.4840000000000001E-3</v>
      </c>
    </row>
    <row r="35" spans="1:24" ht="15" customHeight="1">
      <c r="A35" s="121">
        <v>313</v>
      </c>
      <c r="B35" s="121">
        <v>313</v>
      </c>
      <c r="C35" s="120" t="s">
        <v>1559</v>
      </c>
      <c r="D35" s="121">
        <v>520000522</v>
      </c>
      <c r="E35" s="120" t="s">
        <v>308</v>
      </c>
      <c r="F35" s="120" t="s">
        <v>1560</v>
      </c>
      <c r="G35" s="121" t="s">
        <v>1561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1217</v>
      </c>
      <c r="Q35" s="122">
        <v>450373</v>
      </c>
      <c r="R35" s="122">
        <v>1</v>
      </c>
      <c r="S35" s="122">
        <v>13080</v>
      </c>
      <c r="T35" s="122"/>
      <c r="U35" s="122">
        <v>58908.788399999998</v>
      </c>
      <c r="V35" s="123">
        <v>1.743E-3</v>
      </c>
      <c r="W35" s="123">
        <v>4.5991999999999998E-2</v>
      </c>
      <c r="X35" s="123">
        <v>9.8799999999999995E-4</v>
      </c>
    </row>
    <row r="36" spans="1:24" ht="15" customHeight="1">
      <c r="A36" s="121">
        <v>313</v>
      </c>
      <c r="B36" s="121">
        <v>313</v>
      </c>
      <c r="C36" s="120" t="s">
        <v>1562</v>
      </c>
      <c r="D36" s="121">
        <v>511930125</v>
      </c>
      <c r="E36" s="120" t="s">
        <v>308</v>
      </c>
      <c r="F36" s="120" t="s">
        <v>1563</v>
      </c>
      <c r="G36" s="121" t="s">
        <v>1564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461</v>
      </c>
      <c r="O36" s="120" t="s">
        <v>338</v>
      </c>
      <c r="P36" s="120" t="s">
        <v>1217</v>
      </c>
      <c r="Q36" s="122">
        <v>552873</v>
      </c>
      <c r="R36" s="122">
        <v>1</v>
      </c>
      <c r="S36" s="122">
        <v>1320</v>
      </c>
      <c r="T36" s="122"/>
      <c r="U36" s="122">
        <v>7297.9236000000001</v>
      </c>
      <c r="V36" s="123">
        <v>3.336E-3</v>
      </c>
      <c r="W36" s="123">
        <v>5.6969999999999998E-3</v>
      </c>
      <c r="X36" s="123">
        <v>1.22E-4</v>
      </c>
    </row>
    <row r="37" spans="1:24" ht="15" customHeight="1">
      <c r="A37" s="121">
        <v>313</v>
      </c>
      <c r="B37" s="121">
        <v>313</v>
      </c>
      <c r="C37" s="120" t="s">
        <v>1565</v>
      </c>
      <c r="D37" s="121">
        <v>513821488</v>
      </c>
      <c r="E37" s="120" t="s">
        <v>308</v>
      </c>
      <c r="F37" s="120" t="s">
        <v>1565</v>
      </c>
      <c r="G37" s="121" t="s">
        <v>1566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1217</v>
      </c>
      <c r="Q37" s="122">
        <v>335787</v>
      </c>
      <c r="R37" s="122">
        <v>1</v>
      </c>
      <c r="S37" s="122">
        <v>1391</v>
      </c>
      <c r="T37" s="122"/>
      <c r="U37" s="122">
        <v>4670.7971699999998</v>
      </c>
      <c r="V37" s="123">
        <v>1.7260000000000001E-3</v>
      </c>
      <c r="W37" s="123">
        <v>3.6459999999999999E-3</v>
      </c>
      <c r="X37" s="123">
        <v>7.7999999999999999E-5</v>
      </c>
    </row>
    <row r="38" spans="1:24" ht="15" customHeight="1">
      <c r="A38" s="121">
        <v>313</v>
      </c>
      <c r="B38" s="121">
        <v>313</v>
      </c>
      <c r="C38" s="120" t="s">
        <v>1567</v>
      </c>
      <c r="D38" s="121">
        <v>520026683</v>
      </c>
      <c r="E38" s="120" t="s">
        <v>308</v>
      </c>
      <c r="F38" s="120" t="s">
        <v>1568</v>
      </c>
      <c r="G38" s="121" t="s">
        <v>1569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1217</v>
      </c>
      <c r="Q38" s="122">
        <v>624258</v>
      </c>
      <c r="R38" s="122">
        <v>1</v>
      </c>
      <c r="S38" s="122">
        <v>1510</v>
      </c>
      <c r="T38" s="122"/>
      <c r="U38" s="122">
        <v>9426.2957999999999</v>
      </c>
      <c r="V38" s="123">
        <v>1.323E-3</v>
      </c>
      <c r="W38" s="123">
        <v>7.3590000000000001E-3</v>
      </c>
      <c r="X38" s="123">
        <v>1.5799999999999999E-4</v>
      </c>
    </row>
    <row r="39" spans="1:24" ht="15" customHeight="1">
      <c r="A39" s="121">
        <v>313</v>
      </c>
      <c r="B39" s="121">
        <v>313</v>
      </c>
      <c r="C39" s="120" t="s">
        <v>1570</v>
      </c>
      <c r="D39" s="121">
        <v>514401702</v>
      </c>
      <c r="E39" s="120" t="s">
        <v>308</v>
      </c>
      <c r="F39" s="120" t="s">
        <v>1570</v>
      </c>
      <c r="G39" s="121" t="s">
        <v>1571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439</v>
      </c>
      <c r="O39" s="120" t="s">
        <v>338</v>
      </c>
      <c r="P39" s="120" t="s">
        <v>1217</v>
      </c>
      <c r="Q39" s="122">
        <v>391145.85</v>
      </c>
      <c r="R39" s="122">
        <v>1</v>
      </c>
      <c r="S39" s="122">
        <v>2633</v>
      </c>
      <c r="T39" s="122"/>
      <c r="U39" s="122">
        <v>10298.87023</v>
      </c>
      <c r="V39" s="123">
        <v>1.7420000000000001E-3</v>
      </c>
      <c r="W39" s="123">
        <v>8.0400000000000003E-3</v>
      </c>
      <c r="X39" s="123">
        <v>1.7200000000000001E-4</v>
      </c>
    </row>
    <row r="40" spans="1:24" ht="15" customHeight="1">
      <c r="A40" s="121">
        <v>313</v>
      </c>
      <c r="B40" s="121">
        <v>313</v>
      </c>
      <c r="C40" s="120" t="s">
        <v>1221</v>
      </c>
      <c r="D40" s="121">
        <v>520000118</v>
      </c>
      <c r="E40" s="120" t="s">
        <v>308</v>
      </c>
      <c r="F40" s="120" t="s">
        <v>1572</v>
      </c>
      <c r="G40" s="121" t="s">
        <v>1573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1217</v>
      </c>
      <c r="Q40" s="122">
        <v>2673013.61</v>
      </c>
      <c r="R40" s="122">
        <v>1</v>
      </c>
      <c r="S40" s="122">
        <v>3365</v>
      </c>
      <c r="T40" s="122"/>
      <c r="U40" s="122">
        <v>89946.907980000004</v>
      </c>
      <c r="V40" s="123">
        <v>1.9980000000000002E-3</v>
      </c>
      <c r="W40" s="123">
        <v>7.0224999999999996E-2</v>
      </c>
      <c r="X40" s="123">
        <v>1.5089999999999999E-3</v>
      </c>
    </row>
    <row r="41" spans="1:24" ht="15" customHeight="1">
      <c r="A41" s="121">
        <v>313</v>
      </c>
      <c r="B41" s="121">
        <v>313</v>
      </c>
      <c r="C41" s="120" t="s">
        <v>1574</v>
      </c>
      <c r="D41" s="121">
        <v>520028911</v>
      </c>
      <c r="E41" s="120" t="s">
        <v>308</v>
      </c>
      <c r="F41" s="120" t="s">
        <v>1574</v>
      </c>
      <c r="G41" s="121" t="s">
        <v>1575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450</v>
      </c>
      <c r="O41" s="120" t="s">
        <v>338</v>
      </c>
      <c r="P41" s="120" t="s">
        <v>1217</v>
      </c>
      <c r="Q41" s="122">
        <v>4530</v>
      </c>
      <c r="R41" s="122">
        <v>1</v>
      </c>
      <c r="S41" s="122">
        <v>129690</v>
      </c>
      <c r="T41" s="122"/>
      <c r="U41" s="122">
        <v>5874.9570000000003</v>
      </c>
      <c r="V41" s="123">
        <v>1.116E-3</v>
      </c>
      <c r="W41" s="123">
        <v>4.5859999999999998E-3</v>
      </c>
      <c r="X41" s="123">
        <v>9.7999999999999997E-5</v>
      </c>
    </row>
    <row r="42" spans="1:24" ht="15" customHeight="1">
      <c r="A42" s="121">
        <v>313</v>
      </c>
      <c r="B42" s="121">
        <v>313</v>
      </c>
      <c r="C42" s="120" t="s">
        <v>1576</v>
      </c>
      <c r="D42" s="121">
        <v>520022732</v>
      </c>
      <c r="E42" s="120" t="s">
        <v>308</v>
      </c>
      <c r="F42" s="120" t="s">
        <v>1576</v>
      </c>
      <c r="G42" s="121" t="s">
        <v>1577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474</v>
      </c>
      <c r="O42" s="120" t="s">
        <v>338</v>
      </c>
      <c r="P42" s="120" t="s">
        <v>1217</v>
      </c>
      <c r="Q42" s="122">
        <v>596679</v>
      </c>
      <c r="R42" s="122">
        <v>1</v>
      </c>
      <c r="S42" s="122">
        <v>2472</v>
      </c>
      <c r="T42" s="122"/>
      <c r="U42" s="122">
        <v>14749.90488</v>
      </c>
      <c r="V42" s="123">
        <v>2.173E-3</v>
      </c>
      <c r="W42" s="123">
        <v>1.1514999999999999E-2</v>
      </c>
      <c r="X42" s="123">
        <v>2.4699999999999999E-4</v>
      </c>
    </row>
    <row r="43" spans="1:24" ht="15" customHeight="1">
      <c r="A43" s="121">
        <v>313</v>
      </c>
      <c r="B43" s="121">
        <v>313</v>
      </c>
      <c r="C43" s="120" t="s">
        <v>1578</v>
      </c>
      <c r="D43" s="121">
        <v>511812463</v>
      </c>
      <c r="E43" s="120" t="s">
        <v>308</v>
      </c>
      <c r="F43" s="120" t="s">
        <v>1579</v>
      </c>
      <c r="G43" s="121" t="s">
        <v>1580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457</v>
      </c>
      <c r="O43" s="120" t="s">
        <v>338</v>
      </c>
      <c r="P43" s="120" t="s">
        <v>1217</v>
      </c>
      <c r="Q43" s="122">
        <v>70203</v>
      </c>
      <c r="R43" s="122">
        <v>1</v>
      </c>
      <c r="S43" s="122">
        <v>87800</v>
      </c>
      <c r="T43" s="122"/>
      <c r="U43" s="122">
        <v>61638.233999999997</v>
      </c>
      <c r="V43" s="123">
        <v>2.4169999999999999E-3</v>
      </c>
      <c r="W43" s="123">
        <v>4.8122999999999999E-2</v>
      </c>
      <c r="X43" s="123">
        <v>1.034E-3</v>
      </c>
    </row>
    <row r="44" spans="1:24" ht="15" customHeight="1">
      <c r="A44" s="121">
        <v>313</v>
      </c>
      <c r="B44" s="121">
        <v>313</v>
      </c>
      <c r="C44" s="120" t="s">
        <v>1581</v>
      </c>
      <c r="D44" s="121">
        <v>560033185</v>
      </c>
      <c r="E44" s="120" t="s">
        <v>308</v>
      </c>
      <c r="F44" s="120" t="s">
        <v>1582</v>
      </c>
      <c r="G44" s="121" t="s">
        <v>1583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453</v>
      </c>
      <c r="O44" s="120" t="s">
        <v>338</v>
      </c>
      <c r="P44" s="120" t="s">
        <v>1217</v>
      </c>
      <c r="Q44" s="122">
        <v>395034</v>
      </c>
      <c r="R44" s="122">
        <v>1</v>
      </c>
      <c r="S44" s="122">
        <v>4611</v>
      </c>
      <c r="T44" s="122">
        <v>465.79874000000001</v>
      </c>
      <c r="U44" s="122">
        <v>18680.816480000001</v>
      </c>
      <c r="V44" s="123">
        <v>2.1519999999999998E-3</v>
      </c>
      <c r="W44" s="123">
        <v>1.4584E-2</v>
      </c>
      <c r="X44" s="123">
        <v>3.1199999999999999E-4</v>
      </c>
    </row>
    <row r="45" spans="1:24" ht="15" customHeight="1">
      <c r="A45" s="121">
        <v>313</v>
      </c>
      <c r="B45" s="121">
        <v>313</v>
      </c>
      <c r="C45" s="120" t="s">
        <v>1584</v>
      </c>
      <c r="D45" s="121" t="s">
        <v>1585</v>
      </c>
      <c r="E45" s="120" t="s">
        <v>312</v>
      </c>
      <c r="F45" s="120" t="s">
        <v>1586</v>
      </c>
      <c r="G45" s="121" t="s">
        <v>1587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545</v>
      </c>
      <c r="O45" s="120" t="s">
        <v>338</v>
      </c>
      <c r="P45" s="120" t="s">
        <v>1212</v>
      </c>
      <c r="Q45" s="122">
        <v>31076</v>
      </c>
      <c r="R45" s="122">
        <v>3.7589999999999999</v>
      </c>
      <c r="S45" s="122">
        <v>7577</v>
      </c>
      <c r="T45" s="120"/>
      <c r="U45" s="122">
        <v>8851.0486099999998</v>
      </c>
      <c r="V45" s="123">
        <v>9.5000000000000005E-5</v>
      </c>
      <c r="W45" s="123">
        <v>6.9100000000000003E-3</v>
      </c>
      <c r="X45" s="123">
        <v>1.4799999999999999E-4</v>
      </c>
    </row>
    <row r="46" spans="1:24" ht="15" customHeight="1">
      <c r="A46" s="121">
        <v>313</v>
      </c>
      <c r="B46" s="121">
        <v>313</v>
      </c>
      <c r="C46" s="120" t="s">
        <v>1588</v>
      </c>
      <c r="D46" s="121" t="s">
        <v>1589</v>
      </c>
      <c r="E46" s="120" t="s">
        <v>312</v>
      </c>
      <c r="F46" s="120" t="s">
        <v>1590</v>
      </c>
      <c r="G46" s="121" t="s">
        <v>1591</v>
      </c>
      <c r="H46" s="120" t="s">
        <v>320</v>
      </c>
      <c r="I46" s="120" t="s">
        <v>918</v>
      </c>
      <c r="J46" s="120" t="s">
        <v>204</v>
      </c>
      <c r="K46" s="120" t="s">
        <v>292</v>
      </c>
      <c r="L46" s="120" t="s">
        <v>324</v>
      </c>
      <c r="M46" s="120" t="s">
        <v>393</v>
      </c>
      <c r="N46" s="120" t="s">
        <v>553</v>
      </c>
      <c r="O46" s="120" t="s">
        <v>338</v>
      </c>
      <c r="P46" s="120" t="s">
        <v>1216</v>
      </c>
      <c r="Q46" s="122">
        <v>107458</v>
      </c>
      <c r="R46" s="122">
        <v>4.0202</v>
      </c>
      <c r="S46" s="122">
        <v>1211.5</v>
      </c>
      <c r="T46" s="120"/>
      <c r="U46" s="122">
        <v>5233.7121200000001</v>
      </c>
      <c r="V46" s="123">
        <v>1.5999999999999999E-5</v>
      </c>
      <c r="W46" s="123">
        <v>4.0860000000000002E-3</v>
      </c>
      <c r="X46" s="123">
        <v>8.7000000000000001E-5</v>
      </c>
    </row>
    <row r="47" spans="1:24" ht="15" customHeight="1">
      <c r="A47" s="121">
        <v>313</v>
      </c>
      <c r="B47" s="121">
        <v>313</v>
      </c>
      <c r="C47" s="120" t="s">
        <v>1592</v>
      </c>
      <c r="D47" s="121" t="s">
        <v>1593</v>
      </c>
      <c r="E47" s="120" t="s">
        <v>312</v>
      </c>
      <c r="F47" s="120" t="s">
        <v>1594</v>
      </c>
      <c r="G47" s="121" t="s">
        <v>1595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545</v>
      </c>
      <c r="O47" s="120" t="s">
        <v>338</v>
      </c>
      <c r="P47" s="120" t="s">
        <v>1212</v>
      </c>
      <c r="Q47" s="122">
        <v>9248</v>
      </c>
      <c r="R47" s="122">
        <v>3.7589999999999999</v>
      </c>
      <c r="S47" s="122">
        <v>21062</v>
      </c>
      <c r="T47" s="120"/>
      <c r="U47" s="122">
        <v>7321.8319199999996</v>
      </c>
      <c r="V47" s="123">
        <v>0</v>
      </c>
      <c r="W47" s="123">
        <v>5.7159999999999997E-3</v>
      </c>
      <c r="X47" s="123">
        <v>1.22E-4</v>
      </c>
    </row>
    <row r="48" spans="1:24" ht="15" customHeight="1">
      <c r="A48" s="121">
        <v>313</v>
      </c>
      <c r="B48" s="121">
        <v>313</v>
      </c>
      <c r="C48" s="120" t="s">
        <v>1501</v>
      </c>
      <c r="D48" s="121">
        <v>511235434</v>
      </c>
      <c r="E48" s="120" t="s">
        <v>308</v>
      </c>
      <c r="F48" s="120" t="s">
        <v>1596</v>
      </c>
      <c r="G48" s="121" t="s">
        <v>1502</v>
      </c>
      <c r="H48" s="120" t="s">
        <v>320</v>
      </c>
      <c r="I48" s="120" t="s">
        <v>918</v>
      </c>
      <c r="J48" s="120" t="s">
        <v>204</v>
      </c>
      <c r="K48" s="120" t="s">
        <v>203</v>
      </c>
      <c r="L48" s="120" t="s">
        <v>324</v>
      </c>
      <c r="M48" s="120" t="s">
        <v>313</v>
      </c>
      <c r="N48" s="120" t="s">
        <v>547</v>
      </c>
      <c r="O48" s="120" t="s">
        <v>338</v>
      </c>
      <c r="P48" s="120" t="s">
        <v>1212</v>
      </c>
      <c r="Q48" s="122">
        <v>5989</v>
      </c>
      <c r="R48" s="122">
        <v>3.7589999999999999</v>
      </c>
      <c r="S48" s="122">
        <v>12524</v>
      </c>
      <c r="T48" s="120"/>
      <c r="U48" s="122">
        <v>2819.48441</v>
      </c>
      <c r="V48" s="123">
        <v>1.3200000000000001E-4</v>
      </c>
      <c r="W48" s="123">
        <v>2.2009999999999998E-3</v>
      </c>
      <c r="X48" s="123">
        <v>4.6999999999999997E-5</v>
      </c>
    </row>
    <row r="49" spans="1:25" ht="15" customHeight="1">
      <c r="A49" s="121">
        <v>313</v>
      </c>
      <c r="B49" s="121">
        <v>313</v>
      </c>
      <c r="C49" s="120" t="s">
        <v>1597</v>
      </c>
      <c r="D49" s="121" t="s">
        <v>1598</v>
      </c>
      <c r="E49" s="120" t="s">
        <v>312</v>
      </c>
      <c r="F49" s="120" t="s">
        <v>1599</v>
      </c>
      <c r="G49" s="121" t="s">
        <v>1600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530</v>
      </c>
      <c r="O49" s="120" t="s">
        <v>338</v>
      </c>
      <c r="P49" s="120" t="s">
        <v>1212</v>
      </c>
      <c r="Q49" s="122">
        <v>92987</v>
      </c>
      <c r="R49" s="122">
        <v>3.7589999999999999</v>
      </c>
      <c r="S49" s="122">
        <v>1824</v>
      </c>
      <c r="T49" s="120"/>
      <c r="U49" s="122">
        <v>6375.5755499999996</v>
      </c>
      <c r="V49" s="123">
        <v>1.098E-3</v>
      </c>
      <c r="W49" s="123">
        <v>4.9769999999999997E-3</v>
      </c>
      <c r="X49" s="123">
        <v>1.06E-4</v>
      </c>
    </row>
    <row r="50" spans="1:25" ht="15" customHeight="1">
      <c r="A50" s="121">
        <v>313</v>
      </c>
      <c r="B50" s="121">
        <v>313</v>
      </c>
      <c r="C50" s="120" t="s">
        <v>1491</v>
      </c>
      <c r="D50" s="121">
        <v>520041146</v>
      </c>
      <c r="E50" s="120" t="s">
        <v>308</v>
      </c>
      <c r="F50" s="120" t="s">
        <v>1601</v>
      </c>
      <c r="G50" s="121" t="s">
        <v>1492</v>
      </c>
      <c r="H50" s="120" t="s">
        <v>320</v>
      </c>
      <c r="I50" s="120" t="s">
        <v>918</v>
      </c>
      <c r="J50" s="120" t="s">
        <v>204</v>
      </c>
      <c r="K50" s="120" t="s">
        <v>203</v>
      </c>
      <c r="L50" s="120" t="s">
        <v>324</v>
      </c>
      <c r="M50" s="120" t="s">
        <v>345</v>
      </c>
      <c r="N50" s="120" t="s">
        <v>485</v>
      </c>
      <c r="O50" s="120" t="s">
        <v>338</v>
      </c>
      <c r="P50" s="120" t="s">
        <v>1212</v>
      </c>
      <c r="Q50" s="122">
        <v>46495</v>
      </c>
      <c r="R50" s="122">
        <v>3.7589999999999999</v>
      </c>
      <c r="S50" s="122">
        <v>1616</v>
      </c>
      <c r="T50" s="120"/>
      <c r="U50" s="122">
        <v>2824.35923</v>
      </c>
      <c r="V50" s="123">
        <v>3.9199999999999999E-4</v>
      </c>
      <c r="W50" s="123">
        <v>2.2049999999999999E-3</v>
      </c>
      <c r="X50" s="123">
        <v>4.6999999999999997E-5</v>
      </c>
    </row>
    <row r="51" spans="1:25" ht="15" customHeight="1">
      <c r="A51" s="121">
        <v>313</v>
      </c>
      <c r="B51" s="121">
        <v>313</v>
      </c>
      <c r="C51" s="120" t="s">
        <v>1602</v>
      </c>
      <c r="D51" s="121" t="s">
        <v>1603</v>
      </c>
      <c r="E51" s="120" t="s">
        <v>312</v>
      </c>
      <c r="F51" s="120" t="s">
        <v>1604</v>
      </c>
      <c r="G51" s="121" t="s">
        <v>1605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545</v>
      </c>
      <c r="O51" s="120" t="s">
        <v>338</v>
      </c>
      <c r="P51" s="120" t="s">
        <v>1212</v>
      </c>
      <c r="Q51" s="122">
        <v>20810</v>
      </c>
      <c r="R51" s="122">
        <v>3.7589999999999999</v>
      </c>
      <c r="S51" s="122">
        <v>2526</v>
      </c>
      <c r="T51" s="120"/>
      <c r="U51" s="122">
        <v>1975.9582</v>
      </c>
      <c r="V51" s="123">
        <v>3.6299999999999999E-4</v>
      </c>
      <c r="W51" s="123">
        <v>1.542E-3</v>
      </c>
      <c r="X51" s="123">
        <v>3.3000000000000003E-5</v>
      </c>
    </row>
    <row r="52" spans="1:25" ht="15" customHeight="1">
      <c r="A52" s="121">
        <v>313</v>
      </c>
      <c r="B52" s="121">
        <v>313</v>
      </c>
      <c r="C52" s="120" t="s">
        <v>1606</v>
      </c>
      <c r="D52" s="121" t="s">
        <v>1607</v>
      </c>
      <c r="E52" s="120" t="s">
        <v>312</v>
      </c>
      <c r="F52" s="120" t="s">
        <v>1608</v>
      </c>
      <c r="G52" s="121" t="s">
        <v>1609</v>
      </c>
      <c r="H52" s="120" t="s">
        <v>320</v>
      </c>
      <c r="I52" s="120" t="s">
        <v>918</v>
      </c>
      <c r="J52" s="120" t="s">
        <v>204</v>
      </c>
      <c r="K52" s="120" t="s">
        <v>292</v>
      </c>
      <c r="L52" s="120" t="s">
        <v>324</v>
      </c>
      <c r="M52" s="120" t="s">
        <v>313</v>
      </c>
      <c r="N52" s="120" t="s">
        <v>545</v>
      </c>
      <c r="O52" s="120" t="s">
        <v>338</v>
      </c>
      <c r="P52" s="120" t="s">
        <v>1216</v>
      </c>
      <c r="Q52" s="122">
        <v>1954</v>
      </c>
      <c r="R52" s="122">
        <v>4.0202</v>
      </c>
      <c r="S52" s="122">
        <v>96420</v>
      </c>
      <c r="T52" s="120"/>
      <c r="U52" s="122">
        <v>7574.2449500000002</v>
      </c>
      <c r="V52" s="123">
        <v>3.9999999999999998E-6</v>
      </c>
      <c r="W52" s="123">
        <v>5.9129999999999999E-3</v>
      </c>
      <c r="X52" s="123">
        <v>1.27E-4</v>
      </c>
    </row>
    <row r="53" spans="1:25" ht="15" customHeight="1">
      <c r="A53" s="121">
        <v>313</v>
      </c>
      <c r="B53" s="121">
        <v>313</v>
      </c>
      <c r="C53" s="120" t="s">
        <v>1578</v>
      </c>
      <c r="D53" s="121">
        <v>511812463</v>
      </c>
      <c r="E53" s="120" t="s">
        <v>308</v>
      </c>
      <c r="F53" s="120" t="s">
        <v>1579</v>
      </c>
      <c r="G53" s="121" t="s">
        <v>1580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324</v>
      </c>
      <c r="M53" s="120" t="s">
        <v>345</v>
      </c>
      <c r="N53" s="120" t="s">
        <v>547</v>
      </c>
      <c r="O53" s="120" t="s">
        <v>338</v>
      </c>
      <c r="P53" s="120" t="s">
        <v>1212</v>
      </c>
      <c r="Q53" s="122">
        <v>27795</v>
      </c>
      <c r="R53" s="122">
        <v>3.7589999999999999</v>
      </c>
      <c r="S53" s="122">
        <v>23453</v>
      </c>
      <c r="T53" s="120"/>
      <c r="U53" s="122">
        <v>24504.02391</v>
      </c>
      <c r="V53" s="123">
        <v>9.5600000000000004E-4</v>
      </c>
      <c r="W53" s="123">
        <v>1.9130999999999999E-2</v>
      </c>
      <c r="X53" s="123">
        <v>4.1100000000000002E-4</v>
      </c>
    </row>
    <row r="54" spans="1:25" ht="15" customHeight="1">
      <c r="A54" s="121">
        <v>313</v>
      </c>
      <c r="B54" s="121">
        <v>313</v>
      </c>
      <c r="C54" s="120" t="s">
        <v>1503</v>
      </c>
      <c r="D54" s="121">
        <v>520041997</v>
      </c>
      <c r="E54" s="120" t="s">
        <v>308</v>
      </c>
      <c r="F54" s="120" t="s">
        <v>1503</v>
      </c>
      <c r="G54" s="121" t="s">
        <v>1504</v>
      </c>
      <c r="H54" s="120" t="s">
        <v>320</v>
      </c>
      <c r="I54" s="120" t="s">
        <v>918</v>
      </c>
      <c r="J54" s="120" t="s">
        <v>204</v>
      </c>
      <c r="K54" s="120" t="s">
        <v>203</v>
      </c>
      <c r="L54" s="120" t="s">
        <v>324</v>
      </c>
      <c r="M54" s="120" t="s">
        <v>345</v>
      </c>
      <c r="N54" s="120" t="s">
        <v>547</v>
      </c>
      <c r="O54" s="120" t="s">
        <v>338</v>
      </c>
      <c r="P54" s="120" t="s">
        <v>1212</v>
      </c>
      <c r="Q54" s="122">
        <v>186299</v>
      </c>
      <c r="R54" s="122">
        <v>3.7589999999999999</v>
      </c>
      <c r="S54" s="122">
        <v>3931</v>
      </c>
      <c r="T54" s="120"/>
      <c r="U54" s="122">
        <v>27528.712060000002</v>
      </c>
      <c r="V54" s="123">
        <v>1.6770000000000001E-3</v>
      </c>
      <c r="W54" s="123">
        <v>2.1492000000000001E-2</v>
      </c>
      <c r="X54" s="123">
        <v>4.6099999999999998E-4</v>
      </c>
    </row>
    <row r="55" spans="1:25" ht="15" customHeight="1">
      <c r="A55" s="121">
        <v>313</v>
      </c>
      <c r="B55" s="121">
        <v>313</v>
      </c>
      <c r="C55" s="120" t="s">
        <v>1511</v>
      </c>
      <c r="D55" s="121">
        <v>520036872</v>
      </c>
      <c r="E55" s="120" t="s">
        <v>308</v>
      </c>
      <c r="F55" s="120" t="s">
        <v>1511</v>
      </c>
      <c r="G55" s="121" t="s">
        <v>1610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345</v>
      </c>
      <c r="N55" s="120" t="s">
        <v>543</v>
      </c>
      <c r="O55" s="120" t="s">
        <v>338</v>
      </c>
      <c r="P55" s="120" t="s">
        <v>1212</v>
      </c>
      <c r="Q55" s="122">
        <v>12905</v>
      </c>
      <c r="R55" s="122">
        <v>3.7589999999999999</v>
      </c>
      <c r="S55" s="122">
        <v>17197</v>
      </c>
      <c r="T55" s="120"/>
      <c r="U55" s="122">
        <v>8342.2466399999994</v>
      </c>
      <c r="V55" s="123">
        <v>2.03E-4</v>
      </c>
      <c r="W55" s="123">
        <v>6.5129999999999997E-3</v>
      </c>
      <c r="X55" s="123">
        <v>1.3899999999999999E-4</v>
      </c>
    </row>
    <row r="56" spans="1:25" ht="15" customHeight="1">
      <c r="A56" s="121">
        <v>313</v>
      </c>
      <c r="B56" s="121">
        <v>313</v>
      </c>
      <c r="C56" s="120" t="s">
        <v>1388</v>
      </c>
      <c r="D56" s="121" t="s">
        <v>1389</v>
      </c>
      <c r="E56" s="120" t="s">
        <v>312</v>
      </c>
      <c r="F56" s="120" t="s">
        <v>1611</v>
      </c>
      <c r="G56" s="121" t="s">
        <v>1612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542</v>
      </c>
      <c r="O56" s="120" t="s">
        <v>338</v>
      </c>
      <c r="P56" s="120" t="s">
        <v>1212</v>
      </c>
      <c r="Q56" s="122">
        <v>4704</v>
      </c>
      <c r="R56" s="122">
        <v>3.7589999999999999</v>
      </c>
      <c r="S56" s="122">
        <v>50422</v>
      </c>
      <c r="T56" s="120"/>
      <c r="U56" s="122">
        <v>8915.7874599999996</v>
      </c>
      <c r="V56" s="123">
        <v>1.9999999999999999E-6</v>
      </c>
      <c r="W56" s="123">
        <v>6.96E-3</v>
      </c>
      <c r="X56" s="123">
        <v>1.4899999999999999E-4</v>
      </c>
    </row>
    <row r="57" spans="1:25" ht="15" customHeight="1">
      <c r="A57" s="121">
        <v>313</v>
      </c>
      <c r="B57" s="121">
        <v>313</v>
      </c>
      <c r="C57" s="120" t="s">
        <v>1613</v>
      </c>
      <c r="D57" s="121" t="s">
        <v>1614</v>
      </c>
      <c r="E57" s="120" t="s">
        <v>312</v>
      </c>
      <c r="F57" s="120" t="s">
        <v>1615</v>
      </c>
      <c r="G57" s="121" t="s">
        <v>1616</v>
      </c>
      <c r="H57" s="120" t="s">
        <v>320</v>
      </c>
      <c r="I57" s="120" t="s">
        <v>918</v>
      </c>
      <c r="J57" s="120" t="s">
        <v>204</v>
      </c>
      <c r="K57" s="120" t="s">
        <v>292</v>
      </c>
      <c r="L57" s="120" t="s">
        <v>324</v>
      </c>
      <c r="M57" s="120" t="s">
        <v>313</v>
      </c>
      <c r="N57" s="120" t="s">
        <v>530</v>
      </c>
      <c r="O57" s="120" t="s">
        <v>338</v>
      </c>
      <c r="P57" s="120" t="s">
        <v>1224</v>
      </c>
      <c r="Q57" s="122">
        <v>10417</v>
      </c>
      <c r="R57" s="122">
        <v>0.53900000000000003</v>
      </c>
      <c r="S57" s="122">
        <v>100822.7</v>
      </c>
      <c r="T57" s="120"/>
      <c r="U57" s="122">
        <v>5660.9556599999996</v>
      </c>
      <c r="V57" s="123">
        <v>3.0000000000000001E-6</v>
      </c>
      <c r="W57" s="123">
        <v>4.4190000000000002E-3</v>
      </c>
      <c r="X57" s="123">
        <v>9.3999999999999994E-5</v>
      </c>
    </row>
    <row r="58" spans="1:25" ht="15" customHeight="1">
      <c r="A58" s="121">
        <v>313</v>
      </c>
      <c r="B58" s="121">
        <v>313</v>
      </c>
      <c r="C58" s="120" t="s">
        <v>1479</v>
      </c>
      <c r="D58" s="121">
        <v>520013954</v>
      </c>
      <c r="E58" s="120" t="s">
        <v>308</v>
      </c>
      <c r="F58" s="120" t="s">
        <v>1479</v>
      </c>
      <c r="G58" s="121" t="s">
        <v>1617</v>
      </c>
      <c r="H58" s="120" t="s">
        <v>320</v>
      </c>
      <c r="I58" s="120" t="s">
        <v>918</v>
      </c>
      <c r="J58" s="120" t="s">
        <v>204</v>
      </c>
      <c r="K58" s="120" t="s">
        <v>203</v>
      </c>
      <c r="L58" s="120" t="s">
        <v>324</v>
      </c>
      <c r="M58" s="120" t="s">
        <v>343</v>
      </c>
      <c r="N58" s="120" t="s">
        <v>533</v>
      </c>
      <c r="O58" s="120" t="s">
        <v>338</v>
      </c>
      <c r="P58" s="120" t="s">
        <v>1212</v>
      </c>
      <c r="Q58" s="122">
        <v>285957</v>
      </c>
      <c r="R58" s="122">
        <v>3.7589999999999999</v>
      </c>
      <c r="S58" s="122">
        <v>1625</v>
      </c>
      <c r="T58" s="120"/>
      <c r="U58" s="122">
        <v>17467.3259</v>
      </c>
      <c r="V58" s="123">
        <v>2.5500000000000002E-4</v>
      </c>
      <c r="W58" s="123">
        <v>1.3637E-2</v>
      </c>
      <c r="X58" s="123">
        <v>2.9300000000000002E-4</v>
      </c>
    </row>
    <row r="59" spans="1:25" ht="15" customHeight="1">
      <c r="A59" s="121">
        <v>313</v>
      </c>
      <c r="B59" s="121">
        <v>313</v>
      </c>
      <c r="C59" s="120" t="s">
        <v>1618</v>
      </c>
      <c r="D59" s="121" t="s">
        <v>1619</v>
      </c>
      <c r="E59" s="120" t="s">
        <v>312</v>
      </c>
      <c r="F59" s="120" t="s">
        <v>1620</v>
      </c>
      <c r="G59" s="121" t="s">
        <v>1621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543</v>
      </c>
      <c r="O59" s="120" t="s">
        <v>338</v>
      </c>
      <c r="P59" s="120" t="s">
        <v>1212</v>
      </c>
      <c r="Q59" s="122">
        <v>6076</v>
      </c>
      <c r="R59" s="122">
        <v>3.7589999999999999</v>
      </c>
      <c r="S59" s="122">
        <v>44695</v>
      </c>
      <c r="T59" s="120"/>
      <c r="U59" s="122">
        <v>10208.196760000001</v>
      </c>
      <c r="V59" s="123">
        <v>0</v>
      </c>
      <c r="W59" s="123">
        <v>7.9690000000000004E-3</v>
      </c>
      <c r="X59" s="123">
        <v>1.7100000000000001E-4</v>
      </c>
      <c r="Y59" s="132"/>
    </row>
    <row r="60" spans="1:25" ht="15" customHeight="1">
      <c r="A60" s="121">
        <v>313</v>
      </c>
      <c r="B60" s="121">
        <v>313</v>
      </c>
      <c r="C60" s="120" t="s">
        <v>1622</v>
      </c>
      <c r="D60" s="121" t="s">
        <v>1623</v>
      </c>
      <c r="E60" s="120" t="s">
        <v>312</v>
      </c>
      <c r="F60" s="120" t="s">
        <v>1624</v>
      </c>
      <c r="G60" s="121" t="s">
        <v>1625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547</v>
      </c>
      <c r="O60" s="120" t="s">
        <v>338</v>
      </c>
      <c r="P60" s="120" t="s">
        <v>1212</v>
      </c>
      <c r="Q60" s="122">
        <v>11881</v>
      </c>
      <c r="R60" s="122">
        <v>3.7589999999999999</v>
      </c>
      <c r="S60" s="122">
        <v>16221</v>
      </c>
      <c r="T60" s="120"/>
      <c r="U60" s="122">
        <v>7244.4087399999999</v>
      </c>
      <c r="V60" s="123">
        <v>6.9999999999999999E-6</v>
      </c>
      <c r="W60" s="123">
        <v>5.6559999999999996E-3</v>
      </c>
      <c r="X60" s="123">
        <v>1.21E-4</v>
      </c>
      <c r="Y60" s="132"/>
    </row>
    <row r="61" spans="1:25" ht="15" customHeight="1">
      <c r="A61" s="121">
        <v>313</v>
      </c>
      <c r="B61" s="121">
        <v>313</v>
      </c>
      <c r="C61" s="120" t="s">
        <v>1626</v>
      </c>
      <c r="D61" s="121" t="s">
        <v>1627</v>
      </c>
      <c r="E61" s="120" t="s">
        <v>312</v>
      </c>
      <c r="F61" s="120" t="s">
        <v>1628</v>
      </c>
      <c r="G61" s="121" t="s">
        <v>1629</v>
      </c>
      <c r="H61" s="120" t="s">
        <v>320</v>
      </c>
      <c r="I61" s="120" t="s">
        <v>918</v>
      </c>
      <c r="J61" s="120" t="s">
        <v>204</v>
      </c>
      <c r="K61" s="120" t="s">
        <v>292</v>
      </c>
      <c r="L61" s="120" t="s">
        <v>324</v>
      </c>
      <c r="M61" s="120" t="s">
        <v>313</v>
      </c>
      <c r="N61" s="120" t="s">
        <v>568</v>
      </c>
      <c r="O61" s="120" t="s">
        <v>338</v>
      </c>
      <c r="P61" s="120" t="s">
        <v>1216</v>
      </c>
      <c r="Q61" s="122">
        <v>7811</v>
      </c>
      <c r="R61" s="122">
        <v>4.0202</v>
      </c>
      <c r="S61" s="122">
        <v>47400</v>
      </c>
      <c r="T61" s="120"/>
      <c r="U61" s="122">
        <v>14884.44476</v>
      </c>
      <c r="V61" s="123">
        <v>1.7899999999999999E-4</v>
      </c>
      <c r="W61" s="123">
        <v>1.162E-2</v>
      </c>
      <c r="X61" s="123">
        <v>2.4899999999999998E-4</v>
      </c>
      <c r="Y61" s="132"/>
    </row>
    <row r="62" spans="1:25" ht="15" customHeight="1">
      <c r="A62" s="121">
        <v>313</v>
      </c>
      <c r="B62" s="121">
        <v>313</v>
      </c>
      <c r="C62" s="120" t="s">
        <v>1630</v>
      </c>
      <c r="D62" s="121" t="s">
        <v>1631</v>
      </c>
      <c r="E62" s="120" t="s">
        <v>312</v>
      </c>
      <c r="F62" s="120" t="s">
        <v>1632</v>
      </c>
      <c r="G62" s="121" t="s">
        <v>1633</v>
      </c>
      <c r="H62" s="120" t="s">
        <v>320</v>
      </c>
      <c r="I62" s="120" t="s">
        <v>918</v>
      </c>
      <c r="J62" s="120" t="s">
        <v>204</v>
      </c>
      <c r="K62" s="120" t="s">
        <v>292</v>
      </c>
      <c r="L62" s="120" t="s">
        <v>324</v>
      </c>
      <c r="M62" s="120" t="s">
        <v>313</v>
      </c>
      <c r="N62" s="120" t="s">
        <v>485</v>
      </c>
      <c r="O62" s="120" t="s">
        <v>338</v>
      </c>
      <c r="P62" s="120" t="s">
        <v>1224</v>
      </c>
      <c r="Q62" s="122">
        <v>22469</v>
      </c>
      <c r="R62" s="122">
        <v>0.53900000000000003</v>
      </c>
      <c r="S62" s="122">
        <v>37060</v>
      </c>
      <c r="T62" s="120"/>
      <c r="U62" s="122">
        <v>4488.2591400000001</v>
      </c>
      <c r="V62" s="123">
        <v>5.3000000000000001E-5</v>
      </c>
      <c r="W62" s="123">
        <v>3.5040000000000002E-3</v>
      </c>
      <c r="X62" s="123">
        <v>7.4999999999999993E-5</v>
      </c>
      <c r="Y62" s="132"/>
    </row>
    <row r="63" spans="1:25" ht="15" customHeight="1">
      <c r="A63" s="121">
        <v>313</v>
      </c>
      <c r="B63" s="121">
        <v>313</v>
      </c>
      <c r="C63" s="120" t="s">
        <v>1508</v>
      </c>
      <c r="D63" s="121">
        <v>560038986</v>
      </c>
      <c r="E63" s="120" t="s">
        <v>308</v>
      </c>
      <c r="F63" s="120" t="s">
        <v>1509</v>
      </c>
      <c r="G63" s="121" t="s">
        <v>1510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345</v>
      </c>
      <c r="N63" s="120" t="s">
        <v>543</v>
      </c>
      <c r="O63" s="120" t="s">
        <v>338</v>
      </c>
      <c r="P63" s="120" t="s">
        <v>1212</v>
      </c>
      <c r="Q63" s="122">
        <v>12530</v>
      </c>
      <c r="R63" s="122">
        <v>3.7589999999999999</v>
      </c>
      <c r="S63" s="122">
        <v>3393</v>
      </c>
      <c r="T63" s="120"/>
      <c r="U63" s="122">
        <v>1598.1121599999999</v>
      </c>
      <c r="V63" s="123">
        <v>2.24E-4</v>
      </c>
      <c r="W63" s="123">
        <v>1.2470000000000001E-3</v>
      </c>
      <c r="X63" s="123">
        <v>2.5999999999999998E-5</v>
      </c>
      <c r="Y63" s="132"/>
    </row>
    <row r="64" spans="1:25" ht="15" customHeight="1">
      <c r="A64" s="121">
        <v>313</v>
      </c>
      <c r="B64" s="121">
        <v>313</v>
      </c>
      <c r="C64" s="120" t="s">
        <v>1634</v>
      </c>
      <c r="D64" s="121" t="s">
        <v>1635</v>
      </c>
      <c r="E64" s="120" t="s">
        <v>312</v>
      </c>
      <c r="F64" s="120" t="s">
        <v>1636</v>
      </c>
      <c r="G64" s="121" t="s">
        <v>1637</v>
      </c>
      <c r="H64" s="120" t="s">
        <v>320</v>
      </c>
      <c r="I64" s="120" t="s">
        <v>918</v>
      </c>
      <c r="J64" s="120" t="s">
        <v>204</v>
      </c>
      <c r="K64" s="120" t="s">
        <v>223</v>
      </c>
      <c r="L64" s="120" t="s">
        <v>324</v>
      </c>
      <c r="M64" s="120" t="s">
        <v>345</v>
      </c>
      <c r="N64" s="120" t="s">
        <v>547</v>
      </c>
      <c r="O64" s="120" t="s">
        <v>338</v>
      </c>
      <c r="P64" s="120" t="s">
        <v>1212</v>
      </c>
      <c r="Q64" s="122">
        <v>2175</v>
      </c>
      <c r="R64" s="122">
        <v>3.7589999999999999</v>
      </c>
      <c r="S64" s="122">
        <v>106485</v>
      </c>
      <c r="T64" s="120"/>
      <c r="U64" s="122">
        <v>8706.0272499999992</v>
      </c>
      <c r="V64" s="123">
        <v>1.5999999999999999E-5</v>
      </c>
      <c r="W64" s="123">
        <v>6.7970000000000001E-3</v>
      </c>
      <c r="X64" s="123">
        <v>1.46E-4</v>
      </c>
      <c r="Y64" s="132"/>
    </row>
    <row r="65" spans="1:25" ht="15" customHeight="1">
      <c r="A65" s="121">
        <v>313</v>
      </c>
      <c r="B65" s="121">
        <v>313</v>
      </c>
      <c r="C65" s="120" t="s">
        <v>1638</v>
      </c>
      <c r="D65" s="121" t="s">
        <v>1639</v>
      </c>
      <c r="E65" s="120" t="s">
        <v>312</v>
      </c>
      <c r="F65" s="120" t="s">
        <v>1640</v>
      </c>
      <c r="G65" s="121" t="s">
        <v>1641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324</v>
      </c>
      <c r="M65" s="120" t="s">
        <v>345</v>
      </c>
      <c r="N65" s="120" t="s">
        <v>568</v>
      </c>
      <c r="O65" s="120" t="s">
        <v>338</v>
      </c>
      <c r="P65" s="120" t="s">
        <v>1212</v>
      </c>
      <c r="Q65" s="122">
        <v>22757</v>
      </c>
      <c r="R65" s="122">
        <v>3.7589999999999999</v>
      </c>
      <c r="S65" s="122">
        <v>19325</v>
      </c>
      <c r="T65" s="120"/>
      <c r="U65" s="122">
        <v>16531.293549999999</v>
      </c>
      <c r="V65" s="123">
        <v>1.9999999999999999E-6</v>
      </c>
      <c r="W65" s="123">
        <v>1.2906000000000001E-2</v>
      </c>
      <c r="X65" s="123">
        <v>2.7700000000000001E-4</v>
      </c>
      <c r="Y65" s="132"/>
    </row>
    <row r="66" spans="1:25" ht="15" customHeight="1">
      <c r="A66" s="121">
        <v>313</v>
      </c>
      <c r="B66" s="121">
        <v>313</v>
      </c>
      <c r="C66" s="120" t="s">
        <v>1535</v>
      </c>
      <c r="D66" s="121">
        <v>880326081</v>
      </c>
      <c r="E66" s="120" t="s">
        <v>308</v>
      </c>
      <c r="F66" s="120" t="s">
        <v>1536</v>
      </c>
      <c r="G66" s="121" t="s">
        <v>1537</v>
      </c>
      <c r="H66" s="120" t="s">
        <v>320</v>
      </c>
      <c r="I66" s="120" t="s">
        <v>918</v>
      </c>
      <c r="J66" s="120" t="s">
        <v>204</v>
      </c>
      <c r="K66" s="120" t="s">
        <v>223</v>
      </c>
      <c r="L66" s="120" t="s">
        <v>324</v>
      </c>
      <c r="M66" s="120" t="s">
        <v>343</v>
      </c>
      <c r="N66" s="120" t="s">
        <v>485</v>
      </c>
      <c r="O66" s="120" t="s">
        <v>338</v>
      </c>
      <c r="P66" s="120" t="s">
        <v>1212</v>
      </c>
      <c r="Q66" s="122">
        <v>26413</v>
      </c>
      <c r="R66" s="122">
        <v>3.7589999999999999</v>
      </c>
      <c r="S66" s="122">
        <v>7170</v>
      </c>
      <c r="T66" s="120"/>
      <c r="U66" s="122">
        <v>7118.83968</v>
      </c>
      <c r="V66" s="123">
        <v>4.37E-4</v>
      </c>
      <c r="W66" s="123">
        <v>5.5570000000000003E-3</v>
      </c>
      <c r="X66" s="123">
        <v>1.1900000000000001E-4</v>
      </c>
      <c r="Y66" s="13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4"/>
  <sheetViews>
    <sheetView rightToLeft="1" topLeftCell="I13" workbookViewId="0">
      <selection activeCell="Q19" sqref="Q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875" bestFit="1" customWidth="1"/>
    <col min="19" max="19" width="8.5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9" customWidth="1"/>
    <col min="25" max="25" width="12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1642</v>
      </c>
      <c r="D2" s="121">
        <v>510938608</v>
      </c>
      <c r="E2" s="120" t="s">
        <v>308</v>
      </c>
      <c r="F2" s="120" t="s">
        <v>1643</v>
      </c>
      <c r="G2" s="121" t="s">
        <v>1644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1217</v>
      </c>
      <c r="P2" s="122">
        <v>162819.07</v>
      </c>
      <c r="Q2" s="122">
        <v>1</v>
      </c>
      <c r="R2" s="122">
        <v>3605.5</v>
      </c>
      <c r="S2" s="122"/>
      <c r="T2" s="122">
        <v>5870.44157</v>
      </c>
      <c r="U2" s="123">
        <v>2.0630000000000002E-3</v>
      </c>
      <c r="V2" s="123">
        <v>1.639E-3</v>
      </c>
      <c r="W2" s="123">
        <v>9.7999999999999997E-5</v>
      </c>
    </row>
    <row r="3" spans="1:26" ht="15" customHeight="1">
      <c r="A3" s="121">
        <v>313</v>
      </c>
      <c r="B3" s="121">
        <v>313</v>
      </c>
      <c r="C3" s="120" t="s">
        <v>1645</v>
      </c>
      <c r="D3" s="121">
        <v>511303661</v>
      </c>
      <c r="E3" s="120" t="s">
        <v>308</v>
      </c>
      <c r="F3" s="120" t="s">
        <v>1646</v>
      </c>
      <c r="G3" s="121" t="s">
        <v>1647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1217</v>
      </c>
      <c r="P3" s="122">
        <v>906000</v>
      </c>
      <c r="Q3" s="122">
        <v>1</v>
      </c>
      <c r="R3" s="122">
        <v>450.15</v>
      </c>
      <c r="S3" s="122"/>
      <c r="T3" s="122">
        <v>4078.3589999999999</v>
      </c>
      <c r="U3" s="123">
        <v>3.7910000000000001E-3</v>
      </c>
      <c r="V3" s="123">
        <v>1.1379999999999999E-3</v>
      </c>
      <c r="W3" s="123">
        <v>6.7999999999999999E-5</v>
      </c>
    </row>
    <row r="4" spans="1:26" ht="15" customHeight="1">
      <c r="A4" s="121">
        <v>313</v>
      </c>
      <c r="B4" s="121">
        <v>313</v>
      </c>
      <c r="C4" s="120" t="s">
        <v>1648</v>
      </c>
      <c r="D4" s="121">
        <v>513534974</v>
      </c>
      <c r="E4" s="120" t="s">
        <v>308</v>
      </c>
      <c r="F4" s="120" t="s">
        <v>1649</v>
      </c>
      <c r="G4" s="121" t="s">
        <v>1650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1217</v>
      </c>
      <c r="P4" s="122">
        <v>157622</v>
      </c>
      <c r="Q4" s="122">
        <v>1</v>
      </c>
      <c r="R4" s="122">
        <v>1960</v>
      </c>
      <c r="S4" s="122"/>
      <c r="T4" s="122">
        <v>3089.3912</v>
      </c>
      <c r="U4" s="123">
        <v>6.1399999999999996E-4</v>
      </c>
      <c r="V4" s="123">
        <v>8.6200000000000003E-4</v>
      </c>
      <c r="W4" s="123">
        <v>5.1E-5</v>
      </c>
    </row>
    <row r="5" spans="1:26" ht="15" customHeight="1">
      <c r="A5" s="121">
        <v>313</v>
      </c>
      <c r="B5" s="121">
        <v>313</v>
      </c>
      <c r="C5" s="120" t="s">
        <v>1651</v>
      </c>
      <c r="D5" s="121">
        <v>511776783</v>
      </c>
      <c r="E5" s="120" t="s">
        <v>308</v>
      </c>
      <c r="F5" s="120" t="s">
        <v>1652</v>
      </c>
      <c r="G5" s="121" t="s">
        <v>1653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1217</v>
      </c>
      <c r="P5" s="122">
        <v>1883400</v>
      </c>
      <c r="Q5" s="122">
        <v>1</v>
      </c>
      <c r="R5" s="122">
        <v>364.58</v>
      </c>
      <c r="S5" s="122"/>
      <c r="T5" s="122">
        <v>6866.4997199999998</v>
      </c>
      <c r="U5" s="123">
        <v>7.7250000000000001E-3</v>
      </c>
      <c r="V5" s="123">
        <v>1.9170000000000001E-3</v>
      </c>
      <c r="W5" s="123">
        <v>1.15E-4</v>
      </c>
    </row>
    <row r="6" spans="1:26" ht="15" customHeight="1">
      <c r="A6" s="121">
        <v>313</v>
      </c>
      <c r="B6" s="121">
        <v>313</v>
      </c>
      <c r="C6" s="120" t="s">
        <v>1642</v>
      </c>
      <c r="D6" s="121">
        <v>510938608</v>
      </c>
      <c r="E6" s="120" t="s">
        <v>308</v>
      </c>
      <c r="F6" s="120" t="s">
        <v>1654</v>
      </c>
      <c r="G6" s="121" t="s">
        <v>1655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1217</v>
      </c>
      <c r="P6" s="122">
        <v>59326.400000000001</v>
      </c>
      <c r="Q6" s="122">
        <v>1</v>
      </c>
      <c r="R6" s="122">
        <v>19470</v>
      </c>
      <c r="S6" s="122"/>
      <c r="T6" s="122">
        <v>11550.85008</v>
      </c>
      <c r="U6" s="123">
        <v>1.856E-3</v>
      </c>
      <c r="V6" s="123">
        <v>3.225E-3</v>
      </c>
      <c r="W6" s="123">
        <v>1.93E-4</v>
      </c>
    </row>
    <row r="7" spans="1:26" ht="15" customHeight="1">
      <c r="A7" s="121">
        <v>313</v>
      </c>
      <c r="B7" s="121">
        <v>313</v>
      </c>
      <c r="C7" s="120" t="s">
        <v>1645</v>
      </c>
      <c r="D7" s="121">
        <v>511303661</v>
      </c>
      <c r="E7" s="120" t="s">
        <v>308</v>
      </c>
      <c r="F7" s="120" t="s">
        <v>1656</v>
      </c>
      <c r="G7" s="121" t="s">
        <v>1657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1217</v>
      </c>
      <c r="P7" s="122">
        <v>180305</v>
      </c>
      <c r="Q7" s="122">
        <v>1</v>
      </c>
      <c r="R7" s="122">
        <v>2671</v>
      </c>
      <c r="S7" s="122"/>
      <c r="T7" s="122">
        <v>4815.9465499999997</v>
      </c>
      <c r="U7" s="123">
        <v>2.575E-3</v>
      </c>
      <c r="V7" s="123">
        <v>1.3439999999999999E-3</v>
      </c>
      <c r="W7" s="123">
        <v>8.0000000000000007E-5</v>
      </c>
    </row>
    <row r="8" spans="1:26" ht="15" customHeight="1">
      <c r="A8" s="121">
        <v>313</v>
      </c>
      <c r="B8" s="121">
        <v>313</v>
      </c>
      <c r="C8" s="120" t="s">
        <v>1658</v>
      </c>
      <c r="D8" s="121">
        <v>514884485</v>
      </c>
      <c r="E8" s="120" t="s">
        <v>308</v>
      </c>
      <c r="F8" s="120" t="s">
        <v>1659</v>
      </c>
      <c r="G8" s="121" t="s">
        <v>1660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576</v>
      </c>
      <c r="N8" s="120" t="s">
        <v>338</v>
      </c>
      <c r="O8" s="120" t="s">
        <v>1217</v>
      </c>
      <c r="P8" s="122">
        <v>357141</v>
      </c>
      <c r="Q8" s="122">
        <v>1</v>
      </c>
      <c r="R8" s="122">
        <v>4959</v>
      </c>
      <c r="S8" s="122"/>
      <c r="T8" s="122">
        <v>17710.622189999998</v>
      </c>
      <c r="U8" s="123">
        <v>3.4673000000000002E-2</v>
      </c>
      <c r="V8" s="123">
        <v>4.9449999999999997E-3</v>
      </c>
      <c r="W8" s="123">
        <v>2.9700000000000001E-4</v>
      </c>
    </row>
    <row r="9" spans="1:26" ht="15" customHeight="1">
      <c r="A9" s="121">
        <v>313</v>
      </c>
      <c r="B9" s="121">
        <v>313</v>
      </c>
      <c r="C9" s="120" t="s">
        <v>1661</v>
      </c>
      <c r="D9" s="121" t="s">
        <v>1662</v>
      </c>
      <c r="E9" s="120" t="s">
        <v>312</v>
      </c>
      <c r="F9" s="120" t="s">
        <v>1663</v>
      </c>
      <c r="G9" s="121" t="s">
        <v>1664</v>
      </c>
      <c r="H9" s="120" t="s">
        <v>320</v>
      </c>
      <c r="I9" s="120" t="s">
        <v>313</v>
      </c>
      <c r="J9" s="120" t="s">
        <v>204</v>
      </c>
      <c r="K9" s="120" t="s">
        <v>223</v>
      </c>
      <c r="L9" s="120" t="s">
        <v>343</v>
      </c>
      <c r="M9" s="130" t="s">
        <v>734</v>
      </c>
      <c r="N9" s="120" t="s">
        <v>338</v>
      </c>
      <c r="O9" s="120" t="s">
        <v>1212</v>
      </c>
      <c r="P9" s="122">
        <v>247926</v>
      </c>
      <c r="Q9" s="122">
        <v>3.7589999999999999</v>
      </c>
      <c r="R9" s="122">
        <v>8376</v>
      </c>
      <c r="S9" s="122">
        <v>256.05797000000001</v>
      </c>
      <c r="T9" s="122">
        <v>79022.975049999994</v>
      </c>
      <c r="U9" s="123">
        <v>6.4599999999999998E-4</v>
      </c>
      <c r="V9" s="123">
        <v>2.2062999999999999E-2</v>
      </c>
      <c r="W9" s="123">
        <v>1.325E-3</v>
      </c>
    </row>
    <row r="10" spans="1:26" ht="15" customHeight="1">
      <c r="A10" s="121">
        <v>313</v>
      </c>
      <c r="B10" s="121">
        <v>313</v>
      </c>
      <c r="C10" s="120" t="s">
        <v>1665</v>
      </c>
      <c r="D10" s="121" t="s">
        <v>1666</v>
      </c>
      <c r="E10" s="120" t="s">
        <v>312</v>
      </c>
      <c r="F10" s="120" t="s">
        <v>1667</v>
      </c>
      <c r="G10" s="121" t="s">
        <v>1668</v>
      </c>
      <c r="H10" s="120" t="s">
        <v>320</v>
      </c>
      <c r="I10" s="120" t="s">
        <v>966</v>
      </c>
      <c r="J10" s="120" t="s">
        <v>204</v>
      </c>
      <c r="K10" s="120" t="s">
        <v>223</v>
      </c>
      <c r="L10" s="120" t="s">
        <v>379</v>
      </c>
      <c r="M10" s="130" t="s">
        <v>734</v>
      </c>
      <c r="N10" s="120" t="s">
        <v>338</v>
      </c>
      <c r="O10" s="120" t="s">
        <v>1212</v>
      </c>
      <c r="P10" s="122">
        <v>882446</v>
      </c>
      <c r="Q10" s="122">
        <v>3.7589999999999999</v>
      </c>
      <c r="R10" s="122">
        <v>15889</v>
      </c>
      <c r="S10" s="122"/>
      <c r="T10" s="122">
        <v>527056.32513000001</v>
      </c>
      <c r="U10" s="123">
        <v>1.7956E-2</v>
      </c>
      <c r="V10" s="123">
        <v>0.14716000000000001</v>
      </c>
      <c r="W10" s="123">
        <v>8.8439999999999994E-3</v>
      </c>
    </row>
    <row r="11" spans="1:26" ht="15" customHeight="1">
      <c r="A11" s="121">
        <v>313</v>
      </c>
      <c r="B11" s="121">
        <v>313</v>
      </c>
      <c r="C11" s="120" t="s">
        <v>1669</v>
      </c>
      <c r="D11" s="121" t="s">
        <v>1670</v>
      </c>
      <c r="E11" s="120" t="s">
        <v>312</v>
      </c>
      <c r="F11" s="120" t="s">
        <v>1671</v>
      </c>
      <c r="G11" s="121" t="s">
        <v>1672</v>
      </c>
      <c r="H11" s="120" t="s">
        <v>320</v>
      </c>
      <c r="I11" s="120" t="s">
        <v>966</v>
      </c>
      <c r="J11" s="120" t="s">
        <v>204</v>
      </c>
      <c r="K11" s="120" t="s">
        <v>223</v>
      </c>
      <c r="L11" s="120" t="s">
        <v>313</v>
      </c>
      <c r="M11" s="130" t="s">
        <v>734</v>
      </c>
      <c r="N11" s="120" t="s">
        <v>338</v>
      </c>
      <c r="O11" s="120" t="s">
        <v>1212</v>
      </c>
      <c r="P11" s="122">
        <v>178499</v>
      </c>
      <c r="Q11" s="122">
        <v>3.7589999999999999</v>
      </c>
      <c r="R11" s="122">
        <v>3702</v>
      </c>
      <c r="S11" s="122">
        <v>14.29777</v>
      </c>
      <c r="T11" s="122">
        <v>24893.34129</v>
      </c>
      <c r="U11" s="123">
        <v>8.9599999999999999E-4</v>
      </c>
      <c r="V11" s="123">
        <v>6.9499999999999996E-3</v>
      </c>
      <c r="W11" s="123">
        <v>4.1599999999999997E-4</v>
      </c>
    </row>
    <row r="12" spans="1:26" ht="15" customHeight="1">
      <c r="A12" s="121">
        <v>313</v>
      </c>
      <c r="B12" s="121">
        <v>313</v>
      </c>
      <c r="C12" s="120" t="s">
        <v>1673</v>
      </c>
      <c r="D12" s="121" t="s">
        <v>1674</v>
      </c>
      <c r="E12" s="120" t="s">
        <v>312</v>
      </c>
      <c r="F12" s="120" t="s">
        <v>1675</v>
      </c>
      <c r="G12" s="121" t="s">
        <v>1676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379</v>
      </c>
      <c r="M12" s="130" t="s">
        <v>734</v>
      </c>
      <c r="N12" s="120" t="s">
        <v>338</v>
      </c>
      <c r="O12" s="120" t="s">
        <v>1212</v>
      </c>
      <c r="P12" s="122">
        <v>203318</v>
      </c>
      <c r="Q12" s="122">
        <v>3.7589999999999999</v>
      </c>
      <c r="R12" s="122">
        <v>39029</v>
      </c>
      <c r="S12" s="122"/>
      <c r="T12" s="122">
        <v>298287.86015999998</v>
      </c>
      <c r="U12" s="123">
        <v>1.512E-2</v>
      </c>
      <c r="V12" s="123">
        <v>8.3284999999999998E-2</v>
      </c>
      <c r="W12" s="123">
        <v>5.0049999999999999E-3</v>
      </c>
    </row>
    <row r="13" spans="1:26" ht="15" customHeight="1">
      <c r="A13" s="121">
        <v>313</v>
      </c>
      <c r="B13" s="121">
        <v>313</v>
      </c>
      <c r="C13" s="120" t="s">
        <v>1677</v>
      </c>
      <c r="D13" s="121" t="s">
        <v>1678</v>
      </c>
      <c r="E13" s="120" t="s">
        <v>312</v>
      </c>
      <c r="F13" s="120" t="s">
        <v>1679</v>
      </c>
      <c r="G13" s="121" t="s">
        <v>1680</v>
      </c>
      <c r="H13" s="120" t="s">
        <v>320</v>
      </c>
      <c r="I13" s="120" t="s">
        <v>313</v>
      </c>
      <c r="J13" s="120" t="s">
        <v>204</v>
      </c>
      <c r="K13" s="120" t="s">
        <v>223</v>
      </c>
      <c r="L13" s="120" t="s">
        <v>379</v>
      </c>
      <c r="M13" s="130" t="s">
        <v>677</v>
      </c>
      <c r="N13" s="120" t="s">
        <v>338</v>
      </c>
      <c r="O13" s="120" t="s">
        <v>1212</v>
      </c>
      <c r="P13" s="122">
        <v>122400</v>
      </c>
      <c r="Q13" s="122">
        <v>3.7589999999999999</v>
      </c>
      <c r="R13" s="122">
        <v>3176.5</v>
      </c>
      <c r="S13" s="122"/>
      <c r="T13" s="122">
        <v>14615.12732</v>
      </c>
      <c r="U13" s="123">
        <v>0.16350500000000001</v>
      </c>
      <c r="V13" s="123">
        <v>4.0800000000000003E-3</v>
      </c>
      <c r="W13" s="123">
        <v>2.4499999999999999E-4</v>
      </c>
    </row>
    <row r="14" spans="1:26" ht="15" customHeight="1">
      <c r="A14" s="121">
        <v>313</v>
      </c>
      <c r="B14" s="121">
        <v>313</v>
      </c>
      <c r="C14" s="120" t="s">
        <v>1665</v>
      </c>
      <c r="D14" s="121" t="s">
        <v>1666</v>
      </c>
      <c r="E14" s="120" t="s">
        <v>312</v>
      </c>
      <c r="F14" s="120" t="s">
        <v>1681</v>
      </c>
      <c r="G14" s="121" t="s">
        <v>1682</v>
      </c>
      <c r="H14" s="120" t="s">
        <v>320</v>
      </c>
      <c r="I14" s="120" t="s">
        <v>966</v>
      </c>
      <c r="J14" s="120" t="s">
        <v>204</v>
      </c>
      <c r="K14" s="120" t="s">
        <v>302</v>
      </c>
      <c r="L14" s="120" t="s">
        <v>367</v>
      </c>
      <c r="M14" s="130" t="s">
        <v>734</v>
      </c>
      <c r="N14" s="120" t="s">
        <v>338</v>
      </c>
      <c r="O14" s="120" t="s">
        <v>1216</v>
      </c>
      <c r="P14" s="122">
        <v>693882</v>
      </c>
      <c r="Q14" s="122">
        <v>4.0202</v>
      </c>
      <c r="R14" s="122">
        <v>8984</v>
      </c>
      <c r="S14" s="122"/>
      <c r="T14" s="122">
        <v>250612.67037000001</v>
      </c>
      <c r="U14" s="123">
        <v>1.4649000000000001E-2</v>
      </c>
      <c r="V14" s="123">
        <v>6.9973999999999995E-2</v>
      </c>
      <c r="W14" s="123">
        <v>4.2050000000000004E-3</v>
      </c>
    </row>
    <row r="15" spans="1:26" ht="15" customHeight="1">
      <c r="A15" s="121">
        <v>313</v>
      </c>
      <c r="B15" s="121">
        <v>313</v>
      </c>
      <c r="C15" s="120" t="s">
        <v>1683</v>
      </c>
      <c r="D15" s="121" t="s">
        <v>1684</v>
      </c>
      <c r="E15" s="120" t="s">
        <v>312</v>
      </c>
      <c r="F15" s="120" t="s">
        <v>1685</v>
      </c>
      <c r="G15" s="121" t="s">
        <v>1686</v>
      </c>
      <c r="H15" s="120" t="s">
        <v>320</v>
      </c>
      <c r="I15" s="120" t="s">
        <v>966</v>
      </c>
      <c r="J15" s="120" t="s">
        <v>204</v>
      </c>
      <c r="K15" s="120" t="s">
        <v>288</v>
      </c>
      <c r="L15" s="120" t="s">
        <v>379</v>
      </c>
      <c r="M15" s="130" t="s">
        <v>734</v>
      </c>
      <c r="N15" s="120" t="s">
        <v>338</v>
      </c>
      <c r="O15" s="120" t="s">
        <v>1212</v>
      </c>
      <c r="P15" s="122">
        <v>1958176</v>
      </c>
      <c r="Q15" s="122">
        <v>3.7589999999999999</v>
      </c>
      <c r="R15" s="122">
        <v>3727</v>
      </c>
      <c r="S15" s="122"/>
      <c r="T15" s="122">
        <v>274336.40418000001</v>
      </c>
      <c r="U15" s="123">
        <v>1.0395E-2</v>
      </c>
      <c r="V15" s="123">
        <v>7.6597999999999999E-2</v>
      </c>
      <c r="W15" s="123">
        <v>4.6030000000000003E-3</v>
      </c>
    </row>
    <row r="16" spans="1:26" ht="15" customHeight="1">
      <c r="A16" s="121">
        <v>313</v>
      </c>
      <c r="B16" s="121">
        <v>313</v>
      </c>
      <c r="C16" s="120" t="s">
        <v>1687</v>
      </c>
      <c r="D16" s="121" t="s">
        <v>1678</v>
      </c>
      <c r="E16" s="120" t="s">
        <v>312</v>
      </c>
      <c r="F16" s="120" t="s">
        <v>1688</v>
      </c>
      <c r="G16" s="121" t="s">
        <v>1689</v>
      </c>
      <c r="H16" s="120" t="s">
        <v>320</v>
      </c>
      <c r="I16" s="120" t="s">
        <v>966</v>
      </c>
      <c r="J16" s="120" t="s">
        <v>204</v>
      </c>
      <c r="K16" s="120" t="s">
        <v>223</v>
      </c>
      <c r="L16" s="120" t="s">
        <v>379</v>
      </c>
      <c r="M16" s="130" t="s">
        <v>734</v>
      </c>
      <c r="N16" s="120" t="s">
        <v>338</v>
      </c>
      <c r="O16" s="120" t="s">
        <v>1212</v>
      </c>
      <c r="P16" s="122">
        <v>40419</v>
      </c>
      <c r="Q16" s="122">
        <v>3.7589999999999999</v>
      </c>
      <c r="R16" s="122">
        <v>107787</v>
      </c>
      <c r="S16" s="122"/>
      <c r="T16" s="122">
        <v>163766.20108999999</v>
      </c>
      <c r="U16" s="123">
        <v>1.8959999999999999E-3</v>
      </c>
      <c r="V16" s="123">
        <v>4.5725000000000002E-2</v>
      </c>
      <c r="W16" s="123">
        <v>2.748E-3</v>
      </c>
    </row>
    <row r="17" spans="1:23" ht="15" customHeight="1">
      <c r="A17" s="121">
        <v>313</v>
      </c>
      <c r="B17" s="121">
        <v>313</v>
      </c>
      <c r="C17" s="120" t="s">
        <v>1683</v>
      </c>
      <c r="D17" s="121" t="s">
        <v>1684</v>
      </c>
      <c r="E17" s="120" t="s">
        <v>312</v>
      </c>
      <c r="F17" s="120" t="s">
        <v>1690</v>
      </c>
      <c r="G17" s="121" t="s">
        <v>1691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343</v>
      </c>
      <c r="M17" s="130" t="s">
        <v>734</v>
      </c>
      <c r="N17" s="120" t="s">
        <v>338</v>
      </c>
      <c r="O17" s="120" t="s">
        <v>1212</v>
      </c>
      <c r="P17" s="122">
        <v>31711</v>
      </c>
      <c r="Q17" s="122">
        <v>3.7589999999999999</v>
      </c>
      <c r="R17" s="122">
        <v>9115</v>
      </c>
      <c r="S17" s="122"/>
      <c r="T17" s="122">
        <v>10865.230310000001</v>
      </c>
      <c r="U17" s="123">
        <v>7.6000000000000004E-5</v>
      </c>
      <c r="V17" s="123">
        <v>3.0330000000000001E-3</v>
      </c>
      <c r="W17" s="123">
        <v>1.8200000000000001E-4</v>
      </c>
    </row>
    <row r="18" spans="1:23" ht="15" customHeight="1">
      <c r="A18" s="121">
        <v>313</v>
      </c>
      <c r="B18" s="121">
        <v>313</v>
      </c>
      <c r="C18" s="120" t="s">
        <v>1687</v>
      </c>
      <c r="D18" s="121" t="s">
        <v>1678</v>
      </c>
      <c r="E18" s="120" t="s">
        <v>312</v>
      </c>
      <c r="F18" s="120" t="s">
        <v>1692</v>
      </c>
      <c r="G18" s="121" t="s">
        <v>1693</v>
      </c>
      <c r="H18" s="120" t="s">
        <v>320</v>
      </c>
      <c r="I18" s="120" t="s">
        <v>966</v>
      </c>
      <c r="J18" s="120" t="s">
        <v>204</v>
      </c>
      <c r="K18" s="120" t="s">
        <v>288</v>
      </c>
      <c r="L18" s="120" t="s">
        <v>379</v>
      </c>
      <c r="M18" s="130" t="s">
        <v>734</v>
      </c>
      <c r="N18" s="120" t="s">
        <v>338</v>
      </c>
      <c r="O18" s="120" t="s">
        <v>1212</v>
      </c>
      <c r="P18" s="122">
        <v>395905</v>
      </c>
      <c r="Q18" s="122">
        <v>3.7589999999999999</v>
      </c>
      <c r="R18" s="122">
        <v>10938</v>
      </c>
      <c r="S18" s="122"/>
      <c r="T18" s="122">
        <v>162780.07018000001</v>
      </c>
      <c r="U18" s="123">
        <v>8.5050000000000004E-3</v>
      </c>
      <c r="V18" s="123">
        <v>4.5449999999999997E-2</v>
      </c>
      <c r="W18" s="123">
        <v>2.7309999999999999E-3</v>
      </c>
    </row>
    <row r="19" spans="1:23" ht="15" customHeight="1">
      <c r="A19" s="121">
        <v>313</v>
      </c>
      <c r="B19" s="121">
        <v>313</v>
      </c>
      <c r="C19" s="120" t="s">
        <v>1694</v>
      </c>
      <c r="D19" s="121" t="s">
        <v>1695</v>
      </c>
      <c r="E19" s="120" t="s">
        <v>312</v>
      </c>
      <c r="F19" s="120" t="s">
        <v>1696</v>
      </c>
      <c r="G19" s="121" t="s">
        <v>1697</v>
      </c>
      <c r="H19" s="120" t="s">
        <v>320</v>
      </c>
      <c r="I19" s="120" t="s">
        <v>966</v>
      </c>
      <c r="J19" s="120" t="s">
        <v>204</v>
      </c>
      <c r="K19" s="120" t="s">
        <v>250</v>
      </c>
      <c r="L19" s="120" t="s">
        <v>399</v>
      </c>
      <c r="M19" s="130" t="s">
        <v>734</v>
      </c>
      <c r="N19" s="120" t="s">
        <v>338</v>
      </c>
      <c r="O19" s="120" t="s">
        <v>1228</v>
      </c>
      <c r="P19" s="122">
        <v>977570</v>
      </c>
      <c r="Q19" s="122">
        <v>2.3359000000000001E-2</v>
      </c>
      <c r="R19" s="122">
        <v>296850</v>
      </c>
      <c r="S19" s="122"/>
      <c r="T19" s="122">
        <v>67785.868570000006</v>
      </c>
      <c r="U19" s="123">
        <v>1.21E-4</v>
      </c>
      <c r="V19" s="123">
        <v>1.8925999999999998E-2</v>
      </c>
      <c r="W19" s="123">
        <v>1.137E-3</v>
      </c>
    </row>
    <row r="20" spans="1:23" ht="15" customHeight="1">
      <c r="A20" s="121">
        <v>313</v>
      </c>
      <c r="B20" s="121">
        <v>313</v>
      </c>
      <c r="C20" s="120" t="s">
        <v>1683</v>
      </c>
      <c r="D20" s="121" t="s">
        <v>1684</v>
      </c>
      <c r="E20" s="120" t="s">
        <v>312</v>
      </c>
      <c r="F20" s="120" t="s">
        <v>1698</v>
      </c>
      <c r="G20" s="121" t="s">
        <v>1699</v>
      </c>
      <c r="H20" s="120" t="s">
        <v>320</v>
      </c>
      <c r="I20" s="120" t="s">
        <v>966</v>
      </c>
      <c r="J20" s="120" t="s">
        <v>204</v>
      </c>
      <c r="K20" s="120" t="s">
        <v>223</v>
      </c>
      <c r="L20" s="120" t="s">
        <v>343</v>
      </c>
      <c r="M20" s="130" t="s">
        <v>734</v>
      </c>
      <c r="N20" s="120" t="s">
        <v>338</v>
      </c>
      <c r="O20" s="120" t="s">
        <v>1212</v>
      </c>
      <c r="P20" s="122">
        <v>25169</v>
      </c>
      <c r="Q20" s="122">
        <v>3.7589999999999999</v>
      </c>
      <c r="R20" s="122">
        <v>14575</v>
      </c>
      <c r="S20" s="122"/>
      <c r="T20" s="122">
        <v>13789.447</v>
      </c>
      <c r="U20" s="123">
        <v>9.2999999999999997E-5</v>
      </c>
      <c r="V20" s="123">
        <v>3.8500000000000001E-3</v>
      </c>
      <c r="W20" s="123">
        <v>2.31E-4</v>
      </c>
    </row>
    <row r="21" spans="1:23" ht="15" customHeight="1">
      <c r="A21" s="121">
        <v>313</v>
      </c>
      <c r="B21" s="121">
        <v>313</v>
      </c>
      <c r="C21" s="120" t="s">
        <v>1683</v>
      </c>
      <c r="D21" s="121" t="s">
        <v>1684</v>
      </c>
      <c r="E21" s="120" t="s">
        <v>312</v>
      </c>
      <c r="F21" s="120" t="s">
        <v>1700</v>
      </c>
      <c r="G21" s="121" t="s">
        <v>1701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343</v>
      </c>
      <c r="M21" s="130" t="s">
        <v>734</v>
      </c>
      <c r="N21" s="120" t="s">
        <v>338</v>
      </c>
      <c r="O21" s="120" t="s">
        <v>1212</v>
      </c>
      <c r="P21" s="122">
        <v>73992</v>
      </c>
      <c r="Q21" s="122">
        <v>3.7589999999999999</v>
      </c>
      <c r="R21" s="122">
        <v>8566</v>
      </c>
      <c r="S21" s="122"/>
      <c r="T21" s="122">
        <v>23825.123589999999</v>
      </c>
      <c r="U21" s="123">
        <v>3.3199999999999999E-4</v>
      </c>
      <c r="V21" s="123">
        <v>6.6519999999999999E-3</v>
      </c>
      <c r="W21" s="123">
        <v>3.9899999999999999E-4</v>
      </c>
    </row>
    <row r="22" spans="1:23" ht="15" customHeight="1">
      <c r="A22" s="121">
        <v>313</v>
      </c>
      <c r="B22" s="121">
        <v>313</v>
      </c>
      <c r="C22" s="120" t="s">
        <v>1702</v>
      </c>
      <c r="D22" s="121" t="s">
        <v>1703</v>
      </c>
      <c r="E22" s="120" t="s">
        <v>312</v>
      </c>
      <c r="F22" s="120" t="s">
        <v>1704</v>
      </c>
      <c r="G22" s="121" t="s">
        <v>1705</v>
      </c>
      <c r="H22" s="120" t="s">
        <v>320</v>
      </c>
      <c r="I22" s="120" t="s">
        <v>313</v>
      </c>
      <c r="J22" s="120" t="s">
        <v>204</v>
      </c>
      <c r="K22" s="120" t="s">
        <v>295</v>
      </c>
      <c r="L22" s="120" t="s">
        <v>379</v>
      </c>
      <c r="M22" s="130" t="s">
        <v>677</v>
      </c>
      <c r="N22" s="120" t="s">
        <v>338</v>
      </c>
      <c r="O22" s="120" t="s">
        <v>1212</v>
      </c>
      <c r="P22" s="122">
        <v>29090</v>
      </c>
      <c r="Q22" s="122">
        <v>3.7589999999999999</v>
      </c>
      <c r="R22" s="122">
        <v>9830</v>
      </c>
      <c r="S22" s="122"/>
      <c r="T22" s="122">
        <v>10749.03717</v>
      </c>
      <c r="U22" s="123">
        <v>1.1739999999999999E-3</v>
      </c>
      <c r="V22" s="123">
        <v>3.0010000000000002E-3</v>
      </c>
      <c r="W22" s="123">
        <v>1.8000000000000001E-4</v>
      </c>
    </row>
    <row r="23" spans="1:23" ht="15" customHeight="1">
      <c r="A23" s="121">
        <v>313</v>
      </c>
      <c r="B23" s="121">
        <v>313</v>
      </c>
      <c r="C23" s="120" t="s">
        <v>1706</v>
      </c>
      <c r="D23" s="121" t="s">
        <v>1707</v>
      </c>
      <c r="E23" s="120" t="s">
        <v>312</v>
      </c>
      <c r="F23" s="120" t="s">
        <v>1708</v>
      </c>
      <c r="G23" s="121" t="s">
        <v>1709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313</v>
      </c>
      <c r="M23" s="130" t="s">
        <v>734</v>
      </c>
      <c r="N23" s="120" t="s">
        <v>338</v>
      </c>
      <c r="O23" s="120" t="s">
        <v>1212</v>
      </c>
      <c r="P23" s="122">
        <v>24707</v>
      </c>
      <c r="Q23" s="122">
        <v>3.7589999999999999</v>
      </c>
      <c r="R23" s="122">
        <v>11558</v>
      </c>
      <c r="S23" s="122"/>
      <c r="T23" s="122">
        <v>10734.332189999999</v>
      </c>
      <c r="U23" s="123">
        <v>1.9680000000000001E-3</v>
      </c>
      <c r="V23" s="123">
        <v>2.9970000000000001E-3</v>
      </c>
      <c r="W23" s="123">
        <v>1.8000000000000001E-4</v>
      </c>
    </row>
    <row r="24" spans="1:23" ht="15" customHeight="1">
      <c r="A24" s="121">
        <v>313</v>
      </c>
      <c r="B24" s="121">
        <v>313</v>
      </c>
      <c r="C24" s="120" t="s">
        <v>1673</v>
      </c>
      <c r="D24" s="121" t="s">
        <v>1674</v>
      </c>
      <c r="E24" s="120" t="s">
        <v>312</v>
      </c>
      <c r="F24" s="120" t="s">
        <v>1710</v>
      </c>
      <c r="G24" s="121" t="s">
        <v>1711</v>
      </c>
      <c r="H24" s="120" t="s">
        <v>320</v>
      </c>
      <c r="I24" s="120" t="s">
        <v>966</v>
      </c>
      <c r="J24" s="120" t="s">
        <v>204</v>
      </c>
      <c r="K24" s="120" t="s">
        <v>295</v>
      </c>
      <c r="L24" s="120" t="s">
        <v>379</v>
      </c>
      <c r="M24" s="130" t="s">
        <v>734</v>
      </c>
      <c r="N24" s="120" t="s">
        <v>338</v>
      </c>
      <c r="O24" s="120" t="s">
        <v>1212</v>
      </c>
      <c r="P24" s="122">
        <v>2151284</v>
      </c>
      <c r="Q24" s="122">
        <v>3.7589999999999999</v>
      </c>
      <c r="R24" s="122">
        <v>4830.75</v>
      </c>
      <c r="S24" s="122"/>
      <c r="T24" s="122">
        <v>390647.12773000001</v>
      </c>
      <c r="U24" s="123">
        <v>5.8217999999999999E-2</v>
      </c>
      <c r="V24" s="123">
        <v>0.109073</v>
      </c>
      <c r="W24" s="123">
        <v>6.5550000000000001E-3</v>
      </c>
    </row>
    <row r="25" spans="1:23" ht="15" customHeight="1">
      <c r="A25" s="121">
        <v>313</v>
      </c>
      <c r="B25" s="121">
        <v>313</v>
      </c>
      <c r="C25" s="120" t="s">
        <v>1669</v>
      </c>
      <c r="D25" s="121" t="s">
        <v>1670</v>
      </c>
      <c r="E25" s="120" t="s">
        <v>312</v>
      </c>
      <c r="F25" s="120" t="s">
        <v>1712</v>
      </c>
      <c r="G25" s="121" t="s">
        <v>1713</v>
      </c>
      <c r="H25" s="120" t="s">
        <v>320</v>
      </c>
      <c r="I25" s="120" t="s">
        <v>966</v>
      </c>
      <c r="J25" s="120" t="s">
        <v>204</v>
      </c>
      <c r="K25" s="120" t="s">
        <v>295</v>
      </c>
      <c r="L25" s="120" t="s">
        <v>343</v>
      </c>
      <c r="M25" s="130" t="s">
        <v>734</v>
      </c>
      <c r="N25" s="120" t="s">
        <v>338</v>
      </c>
      <c r="O25" s="120" t="s">
        <v>1212</v>
      </c>
      <c r="P25" s="122">
        <v>86942</v>
      </c>
      <c r="Q25" s="122">
        <v>3.7589999999999999</v>
      </c>
      <c r="R25" s="122">
        <v>3337</v>
      </c>
      <c r="S25" s="122">
        <v>5.2886800000000003</v>
      </c>
      <c r="T25" s="122">
        <v>10925.695970000001</v>
      </c>
      <c r="U25" s="123">
        <v>1.0949E-2</v>
      </c>
      <c r="V25" s="123">
        <v>3.0500000000000002E-3</v>
      </c>
      <c r="W25" s="123">
        <v>1.83E-4</v>
      </c>
    </row>
    <row r="26" spans="1:23" ht="15" customHeight="1">
      <c r="A26" s="121">
        <v>313</v>
      </c>
      <c r="B26" s="121">
        <v>313</v>
      </c>
      <c r="C26" s="120" t="s">
        <v>1714</v>
      </c>
      <c r="D26" s="121" t="s">
        <v>1715</v>
      </c>
      <c r="E26" s="120" t="s">
        <v>312</v>
      </c>
      <c r="F26" s="120" t="s">
        <v>1716</v>
      </c>
      <c r="G26" s="121" t="s">
        <v>1717</v>
      </c>
      <c r="H26" s="120" t="s">
        <v>320</v>
      </c>
      <c r="I26" s="120" t="s">
        <v>313</v>
      </c>
      <c r="J26" s="120" t="s">
        <v>204</v>
      </c>
      <c r="K26" s="120" t="s">
        <v>288</v>
      </c>
      <c r="L26" s="120" t="s">
        <v>379</v>
      </c>
      <c r="M26" s="130" t="s">
        <v>677</v>
      </c>
      <c r="N26" s="120" t="s">
        <v>338</v>
      </c>
      <c r="O26" s="120" t="s">
        <v>1212</v>
      </c>
      <c r="P26" s="122">
        <v>284100</v>
      </c>
      <c r="Q26" s="122">
        <v>3.7589999999999999</v>
      </c>
      <c r="R26" s="122">
        <v>713.7</v>
      </c>
      <c r="S26" s="120"/>
      <c r="T26" s="122">
        <v>7621.8299699999998</v>
      </c>
      <c r="U26" s="123">
        <v>1.4703000000000001E-2</v>
      </c>
      <c r="V26" s="123">
        <v>2.1280000000000001E-3</v>
      </c>
      <c r="W26" s="123">
        <v>1.27E-4</v>
      </c>
    </row>
    <row r="27" spans="1:23" ht="15" customHeight="1">
      <c r="A27" s="121">
        <v>313</v>
      </c>
      <c r="B27" s="121">
        <v>313</v>
      </c>
      <c r="C27" s="120" t="s">
        <v>1665</v>
      </c>
      <c r="D27" s="121" t="s">
        <v>1666</v>
      </c>
      <c r="E27" s="120" t="s">
        <v>312</v>
      </c>
      <c r="F27" s="120" t="s">
        <v>1718</v>
      </c>
      <c r="G27" s="121" t="s">
        <v>1719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379</v>
      </c>
      <c r="M27" s="130" t="s">
        <v>734</v>
      </c>
      <c r="N27" s="120" t="s">
        <v>338</v>
      </c>
      <c r="O27" s="120" t="s">
        <v>1212</v>
      </c>
      <c r="P27" s="122">
        <v>659655</v>
      </c>
      <c r="Q27" s="122">
        <v>3.7589999999999999</v>
      </c>
      <c r="R27" s="122">
        <v>10873</v>
      </c>
      <c r="S27" s="120"/>
      <c r="T27" s="122">
        <v>269611.59915999998</v>
      </c>
      <c r="U27" s="123">
        <v>1.3780000000000001E-2</v>
      </c>
      <c r="V27" s="123">
        <v>7.5278999999999999E-2</v>
      </c>
      <c r="W27" s="123">
        <v>4.5240000000000002E-3</v>
      </c>
    </row>
    <row r="28" spans="1:23" ht="15" customHeight="1">
      <c r="A28" s="121">
        <v>313</v>
      </c>
      <c r="B28" s="121">
        <v>313</v>
      </c>
      <c r="C28" s="120" t="s">
        <v>1702</v>
      </c>
      <c r="D28" s="121" t="s">
        <v>1703</v>
      </c>
      <c r="E28" s="120" t="s">
        <v>312</v>
      </c>
      <c r="F28" s="120" t="s">
        <v>1720</v>
      </c>
      <c r="G28" s="121" t="s">
        <v>1721</v>
      </c>
      <c r="H28" s="120" t="s">
        <v>320</v>
      </c>
      <c r="I28" s="120" t="s">
        <v>966</v>
      </c>
      <c r="J28" s="120" t="s">
        <v>204</v>
      </c>
      <c r="K28" s="120" t="s">
        <v>295</v>
      </c>
      <c r="L28" s="120" t="s">
        <v>313</v>
      </c>
      <c r="M28" s="130" t="s">
        <v>734</v>
      </c>
      <c r="N28" s="120" t="s">
        <v>338</v>
      </c>
      <c r="O28" s="120" t="s">
        <v>1212</v>
      </c>
      <c r="P28" s="122">
        <v>148796</v>
      </c>
      <c r="Q28" s="122">
        <v>3.7589999999999999</v>
      </c>
      <c r="R28" s="122">
        <v>3486</v>
      </c>
      <c r="S28" s="120"/>
      <c r="T28" s="122">
        <v>19498.040359999999</v>
      </c>
      <c r="U28" s="123">
        <v>1.8760000000000001E-3</v>
      </c>
      <c r="V28" s="123">
        <v>5.4440000000000001E-3</v>
      </c>
      <c r="W28" s="123">
        <v>3.2699999999999998E-4</v>
      </c>
    </row>
    <row r="29" spans="1:23" ht="15" customHeight="1">
      <c r="A29" s="121">
        <v>313</v>
      </c>
      <c r="B29" s="121">
        <v>313</v>
      </c>
      <c r="C29" s="120" t="s">
        <v>1665</v>
      </c>
      <c r="D29" s="121" t="s">
        <v>1666</v>
      </c>
      <c r="E29" s="120" t="s">
        <v>312</v>
      </c>
      <c r="F29" s="120" t="s">
        <v>1722</v>
      </c>
      <c r="G29" s="121" t="s">
        <v>1723</v>
      </c>
      <c r="H29" s="120" t="s">
        <v>320</v>
      </c>
      <c r="I29" s="120" t="s">
        <v>966</v>
      </c>
      <c r="J29" s="120" t="s">
        <v>204</v>
      </c>
      <c r="K29" s="120" t="s">
        <v>250</v>
      </c>
      <c r="L29" s="120" t="s">
        <v>367</v>
      </c>
      <c r="M29" s="130" t="s">
        <v>734</v>
      </c>
      <c r="N29" s="120" t="s">
        <v>338</v>
      </c>
      <c r="O29" s="120" t="s">
        <v>1216</v>
      </c>
      <c r="P29" s="122">
        <v>337989</v>
      </c>
      <c r="Q29" s="122">
        <v>4.0202</v>
      </c>
      <c r="R29" s="122">
        <v>2384</v>
      </c>
      <c r="S29" s="120"/>
      <c r="T29" s="122">
        <v>32393.39573</v>
      </c>
      <c r="U29" s="123">
        <v>4.3109999999999997E-3</v>
      </c>
      <c r="V29" s="123">
        <v>9.044E-3</v>
      </c>
      <c r="W29" s="123">
        <v>5.4299999999999997E-4</v>
      </c>
    </row>
    <row r="30" spans="1:23" ht="15" customHeight="1">
      <c r="A30" s="121">
        <v>313</v>
      </c>
      <c r="B30" s="121">
        <v>313</v>
      </c>
      <c r="C30" s="120" t="s">
        <v>1669</v>
      </c>
      <c r="D30" s="121" t="s">
        <v>1670</v>
      </c>
      <c r="E30" s="120" t="s">
        <v>312</v>
      </c>
      <c r="F30" s="120" t="s">
        <v>1724</v>
      </c>
      <c r="G30" s="121" t="s">
        <v>1725</v>
      </c>
      <c r="H30" s="120" t="s">
        <v>320</v>
      </c>
      <c r="I30" s="120" t="s">
        <v>966</v>
      </c>
      <c r="J30" s="120" t="s">
        <v>204</v>
      </c>
      <c r="K30" s="120" t="s">
        <v>281</v>
      </c>
      <c r="L30" s="120" t="s">
        <v>401</v>
      </c>
      <c r="M30" s="130" t="s">
        <v>734</v>
      </c>
      <c r="N30" s="120" t="s">
        <v>338</v>
      </c>
      <c r="O30" s="120" t="s">
        <v>1229</v>
      </c>
      <c r="P30" s="122">
        <v>484087</v>
      </c>
      <c r="Q30" s="122">
        <v>2.7412999999999998</v>
      </c>
      <c r="R30" s="122">
        <v>5597</v>
      </c>
      <c r="S30" s="120"/>
      <c r="T30" s="122">
        <v>74273.739979999998</v>
      </c>
      <c r="U30" s="123">
        <v>7.489E-3</v>
      </c>
      <c r="V30" s="123">
        <v>2.0737999999999999E-2</v>
      </c>
      <c r="W30" s="123">
        <v>1.2459999999999999E-3</v>
      </c>
    </row>
    <row r="31" spans="1:23" ht="15" customHeight="1">
      <c r="A31" s="121">
        <v>313</v>
      </c>
      <c r="B31" s="121">
        <v>313</v>
      </c>
      <c r="C31" s="120" t="s">
        <v>1673</v>
      </c>
      <c r="D31" s="121" t="s">
        <v>1674</v>
      </c>
      <c r="E31" s="120" t="s">
        <v>312</v>
      </c>
      <c r="F31" s="120" t="s">
        <v>1726</v>
      </c>
      <c r="G31" s="121" t="s">
        <v>1727</v>
      </c>
      <c r="H31" s="120" t="s">
        <v>320</v>
      </c>
      <c r="I31" s="120" t="s">
        <v>966</v>
      </c>
      <c r="J31" s="120" t="s">
        <v>204</v>
      </c>
      <c r="K31" s="120" t="s">
        <v>302</v>
      </c>
      <c r="L31" s="120" t="s">
        <v>343</v>
      </c>
      <c r="M31" s="130" t="s">
        <v>734</v>
      </c>
      <c r="N31" s="120" t="s">
        <v>338</v>
      </c>
      <c r="O31" s="120" t="s">
        <v>1216</v>
      </c>
      <c r="P31" s="122">
        <v>67104</v>
      </c>
      <c r="Q31" s="122">
        <v>4.0202</v>
      </c>
      <c r="R31" s="122">
        <v>33447.25</v>
      </c>
      <c r="S31" s="120"/>
      <c r="T31" s="122">
        <v>90231.148300000001</v>
      </c>
      <c r="U31" s="123">
        <v>1.3749000000000001E-2</v>
      </c>
      <c r="V31" s="123">
        <v>2.5193E-2</v>
      </c>
      <c r="W31" s="123">
        <v>1.5139999999999999E-3</v>
      </c>
    </row>
    <row r="32" spans="1:23" ht="15" customHeight="1">
      <c r="A32" s="121">
        <v>313</v>
      </c>
      <c r="B32" s="121">
        <v>313</v>
      </c>
      <c r="C32" s="120" t="s">
        <v>1683</v>
      </c>
      <c r="D32" s="121" t="s">
        <v>1684</v>
      </c>
      <c r="E32" s="120" t="s">
        <v>312</v>
      </c>
      <c r="F32" s="120" t="s">
        <v>1728</v>
      </c>
      <c r="G32" s="121" t="s">
        <v>1729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1212</v>
      </c>
      <c r="P32" s="122">
        <v>247558</v>
      </c>
      <c r="Q32" s="122">
        <v>3.7589999999999999</v>
      </c>
      <c r="R32" s="122">
        <v>4111</v>
      </c>
      <c r="S32" s="120"/>
      <c r="T32" s="122">
        <v>38255.754159999997</v>
      </c>
      <c r="U32" s="123">
        <v>2.5900000000000001E-4</v>
      </c>
      <c r="V32" s="123">
        <v>1.0681E-2</v>
      </c>
      <c r="W32" s="123">
        <v>6.4099999999999997E-4</v>
      </c>
    </row>
    <row r="33" spans="1:25" ht="15" customHeight="1">
      <c r="A33" s="121">
        <v>313</v>
      </c>
      <c r="B33" s="121">
        <v>313</v>
      </c>
      <c r="C33" s="120" t="s">
        <v>1673</v>
      </c>
      <c r="D33" s="121" t="s">
        <v>1674</v>
      </c>
      <c r="E33" s="120" t="s">
        <v>312</v>
      </c>
      <c r="F33" s="120" t="s">
        <v>1730</v>
      </c>
      <c r="G33" s="121" t="s">
        <v>1731</v>
      </c>
      <c r="H33" s="120" t="s">
        <v>320</v>
      </c>
      <c r="I33" s="120" t="s">
        <v>966</v>
      </c>
      <c r="J33" s="120" t="s">
        <v>204</v>
      </c>
      <c r="K33" s="120" t="s">
        <v>292</v>
      </c>
      <c r="L33" s="120" t="s">
        <v>313</v>
      </c>
      <c r="M33" s="130" t="s">
        <v>734</v>
      </c>
      <c r="N33" s="120" t="s">
        <v>338</v>
      </c>
      <c r="O33" s="120" t="s">
        <v>1216</v>
      </c>
      <c r="P33" s="122">
        <v>124875</v>
      </c>
      <c r="Q33" s="122">
        <v>4.0202</v>
      </c>
      <c r="R33" s="122">
        <v>6276</v>
      </c>
      <c r="S33" s="120"/>
      <c r="T33" s="122">
        <v>31506.930530000001</v>
      </c>
      <c r="U33" s="123">
        <v>1.9425000000000001E-2</v>
      </c>
      <c r="V33" s="123">
        <v>8.7969999999999993E-3</v>
      </c>
      <c r="W33" s="123">
        <v>5.2800000000000004E-4</v>
      </c>
    </row>
    <row r="34" spans="1:25" ht="15" customHeight="1">
      <c r="A34" s="121">
        <v>313</v>
      </c>
      <c r="B34" s="121">
        <v>313</v>
      </c>
      <c r="C34" s="120" t="s">
        <v>1677</v>
      </c>
      <c r="D34" s="121" t="s">
        <v>1678</v>
      </c>
      <c r="E34" s="120" t="s">
        <v>312</v>
      </c>
      <c r="F34" s="120" t="s">
        <v>1732</v>
      </c>
      <c r="G34" s="121" t="s">
        <v>1733</v>
      </c>
      <c r="H34" s="120" t="s">
        <v>320</v>
      </c>
      <c r="I34" s="120" t="s">
        <v>313</v>
      </c>
      <c r="J34" s="120" t="s">
        <v>204</v>
      </c>
      <c r="K34" s="120" t="s">
        <v>223</v>
      </c>
      <c r="L34" s="120" t="s">
        <v>379</v>
      </c>
      <c r="M34" s="130" t="s">
        <v>677</v>
      </c>
      <c r="N34" s="120" t="s">
        <v>338</v>
      </c>
      <c r="O34" s="120" t="s">
        <v>1212</v>
      </c>
      <c r="P34" s="122">
        <v>207020</v>
      </c>
      <c r="Q34" s="122">
        <v>3.7589999999999999</v>
      </c>
      <c r="R34" s="122">
        <v>2103</v>
      </c>
      <c r="S34" s="120"/>
      <c r="T34" s="122">
        <v>16365.297430000001</v>
      </c>
      <c r="U34" s="123">
        <v>2.2960999999999999E-2</v>
      </c>
      <c r="V34" s="123">
        <v>4.5690000000000001E-3</v>
      </c>
      <c r="W34" s="123">
        <v>2.7399999999999999E-4</v>
      </c>
    </row>
    <row r="35" spans="1:25" ht="15" customHeight="1">
      <c r="A35" s="121">
        <v>313</v>
      </c>
      <c r="B35" s="121">
        <v>313</v>
      </c>
      <c r="C35" s="120" t="s">
        <v>1734</v>
      </c>
      <c r="D35" s="121" t="s">
        <v>1735</v>
      </c>
      <c r="E35" s="120" t="s">
        <v>312</v>
      </c>
      <c r="F35" s="120" t="s">
        <v>1736</v>
      </c>
      <c r="G35" s="121" t="s">
        <v>1737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379</v>
      </c>
      <c r="M35" s="130" t="s">
        <v>734</v>
      </c>
      <c r="N35" s="120" t="s">
        <v>338</v>
      </c>
      <c r="O35" s="120" t="s">
        <v>1212</v>
      </c>
      <c r="P35" s="122">
        <v>260647</v>
      </c>
      <c r="Q35" s="122">
        <v>3.7589999999999999</v>
      </c>
      <c r="R35" s="122">
        <v>3493.25</v>
      </c>
      <c r="S35" s="120"/>
      <c r="T35" s="122">
        <v>34225.887940000001</v>
      </c>
      <c r="U35" s="123">
        <v>1.1186E-2</v>
      </c>
      <c r="V35" s="123">
        <v>9.5560000000000003E-3</v>
      </c>
      <c r="W35" s="123">
        <v>5.7399999999999997E-4</v>
      </c>
      <c r="Y35" s="132"/>
    </row>
    <row r="36" spans="1:25" ht="15" customHeight="1">
      <c r="A36" s="121">
        <v>313</v>
      </c>
      <c r="B36" s="121">
        <v>313</v>
      </c>
      <c r="C36" s="120" t="s">
        <v>1738</v>
      </c>
      <c r="D36" s="121" t="s">
        <v>1703</v>
      </c>
      <c r="E36" s="120" t="s">
        <v>312</v>
      </c>
      <c r="F36" s="120" t="s">
        <v>1739</v>
      </c>
      <c r="G36" s="121" t="s">
        <v>1740</v>
      </c>
      <c r="H36" s="120" t="s">
        <v>320</v>
      </c>
      <c r="I36" s="120" t="s">
        <v>313</v>
      </c>
      <c r="J36" s="120" t="s">
        <v>204</v>
      </c>
      <c r="K36" s="120" t="s">
        <v>223</v>
      </c>
      <c r="L36" s="120" t="s">
        <v>379</v>
      </c>
      <c r="M36" s="130" t="s">
        <v>677</v>
      </c>
      <c r="N36" s="120" t="s">
        <v>338</v>
      </c>
      <c r="O36" s="120" t="s">
        <v>1212</v>
      </c>
      <c r="P36" s="122">
        <v>799400</v>
      </c>
      <c r="Q36" s="122">
        <v>3.7589999999999999</v>
      </c>
      <c r="R36" s="122">
        <v>595.29999999999995</v>
      </c>
      <c r="S36" s="120"/>
      <c r="T36" s="122">
        <v>17888.4352</v>
      </c>
      <c r="U36" s="123">
        <v>3.2699999999999999E-3</v>
      </c>
      <c r="V36" s="123">
        <v>4.9940000000000002E-3</v>
      </c>
      <c r="W36" s="123">
        <v>2.9999999999999997E-4</v>
      </c>
      <c r="Y36" s="132"/>
    </row>
    <row r="37" spans="1:25" ht="15" customHeight="1">
      <c r="A37" s="121">
        <v>313</v>
      </c>
      <c r="B37" s="121">
        <v>313</v>
      </c>
      <c r="C37" s="120" t="s">
        <v>1694</v>
      </c>
      <c r="D37" s="121" t="s">
        <v>1695</v>
      </c>
      <c r="E37" s="120" t="s">
        <v>312</v>
      </c>
      <c r="F37" s="120" t="s">
        <v>1741</v>
      </c>
      <c r="G37" s="121" t="s">
        <v>1742</v>
      </c>
      <c r="H37" s="120" t="s">
        <v>320</v>
      </c>
      <c r="I37" s="120" t="s">
        <v>966</v>
      </c>
      <c r="J37" s="120" t="s">
        <v>204</v>
      </c>
      <c r="K37" s="120" t="s">
        <v>250</v>
      </c>
      <c r="L37" s="120" t="s">
        <v>399</v>
      </c>
      <c r="M37" s="130" t="s">
        <v>734</v>
      </c>
      <c r="N37" s="120" t="s">
        <v>338</v>
      </c>
      <c r="O37" s="120" t="s">
        <v>1228</v>
      </c>
      <c r="P37" s="122">
        <v>3539694</v>
      </c>
      <c r="Q37" s="122">
        <v>2.3359000000000001E-2</v>
      </c>
      <c r="R37" s="122">
        <v>36890</v>
      </c>
      <c r="S37" s="120"/>
      <c r="T37" s="122">
        <v>30502.021410000001</v>
      </c>
      <c r="U37" s="123">
        <v>6.8789999999999997E-3</v>
      </c>
      <c r="V37" s="123">
        <v>8.5159999999999993E-3</v>
      </c>
      <c r="W37" s="123">
        <v>5.1099999999999995E-4</v>
      </c>
      <c r="Y37" s="132"/>
    </row>
    <row r="38" spans="1:25" ht="15" customHeight="1">
      <c r="A38" s="121">
        <v>313</v>
      </c>
      <c r="B38" s="121">
        <v>313</v>
      </c>
      <c r="C38" s="120" t="s">
        <v>1683</v>
      </c>
      <c r="D38" s="121" t="s">
        <v>1684</v>
      </c>
      <c r="E38" s="120" t="s">
        <v>312</v>
      </c>
      <c r="F38" s="120" t="s">
        <v>1743</v>
      </c>
      <c r="G38" s="121" t="s">
        <v>1744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343</v>
      </c>
      <c r="M38" s="130" t="s">
        <v>734</v>
      </c>
      <c r="N38" s="120" t="s">
        <v>338</v>
      </c>
      <c r="O38" s="120" t="s">
        <v>1212</v>
      </c>
      <c r="P38" s="122">
        <v>11589</v>
      </c>
      <c r="Q38" s="122">
        <v>3.7589999999999999</v>
      </c>
      <c r="R38" s="122">
        <v>18240</v>
      </c>
      <c r="S38" s="120"/>
      <c r="T38" s="122">
        <v>7945.9004999999997</v>
      </c>
      <c r="U38" s="123">
        <v>1.08E-4</v>
      </c>
      <c r="V38" s="123">
        <v>2.2179999999999999E-3</v>
      </c>
      <c r="W38" s="123">
        <v>1.3300000000000001E-4</v>
      </c>
      <c r="Y38" s="132"/>
    </row>
    <row r="39" spans="1:25" ht="15" customHeight="1">
      <c r="A39" s="121">
        <v>313</v>
      </c>
      <c r="B39" s="121">
        <v>313</v>
      </c>
      <c r="C39" s="120" t="s">
        <v>1702</v>
      </c>
      <c r="D39" s="121" t="s">
        <v>1703</v>
      </c>
      <c r="E39" s="120" t="s">
        <v>312</v>
      </c>
      <c r="F39" s="120" t="s">
        <v>1745</v>
      </c>
      <c r="G39" s="121" t="s">
        <v>1746</v>
      </c>
      <c r="H39" s="120" t="s">
        <v>320</v>
      </c>
      <c r="I39" s="120" t="s">
        <v>313</v>
      </c>
      <c r="J39" s="120" t="s">
        <v>204</v>
      </c>
      <c r="K39" s="120" t="s">
        <v>292</v>
      </c>
      <c r="L39" s="120" t="s">
        <v>379</v>
      </c>
      <c r="M39" s="130" t="s">
        <v>677</v>
      </c>
      <c r="N39" s="120" t="s">
        <v>338</v>
      </c>
      <c r="O39" s="120" t="s">
        <v>1212</v>
      </c>
      <c r="P39" s="122">
        <v>811700</v>
      </c>
      <c r="Q39" s="122">
        <v>3.7589999999999999</v>
      </c>
      <c r="R39" s="122">
        <v>641.1</v>
      </c>
      <c r="S39" s="120"/>
      <c r="T39" s="122">
        <v>19561.116900000001</v>
      </c>
      <c r="U39" s="123">
        <v>0.23890500000000001</v>
      </c>
      <c r="V39" s="123">
        <v>5.4609999999999997E-3</v>
      </c>
      <c r="W39" s="123">
        <v>3.28E-4</v>
      </c>
      <c r="Y39" s="132"/>
    </row>
    <row r="40" spans="1:25" ht="15" customHeight="1">
      <c r="A40" s="121">
        <v>313</v>
      </c>
      <c r="B40" s="121">
        <v>313</v>
      </c>
      <c r="C40" s="120" t="s">
        <v>1747</v>
      </c>
      <c r="D40" s="121" t="s">
        <v>1748</v>
      </c>
      <c r="E40" s="120" t="s">
        <v>312</v>
      </c>
      <c r="F40" s="120" t="s">
        <v>1749</v>
      </c>
      <c r="G40" s="121" t="s">
        <v>1750</v>
      </c>
      <c r="H40" s="120" t="s">
        <v>320</v>
      </c>
      <c r="I40" s="120" t="s">
        <v>313</v>
      </c>
      <c r="J40" s="120" t="s">
        <v>204</v>
      </c>
      <c r="K40" s="120" t="s">
        <v>292</v>
      </c>
      <c r="L40" s="120" t="s">
        <v>395</v>
      </c>
      <c r="M40" s="130" t="s">
        <v>677</v>
      </c>
      <c r="N40" s="120" t="s">
        <v>338</v>
      </c>
      <c r="O40" s="120" t="s">
        <v>1212</v>
      </c>
      <c r="P40" s="122">
        <v>513160</v>
      </c>
      <c r="Q40" s="122">
        <v>3.7589999999999999</v>
      </c>
      <c r="R40" s="122">
        <v>1069.75</v>
      </c>
      <c r="S40" s="120"/>
      <c r="T40" s="122">
        <v>20635.139889999999</v>
      </c>
      <c r="U40" s="123">
        <v>3.39E-4</v>
      </c>
      <c r="V40" s="123">
        <v>5.7609999999999996E-3</v>
      </c>
      <c r="W40" s="123">
        <v>3.4600000000000001E-4</v>
      </c>
      <c r="Y40" s="132"/>
    </row>
    <row r="41" spans="1:25" ht="15" customHeight="1">
      <c r="A41" s="121">
        <v>313</v>
      </c>
      <c r="B41" s="121">
        <v>313</v>
      </c>
      <c r="C41" s="120" t="s">
        <v>1751</v>
      </c>
      <c r="D41" s="121" t="s">
        <v>1752</v>
      </c>
      <c r="E41" s="120" t="s">
        <v>312</v>
      </c>
      <c r="F41" s="120" t="s">
        <v>1753</v>
      </c>
      <c r="G41" s="121" t="s">
        <v>1754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379</v>
      </c>
      <c r="M41" s="130" t="s">
        <v>734</v>
      </c>
      <c r="N41" s="120" t="s">
        <v>338</v>
      </c>
      <c r="O41" s="120" t="s">
        <v>1212</v>
      </c>
      <c r="P41" s="122">
        <v>3940527</v>
      </c>
      <c r="Q41" s="122">
        <v>3.7589999999999999</v>
      </c>
      <c r="R41" s="122">
        <v>2193.63</v>
      </c>
      <c r="S41" s="120"/>
      <c r="T41" s="122">
        <v>324930.14935000002</v>
      </c>
      <c r="U41" s="123">
        <v>2.7337E-2</v>
      </c>
      <c r="V41" s="123">
        <v>9.0723999999999999E-2</v>
      </c>
      <c r="W41" s="123">
        <v>5.4520000000000002E-3</v>
      </c>
      <c r="Y41" s="132"/>
    </row>
    <row r="42" spans="1:25" ht="15" customHeight="1">
      <c r="A42" s="121">
        <v>313</v>
      </c>
      <c r="B42" s="121">
        <v>313</v>
      </c>
      <c r="C42" s="120" t="s">
        <v>1702</v>
      </c>
      <c r="D42" s="121" t="s">
        <v>1703</v>
      </c>
      <c r="E42" s="120" t="s">
        <v>312</v>
      </c>
      <c r="F42" s="120" t="s">
        <v>1755</v>
      </c>
      <c r="G42" s="121" t="s">
        <v>1756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313</v>
      </c>
      <c r="M42" s="130" t="s">
        <v>734</v>
      </c>
      <c r="N42" s="120" t="s">
        <v>338</v>
      </c>
      <c r="O42" s="120" t="s">
        <v>1212</v>
      </c>
      <c r="P42" s="122">
        <v>3024717</v>
      </c>
      <c r="Q42" s="122">
        <v>3.7589999999999999</v>
      </c>
      <c r="R42" s="122">
        <v>899.2</v>
      </c>
      <c r="S42" s="120"/>
      <c r="T42" s="122">
        <v>102238.24154</v>
      </c>
      <c r="U42" s="123">
        <v>4.8679999999999999E-3</v>
      </c>
      <c r="V42" s="123">
        <v>2.8545999999999998E-2</v>
      </c>
      <c r="W42" s="123">
        <v>1.7149999999999999E-3</v>
      </c>
      <c r="Y42" s="132"/>
    </row>
    <row r="43" spans="1:25" ht="15" customHeight="1">
      <c r="A43" s="121">
        <v>313</v>
      </c>
      <c r="B43" s="121">
        <v>313</v>
      </c>
      <c r="C43" s="120" t="s">
        <v>1683</v>
      </c>
      <c r="D43" s="121" t="s">
        <v>1684</v>
      </c>
      <c r="E43" s="120" t="s">
        <v>312</v>
      </c>
      <c r="F43" s="120" t="s">
        <v>1757</v>
      </c>
      <c r="G43" s="121" t="s">
        <v>1758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343</v>
      </c>
      <c r="M43" s="130" t="s">
        <v>734</v>
      </c>
      <c r="N43" s="120" t="s">
        <v>338</v>
      </c>
      <c r="O43" s="120" t="s">
        <v>1212</v>
      </c>
      <c r="P43" s="122">
        <v>58967</v>
      </c>
      <c r="Q43" s="122">
        <v>3.7589999999999999</v>
      </c>
      <c r="R43" s="122">
        <v>22623</v>
      </c>
      <c r="S43" s="120"/>
      <c r="T43" s="122">
        <v>50145.45248</v>
      </c>
      <c r="U43" s="123">
        <v>1.8900000000000001E-4</v>
      </c>
      <c r="V43" s="123">
        <v>1.4001E-2</v>
      </c>
      <c r="W43" s="123">
        <v>8.4099999999999995E-4</v>
      </c>
      <c r="Y43" s="132"/>
    </row>
    <row r="44" spans="1:25" ht="15" customHeight="1">
      <c r="A44" s="121">
        <v>313</v>
      </c>
      <c r="B44" s="121">
        <v>313</v>
      </c>
      <c r="C44" s="120" t="s">
        <v>1665</v>
      </c>
      <c r="D44" s="121" t="s">
        <v>1666</v>
      </c>
      <c r="E44" s="120" t="s">
        <v>312</v>
      </c>
      <c r="F44" s="120" t="s">
        <v>1759</v>
      </c>
      <c r="G44" s="121" t="s">
        <v>1760</v>
      </c>
      <c r="H44" s="120" t="s">
        <v>320</v>
      </c>
      <c r="I44" s="120" t="s">
        <v>966</v>
      </c>
      <c r="J44" s="120" t="s">
        <v>204</v>
      </c>
      <c r="K44" s="120" t="s">
        <v>303</v>
      </c>
      <c r="L44" s="120" t="s">
        <v>379</v>
      </c>
      <c r="M44" s="130" t="s">
        <v>734</v>
      </c>
      <c r="N44" s="120" t="s">
        <v>338</v>
      </c>
      <c r="O44" s="120" t="s">
        <v>1212</v>
      </c>
      <c r="P44" s="122">
        <v>18749</v>
      </c>
      <c r="Q44" s="122">
        <v>3.7589999999999999</v>
      </c>
      <c r="R44" s="122">
        <v>7080.5</v>
      </c>
      <c r="S44" s="120"/>
      <c r="T44" s="122">
        <v>4990.1587499999996</v>
      </c>
      <c r="U44" s="123">
        <v>5.4520000000000002E-3</v>
      </c>
      <c r="V44" s="123">
        <v>1.3929999999999999E-3</v>
      </c>
      <c r="W44" s="123">
        <v>8.2999999999999998E-5</v>
      </c>
      <c r="Y44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topLeftCell="G1" workbookViewId="0">
      <selection activeCell="T24" sqref="T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0.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1761</v>
      </c>
      <c r="D2" s="121" t="s">
        <v>1695</v>
      </c>
      <c r="E2" s="120" t="s">
        <v>312</v>
      </c>
      <c r="F2" s="120" t="s">
        <v>1762</v>
      </c>
      <c r="G2" s="121" t="s">
        <v>1763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1212</v>
      </c>
      <c r="Q2" s="122">
        <v>53860</v>
      </c>
      <c r="R2" s="122">
        <v>3.7589999999999999</v>
      </c>
      <c r="S2" s="122">
        <v>38268.22</v>
      </c>
      <c r="T2" s="122">
        <v>77477.738710000005</v>
      </c>
      <c r="U2" s="123">
        <v>1.214E-2</v>
      </c>
      <c r="V2" s="123">
        <v>0.109845</v>
      </c>
      <c r="W2" s="123">
        <v>1.2999999999999999E-3</v>
      </c>
      <c r="X2" s="132"/>
    </row>
    <row r="3" spans="1:26" ht="15" customHeight="1">
      <c r="A3" s="121">
        <v>313</v>
      </c>
      <c r="B3" s="121">
        <v>313</v>
      </c>
      <c r="C3" s="120" t="s">
        <v>1764</v>
      </c>
      <c r="D3" s="121" t="s">
        <v>1765</v>
      </c>
      <c r="E3" s="120" t="s">
        <v>312</v>
      </c>
      <c r="F3" s="120" t="s">
        <v>1766</v>
      </c>
      <c r="G3" s="121" t="s">
        <v>1767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1228</v>
      </c>
      <c r="Q3" s="122">
        <v>22165</v>
      </c>
      <c r="R3" s="122">
        <v>2.3359000000000001E-2</v>
      </c>
      <c r="S3" s="122">
        <v>1414047.09</v>
      </c>
      <c r="T3" s="122">
        <v>7321.2604099999999</v>
      </c>
      <c r="U3" s="123">
        <v>3.2717999999999997E-2</v>
      </c>
      <c r="V3" s="123">
        <v>1.0378999999999999E-2</v>
      </c>
      <c r="W3" s="123">
        <v>1.22E-4</v>
      </c>
      <c r="X3" s="132"/>
    </row>
    <row r="4" spans="1:26" ht="15" customHeight="1">
      <c r="A4" s="121">
        <v>313</v>
      </c>
      <c r="B4" s="121">
        <v>313</v>
      </c>
      <c r="C4" s="120" t="s">
        <v>1768</v>
      </c>
      <c r="D4" s="121" t="s">
        <v>1769</v>
      </c>
      <c r="E4" s="120" t="s">
        <v>312</v>
      </c>
      <c r="F4" s="120" t="s">
        <v>1770</v>
      </c>
      <c r="G4" s="121" t="s">
        <v>1771</v>
      </c>
      <c r="H4" s="120" t="s">
        <v>320</v>
      </c>
      <c r="I4" s="120" t="s">
        <v>918</v>
      </c>
      <c r="J4" s="120" t="s">
        <v>204</v>
      </c>
      <c r="K4" s="120" t="s">
        <v>295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1212</v>
      </c>
      <c r="Q4" s="122">
        <v>286370.8</v>
      </c>
      <c r="R4" s="122">
        <v>3.7589999999999999</v>
      </c>
      <c r="S4" s="122">
        <v>974</v>
      </c>
      <c r="T4" s="122">
        <v>10484.79673</v>
      </c>
      <c r="U4" s="123">
        <v>1.9335000000000001E-2</v>
      </c>
      <c r="V4" s="123">
        <v>1.4864E-2</v>
      </c>
      <c r="W4" s="123">
        <v>1.75E-4</v>
      </c>
      <c r="X4" s="132"/>
    </row>
    <row r="5" spans="1:26" ht="15" customHeight="1">
      <c r="A5" s="121">
        <v>313</v>
      </c>
      <c r="B5" s="121">
        <v>313</v>
      </c>
      <c r="C5" s="120" t="s">
        <v>1772</v>
      </c>
      <c r="D5" s="121" t="s">
        <v>1773</v>
      </c>
      <c r="E5" s="120" t="s">
        <v>312</v>
      </c>
      <c r="F5" s="120" t="s">
        <v>1774</v>
      </c>
      <c r="G5" s="121" t="s">
        <v>1775</v>
      </c>
      <c r="H5" s="120" t="s">
        <v>320</v>
      </c>
      <c r="I5" s="120" t="s">
        <v>970</v>
      </c>
      <c r="J5" s="120" t="s">
        <v>204</v>
      </c>
      <c r="K5" s="120" t="s">
        <v>223</v>
      </c>
      <c r="L5" s="120" t="s">
        <v>324</v>
      </c>
      <c r="M5" s="120" t="s">
        <v>373</v>
      </c>
      <c r="N5" s="130" t="s">
        <v>677</v>
      </c>
      <c r="O5" s="120" t="s">
        <v>338</v>
      </c>
      <c r="P5" s="120" t="s">
        <v>1212</v>
      </c>
      <c r="Q5" s="122">
        <v>36865.78</v>
      </c>
      <c r="R5" s="122">
        <v>3.7589999999999999</v>
      </c>
      <c r="S5" s="122">
        <v>11525.09</v>
      </c>
      <c r="T5" s="122">
        <v>15971.29304</v>
      </c>
      <c r="U5" s="123">
        <v>1.5063999999999999E-2</v>
      </c>
      <c r="V5" s="123">
        <v>2.2643E-2</v>
      </c>
      <c r="W5" s="123">
        <v>2.6800000000000001E-4</v>
      </c>
      <c r="X5" s="132"/>
    </row>
    <row r="6" spans="1:26" ht="15" customHeight="1">
      <c r="A6" s="121">
        <v>313</v>
      </c>
      <c r="B6" s="121">
        <v>313</v>
      </c>
      <c r="C6" s="120" t="s">
        <v>1776</v>
      </c>
      <c r="D6" s="121" t="s">
        <v>1777</v>
      </c>
      <c r="E6" s="120" t="s">
        <v>312</v>
      </c>
      <c r="F6" s="120" t="s">
        <v>1778</v>
      </c>
      <c r="G6" s="121" t="s">
        <v>1779</v>
      </c>
      <c r="H6" s="120" t="s">
        <v>320</v>
      </c>
      <c r="I6" s="120" t="s">
        <v>918</v>
      </c>
      <c r="J6" s="120" t="s">
        <v>204</v>
      </c>
      <c r="K6" s="120" t="s">
        <v>295</v>
      </c>
      <c r="L6" s="120" t="s">
        <v>324</v>
      </c>
      <c r="M6" s="120" t="s">
        <v>373</v>
      </c>
      <c r="N6" s="130" t="s">
        <v>734</v>
      </c>
      <c r="O6" s="120" t="s">
        <v>338</v>
      </c>
      <c r="P6" s="120" t="s">
        <v>1212</v>
      </c>
      <c r="Q6" s="122">
        <v>764284</v>
      </c>
      <c r="R6" s="122">
        <v>3.7589999999999999</v>
      </c>
      <c r="S6" s="122">
        <v>980.9</v>
      </c>
      <c r="T6" s="122">
        <v>28180.70334</v>
      </c>
      <c r="U6" s="123">
        <v>2.4468E-2</v>
      </c>
      <c r="V6" s="123">
        <v>3.9953000000000002E-2</v>
      </c>
      <c r="W6" s="123">
        <v>4.7199999999999998E-4</v>
      </c>
      <c r="X6" s="132"/>
    </row>
    <row r="7" spans="1:26" ht="15" customHeight="1">
      <c r="A7" s="121">
        <v>313</v>
      </c>
      <c r="B7" s="121">
        <v>313</v>
      </c>
      <c r="C7" s="120" t="s">
        <v>1673</v>
      </c>
      <c r="D7" s="121" t="s">
        <v>1674</v>
      </c>
      <c r="E7" s="120" t="s">
        <v>312</v>
      </c>
      <c r="F7" s="120" t="s">
        <v>1780</v>
      </c>
      <c r="G7" s="121" t="s">
        <v>1781</v>
      </c>
      <c r="H7" s="120" t="s">
        <v>320</v>
      </c>
      <c r="I7" s="120" t="s">
        <v>918</v>
      </c>
      <c r="J7" s="120" t="s">
        <v>204</v>
      </c>
      <c r="K7" s="120" t="s">
        <v>295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1212</v>
      </c>
      <c r="Q7" s="122">
        <v>3090</v>
      </c>
      <c r="R7" s="122">
        <v>3.7589999999999999</v>
      </c>
      <c r="S7" s="122">
        <v>128463</v>
      </c>
      <c r="T7" s="122">
        <v>14921.375690000001</v>
      </c>
      <c r="U7" s="123">
        <v>3.6561999999999997E-2</v>
      </c>
      <c r="V7" s="123">
        <v>2.1153999999999999E-2</v>
      </c>
      <c r="W7" s="123">
        <v>2.5000000000000001E-4</v>
      </c>
      <c r="X7" s="132"/>
    </row>
    <row r="8" spans="1:26" ht="15" customHeight="1">
      <c r="A8" s="121">
        <v>313</v>
      </c>
      <c r="B8" s="121">
        <v>313</v>
      </c>
      <c r="C8" s="120" t="s">
        <v>1782</v>
      </c>
      <c r="D8" s="121" t="s">
        <v>1783</v>
      </c>
      <c r="E8" s="120" t="s">
        <v>312</v>
      </c>
      <c r="F8" s="120" t="s">
        <v>1784</v>
      </c>
      <c r="G8" s="121" t="s">
        <v>1785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1212</v>
      </c>
      <c r="Q8" s="122">
        <v>59329</v>
      </c>
      <c r="R8" s="122">
        <v>3.7589999999999999</v>
      </c>
      <c r="S8" s="122">
        <v>1652</v>
      </c>
      <c r="T8" s="122">
        <v>3684.2525900000001</v>
      </c>
      <c r="U8" s="123">
        <v>1.768E-3</v>
      </c>
      <c r="V8" s="123">
        <v>5.2230000000000002E-3</v>
      </c>
      <c r="W8" s="123">
        <v>6.0999999999999999E-5</v>
      </c>
      <c r="X8" s="132"/>
    </row>
    <row r="9" spans="1:26" ht="15" customHeight="1">
      <c r="A9" s="121">
        <v>313</v>
      </c>
      <c r="B9" s="121">
        <v>313</v>
      </c>
      <c r="C9" s="120" t="s">
        <v>1786</v>
      </c>
      <c r="D9" s="121" t="s">
        <v>1787</v>
      </c>
      <c r="E9" s="120" t="s">
        <v>312</v>
      </c>
      <c r="F9" s="120" t="s">
        <v>1788</v>
      </c>
      <c r="G9" s="121" t="s">
        <v>1789</v>
      </c>
      <c r="H9" s="120" t="s">
        <v>320</v>
      </c>
      <c r="I9" s="120" t="s">
        <v>918</v>
      </c>
      <c r="J9" s="120" t="s">
        <v>204</v>
      </c>
      <c r="K9" s="120" t="s">
        <v>250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1228</v>
      </c>
      <c r="Q9" s="122">
        <v>48657</v>
      </c>
      <c r="R9" s="122">
        <v>2.3359000000000001E-2</v>
      </c>
      <c r="S9" s="122">
        <v>1958314</v>
      </c>
      <c r="T9" s="122">
        <v>22257.782999999999</v>
      </c>
      <c r="U9" s="123">
        <v>8.4943000000000005E-2</v>
      </c>
      <c r="V9" s="123">
        <v>3.1556000000000001E-2</v>
      </c>
      <c r="W9" s="123">
        <v>3.7300000000000001E-4</v>
      </c>
      <c r="X9" s="132"/>
    </row>
    <row r="10" spans="1:26" ht="15" customHeight="1">
      <c r="A10" s="121">
        <v>313</v>
      </c>
      <c r="B10" s="121">
        <v>313</v>
      </c>
      <c r="C10" s="120" t="s">
        <v>1790</v>
      </c>
      <c r="D10" s="121" t="s">
        <v>1791</v>
      </c>
      <c r="E10" s="120" t="s">
        <v>312</v>
      </c>
      <c r="F10" s="120" t="s">
        <v>1792</v>
      </c>
      <c r="G10" s="121" t="s">
        <v>1793</v>
      </c>
      <c r="H10" s="120" t="s">
        <v>320</v>
      </c>
      <c r="I10" s="120" t="s">
        <v>970</v>
      </c>
      <c r="J10" s="120" t="s">
        <v>204</v>
      </c>
      <c r="K10" s="120" t="s">
        <v>295</v>
      </c>
      <c r="L10" s="120" t="s">
        <v>325</v>
      </c>
      <c r="M10" s="120" t="s">
        <v>313</v>
      </c>
      <c r="N10" s="130" t="s">
        <v>677</v>
      </c>
      <c r="O10" s="120" t="s">
        <v>338</v>
      </c>
      <c r="P10" s="120" t="s">
        <v>1212</v>
      </c>
      <c r="Q10" s="122">
        <v>101761.01</v>
      </c>
      <c r="R10" s="122">
        <v>3.7589999999999999</v>
      </c>
      <c r="S10" s="122">
        <v>14290.42</v>
      </c>
      <c r="T10" s="122">
        <v>54663.662649999998</v>
      </c>
      <c r="U10" s="123">
        <v>0.19864699999999999</v>
      </c>
      <c r="V10" s="123">
        <v>7.7499999999999999E-2</v>
      </c>
      <c r="W10" s="123">
        <v>9.1699999999999995E-4</v>
      </c>
      <c r="X10" s="132"/>
    </row>
    <row r="11" spans="1:26" ht="15" customHeight="1">
      <c r="A11" s="121">
        <v>313</v>
      </c>
      <c r="B11" s="121">
        <v>313</v>
      </c>
      <c r="C11" s="120" t="s">
        <v>1794</v>
      </c>
      <c r="D11" s="121" t="s">
        <v>1795</v>
      </c>
      <c r="E11" s="120" t="s">
        <v>312</v>
      </c>
      <c r="F11" s="120" t="s">
        <v>1796</v>
      </c>
      <c r="G11" s="121" t="s">
        <v>1797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1230</v>
      </c>
      <c r="Q11" s="122">
        <v>7668637</v>
      </c>
      <c r="R11" s="122">
        <v>4.7504999999999997</v>
      </c>
      <c r="S11" s="122">
        <v>132.99</v>
      </c>
      <c r="T11" s="122">
        <v>48448.070910000002</v>
      </c>
      <c r="U11" s="123">
        <v>1.8889E-2</v>
      </c>
      <c r="V11" s="123">
        <v>6.8686999999999998E-2</v>
      </c>
      <c r="W11" s="123">
        <v>8.1300000000000003E-4</v>
      </c>
      <c r="X11" s="132"/>
    </row>
    <row r="12" spans="1:26" ht="15" customHeight="1">
      <c r="A12" s="121">
        <v>313</v>
      </c>
      <c r="B12" s="121">
        <v>313</v>
      </c>
      <c r="C12" s="120" t="s">
        <v>1798</v>
      </c>
      <c r="D12" s="121" t="s">
        <v>1799</v>
      </c>
      <c r="E12" s="120" t="s">
        <v>312</v>
      </c>
      <c r="F12" s="120" t="s">
        <v>1800</v>
      </c>
      <c r="G12" s="121" t="s">
        <v>1801</v>
      </c>
      <c r="H12" s="120" t="s">
        <v>320</v>
      </c>
      <c r="I12" s="120" t="s">
        <v>918</v>
      </c>
      <c r="J12" s="120" t="s">
        <v>204</v>
      </c>
      <c r="K12" s="120" t="s">
        <v>292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1216</v>
      </c>
      <c r="Q12" s="122">
        <v>261770.93</v>
      </c>
      <c r="R12" s="122">
        <v>4.0202</v>
      </c>
      <c r="S12" s="122">
        <v>1795.94</v>
      </c>
      <c r="T12" s="122">
        <v>18899.960589999999</v>
      </c>
      <c r="U12" s="123">
        <v>2.6289999999999998E-3</v>
      </c>
      <c r="V12" s="123">
        <v>2.6794999999999999E-2</v>
      </c>
      <c r="W12" s="123">
        <v>3.1700000000000001E-4</v>
      </c>
      <c r="X12" s="132"/>
    </row>
    <row r="13" spans="1:26" ht="15" customHeight="1">
      <c r="A13" s="121">
        <v>313</v>
      </c>
      <c r="B13" s="121">
        <v>313</v>
      </c>
      <c r="C13" s="120" t="s">
        <v>1802</v>
      </c>
      <c r="D13" s="121" t="s">
        <v>1803</v>
      </c>
      <c r="E13" s="120" t="s">
        <v>312</v>
      </c>
      <c r="F13" s="120" t="s">
        <v>1804</v>
      </c>
      <c r="G13" s="121" t="s">
        <v>1805</v>
      </c>
      <c r="H13" s="120" t="s">
        <v>320</v>
      </c>
      <c r="I13" s="120" t="s">
        <v>918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1212</v>
      </c>
      <c r="Q13" s="122">
        <v>2870.76</v>
      </c>
      <c r="R13" s="122">
        <v>3.7589999999999999</v>
      </c>
      <c r="S13" s="122">
        <v>111207.05</v>
      </c>
      <c r="T13" s="122">
        <v>12000.56054</v>
      </c>
      <c r="U13" s="123">
        <v>7.9047999999999993E-2</v>
      </c>
      <c r="V13" s="123">
        <v>1.7013E-2</v>
      </c>
      <c r="W13" s="123">
        <v>2.0100000000000001E-4</v>
      </c>
      <c r="X13" s="132"/>
    </row>
    <row r="14" spans="1:26" ht="15" customHeight="1">
      <c r="A14" s="121">
        <v>313</v>
      </c>
      <c r="B14" s="121">
        <v>313</v>
      </c>
      <c r="C14" s="120" t="s">
        <v>1806</v>
      </c>
      <c r="D14" s="121" t="s">
        <v>1807</v>
      </c>
      <c r="E14" s="120" t="s">
        <v>312</v>
      </c>
      <c r="F14" s="120" t="s">
        <v>1808</v>
      </c>
      <c r="G14" s="121" t="s">
        <v>1809</v>
      </c>
      <c r="H14" s="120" t="s">
        <v>320</v>
      </c>
      <c r="I14" s="120" t="s">
        <v>918</v>
      </c>
      <c r="J14" s="120" t="s">
        <v>204</v>
      </c>
      <c r="K14" s="120" t="s">
        <v>303</v>
      </c>
      <c r="L14" s="120" t="s">
        <v>324</v>
      </c>
      <c r="M14" s="120" t="s">
        <v>313</v>
      </c>
      <c r="N14" s="130" t="s">
        <v>734</v>
      </c>
      <c r="O14" s="120" t="s">
        <v>338</v>
      </c>
      <c r="P14" s="120" t="s">
        <v>1212</v>
      </c>
      <c r="Q14" s="122">
        <v>37742</v>
      </c>
      <c r="R14" s="122">
        <v>3.7589999999999999</v>
      </c>
      <c r="S14" s="122">
        <v>52316</v>
      </c>
      <c r="T14" s="122">
        <v>74221.848639999997</v>
      </c>
      <c r="U14" s="123">
        <v>3.5300000000000002E-4</v>
      </c>
      <c r="V14" s="123">
        <v>0.105229</v>
      </c>
      <c r="W14" s="123">
        <v>1.245E-3</v>
      </c>
      <c r="X14" s="132"/>
    </row>
    <row r="15" spans="1:26" ht="15" customHeight="1">
      <c r="A15" s="121">
        <v>313</v>
      </c>
      <c r="B15" s="121">
        <v>313</v>
      </c>
      <c r="C15" s="120" t="s">
        <v>1810</v>
      </c>
      <c r="D15" s="121" t="s">
        <v>1811</v>
      </c>
      <c r="E15" s="120" t="s">
        <v>312</v>
      </c>
      <c r="F15" s="120" t="s">
        <v>1812</v>
      </c>
      <c r="G15" s="121" t="s">
        <v>1813</v>
      </c>
      <c r="H15" s="120" t="s">
        <v>320</v>
      </c>
      <c r="I15" s="120" t="s">
        <v>970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677</v>
      </c>
      <c r="O15" s="120" t="s">
        <v>338</v>
      </c>
      <c r="P15" s="120" t="s">
        <v>1212</v>
      </c>
      <c r="Q15" s="122">
        <v>174211.54</v>
      </c>
      <c r="R15" s="122">
        <v>3.7589999999999999</v>
      </c>
      <c r="S15" s="122">
        <v>2734</v>
      </c>
      <c r="T15" s="122">
        <v>17903.904630000001</v>
      </c>
      <c r="U15" s="123">
        <v>2.3937E-2</v>
      </c>
      <c r="V15" s="123">
        <v>2.5382999999999999E-2</v>
      </c>
      <c r="W15" s="123">
        <v>2.9999999999999997E-4</v>
      </c>
      <c r="X15" s="132"/>
    </row>
    <row r="16" spans="1:26" ht="15" customHeight="1">
      <c r="A16" s="121">
        <v>313</v>
      </c>
      <c r="B16" s="121">
        <v>313</v>
      </c>
      <c r="C16" s="120" t="s">
        <v>1814</v>
      </c>
      <c r="D16" s="121" t="s">
        <v>1815</v>
      </c>
      <c r="E16" s="120" t="s">
        <v>312</v>
      </c>
      <c r="F16" s="120" t="s">
        <v>1816</v>
      </c>
      <c r="G16" s="121" t="s">
        <v>1817</v>
      </c>
      <c r="H16" s="120" t="s">
        <v>320</v>
      </c>
      <c r="I16" s="120" t="s">
        <v>970</v>
      </c>
      <c r="J16" s="120" t="s">
        <v>204</v>
      </c>
      <c r="K16" s="120" t="s">
        <v>295</v>
      </c>
      <c r="L16" s="120" t="s">
        <v>324</v>
      </c>
      <c r="M16" s="120" t="s">
        <v>313</v>
      </c>
      <c r="N16" s="130" t="s">
        <v>677</v>
      </c>
      <c r="O16" s="120" t="s">
        <v>338</v>
      </c>
      <c r="P16" s="120" t="s">
        <v>1212</v>
      </c>
      <c r="Q16" s="122">
        <v>155460</v>
      </c>
      <c r="R16" s="122">
        <v>3.7589999999999999</v>
      </c>
      <c r="S16" s="122">
        <v>13801.9</v>
      </c>
      <c r="T16" s="122">
        <v>80654.734429999997</v>
      </c>
      <c r="U16" s="123">
        <v>0.11168</v>
      </c>
      <c r="V16" s="123">
        <v>0.11434900000000001</v>
      </c>
      <c r="W16" s="123">
        <v>1.353E-3</v>
      </c>
      <c r="X16" s="132"/>
    </row>
    <row r="17" spans="1:24" ht="15" customHeight="1">
      <c r="A17" s="121">
        <v>313</v>
      </c>
      <c r="B17" s="121">
        <v>313</v>
      </c>
      <c r="C17" s="120" t="s">
        <v>1818</v>
      </c>
      <c r="D17" s="121" t="s">
        <v>1819</v>
      </c>
      <c r="E17" s="120" t="s">
        <v>312</v>
      </c>
      <c r="F17" s="120" t="s">
        <v>1820</v>
      </c>
      <c r="G17" s="121" t="s">
        <v>1821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325</v>
      </c>
      <c r="M17" s="120" t="s">
        <v>313</v>
      </c>
      <c r="N17" s="130" t="s">
        <v>677</v>
      </c>
      <c r="O17" s="120" t="s">
        <v>338</v>
      </c>
      <c r="P17" s="120" t="s">
        <v>1212</v>
      </c>
      <c r="Q17" s="122">
        <v>1158469.31</v>
      </c>
      <c r="R17" s="122">
        <v>3.7589999999999999</v>
      </c>
      <c r="S17" s="122">
        <v>1507.03</v>
      </c>
      <c r="T17" s="122">
        <v>65626.426479999995</v>
      </c>
      <c r="U17" s="123">
        <v>0.18188699999999999</v>
      </c>
      <c r="V17" s="123">
        <v>9.3042E-2</v>
      </c>
      <c r="W17" s="123">
        <v>1.101E-3</v>
      </c>
      <c r="X17" s="132"/>
    </row>
    <row r="18" spans="1:24" ht="15" customHeight="1">
      <c r="A18" s="121">
        <v>313</v>
      </c>
      <c r="B18" s="121">
        <v>313</v>
      </c>
      <c r="C18" s="120" t="s">
        <v>1822</v>
      </c>
      <c r="D18" s="121" t="s">
        <v>1823</v>
      </c>
      <c r="E18" s="120" t="s">
        <v>312</v>
      </c>
      <c r="F18" s="120" t="s">
        <v>1824</v>
      </c>
      <c r="G18" s="121" t="s">
        <v>1825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1212</v>
      </c>
      <c r="Q18" s="122">
        <v>632810</v>
      </c>
      <c r="R18" s="122">
        <v>3.7589999999999999</v>
      </c>
      <c r="S18" s="122">
        <v>1341.62</v>
      </c>
      <c r="T18" s="122">
        <v>31913.55486</v>
      </c>
      <c r="U18" s="123">
        <v>2.4738E-2</v>
      </c>
      <c r="V18" s="123">
        <v>4.5245E-2</v>
      </c>
      <c r="W18" s="123">
        <v>5.3499999999999999E-4</v>
      </c>
      <c r="X18" s="132"/>
    </row>
    <row r="19" spans="1:24" ht="15" customHeight="1">
      <c r="A19" s="121">
        <v>313</v>
      </c>
      <c r="B19" s="121">
        <v>313</v>
      </c>
      <c r="C19" s="120" t="s">
        <v>1798</v>
      </c>
      <c r="D19" s="121" t="s">
        <v>1799</v>
      </c>
      <c r="E19" s="120" t="s">
        <v>312</v>
      </c>
      <c r="F19" s="120" t="s">
        <v>1826</v>
      </c>
      <c r="G19" s="121" t="s">
        <v>1827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1212</v>
      </c>
      <c r="Q19" s="122">
        <v>1044343.53</v>
      </c>
      <c r="R19" s="122">
        <v>3.7589999999999999</v>
      </c>
      <c r="S19" s="122">
        <v>1285.99</v>
      </c>
      <c r="T19" s="122">
        <v>50483.946490000002</v>
      </c>
      <c r="U19" s="123">
        <v>0.15862699999999999</v>
      </c>
      <c r="V19" s="123">
        <v>7.1573999999999999E-2</v>
      </c>
      <c r="W19" s="123">
        <v>8.4699999999999999E-4</v>
      </c>
      <c r="X19" s="132"/>
    </row>
    <row r="20" spans="1:24" ht="15" customHeight="1">
      <c r="A20" s="121">
        <v>313</v>
      </c>
      <c r="B20" s="121">
        <v>313</v>
      </c>
      <c r="C20" s="120" t="s">
        <v>1828</v>
      </c>
      <c r="D20" s="121" t="s">
        <v>1829</v>
      </c>
      <c r="E20" s="120" t="s">
        <v>312</v>
      </c>
      <c r="F20" s="120" t="s">
        <v>1830</v>
      </c>
      <c r="G20" s="121" t="s">
        <v>1831</v>
      </c>
      <c r="H20" s="120" t="s">
        <v>320</v>
      </c>
      <c r="I20" s="120" t="s">
        <v>918</v>
      </c>
      <c r="J20" s="120" t="s">
        <v>204</v>
      </c>
      <c r="K20" s="120" t="s">
        <v>250</v>
      </c>
      <c r="L20" s="120" t="s">
        <v>324</v>
      </c>
      <c r="M20" s="120" t="s">
        <v>313</v>
      </c>
      <c r="N20" s="130" t="s">
        <v>734</v>
      </c>
      <c r="O20" s="120" t="s">
        <v>338</v>
      </c>
      <c r="P20" s="120" t="s">
        <v>1228</v>
      </c>
      <c r="Q20" s="122">
        <v>68943</v>
      </c>
      <c r="R20" s="122">
        <v>2.3359000000000001E-2</v>
      </c>
      <c r="S20" s="122">
        <v>2020000</v>
      </c>
      <c r="T20" s="122">
        <v>32530.878649999999</v>
      </c>
      <c r="U20" s="123">
        <v>8.7489999999999998E-3</v>
      </c>
      <c r="V20" s="123">
        <v>4.6121000000000002E-2</v>
      </c>
      <c r="W20" s="123">
        <v>5.4500000000000002E-4</v>
      </c>
      <c r="X20" s="132"/>
    </row>
    <row r="21" spans="1:24" ht="15" customHeight="1">
      <c r="A21" s="121">
        <v>313</v>
      </c>
      <c r="B21" s="121">
        <v>313</v>
      </c>
      <c r="C21" s="120" t="s">
        <v>1832</v>
      </c>
      <c r="D21" s="121" t="s">
        <v>1833</v>
      </c>
      <c r="E21" s="120" t="s">
        <v>312</v>
      </c>
      <c r="F21" s="120" t="s">
        <v>1834</v>
      </c>
      <c r="G21" s="121" t="s">
        <v>1835</v>
      </c>
      <c r="H21" s="120" t="s">
        <v>320</v>
      </c>
      <c r="I21" s="120" t="s">
        <v>918</v>
      </c>
      <c r="J21" s="120" t="s">
        <v>204</v>
      </c>
      <c r="K21" s="120" t="s">
        <v>295</v>
      </c>
      <c r="L21" s="120" t="s">
        <v>324</v>
      </c>
      <c r="M21" s="120" t="s">
        <v>313</v>
      </c>
      <c r="N21" s="130" t="s">
        <v>734</v>
      </c>
      <c r="O21" s="120" t="s">
        <v>338</v>
      </c>
      <c r="P21" s="120" t="s">
        <v>1212</v>
      </c>
      <c r="Q21" s="122">
        <v>38016</v>
      </c>
      <c r="R21" s="122">
        <v>3.7589999999999999</v>
      </c>
      <c r="S21" s="122">
        <v>26374</v>
      </c>
      <c r="T21" s="122">
        <v>37689.011460000002</v>
      </c>
      <c r="U21" s="123">
        <v>4.2820000000000002E-3</v>
      </c>
      <c r="V21" s="123">
        <v>5.3434000000000002E-2</v>
      </c>
      <c r="W21" s="123">
        <v>6.3199999999999997E-4</v>
      </c>
      <c r="X21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17" sqref="A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10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313</v>
      </c>
      <c r="B2" s="121">
        <v>313</v>
      </c>
      <c r="C2" s="120" t="s">
        <v>1543</v>
      </c>
      <c r="D2" s="121">
        <v>516537560</v>
      </c>
      <c r="E2" s="120" t="s">
        <v>308</v>
      </c>
      <c r="F2" s="120" t="s">
        <v>1836</v>
      </c>
      <c r="G2" s="121" t="s">
        <v>1837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1545</v>
      </c>
      <c r="N2" s="120" t="s">
        <v>440</v>
      </c>
      <c r="O2" s="124">
        <v>46203</v>
      </c>
      <c r="P2" s="120" t="s">
        <v>338</v>
      </c>
      <c r="Q2" s="120" t="s">
        <v>1217</v>
      </c>
      <c r="R2" s="122">
        <v>1650</v>
      </c>
      <c r="S2" s="122">
        <v>1</v>
      </c>
      <c r="T2" s="122">
        <v>97750</v>
      </c>
      <c r="U2" s="122">
        <v>1</v>
      </c>
      <c r="V2" s="122">
        <v>323.39999999999998</v>
      </c>
      <c r="W2" s="122">
        <v>316.12349999999998</v>
      </c>
      <c r="X2" s="123">
        <v>1</v>
      </c>
      <c r="Y2" s="123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I1" workbookViewId="0">
      <selection activeCell="X7" sqref="X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topLeftCell="G1" workbookViewId="0">
      <selection activeCell="U1" sqref="U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topLeftCell="L1" workbookViewId="0">
      <selection activeCell="AB3" sqref="A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313</v>
      </c>
      <c r="B2" s="121">
        <v>313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89"/>
  <sheetViews>
    <sheetView rightToLeft="1" topLeftCell="E70" workbookViewId="0">
      <selection activeCell="E91" sqref="E9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984</v>
      </c>
      <c r="D2" s="120" t="s">
        <v>1838</v>
      </c>
      <c r="E2" s="121">
        <v>8288516</v>
      </c>
      <c r="F2" s="124">
        <v>42887</v>
      </c>
      <c r="G2" s="122">
        <v>6.79</v>
      </c>
      <c r="H2" s="120" t="s">
        <v>753</v>
      </c>
      <c r="I2" s="124">
        <v>48366</v>
      </c>
      <c r="J2" s="123">
        <v>4.8000000000000001E-2</v>
      </c>
      <c r="K2" s="123">
        <v>2.1700000000000001E-2</v>
      </c>
      <c r="L2" s="122">
        <v>127416000</v>
      </c>
      <c r="M2" s="122">
        <v>136.91640000000001</v>
      </c>
      <c r="N2" s="122">
        <v>174453.36884000001</v>
      </c>
      <c r="O2" s="122"/>
      <c r="P2" s="120"/>
      <c r="Q2" s="123">
        <v>1.0800000000000001E-2</v>
      </c>
      <c r="R2" s="123">
        <v>2.9269999999999999E-3</v>
      </c>
    </row>
    <row r="3" spans="1:26" ht="15" customHeight="1">
      <c r="A3" s="121">
        <v>313</v>
      </c>
      <c r="B3" s="121">
        <v>313</v>
      </c>
      <c r="C3" s="120" t="s">
        <v>984</v>
      </c>
      <c r="D3" s="120" t="s">
        <v>1839</v>
      </c>
      <c r="E3" s="121">
        <v>8288722</v>
      </c>
      <c r="F3" s="124">
        <v>43525</v>
      </c>
      <c r="G3" s="122">
        <v>7.96</v>
      </c>
      <c r="H3" s="120" t="s">
        <v>753</v>
      </c>
      <c r="I3" s="124">
        <v>49004</v>
      </c>
      <c r="J3" s="123">
        <v>4.8000000000000001E-2</v>
      </c>
      <c r="K3" s="123">
        <v>2.23E-2</v>
      </c>
      <c r="L3" s="122">
        <v>169331000</v>
      </c>
      <c r="M3" s="122">
        <v>140.7978</v>
      </c>
      <c r="N3" s="122">
        <v>238414.26672000001</v>
      </c>
      <c r="O3" s="120"/>
      <c r="P3" s="120"/>
      <c r="Q3" s="123">
        <v>1.4759E-2</v>
      </c>
      <c r="R3" s="123">
        <v>4.0000000000000001E-3</v>
      </c>
    </row>
    <row r="4" spans="1:26" ht="15" customHeight="1">
      <c r="A4" s="121">
        <v>313</v>
      </c>
      <c r="B4" s="121">
        <v>313</v>
      </c>
      <c r="C4" s="120" t="s">
        <v>984</v>
      </c>
      <c r="D4" s="120" t="s">
        <v>1840</v>
      </c>
      <c r="E4" s="121">
        <v>8288250</v>
      </c>
      <c r="F4" s="124">
        <v>42095</v>
      </c>
      <c r="G4" s="122">
        <v>5.0999999999999996</v>
      </c>
      <c r="H4" s="120" t="s">
        <v>753</v>
      </c>
      <c r="I4" s="124">
        <v>47574</v>
      </c>
      <c r="J4" s="123">
        <v>4.8000000000000001E-2</v>
      </c>
      <c r="K4" s="123">
        <v>2.0299999999999999E-2</v>
      </c>
      <c r="L4" s="122">
        <v>478975000</v>
      </c>
      <c r="M4" s="122">
        <v>134.05099999999999</v>
      </c>
      <c r="N4" s="122">
        <v>642070.87124000001</v>
      </c>
      <c r="O4" s="120"/>
      <c r="P4" s="120"/>
      <c r="Q4" s="123">
        <v>3.9749E-2</v>
      </c>
      <c r="R4" s="123">
        <v>1.0774000000000001E-2</v>
      </c>
    </row>
    <row r="5" spans="1:26" ht="15" customHeight="1">
      <c r="A5" s="121">
        <v>313</v>
      </c>
      <c r="B5" s="121">
        <v>313</v>
      </c>
      <c r="C5" s="120" t="s">
        <v>984</v>
      </c>
      <c r="D5" s="120" t="s">
        <v>1841</v>
      </c>
      <c r="E5" s="121">
        <v>8288391</v>
      </c>
      <c r="F5" s="124">
        <v>42522</v>
      </c>
      <c r="G5" s="122">
        <v>6.04</v>
      </c>
      <c r="H5" s="120" t="s">
        <v>753</v>
      </c>
      <c r="I5" s="124">
        <v>48000</v>
      </c>
      <c r="J5" s="123">
        <v>4.8000000000000001E-2</v>
      </c>
      <c r="K5" s="123">
        <v>2.12E-2</v>
      </c>
      <c r="L5" s="122">
        <v>145761000</v>
      </c>
      <c r="M5" s="122">
        <v>135.7099</v>
      </c>
      <c r="N5" s="122">
        <v>197812.13952</v>
      </c>
      <c r="O5" s="120"/>
      <c r="P5" s="120"/>
      <c r="Q5" s="123">
        <v>1.2246E-2</v>
      </c>
      <c r="R5" s="123">
        <v>3.3189999999999999E-3</v>
      </c>
    </row>
    <row r="6" spans="1:26" ht="15" customHeight="1">
      <c r="A6" s="121">
        <v>313</v>
      </c>
      <c r="B6" s="121">
        <v>313</v>
      </c>
      <c r="C6" s="120" t="s">
        <v>984</v>
      </c>
      <c r="D6" s="120" t="s">
        <v>1842</v>
      </c>
      <c r="E6" s="121">
        <v>8288961</v>
      </c>
      <c r="F6" s="124">
        <v>44287</v>
      </c>
      <c r="G6" s="122">
        <v>9.3699999999999992</v>
      </c>
      <c r="H6" s="120" t="s">
        <v>753</v>
      </c>
      <c r="I6" s="124">
        <v>49766</v>
      </c>
      <c r="J6" s="123">
        <v>4.8000000000000001E-2</v>
      </c>
      <c r="K6" s="123">
        <v>2.2800000000000001E-2</v>
      </c>
      <c r="L6" s="122">
        <v>89141000</v>
      </c>
      <c r="M6" s="122">
        <v>144.20359999999999</v>
      </c>
      <c r="N6" s="122">
        <v>128544.50162</v>
      </c>
      <c r="O6" s="120"/>
      <c r="P6" s="120"/>
      <c r="Q6" s="123">
        <v>7.9570000000000005E-3</v>
      </c>
      <c r="R6" s="123">
        <v>2.1570000000000001E-3</v>
      </c>
    </row>
    <row r="7" spans="1:26" ht="15" customHeight="1">
      <c r="A7" s="121">
        <v>313</v>
      </c>
      <c r="B7" s="121">
        <v>313</v>
      </c>
      <c r="C7" s="120" t="s">
        <v>984</v>
      </c>
      <c r="D7" s="120" t="s">
        <v>1843</v>
      </c>
      <c r="E7" s="121">
        <v>8288672</v>
      </c>
      <c r="F7" s="124">
        <v>43375</v>
      </c>
      <c r="G7" s="122">
        <v>7.7</v>
      </c>
      <c r="H7" s="120" t="s">
        <v>753</v>
      </c>
      <c r="I7" s="124">
        <v>48856</v>
      </c>
      <c r="J7" s="123">
        <v>4.8000000000000001E-2</v>
      </c>
      <c r="K7" s="123">
        <v>2.2200000000000001E-2</v>
      </c>
      <c r="L7" s="122">
        <v>74289000</v>
      </c>
      <c r="M7" s="122">
        <v>139.1343</v>
      </c>
      <c r="N7" s="122">
        <v>103361.47251000001</v>
      </c>
      <c r="O7" s="120"/>
      <c r="P7" s="120"/>
      <c r="Q7" s="123">
        <v>6.398E-3</v>
      </c>
      <c r="R7" s="123">
        <v>1.7340000000000001E-3</v>
      </c>
    </row>
    <row r="8" spans="1:26" ht="15" customHeight="1">
      <c r="A8" s="121">
        <v>313</v>
      </c>
      <c r="B8" s="121">
        <v>313</v>
      </c>
      <c r="C8" s="120" t="s">
        <v>984</v>
      </c>
      <c r="D8" s="120" t="s">
        <v>1844</v>
      </c>
      <c r="E8" s="121">
        <v>8288805</v>
      </c>
      <c r="F8" s="124">
        <v>43770</v>
      </c>
      <c r="G8" s="122">
        <v>8.4700000000000006</v>
      </c>
      <c r="H8" s="120" t="s">
        <v>753</v>
      </c>
      <c r="I8" s="124">
        <v>49249</v>
      </c>
      <c r="J8" s="123">
        <v>4.8000000000000001E-2</v>
      </c>
      <c r="K8" s="123">
        <v>2.2499999999999999E-2</v>
      </c>
      <c r="L8" s="122">
        <v>113780000</v>
      </c>
      <c r="M8" s="122">
        <v>140.29910000000001</v>
      </c>
      <c r="N8" s="122">
        <v>159632.36650999999</v>
      </c>
      <c r="O8" s="120"/>
      <c r="P8" s="120"/>
      <c r="Q8" s="123">
        <v>9.8820000000000002E-3</v>
      </c>
      <c r="R8" s="123">
        <v>2.6779999999999998E-3</v>
      </c>
    </row>
    <row r="9" spans="1:26" ht="15" customHeight="1">
      <c r="A9" s="121">
        <v>313</v>
      </c>
      <c r="B9" s="121">
        <v>313</v>
      </c>
      <c r="C9" s="120" t="s">
        <v>984</v>
      </c>
      <c r="D9" s="120" t="s">
        <v>1845</v>
      </c>
      <c r="E9" s="121">
        <v>8288078</v>
      </c>
      <c r="F9" s="124">
        <v>41548</v>
      </c>
      <c r="G9" s="122">
        <v>3.88</v>
      </c>
      <c r="H9" s="120" t="s">
        <v>753</v>
      </c>
      <c r="I9" s="124">
        <v>47027</v>
      </c>
      <c r="J9" s="123">
        <v>4.8000000000000001E-2</v>
      </c>
      <c r="K9" s="123">
        <v>1.8800000000000001E-2</v>
      </c>
      <c r="L9" s="122">
        <v>54292000</v>
      </c>
      <c r="M9" s="122">
        <v>128.13200000000001</v>
      </c>
      <c r="N9" s="122">
        <v>69565.449349999995</v>
      </c>
      <c r="O9" s="120"/>
      <c r="P9" s="120"/>
      <c r="Q9" s="123">
        <v>4.3059999999999999E-3</v>
      </c>
      <c r="R9" s="123">
        <v>1.1670000000000001E-3</v>
      </c>
    </row>
    <row r="10" spans="1:26" ht="15" customHeight="1">
      <c r="A10" s="121">
        <v>313</v>
      </c>
      <c r="B10" s="121">
        <v>313</v>
      </c>
      <c r="C10" s="120" t="s">
        <v>984</v>
      </c>
      <c r="D10" s="120" t="s">
        <v>1846</v>
      </c>
      <c r="E10" s="121">
        <v>8288227</v>
      </c>
      <c r="F10" s="124">
        <v>42005</v>
      </c>
      <c r="G10" s="122">
        <v>4.8499999999999996</v>
      </c>
      <c r="H10" s="120" t="s">
        <v>753</v>
      </c>
      <c r="I10" s="124">
        <v>47484</v>
      </c>
      <c r="J10" s="123">
        <v>4.8000000000000001E-2</v>
      </c>
      <c r="K10" s="123">
        <v>2.01E-2</v>
      </c>
      <c r="L10" s="122">
        <v>173964000</v>
      </c>
      <c r="M10" s="122">
        <v>132.70070000000001</v>
      </c>
      <c r="N10" s="122">
        <v>230851.47093000001</v>
      </c>
      <c r="O10" s="120"/>
      <c r="P10" s="120"/>
      <c r="Q10" s="123">
        <v>1.4291E-2</v>
      </c>
      <c r="R10" s="123">
        <v>3.8730000000000001E-3</v>
      </c>
    </row>
    <row r="11" spans="1:26" ht="15" customHeight="1">
      <c r="A11" s="121">
        <v>313</v>
      </c>
      <c r="B11" s="121">
        <v>313</v>
      </c>
      <c r="C11" s="120" t="s">
        <v>984</v>
      </c>
      <c r="D11" s="120" t="s">
        <v>1847</v>
      </c>
      <c r="E11" s="121">
        <v>8288730</v>
      </c>
      <c r="F11" s="124">
        <v>43556</v>
      </c>
      <c r="G11" s="122">
        <v>8.0399999999999991</v>
      </c>
      <c r="H11" s="120" t="s">
        <v>753</v>
      </c>
      <c r="I11" s="124">
        <v>49035</v>
      </c>
      <c r="J11" s="123">
        <v>4.8000000000000001E-2</v>
      </c>
      <c r="K11" s="123">
        <v>2.23E-2</v>
      </c>
      <c r="L11" s="122">
        <v>125469000</v>
      </c>
      <c r="M11" s="122">
        <v>140.41419999999999</v>
      </c>
      <c r="N11" s="122">
        <v>176176.23185000001</v>
      </c>
      <c r="O11" s="120"/>
      <c r="P11" s="120"/>
      <c r="Q11" s="123">
        <v>1.0906000000000001E-2</v>
      </c>
      <c r="R11" s="123">
        <v>2.9559999999999999E-3</v>
      </c>
    </row>
    <row r="12" spans="1:26" ht="15" customHeight="1">
      <c r="A12" s="121">
        <v>313</v>
      </c>
      <c r="B12" s="121">
        <v>313</v>
      </c>
      <c r="C12" s="120" t="s">
        <v>984</v>
      </c>
      <c r="D12" s="120" t="s">
        <v>1848</v>
      </c>
      <c r="E12" s="121">
        <v>8288334</v>
      </c>
      <c r="F12" s="124">
        <v>42339</v>
      </c>
      <c r="G12" s="122">
        <v>5.66</v>
      </c>
      <c r="H12" s="120" t="s">
        <v>753</v>
      </c>
      <c r="I12" s="124">
        <v>47818</v>
      </c>
      <c r="J12" s="123">
        <v>4.8000000000000001E-2</v>
      </c>
      <c r="K12" s="123">
        <v>2.0899999999999998E-2</v>
      </c>
      <c r="L12" s="122">
        <v>249089000</v>
      </c>
      <c r="M12" s="122">
        <v>133.1037</v>
      </c>
      <c r="N12" s="122">
        <v>331546.77239</v>
      </c>
      <c r="O12" s="120"/>
      <c r="P12" s="120"/>
      <c r="Q12" s="123">
        <v>2.0525000000000002E-2</v>
      </c>
      <c r="R12" s="123">
        <v>5.5630000000000002E-3</v>
      </c>
    </row>
    <row r="13" spans="1:26" ht="15" customHeight="1">
      <c r="A13" s="121">
        <v>313</v>
      </c>
      <c r="B13" s="121">
        <v>313</v>
      </c>
      <c r="C13" s="120" t="s">
        <v>984</v>
      </c>
      <c r="D13" s="120" t="s">
        <v>1849</v>
      </c>
      <c r="E13" s="121">
        <v>8288946</v>
      </c>
      <c r="F13" s="124">
        <v>44228</v>
      </c>
      <c r="G13" s="122">
        <v>9.2100000000000009</v>
      </c>
      <c r="H13" s="120" t="s">
        <v>753</v>
      </c>
      <c r="I13" s="124">
        <v>49706</v>
      </c>
      <c r="J13" s="123">
        <v>4.8000000000000001E-2</v>
      </c>
      <c r="K13" s="123">
        <v>2.2800000000000001E-2</v>
      </c>
      <c r="L13" s="122">
        <v>103416000</v>
      </c>
      <c r="M13" s="122">
        <v>145.0985</v>
      </c>
      <c r="N13" s="122">
        <v>150055.10096000001</v>
      </c>
      <c r="O13" s="120"/>
      <c r="P13" s="120"/>
      <c r="Q13" s="123">
        <v>9.2890000000000004E-3</v>
      </c>
      <c r="R13" s="123">
        <v>2.5179999999999998E-3</v>
      </c>
    </row>
    <row r="14" spans="1:26" ht="15" customHeight="1">
      <c r="A14" s="121">
        <v>313</v>
      </c>
      <c r="B14" s="121">
        <v>313</v>
      </c>
      <c r="C14" s="120" t="s">
        <v>984</v>
      </c>
      <c r="D14" s="120" t="s">
        <v>1850</v>
      </c>
      <c r="E14" s="121">
        <v>8288797</v>
      </c>
      <c r="F14" s="124">
        <v>43740</v>
      </c>
      <c r="G14" s="122">
        <v>8.3800000000000008</v>
      </c>
      <c r="H14" s="120" t="s">
        <v>753</v>
      </c>
      <c r="I14" s="124">
        <v>49219</v>
      </c>
      <c r="J14" s="123">
        <v>4.8000000000000001E-2</v>
      </c>
      <c r="K14" s="123">
        <v>2.2499999999999999E-2</v>
      </c>
      <c r="L14" s="122">
        <v>141669000</v>
      </c>
      <c r="M14" s="122">
        <v>140.26570000000001</v>
      </c>
      <c r="N14" s="122">
        <v>198713.01350999999</v>
      </c>
      <c r="O14" s="120"/>
      <c r="P14" s="120"/>
      <c r="Q14" s="123">
        <v>1.2300999999999999E-2</v>
      </c>
      <c r="R14" s="123">
        <v>3.3340000000000002E-3</v>
      </c>
    </row>
    <row r="15" spans="1:26" ht="15" customHeight="1">
      <c r="A15" s="121">
        <v>313</v>
      </c>
      <c r="B15" s="121">
        <v>313</v>
      </c>
      <c r="C15" s="120" t="s">
        <v>984</v>
      </c>
      <c r="D15" s="120" t="s">
        <v>1851</v>
      </c>
      <c r="E15" s="121">
        <v>8288102</v>
      </c>
      <c r="F15" s="124">
        <v>41640</v>
      </c>
      <c r="G15" s="122">
        <v>4.05</v>
      </c>
      <c r="H15" s="120" t="s">
        <v>753</v>
      </c>
      <c r="I15" s="124">
        <v>47119</v>
      </c>
      <c r="J15" s="123">
        <v>4.8000000000000001E-2</v>
      </c>
      <c r="K15" s="123">
        <v>1.9099999999999999E-2</v>
      </c>
      <c r="L15" s="122">
        <v>172703000</v>
      </c>
      <c r="M15" s="122">
        <v>130.23650000000001</v>
      </c>
      <c r="N15" s="122">
        <v>224922.34434000001</v>
      </c>
      <c r="O15" s="120"/>
      <c r="P15" s="120"/>
      <c r="Q15" s="123">
        <v>1.3924000000000001E-2</v>
      </c>
      <c r="R15" s="123">
        <v>3.774E-3</v>
      </c>
    </row>
    <row r="16" spans="1:26" ht="15" customHeight="1">
      <c r="A16" s="121">
        <v>313</v>
      </c>
      <c r="B16" s="121">
        <v>313</v>
      </c>
      <c r="C16" s="120" t="s">
        <v>984</v>
      </c>
      <c r="D16" s="120" t="s">
        <v>1852</v>
      </c>
      <c r="E16" s="121">
        <v>8288193</v>
      </c>
      <c r="F16" s="124">
        <v>41913</v>
      </c>
      <c r="G16" s="122">
        <v>4.71</v>
      </c>
      <c r="H16" s="120" t="s">
        <v>753</v>
      </c>
      <c r="I16" s="124">
        <v>47393</v>
      </c>
      <c r="J16" s="123">
        <v>4.8000000000000001E-2</v>
      </c>
      <c r="K16" s="123">
        <v>1.9900000000000001E-2</v>
      </c>
      <c r="L16" s="122">
        <v>393023000</v>
      </c>
      <c r="M16" s="122">
        <v>130.50729999999999</v>
      </c>
      <c r="N16" s="122">
        <v>512923.60846000002</v>
      </c>
      <c r="O16" s="120"/>
      <c r="P16" s="120"/>
      <c r="Q16" s="123">
        <v>3.1753000000000003E-2</v>
      </c>
      <c r="R16" s="123">
        <v>8.6070000000000001E-3</v>
      </c>
    </row>
    <row r="17" spans="1:18" ht="15" customHeight="1">
      <c r="A17" s="121">
        <v>313</v>
      </c>
      <c r="B17" s="121">
        <v>313</v>
      </c>
      <c r="C17" s="120" t="s">
        <v>984</v>
      </c>
      <c r="D17" s="120" t="s">
        <v>1853</v>
      </c>
      <c r="E17" s="121">
        <v>8288482</v>
      </c>
      <c r="F17" s="124">
        <v>42795</v>
      </c>
      <c r="G17" s="122">
        <v>6.54</v>
      </c>
      <c r="H17" s="120" t="s">
        <v>753</v>
      </c>
      <c r="I17" s="124">
        <v>48274</v>
      </c>
      <c r="J17" s="123">
        <v>4.8000000000000001E-2</v>
      </c>
      <c r="K17" s="123">
        <v>2.1600000000000001E-2</v>
      </c>
      <c r="L17" s="122">
        <v>67665000</v>
      </c>
      <c r="M17" s="122">
        <v>138.4511</v>
      </c>
      <c r="N17" s="122">
        <v>93682.908360000001</v>
      </c>
      <c r="O17" s="120"/>
      <c r="P17" s="120"/>
      <c r="Q17" s="123">
        <v>5.7990000000000003E-3</v>
      </c>
      <c r="R17" s="123">
        <v>1.572E-3</v>
      </c>
    </row>
    <row r="18" spans="1:18" ht="15" customHeight="1">
      <c r="A18" s="121">
        <v>313</v>
      </c>
      <c r="B18" s="121">
        <v>313</v>
      </c>
      <c r="C18" s="120" t="s">
        <v>984</v>
      </c>
      <c r="D18" s="120" t="s">
        <v>1854</v>
      </c>
      <c r="E18" s="121">
        <v>8288177</v>
      </c>
      <c r="F18" s="124">
        <v>41852</v>
      </c>
      <c r="G18" s="122">
        <v>4.54</v>
      </c>
      <c r="H18" s="120" t="s">
        <v>753</v>
      </c>
      <c r="I18" s="124">
        <v>47331</v>
      </c>
      <c r="J18" s="123">
        <v>4.8000000000000001E-2</v>
      </c>
      <c r="K18" s="123">
        <v>1.9599999999999999E-2</v>
      </c>
      <c r="L18" s="122">
        <v>54684000</v>
      </c>
      <c r="M18" s="122">
        <v>131.096</v>
      </c>
      <c r="N18" s="122">
        <v>71688.534920000006</v>
      </c>
      <c r="O18" s="120"/>
      <c r="P18" s="120"/>
      <c r="Q18" s="123">
        <v>4.4380000000000001E-3</v>
      </c>
      <c r="R18" s="123">
        <v>1.2030000000000001E-3</v>
      </c>
    </row>
    <row r="19" spans="1:18" ht="15" customHeight="1">
      <c r="A19" s="121">
        <v>313</v>
      </c>
      <c r="B19" s="121">
        <v>313</v>
      </c>
      <c r="C19" s="120" t="s">
        <v>984</v>
      </c>
      <c r="D19" s="120" t="s">
        <v>1855</v>
      </c>
      <c r="E19" s="121">
        <v>8288904</v>
      </c>
      <c r="F19" s="124">
        <v>44105</v>
      </c>
      <c r="G19" s="122">
        <v>9.0500000000000007</v>
      </c>
      <c r="H19" s="120" t="s">
        <v>753</v>
      </c>
      <c r="I19" s="124">
        <v>49583</v>
      </c>
      <c r="J19" s="123">
        <v>4.8000000000000001E-2</v>
      </c>
      <c r="K19" s="123">
        <v>2.2700000000000001E-2</v>
      </c>
      <c r="L19" s="122">
        <v>184538000</v>
      </c>
      <c r="M19" s="122">
        <v>143.36580000000001</v>
      </c>
      <c r="N19" s="122">
        <v>264564.44955000002</v>
      </c>
      <c r="O19" s="120"/>
      <c r="P19" s="120"/>
      <c r="Q19" s="123">
        <v>1.6378E-2</v>
      </c>
      <c r="R19" s="123">
        <v>4.4390000000000002E-3</v>
      </c>
    </row>
    <row r="20" spans="1:18" ht="15" customHeight="1">
      <c r="A20" s="121">
        <v>313</v>
      </c>
      <c r="B20" s="121">
        <v>313</v>
      </c>
      <c r="C20" s="120" t="s">
        <v>984</v>
      </c>
      <c r="D20" s="120" t="s">
        <v>1856</v>
      </c>
      <c r="E20" s="121">
        <v>8288284</v>
      </c>
      <c r="F20" s="124">
        <v>42186</v>
      </c>
      <c r="G20" s="122">
        <v>5.24</v>
      </c>
      <c r="H20" s="120" t="s">
        <v>753</v>
      </c>
      <c r="I20" s="124">
        <v>47665</v>
      </c>
      <c r="J20" s="123">
        <v>4.8000000000000001E-2</v>
      </c>
      <c r="K20" s="123">
        <v>2.0500000000000001E-2</v>
      </c>
      <c r="L20" s="122">
        <v>1884000</v>
      </c>
      <c r="M20" s="122">
        <v>134.5076</v>
      </c>
      <c r="N20" s="122">
        <v>2534.12356</v>
      </c>
      <c r="O20" s="120"/>
      <c r="P20" s="120"/>
      <c r="Q20" s="123">
        <v>1.56E-4</v>
      </c>
      <c r="R20" s="123">
        <v>4.1999999999999998E-5</v>
      </c>
    </row>
    <row r="21" spans="1:18" ht="15" customHeight="1">
      <c r="A21" s="121">
        <v>313</v>
      </c>
      <c r="B21" s="121">
        <v>313</v>
      </c>
      <c r="C21" s="120" t="s">
        <v>984</v>
      </c>
      <c r="D21" s="120" t="s">
        <v>1857</v>
      </c>
      <c r="E21" s="121">
        <v>8289043</v>
      </c>
      <c r="F21" s="124">
        <v>44531</v>
      </c>
      <c r="G21" s="122">
        <v>9.86</v>
      </c>
      <c r="H21" s="120" t="s">
        <v>753</v>
      </c>
      <c r="I21" s="124">
        <v>50010</v>
      </c>
      <c r="J21" s="123">
        <v>4.8000000000000001E-2</v>
      </c>
      <c r="K21" s="123">
        <v>2.29E-2</v>
      </c>
      <c r="L21" s="122">
        <v>49117000</v>
      </c>
      <c r="M21" s="122">
        <v>141.18369999999999</v>
      </c>
      <c r="N21" s="122">
        <v>69345.17542</v>
      </c>
      <c r="O21" s="120"/>
      <c r="P21" s="120"/>
      <c r="Q21" s="123">
        <v>4.2929999999999999E-3</v>
      </c>
      <c r="R21" s="123">
        <v>1.163E-3</v>
      </c>
    </row>
    <row r="22" spans="1:18" ht="15" customHeight="1">
      <c r="A22" s="121">
        <v>313</v>
      </c>
      <c r="B22" s="121">
        <v>313</v>
      </c>
      <c r="C22" s="120" t="s">
        <v>984</v>
      </c>
      <c r="D22" s="120" t="s">
        <v>1858</v>
      </c>
      <c r="E22" s="121">
        <v>8288490</v>
      </c>
      <c r="F22" s="124">
        <v>42827</v>
      </c>
      <c r="G22" s="122">
        <v>6.62</v>
      </c>
      <c r="H22" s="120" t="s">
        <v>753</v>
      </c>
      <c r="I22" s="124">
        <v>48306</v>
      </c>
      <c r="J22" s="123">
        <v>4.8000000000000001E-2</v>
      </c>
      <c r="K22" s="123">
        <v>2.1600000000000001E-2</v>
      </c>
      <c r="L22" s="122">
        <v>97727000</v>
      </c>
      <c r="M22" s="122">
        <v>138.20359999999999</v>
      </c>
      <c r="N22" s="122">
        <v>135062.23594000001</v>
      </c>
      <c r="O22" s="120"/>
      <c r="P22" s="120"/>
      <c r="Q22" s="123">
        <v>8.3610000000000004E-3</v>
      </c>
      <c r="R22" s="123">
        <v>2.2659999999999998E-3</v>
      </c>
    </row>
    <row r="23" spans="1:18" ht="15" customHeight="1">
      <c r="A23" s="121">
        <v>313</v>
      </c>
      <c r="B23" s="121">
        <v>313</v>
      </c>
      <c r="C23" s="120" t="s">
        <v>984</v>
      </c>
      <c r="D23" s="120" t="s">
        <v>1859</v>
      </c>
      <c r="E23" s="121">
        <v>8288417</v>
      </c>
      <c r="F23" s="124">
        <v>42583</v>
      </c>
      <c r="G23" s="122">
        <v>6.09</v>
      </c>
      <c r="H23" s="120" t="s">
        <v>753</v>
      </c>
      <c r="I23" s="124">
        <v>48061</v>
      </c>
      <c r="J23" s="123">
        <v>4.8000000000000001E-2</v>
      </c>
      <c r="K23" s="123">
        <v>2.12E-2</v>
      </c>
      <c r="L23" s="122">
        <v>68423000</v>
      </c>
      <c r="M23" s="122">
        <v>137.18109999999999</v>
      </c>
      <c r="N23" s="122">
        <v>93863.41502</v>
      </c>
      <c r="O23" s="120"/>
      <c r="P23" s="120"/>
      <c r="Q23" s="123">
        <v>5.8100000000000001E-3</v>
      </c>
      <c r="R23" s="123">
        <v>1.575E-3</v>
      </c>
    </row>
    <row r="24" spans="1:18" ht="15" customHeight="1">
      <c r="A24" s="121">
        <v>313</v>
      </c>
      <c r="B24" s="121">
        <v>313</v>
      </c>
      <c r="C24" s="120" t="s">
        <v>984</v>
      </c>
      <c r="D24" s="120" t="s">
        <v>1860</v>
      </c>
      <c r="E24" s="121">
        <v>8288375</v>
      </c>
      <c r="F24" s="124">
        <v>42461</v>
      </c>
      <c r="G24" s="122">
        <v>5.87</v>
      </c>
      <c r="H24" s="120" t="s">
        <v>753</v>
      </c>
      <c r="I24" s="124">
        <v>47939</v>
      </c>
      <c r="J24" s="123">
        <v>4.8000000000000001E-2</v>
      </c>
      <c r="K24" s="123">
        <v>2.1000000000000001E-2</v>
      </c>
      <c r="L24" s="122">
        <v>145936000</v>
      </c>
      <c r="M24" s="122">
        <v>136.58789999999999</v>
      </c>
      <c r="N24" s="122">
        <v>199330.85694999999</v>
      </c>
      <c r="O24" s="120"/>
      <c r="P24" s="120"/>
      <c r="Q24" s="123">
        <v>1.234E-2</v>
      </c>
      <c r="R24" s="123">
        <v>3.3449999999999999E-3</v>
      </c>
    </row>
    <row r="25" spans="1:18" ht="15" customHeight="1">
      <c r="A25" s="121">
        <v>313</v>
      </c>
      <c r="B25" s="121">
        <v>313</v>
      </c>
      <c r="C25" s="120" t="s">
        <v>984</v>
      </c>
      <c r="D25" s="120" t="s">
        <v>1861</v>
      </c>
      <c r="E25" s="121">
        <v>8288045</v>
      </c>
      <c r="F25" s="124">
        <v>41456</v>
      </c>
      <c r="G25" s="122">
        <v>3.64</v>
      </c>
      <c r="H25" s="120" t="s">
        <v>753</v>
      </c>
      <c r="I25" s="124">
        <v>46936</v>
      </c>
      <c r="J25" s="123">
        <v>4.8000000000000001E-2</v>
      </c>
      <c r="K25" s="123">
        <v>1.8499999999999999E-2</v>
      </c>
      <c r="L25" s="122">
        <v>162167000</v>
      </c>
      <c r="M25" s="122">
        <v>130.5275</v>
      </c>
      <c r="N25" s="122">
        <v>211672.46101</v>
      </c>
      <c r="O25" s="120"/>
      <c r="P25" s="120"/>
      <c r="Q25" s="123">
        <v>1.3103999999999999E-2</v>
      </c>
      <c r="R25" s="123">
        <v>3.552E-3</v>
      </c>
    </row>
    <row r="26" spans="1:18" ht="15" customHeight="1">
      <c r="A26" s="121">
        <v>313</v>
      </c>
      <c r="B26" s="121">
        <v>313</v>
      </c>
      <c r="C26" s="120" t="s">
        <v>984</v>
      </c>
      <c r="D26" s="120" t="s">
        <v>1862</v>
      </c>
      <c r="E26" s="121">
        <v>8288995</v>
      </c>
      <c r="F26" s="124">
        <v>44378</v>
      </c>
      <c r="G26" s="122">
        <v>9.44</v>
      </c>
      <c r="H26" s="120" t="s">
        <v>753</v>
      </c>
      <c r="I26" s="124">
        <v>49857</v>
      </c>
      <c r="J26" s="123">
        <v>4.8000000000000001E-2</v>
      </c>
      <c r="K26" s="123">
        <v>2.29E-2</v>
      </c>
      <c r="L26" s="122">
        <v>118587000</v>
      </c>
      <c r="M26" s="122">
        <v>144.18289999999999</v>
      </c>
      <c r="N26" s="122">
        <v>170982.18059</v>
      </c>
      <c r="O26" s="120"/>
      <c r="P26" s="120"/>
      <c r="Q26" s="123">
        <v>1.0585000000000001E-2</v>
      </c>
      <c r="R26" s="123">
        <v>2.869E-3</v>
      </c>
    </row>
    <row r="27" spans="1:18" ht="15" customHeight="1">
      <c r="A27" s="121">
        <v>313</v>
      </c>
      <c r="B27" s="121">
        <v>313</v>
      </c>
      <c r="C27" s="120" t="s">
        <v>984</v>
      </c>
      <c r="D27" s="120" t="s">
        <v>1863</v>
      </c>
      <c r="E27" s="121">
        <v>8288458</v>
      </c>
      <c r="F27" s="124">
        <v>42705</v>
      </c>
      <c r="G27" s="122">
        <v>6.42</v>
      </c>
      <c r="H27" s="120" t="s">
        <v>753</v>
      </c>
      <c r="I27" s="124">
        <v>48183</v>
      </c>
      <c r="J27" s="123">
        <v>4.8000000000000001E-2</v>
      </c>
      <c r="K27" s="123">
        <v>2.1399999999999999E-2</v>
      </c>
      <c r="L27" s="122">
        <v>38553000</v>
      </c>
      <c r="M27" s="122">
        <v>135.7039</v>
      </c>
      <c r="N27" s="122">
        <v>52317.938999999998</v>
      </c>
      <c r="O27" s="120"/>
      <c r="P27" s="120"/>
      <c r="Q27" s="123">
        <v>3.238E-3</v>
      </c>
      <c r="R27" s="123">
        <v>8.7699999999999996E-4</v>
      </c>
    </row>
    <row r="28" spans="1:18" ht="15" customHeight="1">
      <c r="A28" s="121">
        <v>313</v>
      </c>
      <c r="B28" s="121">
        <v>313</v>
      </c>
      <c r="C28" s="120" t="s">
        <v>984</v>
      </c>
      <c r="D28" s="120" t="s">
        <v>1864</v>
      </c>
      <c r="E28" s="121">
        <v>8288094</v>
      </c>
      <c r="F28" s="124">
        <v>41609</v>
      </c>
      <c r="G28" s="122">
        <v>4.05</v>
      </c>
      <c r="H28" s="120" t="s">
        <v>753</v>
      </c>
      <c r="I28" s="124">
        <v>47088</v>
      </c>
      <c r="J28" s="123">
        <v>4.8000000000000001E-2</v>
      </c>
      <c r="K28" s="123">
        <v>1.9099999999999999E-2</v>
      </c>
      <c r="L28" s="122">
        <v>174736000</v>
      </c>
      <c r="M28" s="122">
        <v>127.21680000000001</v>
      </c>
      <c r="N28" s="122">
        <v>222293.60258999999</v>
      </c>
      <c r="O28" s="120"/>
      <c r="P28" s="120"/>
      <c r="Q28" s="123">
        <v>1.3761000000000001E-2</v>
      </c>
      <c r="R28" s="123">
        <v>3.7299999999999998E-3</v>
      </c>
    </row>
    <row r="29" spans="1:18" ht="15" customHeight="1">
      <c r="A29" s="121">
        <v>313</v>
      </c>
      <c r="B29" s="121">
        <v>313</v>
      </c>
      <c r="C29" s="120" t="s">
        <v>984</v>
      </c>
      <c r="D29" s="120" t="s">
        <v>1865</v>
      </c>
      <c r="E29" s="121">
        <v>8288367</v>
      </c>
      <c r="F29" s="124">
        <v>42430</v>
      </c>
      <c r="G29" s="122">
        <v>5.79</v>
      </c>
      <c r="H29" s="120" t="s">
        <v>753</v>
      </c>
      <c r="I29" s="124">
        <v>47909</v>
      </c>
      <c r="J29" s="123">
        <v>4.8000000000000001E-2</v>
      </c>
      <c r="K29" s="123">
        <v>2.1000000000000001E-2</v>
      </c>
      <c r="L29" s="122">
        <v>56102000</v>
      </c>
      <c r="M29" s="122">
        <v>136.4117</v>
      </c>
      <c r="N29" s="122">
        <v>76529.711679999993</v>
      </c>
      <c r="O29" s="120"/>
      <c r="P29" s="120"/>
      <c r="Q29" s="123">
        <v>4.7369999999999999E-3</v>
      </c>
      <c r="R29" s="123">
        <v>1.284E-3</v>
      </c>
    </row>
    <row r="30" spans="1:18" ht="15" customHeight="1">
      <c r="A30" s="121">
        <v>313</v>
      </c>
      <c r="B30" s="121">
        <v>313</v>
      </c>
      <c r="C30" s="120" t="s">
        <v>984</v>
      </c>
      <c r="D30" s="120" t="s">
        <v>1866</v>
      </c>
      <c r="E30" s="121">
        <v>8288029</v>
      </c>
      <c r="F30" s="124">
        <v>41395</v>
      </c>
      <c r="G30" s="122">
        <v>3.54</v>
      </c>
      <c r="H30" s="120" t="s">
        <v>753</v>
      </c>
      <c r="I30" s="124">
        <v>46874</v>
      </c>
      <c r="J30" s="123">
        <v>4.8000000000000001E-2</v>
      </c>
      <c r="K30" s="123">
        <v>1.8200000000000001E-2</v>
      </c>
      <c r="L30" s="122">
        <v>63867000</v>
      </c>
      <c r="M30" s="122">
        <v>128.92619999999999</v>
      </c>
      <c r="N30" s="122">
        <v>82341.294169999994</v>
      </c>
      <c r="O30" s="120"/>
      <c r="P30" s="120"/>
      <c r="Q30" s="123">
        <v>5.097E-3</v>
      </c>
      <c r="R30" s="123">
        <v>1.3810000000000001E-3</v>
      </c>
    </row>
    <row r="31" spans="1:18" ht="15" customHeight="1">
      <c r="A31" s="121">
        <v>313</v>
      </c>
      <c r="B31" s="121">
        <v>313</v>
      </c>
      <c r="C31" s="120" t="s">
        <v>984</v>
      </c>
      <c r="D31" s="120" t="s">
        <v>1867</v>
      </c>
      <c r="E31" s="121">
        <v>8288474</v>
      </c>
      <c r="F31" s="124">
        <v>42767</v>
      </c>
      <c r="G31" s="122">
        <v>6.46</v>
      </c>
      <c r="H31" s="120" t="s">
        <v>753</v>
      </c>
      <c r="I31" s="124">
        <v>48245</v>
      </c>
      <c r="J31" s="123">
        <v>4.8000000000000001E-2</v>
      </c>
      <c r="K31" s="123">
        <v>2.1399999999999999E-2</v>
      </c>
      <c r="L31" s="122">
        <v>183980000</v>
      </c>
      <c r="M31" s="122">
        <v>138.53579999999999</v>
      </c>
      <c r="N31" s="122">
        <v>254878.09445</v>
      </c>
      <c r="O31" s="120"/>
      <c r="P31" s="120"/>
      <c r="Q31" s="123">
        <v>1.5778E-2</v>
      </c>
      <c r="R31" s="123">
        <v>4.2770000000000004E-3</v>
      </c>
    </row>
    <row r="32" spans="1:18" ht="15" customHeight="1">
      <c r="A32" s="121">
        <v>313</v>
      </c>
      <c r="B32" s="121">
        <v>313</v>
      </c>
      <c r="C32" s="120" t="s">
        <v>984</v>
      </c>
      <c r="D32" s="120" t="s">
        <v>1868</v>
      </c>
      <c r="E32" s="121">
        <v>8288151</v>
      </c>
      <c r="F32" s="124">
        <v>41791</v>
      </c>
      <c r="G32" s="122">
        <v>4.46</v>
      </c>
      <c r="H32" s="120" t="s">
        <v>753</v>
      </c>
      <c r="I32" s="124">
        <v>47270</v>
      </c>
      <c r="J32" s="123">
        <v>4.8000000000000001E-2</v>
      </c>
      <c r="K32" s="123">
        <v>1.9599999999999999E-2</v>
      </c>
      <c r="L32" s="122">
        <v>72671000</v>
      </c>
      <c r="M32" s="122">
        <v>129.2927</v>
      </c>
      <c r="N32" s="122">
        <v>93958.333780000001</v>
      </c>
      <c r="O32" s="120"/>
      <c r="P32" s="120"/>
      <c r="Q32" s="123">
        <v>5.816E-3</v>
      </c>
      <c r="R32" s="123">
        <v>1.5759999999999999E-3</v>
      </c>
    </row>
    <row r="33" spans="1:18" ht="15" customHeight="1">
      <c r="A33" s="121">
        <v>313</v>
      </c>
      <c r="B33" s="121">
        <v>313</v>
      </c>
      <c r="C33" s="120" t="s">
        <v>984</v>
      </c>
      <c r="D33" s="120" t="s">
        <v>1869</v>
      </c>
      <c r="E33" s="121">
        <v>8288599</v>
      </c>
      <c r="F33" s="124">
        <v>43132</v>
      </c>
      <c r="G33" s="122">
        <v>7.18</v>
      </c>
      <c r="H33" s="120" t="s">
        <v>753</v>
      </c>
      <c r="I33" s="124">
        <v>48611</v>
      </c>
      <c r="J33" s="123">
        <v>4.8000000000000001E-2</v>
      </c>
      <c r="K33" s="123">
        <v>2.1899999999999999E-2</v>
      </c>
      <c r="L33" s="122">
        <v>174443000</v>
      </c>
      <c r="M33" s="122">
        <v>140.09129999999999</v>
      </c>
      <c r="N33" s="122">
        <v>244379.46551000001</v>
      </c>
      <c r="O33" s="120"/>
      <c r="P33" s="120"/>
      <c r="Q33" s="123">
        <v>1.5128000000000001E-2</v>
      </c>
      <c r="R33" s="123">
        <v>4.1000000000000003E-3</v>
      </c>
    </row>
    <row r="34" spans="1:18" ht="15" customHeight="1">
      <c r="A34" s="121">
        <v>313</v>
      </c>
      <c r="B34" s="121">
        <v>313</v>
      </c>
      <c r="C34" s="120" t="s">
        <v>984</v>
      </c>
      <c r="D34" s="120" t="s">
        <v>1870</v>
      </c>
      <c r="E34" s="121">
        <v>8289050</v>
      </c>
      <c r="F34" s="124">
        <v>44563</v>
      </c>
      <c r="G34" s="122">
        <v>9.76</v>
      </c>
      <c r="H34" s="120" t="s">
        <v>753</v>
      </c>
      <c r="I34" s="124">
        <v>50042</v>
      </c>
      <c r="J34" s="123">
        <v>4.8000000000000001E-2</v>
      </c>
      <c r="K34" s="123">
        <v>2.29E-2</v>
      </c>
      <c r="L34" s="122">
        <v>77264000</v>
      </c>
      <c r="M34" s="122">
        <v>143.7165</v>
      </c>
      <c r="N34" s="122">
        <v>111041.15016</v>
      </c>
      <c r="O34" s="120"/>
      <c r="P34" s="120"/>
      <c r="Q34" s="123">
        <v>6.8739999999999999E-3</v>
      </c>
      <c r="R34" s="123">
        <v>1.8630000000000001E-3</v>
      </c>
    </row>
    <row r="35" spans="1:18" ht="15" customHeight="1">
      <c r="A35" s="121">
        <v>313</v>
      </c>
      <c r="B35" s="121">
        <v>313</v>
      </c>
      <c r="C35" s="120" t="s">
        <v>984</v>
      </c>
      <c r="D35" s="120" t="s">
        <v>1871</v>
      </c>
      <c r="E35" s="121">
        <v>8288631</v>
      </c>
      <c r="F35" s="124">
        <v>43252</v>
      </c>
      <c r="G35" s="122">
        <v>7.51</v>
      </c>
      <c r="H35" s="120" t="s">
        <v>753</v>
      </c>
      <c r="I35" s="124">
        <v>48731</v>
      </c>
      <c r="J35" s="123">
        <v>4.8000000000000001E-2</v>
      </c>
      <c r="K35" s="123">
        <v>2.2100000000000002E-2</v>
      </c>
      <c r="L35" s="122">
        <v>121863000</v>
      </c>
      <c r="M35" s="122">
        <v>138.46129999999999</v>
      </c>
      <c r="N35" s="122">
        <v>168733.07329</v>
      </c>
      <c r="O35" s="120"/>
      <c r="P35" s="120"/>
      <c r="Q35" s="123">
        <v>1.0444999999999999E-2</v>
      </c>
      <c r="R35" s="123">
        <v>2.8310000000000002E-3</v>
      </c>
    </row>
    <row r="36" spans="1:18" ht="15" customHeight="1">
      <c r="A36" s="121">
        <v>313</v>
      </c>
      <c r="B36" s="121">
        <v>313</v>
      </c>
      <c r="C36" s="120" t="s">
        <v>984</v>
      </c>
      <c r="D36" s="120" t="s">
        <v>1872</v>
      </c>
      <c r="E36" s="121">
        <v>8288359</v>
      </c>
      <c r="F36" s="124">
        <v>42401</v>
      </c>
      <c r="G36" s="122">
        <v>5.71</v>
      </c>
      <c r="H36" s="120" t="s">
        <v>753</v>
      </c>
      <c r="I36" s="124">
        <v>47880</v>
      </c>
      <c r="J36" s="123">
        <v>4.8000000000000001E-2</v>
      </c>
      <c r="K36" s="123">
        <v>2.0799999999999999E-2</v>
      </c>
      <c r="L36" s="122">
        <v>73139000</v>
      </c>
      <c r="M36" s="122">
        <v>136.07910000000001</v>
      </c>
      <c r="N36" s="122">
        <v>99526.88579</v>
      </c>
      <c r="O36" s="120"/>
      <c r="P36" s="120"/>
      <c r="Q36" s="123">
        <v>6.1609999999999998E-3</v>
      </c>
      <c r="R36" s="123">
        <v>1.67E-3</v>
      </c>
    </row>
    <row r="37" spans="1:18" ht="15" customHeight="1">
      <c r="A37" s="121">
        <v>313</v>
      </c>
      <c r="B37" s="121">
        <v>313</v>
      </c>
      <c r="C37" s="120" t="s">
        <v>984</v>
      </c>
      <c r="D37" s="120" t="s">
        <v>1873</v>
      </c>
      <c r="E37" s="121">
        <v>8288557</v>
      </c>
      <c r="F37" s="124">
        <v>43009</v>
      </c>
      <c r="G37" s="122">
        <v>6.99</v>
      </c>
      <c r="H37" s="120" t="s">
        <v>753</v>
      </c>
      <c r="I37" s="124">
        <v>48488</v>
      </c>
      <c r="J37" s="123">
        <v>4.8000000000000001E-2</v>
      </c>
      <c r="K37" s="123">
        <v>2.18E-2</v>
      </c>
      <c r="L37" s="122">
        <v>166887000</v>
      </c>
      <c r="M37" s="122">
        <v>138.71860000000001</v>
      </c>
      <c r="N37" s="122">
        <v>231503.28125999999</v>
      </c>
      <c r="O37" s="120"/>
      <c r="P37" s="120"/>
      <c r="Q37" s="123">
        <v>1.4331E-2</v>
      </c>
      <c r="R37" s="123">
        <v>3.8839999999999999E-3</v>
      </c>
    </row>
    <row r="38" spans="1:18" ht="15" customHeight="1">
      <c r="A38" s="121">
        <v>313</v>
      </c>
      <c r="B38" s="121">
        <v>313</v>
      </c>
      <c r="C38" s="120" t="s">
        <v>984</v>
      </c>
      <c r="D38" s="120" t="s">
        <v>1874</v>
      </c>
      <c r="E38" s="121">
        <v>8288219</v>
      </c>
      <c r="F38" s="124">
        <v>41974</v>
      </c>
      <c r="G38" s="122">
        <v>4.87</v>
      </c>
      <c r="H38" s="120" t="s">
        <v>753</v>
      </c>
      <c r="I38" s="124">
        <v>47454</v>
      </c>
      <c r="J38" s="123">
        <v>4.8000000000000001E-2</v>
      </c>
      <c r="K38" s="123">
        <v>2.01E-2</v>
      </c>
      <c r="L38" s="122">
        <v>242178000</v>
      </c>
      <c r="M38" s="122">
        <v>129.94329999999999</v>
      </c>
      <c r="N38" s="122">
        <v>314694.12170000002</v>
      </c>
      <c r="O38" s="120"/>
      <c r="P38" s="120"/>
      <c r="Q38" s="123">
        <v>1.9481999999999999E-2</v>
      </c>
      <c r="R38" s="123">
        <v>5.28E-3</v>
      </c>
    </row>
    <row r="39" spans="1:18" ht="15" customHeight="1">
      <c r="A39" s="121">
        <v>313</v>
      </c>
      <c r="B39" s="121">
        <v>313</v>
      </c>
      <c r="C39" s="120" t="s">
        <v>984</v>
      </c>
      <c r="D39" s="120" t="s">
        <v>1875</v>
      </c>
      <c r="E39" s="121">
        <v>8288839</v>
      </c>
      <c r="F39" s="124">
        <v>43863</v>
      </c>
      <c r="G39" s="122">
        <v>8.56</v>
      </c>
      <c r="H39" s="120" t="s">
        <v>753</v>
      </c>
      <c r="I39" s="124">
        <v>49342</v>
      </c>
      <c r="J39" s="123">
        <v>4.8000000000000001E-2</v>
      </c>
      <c r="K39" s="123">
        <v>2.2499999999999999E-2</v>
      </c>
      <c r="L39" s="122">
        <v>155474000</v>
      </c>
      <c r="M39" s="122">
        <v>142.12909999999999</v>
      </c>
      <c r="N39" s="122">
        <v>220973.76173</v>
      </c>
      <c r="O39" s="120"/>
      <c r="P39" s="120"/>
      <c r="Q39" s="123">
        <v>1.3679999999999999E-2</v>
      </c>
      <c r="R39" s="123">
        <v>3.7079999999999999E-3</v>
      </c>
    </row>
    <row r="40" spans="1:18" ht="15" customHeight="1">
      <c r="A40" s="121">
        <v>313</v>
      </c>
      <c r="B40" s="121">
        <v>313</v>
      </c>
      <c r="C40" s="120" t="s">
        <v>984</v>
      </c>
      <c r="D40" s="120" t="s">
        <v>1876</v>
      </c>
      <c r="E40" s="121">
        <v>8288169</v>
      </c>
      <c r="F40" s="124">
        <v>41821</v>
      </c>
      <c r="G40" s="122">
        <v>4.45</v>
      </c>
      <c r="H40" s="120" t="s">
        <v>753</v>
      </c>
      <c r="I40" s="124">
        <v>47300</v>
      </c>
      <c r="J40" s="123">
        <v>4.8000000000000001E-2</v>
      </c>
      <c r="K40" s="123">
        <v>1.9599999999999999E-2</v>
      </c>
      <c r="L40" s="122">
        <v>420374000</v>
      </c>
      <c r="M40" s="122">
        <v>131.69139999999999</v>
      </c>
      <c r="N40" s="122">
        <v>553596.44924999995</v>
      </c>
      <c r="O40" s="120"/>
      <c r="P40" s="120"/>
      <c r="Q40" s="123">
        <v>3.4271000000000003E-2</v>
      </c>
      <c r="R40" s="123">
        <v>9.2899999999999996E-3</v>
      </c>
    </row>
    <row r="41" spans="1:18" ht="15" customHeight="1">
      <c r="A41" s="121">
        <v>313</v>
      </c>
      <c r="B41" s="121">
        <v>313</v>
      </c>
      <c r="C41" s="120" t="s">
        <v>984</v>
      </c>
      <c r="D41" s="120" t="s">
        <v>1877</v>
      </c>
      <c r="E41" s="121">
        <v>8288136</v>
      </c>
      <c r="F41" s="124">
        <v>41730</v>
      </c>
      <c r="G41" s="122">
        <v>4.3</v>
      </c>
      <c r="H41" s="120" t="s">
        <v>753</v>
      </c>
      <c r="I41" s="124">
        <v>47209</v>
      </c>
      <c r="J41" s="123">
        <v>4.8000000000000001E-2</v>
      </c>
      <c r="K41" s="123">
        <v>1.9300000000000001E-2</v>
      </c>
      <c r="L41" s="122">
        <v>365624000</v>
      </c>
      <c r="M41" s="122">
        <v>130.36150000000001</v>
      </c>
      <c r="N41" s="122">
        <v>476633.09234999999</v>
      </c>
      <c r="O41" s="120"/>
      <c r="P41" s="120"/>
      <c r="Q41" s="123">
        <v>2.9506999999999999E-2</v>
      </c>
      <c r="R41" s="123">
        <v>7.9979999999999999E-3</v>
      </c>
    </row>
    <row r="42" spans="1:18" ht="15" customHeight="1">
      <c r="A42" s="121">
        <v>313</v>
      </c>
      <c r="B42" s="121">
        <v>313</v>
      </c>
      <c r="C42" s="120" t="s">
        <v>984</v>
      </c>
      <c r="D42" s="120" t="s">
        <v>1878</v>
      </c>
      <c r="E42" s="121">
        <v>8288664</v>
      </c>
      <c r="F42" s="124">
        <v>43345</v>
      </c>
      <c r="G42" s="122">
        <v>7.62</v>
      </c>
      <c r="H42" s="120" t="s">
        <v>753</v>
      </c>
      <c r="I42" s="124">
        <v>48824</v>
      </c>
      <c r="J42" s="123">
        <v>4.8000000000000001E-2</v>
      </c>
      <c r="K42" s="123">
        <v>2.2200000000000001E-2</v>
      </c>
      <c r="L42" s="122">
        <v>174122000</v>
      </c>
      <c r="M42" s="122">
        <v>139.49870000000001</v>
      </c>
      <c r="N42" s="122">
        <v>242897.95110999999</v>
      </c>
      <c r="O42" s="120"/>
      <c r="P42" s="120"/>
      <c r="Q42" s="123">
        <v>1.5037E-2</v>
      </c>
      <c r="R42" s="123">
        <v>4.0759999999999998E-3</v>
      </c>
    </row>
    <row r="43" spans="1:18" ht="15" customHeight="1">
      <c r="A43" s="121">
        <v>313</v>
      </c>
      <c r="B43" s="121">
        <v>313</v>
      </c>
      <c r="C43" s="120" t="s">
        <v>984</v>
      </c>
      <c r="D43" s="120" t="s">
        <v>1879</v>
      </c>
      <c r="E43" s="121">
        <v>8288938</v>
      </c>
      <c r="F43" s="124">
        <v>44197</v>
      </c>
      <c r="G43" s="122">
        <v>9.1199999999999992</v>
      </c>
      <c r="H43" s="120" t="s">
        <v>753</v>
      </c>
      <c r="I43" s="124">
        <v>49675</v>
      </c>
      <c r="J43" s="123">
        <v>4.8000000000000001E-2</v>
      </c>
      <c r="K43" s="123">
        <v>2.2800000000000001E-2</v>
      </c>
      <c r="L43" s="122">
        <v>143909000</v>
      </c>
      <c r="M43" s="122">
        <v>145.21639999999999</v>
      </c>
      <c r="N43" s="122">
        <v>208979.41501</v>
      </c>
      <c r="O43" s="120"/>
      <c r="P43" s="120"/>
      <c r="Q43" s="123">
        <v>1.2937000000000001E-2</v>
      </c>
      <c r="R43" s="123">
        <v>3.506E-3</v>
      </c>
    </row>
    <row r="44" spans="1:18" ht="15" customHeight="1">
      <c r="A44" s="121">
        <v>313</v>
      </c>
      <c r="B44" s="121">
        <v>313</v>
      </c>
      <c r="C44" s="120" t="s">
        <v>984</v>
      </c>
      <c r="D44" s="120" t="s">
        <v>1880</v>
      </c>
      <c r="E44" s="121">
        <v>8288789</v>
      </c>
      <c r="F44" s="124">
        <v>43709</v>
      </c>
      <c r="G44" s="122">
        <v>8.3000000000000007</v>
      </c>
      <c r="H44" s="120" t="s">
        <v>753</v>
      </c>
      <c r="I44" s="124">
        <v>49188</v>
      </c>
      <c r="J44" s="123">
        <v>4.8000000000000001E-2</v>
      </c>
      <c r="K44" s="123">
        <v>2.2499999999999999E-2</v>
      </c>
      <c r="L44" s="122">
        <v>201319000</v>
      </c>
      <c r="M44" s="122">
        <v>140.7979</v>
      </c>
      <c r="N44" s="122">
        <v>283452.83094000001</v>
      </c>
      <c r="O44" s="120"/>
      <c r="P44" s="120"/>
      <c r="Q44" s="123">
        <v>1.7547E-2</v>
      </c>
      <c r="R44" s="123">
        <v>4.7559999999999998E-3</v>
      </c>
    </row>
    <row r="45" spans="1:18" ht="15" customHeight="1">
      <c r="A45" s="121">
        <v>313</v>
      </c>
      <c r="B45" s="121">
        <v>313</v>
      </c>
      <c r="C45" s="120" t="s">
        <v>984</v>
      </c>
      <c r="D45" s="120" t="s">
        <v>1881</v>
      </c>
      <c r="E45" s="121">
        <v>8288607</v>
      </c>
      <c r="F45" s="124">
        <v>43161</v>
      </c>
      <c r="G45" s="122">
        <v>7.26</v>
      </c>
      <c r="H45" s="120" t="s">
        <v>753</v>
      </c>
      <c r="I45" s="124">
        <v>48640</v>
      </c>
      <c r="J45" s="123">
        <v>4.8000000000000001E-2</v>
      </c>
      <c r="K45" s="123">
        <v>2.1999999999999999E-2</v>
      </c>
      <c r="L45" s="122">
        <v>192477000</v>
      </c>
      <c r="M45" s="122">
        <v>140.4265</v>
      </c>
      <c r="N45" s="122">
        <v>270288.64403999998</v>
      </c>
      <c r="O45" s="120"/>
      <c r="P45" s="120"/>
      <c r="Q45" s="123">
        <v>1.6732E-2</v>
      </c>
      <c r="R45" s="123">
        <v>4.535E-3</v>
      </c>
    </row>
    <row r="46" spans="1:18" ht="15" customHeight="1">
      <c r="A46" s="121">
        <v>313</v>
      </c>
      <c r="B46" s="121">
        <v>313</v>
      </c>
      <c r="C46" s="120" t="s">
        <v>984</v>
      </c>
      <c r="D46" s="120" t="s">
        <v>1882</v>
      </c>
      <c r="E46" s="121">
        <v>8288276</v>
      </c>
      <c r="F46" s="124">
        <v>42156</v>
      </c>
      <c r="G46" s="122">
        <v>5.27</v>
      </c>
      <c r="H46" s="120" t="s">
        <v>753</v>
      </c>
      <c r="I46" s="124">
        <v>47636</v>
      </c>
      <c r="J46" s="123">
        <v>4.8000000000000001E-2</v>
      </c>
      <c r="K46" s="123">
        <v>2.0500000000000001E-2</v>
      </c>
      <c r="L46" s="122">
        <v>100159000</v>
      </c>
      <c r="M46" s="122">
        <v>132.25749999999999</v>
      </c>
      <c r="N46" s="122">
        <v>132467.82120999999</v>
      </c>
      <c r="O46" s="120"/>
      <c r="P46" s="120"/>
      <c r="Q46" s="123">
        <v>8.2000000000000007E-3</v>
      </c>
      <c r="R46" s="123">
        <v>2.222E-3</v>
      </c>
    </row>
    <row r="47" spans="1:18" ht="15" customHeight="1">
      <c r="A47" s="121">
        <v>313</v>
      </c>
      <c r="B47" s="121">
        <v>313</v>
      </c>
      <c r="C47" s="120" t="s">
        <v>984</v>
      </c>
      <c r="D47" s="120" t="s">
        <v>1883</v>
      </c>
      <c r="E47" s="121">
        <v>8288441</v>
      </c>
      <c r="F47" s="124">
        <v>42675</v>
      </c>
      <c r="G47" s="122">
        <v>6.34</v>
      </c>
      <c r="H47" s="120" t="s">
        <v>753</v>
      </c>
      <c r="I47" s="124">
        <v>48154</v>
      </c>
      <c r="J47" s="123">
        <v>4.8000000000000001E-2</v>
      </c>
      <c r="K47" s="123">
        <v>2.1299999999999999E-2</v>
      </c>
      <c r="L47" s="122">
        <v>25938000</v>
      </c>
      <c r="M47" s="122">
        <v>136.35210000000001</v>
      </c>
      <c r="N47" s="122">
        <v>35367.00993</v>
      </c>
      <c r="O47" s="120"/>
      <c r="P47" s="120"/>
      <c r="Q47" s="123">
        <v>2.189E-3</v>
      </c>
      <c r="R47" s="123">
        <v>5.9299999999999999E-4</v>
      </c>
    </row>
    <row r="48" spans="1:18" ht="15" customHeight="1">
      <c r="A48" s="121">
        <v>313</v>
      </c>
      <c r="B48" s="121">
        <v>313</v>
      </c>
      <c r="C48" s="120" t="s">
        <v>984</v>
      </c>
      <c r="D48" s="120" t="s">
        <v>1884</v>
      </c>
      <c r="E48" s="121">
        <v>8288847</v>
      </c>
      <c r="F48" s="124">
        <v>43891</v>
      </c>
      <c r="G48" s="122">
        <v>8.6300000000000008</v>
      </c>
      <c r="H48" s="120" t="s">
        <v>753</v>
      </c>
      <c r="I48" s="124">
        <v>49369</v>
      </c>
      <c r="J48" s="123">
        <v>4.8000000000000001E-2</v>
      </c>
      <c r="K48" s="123">
        <v>2.2599999999999999E-2</v>
      </c>
      <c r="L48" s="122">
        <v>70656000</v>
      </c>
      <c r="M48" s="122">
        <v>142.3546</v>
      </c>
      <c r="N48" s="122">
        <v>100582.03299000001</v>
      </c>
      <c r="O48" s="120"/>
      <c r="P48" s="120"/>
      <c r="Q48" s="123">
        <v>6.2259999999999998E-3</v>
      </c>
      <c r="R48" s="123">
        <v>1.6869999999999999E-3</v>
      </c>
    </row>
    <row r="49" spans="1:18" ht="15" customHeight="1">
      <c r="A49" s="121">
        <v>313</v>
      </c>
      <c r="B49" s="121">
        <v>313</v>
      </c>
      <c r="C49" s="120" t="s">
        <v>984</v>
      </c>
      <c r="D49" s="120" t="s">
        <v>1885</v>
      </c>
      <c r="E49" s="121">
        <v>8288128</v>
      </c>
      <c r="F49" s="124">
        <v>41700</v>
      </c>
      <c r="G49" s="122">
        <v>4.22</v>
      </c>
      <c r="H49" s="120" t="s">
        <v>753</v>
      </c>
      <c r="I49" s="124">
        <v>47179</v>
      </c>
      <c r="J49" s="123">
        <v>4.8000000000000001E-2</v>
      </c>
      <c r="K49" s="123">
        <v>1.9400000000000001E-2</v>
      </c>
      <c r="L49" s="122">
        <v>114469000</v>
      </c>
      <c r="M49" s="122">
        <v>130.31979999999999</v>
      </c>
      <c r="N49" s="122">
        <v>149175.82861999999</v>
      </c>
      <c r="O49" s="120"/>
      <c r="P49" s="120"/>
      <c r="Q49" s="123">
        <v>9.2350000000000002E-3</v>
      </c>
      <c r="R49" s="123">
        <v>2.503E-3</v>
      </c>
    </row>
    <row r="50" spans="1:18" ht="15" customHeight="1">
      <c r="A50" s="121">
        <v>313</v>
      </c>
      <c r="B50" s="121">
        <v>313</v>
      </c>
      <c r="C50" s="120" t="s">
        <v>984</v>
      </c>
      <c r="D50" s="120" t="s">
        <v>1886</v>
      </c>
      <c r="E50" s="121">
        <v>8288896</v>
      </c>
      <c r="F50" s="124">
        <v>44075</v>
      </c>
      <c r="G50" s="122">
        <v>8.9600000000000009</v>
      </c>
      <c r="H50" s="120" t="s">
        <v>753</v>
      </c>
      <c r="I50" s="124">
        <v>49553</v>
      </c>
      <c r="J50" s="123">
        <v>4.8000000000000001E-2</v>
      </c>
      <c r="K50" s="123">
        <v>2.2700000000000001E-2</v>
      </c>
      <c r="L50" s="122">
        <v>152948000</v>
      </c>
      <c r="M50" s="122">
        <v>143.62479999999999</v>
      </c>
      <c r="N50" s="122">
        <v>219671.21101</v>
      </c>
      <c r="O50" s="120"/>
      <c r="P50" s="120"/>
      <c r="Q50" s="123">
        <v>1.3599E-2</v>
      </c>
      <c r="R50" s="123">
        <v>3.686E-3</v>
      </c>
    </row>
    <row r="51" spans="1:18" ht="15" customHeight="1">
      <c r="A51" s="121">
        <v>313</v>
      </c>
      <c r="B51" s="121">
        <v>313</v>
      </c>
      <c r="C51" s="120" t="s">
        <v>984</v>
      </c>
      <c r="D51" s="120" t="s">
        <v>1887</v>
      </c>
      <c r="E51" s="121">
        <v>8288037</v>
      </c>
      <c r="F51" s="124">
        <v>41427</v>
      </c>
      <c r="G51" s="122">
        <v>3.63</v>
      </c>
      <c r="H51" s="120" t="s">
        <v>753</v>
      </c>
      <c r="I51" s="124">
        <v>46906</v>
      </c>
      <c r="J51" s="123">
        <v>4.8000000000000001E-2</v>
      </c>
      <c r="K51" s="123">
        <v>1.8499999999999999E-2</v>
      </c>
      <c r="L51" s="122">
        <v>170930000</v>
      </c>
      <c r="M51" s="122">
        <v>128.0754</v>
      </c>
      <c r="N51" s="122">
        <v>218919.20730000001</v>
      </c>
      <c r="O51" s="120"/>
      <c r="P51" s="120"/>
      <c r="Q51" s="123">
        <v>1.3552E-2</v>
      </c>
      <c r="R51" s="123">
        <v>3.673E-3</v>
      </c>
    </row>
    <row r="52" spans="1:18" ht="15" customHeight="1">
      <c r="A52" s="121">
        <v>313</v>
      </c>
      <c r="B52" s="121">
        <v>313</v>
      </c>
      <c r="C52" s="120" t="s">
        <v>984</v>
      </c>
      <c r="D52" s="120" t="s">
        <v>1888</v>
      </c>
      <c r="E52" s="121">
        <v>8288342</v>
      </c>
      <c r="F52" s="124">
        <v>42370</v>
      </c>
      <c r="G52" s="122">
        <v>5.63</v>
      </c>
      <c r="H52" s="120" t="s">
        <v>753</v>
      </c>
      <c r="I52" s="124">
        <v>47849</v>
      </c>
      <c r="J52" s="123">
        <v>4.8000000000000001E-2</v>
      </c>
      <c r="K52" s="123">
        <v>2.0899999999999998E-2</v>
      </c>
      <c r="L52" s="122">
        <v>32212000</v>
      </c>
      <c r="M52" s="122">
        <v>136.16300000000001</v>
      </c>
      <c r="N52" s="122">
        <v>43860.827819999999</v>
      </c>
      <c r="O52" s="120"/>
      <c r="P52" s="120"/>
      <c r="Q52" s="123">
        <v>2.715E-3</v>
      </c>
      <c r="R52" s="123">
        <v>7.36E-4</v>
      </c>
    </row>
    <row r="53" spans="1:18" ht="15" customHeight="1">
      <c r="A53" s="121">
        <v>313</v>
      </c>
      <c r="B53" s="121">
        <v>313</v>
      </c>
      <c r="C53" s="120" t="s">
        <v>984</v>
      </c>
      <c r="D53" s="120" t="s">
        <v>1889</v>
      </c>
      <c r="E53" s="121">
        <v>8288409</v>
      </c>
      <c r="F53" s="124">
        <v>42552</v>
      </c>
      <c r="G53" s="122">
        <v>6</v>
      </c>
      <c r="H53" s="120" t="s">
        <v>753</v>
      </c>
      <c r="I53" s="124">
        <v>48030</v>
      </c>
      <c r="J53" s="123">
        <v>4.8000000000000001E-2</v>
      </c>
      <c r="K53" s="123">
        <v>2.12E-2</v>
      </c>
      <c r="L53" s="122">
        <v>149872000</v>
      </c>
      <c r="M53" s="122">
        <v>137.83179999999999</v>
      </c>
      <c r="N53" s="122">
        <v>206571.26321</v>
      </c>
      <c r="O53" s="120"/>
      <c r="P53" s="120"/>
      <c r="Q53" s="123">
        <v>1.2788000000000001E-2</v>
      </c>
      <c r="R53" s="123">
        <v>3.4659999999999999E-3</v>
      </c>
    </row>
    <row r="54" spans="1:18" ht="15" customHeight="1">
      <c r="A54" s="121">
        <v>313</v>
      </c>
      <c r="B54" s="121">
        <v>313</v>
      </c>
      <c r="C54" s="120" t="s">
        <v>984</v>
      </c>
      <c r="D54" s="120" t="s">
        <v>1890</v>
      </c>
      <c r="E54" s="121">
        <v>8288201</v>
      </c>
      <c r="F54" s="124">
        <v>41945</v>
      </c>
      <c r="G54" s="122">
        <v>4.79</v>
      </c>
      <c r="H54" s="120" t="s">
        <v>753</v>
      </c>
      <c r="I54" s="124">
        <v>47424</v>
      </c>
      <c r="J54" s="123">
        <v>4.8000000000000001E-2</v>
      </c>
      <c r="K54" s="123">
        <v>1.9900000000000001E-2</v>
      </c>
      <c r="L54" s="122">
        <v>188700000</v>
      </c>
      <c r="M54" s="122">
        <v>130.6799</v>
      </c>
      <c r="N54" s="122">
        <v>246592.93762000001</v>
      </c>
      <c r="O54" s="120"/>
      <c r="P54" s="120"/>
      <c r="Q54" s="123">
        <v>1.5266E-2</v>
      </c>
      <c r="R54" s="123">
        <v>4.1380000000000002E-3</v>
      </c>
    </row>
    <row r="55" spans="1:18" ht="15" customHeight="1">
      <c r="A55" s="121">
        <v>313</v>
      </c>
      <c r="B55" s="121">
        <v>313</v>
      </c>
      <c r="C55" s="120" t="s">
        <v>984</v>
      </c>
      <c r="D55" s="120" t="s">
        <v>1891</v>
      </c>
      <c r="E55" s="121">
        <v>8288110</v>
      </c>
      <c r="F55" s="124">
        <v>41672</v>
      </c>
      <c r="G55" s="122">
        <v>4.1399999999999997</v>
      </c>
      <c r="H55" s="120" t="s">
        <v>753</v>
      </c>
      <c r="I55" s="124">
        <v>47151</v>
      </c>
      <c r="J55" s="123">
        <v>4.8000000000000001E-2</v>
      </c>
      <c r="K55" s="123">
        <v>1.9099999999999999E-2</v>
      </c>
      <c r="L55" s="122">
        <v>116320000</v>
      </c>
      <c r="M55" s="122">
        <v>129.9</v>
      </c>
      <c r="N55" s="122">
        <v>151099.71565999999</v>
      </c>
      <c r="O55" s="120"/>
      <c r="P55" s="120"/>
      <c r="Q55" s="123">
        <v>9.3539999999999995E-3</v>
      </c>
      <c r="R55" s="123">
        <v>2.5349999999999999E-3</v>
      </c>
    </row>
    <row r="56" spans="1:18" ht="15" customHeight="1">
      <c r="A56" s="121">
        <v>313</v>
      </c>
      <c r="B56" s="121">
        <v>313</v>
      </c>
      <c r="C56" s="120" t="s">
        <v>984</v>
      </c>
      <c r="D56" s="120" t="s">
        <v>1892</v>
      </c>
      <c r="E56" s="121">
        <v>8288086</v>
      </c>
      <c r="F56" s="124">
        <v>41579</v>
      </c>
      <c r="G56" s="122">
        <v>3.97</v>
      </c>
      <c r="H56" s="120" t="s">
        <v>753</v>
      </c>
      <c r="I56" s="124">
        <v>47058</v>
      </c>
      <c r="J56" s="123">
        <v>4.8000000000000001E-2</v>
      </c>
      <c r="K56" s="123">
        <v>1.8800000000000001E-2</v>
      </c>
      <c r="L56" s="122">
        <v>267636000</v>
      </c>
      <c r="M56" s="122">
        <v>127.93470000000001</v>
      </c>
      <c r="N56" s="122">
        <v>342399.43768999999</v>
      </c>
      <c r="O56" s="120"/>
      <c r="P56" s="120"/>
      <c r="Q56" s="123">
        <v>2.1197000000000001E-2</v>
      </c>
      <c r="R56" s="123">
        <v>5.7450000000000001E-3</v>
      </c>
    </row>
    <row r="57" spans="1:18" ht="15" customHeight="1">
      <c r="A57" s="121">
        <v>313</v>
      </c>
      <c r="B57" s="121">
        <v>313</v>
      </c>
      <c r="C57" s="120" t="s">
        <v>984</v>
      </c>
      <c r="D57" s="120" t="s">
        <v>1893</v>
      </c>
      <c r="E57" s="121">
        <v>8289068</v>
      </c>
      <c r="F57" s="124">
        <v>44593</v>
      </c>
      <c r="G57" s="122">
        <v>9.84</v>
      </c>
      <c r="H57" s="120" t="s">
        <v>753</v>
      </c>
      <c r="I57" s="124">
        <v>50072</v>
      </c>
      <c r="J57" s="123">
        <v>4.8000000000000001E-2</v>
      </c>
      <c r="K57" s="123">
        <v>2.29E-2</v>
      </c>
      <c r="L57" s="122">
        <v>14473000</v>
      </c>
      <c r="M57" s="122">
        <v>143.0446</v>
      </c>
      <c r="N57" s="122">
        <v>20702.83784</v>
      </c>
      <c r="O57" s="120"/>
      <c r="P57" s="120"/>
      <c r="Q57" s="123">
        <v>1.281E-3</v>
      </c>
      <c r="R57" s="123">
        <v>3.4699999999999998E-4</v>
      </c>
    </row>
    <row r="58" spans="1:18" ht="15" customHeight="1">
      <c r="A58" s="121">
        <v>313</v>
      </c>
      <c r="B58" s="121">
        <v>313</v>
      </c>
      <c r="C58" s="120" t="s">
        <v>984</v>
      </c>
      <c r="D58" s="120" t="s">
        <v>1894</v>
      </c>
      <c r="E58" s="121">
        <v>8288649</v>
      </c>
      <c r="F58" s="124">
        <v>43282</v>
      </c>
      <c r="G58" s="122">
        <v>7.44</v>
      </c>
      <c r="H58" s="120" t="s">
        <v>753</v>
      </c>
      <c r="I58" s="124">
        <v>48761</v>
      </c>
      <c r="J58" s="123">
        <v>4.8000000000000001E-2</v>
      </c>
      <c r="K58" s="123">
        <v>2.2100000000000002E-2</v>
      </c>
      <c r="L58" s="122">
        <v>49008000</v>
      </c>
      <c r="M58" s="122">
        <v>140.26339999999999</v>
      </c>
      <c r="N58" s="122">
        <v>68740.293290000001</v>
      </c>
      <c r="O58" s="120"/>
      <c r="P58" s="120"/>
      <c r="Q58" s="123">
        <v>4.2550000000000001E-3</v>
      </c>
      <c r="R58" s="123">
        <v>1.1529999999999999E-3</v>
      </c>
    </row>
    <row r="59" spans="1:18" ht="15" customHeight="1">
      <c r="A59" s="121">
        <v>313</v>
      </c>
      <c r="B59" s="121">
        <v>313</v>
      </c>
      <c r="C59" s="120" t="s">
        <v>984</v>
      </c>
      <c r="D59" s="120" t="s">
        <v>1895</v>
      </c>
      <c r="E59" s="121">
        <v>8288821</v>
      </c>
      <c r="F59" s="124">
        <v>43831</v>
      </c>
      <c r="G59" s="122">
        <v>8.4700000000000006</v>
      </c>
      <c r="H59" s="120" t="s">
        <v>753</v>
      </c>
      <c r="I59" s="124">
        <v>49310</v>
      </c>
      <c r="J59" s="123">
        <v>4.8000000000000001E-2</v>
      </c>
      <c r="K59" s="123">
        <v>2.2599999999999999E-2</v>
      </c>
      <c r="L59" s="122">
        <v>8943000</v>
      </c>
      <c r="M59" s="122">
        <v>142.3929</v>
      </c>
      <c r="N59" s="122">
        <v>12734.194030000001</v>
      </c>
      <c r="O59" s="120"/>
      <c r="P59" s="120"/>
      <c r="Q59" s="123">
        <v>7.8799999999999996E-4</v>
      </c>
      <c r="R59" s="123">
        <v>2.13E-4</v>
      </c>
    </row>
    <row r="60" spans="1:18" ht="15" customHeight="1">
      <c r="A60" s="121">
        <v>313</v>
      </c>
      <c r="B60" s="121">
        <v>313</v>
      </c>
      <c r="C60" s="120" t="s">
        <v>984</v>
      </c>
      <c r="D60" s="120" t="s">
        <v>1896</v>
      </c>
      <c r="E60" s="121">
        <v>8288185</v>
      </c>
      <c r="F60" s="124">
        <v>41883</v>
      </c>
      <c r="G60" s="122">
        <v>4.62</v>
      </c>
      <c r="H60" s="120" t="s">
        <v>753</v>
      </c>
      <c r="I60" s="124">
        <v>47363</v>
      </c>
      <c r="J60" s="123">
        <v>4.8000000000000001E-2</v>
      </c>
      <c r="K60" s="123">
        <v>1.9900000000000001E-2</v>
      </c>
      <c r="L60" s="122">
        <v>123187000</v>
      </c>
      <c r="M60" s="122">
        <v>130.60079999999999</v>
      </c>
      <c r="N60" s="122">
        <v>160883.18700999999</v>
      </c>
      <c r="O60" s="120"/>
      <c r="P60" s="120"/>
      <c r="Q60" s="123">
        <v>9.9590000000000008E-3</v>
      </c>
      <c r="R60" s="123">
        <v>2.699E-3</v>
      </c>
    </row>
    <row r="61" spans="1:18" ht="15" customHeight="1">
      <c r="A61" s="121">
        <v>313</v>
      </c>
      <c r="B61" s="121">
        <v>313</v>
      </c>
      <c r="C61" s="120" t="s">
        <v>984</v>
      </c>
      <c r="D61" s="120" t="s">
        <v>1897</v>
      </c>
      <c r="E61" s="121">
        <v>8288268</v>
      </c>
      <c r="F61" s="124">
        <v>42125</v>
      </c>
      <c r="G61" s="122">
        <v>5.18</v>
      </c>
      <c r="H61" s="120" t="s">
        <v>753</v>
      </c>
      <c r="I61" s="124">
        <v>47604</v>
      </c>
      <c r="J61" s="123">
        <v>4.8000000000000001E-2</v>
      </c>
      <c r="K61" s="123">
        <v>2.0299999999999999E-2</v>
      </c>
      <c r="L61" s="122">
        <v>163992000</v>
      </c>
      <c r="M61" s="122">
        <v>133.42930000000001</v>
      </c>
      <c r="N61" s="122">
        <v>218813.30770999999</v>
      </c>
      <c r="O61" s="120"/>
      <c r="P61" s="120"/>
      <c r="Q61" s="123">
        <v>1.3546000000000001E-2</v>
      </c>
      <c r="R61" s="123">
        <v>3.6709999999999998E-3</v>
      </c>
    </row>
    <row r="62" spans="1:18" ht="15" customHeight="1">
      <c r="A62" s="121">
        <v>313</v>
      </c>
      <c r="B62" s="121">
        <v>313</v>
      </c>
      <c r="C62" s="120" t="s">
        <v>984</v>
      </c>
      <c r="D62" s="120" t="s">
        <v>1898</v>
      </c>
      <c r="E62" s="121">
        <v>8288425</v>
      </c>
      <c r="F62" s="124">
        <v>42614</v>
      </c>
      <c r="G62" s="122">
        <v>6.17</v>
      </c>
      <c r="H62" s="120" t="s">
        <v>753</v>
      </c>
      <c r="I62" s="124">
        <v>48092</v>
      </c>
      <c r="J62" s="123">
        <v>4.8000000000000001E-2</v>
      </c>
      <c r="K62" s="123">
        <v>2.1299999999999999E-2</v>
      </c>
      <c r="L62" s="122">
        <v>262938000</v>
      </c>
      <c r="M62" s="122">
        <v>136.2587</v>
      </c>
      <c r="N62" s="122">
        <v>358275.78370999999</v>
      </c>
      <c r="O62" s="120"/>
      <c r="P62" s="120"/>
      <c r="Q62" s="123">
        <v>2.2179999999999998E-2</v>
      </c>
      <c r="R62" s="123">
        <v>6.012E-3</v>
      </c>
    </row>
    <row r="63" spans="1:18" ht="15" customHeight="1">
      <c r="A63" s="121">
        <v>313</v>
      </c>
      <c r="B63" s="121">
        <v>313</v>
      </c>
      <c r="C63" s="120" t="s">
        <v>984</v>
      </c>
      <c r="D63" s="120" t="s">
        <v>1899</v>
      </c>
      <c r="E63" s="121">
        <v>8288813</v>
      </c>
      <c r="F63" s="124">
        <v>43800</v>
      </c>
      <c r="G63" s="122">
        <v>8.5500000000000007</v>
      </c>
      <c r="H63" s="120" t="s">
        <v>753</v>
      </c>
      <c r="I63" s="124">
        <v>49279</v>
      </c>
      <c r="J63" s="123">
        <v>4.8000000000000001E-2</v>
      </c>
      <c r="K63" s="123">
        <v>2.2599999999999999E-2</v>
      </c>
      <c r="L63" s="122">
        <v>153643000</v>
      </c>
      <c r="M63" s="122">
        <v>139.38319999999999</v>
      </c>
      <c r="N63" s="122">
        <v>214152.54065000001</v>
      </c>
      <c r="O63" s="120"/>
      <c r="P63" s="120"/>
      <c r="Q63" s="123">
        <v>1.3257E-2</v>
      </c>
      <c r="R63" s="123">
        <v>3.5929999999999998E-3</v>
      </c>
    </row>
    <row r="64" spans="1:18" ht="15" customHeight="1">
      <c r="A64" s="121">
        <v>313</v>
      </c>
      <c r="B64" s="121">
        <v>313</v>
      </c>
      <c r="C64" s="120" t="s">
        <v>984</v>
      </c>
      <c r="D64" s="120" t="s">
        <v>1900</v>
      </c>
      <c r="E64" s="121">
        <v>8289019</v>
      </c>
      <c r="F64" s="124">
        <v>44440</v>
      </c>
      <c r="G64" s="122">
        <v>9.61</v>
      </c>
      <c r="H64" s="120" t="s">
        <v>753</v>
      </c>
      <c r="I64" s="124">
        <v>49919</v>
      </c>
      <c r="J64" s="123">
        <v>4.8000000000000001E-2</v>
      </c>
      <c r="K64" s="123">
        <v>2.29E-2</v>
      </c>
      <c r="L64" s="122">
        <v>79465000</v>
      </c>
      <c r="M64" s="122">
        <v>142.86930000000001</v>
      </c>
      <c r="N64" s="122">
        <v>113531.08996</v>
      </c>
      <c r="O64" s="120"/>
      <c r="P64" s="120"/>
      <c r="Q64" s="123">
        <v>7.0280000000000004E-3</v>
      </c>
      <c r="R64" s="123">
        <v>1.905E-3</v>
      </c>
    </row>
    <row r="65" spans="1:18" ht="15" customHeight="1">
      <c r="A65" s="121">
        <v>313</v>
      </c>
      <c r="B65" s="121">
        <v>313</v>
      </c>
      <c r="C65" s="120" t="s">
        <v>984</v>
      </c>
      <c r="D65" s="120" t="s">
        <v>1901</v>
      </c>
      <c r="E65" s="121">
        <v>8288144</v>
      </c>
      <c r="F65" s="124">
        <v>41760</v>
      </c>
      <c r="G65" s="122">
        <v>4.38</v>
      </c>
      <c r="H65" s="120" t="s">
        <v>753</v>
      </c>
      <c r="I65" s="124">
        <v>47239</v>
      </c>
      <c r="J65" s="123">
        <v>4.8000000000000001E-2</v>
      </c>
      <c r="K65" s="123">
        <v>1.9300000000000001E-2</v>
      </c>
      <c r="L65" s="122">
        <v>220135000</v>
      </c>
      <c r="M65" s="122">
        <v>129.7928</v>
      </c>
      <c r="N65" s="122">
        <v>285719.43287000002</v>
      </c>
      <c r="O65" s="120"/>
      <c r="P65" s="120"/>
      <c r="Q65" s="123">
        <v>1.7687999999999999E-2</v>
      </c>
      <c r="R65" s="123">
        <v>4.7939999999999997E-3</v>
      </c>
    </row>
    <row r="66" spans="1:18" ht="15" customHeight="1">
      <c r="A66" s="121">
        <v>313</v>
      </c>
      <c r="B66" s="121">
        <v>313</v>
      </c>
      <c r="C66" s="120" t="s">
        <v>984</v>
      </c>
      <c r="D66" s="120" t="s">
        <v>1902</v>
      </c>
      <c r="E66" s="121">
        <v>8288987</v>
      </c>
      <c r="F66" s="124">
        <v>44348</v>
      </c>
      <c r="G66" s="122">
        <v>9.5399999999999991</v>
      </c>
      <c r="H66" s="120" t="s">
        <v>753</v>
      </c>
      <c r="I66" s="124">
        <v>49827</v>
      </c>
      <c r="J66" s="123">
        <v>4.8000000000000001E-2</v>
      </c>
      <c r="K66" s="123">
        <v>2.29E-2</v>
      </c>
      <c r="L66" s="122">
        <v>40743000</v>
      </c>
      <c r="M66" s="122">
        <v>142.31620000000001</v>
      </c>
      <c r="N66" s="122">
        <v>57983.902739999998</v>
      </c>
      <c r="O66" s="120"/>
      <c r="P66" s="120"/>
      <c r="Q66" s="123">
        <v>3.5890000000000002E-3</v>
      </c>
      <c r="R66" s="123">
        <v>9.7300000000000002E-4</v>
      </c>
    </row>
    <row r="67" spans="1:18" ht="15" customHeight="1">
      <c r="A67" s="121">
        <v>313</v>
      </c>
      <c r="B67" s="121">
        <v>313</v>
      </c>
      <c r="C67" s="120" t="s">
        <v>984</v>
      </c>
      <c r="D67" s="120" t="s">
        <v>1903</v>
      </c>
      <c r="E67" s="121">
        <v>8288573</v>
      </c>
      <c r="F67" s="124">
        <v>43070</v>
      </c>
      <c r="G67" s="122">
        <v>7.15</v>
      </c>
      <c r="H67" s="120" t="s">
        <v>753</v>
      </c>
      <c r="I67" s="124">
        <v>48549</v>
      </c>
      <c r="J67" s="123">
        <v>4.8000000000000001E-2</v>
      </c>
      <c r="K67" s="123">
        <v>2.1899999999999999E-2</v>
      </c>
      <c r="L67" s="122">
        <v>100503000</v>
      </c>
      <c r="M67" s="122">
        <v>137.559</v>
      </c>
      <c r="N67" s="122">
        <v>138250.88529000001</v>
      </c>
      <c r="O67" s="120"/>
      <c r="P67" s="120"/>
      <c r="Q67" s="123">
        <v>8.5579999999999996E-3</v>
      </c>
      <c r="R67" s="123">
        <v>2.32E-3</v>
      </c>
    </row>
    <row r="68" spans="1:18" ht="15" customHeight="1">
      <c r="A68" s="121">
        <v>313</v>
      </c>
      <c r="B68" s="121">
        <v>313</v>
      </c>
      <c r="C68" s="120" t="s">
        <v>984</v>
      </c>
      <c r="D68" s="120" t="s">
        <v>1904</v>
      </c>
      <c r="E68" s="121">
        <v>8288771</v>
      </c>
      <c r="F68" s="124">
        <v>43678</v>
      </c>
      <c r="G68" s="122">
        <v>8.2200000000000006</v>
      </c>
      <c r="H68" s="120" t="s">
        <v>753</v>
      </c>
      <c r="I68" s="124">
        <v>49157</v>
      </c>
      <c r="J68" s="123">
        <v>4.8000000000000001E-2</v>
      </c>
      <c r="K68" s="123">
        <v>2.24E-2</v>
      </c>
      <c r="L68" s="122">
        <v>127090000</v>
      </c>
      <c r="M68" s="122">
        <v>140.749</v>
      </c>
      <c r="N68" s="122">
        <v>178877.84083999999</v>
      </c>
      <c r="O68" s="120"/>
      <c r="P68" s="120"/>
      <c r="Q68" s="123">
        <v>1.1073E-2</v>
      </c>
      <c r="R68" s="123">
        <v>3.0010000000000002E-3</v>
      </c>
    </row>
    <row r="69" spans="1:18" ht="15" customHeight="1">
      <c r="A69" s="121">
        <v>313</v>
      </c>
      <c r="B69" s="121">
        <v>313</v>
      </c>
      <c r="C69" s="120" t="s">
        <v>984</v>
      </c>
      <c r="D69" s="120" t="s">
        <v>1905</v>
      </c>
      <c r="E69" s="121">
        <v>8289001</v>
      </c>
      <c r="F69" s="124">
        <v>44409</v>
      </c>
      <c r="G69" s="122">
        <v>9.5299999999999994</v>
      </c>
      <c r="H69" s="120" t="s">
        <v>753</v>
      </c>
      <c r="I69" s="124">
        <v>49888</v>
      </c>
      <c r="J69" s="123">
        <v>4.8000000000000001E-2</v>
      </c>
      <c r="K69" s="123">
        <v>2.29E-2</v>
      </c>
      <c r="L69" s="122">
        <v>65973000</v>
      </c>
      <c r="M69" s="122">
        <v>143.77950000000001</v>
      </c>
      <c r="N69" s="122">
        <v>94855.618740000005</v>
      </c>
      <c r="O69" s="120"/>
      <c r="P69" s="120"/>
      <c r="Q69" s="123">
        <v>5.8719999999999996E-3</v>
      </c>
      <c r="R69" s="123">
        <v>1.591E-3</v>
      </c>
    </row>
    <row r="70" spans="1:18" ht="15" customHeight="1">
      <c r="A70" s="121">
        <v>313</v>
      </c>
      <c r="B70" s="121">
        <v>313</v>
      </c>
      <c r="C70" s="120" t="s">
        <v>984</v>
      </c>
      <c r="D70" s="120" t="s">
        <v>1906</v>
      </c>
      <c r="E70" s="121">
        <v>8288540</v>
      </c>
      <c r="F70" s="124">
        <v>42979</v>
      </c>
      <c r="G70" s="122">
        <v>6.9</v>
      </c>
      <c r="H70" s="120" t="s">
        <v>753</v>
      </c>
      <c r="I70" s="124">
        <v>48458</v>
      </c>
      <c r="J70" s="123">
        <v>4.8000000000000001E-2</v>
      </c>
      <c r="K70" s="123">
        <v>2.18E-2</v>
      </c>
      <c r="L70" s="122">
        <v>298621000</v>
      </c>
      <c r="M70" s="122">
        <v>139.3734</v>
      </c>
      <c r="N70" s="122">
        <v>416198.27315999998</v>
      </c>
      <c r="O70" s="120"/>
      <c r="P70" s="120"/>
      <c r="Q70" s="123">
        <v>2.5765E-2</v>
      </c>
      <c r="R70" s="123">
        <v>6.9839999999999998E-3</v>
      </c>
    </row>
    <row r="71" spans="1:18" ht="15" customHeight="1">
      <c r="A71" s="121">
        <v>313</v>
      </c>
      <c r="B71" s="121">
        <v>313</v>
      </c>
      <c r="C71" s="120" t="s">
        <v>984</v>
      </c>
      <c r="D71" s="120" t="s">
        <v>1907</v>
      </c>
      <c r="E71" s="121">
        <v>8288565</v>
      </c>
      <c r="F71" s="124">
        <v>43040</v>
      </c>
      <c r="G71" s="122">
        <v>7.07</v>
      </c>
      <c r="H71" s="120" t="s">
        <v>753</v>
      </c>
      <c r="I71" s="124">
        <v>48519</v>
      </c>
      <c r="J71" s="123">
        <v>4.8000000000000001E-2</v>
      </c>
      <c r="K71" s="123">
        <v>2.18E-2</v>
      </c>
      <c r="L71" s="122">
        <v>38378000</v>
      </c>
      <c r="M71" s="122">
        <v>138.33840000000001</v>
      </c>
      <c r="N71" s="122">
        <v>53091.517670000001</v>
      </c>
      <c r="O71" s="120"/>
      <c r="P71" s="120"/>
      <c r="Q71" s="123">
        <v>3.2859999999999999E-3</v>
      </c>
      <c r="R71" s="123">
        <v>8.8999999999999995E-4</v>
      </c>
    </row>
    <row r="72" spans="1:18" ht="15" customHeight="1">
      <c r="A72" s="121">
        <v>313</v>
      </c>
      <c r="B72" s="121">
        <v>313</v>
      </c>
      <c r="C72" s="120" t="s">
        <v>984</v>
      </c>
      <c r="D72" s="120" t="s">
        <v>1908</v>
      </c>
      <c r="E72" s="121">
        <v>8288524</v>
      </c>
      <c r="F72" s="124">
        <v>42918</v>
      </c>
      <c r="G72" s="122">
        <v>6.74</v>
      </c>
      <c r="H72" s="120" t="s">
        <v>753</v>
      </c>
      <c r="I72" s="124">
        <v>48397</v>
      </c>
      <c r="J72" s="123">
        <v>4.8000000000000001E-2</v>
      </c>
      <c r="K72" s="123">
        <v>2.1700000000000001E-2</v>
      </c>
      <c r="L72" s="122">
        <v>110899000</v>
      </c>
      <c r="M72" s="122">
        <v>138.87020000000001</v>
      </c>
      <c r="N72" s="122">
        <v>154005.67947999999</v>
      </c>
      <c r="O72" s="120"/>
      <c r="P72" s="120"/>
      <c r="Q72" s="123">
        <v>9.5340000000000008E-3</v>
      </c>
      <c r="R72" s="123">
        <v>2.5839999999999999E-3</v>
      </c>
    </row>
    <row r="73" spans="1:18" ht="15" customHeight="1">
      <c r="A73" s="121">
        <v>313</v>
      </c>
      <c r="B73" s="121">
        <v>313</v>
      </c>
      <c r="C73" s="120" t="s">
        <v>984</v>
      </c>
      <c r="D73" s="120" t="s">
        <v>1909</v>
      </c>
      <c r="E73" s="121">
        <v>8288888</v>
      </c>
      <c r="F73" s="124">
        <v>44045</v>
      </c>
      <c r="G73" s="122">
        <v>8.8800000000000008</v>
      </c>
      <c r="H73" s="120" t="s">
        <v>753</v>
      </c>
      <c r="I73" s="124">
        <v>49523</v>
      </c>
      <c r="J73" s="123">
        <v>4.8000000000000001E-2</v>
      </c>
      <c r="K73" s="123">
        <v>2.2700000000000001E-2</v>
      </c>
      <c r="L73" s="122">
        <v>24984000</v>
      </c>
      <c r="M73" s="122">
        <v>144.2594</v>
      </c>
      <c r="N73" s="122">
        <v>36041.771670000002</v>
      </c>
      <c r="O73" s="120"/>
      <c r="P73" s="120"/>
      <c r="Q73" s="123">
        <v>2.2309999999999999E-3</v>
      </c>
      <c r="R73" s="123">
        <v>6.0400000000000004E-4</v>
      </c>
    </row>
    <row r="74" spans="1:18" ht="15" customHeight="1">
      <c r="A74" s="121">
        <v>313</v>
      </c>
      <c r="B74" s="121">
        <v>313</v>
      </c>
      <c r="C74" s="120" t="s">
        <v>984</v>
      </c>
      <c r="D74" s="120" t="s">
        <v>1910</v>
      </c>
      <c r="E74" s="121">
        <v>8288532</v>
      </c>
      <c r="F74" s="124">
        <v>42949</v>
      </c>
      <c r="G74" s="122">
        <v>6.82</v>
      </c>
      <c r="H74" s="120" t="s">
        <v>753</v>
      </c>
      <c r="I74" s="124">
        <v>48428</v>
      </c>
      <c r="J74" s="123">
        <v>4.8000000000000001E-2</v>
      </c>
      <c r="K74" s="123">
        <v>2.1700000000000001E-2</v>
      </c>
      <c r="L74" s="122">
        <v>5823000</v>
      </c>
      <c r="M74" s="122">
        <v>139.6</v>
      </c>
      <c r="N74" s="122">
        <v>8128.9104600000001</v>
      </c>
      <c r="O74" s="120"/>
      <c r="P74" s="120"/>
      <c r="Q74" s="123">
        <v>5.0299999999999997E-4</v>
      </c>
      <c r="R74" s="123">
        <v>1.36E-4</v>
      </c>
    </row>
    <row r="75" spans="1:18" ht="15" customHeight="1">
      <c r="A75" s="121">
        <v>313</v>
      </c>
      <c r="B75" s="121">
        <v>313</v>
      </c>
      <c r="C75" s="120" t="s">
        <v>984</v>
      </c>
      <c r="D75" s="120" t="s">
        <v>1911</v>
      </c>
      <c r="E75" s="121">
        <v>8288581</v>
      </c>
      <c r="F75" s="124">
        <v>43101</v>
      </c>
      <c r="G75" s="122">
        <v>7.1</v>
      </c>
      <c r="H75" s="120" t="s">
        <v>753</v>
      </c>
      <c r="I75" s="124">
        <v>48580</v>
      </c>
      <c r="J75" s="123">
        <v>4.8000000000000001E-2</v>
      </c>
      <c r="K75" s="123">
        <v>2.1899999999999999E-2</v>
      </c>
      <c r="L75" s="122">
        <v>60045000</v>
      </c>
      <c r="M75" s="122">
        <v>140.48349999999999</v>
      </c>
      <c r="N75" s="122">
        <v>84353.298349999997</v>
      </c>
      <c r="O75" s="120"/>
      <c r="P75" s="120"/>
      <c r="Q75" s="123">
        <v>5.2220000000000001E-3</v>
      </c>
      <c r="R75" s="123">
        <v>1.415E-3</v>
      </c>
    </row>
    <row r="76" spans="1:18" ht="15" customHeight="1">
      <c r="A76" s="121">
        <v>313</v>
      </c>
      <c r="B76" s="121">
        <v>313</v>
      </c>
      <c r="C76" s="120" t="s">
        <v>984</v>
      </c>
      <c r="D76" s="120" t="s">
        <v>1912</v>
      </c>
      <c r="E76" s="121">
        <v>8288755</v>
      </c>
      <c r="F76" s="124">
        <v>43618</v>
      </c>
      <c r="G76" s="122">
        <v>8.2100000000000009</v>
      </c>
      <c r="H76" s="120" t="s">
        <v>753</v>
      </c>
      <c r="I76" s="124">
        <v>49097</v>
      </c>
      <c r="J76" s="123">
        <v>4.8000000000000001E-2</v>
      </c>
      <c r="K76" s="123">
        <v>2.24E-2</v>
      </c>
      <c r="L76" s="122">
        <v>125021000</v>
      </c>
      <c r="M76" s="122">
        <v>138.67240000000001</v>
      </c>
      <c r="N76" s="122">
        <v>173369.62544</v>
      </c>
      <c r="O76" s="120"/>
      <c r="P76" s="120"/>
      <c r="Q76" s="123">
        <v>1.0732E-2</v>
      </c>
      <c r="R76" s="123">
        <v>2.9090000000000001E-3</v>
      </c>
    </row>
    <row r="77" spans="1:18" ht="15" customHeight="1">
      <c r="A77" s="121">
        <v>313</v>
      </c>
      <c r="B77" s="121">
        <v>313</v>
      </c>
      <c r="C77" s="120" t="s">
        <v>984</v>
      </c>
      <c r="D77" s="120" t="s">
        <v>1913</v>
      </c>
      <c r="E77" s="121">
        <v>8288953</v>
      </c>
      <c r="F77" s="124">
        <v>44256</v>
      </c>
      <c r="G77" s="122">
        <v>9.2899999999999991</v>
      </c>
      <c r="H77" s="120" t="s">
        <v>753</v>
      </c>
      <c r="I77" s="124">
        <v>49735</v>
      </c>
      <c r="J77" s="123">
        <v>4.8000000000000001E-2</v>
      </c>
      <c r="K77" s="123">
        <v>2.2800000000000001E-2</v>
      </c>
      <c r="L77" s="122">
        <v>111334000</v>
      </c>
      <c r="M77" s="122">
        <v>144.905</v>
      </c>
      <c r="N77" s="122">
        <v>161328.52531999999</v>
      </c>
      <c r="O77" s="120"/>
      <c r="P77" s="120"/>
      <c r="Q77" s="123">
        <v>9.9869999999999994E-3</v>
      </c>
      <c r="R77" s="123">
        <v>2.7070000000000002E-3</v>
      </c>
    </row>
    <row r="78" spans="1:18" ht="15" customHeight="1">
      <c r="A78" s="121">
        <v>313</v>
      </c>
      <c r="B78" s="121">
        <v>313</v>
      </c>
      <c r="C78" s="120" t="s">
        <v>984</v>
      </c>
      <c r="D78" s="120" t="s">
        <v>1914</v>
      </c>
      <c r="E78" s="121">
        <v>8288243</v>
      </c>
      <c r="F78" s="124">
        <v>42064</v>
      </c>
      <c r="G78" s="122">
        <v>5.0199999999999996</v>
      </c>
      <c r="H78" s="120" t="s">
        <v>753</v>
      </c>
      <c r="I78" s="124">
        <v>47543</v>
      </c>
      <c r="J78" s="123">
        <v>4.8000000000000001E-2</v>
      </c>
      <c r="K78" s="123">
        <v>2.0299999999999999E-2</v>
      </c>
      <c r="L78" s="122">
        <v>266971000</v>
      </c>
      <c r="M78" s="122">
        <v>133.3252</v>
      </c>
      <c r="N78" s="122">
        <v>355939.59583000001</v>
      </c>
      <c r="O78" s="120"/>
      <c r="P78" s="120"/>
      <c r="Q78" s="123">
        <v>2.2034999999999999E-2</v>
      </c>
      <c r="R78" s="123">
        <v>5.973E-3</v>
      </c>
    </row>
    <row r="79" spans="1:18" ht="15" customHeight="1">
      <c r="A79" s="121">
        <v>313</v>
      </c>
      <c r="B79" s="121">
        <v>313</v>
      </c>
      <c r="C79" s="120" t="s">
        <v>984</v>
      </c>
      <c r="D79" s="120" t="s">
        <v>1915</v>
      </c>
      <c r="E79" s="121">
        <v>8288656</v>
      </c>
      <c r="F79" s="124">
        <v>43313</v>
      </c>
      <c r="G79" s="122">
        <v>7.53</v>
      </c>
      <c r="H79" s="120" t="s">
        <v>753</v>
      </c>
      <c r="I79" s="124">
        <v>48792</v>
      </c>
      <c r="J79" s="123">
        <v>4.8000000000000001E-2</v>
      </c>
      <c r="K79" s="123">
        <v>2.2100000000000002E-2</v>
      </c>
      <c r="L79" s="122">
        <v>65929000</v>
      </c>
      <c r="M79" s="122">
        <v>139.87809999999999</v>
      </c>
      <c r="N79" s="122">
        <v>92220.209820000004</v>
      </c>
      <c r="O79" s="120"/>
      <c r="P79" s="120"/>
      <c r="Q79" s="123">
        <v>5.7089999999999997E-3</v>
      </c>
      <c r="R79" s="123">
        <v>1.547E-3</v>
      </c>
    </row>
    <row r="80" spans="1:18" ht="15" customHeight="1">
      <c r="A80" s="121">
        <v>313</v>
      </c>
      <c r="B80" s="121">
        <v>313</v>
      </c>
      <c r="C80" s="120" t="s">
        <v>984</v>
      </c>
      <c r="D80" s="120" t="s">
        <v>1916</v>
      </c>
      <c r="E80" s="121">
        <v>8288383</v>
      </c>
      <c r="F80" s="124">
        <v>42491</v>
      </c>
      <c r="G80" s="122">
        <v>5.96</v>
      </c>
      <c r="H80" s="120" t="s">
        <v>753</v>
      </c>
      <c r="I80" s="124">
        <v>47969</v>
      </c>
      <c r="J80" s="123">
        <v>4.8000000000000001E-2</v>
      </c>
      <c r="K80" s="123">
        <v>2.1000000000000001E-2</v>
      </c>
      <c r="L80" s="122">
        <v>191668000</v>
      </c>
      <c r="M80" s="122">
        <v>136.63980000000001</v>
      </c>
      <c r="N80" s="122">
        <v>261894.79415999999</v>
      </c>
      <c r="O80" s="120"/>
      <c r="P80" s="120"/>
      <c r="Q80" s="123">
        <v>1.6213000000000002E-2</v>
      </c>
      <c r="R80" s="123">
        <v>4.3940000000000003E-3</v>
      </c>
    </row>
    <row r="81" spans="1:18" ht="15" customHeight="1">
      <c r="A81" s="121">
        <v>313</v>
      </c>
      <c r="B81" s="121">
        <v>313</v>
      </c>
      <c r="C81" s="120" t="s">
        <v>984</v>
      </c>
      <c r="D81" s="120" t="s">
        <v>1917</v>
      </c>
      <c r="E81" s="121">
        <v>8288615</v>
      </c>
      <c r="F81" s="124">
        <v>43191</v>
      </c>
      <c r="G81" s="122">
        <v>7.34</v>
      </c>
      <c r="H81" s="120" t="s">
        <v>753</v>
      </c>
      <c r="I81" s="124">
        <v>48670</v>
      </c>
      <c r="J81" s="123">
        <v>4.8000000000000001E-2</v>
      </c>
      <c r="K81" s="123">
        <v>2.1999999999999999E-2</v>
      </c>
      <c r="L81" s="122">
        <v>14480000</v>
      </c>
      <c r="M81" s="122">
        <v>140.0478</v>
      </c>
      <c r="N81" s="122">
        <v>20278.916700000002</v>
      </c>
      <c r="O81" s="120"/>
      <c r="P81" s="120"/>
      <c r="Q81" s="123">
        <v>1.255E-3</v>
      </c>
      <c r="R81" s="123">
        <v>3.4000000000000002E-4</v>
      </c>
    </row>
    <row r="82" spans="1:18" ht="15" customHeight="1">
      <c r="A82" s="121">
        <v>313</v>
      </c>
      <c r="B82" s="121">
        <v>313</v>
      </c>
      <c r="C82" s="120" t="s">
        <v>984</v>
      </c>
      <c r="D82" s="120" t="s">
        <v>1918</v>
      </c>
      <c r="E82" s="121">
        <v>8289027</v>
      </c>
      <c r="F82" s="124">
        <v>44470</v>
      </c>
      <c r="G82" s="122">
        <v>9.69</v>
      </c>
      <c r="H82" s="120" t="s">
        <v>753</v>
      </c>
      <c r="I82" s="124">
        <v>49949</v>
      </c>
      <c r="J82" s="123">
        <v>4.8000000000000001E-2</v>
      </c>
      <c r="K82" s="123">
        <v>2.29E-2</v>
      </c>
      <c r="L82" s="122">
        <v>142454000</v>
      </c>
      <c r="M82" s="122">
        <v>142.20310000000001</v>
      </c>
      <c r="N82" s="122">
        <v>202574.03450000001</v>
      </c>
      <c r="O82" s="120"/>
      <c r="P82" s="120"/>
      <c r="Q82" s="123">
        <v>1.2540000000000001E-2</v>
      </c>
      <c r="R82" s="123">
        <v>3.3990000000000001E-3</v>
      </c>
    </row>
    <row r="83" spans="1:18" ht="15" customHeight="1">
      <c r="A83" s="121">
        <v>313</v>
      </c>
      <c r="B83" s="121">
        <v>313</v>
      </c>
      <c r="C83" s="120" t="s">
        <v>984</v>
      </c>
      <c r="D83" s="120" t="s">
        <v>1919</v>
      </c>
      <c r="E83" s="121">
        <v>8288433</v>
      </c>
      <c r="F83" s="124">
        <v>42645</v>
      </c>
      <c r="G83" s="122">
        <v>6.26</v>
      </c>
      <c r="H83" s="120" t="s">
        <v>753</v>
      </c>
      <c r="I83" s="124">
        <v>48123</v>
      </c>
      <c r="J83" s="123">
        <v>4.8000000000000001E-2</v>
      </c>
      <c r="K83" s="123">
        <v>2.1299999999999999E-2</v>
      </c>
      <c r="L83" s="122">
        <v>36593000</v>
      </c>
      <c r="M83" s="122">
        <v>136.4418</v>
      </c>
      <c r="N83" s="122">
        <v>49928.135690000003</v>
      </c>
      <c r="O83" s="120"/>
      <c r="P83" s="120"/>
      <c r="Q83" s="123">
        <v>3.0899999999999999E-3</v>
      </c>
      <c r="R83" s="123">
        <v>8.3699999999999996E-4</v>
      </c>
    </row>
    <row r="84" spans="1:18" ht="15" customHeight="1">
      <c r="A84" s="121">
        <v>313</v>
      </c>
      <c r="B84" s="121">
        <v>313</v>
      </c>
      <c r="C84" s="120" t="s">
        <v>984</v>
      </c>
      <c r="D84" s="120" t="s">
        <v>1920</v>
      </c>
      <c r="E84" s="121">
        <v>8288508</v>
      </c>
      <c r="F84" s="124">
        <v>42856</v>
      </c>
      <c r="G84" s="122">
        <v>6.71</v>
      </c>
      <c r="H84" s="120" t="s">
        <v>753</v>
      </c>
      <c r="I84" s="124">
        <v>48336</v>
      </c>
      <c r="J84" s="123">
        <v>4.8000000000000001E-2</v>
      </c>
      <c r="K84" s="123">
        <v>2.1499999999999998E-2</v>
      </c>
      <c r="L84" s="122">
        <v>109070000</v>
      </c>
      <c r="M84" s="122">
        <v>137.57069999999999</v>
      </c>
      <c r="N84" s="122">
        <v>150048.35983</v>
      </c>
      <c r="O84" s="120"/>
      <c r="P84" s="120"/>
      <c r="Q84" s="123">
        <v>9.2890000000000004E-3</v>
      </c>
      <c r="R84" s="123">
        <v>2.5170000000000001E-3</v>
      </c>
    </row>
    <row r="85" spans="1:18" ht="15" customHeight="1">
      <c r="A85" s="121">
        <v>313</v>
      </c>
      <c r="B85" s="121">
        <v>313</v>
      </c>
      <c r="C85" s="120" t="s">
        <v>984</v>
      </c>
      <c r="D85" s="120" t="s">
        <v>1921</v>
      </c>
      <c r="E85" s="121">
        <v>8288680</v>
      </c>
      <c r="F85" s="124">
        <v>43405</v>
      </c>
      <c r="G85" s="122">
        <v>7.78</v>
      </c>
      <c r="H85" s="120" t="s">
        <v>753</v>
      </c>
      <c r="I85" s="124">
        <v>48884</v>
      </c>
      <c r="J85" s="123">
        <v>4.8000000000000001E-2</v>
      </c>
      <c r="K85" s="123">
        <v>2.2200000000000001E-2</v>
      </c>
      <c r="L85" s="122">
        <v>47451000</v>
      </c>
      <c r="M85" s="122">
        <v>138.74469999999999</v>
      </c>
      <c r="N85" s="122">
        <v>65835.770839999997</v>
      </c>
      <c r="O85" s="120"/>
      <c r="P85" s="120"/>
      <c r="Q85" s="123">
        <v>4.0749999999999996E-3</v>
      </c>
      <c r="R85" s="123">
        <v>1.1039999999999999E-3</v>
      </c>
    </row>
    <row r="86" spans="1:18" ht="15" customHeight="1">
      <c r="A86" s="121">
        <v>313</v>
      </c>
      <c r="B86" s="121">
        <v>313</v>
      </c>
      <c r="C86" s="120" t="s">
        <v>984</v>
      </c>
      <c r="D86" s="120" t="s">
        <v>1922</v>
      </c>
      <c r="E86" s="121">
        <v>8288748</v>
      </c>
      <c r="F86" s="124">
        <v>43586</v>
      </c>
      <c r="G86" s="122">
        <v>8.1199999999999992</v>
      </c>
      <c r="H86" s="120" t="s">
        <v>753</v>
      </c>
      <c r="I86" s="124">
        <v>49065</v>
      </c>
      <c r="J86" s="123">
        <v>4.8000000000000001E-2</v>
      </c>
      <c r="K86" s="123">
        <v>2.23E-2</v>
      </c>
      <c r="L86" s="122">
        <v>246134000</v>
      </c>
      <c r="M86" s="122">
        <v>139.4658</v>
      </c>
      <c r="N86" s="122">
        <v>343272.74972000002</v>
      </c>
      <c r="O86" s="120"/>
      <c r="P86" s="120"/>
      <c r="Q86" s="123">
        <v>2.1250999999999999E-2</v>
      </c>
      <c r="R86" s="123">
        <v>5.7600000000000004E-3</v>
      </c>
    </row>
    <row r="87" spans="1:18" ht="15" customHeight="1">
      <c r="A87" s="121">
        <v>313</v>
      </c>
      <c r="B87" s="121">
        <v>313</v>
      </c>
      <c r="C87" s="120" t="s">
        <v>984</v>
      </c>
      <c r="D87" s="120" t="s">
        <v>1923</v>
      </c>
      <c r="E87" s="121">
        <v>8288060</v>
      </c>
      <c r="F87" s="124">
        <v>41518</v>
      </c>
      <c r="G87" s="122">
        <v>3.8</v>
      </c>
      <c r="H87" s="120" t="s">
        <v>753</v>
      </c>
      <c r="I87" s="124">
        <v>46999</v>
      </c>
      <c r="J87" s="123">
        <v>4.8000000000000001E-2</v>
      </c>
      <c r="K87" s="123">
        <v>1.8800000000000001E-2</v>
      </c>
      <c r="L87" s="122">
        <v>193288000</v>
      </c>
      <c r="M87" s="122">
        <v>128.57599999999999</v>
      </c>
      <c r="N87" s="122">
        <v>248521.96186000001</v>
      </c>
      <c r="O87" s="120"/>
      <c r="P87" s="120"/>
      <c r="Q87" s="123">
        <v>1.5384999999999999E-2</v>
      </c>
      <c r="R87" s="123">
        <v>4.1700000000000001E-3</v>
      </c>
    </row>
    <row r="88" spans="1:18" ht="15" customHeight="1">
      <c r="A88" s="121">
        <v>313</v>
      </c>
      <c r="B88" s="121">
        <v>313</v>
      </c>
      <c r="C88" s="120" t="s">
        <v>984</v>
      </c>
      <c r="D88" s="120" t="s">
        <v>1924</v>
      </c>
      <c r="E88" s="121">
        <v>8288623</v>
      </c>
      <c r="F88" s="124">
        <v>43221</v>
      </c>
      <c r="G88" s="122">
        <v>7.43</v>
      </c>
      <c r="H88" s="120" t="s">
        <v>753</v>
      </c>
      <c r="I88" s="124">
        <v>48700</v>
      </c>
      <c r="J88" s="123">
        <v>4.8000000000000001E-2</v>
      </c>
      <c r="K88" s="123">
        <v>2.1999999999999999E-2</v>
      </c>
      <c r="L88" s="122">
        <v>88852000</v>
      </c>
      <c r="M88" s="122">
        <v>139.38839999999999</v>
      </c>
      <c r="N88" s="122">
        <v>123849.35962</v>
      </c>
      <c r="O88" s="120"/>
      <c r="P88" s="120"/>
      <c r="Q88" s="123">
        <v>7.6670000000000002E-3</v>
      </c>
      <c r="R88" s="123">
        <v>2.078E-3</v>
      </c>
    </row>
    <row r="89" spans="1:18" ht="15" customHeight="1">
      <c r="A89" s="121">
        <v>313</v>
      </c>
      <c r="B89" s="121">
        <v>313</v>
      </c>
      <c r="C89" s="120" t="s">
        <v>984</v>
      </c>
      <c r="D89" s="120" t="s">
        <v>1925</v>
      </c>
      <c r="E89" s="121">
        <v>8288979</v>
      </c>
      <c r="F89" s="124">
        <v>44318</v>
      </c>
      <c r="G89" s="122">
        <v>9.4600000000000009</v>
      </c>
      <c r="H89" s="120" t="s">
        <v>753</v>
      </c>
      <c r="I89" s="124">
        <v>49797</v>
      </c>
      <c r="J89" s="123">
        <v>4.8000000000000001E-2</v>
      </c>
      <c r="K89" s="123">
        <v>2.2800000000000001E-2</v>
      </c>
      <c r="L89" s="122">
        <v>224457000</v>
      </c>
      <c r="M89" s="122">
        <v>143.07980000000001</v>
      </c>
      <c r="N89" s="122">
        <v>321152.52437</v>
      </c>
      <c r="O89" s="120"/>
      <c r="P89" s="120"/>
      <c r="Q89" s="123">
        <v>1.9880999999999999E-2</v>
      </c>
      <c r="R89" s="123">
        <v>5.3889999999999997E-3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2"/>
  <sheetViews>
    <sheetView rightToLeft="1" topLeftCell="T1" workbookViewId="0">
      <selection activeCell="AD29" sqref="AD2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30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5.5" bestFit="1" customWidth="1"/>
    <col min="31" max="31" width="8.75" bestFit="1" customWidth="1"/>
    <col min="32" max="32" width="11.625" customWidth="1"/>
    <col min="33" max="33" width="11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313</v>
      </c>
      <c r="B2" s="121">
        <v>313</v>
      </c>
      <c r="C2" s="120" t="s">
        <v>1926</v>
      </c>
      <c r="D2" s="121">
        <v>516041118</v>
      </c>
      <c r="E2" s="120" t="s">
        <v>308</v>
      </c>
      <c r="F2" s="120" t="s">
        <v>1927</v>
      </c>
      <c r="G2" s="121" t="s">
        <v>1928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45153</v>
      </c>
      <c r="P2" s="120" t="s">
        <v>1359</v>
      </c>
      <c r="Q2" s="120" t="s">
        <v>412</v>
      </c>
      <c r="R2" s="120" t="s">
        <v>406</v>
      </c>
      <c r="S2" s="120" t="s">
        <v>1217</v>
      </c>
      <c r="T2" s="122">
        <v>3.01</v>
      </c>
      <c r="U2" s="124">
        <v>47483</v>
      </c>
      <c r="V2" s="123">
        <v>3.5200000000000002E-2</v>
      </c>
      <c r="W2" s="123">
        <v>3.6400000000000002E-2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45473</v>
      </c>
      <c r="AC2" s="124"/>
      <c r="AD2" s="122">
        <v>16100000</v>
      </c>
      <c r="AE2" s="122">
        <v>1</v>
      </c>
      <c r="AF2" s="122">
        <v>103.18</v>
      </c>
      <c r="AG2" s="122">
        <v>16611.98</v>
      </c>
      <c r="AH2" s="122"/>
      <c r="AI2" s="122"/>
      <c r="AJ2" s="120"/>
      <c r="AK2" s="123">
        <v>3.1891999999999997E-2</v>
      </c>
      <c r="AL2" s="123">
        <v>2.7799999999999998E-4</v>
      </c>
    </row>
    <row r="3" spans="1:38" ht="15" customHeight="1">
      <c r="A3" s="121">
        <v>313</v>
      </c>
      <c r="B3" s="121">
        <v>313</v>
      </c>
      <c r="C3" s="120" t="s">
        <v>1929</v>
      </c>
      <c r="D3" s="121">
        <v>510905847</v>
      </c>
      <c r="E3" s="120" t="s">
        <v>308</v>
      </c>
      <c r="F3" s="120" t="s">
        <v>1930</v>
      </c>
      <c r="G3" s="121" t="s">
        <v>1931</v>
      </c>
      <c r="H3" s="120" t="s">
        <v>320</v>
      </c>
      <c r="I3" s="120" t="s">
        <v>754</v>
      </c>
      <c r="J3" s="120" t="s">
        <v>203</v>
      </c>
      <c r="K3" s="120" t="s">
        <v>203</v>
      </c>
      <c r="L3" s="120" t="s">
        <v>325</v>
      </c>
      <c r="M3" s="120" t="s">
        <v>453</v>
      </c>
      <c r="N3" s="120" t="s">
        <v>338</v>
      </c>
      <c r="O3" s="124">
        <v>44279</v>
      </c>
      <c r="P3" s="120" t="s">
        <v>1932</v>
      </c>
      <c r="Q3" s="120" t="s">
        <v>412</v>
      </c>
      <c r="R3" s="120" t="s">
        <v>406</v>
      </c>
      <c r="S3" s="120" t="s">
        <v>1212</v>
      </c>
      <c r="T3" s="122">
        <v>3.37</v>
      </c>
      <c r="U3" s="124">
        <v>46842</v>
      </c>
      <c r="V3" s="123">
        <v>9.2799999999999994E-2</v>
      </c>
      <c r="W3" s="123">
        <v>5.3749999999999999E-2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45473</v>
      </c>
      <c r="AC3" s="120"/>
      <c r="AD3" s="122">
        <v>4000000</v>
      </c>
      <c r="AE3" s="122">
        <v>3.7589999999999999</v>
      </c>
      <c r="AF3" s="122">
        <v>89.79</v>
      </c>
      <c r="AG3" s="122">
        <v>13500.8244</v>
      </c>
      <c r="AH3" s="122"/>
      <c r="AI3" s="122"/>
      <c r="AJ3" s="120"/>
      <c r="AK3" s="123">
        <v>2.5919000000000001E-2</v>
      </c>
      <c r="AL3" s="123">
        <v>2.2599999999999999E-4</v>
      </c>
    </row>
    <row r="4" spans="1:38" ht="15" customHeight="1">
      <c r="A4" s="121">
        <v>313</v>
      </c>
      <c r="B4" s="121">
        <v>313</v>
      </c>
      <c r="C4" s="120" t="s">
        <v>1929</v>
      </c>
      <c r="D4" s="121">
        <v>510905847</v>
      </c>
      <c r="E4" s="120" t="s">
        <v>308</v>
      </c>
      <c r="F4" s="120" t="s">
        <v>1933</v>
      </c>
      <c r="G4" s="121" t="s">
        <v>1934</v>
      </c>
      <c r="H4" s="120" t="s">
        <v>320</v>
      </c>
      <c r="I4" s="120" t="s">
        <v>754</v>
      </c>
      <c r="J4" s="120" t="s">
        <v>203</v>
      </c>
      <c r="K4" s="120" t="s">
        <v>203</v>
      </c>
      <c r="L4" s="120" t="s">
        <v>325</v>
      </c>
      <c r="M4" s="120" t="s">
        <v>453</v>
      </c>
      <c r="N4" s="120" t="s">
        <v>338</v>
      </c>
      <c r="O4" s="124">
        <v>44279</v>
      </c>
      <c r="P4" s="120" t="s">
        <v>1932</v>
      </c>
      <c r="Q4" s="120" t="s">
        <v>412</v>
      </c>
      <c r="R4" s="120" t="s">
        <v>406</v>
      </c>
      <c r="S4" s="120" t="s">
        <v>1212</v>
      </c>
      <c r="T4" s="122">
        <v>1.67</v>
      </c>
      <c r="U4" s="124">
        <v>46111</v>
      </c>
      <c r="V4" s="123">
        <v>9.6000000000000002E-2</v>
      </c>
      <c r="W4" s="123">
        <v>4.8750000000000002E-2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45473</v>
      </c>
      <c r="AC4" s="120"/>
      <c r="AD4" s="122">
        <v>6500000</v>
      </c>
      <c r="AE4" s="122">
        <v>3.7589999999999999</v>
      </c>
      <c r="AF4" s="122">
        <v>94.1</v>
      </c>
      <c r="AG4" s="122">
        <v>22991.923500000001</v>
      </c>
      <c r="AH4" s="122"/>
      <c r="AI4" s="122"/>
      <c r="AJ4" s="120"/>
      <c r="AK4" s="123">
        <v>4.4141E-2</v>
      </c>
      <c r="AL4" s="123">
        <v>3.8499999999999998E-4</v>
      </c>
    </row>
    <row r="5" spans="1:38" ht="15" customHeight="1">
      <c r="A5" s="121">
        <v>313</v>
      </c>
      <c r="B5" s="121">
        <v>313</v>
      </c>
      <c r="C5" s="120" t="s">
        <v>1935</v>
      </c>
      <c r="D5" s="121">
        <v>512475203</v>
      </c>
      <c r="E5" s="120" t="s">
        <v>308</v>
      </c>
      <c r="F5" s="120" t="s">
        <v>1936</v>
      </c>
      <c r="G5" s="121">
        <v>6270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484</v>
      </c>
      <c r="N5" s="120" t="s">
        <v>338</v>
      </c>
      <c r="O5" s="124">
        <v>40618</v>
      </c>
      <c r="P5" s="120" t="s">
        <v>1334</v>
      </c>
      <c r="Q5" s="120" t="s">
        <v>414</v>
      </c>
      <c r="R5" s="120" t="s">
        <v>406</v>
      </c>
      <c r="S5" s="120" t="s">
        <v>1217</v>
      </c>
      <c r="T5" s="122">
        <v>0.41</v>
      </c>
      <c r="U5" s="124">
        <v>45688</v>
      </c>
      <c r="V5" s="123">
        <v>1.5800000000000002E-2</v>
      </c>
      <c r="W5" s="123">
        <v>7.1499999999999994E-2</v>
      </c>
      <c r="X5" s="120" t="s">
        <v>411</v>
      </c>
      <c r="Y5" s="120"/>
      <c r="Z5" s="120" t="s">
        <v>887</v>
      </c>
      <c r="AA5" s="120" t="s">
        <v>890</v>
      </c>
      <c r="AB5" s="124">
        <v>45473</v>
      </c>
      <c r="AC5" s="120"/>
      <c r="AD5" s="122">
        <v>9399049.0700000003</v>
      </c>
      <c r="AE5" s="122">
        <v>1</v>
      </c>
      <c r="AF5" s="122">
        <v>125.44</v>
      </c>
      <c r="AG5" s="122">
        <v>11790.167149999999</v>
      </c>
      <c r="AH5" s="122"/>
      <c r="AI5" s="122"/>
      <c r="AJ5" s="120"/>
      <c r="AK5" s="123">
        <v>2.2634999999999999E-2</v>
      </c>
      <c r="AL5" s="123">
        <v>1.9699999999999999E-4</v>
      </c>
    </row>
    <row r="6" spans="1:38" ht="15" customHeight="1">
      <c r="A6" s="121">
        <v>313</v>
      </c>
      <c r="B6" s="121">
        <v>313</v>
      </c>
      <c r="C6" s="120" t="s">
        <v>1937</v>
      </c>
      <c r="D6" s="121">
        <v>513502229</v>
      </c>
      <c r="E6" s="120" t="s">
        <v>308</v>
      </c>
      <c r="F6" s="120" t="s">
        <v>1938</v>
      </c>
      <c r="G6" s="121">
        <v>1090281</v>
      </c>
      <c r="H6" s="120" t="s">
        <v>311</v>
      </c>
      <c r="I6" s="120" t="s">
        <v>754</v>
      </c>
      <c r="J6" s="120" t="s">
        <v>203</v>
      </c>
      <c r="K6" s="120" t="s">
        <v>203</v>
      </c>
      <c r="L6" s="120" t="s">
        <v>325</v>
      </c>
      <c r="M6" s="120" t="s">
        <v>450</v>
      </c>
      <c r="N6" s="120" t="s">
        <v>338</v>
      </c>
      <c r="O6" s="124">
        <v>38118</v>
      </c>
      <c r="P6" s="120" t="s">
        <v>1328</v>
      </c>
      <c r="Q6" s="120" t="s">
        <v>414</v>
      </c>
      <c r="R6" s="120" t="s">
        <v>406</v>
      </c>
      <c r="S6" s="120" t="s">
        <v>1212</v>
      </c>
      <c r="T6" s="122">
        <v>1.45</v>
      </c>
      <c r="U6" s="124">
        <v>46571</v>
      </c>
      <c r="V6" s="123">
        <v>6.4600000000000005E-2</v>
      </c>
      <c r="W6" s="123">
        <v>7.9699999999999993E-2</v>
      </c>
      <c r="X6" s="120" t="s">
        <v>411</v>
      </c>
      <c r="Y6" s="120"/>
      <c r="Z6" s="120" t="s">
        <v>887</v>
      </c>
      <c r="AA6" s="120" t="s">
        <v>890</v>
      </c>
      <c r="AB6" s="124">
        <v>45473</v>
      </c>
      <c r="AC6" s="120"/>
      <c r="AD6" s="122">
        <v>6689994.0599999996</v>
      </c>
      <c r="AE6" s="122">
        <v>3.7589999999999999</v>
      </c>
      <c r="AF6" s="122">
        <v>106.26</v>
      </c>
      <c r="AG6" s="122">
        <v>26721.932919999999</v>
      </c>
      <c r="AH6" s="122"/>
      <c r="AI6" s="122"/>
      <c r="AJ6" s="120"/>
      <c r="AK6" s="123">
        <v>5.1302E-2</v>
      </c>
      <c r="AL6" s="123">
        <v>4.4799999999999999E-4</v>
      </c>
    </row>
    <row r="7" spans="1:38" ht="15" customHeight="1">
      <c r="A7" s="121">
        <v>313</v>
      </c>
      <c r="B7" s="121">
        <v>313</v>
      </c>
      <c r="C7" s="120" t="s">
        <v>1939</v>
      </c>
      <c r="D7" s="121">
        <v>513686154</v>
      </c>
      <c r="E7" s="120" t="s">
        <v>308</v>
      </c>
      <c r="F7" s="120" t="s">
        <v>1940</v>
      </c>
      <c r="G7" s="121">
        <v>7290497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447</v>
      </c>
      <c r="N7" s="120" t="s">
        <v>338</v>
      </c>
      <c r="O7" s="124">
        <v>40596</v>
      </c>
      <c r="P7" s="120" t="s">
        <v>1941</v>
      </c>
      <c r="Q7" s="120" t="s">
        <v>414</v>
      </c>
      <c r="R7" s="120" t="s">
        <v>406</v>
      </c>
      <c r="S7" s="120" t="s">
        <v>1217</v>
      </c>
      <c r="T7" s="122">
        <v>0.08</v>
      </c>
      <c r="U7" s="124">
        <v>45504</v>
      </c>
      <c r="V7" s="123">
        <v>1.5900000000000001E-2</v>
      </c>
      <c r="W7" s="123">
        <v>4.1000000000000002E-2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45473</v>
      </c>
      <c r="AC7" s="120"/>
      <c r="AD7" s="122">
        <v>20000000</v>
      </c>
      <c r="AE7" s="122">
        <v>1</v>
      </c>
      <c r="AF7" s="122">
        <v>121.53</v>
      </c>
      <c r="AG7" s="122">
        <v>24306</v>
      </c>
      <c r="AH7" s="122"/>
      <c r="AI7" s="122"/>
      <c r="AJ7" s="120"/>
      <c r="AK7" s="123">
        <v>4.6663999999999997E-2</v>
      </c>
      <c r="AL7" s="123">
        <v>4.0700000000000003E-4</v>
      </c>
    </row>
    <row r="8" spans="1:38" ht="15" customHeight="1">
      <c r="A8" s="121">
        <v>313</v>
      </c>
      <c r="B8" s="121">
        <v>313</v>
      </c>
      <c r="C8" s="120" t="s">
        <v>1290</v>
      </c>
      <c r="D8" s="121">
        <v>520000472</v>
      </c>
      <c r="E8" s="120" t="s">
        <v>308</v>
      </c>
      <c r="F8" s="120" t="s">
        <v>1942</v>
      </c>
      <c r="G8" s="121">
        <v>6000186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439</v>
      </c>
      <c r="N8" s="120" t="s">
        <v>338</v>
      </c>
      <c r="O8" s="124">
        <v>41766</v>
      </c>
      <c r="P8" s="120" t="s">
        <v>1293</v>
      </c>
      <c r="Q8" s="120" t="s">
        <v>311</v>
      </c>
      <c r="R8" s="120" t="s">
        <v>406</v>
      </c>
      <c r="S8" s="120" t="s">
        <v>1217</v>
      </c>
      <c r="T8" s="122">
        <v>2.66</v>
      </c>
      <c r="U8" s="124">
        <v>47245</v>
      </c>
      <c r="V8" s="123">
        <v>2.7799999999999998E-2</v>
      </c>
      <c r="W8" s="123">
        <v>0.06</v>
      </c>
      <c r="X8" s="120" t="s">
        <v>411</v>
      </c>
      <c r="Y8" s="120"/>
      <c r="Z8" s="120" t="s">
        <v>887</v>
      </c>
      <c r="AA8" s="120" t="s">
        <v>890</v>
      </c>
      <c r="AB8" s="124">
        <v>45473</v>
      </c>
      <c r="AC8" s="120"/>
      <c r="AD8" s="122">
        <v>36827958.490000002</v>
      </c>
      <c r="AE8" s="122">
        <v>1</v>
      </c>
      <c r="AF8" s="122">
        <v>124.82</v>
      </c>
      <c r="AG8" s="122">
        <v>45968.657789999997</v>
      </c>
      <c r="AH8" s="122"/>
      <c r="AI8" s="122"/>
      <c r="AJ8" s="120"/>
      <c r="AK8" s="123">
        <v>8.8253999999999999E-2</v>
      </c>
      <c r="AL8" s="123">
        <v>7.7099999999999998E-4</v>
      </c>
    </row>
    <row r="9" spans="1:38" ht="15" customHeight="1">
      <c r="A9" s="121">
        <v>313</v>
      </c>
      <c r="B9" s="121">
        <v>313</v>
      </c>
      <c r="C9" s="120" t="s">
        <v>1943</v>
      </c>
      <c r="D9" s="121">
        <v>500102868</v>
      </c>
      <c r="E9" s="120" t="s">
        <v>308</v>
      </c>
      <c r="F9" s="120" t="s">
        <v>1944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1211</v>
      </c>
      <c r="Q9" s="120" t="s">
        <v>414</v>
      </c>
      <c r="R9" s="120" t="s">
        <v>406</v>
      </c>
      <c r="S9" s="120" t="s">
        <v>1217</v>
      </c>
      <c r="T9" s="122">
        <v>6.84</v>
      </c>
      <c r="U9" s="124">
        <v>50040</v>
      </c>
      <c r="V9" s="123">
        <v>3.4200000000000001E-2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45473</v>
      </c>
      <c r="AC9" s="120"/>
      <c r="AD9" s="122">
        <v>14713600</v>
      </c>
      <c r="AE9" s="122">
        <v>1</v>
      </c>
      <c r="AF9" s="122">
        <v>96.05</v>
      </c>
      <c r="AG9" s="122">
        <v>14132.4128</v>
      </c>
      <c r="AH9" s="122"/>
      <c r="AI9" s="122"/>
      <c r="AJ9" s="120"/>
      <c r="AK9" s="123">
        <v>2.7132E-2</v>
      </c>
      <c r="AL9" s="123">
        <v>2.3699999999999999E-4</v>
      </c>
    </row>
    <row r="10" spans="1:38" ht="15" customHeight="1">
      <c r="A10" s="121">
        <v>313</v>
      </c>
      <c r="B10" s="121">
        <v>313</v>
      </c>
      <c r="C10" s="120" t="s">
        <v>1943</v>
      </c>
      <c r="D10" s="121">
        <v>500102868</v>
      </c>
      <c r="E10" s="120" t="s">
        <v>308</v>
      </c>
      <c r="F10" s="120" t="s">
        <v>1945</v>
      </c>
      <c r="G10" s="121">
        <v>1187335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44740</v>
      </c>
      <c r="P10" s="120" t="s">
        <v>1211</v>
      </c>
      <c r="Q10" s="120" t="s">
        <v>414</v>
      </c>
      <c r="R10" s="120" t="s">
        <v>406</v>
      </c>
      <c r="S10" s="120" t="s">
        <v>1217</v>
      </c>
      <c r="T10" s="122">
        <v>4.1100000000000003</v>
      </c>
      <c r="U10" s="124">
        <v>48213</v>
      </c>
      <c r="V10" s="123">
        <v>3.1899999999999998E-2</v>
      </c>
      <c r="W10" s="123">
        <v>1.55E-2</v>
      </c>
      <c r="X10" s="120" t="s">
        <v>411</v>
      </c>
      <c r="Y10" s="120"/>
      <c r="Z10" s="120" t="s">
        <v>887</v>
      </c>
      <c r="AA10" s="120" t="s">
        <v>890</v>
      </c>
      <c r="AB10" s="124">
        <v>45473</v>
      </c>
      <c r="AC10" s="120"/>
      <c r="AD10" s="122">
        <v>16720000</v>
      </c>
      <c r="AE10" s="122">
        <v>1</v>
      </c>
      <c r="AF10" s="122">
        <v>100.61</v>
      </c>
      <c r="AG10" s="122">
        <v>16821.991999999998</v>
      </c>
      <c r="AH10" s="122"/>
      <c r="AI10" s="122"/>
      <c r="AJ10" s="120"/>
      <c r="AK10" s="123">
        <v>3.2295999999999998E-2</v>
      </c>
      <c r="AL10" s="123">
        <v>2.8200000000000002E-4</v>
      </c>
    </row>
    <row r="11" spans="1:38" ht="15" customHeight="1">
      <c r="A11" s="121">
        <v>313</v>
      </c>
      <c r="B11" s="121">
        <v>313</v>
      </c>
      <c r="C11" s="120" t="s">
        <v>1535</v>
      </c>
      <c r="D11" s="121">
        <v>880326081</v>
      </c>
      <c r="E11" s="120" t="s">
        <v>308</v>
      </c>
      <c r="F11" s="120" t="s">
        <v>1946</v>
      </c>
      <c r="G11" s="121">
        <v>1167212</v>
      </c>
      <c r="H11" s="120" t="s">
        <v>311</v>
      </c>
      <c r="I11" s="120" t="s">
        <v>952</v>
      </c>
      <c r="J11" s="120" t="s">
        <v>203</v>
      </c>
      <c r="K11" s="120" t="s">
        <v>203</v>
      </c>
      <c r="L11" s="120" t="s">
        <v>325</v>
      </c>
      <c r="M11" s="120" t="s">
        <v>440</v>
      </c>
      <c r="N11" s="120" t="s">
        <v>338</v>
      </c>
      <c r="O11" s="124">
        <v>44014</v>
      </c>
      <c r="P11" s="120" t="s">
        <v>1359</v>
      </c>
      <c r="Q11" s="120" t="s">
        <v>412</v>
      </c>
      <c r="R11" s="120" t="s">
        <v>406</v>
      </c>
      <c r="S11" s="120" t="s">
        <v>1217</v>
      </c>
      <c r="T11" s="122">
        <v>3.56</v>
      </c>
      <c r="U11" s="124">
        <v>48014</v>
      </c>
      <c r="V11" s="123">
        <v>6.4799999999999996E-2</v>
      </c>
      <c r="W11" s="123">
        <v>3.3500000000000002E-2</v>
      </c>
      <c r="X11" s="120" t="s">
        <v>411</v>
      </c>
      <c r="Y11" s="120"/>
      <c r="Z11" s="120" t="s">
        <v>887</v>
      </c>
      <c r="AA11" s="120" t="s">
        <v>890</v>
      </c>
      <c r="AB11" s="124">
        <v>45473</v>
      </c>
      <c r="AC11" s="120"/>
      <c r="AD11" s="122">
        <v>3432555</v>
      </c>
      <c r="AE11" s="122">
        <v>1</v>
      </c>
      <c r="AF11" s="122">
        <v>89.96</v>
      </c>
      <c r="AG11" s="122">
        <v>3087.9264800000001</v>
      </c>
      <c r="AH11" s="122"/>
      <c r="AI11" s="122"/>
      <c r="AJ11" s="120"/>
      <c r="AK11" s="123">
        <v>5.9280000000000001E-3</v>
      </c>
      <c r="AL11" s="123">
        <v>5.1E-5</v>
      </c>
    </row>
    <row r="12" spans="1:38" ht="15" customHeight="1">
      <c r="A12" s="121">
        <v>313</v>
      </c>
      <c r="B12" s="121">
        <v>313</v>
      </c>
      <c r="C12" s="120" t="s">
        <v>1538</v>
      </c>
      <c r="D12" s="121">
        <v>520029083</v>
      </c>
      <c r="E12" s="120" t="s">
        <v>308</v>
      </c>
      <c r="F12" s="120" t="s">
        <v>1947</v>
      </c>
      <c r="G12" s="121">
        <v>6014211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447</v>
      </c>
      <c r="N12" s="120" t="s">
        <v>338</v>
      </c>
      <c r="O12" s="124">
        <v>40625</v>
      </c>
      <c r="P12" s="120" t="s">
        <v>1948</v>
      </c>
      <c r="Q12" s="120" t="s">
        <v>412</v>
      </c>
      <c r="R12" s="120" t="s">
        <v>406</v>
      </c>
      <c r="S12" s="120" t="s">
        <v>1217</v>
      </c>
      <c r="T12" s="122">
        <v>1.21</v>
      </c>
      <c r="U12" s="124">
        <v>46104</v>
      </c>
      <c r="V12" s="123">
        <v>1.7999999999999999E-2</v>
      </c>
      <c r="W12" s="123">
        <v>3.95E-2</v>
      </c>
      <c r="X12" s="120" t="s">
        <v>411</v>
      </c>
      <c r="Y12" s="120"/>
      <c r="Z12" s="120" t="s">
        <v>887</v>
      </c>
      <c r="AA12" s="120" t="s">
        <v>890</v>
      </c>
      <c r="AB12" s="124">
        <v>45473</v>
      </c>
      <c r="AC12" s="120"/>
      <c r="AD12" s="122">
        <v>3000000</v>
      </c>
      <c r="AE12" s="122">
        <v>1</v>
      </c>
      <c r="AF12" s="122">
        <v>123.54</v>
      </c>
      <c r="AG12" s="122">
        <v>3706.2</v>
      </c>
      <c r="AH12" s="122"/>
      <c r="AI12" s="122"/>
      <c r="AJ12" s="120"/>
      <c r="AK12" s="123">
        <v>7.1149999999999998E-3</v>
      </c>
      <c r="AL12" s="123">
        <v>6.2000000000000003E-5</v>
      </c>
    </row>
    <row r="13" spans="1:38" ht="15" customHeight="1">
      <c r="A13" s="121">
        <v>313</v>
      </c>
      <c r="B13" s="121">
        <v>313</v>
      </c>
      <c r="C13" s="120" t="s">
        <v>1949</v>
      </c>
      <c r="D13" s="121">
        <v>510687403</v>
      </c>
      <c r="E13" s="120" t="s">
        <v>308</v>
      </c>
      <c r="F13" s="120" t="s">
        <v>1950</v>
      </c>
      <c r="G13" s="121">
        <v>1138999</v>
      </c>
      <c r="H13" s="120" t="s">
        <v>311</v>
      </c>
      <c r="I13" s="120" t="s">
        <v>952</v>
      </c>
      <c r="J13" s="120" t="s">
        <v>203</v>
      </c>
      <c r="K13" s="120" t="s">
        <v>203</v>
      </c>
      <c r="L13" s="120" t="s">
        <v>325</v>
      </c>
      <c r="M13" s="120" t="s">
        <v>463</v>
      </c>
      <c r="N13" s="120" t="s">
        <v>338</v>
      </c>
      <c r="O13" s="124">
        <v>42598</v>
      </c>
      <c r="P13" s="120" t="s">
        <v>1941</v>
      </c>
      <c r="Q13" s="120" t="s">
        <v>414</v>
      </c>
      <c r="R13" s="120" t="s">
        <v>406</v>
      </c>
      <c r="S13" s="120" t="s">
        <v>1217</v>
      </c>
      <c r="T13" s="122">
        <v>1.92</v>
      </c>
      <c r="U13" s="124">
        <v>46568</v>
      </c>
      <c r="V13" s="123">
        <v>5.3100000000000001E-2</v>
      </c>
      <c r="W13" s="123">
        <v>3.1E-2</v>
      </c>
      <c r="X13" s="120" t="s">
        <v>411</v>
      </c>
      <c r="Y13" s="120"/>
      <c r="Z13" s="120" t="s">
        <v>887</v>
      </c>
      <c r="AA13" s="120" t="s">
        <v>890</v>
      </c>
      <c r="AB13" s="124">
        <v>45473</v>
      </c>
      <c r="AC13" s="120"/>
      <c r="AD13" s="122">
        <v>18396000.25</v>
      </c>
      <c r="AE13" s="122">
        <v>1</v>
      </c>
      <c r="AF13" s="122">
        <v>96.05</v>
      </c>
      <c r="AG13" s="122">
        <v>17669.358240000001</v>
      </c>
      <c r="AH13" s="122"/>
      <c r="AI13" s="122"/>
      <c r="AJ13" s="120"/>
      <c r="AK13" s="123">
        <v>3.3922000000000001E-2</v>
      </c>
      <c r="AL13" s="123">
        <v>2.9599999999999998E-4</v>
      </c>
    </row>
    <row r="14" spans="1:38" ht="15" customHeight="1">
      <c r="A14" s="121">
        <v>313</v>
      </c>
      <c r="B14" s="121">
        <v>313</v>
      </c>
      <c r="C14" s="120" t="s">
        <v>1951</v>
      </c>
      <c r="D14" s="121">
        <v>510155625</v>
      </c>
      <c r="E14" s="120" t="s">
        <v>308</v>
      </c>
      <c r="F14" s="120" t="s">
        <v>1952</v>
      </c>
      <c r="G14" s="121">
        <v>1126770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39443</v>
      </c>
      <c r="P14" s="120" t="s">
        <v>409</v>
      </c>
      <c r="Q14" s="120" t="s">
        <v>409</v>
      </c>
      <c r="R14" s="120" t="s">
        <v>409</v>
      </c>
      <c r="S14" s="120" t="s">
        <v>1217</v>
      </c>
      <c r="T14" s="122">
        <v>9.9999999999999995E-7</v>
      </c>
      <c r="U14" s="124">
        <v>42855</v>
      </c>
      <c r="V14" s="123">
        <v>0</v>
      </c>
      <c r="W14" s="123">
        <v>9.9000000000000005E-2</v>
      </c>
      <c r="X14" s="120" t="s">
        <v>411</v>
      </c>
      <c r="Y14" s="120"/>
      <c r="Z14" s="120" t="s">
        <v>887</v>
      </c>
      <c r="AA14" s="120" t="s">
        <v>890</v>
      </c>
      <c r="AB14" s="124">
        <v>45473</v>
      </c>
      <c r="AC14" s="120"/>
      <c r="AD14" s="122">
        <v>287224.40999999997</v>
      </c>
      <c r="AE14" s="122">
        <v>1</v>
      </c>
      <c r="AF14" s="122">
        <v>9.9999999999999995E-7</v>
      </c>
      <c r="AG14" s="122">
        <v>9.9999999999999995E-7</v>
      </c>
      <c r="AH14" s="122"/>
      <c r="AI14" s="122"/>
      <c r="AJ14" s="120"/>
      <c r="AK14" s="123">
        <v>0</v>
      </c>
      <c r="AL14" s="123">
        <v>0</v>
      </c>
    </row>
    <row r="15" spans="1:38" ht="15" customHeight="1">
      <c r="A15" s="121">
        <v>313</v>
      </c>
      <c r="B15" s="121">
        <v>313</v>
      </c>
      <c r="C15" s="120" t="s">
        <v>1367</v>
      </c>
      <c r="D15" s="121">
        <v>513436394</v>
      </c>
      <c r="E15" s="120" t="s">
        <v>308</v>
      </c>
      <c r="F15" s="120" t="s">
        <v>1953</v>
      </c>
      <c r="G15" s="121">
        <v>1125509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476</v>
      </c>
      <c r="N15" s="120" t="s">
        <v>338</v>
      </c>
      <c r="O15" s="124">
        <v>40910</v>
      </c>
      <c r="P15" s="120" t="s">
        <v>1328</v>
      </c>
      <c r="Q15" s="120" t="s">
        <v>414</v>
      </c>
      <c r="R15" s="120" t="s">
        <v>406</v>
      </c>
      <c r="S15" s="120" t="s">
        <v>1217</v>
      </c>
      <c r="T15" s="122">
        <v>3.99</v>
      </c>
      <c r="U15" s="124">
        <v>48213</v>
      </c>
      <c r="V15" s="123">
        <v>2.8500000000000001E-2</v>
      </c>
      <c r="W15" s="123">
        <v>4.8000000000000001E-2</v>
      </c>
      <c r="X15" s="120" t="s">
        <v>411</v>
      </c>
      <c r="Y15" s="120"/>
      <c r="Z15" s="120" t="s">
        <v>887</v>
      </c>
      <c r="AA15" s="120" t="s">
        <v>890</v>
      </c>
      <c r="AB15" s="124">
        <v>45473</v>
      </c>
      <c r="AC15" s="120"/>
      <c r="AD15" s="122">
        <v>23541733.440000001</v>
      </c>
      <c r="AE15" s="122">
        <v>1</v>
      </c>
      <c r="AF15" s="122">
        <v>126.56</v>
      </c>
      <c r="AG15" s="122">
        <v>29794.417839999998</v>
      </c>
      <c r="AH15" s="122"/>
      <c r="AI15" s="122"/>
      <c r="AJ15" s="120"/>
      <c r="AK15" s="123">
        <v>5.7201000000000002E-2</v>
      </c>
      <c r="AL15" s="123">
        <v>4.9899999999999999E-4</v>
      </c>
    </row>
    <row r="16" spans="1:38" ht="15" customHeight="1">
      <c r="A16" s="121">
        <v>313</v>
      </c>
      <c r="B16" s="121">
        <v>313</v>
      </c>
      <c r="C16" s="120" t="s">
        <v>1304</v>
      </c>
      <c r="D16" s="121">
        <v>520010869</v>
      </c>
      <c r="E16" s="120" t="s">
        <v>308</v>
      </c>
      <c r="F16" s="120" t="s">
        <v>1954</v>
      </c>
      <c r="G16" s="121">
        <v>1124346</v>
      </c>
      <c r="H16" s="120" t="s">
        <v>311</v>
      </c>
      <c r="I16" s="120" t="s">
        <v>753</v>
      </c>
      <c r="J16" s="120" t="s">
        <v>203</v>
      </c>
      <c r="K16" s="120" t="s">
        <v>203</v>
      </c>
      <c r="L16" s="120" t="s">
        <v>325</v>
      </c>
      <c r="M16" s="120" t="s">
        <v>476</v>
      </c>
      <c r="N16" s="120" t="s">
        <v>338</v>
      </c>
      <c r="O16" s="124">
        <v>40738</v>
      </c>
      <c r="P16" s="120" t="s">
        <v>1293</v>
      </c>
      <c r="Q16" s="120" t="s">
        <v>311</v>
      </c>
      <c r="R16" s="120" t="s">
        <v>406</v>
      </c>
      <c r="S16" s="120" t="s">
        <v>1217</v>
      </c>
      <c r="T16" s="122">
        <v>9.0299999999999994</v>
      </c>
      <c r="U16" s="124">
        <v>54253</v>
      </c>
      <c r="V16" s="123">
        <v>3.4099999999999998E-2</v>
      </c>
      <c r="W16" s="123">
        <v>4.1000000000000002E-2</v>
      </c>
      <c r="X16" s="120" t="s">
        <v>411</v>
      </c>
      <c r="Y16" s="120"/>
      <c r="Z16" s="120" t="s">
        <v>887</v>
      </c>
      <c r="AA16" s="120" t="s">
        <v>890</v>
      </c>
      <c r="AB16" s="124">
        <v>45473</v>
      </c>
      <c r="AC16" s="120"/>
      <c r="AD16" s="122">
        <v>123719618.34999999</v>
      </c>
      <c r="AE16" s="122">
        <v>1</v>
      </c>
      <c r="AF16" s="122">
        <v>129.74</v>
      </c>
      <c r="AG16" s="122">
        <v>160513.83285000001</v>
      </c>
      <c r="AH16" s="122"/>
      <c r="AI16" s="122"/>
      <c r="AJ16" s="120"/>
      <c r="AK16" s="123">
        <v>0.308166</v>
      </c>
      <c r="AL16" s="123">
        <v>2.6930000000000001E-3</v>
      </c>
    </row>
    <row r="17" spans="1:38" ht="15" customHeight="1">
      <c r="A17" s="121">
        <v>313</v>
      </c>
      <c r="B17" s="121">
        <v>313</v>
      </c>
      <c r="C17" s="120" t="s">
        <v>1951</v>
      </c>
      <c r="D17" s="121">
        <v>510155625</v>
      </c>
      <c r="E17" s="120" t="s">
        <v>308</v>
      </c>
      <c r="F17" s="120" t="s">
        <v>1955</v>
      </c>
      <c r="G17" s="121">
        <v>1109180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1217</v>
      </c>
      <c r="T17" s="122">
        <v>9.9999999999999995E-7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45473</v>
      </c>
      <c r="AC17" s="120"/>
      <c r="AD17" s="122">
        <v>1436122.07</v>
      </c>
      <c r="AE17" s="122">
        <v>1</v>
      </c>
      <c r="AF17" s="122">
        <v>9.9999999999999995E-7</v>
      </c>
      <c r="AG17" s="122">
        <v>1.0000000000000001E-5</v>
      </c>
      <c r="AH17" s="122"/>
      <c r="AI17" s="122"/>
      <c r="AJ17" s="120"/>
      <c r="AK17" s="123">
        <v>0</v>
      </c>
      <c r="AL17" s="123">
        <v>0</v>
      </c>
    </row>
    <row r="18" spans="1:38" ht="15" customHeight="1">
      <c r="A18" s="121">
        <v>313</v>
      </c>
      <c r="B18" s="121">
        <v>313</v>
      </c>
      <c r="C18" s="120" t="s">
        <v>1367</v>
      </c>
      <c r="D18" s="121">
        <v>513436394</v>
      </c>
      <c r="E18" s="120" t="s">
        <v>308</v>
      </c>
      <c r="F18" s="120" t="s">
        <v>1956</v>
      </c>
      <c r="G18" s="121">
        <v>1103084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39084</v>
      </c>
      <c r="P18" s="120" t="s">
        <v>1328</v>
      </c>
      <c r="Q18" s="120" t="s">
        <v>414</v>
      </c>
      <c r="R18" s="120" t="s">
        <v>406</v>
      </c>
      <c r="S18" s="120" t="s">
        <v>1217</v>
      </c>
      <c r="T18" s="122">
        <v>1.38</v>
      </c>
      <c r="U18" s="124">
        <v>46385</v>
      </c>
      <c r="V18" s="123">
        <v>2.52E-2</v>
      </c>
      <c r="W18" s="123">
        <v>5.6000000000000001E-2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45473</v>
      </c>
      <c r="AC18" s="120"/>
      <c r="AD18" s="122">
        <v>5707950.0300000003</v>
      </c>
      <c r="AE18" s="122">
        <v>1</v>
      </c>
      <c r="AF18" s="122">
        <v>143</v>
      </c>
      <c r="AG18" s="122">
        <v>8162.3685400000004</v>
      </c>
      <c r="AH18" s="122"/>
      <c r="AI18" s="122"/>
      <c r="AJ18" s="120"/>
      <c r="AK18" s="123">
        <v>1.567E-2</v>
      </c>
      <c r="AL18" s="123">
        <v>1.36E-4</v>
      </c>
    </row>
    <row r="19" spans="1:38" ht="15" customHeight="1">
      <c r="A19" s="121">
        <v>313</v>
      </c>
      <c r="B19" s="121">
        <v>313</v>
      </c>
      <c r="C19" s="120" t="s">
        <v>1304</v>
      </c>
      <c r="D19" s="121">
        <v>520010869</v>
      </c>
      <c r="E19" s="120" t="s">
        <v>308</v>
      </c>
      <c r="F19" s="120" t="s">
        <v>1957</v>
      </c>
      <c r="G19" s="121">
        <v>1100908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39076</v>
      </c>
      <c r="P19" s="120" t="s">
        <v>1293</v>
      </c>
      <c r="Q19" s="120" t="s">
        <v>311</v>
      </c>
      <c r="R19" s="120" t="s">
        <v>406</v>
      </c>
      <c r="S19" s="120" t="s">
        <v>1217</v>
      </c>
      <c r="T19" s="122">
        <v>5.56</v>
      </c>
      <c r="U19" s="124">
        <v>50034</v>
      </c>
      <c r="V19" s="123">
        <v>3.1699999999999999E-2</v>
      </c>
      <c r="W19" s="123">
        <v>4.9000000000000002E-2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45473</v>
      </c>
      <c r="AC19" s="120"/>
      <c r="AD19" s="122">
        <v>36552970.759999998</v>
      </c>
      <c r="AE19" s="122">
        <v>1</v>
      </c>
      <c r="AF19" s="122">
        <v>153.87</v>
      </c>
      <c r="AG19" s="122">
        <v>56244.056109999998</v>
      </c>
      <c r="AH19" s="122"/>
      <c r="AI19" s="122"/>
      <c r="AJ19" s="120"/>
      <c r="AK19" s="123">
        <v>0.10798099999999999</v>
      </c>
      <c r="AL19" s="123">
        <v>9.4300000000000004E-4</v>
      </c>
    </row>
    <row r="20" spans="1:38" ht="15" customHeight="1">
      <c r="A20" s="121">
        <v>313</v>
      </c>
      <c r="B20" s="121">
        <v>313</v>
      </c>
      <c r="C20" s="120" t="s">
        <v>1958</v>
      </c>
      <c r="D20" s="121">
        <v>513102384</v>
      </c>
      <c r="E20" s="120" t="s">
        <v>308</v>
      </c>
      <c r="F20" s="120" t="s">
        <v>1959</v>
      </c>
      <c r="G20" s="121">
        <v>1097997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477</v>
      </c>
      <c r="N20" s="120" t="s">
        <v>338</v>
      </c>
      <c r="O20" s="124">
        <v>38829</v>
      </c>
      <c r="P20" s="120" t="s">
        <v>1948</v>
      </c>
      <c r="Q20" s="120" t="s">
        <v>412</v>
      </c>
      <c r="R20" s="120" t="s">
        <v>406</v>
      </c>
      <c r="S20" s="120" t="s">
        <v>1217</v>
      </c>
      <c r="T20" s="122">
        <v>0.67</v>
      </c>
      <c r="U20" s="124">
        <v>45952</v>
      </c>
      <c r="V20" s="123">
        <v>2.2800000000000001E-2</v>
      </c>
      <c r="W20" s="123">
        <v>7.7499999999999999E-2</v>
      </c>
      <c r="X20" s="120" t="s">
        <v>411</v>
      </c>
      <c r="Y20" s="120"/>
      <c r="Z20" s="120" t="s">
        <v>887</v>
      </c>
      <c r="AA20" s="120" t="s">
        <v>890</v>
      </c>
      <c r="AB20" s="124">
        <v>45473</v>
      </c>
      <c r="AC20" s="120"/>
      <c r="AD20" s="122">
        <v>311527.21999999997</v>
      </c>
      <c r="AE20" s="122">
        <v>1</v>
      </c>
      <c r="AF20" s="122">
        <v>147.52000000000001</v>
      </c>
      <c r="AG20" s="122">
        <v>459.56495000000001</v>
      </c>
      <c r="AH20" s="122"/>
      <c r="AI20" s="122"/>
      <c r="AJ20" s="120"/>
      <c r="AK20" s="123">
        <v>8.8199999999999997E-4</v>
      </c>
      <c r="AL20" s="123">
        <v>6.9999999999999999E-6</v>
      </c>
    </row>
    <row r="21" spans="1:38" ht="15" customHeight="1">
      <c r="A21" s="121">
        <v>313</v>
      </c>
      <c r="B21" s="121">
        <v>313</v>
      </c>
      <c r="C21" s="120" t="s">
        <v>1960</v>
      </c>
      <c r="D21" s="121">
        <v>513937714</v>
      </c>
      <c r="E21" s="120" t="s">
        <v>308</v>
      </c>
      <c r="F21" s="120" t="s">
        <v>1961</v>
      </c>
      <c r="G21" s="121">
        <v>1131911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444</v>
      </c>
      <c r="N21" s="120" t="s">
        <v>338</v>
      </c>
      <c r="O21" s="124">
        <v>41731</v>
      </c>
      <c r="P21" s="120" t="s">
        <v>1297</v>
      </c>
      <c r="Q21" s="120" t="s">
        <v>414</v>
      </c>
      <c r="R21" s="120" t="s">
        <v>406</v>
      </c>
      <c r="S21" s="120" t="s">
        <v>1217</v>
      </c>
      <c r="T21" s="122">
        <v>3.09</v>
      </c>
      <c r="U21" s="124">
        <v>46661</v>
      </c>
      <c r="V21" s="123">
        <v>1.9099999999999999E-2</v>
      </c>
      <c r="W21" s="123">
        <v>3.3000000000000002E-2</v>
      </c>
      <c r="X21" s="120" t="s">
        <v>411</v>
      </c>
      <c r="Y21" s="120"/>
      <c r="Z21" s="120" t="s">
        <v>887</v>
      </c>
      <c r="AA21" s="120" t="s">
        <v>890</v>
      </c>
      <c r="AB21" s="124">
        <v>45473</v>
      </c>
      <c r="AC21" s="120"/>
      <c r="AD21" s="122">
        <v>40000000</v>
      </c>
      <c r="AE21" s="122">
        <v>1</v>
      </c>
      <c r="AF21" s="122">
        <v>120.12</v>
      </c>
      <c r="AG21" s="122">
        <v>48048</v>
      </c>
      <c r="AH21" s="122"/>
      <c r="AI21" s="122"/>
      <c r="AJ21" s="120"/>
      <c r="AK21" s="123">
        <v>9.2245999999999995E-2</v>
      </c>
      <c r="AL21" s="123">
        <v>8.0599999999999997E-4</v>
      </c>
    </row>
    <row r="22" spans="1:38" ht="15" customHeight="1">
      <c r="A22" s="121">
        <v>313</v>
      </c>
      <c r="B22" s="121">
        <v>313</v>
      </c>
      <c r="C22" s="120" t="s">
        <v>1322</v>
      </c>
      <c r="D22" s="121">
        <v>520018078</v>
      </c>
      <c r="E22" s="120" t="s">
        <v>308</v>
      </c>
      <c r="F22" s="120" t="s">
        <v>1962</v>
      </c>
      <c r="G22" s="121">
        <v>6020903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447</v>
      </c>
      <c r="N22" s="120" t="s">
        <v>338</v>
      </c>
      <c r="O22" s="124">
        <v>36489</v>
      </c>
      <c r="P22" s="120" t="s">
        <v>1227</v>
      </c>
      <c r="Q22" s="120" t="s">
        <v>412</v>
      </c>
      <c r="R22" s="120" t="s">
        <v>406</v>
      </c>
      <c r="S22" s="120" t="s">
        <v>1217</v>
      </c>
      <c r="T22" s="122">
        <v>2.64</v>
      </c>
      <c r="U22" s="124">
        <v>47447</v>
      </c>
      <c r="V22" s="123">
        <v>2.1700000000000001E-2</v>
      </c>
      <c r="W22" s="123">
        <v>6.0499999999999998E-2</v>
      </c>
      <c r="X22" s="120" t="s">
        <v>411</v>
      </c>
      <c r="Y22" s="120"/>
      <c r="Z22" s="120" t="s">
        <v>887</v>
      </c>
      <c r="AA22" s="120" t="s">
        <v>890</v>
      </c>
      <c r="AB22" s="124">
        <v>45473</v>
      </c>
      <c r="AC22" s="120"/>
      <c r="AD22" s="122">
        <v>196000</v>
      </c>
      <c r="AE22" s="122">
        <v>1</v>
      </c>
      <c r="AF22" s="122">
        <v>171.26</v>
      </c>
      <c r="AG22" s="122">
        <v>335.6696</v>
      </c>
      <c r="AH22" s="122"/>
      <c r="AI22" s="122"/>
      <c r="AJ22" s="120"/>
      <c r="AK22" s="123">
        <v>6.4400000000000004E-4</v>
      </c>
      <c r="AL22" s="123">
        <v>5.0000000000000004E-6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0"/>
  <sheetViews>
    <sheetView rightToLeft="1" topLeftCell="A16" workbookViewId="0">
      <selection activeCell="A56" sqref="A5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2.625" bestFit="1" customWidth="1"/>
    <col min="4" max="4" width="10.5" bestFit="1" customWidth="1"/>
    <col min="5" max="5" width="23.5" customWidth="1"/>
    <col min="6" max="6" width="45.1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5.5" bestFit="1" customWidth="1"/>
    <col min="22" max="22" width="8.75" bestFit="1" customWidth="1"/>
    <col min="23" max="23" width="11.625" customWidth="1"/>
    <col min="24" max="24" width="11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1963</v>
      </c>
      <c r="D2" s="121">
        <v>520020405</v>
      </c>
      <c r="E2" s="120" t="s">
        <v>308</v>
      </c>
      <c r="F2" s="120" t="s">
        <v>1964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1217</v>
      </c>
      <c r="Q2" s="120" t="s">
        <v>313</v>
      </c>
      <c r="R2" s="120" t="s">
        <v>890</v>
      </c>
      <c r="S2" s="124">
        <v>45291</v>
      </c>
      <c r="T2" s="124"/>
      <c r="U2" s="122">
        <v>1</v>
      </c>
      <c r="V2" s="122">
        <v>1</v>
      </c>
      <c r="W2" s="122">
        <v>1E-4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313</v>
      </c>
      <c r="B3" s="121">
        <v>313</v>
      </c>
      <c r="C3" s="120" t="s">
        <v>1965</v>
      </c>
      <c r="D3" s="121">
        <v>520025495</v>
      </c>
      <c r="E3" s="120" t="s">
        <v>308</v>
      </c>
      <c r="F3" s="120" t="s">
        <v>1966</v>
      </c>
      <c r="G3" s="121">
        <v>729996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1217</v>
      </c>
      <c r="Q3" s="120" t="s">
        <v>313</v>
      </c>
      <c r="R3" s="120" t="s">
        <v>890</v>
      </c>
      <c r="S3" s="124">
        <v>45291</v>
      </c>
      <c r="T3" s="120"/>
      <c r="U3" s="122">
        <v>815</v>
      </c>
      <c r="V3" s="122">
        <v>1</v>
      </c>
      <c r="W3" s="122">
        <v>1E-4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313</v>
      </c>
      <c r="B4" s="121">
        <v>313</v>
      </c>
      <c r="C4" s="120" t="s">
        <v>1967</v>
      </c>
      <c r="D4" s="121">
        <v>520039017</v>
      </c>
      <c r="E4" s="120" t="s">
        <v>308</v>
      </c>
      <c r="F4" s="120" t="s">
        <v>1968</v>
      </c>
      <c r="G4" s="121">
        <v>415018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446</v>
      </c>
      <c r="N4" s="120" t="s">
        <v>338</v>
      </c>
      <c r="O4" s="124">
        <v>24473</v>
      </c>
      <c r="P4" s="120" t="s">
        <v>1217</v>
      </c>
      <c r="Q4" s="120" t="s">
        <v>313</v>
      </c>
      <c r="R4" s="120" t="s">
        <v>890</v>
      </c>
      <c r="S4" s="124">
        <v>45291</v>
      </c>
      <c r="T4" s="120"/>
      <c r="U4" s="122">
        <v>358053</v>
      </c>
      <c r="V4" s="122">
        <v>1</v>
      </c>
      <c r="W4" s="122">
        <v>1E-4</v>
      </c>
      <c r="X4" s="122">
        <v>9.9999999999999995E-7</v>
      </c>
      <c r="Y4" s="123">
        <v>0</v>
      </c>
      <c r="Z4" s="123">
        <v>0</v>
      </c>
    </row>
    <row r="5" spans="1:26" ht="15" customHeight="1">
      <c r="A5" s="121">
        <v>313</v>
      </c>
      <c r="B5" s="121">
        <v>313</v>
      </c>
      <c r="C5" s="120" t="s">
        <v>1969</v>
      </c>
      <c r="D5" s="121">
        <v>8357</v>
      </c>
      <c r="E5" s="120" t="s">
        <v>308</v>
      </c>
      <c r="F5" s="120" t="s">
        <v>1970</v>
      </c>
      <c r="G5" s="121">
        <v>7520026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35124</v>
      </c>
      <c r="P5" s="120" t="s">
        <v>1217</v>
      </c>
      <c r="Q5" s="120" t="s">
        <v>313</v>
      </c>
      <c r="R5" s="120" t="s">
        <v>890</v>
      </c>
      <c r="S5" s="124">
        <v>45291</v>
      </c>
      <c r="T5" s="120"/>
      <c r="U5" s="122">
        <v>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313</v>
      </c>
      <c r="B6" s="121">
        <v>313</v>
      </c>
      <c r="C6" s="120" t="s">
        <v>1971</v>
      </c>
      <c r="D6" s="121">
        <v>515136034</v>
      </c>
      <c r="E6" s="120" t="s">
        <v>308</v>
      </c>
      <c r="F6" s="120" t="s">
        <v>1972</v>
      </c>
      <c r="G6" s="121">
        <v>45161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337</v>
      </c>
      <c r="O6" s="124">
        <v>41942</v>
      </c>
      <c r="P6" s="120" t="s">
        <v>1217</v>
      </c>
      <c r="Q6" s="120" t="s">
        <v>313</v>
      </c>
      <c r="R6" s="120" t="s">
        <v>890</v>
      </c>
      <c r="S6" s="124">
        <v>45291</v>
      </c>
      <c r="T6" s="120"/>
      <c r="U6" s="122">
        <v>100</v>
      </c>
      <c r="V6" s="122">
        <v>1</v>
      </c>
      <c r="W6" s="122">
        <v>0.01</v>
      </c>
      <c r="X6" s="122">
        <v>1.0000000000000001E-5</v>
      </c>
      <c r="Y6" s="123">
        <v>0</v>
      </c>
      <c r="Z6" s="123">
        <v>0</v>
      </c>
    </row>
    <row r="7" spans="1:26" ht="15" customHeight="1">
      <c r="A7" s="121">
        <v>313</v>
      </c>
      <c r="B7" s="121">
        <v>313</v>
      </c>
      <c r="C7" s="120" t="s">
        <v>1973</v>
      </c>
      <c r="D7" s="121">
        <v>520025495</v>
      </c>
      <c r="E7" s="120" t="s">
        <v>308</v>
      </c>
      <c r="F7" s="120" t="s">
        <v>1974</v>
      </c>
      <c r="G7" s="121">
        <v>73008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1217</v>
      </c>
      <c r="Q7" s="120" t="s">
        <v>313</v>
      </c>
      <c r="R7" s="120" t="s">
        <v>890</v>
      </c>
      <c r="S7" s="124">
        <v>45291</v>
      </c>
      <c r="T7" s="120"/>
      <c r="U7" s="122">
        <v>2.59</v>
      </c>
      <c r="V7" s="122">
        <v>1</v>
      </c>
      <c r="W7" s="122">
        <v>0.01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313</v>
      </c>
      <c r="B8" s="121">
        <v>313</v>
      </c>
      <c r="C8" s="120" t="s">
        <v>1975</v>
      </c>
      <c r="D8" s="121">
        <v>520030990</v>
      </c>
      <c r="E8" s="120" t="s">
        <v>308</v>
      </c>
      <c r="F8" s="120" t="s">
        <v>1975</v>
      </c>
      <c r="G8" s="121">
        <v>52001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35124</v>
      </c>
      <c r="P8" s="120" t="s">
        <v>1217</v>
      </c>
      <c r="Q8" s="120" t="s">
        <v>313</v>
      </c>
      <c r="R8" s="120" t="s">
        <v>890</v>
      </c>
      <c r="S8" s="124">
        <v>45291</v>
      </c>
      <c r="T8" s="120"/>
      <c r="U8" s="122">
        <v>8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313</v>
      </c>
      <c r="B9" s="121">
        <v>313</v>
      </c>
      <c r="C9" s="120" t="s">
        <v>1973</v>
      </c>
      <c r="D9" s="121">
        <v>520025495</v>
      </c>
      <c r="E9" s="120" t="s">
        <v>308</v>
      </c>
      <c r="F9" s="120" t="s">
        <v>1976</v>
      </c>
      <c r="G9" s="121">
        <v>73006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1217</v>
      </c>
      <c r="Q9" s="120" t="s">
        <v>313</v>
      </c>
      <c r="R9" s="120" t="s">
        <v>890</v>
      </c>
      <c r="S9" s="124">
        <v>45291</v>
      </c>
      <c r="T9" s="120"/>
      <c r="U9" s="122">
        <v>2.83</v>
      </c>
      <c r="V9" s="122">
        <v>1</v>
      </c>
      <c r="W9" s="122">
        <v>0.01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313</v>
      </c>
      <c r="B10" s="121">
        <v>313</v>
      </c>
      <c r="C10" s="120" t="s">
        <v>1977</v>
      </c>
      <c r="D10" s="121">
        <v>520012915</v>
      </c>
      <c r="E10" s="120" t="s">
        <v>308</v>
      </c>
      <c r="F10" s="120" t="s">
        <v>1977</v>
      </c>
      <c r="G10" s="121">
        <v>52020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458</v>
      </c>
      <c r="N10" s="120" t="s">
        <v>338</v>
      </c>
      <c r="O10" s="124">
        <v>45312</v>
      </c>
      <c r="P10" s="120" t="s">
        <v>1217</v>
      </c>
      <c r="Q10" s="120" t="s">
        <v>313</v>
      </c>
      <c r="R10" s="120" t="s">
        <v>890</v>
      </c>
      <c r="S10" s="124">
        <v>45291</v>
      </c>
      <c r="T10" s="120"/>
      <c r="U10" s="122">
        <v>435298</v>
      </c>
      <c r="V10" s="122">
        <v>1</v>
      </c>
      <c r="W10" s="122">
        <v>5704.1437999999998</v>
      </c>
      <c r="X10" s="122">
        <v>24830.023880000001</v>
      </c>
      <c r="Y10" s="123">
        <v>3.5035999999999998E-2</v>
      </c>
      <c r="Z10" s="123">
        <v>4.1599999999999997E-4</v>
      </c>
    </row>
    <row r="11" spans="1:26" ht="15" customHeight="1">
      <c r="A11" s="121">
        <v>313</v>
      </c>
      <c r="B11" s="121">
        <v>313</v>
      </c>
      <c r="C11" s="120" t="s">
        <v>1973</v>
      </c>
      <c r="D11" s="121">
        <v>520025495</v>
      </c>
      <c r="E11" s="120" t="s">
        <v>308</v>
      </c>
      <c r="F11" s="120" t="s">
        <v>1978</v>
      </c>
      <c r="G11" s="121">
        <v>73005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1217</v>
      </c>
      <c r="Q11" s="120" t="s">
        <v>313</v>
      </c>
      <c r="R11" s="120" t="s">
        <v>890</v>
      </c>
      <c r="S11" s="124">
        <v>45291</v>
      </c>
      <c r="T11" s="120"/>
      <c r="U11" s="122">
        <v>4.28</v>
      </c>
      <c r="V11" s="122">
        <v>1</v>
      </c>
      <c r="W11" s="122">
        <v>0.01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313</v>
      </c>
      <c r="B12" s="121">
        <v>313</v>
      </c>
      <c r="C12" s="120" t="s">
        <v>1979</v>
      </c>
      <c r="D12" s="121">
        <v>520033861</v>
      </c>
      <c r="E12" s="120" t="s">
        <v>308</v>
      </c>
      <c r="F12" s="120" t="s">
        <v>1980</v>
      </c>
      <c r="G12" s="121">
        <v>618033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461</v>
      </c>
      <c r="N12" s="120" t="s">
        <v>338</v>
      </c>
      <c r="O12" s="124">
        <v>25934</v>
      </c>
      <c r="P12" s="120" t="s">
        <v>1217</v>
      </c>
      <c r="Q12" s="120" t="s">
        <v>313</v>
      </c>
      <c r="R12" s="120" t="s">
        <v>890</v>
      </c>
      <c r="S12" s="124">
        <v>45291</v>
      </c>
      <c r="T12" s="120"/>
      <c r="U12" s="122">
        <v>1.61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313</v>
      </c>
      <c r="B13" s="121">
        <v>313</v>
      </c>
      <c r="C13" s="120" t="s">
        <v>1973</v>
      </c>
      <c r="D13" s="121">
        <v>520025495</v>
      </c>
      <c r="E13" s="120" t="s">
        <v>308</v>
      </c>
      <c r="F13" s="120" t="s">
        <v>1981</v>
      </c>
      <c r="G13" s="121">
        <v>73004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1217</v>
      </c>
      <c r="Q13" s="120" t="s">
        <v>313</v>
      </c>
      <c r="R13" s="120" t="s">
        <v>890</v>
      </c>
      <c r="S13" s="124">
        <v>45291</v>
      </c>
      <c r="T13" s="120"/>
      <c r="U13" s="122">
        <v>30</v>
      </c>
      <c r="V13" s="122">
        <v>1</v>
      </c>
      <c r="W13" s="122">
        <v>0.01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313</v>
      </c>
      <c r="B14" s="121">
        <v>313</v>
      </c>
      <c r="C14" s="120" t="s">
        <v>1979</v>
      </c>
      <c r="D14" s="121">
        <v>520033861</v>
      </c>
      <c r="E14" s="120" t="s">
        <v>308</v>
      </c>
      <c r="F14" s="120" t="s">
        <v>1982</v>
      </c>
      <c r="G14" s="121">
        <v>618017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25934</v>
      </c>
      <c r="P14" s="120" t="s">
        <v>1217</v>
      </c>
      <c r="Q14" s="120" t="s">
        <v>313</v>
      </c>
      <c r="R14" s="120" t="s">
        <v>890</v>
      </c>
      <c r="S14" s="124">
        <v>45291</v>
      </c>
      <c r="T14" s="120"/>
      <c r="U14" s="122">
        <v>3.23</v>
      </c>
      <c r="V14" s="122">
        <v>1</v>
      </c>
      <c r="W14" s="122">
        <v>0.01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313</v>
      </c>
      <c r="B15" s="121">
        <v>313</v>
      </c>
      <c r="C15" s="120" t="s">
        <v>1973</v>
      </c>
      <c r="D15" s="121">
        <v>520025495</v>
      </c>
      <c r="E15" s="120" t="s">
        <v>308</v>
      </c>
      <c r="F15" s="120" t="s">
        <v>1983</v>
      </c>
      <c r="G15" s="121">
        <v>73003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338</v>
      </c>
      <c r="O15" s="124">
        <v>24473</v>
      </c>
      <c r="P15" s="120" t="s">
        <v>1217</v>
      </c>
      <c r="Q15" s="120" t="s">
        <v>313</v>
      </c>
      <c r="R15" s="120" t="s">
        <v>890</v>
      </c>
      <c r="S15" s="124">
        <v>45291</v>
      </c>
      <c r="T15" s="120"/>
      <c r="U15" s="122">
        <v>17.57</v>
      </c>
      <c r="V15" s="122">
        <v>1</v>
      </c>
      <c r="W15" s="122">
        <v>0.01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313</v>
      </c>
      <c r="B16" s="121">
        <v>313</v>
      </c>
      <c r="C16" s="120" t="s">
        <v>1973</v>
      </c>
      <c r="D16" s="121">
        <v>520025495</v>
      </c>
      <c r="E16" s="120" t="s">
        <v>308</v>
      </c>
      <c r="F16" s="120" t="s">
        <v>1984</v>
      </c>
      <c r="G16" s="121">
        <v>73002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1217</v>
      </c>
      <c r="Q16" s="120" t="s">
        <v>313</v>
      </c>
      <c r="R16" s="120" t="s">
        <v>890</v>
      </c>
      <c r="S16" s="124">
        <v>45291</v>
      </c>
      <c r="T16" s="120"/>
      <c r="U16" s="122">
        <v>3.33</v>
      </c>
      <c r="V16" s="122">
        <v>1</v>
      </c>
      <c r="W16" s="122">
        <v>0.01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313</v>
      </c>
      <c r="B17" s="121">
        <v>313</v>
      </c>
      <c r="C17" s="120" t="s">
        <v>1985</v>
      </c>
      <c r="D17" s="121">
        <v>516581741</v>
      </c>
      <c r="E17" s="120" t="s">
        <v>308</v>
      </c>
      <c r="F17" s="120" t="s">
        <v>1986</v>
      </c>
      <c r="G17" s="121">
        <v>78990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337</v>
      </c>
      <c r="O17" s="124">
        <v>44635</v>
      </c>
      <c r="P17" s="120" t="s">
        <v>1217</v>
      </c>
      <c r="Q17" s="120" t="s">
        <v>313</v>
      </c>
      <c r="R17" s="120" t="s">
        <v>890</v>
      </c>
      <c r="S17" s="124">
        <v>45291</v>
      </c>
      <c r="T17" s="120"/>
      <c r="U17" s="122">
        <v>12732000</v>
      </c>
      <c r="V17" s="122">
        <v>1</v>
      </c>
      <c r="W17" s="122">
        <v>100</v>
      </c>
      <c r="X17" s="122">
        <v>12732</v>
      </c>
      <c r="Y17" s="123">
        <v>1.7964999999999998E-2</v>
      </c>
      <c r="Z17" s="123">
        <v>2.13E-4</v>
      </c>
    </row>
    <row r="18" spans="1:26" ht="15" customHeight="1">
      <c r="A18" s="121">
        <v>313</v>
      </c>
      <c r="B18" s="121">
        <v>313</v>
      </c>
      <c r="C18" s="120" t="s">
        <v>1987</v>
      </c>
      <c r="D18" s="121">
        <v>520025495</v>
      </c>
      <c r="E18" s="120" t="s">
        <v>308</v>
      </c>
      <c r="F18" s="120" t="s">
        <v>1988</v>
      </c>
      <c r="G18" s="121">
        <v>729715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313</v>
      </c>
      <c r="N18" s="120" t="s">
        <v>338</v>
      </c>
      <c r="O18" s="124">
        <v>24473</v>
      </c>
      <c r="P18" s="120" t="s">
        <v>1217</v>
      </c>
      <c r="Q18" s="120" t="s">
        <v>313</v>
      </c>
      <c r="R18" s="120" t="s">
        <v>890</v>
      </c>
      <c r="S18" s="124">
        <v>45291</v>
      </c>
      <c r="T18" s="120"/>
      <c r="U18" s="122">
        <v>0.74</v>
      </c>
      <c r="V18" s="122">
        <v>1</v>
      </c>
      <c r="W18" s="122">
        <v>0.01</v>
      </c>
      <c r="X18" s="122">
        <v>9.9999999999999995E-7</v>
      </c>
      <c r="Y18" s="123">
        <v>0</v>
      </c>
      <c r="Z18" s="123">
        <v>0</v>
      </c>
    </row>
    <row r="19" spans="1:26" ht="15" customHeight="1">
      <c r="A19" s="121">
        <v>313</v>
      </c>
      <c r="B19" s="121">
        <v>313</v>
      </c>
      <c r="C19" s="120" t="s">
        <v>1973</v>
      </c>
      <c r="D19" s="121">
        <v>520025495</v>
      </c>
      <c r="E19" s="120" t="s">
        <v>308</v>
      </c>
      <c r="F19" s="120" t="s">
        <v>1989</v>
      </c>
      <c r="G19" s="121">
        <v>790006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24473</v>
      </c>
      <c r="P19" s="120" t="s">
        <v>1217</v>
      </c>
      <c r="Q19" s="120" t="s">
        <v>313</v>
      </c>
      <c r="R19" s="120" t="s">
        <v>890</v>
      </c>
      <c r="S19" s="124">
        <v>45291</v>
      </c>
      <c r="T19" s="120"/>
      <c r="U19" s="122">
        <v>10750.99</v>
      </c>
      <c r="V19" s="122">
        <v>1</v>
      </c>
      <c r="W19" s="122">
        <v>1E-4</v>
      </c>
      <c r="X19" s="122">
        <v>1.0000000000000001E-5</v>
      </c>
      <c r="Y19" s="123">
        <v>0</v>
      </c>
      <c r="Z19" s="123">
        <v>0</v>
      </c>
    </row>
    <row r="20" spans="1:26" ht="15" customHeight="1">
      <c r="A20" s="121">
        <v>313</v>
      </c>
      <c r="B20" s="121">
        <v>313</v>
      </c>
      <c r="C20" s="120" t="s">
        <v>1990</v>
      </c>
      <c r="D20" s="121">
        <v>570009852</v>
      </c>
      <c r="E20" s="120" t="s">
        <v>308</v>
      </c>
      <c r="F20" s="120" t="s">
        <v>1991</v>
      </c>
      <c r="G20" s="121">
        <v>62004300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43067</v>
      </c>
      <c r="P20" s="120" t="s">
        <v>1212</v>
      </c>
      <c r="Q20" s="120" t="s">
        <v>313</v>
      </c>
      <c r="R20" s="120" t="s">
        <v>890</v>
      </c>
      <c r="S20" s="124">
        <v>45291</v>
      </c>
      <c r="T20" s="120"/>
      <c r="U20" s="122">
        <v>1953140.62</v>
      </c>
      <c r="V20" s="122">
        <v>3.7589999999999999</v>
      </c>
      <c r="W20" s="122">
        <v>133.14429999999999</v>
      </c>
      <c r="X20" s="122">
        <v>9775.2643599999992</v>
      </c>
      <c r="Y20" s="123">
        <v>1.3793E-2</v>
      </c>
      <c r="Z20" s="123">
        <v>1.64E-4</v>
      </c>
    </row>
    <row r="21" spans="1:26" ht="15" customHeight="1">
      <c r="A21" s="121">
        <v>313</v>
      </c>
      <c r="B21" s="121">
        <v>313</v>
      </c>
      <c r="C21" s="120" t="s">
        <v>1992</v>
      </c>
      <c r="D21" s="133" t="s">
        <v>2580</v>
      </c>
      <c r="E21" s="134" t="s">
        <v>310</v>
      </c>
      <c r="F21" s="120" t="s">
        <v>1993</v>
      </c>
      <c r="G21" s="121">
        <v>62017272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313</v>
      </c>
      <c r="N21" s="120" t="s">
        <v>338</v>
      </c>
      <c r="O21" s="124">
        <v>44047</v>
      </c>
      <c r="P21" s="120" t="s">
        <v>1212</v>
      </c>
      <c r="Q21" s="120" t="s">
        <v>313</v>
      </c>
      <c r="R21" s="120" t="s">
        <v>890</v>
      </c>
      <c r="S21" s="124">
        <v>45291</v>
      </c>
      <c r="T21" s="120"/>
      <c r="U21" s="122">
        <v>9914661</v>
      </c>
      <c r="V21" s="122">
        <v>3.7589999999999999</v>
      </c>
      <c r="W21" s="122">
        <v>103.5911</v>
      </c>
      <c r="X21" s="122">
        <v>38607.585319999998</v>
      </c>
      <c r="Y21" s="123">
        <v>5.4476999999999998E-2</v>
      </c>
      <c r="Z21" s="123">
        <v>6.4700000000000001E-4</v>
      </c>
    </row>
    <row r="22" spans="1:26" ht="15" customHeight="1">
      <c r="A22" s="121">
        <v>313</v>
      </c>
      <c r="B22" s="121">
        <v>313</v>
      </c>
      <c r="C22" s="120" t="s">
        <v>1990</v>
      </c>
      <c r="D22" s="121">
        <v>570009852</v>
      </c>
      <c r="E22" s="120" t="s">
        <v>308</v>
      </c>
      <c r="F22" s="120" t="s">
        <v>1994</v>
      </c>
      <c r="G22" s="121">
        <v>62004328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43067</v>
      </c>
      <c r="P22" s="120" t="s">
        <v>1212</v>
      </c>
      <c r="Q22" s="120" t="s">
        <v>313</v>
      </c>
      <c r="R22" s="120" t="s">
        <v>890</v>
      </c>
      <c r="S22" s="124">
        <v>45291</v>
      </c>
      <c r="T22" s="120"/>
      <c r="U22" s="122">
        <v>4557328.13</v>
      </c>
      <c r="V22" s="122">
        <v>3.7589999999999999</v>
      </c>
      <c r="W22" s="122">
        <v>100</v>
      </c>
      <c r="X22" s="122">
        <v>17130.996439999999</v>
      </c>
      <c r="Y22" s="123">
        <v>2.4171999999999999E-2</v>
      </c>
      <c r="Z22" s="123">
        <v>2.8699999999999998E-4</v>
      </c>
    </row>
    <row r="23" spans="1:26" ht="15" customHeight="1">
      <c r="A23" s="121">
        <v>313</v>
      </c>
      <c r="B23" s="121">
        <v>313</v>
      </c>
      <c r="C23" s="120" t="s">
        <v>1971</v>
      </c>
      <c r="D23" s="121">
        <v>515136034</v>
      </c>
      <c r="E23" s="120" t="s">
        <v>308</v>
      </c>
      <c r="F23" s="120" t="s">
        <v>1995</v>
      </c>
      <c r="G23" s="121">
        <v>7894578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42991</v>
      </c>
      <c r="P23" s="120" t="s">
        <v>1212</v>
      </c>
      <c r="Q23" s="120" t="s">
        <v>313</v>
      </c>
      <c r="R23" s="120" t="s">
        <v>890</v>
      </c>
      <c r="S23" s="124">
        <v>45291</v>
      </c>
      <c r="T23" s="120"/>
      <c r="U23" s="122">
        <v>11229031.5</v>
      </c>
      <c r="V23" s="122">
        <v>3.7589999999999999</v>
      </c>
      <c r="W23" s="122">
        <v>90.984499999999997</v>
      </c>
      <c r="X23" s="122">
        <v>38404.497439999999</v>
      </c>
      <c r="Y23" s="123">
        <v>5.4191000000000003E-2</v>
      </c>
      <c r="Z23" s="123">
        <v>6.4400000000000004E-4</v>
      </c>
    </row>
    <row r="24" spans="1:26" ht="15" customHeight="1">
      <c r="A24" s="121">
        <v>313</v>
      </c>
      <c r="B24" s="121">
        <v>313</v>
      </c>
      <c r="C24" s="120" t="s">
        <v>1996</v>
      </c>
      <c r="D24" s="121">
        <v>570009852</v>
      </c>
      <c r="E24" s="120" t="s">
        <v>308</v>
      </c>
      <c r="F24" s="120" t="s">
        <v>1997</v>
      </c>
      <c r="G24" s="121">
        <v>62008649</v>
      </c>
      <c r="H24" s="120" t="s">
        <v>311</v>
      </c>
      <c r="I24" s="120" t="s">
        <v>764</v>
      </c>
      <c r="J24" s="120" t="s">
        <v>204</v>
      </c>
      <c r="K24" s="120" t="s">
        <v>281</v>
      </c>
      <c r="L24" s="120" t="s">
        <v>325</v>
      </c>
      <c r="M24" s="120" t="s">
        <v>567</v>
      </c>
      <c r="N24" s="120" t="s">
        <v>338</v>
      </c>
      <c r="O24" s="124">
        <v>43879</v>
      </c>
      <c r="P24" s="120" t="s">
        <v>1229</v>
      </c>
      <c r="Q24" s="120" t="s">
        <v>313</v>
      </c>
      <c r="R24" s="120" t="s">
        <v>890</v>
      </c>
      <c r="S24" s="124">
        <v>45291</v>
      </c>
      <c r="T24" s="120"/>
      <c r="U24" s="122">
        <v>14283615.289999999</v>
      </c>
      <c r="V24" s="122">
        <v>2.7412999999999998</v>
      </c>
      <c r="W24" s="122">
        <v>1E-4</v>
      </c>
      <c r="X24" s="122">
        <v>3.8999999999999999E-4</v>
      </c>
      <c r="Y24" s="123">
        <v>0</v>
      </c>
      <c r="Z24" s="123">
        <v>0</v>
      </c>
    </row>
    <row r="25" spans="1:26" ht="15" customHeight="1">
      <c r="A25" s="121">
        <v>313</v>
      </c>
      <c r="B25" s="121">
        <v>313</v>
      </c>
      <c r="C25" s="120" t="s">
        <v>1971</v>
      </c>
      <c r="D25" s="121">
        <v>515136034</v>
      </c>
      <c r="E25" s="120" t="s">
        <v>308</v>
      </c>
      <c r="F25" s="120" t="s">
        <v>1998</v>
      </c>
      <c r="G25" s="121">
        <v>7894564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41976</v>
      </c>
      <c r="P25" s="120" t="s">
        <v>1217</v>
      </c>
      <c r="Q25" s="120" t="s">
        <v>313</v>
      </c>
      <c r="R25" s="120" t="s">
        <v>890</v>
      </c>
      <c r="S25" s="124">
        <v>45291</v>
      </c>
      <c r="T25" s="120"/>
      <c r="U25" s="122">
        <v>14587454.189999999</v>
      </c>
      <c r="V25" s="122">
        <v>1</v>
      </c>
      <c r="W25" s="122">
        <v>1E-4</v>
      </c>
      <c r="X25" s="122">
        <v>1.4999999999999999E-4</v>
      </c>
      <c r="Y25" s="123">
        <v>0</v>
      </c>
      <c r="Z25" s="123">
        <v>0</v>
      </c>
    </row>
    <row r="26" spans="1:26" ht="15" customHeight="1">
      <c r="A26" s="121">
        <v>313</v>
      </c>
      <c r="B26" s="121">
        <v>313</v>
      </c>
      <c r="C26" s="120" t="s">
        <v>1999</v>
      </c>
      <c r="D26" s="121">
        <v>570009852</v>
      </c>
      <c r="E26" s="120" t="s">
        <v>308</v>
      </c>
      <c r="F26" s="120" t="s">
        <v>1999</v>
      </c>
      <c r="G26" s="121">
        <v>62008610</v>
      </c>
      <c r="H26" s="120" t="s">
        <v>311</v>
      </c>
      <c r="I26" s="120" t="s">
        <v>764</v>
      </c>
      <c r="J26" s="120" t="s">
        <v>204</v>
      </c>
      <c r="K26" s="120" t="s">
        <v>223</v>
      </c>
      <c r="L26" s="120" t="s">
        <v>325</v>
      </c>
      <c r="M26" s="120" t="s">
        <v>567</v>
      </c>
      <c r="N26" s="120" t="s">
        <v>337</v>
      </c>
      <c r="O26" s="124">
        <v>43334</v>
      </c>
      <c r="P26" s="120" t="s">
        <v>1212</v>
      </c>
      <c r="Q26" s="120" t="s">
        <v>313</v>
      </c>
      <c r="R26" s="120" t="s">
        <v>890</v>
      </c>
      <c r="S26" s="124">
        <v>45291</v>
      </c>
      <c r="T26" s="120"/>
      <c r="U26" s="122">
        <v>9271125</v>
      </c>
      <c r="V26" s="122">
        <v>3.7589999999999999</v>
      </c>
      <c r="W26" s="122">
        <v>121.36320000000001</v>
      </c>
      <c r="X26" s="122">
        <v>42295.272779999999</v>
      </c>
      <c r="Y26" s="123">
        <v>5.9680999999999998E-2</v>
      </c>
      <c r="Z26" s="123">
        <v>7.0899999999999999E-4</v>
      </c>
    </row>
    <row r="27" spans="1:26" ht="15" customHeight="1">
      <c r="A27" s="121">
        <v>313</v>
      </c>
      <c r="B27" s="121">
        <v>313</v>
      </c>
      <c r="C27" s="120" t="s">
        <v>1971</v>
      </c>
      <c r="D27" s="121">
        <v>515136034</v>
      </c>
      <c r="E27" s="120" t="s">
        <v>308</v>
      </c>
      <c r="F27" s="120" t="s">
        <v>2000</v>
      </c>
      <c r="G27" s="121">
        <v>7894562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337</v>
      </c>
      <c r="O27" s="124">
        <v>41976</v>
      </c>
      <c r="P27" s="120" t="s">
        <v>1217</v>
      </c>
      <c r="Q27" s="120" t="s">
        <v>313</v>
      </c>
      <c r="R27" s="120" t="s">
        <v>890</v>
      </c>
      <c r="S27" s="124">
        <v>45291</v>
      </c>
      <c r="T27" s="120"/>
      <c r="U27" s="122">
        <v>14628047.890000001</v>
      </c>
      <c r="V27" s="122">
        <v>1</v>
      </c>
      <c r="W27" s="122">
        <v>1E-4</v>
      </c>
      <c r="X27" s="122">
        <v>1.4999999999999999E-4</v>
      </c>
      <c r="Y27" s="123">
        <v>0</v>
      </c>
      <c r="Z27" s="123">
        <v>0</v>
      </c>
    </row>
    <row r="28" spans="1:26" ht="15" customHeight="1">
      <c r="A28" s="121">
        <v>313</v>
      </c>
      <c r="B28" s="121">
        <v>313</v>
      </c>
      <c r="C28" s="120" t="s">
        <v>2001</v>
      </c>
      <c r="D28" s="121">
        <v>570009852</v>
      </c>
      <c r="E28" s="120" t="s">
        <v>308</v>
      </c>
      <c r="F28" s="120" t="s">
        <v>2001</v>
      </c>
      <c r="G28" s="121">
        <v>62008651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43313</v>
      </c>
      <c r="P28" s="120" t="s">
        <v>1212</v>
      </c>
      <c r="Q28" s="120" t="s">
        <v>313</v>
      </c>
      <c r="R28" s="120" t="s">
        <v>890</v>
      </c>
      <c r="S28" s="124">
        <v>45291</v>
      </c>
      <c r="T28" s="120"/>
      <c r="U28" s="122">
        <v>114590285.02</v>
      </c>
      <c r="V28" s="122">
        <v>3.7589999999999999</v>
      </c>
      <c r="W28" s="122">
        <v>1E-4</v>
      </c>
      <c r="X28" s="122">
        <v>4.3099999999999996E-3</v>
      </c>
      <c r="Y28" s="123">
        <v>0</v>
      </c>
      <c r="Z28" s="123">
        <v>0</v>
      </c>
    </row>
    <row r="29" spans="1:26" ht="15" customHeight="1">
      <c r="A29" s="121">
        <v>313</v>
      </c>
      <c r="B29" s="121">
        <v>313</v>
      </c>
      <c r="C29" s="120" t="s">
        <v>2002</v>
      </c>
      <c r="D29" s="121">
        <v>570009852</v>
      </c>
      <c r="E29" s="120" t="s">
        <v>308</v>
      </c>
      <c r="F29" s="120" t="s">
        <v>2003</v>
      </c>
      <c r="G29" s="121">
        <v>62009290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337</v>
      </c>
      <c r="O29" s="124">
        <v>44013</v>
      </c>
      <c r="P29" s="120" t="s">
        <v>1212</v>
      </c>
      <c r="Q29" s="120" t="s">
        <v>313</v>
      </c>
      <c r="R29" s="120" t="s">
        <v>890</v>
      </c>
      <c r="S29" s="124">
        <v>45291</v>
      </c>
      <c r="T29" s="120"/>
      <c r="U29" s="122">
        <v>2798674</v>
      </c>
      <c r="V29" s="122">
        <v>3.7589999999999999</v>
      </c>
      <c r="W29" s="122">
        <v>1E-4</v>
      </c>
      <c r="X29" s="122">
        <v>1.0499999999999999E-3</v>
      </c>
      <c r="Y29" s="123">
        <v>0</v>
      </c>
      <c r="Z29" s="123">
        <v>0</v>
      </c>
    </row>
    <row r="30" spans="1:26" ht="15" customHeight="1">
      <c r="A30" s="121">
        <v>313</v>
      </c>
      <c r="B30" s="121">
        <v>313</v>
      </c>
      <c r="C30" s="120" t="s">
        <v>1990</v>
      </c>
      <c r="D30" s="121">
        <v>570009852</v>
      </c>
      <c r="E30" s="120" t="s">
        <v>308</v>
      </c>
      <c r="F30" s="120" t="s">
        <v>2004</v>
      </c>
      <c r="G30" s="121">
        <v>62004471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43069</v>
      </c>
      <c r="P30" s="120" t="s">
        <v>1212</v>
      </c>
      <c r="Q30" s="120" t="s">
        <v>313</v>
      </c>
      <c r="R30" s="120" t="s">
        <v>890</v>
      </c>
      <c r="S30" s="124">
        <v>45291</v>
      </c>
      <c r="T30" s="120"/>
      <c r="U30" s="122">
        <v>1377847.48</v>
      </c>
      <c r="V30" s="122">
        <v>3.7589999999999999</v>
      </c>
      <c r="W30" s="122">
        <v>100</v>
      </c>
      <c r="X30" s="122">
        <v>5179.3286799999996</v>
      </c>
      <c r="Y30" s="123">
        <v>7.3080000000000003E-3</v>
      </c>
      <c r="Z30" s="123">
        <v>8.6000000000000003E-5</v>
      </c>
    </row>
    <row r="31" spans="1:26" ht="15" customHeight="1">
      <c r="A31" s="121">
        <v>313</v>
      </c>
      <c r="B31" s="121">
        <v>313</v>
      </c>
      <c r="C31" s="120" t="s">
        <v>2005</v>
      </c>
      <c r="D31" s="121">
        <v>570009852</v>
      </c>
      <c r="E31" s="120" t="s">
        <v>308</v>
      </c>
      <c r="F31" s="120" t="s">
        <v>2006</v>
      </c>
      <c r="G31" s="121">
        <v>62021412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567</v>
      </c>
      <c r="N31" s="120" t="s">
        <v>338</v>
      </c>
      <c r="O31" s="124">
        <v>45419</v>
      </c>
      <c r="P31" s="120" t="s">
        <v>1212</v>
      </c>
      <c r="Q31" s="120" t="s">
        <v>313</v>
      </c>
      <c r="R31" s="120" t="s">
        <v>890</v>
      </c>
      <c r="S31" s="124">
        <v>45419</v>
      </c>
      <c r="T31" s="120"/>
      <c r="U31" s="122">
        <v>1918212</v>
      </c>
      <c r="V31" s="122">
        <v>3.7589999999999999</v>
      </c>
      <c r="W31" s="122">
        <v>99.061599999999999</v>
      </c>
      <c r="X31" s="122">
        <v>7142.8950199999999</v>
      </c>
      <c r="Y31" s="123">
        <v>1.0078999999999999E-2</v>
      </c>
      <c r="Z31" s="123">
        <v>1.1900000000000001E-4</v>
      </c>
    </row>
    <row r="32" spans="1:26" ht="15" customHeight="1">
      <c r="A32" s="121">
        <v>313</v>
      </c>
      <c r="B32" s="121">
        <v>313</v>
      </c>
      <c r="C32" s="120" t="s">
        <v>2007</v>
      </c>
      <c r="D32" s="121">
        <v>570009852</v>
      </c>
      <c r="E32" s="120" t="s">
        <v>308</v>
      </c>
      <c r="F32" s="120" t="s">
        <v>2008</v>
      </c>
      <c r="G32" s="121">
        <v>61001905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42370</v>
      </c>
      <c r="P32" s="120" t="s">
        <v>1212</v>
      </c>
      <c r="Q32" s="120" t="s">
        <v>313</v>
      </c>
      <c r="R32" s="120" t="s">
        <v>890</v>
      </c>
      <c r="S32" s="124">
        <v>45291</v>
      </c>
      <c r="T32" s="120"/>
      <c r="U32" s="122">
        <v>4919839.25</v>
      </c>
      <c r="V32" s="122">
        <v>3.7589999999999999</v>
      </c>
      <c r="W32" s="122">
        <v>1E-4</v>
      </c>
      <c r="X32" s="122">
        <v>1.8000000000000001E-4</v>
      </c>
      <c r="Y32" s="123">
        <v>0</v>
      </c>
      <c r="Z32" s="123">
        <v>0</v>
      </c>
    </row>
    <row r="33" spans="1:26" ht="15" customHeight="1">
      <c r="A33" s="121">
        <v>313</v>
      </c>
      <c r="B33" s="121">
        <v>313</v>
      </c>
      <c r="C33" s="120" t="s">
        <v>2009</v>
      </c>
      <c r="D33" s="121">
        <v>570009852</v>
      </c>
      <c r="E33" s="120" t="s">
        <v>308</v>
      </c>
      <c r="F33" s="120" t="s">
        <v>2009</v>
      </c>
      <c r="G33" s="121">
        <v>62009980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337</v>
      </c>
      <c r="O33" s="124">
        <v>43418</v>
      </c>
      <c r="P33" s="120" t="s">
        <v>1212</v>
      </c>
      <c r="Q33" s="120" t="s">
        <v>313</v>
      </c>
      <c r="R33" s="120" t="s">
        <v>890</v>
      </c>
      <c r="S33" s="124">
        <v>45291</v>
      </c>
      <c r="T33" s="120"/>
      <c r="U33" s="122">
        <v>27977751.510000002</v>
      </c>
      <c r="V33" s="122">
        <v>3.7589999999999999</v>
      </c>
      <c r="W33" s="122">
        <v>1E-4</v>
      </c>
      <c r="X33" s="122">
        <v>1.0499999999999999E-3</v>
      </c>
      <c r="Y33" s="123">
        <v>0</v>
      </c>
      <c r="Z33" s="123">
        <v>0</v>
      </c>
    </row>
    <row r="34" spans="1:26" ht="15" customHeight="1">
      <c r="A34" s="121">
        <v>313</v>
      </c>
      <c r="B34" s="121">
        <v>313</v>
      </c>
      <c r="C34" s="120" t="s">
        <v>2010</v>
      </c>
      <c r="D34" s="121">
        <v>570009852</v>
      </c>
      <c r="E34" s="120" t="s">
        <v>308</v>
      </c>
      <c r="F34" s="120" t="s">
        <v>2011</v>
      </c>
      <c r="G34" s="121">
        <v>60418993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42705</v>
      </c>
      <c r="P34" s="120" t="s">
        <v>1212</v>
      </c>
      <c r="Q34" s="120" t="s">
        <v>313</v>
      </c>
      <c r="R34" s="120" t="s">
        <v>890</v>
      </c>
      <c r="S34" s="124">
        <v>45291</v>
      </c>
      <c r="T34" s="120"/>
      <c r="U34" s="122">
        <v>11404382</v>
      </c>
      <c r="V34" s="122">
        <v>3.7589999999999999</v>
      </c>
      <c r="W34" s="122">
        <v>96.286799999999999</v>
      </c>
      <c r="X34" s="122">
        <v>41277.275070000003</v>
      </c>
      <c r="Y34" s="123">
        <v>5.8244999999999998E-2</v>
      </c>
      <c r="Z34" s="123">
        <v>6.9200000000000002E-4</v>
      </c>
    </row>
    <row r="35" spans="1:26" ht="15" customHeight="1">
      <c r="A35" s="121">
        <v>313</v>
      </c>
      <c r="B35" s="121">
        <v>313</v>
      </c>
      <c r="C35" s="120" t="s">
        <v>2012</v>
      </c>
      <c r="D35" s="121">
        <v>570009852</v>
      </c>
      <c r="E35" s="120" t="s">
        <v>308</v>
      </c>
      <c r="F35" s="120" t="s">
        <v>2013</v>
      </c>
      <c r="G35" s="121">
        <v>62009991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338</v>
      </c>
      <c r="O35" s="124">
        <v>44481</v>
      </c>
      <c r="P35" s="120" t="s">
        <v>1212</v>
      </c>
      <c r="Q35" s="120" t="s">
        <v>313</v>
      </c>
      <c r="R35" s="120" t="s">
        <v>890</v>
      </c>
      <c r="S35" s="124">
        <v>45291</v>
      </c>
      <c r="T35" s="120"/>
      <c r="U35" s="122">
        <v>5586337.7599999998</v>
      </c>
      <c r="V35" s="122">
        <v>3.7589999999999999</v>
      </c>
      <c r="W35" s="122">
        <v>100</v>
      </c>
      <c r="X35" s="122">
        <v>20999.04364</v>
      </c>
      <c r="Y35" s="123">
        <v>2.9631000000000001E-2</v>
      </c>
      <c r="Z35" s="123">
        <v>3.5199999999999999E-4</v>
      </c>
    </row>
    <row r="36" spans="1:26" ht="15" customHeight="1">
      <c r="A36" s="121">
        <v>313</v>
      </c>
      <c r="B36" s="121">
        <v>313</v>
      </c>
      <c r="C36" s="120" t="s">
        <v>2001</v>
      </c>
      <c r="D36" s="121">
        <v>570009852</v>
      </c>
      <c r="E36" s="120" t="s">
        <v>308</v>
      </c>
      <c r="F36" s="120" t="s">
        <v>2014</v>
      </c>
      <c r="G36" s="121">
        <v>62008652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43636</v>
      </c>
      <c r="P36" s="120" t="s">
        <v>1212</v>
      </c>
      <c r="Q36" s="120" t="s">
        <v>313</v>
      </c>
      <c r="R36" s="120" t="s">
        <v>890</v>
      </c>
      <c r="S36" s="124">
        <v>45291</v>
      </c>
      <c r="T36" s="120"/>
      <c r="U36" s="122">
        <v>2733286.48</v>
      </c>
      <c r="V36" s="122">
        <v>3.7589999999999999</v>
      </c>
      <c r="W36" s="122">
        <v>548.96299999999997</v>
      </c>
      <c r="X36" s="122">
        <v>56402.786039999999</v>
      </c>
      <c r="Y36" s="123">
        <v>7.9588000000000006E-2</v>
      </c>
      <c r="Z36" s="123">
        <v>9.4600000000000001E-4</v>
      </c>
    </row>
    <row r="37" spans="1:26" ht="15" customHeight="1">
      <c r="A37" s="121">
        <v>313</v>
      </c>
      <c r="B37" s="121">
        <v>313</v>
      </c>
      <c r="C37" s="120" t="s">
        <v>2012</v>
      </c>
      <c r="D37" s="121">
        <v>570009852</v>
      </c>
      <c r="E37" s="120" t="s">
        <v>308</v>
      </c>
      <c r="F37" s="120" t="s">
        <v>2015</v>
      </c>
      <c r="G37" s="121">
        <v>62009992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338</v>
      </c>
      <c r="O37" s="124">
        <v>44561</v>
      </c>
      <c r="P37" s="120" t="s">
        <v>1212</v>
      </c>
      <c r="Q37" s="120" t="s">
        <v>313</v>
      </c>
      <c r="R37" s="120" t="s">
        <v>890</v>
      </c>
      <c r="S37" s="124">
        <v>45291</v>
      </c>
      <c r="T37" s="120"/>
      <c r="U37" s="122">
        <v>647247.31999999995</v>
      </c>
      <c r="V37" s="122">
        <v>3.7589999999999999</v>
      </c>
      <c r="W37" s="122">
        <v>100</v>
      </c>
      <c r="X37" s="122">
        <v>2433.0026800000001</v>
      </c>
      <c r="Y37" s="123">
        <v>3.4329999999999999E-3</v>
      </c>
      <c r="Z37" s="123">
        <v>4.0000000000000003E-5</v>
      </c>
    </row>
    <row r="38" spans="1:26" ht="15" customHeight="1">
      <c r="A38" s="121">
        <v>313</v>
      </c>
      <c r="B38" s="121">
        <v>313</v>
      </c>
      <c r="C38" s="120" t="s">
        <v>2016</v>
      </c>
      <c r="D38" s="121">
        <v>570009852</v>
      </c>
      <c r="E38" s="120" t="s">
        <v>308</v>
      </c>
      <c r="F38" s="120" t="s">
        <v>2017</v>
      </c>
      <c r="G38" s="121">
        <v>60418985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42709</v>
      </c>
      <c r="P38" s="120" t="s">
        <v>1212</v>
      </c>
      <c r="Q38" s="120" t="s">
        <v>313</v>
      </c>
      <c r="R38" s="120" t="s">
        <v>890</v>
      </c>
      <c r="S38" s="124">
        <v>45291</v>
      </c>
      <c r="T38" s="120"/>
      <c r="U38" s="122">
        <v>5000000</v>
      </c>
      <c r="V38" s="122">
        <v>3.7589999999999999</v>
      </c>
      <c r="W38" s="122">
        <v>133.6969</v>
      </c>
      <c r="X38" s="122">
        <v>25128.327280000001</v>
      </c>
      <c r="Y38" s="123">
        <v>3.5457000000000002E-2</v>
      </c>
      <c r="Z38" s="123">
        <v>4.2099999999999999E-4</v>
      </c>
    </row>
    <row r="39" spans="1:26" ht="15" customHeight="1">
      <c r="A39" s="121">
        <v>313</v>
      </c>
      <c r="B39" s="121">
        <v>313</v>
      </c>
      <c r="C39" s="120" t="s">
        <v>2018</v>
      </c>
      <c r="D39" s="121">
        <v>570009852</v>
      </c>
      <c r="E39" s="120" t="s">
        <v>308</v>
      </c>
      <c r="F39" s="120" t="s">
        <v>2019</v>
      </c>
      <c r="G39" s="121">
        <v>62009998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337</v>
      </c>
      <c r="O39" s="124">
        <v>44679</v>
      </c>
      <c r="P39" s="120" t="s">
        <v>1212</v>
      </c>
      <c r="Q39" s="120" t="s">
        <v>313</v>
      </c>
      <c r="R39" s="120" t="s">
        <v>890</v>
      </c>
      <c r="S39" s="124">
        <v>45291</v>
      </c>
      <c r="T39" s="120"/>
      <c r="U39" s="122">
        <v>20749524</v>
      </c>
      <c r="V39" s="122">
        <v>3.7589999999999999</v>
      </c>
      <c r="W39" s="122">
        <v>103.52160000000001</v>
      </c>
      <c r="X39" s="122">
        <v>80744.248940000005</v>
      </c>
      <c r="Y39" s="123">
        <v>0.11393499999999999</v>
      </c>
      <c r="Z39" s="123">
        <v>1.354E-3</v>
      </c>
    </row>
    <row r="40" spans="1:26" ht="15" customHeight="1">
      <c r="A40" s="121">
        <v>313</v>
      </c>
      <c r="B40" s="121">
        <v>313</v>
      </c>
      <c r="C40" s="120" t="s">
        <v>2020</v>
      </c>
      <c r="D40" s="121">
        <v>570009852</v>
      </c>
      <c r="E40" s="120" t="s">
        <v>308</v>
      </c>
      <c r="F40" s="120" t="s">
        <v>2020</v>
      </c>
      <c r="G40" s="121">
        <v>60418898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43571</v>
      </c>
      <c r="P40" s="120" t="s">
        <v>1212</v>
      </c>
      <c r="Q40" s="120" t="s">
        <v>313</v>
      </c>
      <c r="R40" s="120" t="s">
        <v>890</v>
      </c>
      <c r="S40" s="124">
        <v>45291</v>
      </c>
      <c r="T40" s="120"/>
      <c r="U40" s="122">
        <v>3782957</v>
      </c>
      <c r="V40" s="122">
        <v>3.7589999999999999</v>
      </c>
      <c r="W40" s="122">
        <v>222.2364</v>
      </c>
      <c r="X40" s="122">
        <v>31602.320889999999</v>
      </c>
      <c r="Y40" s="123">
        <v>4.4593000000000001E-2</v>
      </c>
      <c r="Z40" s="123">
        <v>5.2999999999999998E-4</v>
      </c>
    </row>
    <row r="41" spans="1:26" ht="15" customHeight="1">
      <c r="A41" s="121">
        <v>313</v>
      </c>
      <c r="B41" s="121">
        <v>313</v>
      </c>
      <c r="C41" s="120" t="s">
        <v>2021</v>
      </c>
      <c r="D41" s="121">
        <v>570009852</v>
      </c>
      <c r="E41" s="120" t="s">
        <v>308</v>
      </c>
      <c r="F41" s="120" t="s">
        <v>2022</v>
      </c>
      <c r="G41" s="121">
        <v>62009999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337</v>
      </c>
      <c r="O41" s="124">
        <v>45097</v>
      </c>
      <c r="P41" s="120" t="s">
        <v>1212</v>
      </c>
      <c r="Q41" s="120" t="s">
        <v>313</v>
      </c>
      <c r="R41" s="120" t="s">
        <v>890</v>
      </c>
      <c r="S41" s="124">
        <v>45291</v>
      </c>
      <c r="T41" s="120"/>
      <c r="U41" s="122">
        <v>7009995.4299999997</v>
      </c>
      <c r="V41" s="122">
        <v>3.7589999999999999</v>
      </c>
      <c r="W41" s="122">
        <v>90.435199999999995</v>
      </c>
      <c r="X41" s="122">
        <v>23830.19571</v>
      </c>
      <c r="Y41" s="123">
        <v>3.3626000000000003E-2</v>
      </c>
      <c r="Z41" s="123">
        <v>3.9899999999999999E-4</v>
      </c>
    </row>
    <row r="42" spans="1:26" ht="15" customHeight="1">
      <c r="A42" s="121">
        <v>313</v>
      </c>
      <c r="B42" s="121">
        <v>313</v>
      </c>
      <c r="C42" s="120" t="s">
        <v>2023</v>
      </c>
      <c r="D42" s="121">
        <v>570009852</v>
      </c>
      <c r="E42" s="120" t="s">
        <v>308</v>
      </c>
      <c r="F42" s="120" t="s">
        <v>2024</v>
      </c>
      <c r="G42" s="121">
        <v>60413291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42613</v>
      </c>
      <c r="P42" s="120" t="s">
        <v>1212</v>
      </c>
      <c r="Q42" s="120" t="s">
        <v>313</v>
      </c>
      <c r="R42" s="120" t="s">
        <v>890</v>
      </c>
      <c r="S42" s="124">
        <v>45291</v>
      </c>
      <c r="T42" s="120"/>
      <c r="U42" s="122">
        <v>756287.04</v>
      </c>
      <c r="V42" s="122">
        <v>3.7589999999999999</v>
      </c>
      <c r="W42" s="122">
        <v>100</v>
      </c>
      <c r="X42" s="122">
        <v>2842.8829799999999</v>
      </c>
      <c r="Y42" s="123">
        <v>4.0109999999999998E-3</v>
      </c>
      <c r="Z42" s="123">
        <v>4.6999999999999997E-5</v>
      </c>
    </row>
    <row r="43" spans="1:26" ht="15" customHeight="1">
      <c r="A43" s="121">
        <v>313</v>
      </c>
      <c r="B43" s="121">
        <v>313</v>
      </c>
      <c r="C43" s="120" t="s">
        <v>2012</v>
      </c>
      <c r="D43" s="121">
        <v>570009852</v>
      </c>
      <c r="E43" s="120" t="s">
        <v>308</v>
      </c>
      <c r="F43" s="120" t="s">
        <v>2012</v>
      </c>
      <c r="G43" s="121">
        <v>62009990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44481</v>
      </c>
      <c r="P43" s="120" t="s">
        <v>1212</v>
      </c>
      <c r="Q43" s="120" t="s">
        <v>313</v>
      </c>
      <c r="R43" s="120" t="s">
        <v>890</v>
      </c>
      <c r="S43" s="124">
        <v>45291</v>
      </c>
      <c r="T43" s="120"/>
      <c r="U43" s="122">
        <v>3724062.24</v>
      </c>
      <c r="V43" s="122">
        <v>3.7589999999999999</v>
      </c>
      <c r="W43" s="122">
        <v>94.923599999999993</v>
      </c>
      <c r="X43" s="122">
        <v>13288.120269999999</v>
      </c>
      <c r="Y43" s="123">
        <v>1.8749999999999999E-2</v>
      </c>
      <c r="Z43" s="123">
        <v>2.22E-4</v>
      </c>
    </row>
    <row r="44" spans="1:26" ht="15" customHeight="1">
      <c r="A44" s="121">
        <v>313</v>
      </c>
      <c r="B44" s="121">
        <v>313</v>
      </c>
      <c r="C44" s="120" t="s">
        <v>1992</v>
      </c>
      <c r="D44" s="133" t="s">
        <v>2581</v>
      </c>
      <c r="E44" s="134" t="s">
        <v>310</v>
      </c>
      <c r="F44" s="120" t="s">
        <v>2025</v>
      </c>
      <c r="G44" s="121">
        <v>60409422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313</v>
      </c>
      <c r="N44" s="120" t="s">
        <v>338</v>
      </c>
      <c r="O44" s="124">
        <v>42506</v>
      </c>
      <c r="P44" s="120" t="s">
        <v>1212</v>
      </c>
      <c r="Q44" s="120" t="s">
        <v>313</v>
      </c>
      <c r="R44" s="120" t="s">
        <v>890</v>
      </c>
      <c r="S44" s="124">
        <v>45291</v>
      </c>
      <c r="T44" s="120"/>
      <c r="U44" s="122">
        <v>12427949</v>
      </c>
      <c r="V44" s="122">
        <v>3.7589999999999999</v>
      </c>
      <c r="W44" s="122">
        <v>61.0184</v>
      </c>
      <c r="X44" s="122">
        <v>28505.75864</v>
      </c>
      <c r="Y44" s="123">
        <v>4.0223000000000002E-2</v>
      </c>
      <c r="Z44" s="123">
        <v>4.7800000000000002E-4</v>
      </c>
    </row>
    <row r="45" spans="1:26" ht="15" customHeight="1">
      <c r="A45" s="121">
        <v>313</v>
      </c>
      <c r="B45" s="121">
        <v>313</v>
      </c>
      <c r="C45" s="120" t="s">
        <v>2026</v>
      </c>
      <c r="D45" s="121">
        <v>570009852</v>
      </c>
      <c r="E45" s="120" t="s">
        <v>308</v>
      </c>
      <c r="F45" s="120" t="s">
        <v>2027</v>
      </c>
      <c r="G45" s="121">
        <v>62009285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43879</v>
      </c>
      <c r="P45" s="120" t="s">
        <v>1229</v>
      </c>
      <c r="Q45" s="120" t="s">
        <v>313</v>
      </c>
      <c r="R45" s="120" t="s">
        <v>890</v>
      </c>
      <c r="S45" s="124">
        <v>45291</v>
      </c>
      <c r="T45" s="120"/>
      <c r="U45" s="122">
        <v>16534319.109999999</v>
      </c>
      <c r="V45" s="122">
        <v>2.7412999999999998</v>
      </c>
      <c r="W45" s="122">
        <v>105.3322</v>
      </c>
      <c r="X45" s="122">
        <v>47742.355170000003</v>
      </c>
      <c r="Y45" s="123">
        <v>6.7366999999999996E-2</v>
      </c>
      <c r="Z45" s="123">
        <v>8.0099999999999995E-4</v>
      </c>
    </row>
    <row r="46" spans="1:26" ht="15" customHeight="1">
      <c r="A46" s="121">
        <v>313</v>
      </c>
      <c r="B46" s="121">
        <v>313</v>
      </c>
      <c r="C46" s="120" t="s">
        <v>2028</v>
      </c>
      <c r="D46" s="121">
        <v>570009852</v>
      </c>
      <c r="E46" s="120" t="s">
        <v>308</v>
      </c>
      <c r="F46" s="120" t="s">
        <v>2029</v>
      </c>
      <c r="G46" s="121">
        <v>60409380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42536</v>
      </c>
      <c r="P46" s="120" t="s">
        <v>1212</v>
      </c>
      <c r="Q46" s="120" t="s">
        <v>313</v>
      </c>
      <c r="R46" s="120" t="s">
        <v>890</v>
      </c>
      <c r="S46" s="124">
        <v>45291</v>
      </c>
      <c r="T46" s="120"/>
      <c r="U46" s="122">
        <v>4515482.59</v>
      </c>
      <c r="V46" s="122">
        <v>3.7589999999999999</v>
      </c>
      <c r="W46" s="122">
        <v>3.0796000000000001</v>
      </c>
      <c r="X46" s="122">
        <v>522.71514000000002</v>
      </c>
      <c r="Y46" s="123">
        <v>7.3700000000000002E-4</v>
      </c>
      <c r="Z46" s="123">
        <v>7.9999999999999996E-6</v>
      </c>
    </row>
    <row r="47" spans="1:26" ht="15" customHeight="1">
      <c r="A47" s="121">
        <v>313</v>
      </c>
      <c r="B47" s="121">
        <v>313</v>
      </c>
      <c r="C47" s="120" t="s">
        <v>2023</v>
      </c>
      <c r="D47" s="121">
        <v>570009852</v>
      </c>
      <c r="E47" s="120" t="s">
        <v>308</v>
      </c>
      <c r="F47" s="120" t="s">
        <v>2030</v>
      </c>
      <c r="G47" s="121">
        <v>60390366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338</v>
      </c>
      <c r="O47" s="124">
        <v>42192</v>
      </c>
      <c r="P47" s="120" t="s">
        <v>1212</v>
      </c>
      <c r="Q47" s="120" t="s">
        <v>313</v>
      </c>
      <c r="R47" s="120" t="s">
        <v>890</v>
      </c>
      <c r="S47" s="124">
        <v>45291</v>
      </c>
      <c r="T47" s="120"/>
      <c r="U47" s="122">
        <v>1647969.5</v>
      </c>
      <c r="V47" s="122">
        <v>3.7589999999999999</v>
      </c>
      <c r="W47" s="122">
        <v>-114.89870000000001</v>
      </c>
      <c r="X47" s="122">
        <v>-7117.6479399999998</v>
      </c>
      <c r="Y47" s="123">
        <v>-1.0043E-2</v>
      </c>
      <c r="Z47" s="123">
        <v>-1.1900000000000001E-4</v>
      </c>
    </row>
    <row r="48" spans="1:26" ht="15" customHeight="1">
      <c r="A48" s="121">
        <v>313</v>
      </c>
      <c r="B48" s="121">
        <v>313</v>
      </c>
      <c r="C48" s="120" t="s">
        <v>2023</v>
      </c>
      <c r="D48" s="121">
        <v>570009852</v>
      </c>
      <c r="E48" s="120" t="s">
        <v>308</v>
      </c>
      <c r="F48" s="120" t="s">
        <v>2031</v>
      </c>
      <c r="G48" s="121">
        <v>60390358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338</v>
      </c>
      <c r="O48" s="124">
        <v>42192</v>
      </c>
      <c r="P48" s="120" t="s">
        <v>1212</v>
      </c>
      <c r="Q48" s="120" t="s">
        <v>313</v>
      </c>
      <c r="R48" s="120" t="s">
        <v>890</v>
      </c>
      <c r="S48" s="124">
        <v>45291</v>
      </c>
      <c r="T48" s="120"/>
      <c r="U48" s="122">
        <v>3397287.89</v>
      </c>
      <c r="V48" s="122">
        <v>3.7589999999999999</v>
      </c>
      <c r="W48" s="122">
        <v>100</v>
      </c>
      <c r="X48" s="122">
        <v>12770.40518</v>
      </c>
      <c r="Y48" s="123">
        <v>1.8019E-2</v>
      </c>
      <c r="Z48" s="123">
        <v>2.14E-4</v>
      </c>
    </row>
    <row r="49" spans="1:26" ht="15" customHeight="1">
      <c r="A49" s="121">
        <v>313</v>
      </c>
      <c r="B49" s="121">
        <v>313</v>
      </c>
      <c r="C49" s="120" t="s">
        <v>2007</v>
      </c>
      <c r="D49" s="121">
        <v>570009852</v>
      </c>
      <c r="E49" s="120" t="s">
        <v>308</v>
      </c>
      <c r="F49" s="120" t="s">
        <v>2032</v>
      </c>
      <c r="G49" s="121">
        <v>61001889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42370</v>
      </c>
      <c r="P49" s="120" t="s">
        <v>1212</v>
      </c>
      <c r="Q49" s="120" t="s">
        <v>313</v>
      </c>
      <c r="R49" s="120" t="s">
        <v>890</v>
      </c>
      <c r="S49" s="124">
        <v>45291</v>
      </c>
      <c r="T49" s="120"/>
      <c r="U49" s="122">
        <v>1637962.49</v>
      </c>
      <c r="V49" s="122">
        <v>3.7589999999999999</v>
      </c>
      <c r="W49" s="122">
        <v>1E-4</v>
      </c>
      <c r="X49" s="122">
        <v>6.0000000000000002E-5</v>
      </c>
      <c r="Y49" s="123">
        <v>0</v>
      </c>
      <c r="Z49" s="123">
        <v>0</v>
      </c>
    </row>
    <row r="50" spans="1:26" ht="15" customHeight="1">
      <c r="A50" s="121">
        <v>313</v>
      </c>
      <c r="B50" s="121">
        <v>313</v>
      </c>
      <c r="C50" s="120" t="s">
        <v>2002</v>
      </c>
      <c r="D50" s="121">
        <v>570009852</v>
      </c>
      <c r="E50" s="120" t="s">
        <v>308</v>
      </c>
      <c r="F50" s="120" t="s">
        <v>2002</v>
      </c>
      <c r="G50" s="121">
        <v>62009282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43843</v>
      </c>
      <c r="P50" s="120" t="s">
        <v>1212</v>
      </c>
      <c r="Q50" s="120" t="s">
        <v>313</v>
      </c>
      <c r="R50" s="120" t="s">
        <v>890</v>
      </c>
      <c r="S50" s="124">
        <v>45291</v>
      </c>
      <c r="T50" s="120"/>
      <c r="U50" s="122">
        <v>37201326</v>
      </c>
      <c r="V50" s="122">
        <v>3.7589999999999999</v>
      </c>
      <c r="W50" s="122">
        <v>94.1173</v>
      </c>
      <c r="X50" s="122">
        <v>131613.47558</v>
      </c>
      <c r="Y50" s="123">
        <v>0.18571499999999999</v>
      </c>
      <c r="Z50" s="123">
        <v>2.2079999999999999E-3</v>
      </c>
    </row>
  </sheetData>
  <conditionalFormatting sqref="D21">
    <cfRule type="duplicateValues" dxfId="10" priority="2"/>
  </conditionalFormatting>
  <conditionalFormatting sqref="D44">
    <cfRule type="duplicateValues" dxfId="9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70"/>
  <sheetViews>
    <sheetView rightToLeft="1" workbookViewId="0">
      <selection activeCell="A23" sqref="A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9.62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8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875" bestFit="1" customWidth="1"/>
    <col min="23" max="23" width="12.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313</v>
      </c>
      <c r="B2" s="121">
        <v>313</v>
      </c>
      <c r="C2" s="120" t="s">
        <v>2033</v>
      </c>
      <c r="D2" s="121"/>
      <c r="E2" s="120"/>
      <c r="F2" s="120" t="s">
        <v>2034</v>
      </c>
      <c r="G2" s="121">
        <v>38042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43203</v>
      </c>
      <c r="Q2" s="120" t="s">
        <v>1217</v>
      </c>
      <c r="R2" s="120" t="s">
        <v>886</v>
      </c>
      <c r="S2" s="120" t="s">
        <v>890</v>
      </c>
      <c r="T2" s="124">
        <v>45473</v>
      </c>
      <c r="U2" s="122">
        <v>1</v>
      </c>
      <c r="V2" s="122">
        <v>36566.323799999998</v>
      </c>
      <c r="W2" s="122">
        <v>36566.323799999998</v>
      </c>
      <c r="X2" s="123">
        <v>2.2852999999999998E-2</v>
      </c>
      <c r="Y2" s="123">
        <v>6.3160000000000004E-3</v>
      </c>
      <c r="Z2" s="123">
        <v>6.1300000000000005E-4</v>
      </c>
    </row>
    <row r="3" spans="1:27" ht="15" customHeight="1">
      <c r="A3" s="121">
        <v>313</v>
      </c>
      <c r="B3" s="121">
        <v>313</v>
      </c>
      <c r="C3" s="120" t="s">
        <v>2035</v>
      </c>
      <c r="D3" s="121"/>
      <c r="E3" s="120"/>
      <c r="F3" s="120" t="s">
        <v>2036</v>
      </c>
      <c r="G3" s="121">
        <v>9840774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39904</v>
      </c>
      <c r="Q3" s="120" t="s">
        <v>1212</v>
      </c>
      <c r="R3" s="120" t="s">
        <v>886</v>
      </c>
      <c r="S3" s="120" t="s">
        <v>890</v>
      </c>
      <c r="T3" s="124">
        <v>45473</v>
      </c>
      <c r="U3" s="122">
        <v>3.7589999999999999</v>
      </c>
      <c r="V3" s="122">
        <v>1836.4160300000001</v>
      </c>
      <c r="W3" s="122">
        <v>6903.0878400000001</v>
      </c>
      <c r="X3" s="123">
        <v>1.9977999999999999E-2</v>
      </c>
      <c r="Y3" s="123">
        <v>1.1919999999999999E-3</v>
      </c>
      <c r="Z3" s="123">
        <v>1.15E-4</v>
      </c>
    </row>
    <row r="4" spans="1:27" ht="15" customHeight="1">
      <c r="A4" s="121">
        <v>313</v>
      </c>
      <c r="B4" s="121">
        <v>313</v>
      </c>
      <c r="C4" s="120" t="s">
        <v>2035</v>
      </c>
      <c r="D4" s="121"/>
      <c r="E4" s="120"/>
      <c r="F4" s="120" t="s">
        <v>2037</v>
      </c>
      <c r="G4" s="121">
        <v>9840861</v>
      </c>
      <c r="H4" s="120" t="s">
        <v>311</v>
      </c>
      <c r="I4" s="120" t="s">
        <v>1006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39114</v>
      </c>
      <c r="Q4" s="120" t="s">
        <v>1212</v>
      </c>
      <c r="R4" s="120" t="s">
        <v>886</v>
      </c>
      <c r="S4" s="120" t="s">
        <v>890</v>
      </c>
      <c r="T4" s="124">
        <v>45473</v>
      </c>
      <c r="U4" s="122">
        <v>3.7589999999999999</v>
      </c>
      <c r="V4" s="122">
        <v>313.89368000000002</v>
      </c>
      <c r="W4" s="122">
        <v>1179.92634</v>
      </c>
      <c r="X4" s="123">
        <v>2.5110000000000002E-3</v>
      </c>
      <c r="Y4" s="123">
        <v>2.03E-4</v>
      </c>
      <c r="Z4" s="123">
        <v>1.9000000000000001E-5</v>
      </c>
    </row>
    <row r="5" spans="1:27" ht="15" customHeight="1">
      <c r="A5" s="121">
        <v>313</v>
      </c>
      <c r="B5" s="121">
        <v>313</v>
      </c>
      <c r="C5" s="120" t="s">
        <v>2038</v>
      </c>
      <c r="D5" s="121"/>
      <c r="E5" s="120"/>
      <c r="F5" s="120" t="s">
        <v>2039</v>
      </c>
      <c r="G5" s="121">
        <v>6254</v>
      </c>
      <c r="H5" s="120" t="s">
        <v>311</v>
      </c>
      <c r="I5" s="120" t="s">
        <v>1002</v>
      </c>
      <c r="J5" s="120"/>
      <c r="K5" s="120" t="s">
        <v>203</v>
      </c>
      <c r="L5" s="120"/>
      <c r="M5" s="120"/>
      <c r="N5" s="120" t="s">
        <v>203</v>
      </c>
      <c r="O5" s="120" t="s">
        <v>337</v>
      </c>
      <c r="P5" s="124">
        <v>40542</v>
      </c>
      <c r="Q5" s="120" t="s">
        <v>1217</v>
      </c>
      <c r="R5" s="120" t="s">
        <v>886</v>
      </c>
      <c r="S5" s="120" t="s">
        <v>890</v>
      </c>
      <c r="T5" s="124">
        <v>45473</v>
      </c>
      <c r="U5" s="122">
        <v>1</v>
      </c>
      <c r="V5" s="122">
        <v>43138.38046</v>
      </c>
      <c r="W5" s="122">
        <v>43138.38046</v>
      </c>
      <c r="X5" s="123">
        <v>3.1399999999999999E-4</v>
      </c>
      <c r="Y5" s="123">
        <v>7.4510000000000002E-3</v>
      </c>
      <c r="Z5" s="123">
        <v>7.2300000000000001E-4</v>
      </c>
    </row>
    <row r="6" spans="1:27" ht="15" customHeight="1">
      <c r="A6" s="121">
        <v>313</v>
      </c>
      <c r="B6" s="121">
        <v>313</v>
      </c>
      <c r="C6" s="120" t="s">
        <v>2035</v>
      </c>
      <c r="D6" s="121"/>
      <c r="E6" s="120"/>
      <c r="F6" s="120" t="s">
        <v>2040</v>
      </c>
      <c r="G6" s="121">
        <v>60297512</v>
      </c>
      <c r="H6" s="120" t="s">
        <v>311</v>
      </c>
      <c r="I6" s="120" t="s">
        <v>1006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41122</v>
      </c>
      <c r="Q6" s="120" t="s">
        <v>1212</v>
      </c>
      <c r="R6" s="120" t="s">
        <v>886</v>
      </c>
      <c r="S6" s="120" t="s">
        <v>890</v>
      </c>
      <c r="T6" s="124">
        <v>45473</v>
      </c>
      <c r="U6" s="122">
        <v>3.7589999999999999</v>
      </c>
      <c r="V6" s="122">
        <v>593.48046999999997</v>
      </c>
      <c r="W6" s="122">
        <v>2230.8930799999998</v>
      </c>
      <c r="X6" s="123">
        <v>7.4349999999999998E-3</v>
      </c>
      <c r="Y6" s="123">
        <v>3.8499999999999998E-4</v>
      </c>
      <c r="Z6" s="123">
        <v>3.6999999999999998E-5</v>
      </c>
    </row>
    <row r="7" spans="1:27" ht="15" customHeight="1">
      <c r="A7" s="121">
        <v>313</v>
      </c>
      <c r="B7" s="121">
        <v>313</v>
      </c>
      <c r="C7" s="120" t="s">
        <v>2041</v>
      </c>
      <c r="D7" s="121"/>
      <c r="E7" s="120"/>
      <c r="F7" s="120" t="s">
        <v>2042</v>
      </c>
      <c r="G7" s="121">
        <v>26054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39965</v>
      </c>
      <c r="Q7" s="120" t="s">
        <v>1217</v>
      </c>
      <c r="R7" s="120" t="s">
        <v>886</v>
      </c>
      <c r="S7" s="120" t="s">
        <v>890</v>
      </c>
      <c r="T7" s="124">
        <v>45473</v>
      </c>
      <c r="U7" s="122">
        <v>1</v>
      </c>
      <c r="V7" s="122">
        <v>12.839219999999999</v>
      </c>
      <c r="W7" s="122">
        <v>12.839219999999999</v>
      </c>
      <c r="X7" s="123">
        <v>2.5999999999999998E-5</v>
      </c>
      <c r="Y7" s="123">
        <v>1.9999999999999999E-6</v>
      </c>
      <c r="Z7" s="123">
        <v>0</v>
      </c>
    </row>
    <row r="8" spans="1:27" ht="15" customHeight="1">
      <c r="A8" s="121">
        <v>313</v>
      </c>
      <c r="B8" s="121">
        <v>313</v>
      </c>
      <c r="C8" s="120" t="s">
        <v>2043</v>
      </c>
      <c r="D8" s="121"/>
      <c r="E8" s="120"/>
      <c r="F8" s="120" t="s">
        <v>2044</v>
      </c>
      <c r="G8" s="121">
        <v>36842</v>
      </c>
      <c r="H8" s="120" t="s">
        <v>311</v>
      </c>
      <c r="I8" s="120" t="s">
        <v>1001</v>
      </c>
      <c r="J8" s="120"/>
      <c r="K8" s="120" t="s">
        <v>203</v>
      </c>
      <c r="L8" s="120"/>
      <c r="M8" s="120"/>
      <c r="N8" s="120" t="s">
        <v>295</v>
      </c>
      <c r="O8" s="120" t="s">
        <v>338</v>
      </c>
      <c r="P8" s="124">
        <v>43650</v>
      </c>
      <c r="Q8" s="120" t="s">
        <v>1217</v>
      </c>
      <c r="R8" s="120" t="s">
        <v>886</v>
      </c>
      <c r="S8" s="120" t="s">
        <v>890</v>
      </c>
      <c r="T8" s="124">
        <v>45473</v>
      </c>
      <c r="U8" s="122">
        <v>1</v>
      </c>
      <c r="V8" s="122">
        <v>17808.646239999998</v>
      </c>
      <c r="W8" s="122">
        <v>17808.646239999998</v>
      </c>
      <c r="X8" s="123">
        <v>7.123E-3</v>
      </c>
      <c r="Y8" s="123">
        <v>3.0760000000000002E-3</v>
      </c>
      <c r="Z8" s="123">
        <v>2.9799999999999998E-4</v>
      </c>
    </row>
    <row r="9" spans="1:27" ht="15" customHeight="1">
      <c r="A9" s="121">
        <v>313</v>
      </c>
      <c r="B9" s="121">
        <v>313</v>
      </c>
      <c r="C9" s="120" t="s">
        <v>2035</v>
      </c>
      <c r="D9" s="121"/>
      <c r="E9" s="120"/>
      <c r="F9" s="120" t="s">
        <v>2045</v>
      </c>
      <c r="G9" s="121">
        <v>62010061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223</v>
      </c>
      <c r="O9" s="120" t="s">
        <v>338</v>
      </c>
      <c r="P9" s="124">
        <v>43282</v>
      </c>
      <c r="Q9" s="120" t="s">
        <v>1212</v>
      </c>
      <c r="R9" s="120" t="s">
        <v>886</v>
      </c>
      <c r="S9" s="120" t="s">
        <v>890</v>
      </c>
      <c r="T9" s="124">
        <v>45473</v>
      </c>
      <c r="U9" s="122">
        <v>3.7589999999999999</v>
      </c>
      <c r="V9" s="122">
        <v>3637.2133800000001</v>
      </c>
      <c r="W9" s="122">
        <v>13672.285089999999</v>
      </c>
      <c r="X9" s="123">
        <v>6.4949999999999994E-2</v>
      </c>
      <c r="Y9" s="123">
        <v>2.3609999999999998E-3</v>
      </c>
      <c r="Z9" s="123">
        <v>2.2900000000000001E-4</v>
      </c>
    </row>
    <row r="10" spans="1:27" ht="15" customHeight="1">
      <c r="A10" s="121">
        <v>313</v>
      </c>
      <c r="B10" s="121">
        <v>313</v>
      </c>
      <c r="C10" s="120" t="s">
        <v>2046</v>
      </c>
      <c r="D10" s="121"/>
      <c r="E10" s="120"/>
      <c r="F10" s="120" t="s">
        <v>2047</v>
      </c>
      <c r="G10" s="121">
        <v>60353281</v>
      </c>
      <c r="H10" s="120" t="s">
        <v>311</v>
      </c>
      <c r="I10" s="120" t="s">
        <v>1006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41640</v>
      </c>
      <c r="Q10" s="120" t="s">
        <v>1212</v>
      </c>
      <c r="R10" s="120" t="s">
        <v>886</v>
      </c>
      <c r="S10" s="120" t="s">
        <v>890</v>
      </c>
      <c r="T10" s="124">
        <v>45473</v>
      </c>
      <c r="U10" s="122">
        <v>3.7589999999999999</v>
      </c>
      <c r="V10" s="122">
        <v>1593.1370300000001</v>
      </c>
      <c r="W10" s="122">
        <v>5988.6021099999998</v>
      </c>
      <c r="X10" s="123">
        <v>6.3720000000000001E-3</v>
      </c>
      <c r="Y10" s="123">
        <v>1.034E-3</v>
      </c>
      <c r="Z10" s="123">
        <v>1E-4</v>
      </c>
    </row>
    <row r="11" spans="1:27" ht="15" customHeight="1">
      <c r="A11" s="121">
        <v>313</v>
      </c>
      <c r="B11" s="121">
        <v>313</v>
      </c>
      <c r="C11" s="120" t="s">
        <v>2048</v>
      </c>
      <c r="D11" s="121"/>
      <c r="E11" s="120"/>
      <c r="F11" s="120" t="s">
        <v>2048</v>
      </c>
      <c r="G11" s="121">
        <v>51078</v>
      </c>
      <c r="H11" s="120" t="s">
        <v>311</v>
      </c>
      <c r="I11" s="120" t="s">
        <v>1002</v>
      </c>
      <c r="J11" s="120"/>
      <c r="K11" s="120" t="s">
        <v>203</v>
      </c>
      <c r="L11" s="120"/>
      <c r="M11" s="120"/>
      <c r="N11" s="120" t="s">
        <v>203</v>
      </c>
      <c r="O11" s="120" t="s">
        <v>337</v>
      </c>
      <c r="P11" s="124">
        <v>43241</v>
      </c>
      <c r="Q11" s="120" t="s">
        <v>1217</v>
      </c>
      <c r="R11" s="120" t="s">
        <v>886</v>
      </c>
      <c r="S11" s="120" t="s">
        <v>890</v>
      </c>
      <c r="T11" s="124">
        <v>45473</v>
      </c>
      <c r="U11" s="122">
        <v>1</v>
      </c>
      <c r="V11" s="122">
        <v>65023.149669999999</v>
      </c>
      <c r="W11" s="122">
        <v>65023.149669999999</v>
      </c>
      <c r="X11" s="123">
        <v>0.108371</v>
      </c>
      <c r="Y11" s="123">
        <v>1.1231E-2</v>
      </c>
      <c r="Z11" s="123">
        <v>1.091E-3</v>
      </c>
    </row>
    <row r="12" spans="1:27" ht="15" customHeight="1">
      <c r="A12" s="121">
        <v>313</v>
      </c>
      <c r="B12" s="121">
        <v>313</v>
      </c>
      <c r="C12" s="120" t="s">
        <v>2049</v>
      </c>
      <c r="D12" s="121"/>
      <c r="E12" s="120"/>
      <c r="F12" s="120" t="s">
        <v>2050</v>
      </c>
      <c r="G12" s="121">
        <v>62003142</v>
      </c>
      <c r="H12" s="120" t="s">
        <v>311</v>
      </c>
      <c r="I12" s="120" t="s">
        <v>1001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44348</v>
      </c>
      <c r="Q12" s="120" t="s">
        <v>1212</v>
      </c>
      <c r="R12" s="120" t="s">
        <v>886</v>
      </c>
      <c r="S12" s="120" t="s">
        <v>890</v>
      </c>
      <c r="T12" s="124">
        <v>45473</v>
      </c>
      <c r="U12" s="122">
        <v>3.7589999999999999</v>
      </c>
      <c r="V12" s="122">
        <v>8547.3881399999991</v>
      </c>
      <c r="W12" s="122">
        <v>32129.632010000001</v>
      </c>
      <c r="X12" s="123">
        <v>4.0701000000000001E-2</v>
      </c>
      <c r="Y12" s="123">
        <v>5.5490000000000001E-3</v>
      </c>
      <c r="Z12" s="123">
        <v>5.3899999999999998E-4</v>
      </c>
    </row>
    <row r="13" spans="1:27" ht="15" customHeight="1">
      <c r="A13" s="121">
        <v>313</v>
      </c>
      <c r="B13" s="121">
        <v>313</v>
      </c>
      <c r="C13" s="120" t="s">
        <v>2051</v>
      </c>
      <c r="D13" s="121"/>
      <c r="E13" s="120"/>
      <c r="F13" s="120" t="s">
        <v>2052</v>
      </c>
      <c r="G13" s="121">
        <v>60400893</v>
      </c>
      <c r="H13" s="120" t="s">
        <v>311</v>
      </c>
      <c r="I13" s="120" t="s">
        <v>1001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44348</v>
      </c>
      <c r="Q13" s="120" t="s">
        <v>1212</v>
      </c>
      <c r="R13" s="120" t="s">
        <v>886</v>
      </c>
      <c r="S13" s="120" t="s">
        <v>890</v>
      </c>
      <c r="T13" s="124">
        <v>45473</v>
      </c>
      <c r="U13" s="122">
        <v>3.7589999999999999</v>
      </c>
      <c r="V13" s="122">
        <v>4738.0269600000001</v>
      </c>
      <c r="W13" s="122">
        <v>17810.243340000001</v>
      </c>
      <c r="X13" s="123">
        <v>9.7490000000000007E-3</v>
      </c>
      <c r="Y13" s="123">
        <v>3.0760000000000002E-3</v>
      </c>
      <c r="Z13" s="123">
        <v>2.9799999999999998E-4</v>
      </c>
    </row>
    <row r="14" spans="1:27" ht="15" customHeight="1">
      <c r="A14" s="121">
        <v>313</v>
      </c>
      <c r="B14" s="121">
        <v>313</v>
      </c>
      <c r="C14" s="120" t="s">
        <v>2049</v>
      </c>
      <c r="D14" s="121"/>
      <c r="E14" s="120"/>
      <c r="F14" s="120" t="s">
        <v>2053</v>
      </c>
      <c r="G14" s="121">
        <v>62003141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42948</v>
      </c>
      <c r="Q14" s="120" t="s">
        <v>1212</v>
      </c>
      <c r="R14" s="120" t="s">
        <v>886</v>
      </c>
      <c r="S14" s="120" t="s">
        <v>890</v>
      </c>
      <c r="T14" s="124">
        <v>45473</v>
      </c>
      <c r="U14" s="122">
        <v>3.7589999999999999</v>
      </c>
      <c r="V14" s="122">
        <v>9032.1491600000008</v>
      </c>
      <c r="W14" s="122">
        <v>33951.848689999999</v>
      </c>
      <c r="X14" s="123">
        <v>2.1607999999999999E-2</v>
      </c>
      <c r="Y14" s="123">
        <v>5.8640000000000003E-3</v>
      </c>
      <c r="Z14" s="123">
        <v>5.6899999999999995E-4</v>
      </c>
    </row>
    <row r="15" spans="1:27" ht="15" customHeight="1">
      <c r="A15" s="121">
        <v>313</v>
      </c>
      <c r="B15" s="121">
        <v>313</v>
      </c>
      <c r="C15" s="120" t="s">
        <v>2035</v>
      </c>
      <c r="D15" s="121"/>
      <c r="E15" s="120"/>
      <c r="F15" s="120" t="s">
        <v>2054</v>
      </c>
      <c r="G15" s="121">
        <v>9840860</v>
      </c>
      <c r="H15" s="120" t="s">
        <v>311</v>
      </c>
      <c r="I15" s="120" t="s">
        <v>1006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38687</v>
      </c>
      <c r="Q15" s="120" t="s">
        <v>1212</v>
      </c>
      <c r="R15" s="120" t="s">
        <v>886</v>
      </c>
      <c r="S15" s="120" t="s">
        <v>890</v>
      </c>
      <c r="T15" s="124">
        <v>45473</v>
      </c>
      <c r="U15" s="122">
        <v>3.7589999999999999</v>
      </c>
      <c r="V15" s="122">
        <v>2155.7276400000001</v>
      </c>
      <c r="W15" s="122">
        <v>8103.3801999999996</v>
      </c>
      <c r="X15" s="123">
        <v>2.8743000000000001E-2</v>
      </c>
      <c r="Y15" s="123">
        <v>1.3990000000000001E-3</v>
      </c>
      <c r="Z15" s="123">
        <v>1.35E-4</v>
      </c>
    </row>
    <row r="16" spans="1:27" ht="15" customHeight="1">
      <c r="A16" s="121">
        <v>313</v>
      </c>
      <c r="B16" s="121">
        <v>313</v>
      </c>
      <c r="C16" s="120" t="s">
        <v>2055</v>
      </c>
      <c r="D16" s="121"/>
      <c r="E16" s="120"/>
      <c r="F16" s="120" t="s">
        <v>2056</v>
      </c>
      <c r="G16" s="121">
        <v>60289795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44923</v>
      </c>
      <c r="Q16" s="120" t="s">
        <v>1212</v>
      </c>
      <c r="R16" s="120" t="s">
        <v>886</v>
      </c>
      <c r="S16" s="120" t="s">
        <v>890</v>
      </c>
      <c r="T16" s="124">
        <v>45473</v>
      </c>
      <c r="U16" s="122">
        <v>3.7589999999999999</v>
      </c>
      <c r="V16" s="122">
        <v>3601.5920099999998</v>
      </c>
      <c r="W16" s="122">
        <v>13538.38438</v>
      </c>
      <c r="X16" s="123">
        <v>3.601E-3</v>
      </c>
      <c r="Y16" s="123">
        <v>2.3379999999999998E-3</v>
      </c>
      <c r="Z16" s="123">
        <v>2.2699999999999999E-4</v>
      </c>
    </row>
    <row r="17" spans="1:26" ht="15" customHeight="1">
      <c r="A17" s="121">
        <v>313</v>
      </c>
      <c r="B17" s="121">
        <v>313</v>
      </c>
      <c r="C17" s="120" t="s">
        <v>2057</v>
      </c>
      <c r="D17" s="121"/>
      <c r="E17" s="120"/>
      <c r="F17" s="120" t="s">
        <v>2058</v>
      </c>
      <c r="G17" s="121">
        <v>60375078</v>
      </c>
      <c r="H17" s="120" t="s">
        <v>311</v>
      </c>
      <c r="I17" s="120" t="s">
        <v>1001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41944</v>
      </c>
      <c r="Q17" s="120" t="s">
        <v>1212</v>
      </c>
      <c r="R17" s="120" t="s">
        <v>886</v>
      </c>
      <c r="S17" s="120" t="s">
        <v>890</v>
      </c>
      <c r="T17" s="124">
        <v>45473</v>
      </c>
      <c r="U17" s="122">
        <v>3.7589999999999999</v>
      </c>
      <c r="V17" s="122">
        <v>6227.8134</v>
      </c>
      <c r="W17" s="122">
        <v>23410.350569999999</v>
      </c>
      <c r="X17" s="123">
        <v>1.2347E-2</v>
      </c>
      <c r="Y17" s="123">
        <v>4.0429999999999997E-3</v>
      </c>
      <c r="Z17" s="123">
        <v>3.9199999999999999E-4</v>
      </c>
    </row>
    <row r="18" spans="1:26" ht="15" customHeight="1">
      <c r="A18" s="121">
        <v>313</v>
      </c>
      <c r="B18" s="121">
        <v>313</v>
      </c>
      <c r="C18" s="120" t="s">
        <v>2059</v>
      </c>
      <c r="D18" s="121"/>
      <c r="E18" s="120"/>
      <c r="F18" s="120" t="s">
        <v>2060</v>
      </c>
      <c r="G18" s="121">
        <v>78972</v>
      </c>
      <c r="H18" s="120" t="s">
        <v>311</v>
      </c>
      <c r="I18" s="120" t="s">
        <v>1004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43070</v>
      </c>
      <c r="Q18" s="120" t="s">
        <v>1217</v>
      </c>
      <c r="R18" s="120" t="s">
        <v>886</v>
      </c>
      <c r="S18" s="120" t="s">
        <v>890</v>
      </c>
      <c r="T18" s="124">
        <v>45473</v>
      </c>
      <c r="U18" s="122">
        <v>1</v>
      </c>
      <c r="V18" s="122">
        <v>12801.383040000001</v>
      </c>
      <c r="W18" s="122">
        <v>12801.383040000001</v>
      </c>
      <c r="X18" s="123">
        <v>1.2801E-2</v>
      </c>
      <c r="Y18" s="123">
        <v>2.2109999999999999E-3</v>
      </c>
      <c r="Z18" s="123">
        <v>2.14E-4</v>
      </c>
    </row>
    <row r="19" spans="1:26" ht="15" customHeight="1">
      <c r="A19" s="121">
        <v>313</v>
      </c>
      <c r="B19" s="121">
        <v>313</v>
      </c>
      <c r="C19" s="120" t="s">
        <v>2061</v>
      </c>
      <c r="D19" s="121"/>
      <c r="E19" s="120"/>
      <c r="F19" s="120" t="s">
        <v>2062</v>
      </c>
      <c r="G19" s="121">
        <v>20347</v>
      </c>
      <c r="H19" s="120" t="s">
        <v>311</v>
      </c>
      <c r="I19" s="120" t="s">
        <v>1002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43101</v>
      </c>
      <c r="Q19" s="120" t="s">
        <v>1217</v>
      </c>
      <c r="R19" s="120" t="s">
        <v>886</v>
      </c>
      <c r="S19" s="120" t="s">
        <v>890</v>
      </c>
      <c r="T19" s="124">
        <v>45473</v>
      </c>
      <c r="U19" s="122">
        <v>1</v>
      </c>
      <c r="V19" s="122">
        <v>4882.2709599999998</v>
      </c>
      <c r="W19" s="122">
        <v>4882.2709599999998</v>
      </c>
      <c r="X19" s="123">
        <v>5.7369999999999999E-3</v>
      </c>
      <c r="Y19" s="123">
        <v>8.43E-4</v>
      </c>
      <c r="Z19" s="123">
        <v>8.1000000000000004E-5</v>
      </c>
    </row>
    <row r="20" spans="1:26" ht="15" customHeight="1">
      <c r="A20" s="121">
        <v>313</v>
      </c>
      <c r="B20" s="121">
        <v>313</v>
      </c>
      <c r="C20" s="120" t="s">
        <v>2035</v>
      </c>
      <c r="D20" s="121"/>
      <c r="E20" s="120"/>
      <c r="F20" s="120" t="s">
        <v>2063</v>
      </c>
      <c r="G20" s="121">
        <v>62017775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295</v>
      </c>
      <c r="O20" s="120" t="s">
        <v>338</v>
      </c>
      <c r="P20" s="124">
        <v>44824</v>
      </c>
      <c r="Q20" s="120" t="s">
        <v>1212</v>
      </c>
      <c r="R20" s="120" t="s">
        <v>886</v>
      </c>
      <c r="S20" s="120" t="s">
        <v>890</v>
      </c>
      <c r="T20" s="124">
        <v>45473</v>
      </c>
      <c r="U20" s="122">
        <v>3.7589999999999999</v>
      </c>
      <c r="V20" s="122">
        <v>454.56650999999999</v>
      </c>
      <c r="W20" s="122">
        <v>1708.71551</v>
      </c>
      <c r="X20" s="123">
        <v>2.2720000000000001E-3</v>
      </c>
      <c r="Y20" s="123">
        <v>2.9500000000000001E-4</v>
      </c>
      <c r="Z20" s="123">
        <v>2.8E-5</v>
      </c>
    </row>
    <row r="21" spans="1:26" ht="15" customHeight="1">
      <c r="A21" s="121">
        <v>313</v>
      </c>
      <c r="B21" s="121">
        <v>313</v>
      </c>
      <c r="C21" s="120" t="s">
        <v>2059</v>
      </c>
      <c r="D21" s="121"/>
      <c r="E21" s="120"/>
      <c r="F21" s="120" t="s">
        <v>2064</v>
      </c>
      <c r="G21" s="121">
        <v>92817</v>
      </c>
      <c r="H21" s="120" t="s">
        <v>311</v>
      </c>
      <c r="I21" s="120" t="s">
        <v>1004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41974</v>
      </c>
      <c r="Q21" s="120" t="s">
        <v>1217</v>
      </c>
      <c r="R21" s="120" t="s">
        <v>886</v>
      </c>
      <c r="S21" s="120" t="s">
        <v>890</v>
      </c>
      <c r="T21" s="124">
        <v>45473</v>
      </c>
      <c r="U21" s="122">
        <v>1</v>
      </c>
      <c r="V21" s="122">
        <v>81.654600000000002</v>
      </c>
      <c r="W21" s="122">
        <v>81.654600000000002</v>
      </c>
      <c r="X21" s="123">
        <v>2.72E-4</v>
      </c>
      <c r="Y21" s="123">
        <v>1.4E-5</v>
      </c>
      <c r="Z21" s="123">
        <v>9.9999999999999995E-7</v>
      </c>
    </row>
    <row r="22" spans="1:26" ht="15" customHeight="1">
      <c r="A22" s="121">
        <v>313</v>
      </c>
      <c r="B22" s="121">
        <v>313</v>
      </c>
      <c r="C22" s="120" t="s">
        <v>2065</v>
      </c>
      <c r="D22" s="121"/>
      <c r="E22" s="120"/>
      <c r="F22" s="120" t="s">
        <v>2066</v>
      </c>
      <c r="G22" s="121">
        <v>60405917</v>
      </c>
      <c r="H22" s="120" t="s">
        <v>311</v>
      </c>
      <c r="I22" s="120" t="s">
        <v>1006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42461</v>
      </c>
      <c r="Q22" s="120" t="s">
        <v>1212</v>
      </c>
      <c r="R22" s="120" t="s">
        <v>886</v>
      </c>
      <c r="S22" s="120" t="s">
        <v>890</v>
      </c>
      <c r="T22" s="124">
        <v>45473</v>
      </c>
      <c r="U22" s="122">
        <v>3.7589999999999999</v>
      </c>
      <c r="V22" s="122">
        <v>21994.828379999999</v>
      </c>
      <c r="W22" s="122">
        <v>82678.559859999994</v>
      </c>
      <c r="X22" s="123">
        <v>0.109765</v>
      </c>
      <c r="Y22" s="123">
        <v>1.4281E-2</v>
      </c>
      <c r="Z22" s="123">
        <v>1.387E-3</v>
      </c>
    </row>
    <row r="23" spans="1:26" ht="15" customHeight="1">
      <c r="A23" s="121">
        <v>313</v>
      </c>
      <c r="B23" s="121">
        <v>313</v>
      </c>
      <c r="C23" s="120" t="s">
        <v>2051</v>
      </c>
      <c r="D23" s="121"/>
      <c r="E23" s="120"/>
      <c r="F23" s="120" t="s">
        <v>2067</v>
      </c>
      <c r="G23" s="121">
        <v>60305448</v>
      </c>
      <c r="H23" s="120" t="s">
        <v>311</v>
      </c>
      <c r="I23" s="120" t="s">
        <v>1001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41091</v>
      </c>
      <c r="Q23" s="120" t="s">
        <v>1212</v>
      </c>
      <c r="R23" s="120" t="s">
        <v>886</v>
      </c>
      <c r="S23" s="120" t="s">
        <v>890</v>
      </c>
      <c r="T23" s="124">
        <v>45473</v>
      </c>
      <c r="U23" s="122">
        <v>3.7589999999999999</v>
      </c>
      <c r="V23" s="122">
        <v>2914.8545800000002</v>
      </c>
      <c r="W23" s="122">
        <v>10956.93838</v>
      </c>
      <c r="X23" s="123">
        <v>3.545E-3</v>
      </c>
      <c r="Y23" s="123">
        <v>1.892E-3</v>
      </c>
      <c r="Z23" s="123">
        <v>1.83E-4</v>
      </c>
    </row>
    <row r="24" spans="1:26" ht="15" customHeight="1">
      <c r="A24" s="121">
        <v>313</v>
      </c>
      <c r="B24" s="121">
        <v>313</v>
      </c>
      <c r="C24" s="120" t="s">
        <v>2068</v>
      </c>
      <c r="D24" s="121"/>
      <c r="E24" s="120"/>
      <c r="F24" s="120" t="s">
        <v>2069</v>
      </c>
      <c r="G24" s="121">
        <v>62008551</v>
      </c>
      <c r="H24" s="120" t="s">
        <v>311</v>
      </c>
      <c r="I24" s="120" t="s">
        <v>1001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45223</v>
      </c>
      <c r="Q24" s="120" t="s">
        <v>1212</v>
      </c>
      <c r="R24" s="120" t="s">
        <v>886</v>
      </c>
      <c r="S24" s="120" t="s">
        <v>890</v>
      </c>
      <c r="T24" s="124">
        <v>45473</v>
      </c>
      <c r="U24" s="122">
        <v>3.7589999999999999</v>
      </c>
      <c r="V24" s="122">
        <v>380.44490999999999</v>
      </c>
      <c r="W24" s="122">
        <v>1430.0924</v>
      </c>
      <c r="X24" s="123">
        <v>2.1999999999999999E-5</v>
      </c>
      <c r="Y24" s="123">
        <v>2.4699999999999999E-4</v>
      </c>
      <c r="Z24" s="123">
        <v>2.3E-5</v>
      </c>
    </row>
    <row r="25" spans="1:26" ht="15" customHeight="1">
      <c r="A25" s="121">
        <v>313</v>
      </c>
      <c r="B25" s="121">
        <v>313</v>
      </c>
      <c r="C25" s="120" t="s">
        <v>2033</v>
      </c>
      <c r="D25" s="121"/>
      <c r="E25" s="120"/>
      <c r="F25" s="120" t="s">
        <v>2070</v>
      </c>
      <c r="G25" s="121">
        <v>36749</v>
      </c>
      <c r="H25" s="120" t="s">
        <v>311</v>
      </c>
      <c r="I25" s="120" t="s">
        <v>1002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42005</v>
      </c>
      <c r="Q25" s="120" t="s">
        <v>1217</v>
      </c>
      <c r="R25" s="120" t="s">
        <v>886</v>
      </c>
      <c r="S25" s="120" t="s">
        <v>890</v>
      </c>
      <c r="T25" s="124">
        <v>45473</v>
      </c>
      <c r="U25" s="122">
        <v>1</v>
      </c>
      <c r="V25" s="122">
        <v>21790.809730000001</v>
      </c>
      <c r="W25" s="122">
        <v>21790.809730000001</v>
      </c>
      <c r="X25" s="123">
        <v>1.7432E-2</v>
      </c>
      <c r="Y25" s="123">
        <v>3.7629999999999999E-3</v>
      </c>
      <c r="Z25" s="123">
        <v>3.6499999999999998E-4</v>
      </c>
    </row>
    <row r="26" spans="1:26" ht="15" customHeight="1">
      <c r="A26" s="121">
        <v>313</v>
      </c>
      <c r="B26" s="121">
        <v>313</v>
      </c>
      <c r="C26" s="120" t="s">
        <v>2071</v>
      </c>
      <c r="D26" s="121"/>
      <c r="E26" s="120"/>
      <c r="F26" s="120" t="s">
        <v>2072</v>
      </c>
      <c r="G26" s="121">
        <v>9840689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40360</v>
      </c>
      <c r="Q26" s="120" t="s">
        <v>1212</v>
      </c>
      <c r="R26" s="120" t="s">
        <v>886</v>
      </c>
      <c r="S26" s="120" t="s">
        <v>890</v>
      </c>
      <c r="T26" s="124">
        <v>45473</v>
      </c>
      <c r="U26" s="122">
        <v>3.7589999999999999</v>
      </c>
      <c r="V26" s="122">
        <v>244.94873000000001</v>
      </c>
      <c r="W26" s="122">
        <v>920.76226999999994</v>
      </c>
      <c r="X26" s="123">
        <v>1.854E-3</v>
      </c>
      <c r="Y26" s="123">
        <v>1.5899999999999999E-4</v>
      </c>
      <c r="Z26" s="123">
        <v>1.5E-5</v>
      </c>
    </row>
    <row r="27" spans="1:26" ht="15" customHeight="1">
      <c r="A27" s="121">
        <v>313</v>
      </c>
      <c r="B27" s="121">
        <v>313</v>
      </c>
      <c r="C27" s="120" t="s">
        <v>2073</v>
      </c>
      <c r="D27" s="121"/>
      <c r="E27" s="120"/>
      <c r="F27" s="120" t="s">
        <v>2074</v>
      </c>
      <c r="G27" s="121">
        <v>60283058</v>
      </c>
      <c r="H27" s="120" t="s">
        <v>311</v>
      </c>
      <c r="I27" s="120" t="s">
        <v>1002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40756</v>
      </c>
      <c r="Q27" s="120" t="s">
        <v>1212</v>
      </c>
      <c r="R27" s="120" t="s">
        <v>886</v>
      </c>
      <c r="S27" s="120" t="s">
        <v>890</v>
      </c>
      <c r="T27" s="124">
        <v>45473</v>
      </c>
      <c r="U27" s="122">
        <v>3.7589999999999999</v>
      </c>
      <c r="V27" s="122">
        <v>408.77821</v>
      </c>
      <c r="W27" s="122">
        <v>1536.5973100000001</v>
      </c>
      <c r="X27" s="123">
        <v>2.0409999999999998E-3</v>
      </c>
      <c r="Y27" s="123">
        <v>2.6499999999999999E-4</v>
      </c>
      <c r="Z27" s="123">
        <v>2.5000000000000001E-5</v>
      </c>
    </row>
    <row r="28" spans="1:26" ht="15" customHeight="1">
      <c r="A28" s="121">
        <v>313</v>
      </c>
      <c r="B28" s="121">
        <v>313</v>
      </c>
      <c r="C28" s="120" t="s">
        <v>2059</v>
      </c>
      <c r="D28" s="121"/>
      <c r="E28" s="120"/>
      <c r="F28" s="120" t="s">
        <v>2075</v>
      </c>
      <c r="G28" s="121">
        <v>78984</v>
      </c>
      <c r="H28" s="120" t="s">
        <v>311</v>
      </c>
      <c r="I28" s="120" t="s">
        <v>1004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43734</v>
      </c>
      <c r="Q28" s="120" t="s">
        <v>1217</v>
      </c>
      <c r="R28" s="120" t="s">
        <v>886</v>
      </c>
      <c r="S28" s="120" t="s">
        <v>890</v>
      </c>
      <c r="T28" s="124">
        <v>45473</v>
      </c>
      <c r="U28" s="122">
        <v>1</v>
      </c>
      <c r="V28" s="122">
        <v>24349.468400000002</v>
      </c>
      <c r="W28" s="122">
        <v>24349.468400000002</v>
      </c>
      <c r="X28" s="123">
        <v>1.1159000000000001E-2</v>
      </c>
      <c r="Y28" s="123">
        <v>4.2050000000000004E-3</v>
      </c>
      <c r="Z28" s="123">
        <v>4.08E-4</v>
      </c>
    </row>
    <row r="29" spans="1:26" ht="15" customHeight="1">
      <c r="A29" s="121">
        <v>313</v>
      </c>
      <c r="B29" s="121">
        <v>313</v>
      </c>
      <c r="C29" s="120" t="s">
        <v>2076</v>
      </c>
      <c r="D29" s="121"/>
      <c r="E29" s="120"/>
      <c r="F29" s="120" t="s">
        <v>2077</v>
      </c>
      <c r="G29" s="121">
        <v>60346087</v>
      </c>
      <c r="H29" s="120" t="s">
        <v>311</v>
      </c>
      <c r="I29" s="120" t="s">
        <v>1001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41609</v>
      </c>
      <c r="Q29" s="120" t="s">
        <v>1212</v>
      </c>
      <c r="R29" s="120" t="s">
        <v>886</v>
      </c>
      <c r="S29" s="120" t="s">
        <v>890</v>
      </c>
      <c r="T29" s="124">
        <v>45473</v>
      </c>
      <c r="U29" s="122">
        <v>3.7589999999999999</v>
      </c>
      <c r="V29" s="122">
        <v>10404.138849999999</v>
      </c>
      <c r="W29" s="122">
        <v>39109.157950000001</v>
      </c>
      <c r="X29" s="123">
        <v>3.8308000000000002E-2</v>
      </c>
      <c r="Y29" s="123">
        <v>6.7549999999999997E-3</v>
      </c>
      <c r="Z29" s="123">
        <v>6.5600000000000001E-4</v>
      </c>
    </row>
    <row r="30" spans="1:26" ht="15" customHeight="1">
      <c r="A30" s="121">
        <v>313</v>
      </c>
      <c r="B30" s="121">
        <v>313</v>
      </c>
      <c r="C30" s="120" t="s">
        <v>2038</v>
      </c>
      <c r="D30" s="121"/>
      <c r="E30" s="120"/>
      <c r="F30" s="120" t="s">
        <v>2078</v>
      </c>
      <c r="G30" s="121">
        <v>6387</v>
      </c>
      <c r="H30" s="120" t="s">
        <v>311</v>
      </c>
      <c r="I30" s="120" t="s">
        <v>1002</v>
      </c>
      <c r="J30" s="120"/>
      <c r="K30" s="120" t="s">
        <v>203</v>
      </c>
      <c r="L30" s="120"/>
      <c r="M30" s="120"/>
      <c r="N30" s="120" t="s">
        <v>203</v>
      </c>
      <c r="O30" s="120" t="s">
        <v>337</v>
      </c>
      <c r="P30" s="124">
        <v>41449</v>
      </c>
      <c r="Q30" s="120" t="s">
        <v>1217</v>
      </c>
      <c r="R30" s="120" t="s">
        <v>886</v>
      </c>
      <c r="S30" s="120" t="s">
        <v>890</v>
      </c>
      <c r="T30" s="124">
        <v>45473</v>
      </c>
      <c r="U30" s="122">
        <v>1</v>
      </c>
      <c r="V30" s="122">
        <v>38546.293749999997</v>
      </c>
      <c r="W30" s="122">
        <v>38546.293749999997</v>
      </c>
      <c r="X30" s="123">
        <v>2.81E-4</v>
      </c>
      <c r="Y30" s="123">
        <v>6.6579999999999999E-3</v>
      </c>
      <c r="Z30" s="123">
        <v>6.4599999999999998E-4</v>
      </c>
    </row>
    <row r="31" spans="1:26" ht="15" customHeight="1">
      <c r="A31" s="121">
        <v>313</v>
      </c>
      <c r="B31" s="121">
        <v>313</v>
      </c>
      <c r="C31" s="120" t="s">
        <v>2079</v>
      </c>
      <c r="D31" s="121"/>
      <c r="E31" s="120"/>
      <c r="F31" s="120" t="s">
        <v>2080</v>
      </c>
      <c r="G31" s="121">
        <v>78995</v>
      </c>
      <c r="H31" s="120" t="s">
        <v>311</v>
      </c>
      <c r="I31" s="120" t="s">
        <v>1005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44803</v>
      </c>
      <c r="Q31" s="120" t="s">
        <v>1217</v>
      </c>
      <c r="R31" s="120" t="s">
        <v>886</v>
      </c>
      <c r="S31" s="120" t="s">
        <v>890</v>
      </c>
      <c r="T31" s="124">
        <v>45473</v>
      </c>
      <c r="U31" s="122">
        <v>1</v>
      </c>
      <c r="V31" s="122">
        <v>5507.8703599999999</v>
      </c>
      <c r="W31" s="122">
        <v>5507.8703599999999</v>
      </c>
      <c r="X31" s="123">
        <v>1.2289E-2</v>
      </c>
      <c r="Y31" s="123">
        <v>9.5100000000000002E-4</v>
      </c>
      <c r="Z31" s="123">
        <v>9.2E-5</v>
      </c>
    </row>
    <row r="32" spans="1:26" ht="15" customHeight="1">
      <c r="A32" s="121">
        <v>313</v>
      </c>
      <c r="B32" s="121">
        <v>313</v>
      </c>
      <c r="C32" s="120" t="s">
        <v>2081</v>
      </c>
      <c r="D32" s="121"/>
      <c r="E32" s="120"/>
      <c r="F32" s="120" t="s">
        <v>2082</v>
      </c>
      <c r="G32" s="121">
        <v>62021701</v>
      </c>
      <c r="H32" s="120" t="s">
        <v>311</v>
      </c>
      <c r="I32" s="120" t="s">
        <v>1004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45462</v>
      </c>
      <c r="Q32" s="120" t="s">
        <v>1217</v>
      </c>
      <c r="R32" s="120" t="s">
        <v>886</v>
      </c>
      <c r="S32" s="120" t="s">
        <v>890</v>
      </c>
      <c r="T32" s="124">
        <v>45473</v>
      </c>
      <c r="U32" s="122">
        <v>1</v>
      </c>
      <c r="V32" s="122">
        <v>3890.8719999999998</v>
      </c>
      <c r="W32" s="122">
        <v>3890.8719999999998</v>
      </c>
      <c r="X32" s="123">
        <v>4.052E-3</v>
      </c>
      <c r="Y32" s="123">
        <v>6.7199999999999996E-4</v>
      </c>
      <c r="Z32" s="123">
        <v>6.4999999999999994E-5</v>
      </c>
    </row>
    <row r="33" spans="1:26" ht="15" customHeight="1">
      <c r="A33" s="121">
        <v>313</v>
      </c>
      <c r="B33" s="121">
        <v>313</v>
      </c>
      <c r="C33" s="120" t="s">
        <v>2083</v>
      </c>
      <c r="D33" s="121"/>
      <c r="E33" s="120"/>
      <c r="F33" s="120" t="s">
        <v>2083</v>
      </c>
      <c r="G33" s="121">
        <v>53020</v>
      </c>
      <c r="H33" s="120" t="s">
        <v>311</v>
      </c>
      <c r="I33" s="120" t="s">
        <v>1004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44574</v>
      </c>
      <c r="Q33" s="120" t="s">
        <v>1217</v>
      </c>
      <c r="R33" s="120" t="s">
        <v>886</v>
      </c>
      <c r="S33" s="120" t="s">
        <v>890</v>
      </c>
      <c r="T33" s="124">
        <v>45473</v>
      </c>
      <c r="U33" s="122">
        <v>1</v>
      </c>
      <c r="V33" s="122">
        <v>27139.233189999999</v>
      </c>
      <c r="W33" s="122">
        <v>27139.233189999999</v>
      </c>
      <c r="X33" s="123">
        <v>4.6790999999999999E-2</v>
      </c>
      <c r="Y33" s="123">
        <v>4.6870000000000002E-3</v>
      </c>
      <c r="Z33" s="123">
        <v>4.55E-4</v>
      </c>
    </row>
    <row r="34" spans="1:26" ht="15" customHeight="1">
      <c r="A34" s="121">
        <v>313</v>
      </c>
      <c r="B34" s="121">
        <v>313</v>
      </c>
      <c r="C34" s="120" t="s">
        <v>2084</v>
      </c>
      <c r="D34" s="121"/>
      <c r="E34" s="120"/>
      <c r="F34" s="120" t="s">
        <v>2085</v>
      </c>
      <c r="G34" s="121">
        <v>62018045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223</v>
      </c>
      <c r="O34" s="120" t="s">
        <v>338</v>
      </c>
      <c r="P34" s="124">
        <v>45229</v>
      </c>
      <c r="Q34" s="120" t="s">
        <v>1212</v>
      </c>
      <c r="R34" s="120" t="s">
        <v>886</v>
      </c>
      <c r="S34" s="120" t="s">
        <v>890</v>
      </c>
      <c r="T34" s="124">
        <v>45473</v>
      </c>
      <c r="U34" s="122">
        <v>3.7589999999999999</v>
      </c>
      <c r="V34" s="122">
        <v>625.76243999999997</v>
      </c>
      <c r="W34" s="122">
        <v>2352.2410100000002</v>
      </c>
      <c r="X34" s="123">
        <v>7.9999999999999996E-6</v>
      </c>
      <c r="Y34" s="123">
        <v>4.06E-4</v>
      </c>
      <c r="Z34" s="123">
        <v>3.8999999999999999E-5</v>
      </c>
    </row>
    <row r="35" spans="1:26" ht="15" customHeight="1">
      <c r="A35" s="121">
        <v>313</v>
      </c>
      <c r="B35" s="121">
        <v>313</v>
      </c>
      <c r="C35" s="120" t="s">
        <v>2086</v>
      </c>
      <c r="D35" s="121"/>
      <c r="E35" s="120"/>
      <c r="F35" s="120" t="s">
        <v>2087</v>
      </c>
      <c r="G35" s="121">
        <v>62008354</v>
      </c>
      <c r="H35" s="120" t="s">
        <v>311</v>
      </c>
      <c r="I35" s="120" t="s">
        <v>1006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43251</v>
      </c>
      <c r="Q35" s="120" t="s">
        <v>1212</v>
      </c>
      <c r="R35" s="120" t="s">
        <v>886</v>
      </c>
      <c r="S35" s="120" t="s">
        <v>890</v>
      </c>
      <c r="T35" s="124">
        <v>45473</v>
      </c>
      <c r="U35" s="122">
        <v>3.7589999999999999</v>
      </c>
      <c r="V35" s="122">
        <v>5002.1708600000002</v>
      </c>
      <c r="W35" s="122">
        <v>18803.16028</v>
      </c>
      <c r="X35" s="123">
        <v>1.6673E-2</v>
      </c>
      <c r="Y35" s="123">
        <v>3.2469999999999999E-3</v>
      </c>
      <c r="Z35" s="123">
        <v>3.1500000000000001E-4</v>
      </c>
    </row>
    <row r="36" spans="1:26" ht="15" customHeight="1">
      <c r="A36" s="121">
        <v>313</v>
      </c>
      <c r="B36" s="121">
        <v>313</v>
      </c>
      <c r="C36" s="120" t="s">
        <v>2088</v>
      </c>
      <c r="D36" s="121"/>
      <c r="E36" s="120"/>
      <c r="F36" s="120" t="s">
        <v>2089</v>
      </c>
      <c r="G36" s="121">
        <v>62008450</v>
      </c>
      <c r="H36" s="120" t="s">
        <v>311</v>
      </c>
      <c r="I36" s="120" t="s">
        <v>1001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45223</v>
      </c>
      <c r="Q36" s="120" t="s">
        <v>1217</v>
      </c>
      <c r="R36" s="120" t="s">
        <v>886</v>
      </c>
      <c r="S36" s="120" t="s">
        <v>890</v>
      </c>
      <c r="T36" s="124">
        <v>45473</v>
      </c>
      <c r="U36" s="122">
        <v>1</v>
      </c>
      <c r="V36" s="122">
        <v>3411.0657099999999</v>
      </c>
      <c r="W36" s="122">
        <v>3411.0657099999999</v>
      </c>
      <c r="X36" s="123">
        <v>0.113702</v>
      </c>
      <c r="Y36" s="123">
        <v>5.8900000000000001E-4</v>
      </c>
      <c r="Z36" s="123">
        <v>5.7000000000000003E-5</v>
      </c>
    </row>
    <row r="37" spans="1:26" ht="15" customHeight="1">
      <c r="A37" s="121">
        <v>313</v>
      </c>
      <c r="B37" s="121">
        <v>313</v>
      </c>
      <c r="C37" s="120" t="s">
        <v>2038</v>
      </c>
      <c r="D37" s="121"/>
      <c r="E37" s="120"/>
      <c r="F37" s="120" t="s">
        <v>2090</v>
      </c>
      <c r="G37" s="121">
        <v>9840949</v>
      </c>
      <c r="H37" s="120" t="s">
        <v>311</v>
      </c>
      <c r="I37" s="120" t="s">
        <v>1002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38961</v>
      </c>
      <c r="Q37" s="120" t="s">
        <v>1212</v>
      </c>
      <c r="R37" s="120" t="s">
        <v>886</v>
      </c>
      <c r="S37" s="120" t="s">
        <v>890</v>
      </c>
      <c r="T37" s="124">
        <v>45473</v>
      </c>
      <c r="U37" s="122">
        <v>3.7589999999999999</v>
      </c>
      <c r="V37" s="122">
        <v>4.6999999999999999E-4</v>
      </c>
      <c r="W37" s="122">
        <v>1.7600000000000001E-3</v>
      </c>
      <c r="X37" s="123">
        <v>0</v>
      </c>
      <c r="Y37" s="123">
        <v>0</v>
      </c>
      <c r="Z37" s="123">
        <v>0</v>
      </c>
    </row>
    <row r="38" spans="1:26" ht="15" customHeight="1">
      <c r="A38" s="121">
        <v>313</v>
      </c>
      <c r="B38" s="121">
        <v>313</v>
      </c>
      <c r="C38" s="120" t="s">
        <v>2091</v>
      </c>
      <c r="D38" s="121"/>
      <c r="E38" s="120"/>
      <c r="F38" s="120" t="s">
        <v>2092</v>
      </c>
      <c r="G38" s="121">
        <v>62011336</v>
      </c>
      <c r="H38" s="120" t="s">
        <v>311</v>
      </c>
      <c r="I38" s="120" t="s">
        <v>1006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44317</v>
      </c>
      <c r="Q38" s="120" t="s">
        <v>1212</v>
      </c>
      <c r="R38" s="120" t="s">
        <v>886</v>
      </c>
      <c r="S38" s="120" t="s">
        <v>890</v>
      </c>
      <c r="T38" s="124">
        <v>45473</v>
      </c>
      <c r="U38" s="122">
        <v>3.7589999999999999</v>
      </c>
      <c r="V38" s="122">
        <v>8850.1210599999995</v>
      </c>
      <c r="W38" s="122">
        <v>33267.605049999998</v>
      </c>
      <c r="X38" s="123">
        <v>2.1930999999999999E-2</v>
      </c>
      <c r="Y38" s="123">
        <v>5.7460000000000002E-3</v>
      </c>
      <c r="Z38" s="123">
        <v>5.5800000000000001E-4</v>
      </c>
    </row>
    <row r="39" spans="1:26" ht="15" customHeight="1">
      <c r="A39" s="121">
        <v>313</v>
      </c>
      <c r="B39" s="121">
        <v>313</v>
      </c>
      <c r="C39" s="120" t="s">
        <v>2093</v>
      </c>
      <c r="D39" s="121"/>
      <c r="E39" s="120"/>
      <c r="F39" s="120" t="s">
        <v>2094</v>
      </c>
      <c r="G39" s="121">
        <v>50007970</v>
      </c>
      <c r="H39" s="120" t="s">
        <v>311</v>
      </c>
      <c r="I39" s="120" t="s">
        <v>1004</v>
      </c>
      <c r="J39" s="120"/>
      <c r="K39" s="120" t="s">
        <v>203</v>
      </c>
      <c r="L39" s="120"/>
      <c r="M39" s="120"/>
      <c r="N39" s="120" t="s">
        <v>295</v>
      </c>
      <c r="O39" s="120" t="s">
        <v>338</v>
      </c>
      <c r="P39" s="124">
        <v>45061</v>
      </c>
      <c r="Q39" s="120" t="s">
        <v>1217</v>
      </c>
      <c r="R39" s="120" t="s">
        <v>886</v>
      </c>
      <c r="S39" s="120" t="s">
        <v>890</v>
      </c>
      <c r="T39" s="124">
        <v>45473</v>
      </c>
      <c r="U39" s="122">
        <v>1</v>
      </c>
      <c r="V39" s="122">
        <v>17013.150000000001</v>
      </c>
      <c r="W39" s="122">
        <v>17013.150000000001</v>
      </c>
      <c r="X39" s="123">
        <v>6.5430000000000002E-3</v>
      </c>
      <c r="Y39" s="123">
        <v>2.9380000000000001E-3</v>
      </c>
      <c r="Z39" s="123">
        <v>2.8499999999999999E-4</v>
      </c>
    </row>
    <row r="40" spans="1:26" ht="15" customHeight="1">
      <c r="A40" s="121">
        <v>313</v>
      </c>
      <c r="B40" s="121">
        <v>313</v>
      </c>
      <c r="C40" s="120" t="s">
        <v>2051</v>
      </c>
      <c r="D40" s="121"/>
      <c r="E40" s="120"/>
      <c r="F40" s="120" t="s">
        <v>2095</v>
      </c>
      <c r="G40" s="121">
        <v>60400892</v>
      </c>
      <c r="H40" s="120" t="s">
        <v>311</v>
      </c>
      <c r="I40" s="120" t="s">
        <v>1001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42339</v>
      </c>
      <c r="Q40" s="120" t="s">
        <v>1212</v>
      </c>
      <c r="R40" s="120" t="s">
        <v>886</v>
      </c>
      <c r="S40" s="120" t="s">
        <v>890</v>
      </c>
      <c r="T40" s="124">
        <v>45473</v>
      </c>
      <c r="U40" s="122">
        <v>3.7589999999999999</v>
      </c>
      <c r="V40" s="122">
        <v>12440.9539</v>
      </c>
      <c r="W40" s="122">
        <v>46765.545689999999</v>
      </c>
      <c r="X40" s="123">
        <v>1.1309E-2</v>
      </c>
      <c r="Y40" s="123">
        <v>8.0770000000000008E-3</v>
      </c>
      <c r="Z40" s="123">
        <v>7.8399999999999997E-4</v>
      </c>
    </row>
    <row r="41" spans="1:26" ht="15" customHeight="1">
      <c r="A41" s="121">
        <v>313</v>
      </c>
      <c r="B41" s="121">
        <v>313</v>
      </c>
      <c r="C41" s="120" t="s">
        <v>2035</v>
      </c>
      <c r="D41" s="121"/>
      <c r="E41" s="120"/>
      <c r="F41" s="120" t="s">
        <v>2096</v>
      </c>
      <c r="G41" s="121">
        <v>62017780</v>
      </c>
      <c r="H41" s="120" t="s">
        <v>311</v>
      </c>
      <c r="I41" s="120" t="s">
        <v>1006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44824</v>
      </c>
      <c r="Q41" s="120" t="s">
        <v>1212</v>
      </c>
      <c r="R41" s="120" t="s">
        <v>886</v>
      </c>
      <c r="S41" s="120" t="s">
        <v>890</v>
      </c>
      <c r="T41" s="124">
        <v>45473</v>
      </c>
      <c r="U41" s="122">
        <v>3.7589999999999999</v>
      </c>
      <c r="V41" s="122">
        <v>595.07757000000004</v>
      </c>
      <c r="W41" s="122">
        <v>2236.8965899999998</v>
      </c>
      <c r="X41" s="123">
        <v>5.9500000000000004E-3</v>
      </c>
      <c r="Y41" s="123">
        <v>3.86E-4</v>
      </c>
      <c r="Z41" s="123">
        <v>3.6999999999999998E-5</v>
      </c>
    </row>
    <row r="42" spans="1:26" ht="15" customHeight="1">
      <c r="A42" s="121">
        <v>313</v>
      </c>
      <c r="B42" s="121">
        <v>313</v>
      </c>
      <c r="C42" s="120" t="s">
        <v>2035</v>
      </c>
      <c r="D42" s="121"/>
      <c r="E42" s="120"/>
      <c r="F42" s="120" t="s">
        <v>2097</v>
      </c>
      <c r="G42" s="121">
        <v>62010060</v>
      </c>
      <c r="H42" s="120" t="s">
        <v>311</v>
      </c>
      <c r="I42" s="120" t="s">
        <v>1006</v>
      </c>
      <c r="J42" s="120"/>
      <c r="K42" s="120" t="s">
        <v>203</v>
      </c>
      <c r="L42" s="120"/>
      <c r="M42" s="120"/>
      <c r="N42" s="120" t="s">
        <v>223</v>
      </c>
      <c r="O42" s="120" t="s">
        <v>338</v>
      </c>
      <c r="P42" s="124">
        <v>44348</v>
      </c>
      <c r="Q42" s="120" t="s">
        <v>1212</v>
      </c>
      <c r="R42" s="120" t="s">
        <v>886</v>
      </c>
      <c r="S42" s="120" t="s">
        <v>890</v>
      </c>
      <c r="T42" s="124">
        <v>45473</v>
      </c>
      <c r="U42" s="122">
        <v>3.7589999999999999</v>
      </c>
      <c r="V42" s="122">
        <v>1546.2379599999999</v>
      </c>
      <c r="W42" s="122">
        <v>5812.3084900000003</v>
      </c>
      <c r="X42" s="123">
        <v>2.3098E-2</v>
      </c>
      <c r="Y42" s="123">
        <v>1.003E-3</v>
      </c>
      <c r="Z42" s="123">
        <v>9.7E-5</v>
      </c>
    </row>
    <row r="43" spans="1:26" ht="15" customHeight="1">
      <c r="A43" s="121">
        <v>313</v>
      </c>
      <c r="B43" s="121">
        <v>313</v>
      </c>
      <c r="C43" s="120" t="s">
        <v>2098</v>
      </c>
      <c r="D43" s="121"/>
      <c r="E43" s="120"/>
      <c r="F43" s="120" t="s">
        <v>2099</v>
      </c>
      <c r="G43" s="121">
        <v>79005</v>
      </c>
      <c r="H43" s="120" t="s">
        <v>311</v>
      </c>
      <c r="I43" s="120" t="s">
        <v>1005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45069</v>
      </c>
      <c r="Q43" s="120" t="s">
        <v>1217</v>
      </c>
      <c r="R43" s="120" t="s">
        <v>886</v>
      </c>
      <c r="S43" s="120" t="s">
        <v>890</v>
      </c>
      <c r="T43" s="124">
        <v>45473</v>
      </c>
      <c r="U43" s="122">
        <v>1</v>
      </c>
      <c r="V43" s="122">
        <v>3.0000000000000001E-5</v>
      </c>
      <c r="W43" s="122">
        <v>3.0000000000000001E-5</v>
      </c>
      <c r="X43" s="123">
        <v>0</v>
      </c>
      <c r="Y43" s="123">
        <v>0</v>
      </c>
      <c r="Z43" s="123">
        <v>0</v>
      </c>
    </row>
    <row r="44" spans="1:26" ht="15" customHeight="1">
      <c r="A44" s="121">
        <v>313</v>
      </c>
      <c r="B44" s="121">
        <v>313</v>
      </c>
      <c r="C44" s="120" t="s">
        <v>2100</v>
      </c>
      <c r="D44" s="121"/>
      <c r="E44" s="120"/>
      <c r="F44" s="120" t="s">
        <v>2101</v>
      </c>
      <c r="G44" s="121">
        <v>18995</v>
      </c>
      <c r="H44" s="120" t="s">
        <v>311</v>
      </c>
      <c r="I44" s="120" t="s">
        <v>1004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44256</v>
      </c>
      <c r="Q44" s="120" t="s">
        <v>1217</v>
      </c>
      <c r="R44" s="120" t="s">
        <v>886</v>
      </c>
      <c r="S44" s="120" t="s">
        <v>890</v>
      </c>
      <c r="T44" s="124">
        <v>45473</v>
      </c>
      <c r="U44" s="122">
        <v>1</v>
      </c>
      <c r="V44" s="122">
        <v>22187.554789999998</v>
      </c>
      <c r="W44" s="122">
        <v>22187.554789999998</v>
      </c>
      <c r="X44" s="123">
        <v>1.4791E-2</v>
      </c>
      <c r="Y44" s="123">
        <v>3.8319999999999999E-3</v>
      </c>
      <c r="Z44" s="123">
        <v>3.7199999999999999E-4</v>
      </c>
    </row>
    <row r="45" spans="1:26" ht="15" customHeight="1">
      <c r="A45" s="121">
        <v>313</v>
      </c>
      <c r="B45" s="121">
        <v>313</v>
      </c>
      <c r="C45" s="120" t="s">
        <v>2102</v>
      </c>
      <c r="D45" s="121"/>
      <c r="E45" s="120"/>
      <c r="F45" s="120" t="s">
        <v>2103</v>
      </c>
      <c r="G45" s="121">
        <v>60337284</v>
      </c>
      <c r="H45" s="120" t="s">
        <v>311</v>
      </c>
      <c r="I45" s="120" t="s">
        <v>1006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41456</v>
      </c>
      <c r="Q45" s="120" t="s">
        <v>1212</v>
      </c>
      <c r="R45" s="120" t="s">
        <v>886</v>
      </c>
      <c r="S45" s="120" t="s">
        <v>890</v>
      </c>
      <c r="T45" s="124">
        <v>45473</v>
      </c>
      <c r="U45" s="122">
        <v>3.7589999999999999</v>
      </c>
      <c r="V45" s="122">
        <v>3213.7178899999999</v>
      </c>
      <c r="W45" s="122">
        <v>12080.365540000001</v>
      </c>
      <c r="X45" s="123">
        <v>1.6531000000000001E-2</v>
      </c>
      <c r="Y45" s="123">
        <v>2.0860000000000002E-3</v>
      </c>
      <c r="Z45" s="123">
        <v>2.02E-4</v>
      </c>
    </row>
    <row r="46" spans="1:26" ht="15" customHeight="1">
      <c r="A46" s="121">
        <v>313</v>
      </c>
      <c r="B46" s="121">
        <v>313</v>
      </c>
      <c r="C46" s="120" t="s">
        <v>2051</v>
      </c>
      <c r="D46" s="121"/>
      <c r="E46" s="120"/>
      <c r="F46" s="120" t="s">
        <v>2104</v>
      </c>
      <c r="G46" s="121">
        <v>9840908</v>
      </c>
      <c r="H46" s="120" t="s">
        <v>311</v>
      </c>
      <c r="I46" s="120" t="s">
        <v>1001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39385</v>
      </c>
      <c r="Q46" s="120" t="s">
        <v>1212</v>
      </c>
      <c r="R46" s="120" t="s">
        <v>886</v>
      </c>
      <c r="S46" s="120" t="s">
        <v>890</v>
      </c>
      <c r="T46" s="124">
        <v>45473</v>
      </c>
      <c r="U46" s="122">
        <v>3.7589999999999999</v>
      </c>
      <c r="V46" s="122">
        <v>165.16833</v>
      </c>
      <c r="W46" s="122">
        <v>620.86776999999995</v>
      </c>
      <c r="X46" s="123">
        <v>3.2400000000000001E-4</v>
      </c>
      <c r="Y46" s="123">
        <v>1.07E-4</v>
      </c>
      <c r="Z46" s="123">
        <v>1.0000000000000001E-5</v>
      </c>
    </row>
    <row r="47" spans="1:26" ht="15" customHeight="1">
      <c r="A47" s="121">
        <v>313</v>
      </c>
      <c r="B47" s="121">
        <v>313</v>
      </c>
      <c r="C47" s="120" t="s">
        <v>2105</v>
      </c>
      <c r="D47" s="121"/>
      <c r="E47" s="120"/>
      <c r="F47" s="120" t="s">
        <v>2106</v>
      </c>
      <c r="G47" s="121">
        <v>9840693</v>
      </c>
      <c r="H47" s="120" t="s">
        <v>311</v>
      </c>
      <c r="I47" s="120" t="s">
        <v>1005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39448</v>
      </c>
      <c r="Q47" s="120" t="s">
        <v>1212</v>
      </c>
      <c r="R47" s="120" t="s">
        <v>886</v>
      </c>
      <c r="S47" s="120" t="s">
        <v>890</v>
      </c>
      <c r="T47" s="124">
        <v>45473</v>
      </c>
      <c r="U47" s="122">
        <v>3.7589999999999999</v>
      </c>
      <c r="V47" s="122">
        <v>88.911000000000001</v>
      </c>
      <c r="W47" s="122">
        <v>334.21645000000001</v>
      </c>
      <c r="X47" s="123">
        <v>9.8700000000000003E-4</v>
      </c>
      <c r="Y47" s="123">
        <v>5.7000000000000003E-5</v>
      </c>
      <c r="Z47" s="123">
        <v>5.0000000000000004E-6</v>
      </c>
    </row>
    <row r="48" spans="1:26" ht="15" customHeight="1">
      <c r="A48" s="121">
        <v>313</v>
      </c>
      <c r="B48" s="121">
        <v>313</v>
      </c>
      <c r="C48" s="120" t="s">
        <v>2107</v>
      </c>
      <c r="D48" s="121"/>
      <c r="E48" s="120"/>
      <c r="F48" s="120" t="s">
        <v>2108</v>
      </c>
      <c r="G48" s="121">
        <v>18994</v>
      </c>
      <c r="H48" s="120" t="s">
        <v>311</v>
      </c>
      <c r="I48" s="120" t="s">
        <v>1004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42948</v>
      </c>
      <c r="Q48" s="120" t="s">
        <v>1217</v>
      </c>
      <c r="R48" s="120" t="s">
        <v>886</v>
      </c>
      <c r="S48" s="120" t="s">
        <v>890</v>
      </c>
      <c r="T48" s="124">
        <v>45473</v>
      </c>
      <c r="U48" s="122">
        <v>1</v>
      </c>
      <c r="V48" s="122">
        <v>13344.00323</v>
      </c>
      <c r="W48" s="122">
        <v>13344.00323</v>
      </c>
      <c r="X48" s="123">
        <v>1.3018E-2</v>
      </c>
      <c r="Y48" s="123">
        <v>2.3040000000000001E-3</v>
      </c>
      <c r="Z48" s="123">
        <v>2.23E-4</v>
      </c>
    </row>
    <row r="49" spans="1:26" ht="15" customHeight="1">
      <c r="A49" s="121">
        <v>313</v>
      </c>
      <c r="B49" s="121">
        <v>313</v>
      </c>
      <c r="C49" s="120" t="s">
        <v>2109</v>
      </c>
      <c r="D49" s="121"/>
      <c r="E49" s="120"/>
      <c r="F49" s="120" t="s">
        <v>2110</v>
      </c>
      <c r="G49" s="121">
        <v>51080</v>
      </c>
      <c r="H49" s="120" t="s">
        <v>311</v>
      </c>
      <c r="I49" s="120" t="s">
        <v>1002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44116</v>
      </c>
      <c r="Q49" s="120" t="s">
        <v>1217</v>
      </c>
      <c r="R49" s="120" t="s">
        <v>886</v>
      </c>
      <c r="S49" s="120" t="s">
        <v>890</v>
      </c>
      <c r="T49" s="124">
        <v>45473</v>
      </c>
      <c r="U49" s="122">
        <v>1</v>
      </c>
      <c r="V49" s="122">
        <v>19373.98488</v>
      </c>
      <c r="W49" s="122">
        <v>19373.98488</v>
      </c>
      <c r="X49" s="123">
        <v>7.7187000000000006E-2</v>
      </c>
      <c r="Y49" s="123">
        <v>3.346E-3</v>
      </c>
      <c r="Z49" s="123">
        <v>3.2499999999999999E-4</v>
      </c>
    </row>
    <row r="50" spans="1:26" ht="15" customHeight="1">
      <c r="A50" s="121">
        <v>313</v>
      </c>
      <c r="B50" s="121">
        <v>313</v>
      </c>
      <c r="C50" s="120" t="s">
        <v>2055</v>
      </c>
      <c r="D50" s="121"/>
      <c r="E50" s="120"/>
      <c r="F50" s="120" t="s">
        <v>2111</v>
      </c>
      <c r="G50" s="121">
        <v>60289790</v>
      </c>
      <c r="H50" s="120" t="s">
        <v>311</v>
      </c>
      <c r="I50" s="120" t="s">
        <v>1001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40878</v>
      </c>
      <c r="Q50" s="120" t="s">
        <v>1212</v>
      </c>
      <c r="R50" s="120" t="s">
        <v>886</v>
      </c>
      <c r="S50" s="120" t="s">
        <v>890</v>
      </c>
      <c r="T50" s="124">
        <v>45473</v>
      </c>
      <c r="U50" s="122">
        <v>3.7589999999999999</v>
      </c>
      <c r="V50" s="122">
        <v>2103.8372599999998</v>
      </c>
      <c r="W50" s="122">
        <v>7908.3242399999999</v>
      </c>
      <c r="X50" s="123">
        <v>7.9389999999999999E-3</v>
      </c>
      <c r="Y50" s="123">
        <v>1.366E-3</v>
      </c>
      <c r="Z50" s="123">
        <v>1.3200000000000001E-4</v>
      </c>
    </row>
    <row r="51" spans="1:26" ht="15" customHeight="1">
      <c r="A51" s="121">
        <v>313</v>
      </c>
      <c r="B51" s="121">
        <v>313</v>
      </c>
      <c r="C51" s="120" t="s">
        <v>2112</v>
      </c>
      <c r="D51" s="121"/>
      <c r="E51" s="120"/>
      <c r="F51" s="120" t="s">
        <v>2113</v>
      </c>
      <c r="G51" s="121">
        <v>9840803</v>
      </c>
      <c r="H51" s="120" t="s">
        <v>311</v>
      </c>
      <c r="I51" s="120" t="s">
        <v>1006</v>
      </c>
      <c r="J51" s="120"/>
      <c r="K51" s="120" t="s">
        <v>203</v>
      </c>
      <c r="L51" s="120"/>
      <c r="M51" s="120"/>
      <c r="N51" s="120" t="s">
        <v>203</v>
      </c>
      <c r="O51" s="120" t="s">
        <v>338</v>
      </c>
      <c r="P51" s="124">
        <v>39539</v>
      </c>
      <c r="Q51" s="120" t="s">
        <v>1212</v>
      </c>
      <c r="R51" s="120" t="s">
        <v>886</v>
      </c>
      <c r="S51" s="120" t="s">
        <v>890</v>
      </c>
      <c r="T51" s="124">
        <v>45473</v>
      </c>
      <c r="U51" s="122">
        <v>3.7589999999999999</v>
      </c>
      <c r="V51" s="122">
        <v>482.49299999999999</v>
      </c>
      <c r="W51" s="122">
        <v>1813.69119</v>
      </c>
      <c r="X51" s="123">
        <v>2.689E-3</v>
      </c>
      <c r="Y51" s="123">
        <v>3.1300000000000002E-4</v>
      </c>
      <c r="Z51" s="123">
        <v>3.0000000000000001E-5</v>
      </c>
    </row>
    <row r="52" spans="1:26" ht="15" customHeight="1">
      <c r="A52" s="121">
        <v>313</v>
      </c>
      <c r="B52" s="121">
        <v>313</v>
      </c>
      <c r="C52" s="120" t="s">
        <v>2033</v>
      </c>
      <c r="D52" s="121"/>
      <c r="E52" s="120"/>
      <c r="F52" s="120" t="s">
        <v>2114</v>
      </c>
      <c r="G52" s="121">
        <v>39115</v>
      </c>
      <c r="H52" s="120" t="s">
        <v>311</v>
      </c>
      <c r="I52" s="120" t="s">
        <v>1002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41153</v>
      </c>
      <c r="Q52" s="120" t="s">
        <v>1217</v>
      </c>
      <c r="R52" s="120" t="s">
        <v>886</v>
      </c>
      <c r="S52" s="120" t="s">
        <v>890</v>
      </c>
      <c r="T52" s="124">
        <v>45473</v>
      </c>
      <c r="U52" s="122">
        <v>1</v>
      </c>
      <c r="V52" s="122">
        <v>94.748130000000003</v>
      </c>
      <c r="W52" s="122">
        <v>94.748130000000003</v>
      </c>
      <c r="X52" s="123">
        <v>1.11E-4</v>
      </c>
      <c r="Y52" s="123">
        <v>1.5999999999999999E-5</v>
      </c>
      <c r="Z52" s="123">
        <v>9.9999999999999995E-7</v>
      </c>
    </row>
    <row r="53" spans="1:26" ht="15" customHeight="1">
      <c r="A53" s="121">
        <v>313</v>
      </c>
      <c r="B53" s="121">
        <v>313</v>
      </c>
      <c r="C53" s="120" t="s">
        <v>2033</v>
      </c>
      <c r="D53" s="121"/>
      <c r="E53" s="120"/>
      <c r="F53" s="120" t="s">
        <v>2115</v>
      </c>
      <c r="G53" s="121">
        <v>38043</v>
      </c>
      <c r="H53" s="120" t="s">
        <v>311</v>
      </c>
      <c r="I53" s="120" t="s">
        <v>1002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44317</v>
      </c>
      <c r="Q53" s="120" t="s">
        <v>1217</v>
      </c>
      <c r="R53" s="120" t="s">
        <v>886</v>
      </c>
      <c r="S53" s="120" t="s">
        <v>890</v>
      </c>
      <c r="T53" s="124">
        <v>45473</v>
      </c>
      <c r="U53" s="122">
        <v>1</v>
      </c>
      <c r="V53" s="122">
        <v>42046.613810000003</v>
      </c>
      <c r="W53" s="122">
        <v>42046.613810000003</v>
      </c>
      <c r="X53" s="123">
        <v>1.9112000000000001E-2</v>
      </c>
      <c r="Y53" s="123">
        <v>7.2620000000000002E-3</v>
      </c>
      <c r="Z53" s="123">
        <v>7.0500000000000001E-4</v>
      </c>
    </row>
    <row r="54" spans="1:26" ht="15" customHeight="1">
      <c r="A54" s="121">
        <v>313</v>
      </c>
      <c r="B54" s="121">
        <v>313</v>
      </c>
      <c r="C54" s="120" t="s">
        <v>2076</v>
      </c>
      <c r="D54" s="121"/>
      <c r="E54" s="120"/>
      <c r="F54" s="120" t="s">
        <v>2116</v>
      </c>
      <c r="G54" s="121">
        <v>60356391</v>
      </c>
      <c r="H54" s="120" t="s">
        <v>311</v>
      </c>
      <c r="I54" s="120" t="s">
        <v>1001</v>
      </c>
      <c r="J54" s="120"/>
      <c r="K54" s="120" t="s">
        <v>203</v>
      </c>
      <c r="L54" s="120"/>
      <c r="M54" s="120"/>
      <c r="N54" s="120" t="s">
        <v>203</v>
      </c>
      <c r="O54" s="120" t="s">
        <v>338</v>
      </c>
      <c r="P54" s="124">
        <v>41730</v>
      </c>
      <c r="Q54" s="120" t="s">
        <v>1212</v>
      </c>
      <c r="R54" s="120" t="s">
        <v>886</v>
      </c>
      <c r="S54" s="120" t="s">
        <v>890</v>
      </c>
      <c r="T54" s="124">
        <v>45473</v>
      </c>
      <c r="U54" s="122">
        <v>3.7589999999999999</v>
      </c>
      <c r="V54" s="122">
        <v>6411.3487800000003</v>
      </c>
      <c r="W54" s="122">
        <v>24100.26007</v>
      </c>
      <c r="X54" s="123">
        <v>6.4113000000000003E-2</v>
      </c>
      <c r="Y54" s="123">
        <v>4.1619999999999999E-3</v>
      </c>
      <c r="Z54" s="123">
        <v>4.0400000000000001E-4</v>
      </c>
    </row>
    <row r="55" spans="1:26" ht="15" customHeight="1">
      <c r="A55" s="121">
        <v>313</v>
      </c>
      <c r="B55" s="121">
        <v>313</v>
      </c>
      <c r="C55" s="120" t="s">
        <v>2117</v>
      </c>
      <c r="D55" s="121"/>
      <c r="E55" s="120"/>
      <c r="F55" s="120" t="s">
        <v>2118</v>
      </c>
      <c r="G55" s="121">
        <v>9840776</v>
      </c>
      <c r="H55" s="120" t="s">
        <v>311</v>
      </c>
      <c r="I55" s="120" t="s">
        <v>1001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41964</v>
      </c>
      <c r="Q55" s="120" t="s">
        <v>1212</v>
      </c>
      <c r="R55" s="120" t="s">
        <v>886</v>
      </c>
      <c r="S55" s="120" t="s">
        <v>890</v>
      </c>
      <c r="T55" s="124">
        <v>45473</v>
      </c>
      <c r="U55" s="122">
        <v>3.7589999999999999</v>
      </c>
      <c r="V55" s="122">
        <v>80.725679999999997</v>
      </c>
      <c r="W55" s="122">
        <v>303.44785000000002</v>
      </c>
      <c r="X55" s="123">
        <v>1.4799999999999999E-4</v>
      </c>
      <c r="Y55" s="123">
        <v>5.1999999999999997E-5</v>
      </c>
      <c r="Z55" s="123">
        <v>5.0000000000000004E-6</v>
      </c>
    </row>
    <row r="56" spans="1:26" ht="15" customHeight="1">
      <c r="A56" s="121">
        <v>313</v>
      </c>
      <c r="B56" s="121">
        <v>313</v>
      </c>
      <c r="C56" s="120" t="s">
        <v>2065</v>
      </c>
      <c r="D56" s="121"/>
      <c r="E56" s="120"/>
      <c r="F56" s="120" t="s">
        <v>2119</v>
      </c>
      <c r="G56" s="121">
        <v>60370269</v>
      </c>
      <c r="H56" s="120" t="s">
        <v>311</v>
      </c>
      <c r="I56" s="120" t="s">
        <v>1006</v>
      </c>
      <c r="J56" s="120"/>
      <c r="K56" s="120" t="s">
        <v>203</v>
      </c>
      <c r="L56" s="120"/>
      <c r="M56" s="120"/>
      <c r="N56" s="120" t="s">
        <v>203</v>
      </c>
      <c r="O56" s="120" t="s">
        <v>338</v>
      </c>
      <c r="P56" s="124">
        <v>41883</v>
      </c>
      <c r="Q56" s="120" t="s">
        <v>1212</v>
      </c>
      <c r="R56" s="120" t="s">
        <v>886</v>
      </c>
      <c r="S56" s="120" t="s">
        <v>890</v>
      </c>
      <c r="T56" s="124">
        <v>45473</v>
      </c>
      <c r="U56" s="122">
        <v>3.7589999999999999</v>
      </c>
      <c r="V56" s="122">
        <v>34778.608130000001</v>
      </c>
      <c r="W56" s="122">
        <v>130732.78797999999</v>
      </c>
      <c r="X56" s="123">
        <v>0.240874</v>
      </c>
      <c r="Y56" s="123">
        <v>2.2581E-2</v>
      </c>
      <c r="Z56" s="123">
        <v>2.1930000000000001E-3</v>
      </c>
    </row>
    <row r="57" spans="1:26" ht="15" customHeight="1">
      <c r="A57" s="121">
        <v>313</v>
      </c>
      <c r="B57" s="121">
        <v>313</v>
      </c>
      <c r="C57" s="120" t="s">
        <v>2120</v>
      </c>
      <c r="D57" s="121"/>
      <c r="E57" s="120"/>
      <c r="F57" s="120" t="s">
        <v>2121</v>
      </c>
      <c r="G57" s="121">
        <v>41000868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43513</v>
      </c>
      <c r="Q57" s="120" t="s">
        <v>1216</v>
      </c>
      <c r="R57" s="120" t="s">
        <v>886</v>
      </c>
      <c r="S57" s="120" t="s">
        <v>890</v>
      </c>
      <c r="T57" s="124">
        <v>45473</v>
      </c>
      <c r="U57" s="122">
        <v>4.0202</v>
      </c>
      <c r="V57" s="122">
        <v>23.199000000000002</v>
      </c>
      <c r="W57" s="122">
        <v>93.264619999999994</v>
      </c>
      <c r="X57" s="123">
        <v>4.6E-5</v>
      </c>
      <c r="Y57" s="123">
        <v>1.5999999999999999E-5</v>
      </c>
      <c r="Z57" s="123">
        <v>9.9999999999999995E-7</v>
      </c>
    </row>
    <row r="58" spans="1:26" ht="15" customHeight="1">
      <c r="A58" s="121">
        <v>313</v>
      </c>
      <c r="B58" s="121">
        <v>313</v>
      </c>
      <c r="C58" s="120" t="s">
        <v>2122</v>
      </c>
      <c r="D58" s="121"/>
      <c r="E58" s="120"/>
      <c r="F58" s="120" t="s">
        <v>2123</v>
      </c>
      <c r="G58" s="121">
        <v>41000838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295</v>
      </c>
      <c r="O58" s="120" t="s">
        <v>338</v>
      </c>
      <c r="P58" s="124">
        <v>43513</v>
      </c>
      <c r="Q58" s="120" t="s">
        <v>1216</v>
      </c>
      <c r="R58" s="120" t="s">
        <v>886</v>
      </c>
      <c r="S58" s="120" t="s">
        <v>890</v>
      </c>
      <c r="T58" s="124">
        <v>45473</v>
      </c>
      <c r="U58" s="122">
        <v>4.0202</v>
      </c>
      <c r="V58" s="122">
        <v>1336.9369999999999</v>
      </c>
      <c r="W58" s="122">
        <v>5374.7541300000003</v>
      </c>
      <c r="X58" s="123">
        <v>6.6799999999999997E-4</v>
      </c>
      <c r="Y58" s="123">
        <v>9.2800000000000001E-4</v>
      </c>
      <c r="Z58" s="123">
        <v>9.0000000000000006E-5</v>
      </c>
    </row>
    <row r="59" spans="1:26" ht="15" customHeight="1">
      <c r="A59" s="121">
        <v>313</v>
      </c>
      <c r="B59" s="121">
        <v>313</v>
      </c>
      <c r="C59" s="120" t="s">
        <v>2124</v>
      </c>
      <c r="D59" s="121"/>
      <c r="E59" s="120"/>
      <c r="F59" s="120" t="s">
        <v>2125</v>
      </c>
      <c r="G59" s="121">
        <v>43000910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244</v>
      </c>
      <c r="O59" s="120" t="s">
        <v>338</v>
      </c>
      <c r="P59" s="124">
        <v>44054</v>
      </c>
      <c r="Q59" s="120" t="s">
        <v>1212</v>
      </c>
      <c r="R59" s="120" t="s">
        <v>886</v>
      </c>
      <c r="S59" s="120" t="s">
        <v>890</v>
      </c>
      <c r="T59" s="124">
        <v>45473</v>
      </c>
      <c r="U59" s="122">
        <v>3.7589999999999999</v>
      </c>
      <c r="V59" s="122">
        <v>971.18</v>
      </c>
      <c r="W59" s="122">
        <v>3650.6656200000002</v>
      </c>
      <c r="X59" s="123">
        <v>4.8500000000000003E-4</v>
      </c>
      <c r="Y59" s="123">
        <v>6.3000000000000003E-4</v>
      </c>
      <c r="Z59" s="123">
        <v>6.0999999999999999E-5</v>
      </c>
    </row>
    <row r="60" spans="1:26" ht="15" customHeight="1">
      <c r="A60" s="121">
        <v>313</v>
      </c>
      <c r="B60" s="121">
        <v>313</v>
      </c>
      <c r="C60" s="120" t="s">
        <v>2124</v>
      </c>
      <c r="D60" s="121"/>
      <c r="E60" s="120"/>
      <c r="F60" s="120" t="s">
        <v>2126</v>
      </c>
      <c r="G60" s="121">
        <v>43000908</v>
      </c>
      <c r="H60" s="120" t="s">
        <v>311</v>
      </c>
      <c r="I60" s="120" t="s">
        <v>849</v>
      </c>
      <c r="J60" s="120"/>
      <c r="K60" s="120" t="s">
        <v>204</v>
      </c>
      <c r="L60" s="120"/>
      <c r="M60" s="120"/>
      <c r="N60" s="120" t="s">
        <v>292</v>
      </c>
      <c r="O60" s="120" t="s">
        <v>338</v>
      </c>
      <c r="P60" s="124">
        <v>44054</v>
      </c>
      <c r="Q60" s="120" t="s">
        <v>1212</v>
      </c>
      <c r="R60" s="120" t="s">
        <v>886</v>
      </c>
      <c r="S60" s="120" t="s">
        <v>890</v>
      </c>
      <c r="T60" s="124">
        <v>45473</v>
      </c>
      <c r="U60" s="122">
        <v>3.7589999999999999</v>
      </c>
      <c r="V60" s="122">
        <v>-4204.9722400000001</v>
      </c>
      <c r="W60" s="122">
        <v>-15806.49065</v>
      </c>
      <c r="X60" s="123">
        <v>0</v>
      </c>
      <c r="Y60" s="123">
        <v>-2.7299999999999998E-3</v>
      </c>
      <c r="Z60" s="123">
        <v>-2.6499999999999999E-4</v>
      </c>
    </row>
    <row r="61" spans="1:26" ht="15" customHeight="1">
      <c r="A61" s="121">
        <v>313</v>
      </c>
      <c r="B61" s="121">
        <v>313</v>
      </c>
      <c r="C61" s="120" t="s">
        <v>2127</v>
      </c>
      <c r="D61" s="121"/>
      <c r="E61" s="120"/>
      <c r="F61" s="120" t="s">
        <v>2128</v>
      </c>
      <c r="G61" s="121">
        <v>42000911</v>
      </c>
      <c r="H61" s="120" t="s">
        <v>311</v>
      </c>
      <c r="I61" s="120" t="s">
        <v>1006</v>
      </c>
      <c r="J61" s="120"/>
      <c r="K61" s="120" t="s">
        <v>204</v>
      </c>
      <c r="L61" s="120"/>
      <c r="M61" s="120"/>
      <c r="N61" s="120" t="s">
        <v>295</v>
      </c>
      <c r="O61" s="120" t="s">
        <v>338</v>
      </c>
      <c r="P61" s="124">
        <v>43601</v>
      </c>
      <c r="Q61" s="120" t="s">
        <v>1212</v>
      </c>
      <c r="R61" s="120" t="s">
        <v>886</v>
      </c>
      <c r="S61" s="120" t="s">
        <v>890</v>
      </c>
      <c r="T61" s="124">
        <v>45473</v>
      </c>
      <c r="U61" s="122">
        <v>3.7589999999999999</v>
      </c>
      <c r="V61" s="122">
        <v>649.18280000000004</v>
      </c>
      <c r="W61" s="122">
        <v>2440.2781500000001</v>
      </c>
      <c r="X61" s="123">
        <v>2.1599999999999999E-4</v>
      </c>
      <c r="Y61" s="123">
        <v>4.2099999999999999E-4</v>
      </c>
      <c r="Z61" s="123">
        <v>4.0000000000000003E-5</v>
      </c>
    </row>
    <row r="62" spans="1:26" ht="15" customHeight="1">
      <c r="A62" s="121">
        <v>313</v>
      </c>
      <c r="B62" s="121">
        <v>313</v>
      </c>
      <c r="C62" s="120" t="s">
        <v>2129</v>
      </c>
      <c r="D62" s="121"/>
      <c r="E62" s="120"/>
      <c r="F62" s="120" t="s">
        <v>2130</v>
      </c>
      <c r="G62" s="121">
        <v>62001330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250</v>
      </c>
      <c r="O62" s="120" t="s">
        <v>338</v>
      </c>
      <c r="P62" s="124">
        <v>42826</v>
      </c>
      <c r="Q62" s="120" t="s">
        <v>1228</v>
      </c>
      <c r="R62" s="120" t="s">
        <v>886</v>
      </c>
      <c r="S62" s="120" t="s">
        <v>890</v>
      </c>
      <c r="T62" s="124">
        <v>45473</v>
      </c>
      <c r="U62" s="122">
        <v>2.3400000000000001E-2</v>
      </c>
      <c r="V62" s="122">
        <v>164900.51634999999</v>
      </c>
      <c r="W62" s="122">
        <v>3851.9111600000001</v>
      </c>
      <c r="X62" s="123">
        <v>8.8299999999999993E-3</v>
      </c>
      <c r="Y62" s="123">
        <v>6.6500000000000001E-4</v>
      </c>
      <c r="Z62" s="123">
        <v>6.3999999999999997E-5</v>
      </c>
    </row>
    <row r="63" spans="1:26" ht="15" customHeight="1">
      <c r="A63" s="121">
        <v>313</v>
      </c>
      <c r="B63" s="121">
        <v>313</v>
      </c>
      <c r="C63" s="120" t="s">
        <v>2124</v>
      </c>
      <c r="D63" s="121"/>
      <c r="E63" s="120"/>
      <c r="F63" s="120" t="s">
        <v>2131</v>
      </c>
      <c r="G63" s="121">
        <v>43000902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237</v>
      </c>
      <c r="O63" s="120" t="s">
        <v>338</v>
      </c>
      <c r="P63" s="124">
        <v>44054</v>
      </c>
      <c r="Q63" s="120" t="s">
        <v>1212</v>
      </c>
      <c r="R63" s="120" t="s">
        <v>886</v>
      </c>
      <c r="S63" s="120" t="s">
        <v>890</v>
      </c>
      <c r="T63" s="124">
        <v>45473</v>
      </c>
      <c r="U63" s="122">
        <v>3.7589999999999999</v>
      </c>
      <c r="V63" s="122">
        <v>1265.7260000000001</v>
      </c>
      <c r="W63" s="122">
        <v>4757.8640299999997</v>
      </c>
      <c r="X63" s="123">
        <v>6.3199999999999997E-4</v>
      </c>
      <c r="Y63" s="123">
        <v>8.2100000000000001E-4</v>
      </c>
      <c r="Z63" s="123">
        <v>7.8999999999999996E-5</v>
      </c>
    </row>
    <row r="64" spans="1:26" ht="15" customHeight="1">
      <c r="A64" s="121">
        <v>313</v>
      </c>
      <c r="B64" s="121">
        <v>313</v>
      </c>
      <c r="C64" s="120" t="s">
        <v>2132</v>
      </c>
      <c r="D64" s="121"/>
      <c r="E64" s="120"/>
      <c r="F64" s="120" t="s">
        <v>2133</v>
      </c>
      <c r="G64" s="121">
        <v>40000614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295</v>
      </c>
      <c r="O64" s="120" t="s">
        <v>338</v>
      </c>
      <c r="P64" s="124">
        <v>43513</v>
      </c>
      <c r="Q64" s="120" t="s">
        <v>1216</v>
      </c>
      <c r="R64" s="120" t="s">
        <v>886</v>
      </c>
      <c r="S64" s="120" t="s">
        <v>890</v>
      </c>
      <c r="T64" s="124">
        <v>45473</v>
      </c>
      <c r="U64" s="122">
        <v>4.0202</v>
      </c>
      <c r="V64" s="122">
        <v>0.82</v>
      </c>
      <c r="W64" s="122">
        <v>3.2965599999999999</v>
      </c>
      <c r="X64" s="123">
        <v>8.2000000000000001E-5</v>
      </c>
      <c r="Y64" s="123">
        <v>0</v>
      </c>
      <c r="Z64" s="123">
        <v>0</v>
      </c>
    </row>
    <row r="65" spans="1:26" ht="15" customHeight="1">
      <c r="A65" s="121">
        <v>313</v>
      </c>
      <c r="B65" s="121">
        <v>313</v>
      </c>
      <c r="C65" s="120" t="s">
        <v>2134</v>
      </c>
      <c r="D65" s="121"/>
      <c r="E65" s="120"/>
      <c r="F65" s="120" t="s">
        <v>2135</v>
      </c>
      <c r="G65" s="121">
        <v>41000858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292</v>
      </c>
      <c r="O65" s="120" t="s">
        <v>338</v>
      </c>
      <c r="P65" s="124">
        <v>43513</v>
      </c>
      <c r="Q65" s="120" t="s">
        <v>1216</v>
      </c>
      <c r="R65" s="120" t="s">
        <v>886</v>
      </c>
      <c r="S65" s="120" t="s">
        <v>890</v>
      </c>
      <c r="T65" s="124">
        <v>45473</v>
      </c>
      <c r="U65" s="122">
        <v>4.0202</v>
      </c>
      <c r="V65" s="122">
        <v>0.223</v>
      </c>
      <c r="W65" s="122">
        <v>0.89649999999999996</v>
      </c>
      <c r="X65" s="123">
        <v>2.1999999999999999E-5</v>
      </c>
      <c r="Y65" s="123">
        <v>0</v>
      </c>
      <c r="Z65" s="123">
        <v>0</v>
      </c>
    </row>
    <row r="66" spans="1:26" ht="15" customHeight="1">
      <c r="A66" s="121">
        <v>313</v>
      </c>
      <c r="B66" s="121">
        <v>313</v>
      </c>
      <c r="C66" s="120" t="s">
        <v>2136</v>
      </c>
      <c r="D66" s="121"/>
      <c r="E66" s="120"/>
      <c r="F66" s="120" t="s">
        <v>2137</v>
      </c>
      <c r="G66" s="121">
        <v>60371895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295</v>
      </c>
      <c r="O66" s="120" t="s">
        <v>338</v>
      </c>
      <c r="P66" s="124">
        <v>41913</v>
      </c>
      <c r="Q66" s="120" t="s">
        <v>1212</v>
      </c>
      <c r="R66" s="120" t="s">
        <v>886</v>
      </c>
      <c r="S66" s="120" t="s">
        <v>890</v>
      </c>
      <c r="T66" s="124">
        <v>45473</v>
      </c>
      <c r="U66" s="122">
        <v>3.7589999999999999</v>
      </c>
      <c r="V66" s="122">
        <v>11083.48777</v>
      </c>
      <c r="W66" s="122">
        <v>41662.83051</v>
      </c>
      <c r="X66" s="123">
        <v>2.4190000000000001E-3</v>
      </c>
      <c r="Y66" s="123">
        <v>7.1960000000000001E-3</v>
      </c>
      <c r="Z66" s="123">
        <v>6.9899999999999997E-4</v>
      </c>
    </row>
    <row r="67" spans="1:26" ht="15" customHeight="1">
      <c r="A67" s="121">
        <v>313</v>
      </c>
      <c r="B67" s="121">
        <v>313</v>
      </c>
      <c r="C67" s="120" t="s">
        <v>2138</v>
      </c>
      <c r="D67" s="121"/>
      <c r="E67" s="120"/>
      <c r="F67" s="120" t="s">
        <v>2139</v>
      </c>
      <c r="G67" s="121">
        <v>62013610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295</v>
      </c>
      <c r="O67" s="120" t="s">
        <v>338</v>
      </c>
      <c r="P67" s="124">
        <v>43621</v>
      </c>
      <c r="Q67" s="120" t="s">
        <v>1216</v>
      </c>
      <c r="R67" s="120" t="s">
        <v>886</v>
      </c>
      <c r="S67" s="120" t="s">
        <v>890</v>
      </c>
      <c r="T67" s="124">
        <v>45473</v>
      </c>
      <c r="U67" s="122">
        <v>4.0202</v>
      </c>
      <c r="V67" s="122">
        <v>6976.2339000000002</v>
      </c>
      <c r="W67" s="122">
        <v>28045.85554</v>
      </c>
      <c r="X67" s="123">
        <v>5.8719999999999996E-3</v>
      </c>
      <c r="Y67" s="123">
        <v>4.8440000000000002E-3</v>
      </c>
      <c r="Z67" s="123">
        <v>4.6999999999999999E-4</v>
      </c>
    </row>
    <row r="68" spans="1:26" ht="15" customHeight="1">
      <c r="A68" s="121">
        <v>313</v>
      </c>
      <c r="B68" s="121">
        <v>313</v>
      </c>
      <c r="C68" s="120" t="s">
        <v>2140</v>
      </c>
      <c r="D68" s="121"/>
      <c r="E68" s="120"/>
      <c r="F68" s="120" t="s">
        <v>2141</v>
      </c>
      <c r="G68" s="121">
        <v>62020276</v>
      </c>
      <c r="H68" s="120" t="s">
        <v>311</v>
      </c>
      <c r="I68" s="120" t="s">
        <v>1005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45364</v>
      </c>
      <c r="Q68" s="120" t="s">
        <v>1216</v>
      </c>
      <c r="R68" s="120" t="s">
        <v>886</v>
      </c>
      <c r="S68" s="120" t="s">
        <v>890</v>
      </c>
      <c r="T68" s="124">
        <v>45473</v>
      </c>
      <c r="U68" s="122">
        <v>4.0202</v>
      </c>
      <c r="V68" s="122">
        <v>3894.29376</v>
      </c>
      <c r="W68" s="122">
        <v>15655.83977</v>
      </c>
      <c r="X68" s="123">
        <v>6.999E-3</v>
      </c>
      <c r="Y68" s="123">
        <v>2.7039999999999998E-3</v>
      </c>
      <c r="Z68" s="123">
        <v>2.6200000000000003E-4</v>
      </c>
    </row>
    <row r="69" spans="1:26" ht="15" customHeight="1">
      <c r="A69" s="121">
        <v>313</v>
      </c>
      <c r="B69" s="121">
        <v>313</v>
      </c>
      <c r="C69" s="120" t="s">
        <v>2138</v>
      </c>
      <c r="D69" s="121"/>
      <c r="E69" s="120"/>
      <c r="F69" s="120" t="s">
        <v>2142</v>
      </c>
      <c r="G69" s="121">
        <v>62011333</v>
      </c>
      <c r="H69" s="120" t="s">
        <v>311</v>
      </c>
      <c r="I69" s="120" t="s">
        <v>1005</v>
      </c>
      <c r="J69" s="120"/>
      <c r="K69" s="120" t="s">
        <v>204</v>
      </c>
      <c r="L69" s="120"/>
      <c r="M69" s="120"/>
      <c r="N69" s="120" t="s">
        <v>295</v>
      </c>
      <c r="O69" s="120" t="s">
        <v>338</v>
      </c>
      <c r="P69" s="124">
        <v>43344</v>
      </c>
      <c r="Q69" s="120" t="s">
        <v>1212</v>
      </c>
      <c r="R69" s="120" t="s">
        <v>886</v>
      </c>
      <c r="S69" s="120" t="s">
        <v>890</v>
      </c>
      <c r="T69" s="124">
        <v>45473</v>
      </c>
      <c r="U69" s="122">
        <v>3.7589999999999999</v>
      </c>
      <c r="V69" s="122">
        <v>14197.795389999999</v>
      </c>
      <c r="W69" s="122">
        <v>53369.512860000003</v>
      </c>
      <c r="X69" s="123">
        <v>9.4600000000000001E-4</v>
      </c>
      <c r="Y69" s="123">
        <v>9.2180000000000005E-3</v>
      </c>
      <c r="Z69" s="123">
        <v>8.9499999999999996E-4</v>
      </c>
    </row>
    <row r="70" spans="1:26" ht="15" customHeight="1">
      <c r="A70" s="121">
        <v>313</v>
      </c>
      <c r="B70" s="121">
        <v>313</v>
      </c>
      <c r="C70" s="120" t="s">
        <v>2143</v>
      </c>
      <c r="D70" s="121"/>
      <c r="E70" s="120"/>
      <c r="F70" s="120" t="s">
        <v>2144</v>
      </c>
      <c r="G70" s="121">
        <v>62021216</v>
      </c>
      <c r="H70" s="120" t="s">
        <v>311</v>
      </c>
      <c r="I70" s="120" t="s">
        <v>1004</v>
      </c>
      <c r="J70" s="120"/>
      <c r="K70" s="120" t="s">
        <v>204</v>
      </c>
      <c r="L70" s="120"/>
      <c r="M70" s="120"/>
      <c r="N70" s="120" t="s">
        <v>223</v>
      </c>
      <c r="O70" s="120" t="s">
        <v>338</v>
      </c>
      <c r="P70" s="124">
        <v>45281</v>
      </c>
      <c r="Q70" s="120" t="s">
        <v>1212</v>
      </c>
      <c r="R70" s="120" t="s">
        <v>886</v>
      </c>
      <c r="S70" s="120" t="s">
        <v>890</v>
      </c>
      <c r="T70" s="124">
        <v>45473</v>
      </c>
      <c r="U70" s="122">
        <v>3.7589999999999999</v>
      </c>
      <c r="V70" s="122">
        <v>29.136970000000002</v>
      </c>
      <c r="W70" s="122">
        <v>109.52587</v>
      </c>
      <c r="X70" s="123">
        <v>1.3300000000000001E-4</v>
      </c>
      <c r="Y70" s="123">
        <v>1.8E-5</v>
      </c>
      <c r="Z70" s="123">
        <v>9.9999999999999995E-7</v>
      </c>
    </row>
    <row r="71" spans="1:26" ht="15" customHeight="1">
      <c r="A71" s="121">
        <v>313</v>
      </c>
      <c r="B71" s="121">
        <v>313</v>
      </c>
      <c r="C71" s="120" t="s">
        <v>2122</v>
      </c>
      <c r="D71" s="121"/>
      <c r="E71" s="120"/>
      <c r="F71" s="120" t="s">
        <v>2145</v>
      </c>
      <c r="G71" s="121">
        <v>41000842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295</v>
      </c>
      <c r="O71" s="120" t="s">
        <v>338</v>
      </c>
      <c r="P71" s="124">
        <v>43513</v>
      </c>
      <c r="Q71" s="120" t="s">
        <v>1216</v>
      </c>
      <c r="R71" s="120" t="s">
        <v>886</v>
      </c>
      <c r="S71" s="120" t="s">
        <v>890</v>
      </c>
      <c r="T71" s="124">
        <v>45473</v>
      </c>
      <c r="U71" s="122">
        <v>4.0202</v>
      </c>
      <c r="V71" s="122">
        <v>481.86700000000002</v>
      </c>
      <c r="W71" s="122">
        <v>1937.20171</v>
      </c>
      <c r="X71" s="123">
        <v>4.8099999999999998E-4</v>
      </c>
      <c r="Y71" s="123">
        <v>3.3399999999999999E-4</v>
      </c>
      <c r="Z71" s="123">
        <v>3.1999999999999999E-5</v>
      </c>
    </row>
    <row r="72" spans="1:26" ht="15" customHeight="1">
      <c r="A72" s="121">
        <v>313</v>
      </c>
      <c r="B72" s="121">
        <v>313</v>
      </c>
      <c r="C72" s="120" t="s">
        <v>2127</v>
      </c>
      <c r="D72" s="121"/>
      <c r="E72" s="120"/>
      <c r="F72" s="120" t="s">
        <v>2146</v>
      </c>
      <c r="G72" s="121">
        <v>42000912</v>
      </c>
      <c r="H72" s="120" t="s">
        <v>311</v>
      </c>
      <c r="I72" s="120" t="s">
        <v>1006</v>
      </c>
      <c r="J72" s="120"/>
      <c r="K72" s="120" t="s">
        <v>204</v>
      </c>
      <c r="L72" s="120"/>
      <c r="M72" s="120"/>
      <c r="N72" s="120" t="s">
        <v>295</v>
      </c>
      <c r="O72" s="120" t="s">
        <v>338</v>
      </c>
      <c r="P72" s="124">
        <v>43601</v>
      </c>
      <c r="Q72" s="120" t="s">
        <v>1212</v>
      </c>
      <c r="R72" s="120" t="s">
        <v>886</v>
      </c>
      <c r="S72" s="120" t="s">
        <v>890</v>
      </c>
      <c r="T72" s="124">
        <v>45473</v>
      </c>
      <c r="U72" s="122">
        <v>3.7589999999999999</v>
      </c>
      <c r="V72" s="122">
        <v>318.46499999999997</v>
      </c>
      <c r="W72" s="122">
        <v>1197.1099400000001</v>
      </c>
      <c r="X72" s="123">
        <v>1.06E-4</v>
      </c>
      <c r="Y72" s="123">
        <v>2.0599999999999999E-4</v>
      </c>
      <c r="Z72" s="123">
        <v>2.0000000000000002E-5</v>
      </c>
    </row>
    <row r="73" spans="1:26" ht="15" customHeight="1">
      <c r="A73" s="121">
        <v>313</v>
      </c>
      <c r="B73" s="121">
        <v>313</v>
      </c>
      <c r="C73" s="120" t="s">
        <v>2147</v>
      </c>
      <c r="D73" s="121"/>
      <c r="E73" s="120"/>
      <c r="F73" s="120" t="s">
        <v>2148</v>
      </c>
      <c r="G73" s="121">
        <v>60410230</v>
      </c>
      <c r="H73" s="120" t="s">
        <v>311</v>
      </c>
      <c r="I73" s="120" t="s">
        <v>1004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42491</v>
      </c>
      <c r="Q73" s="120" t="s">
        <v>1216</v>
      </c>
      <c r="R73" s="120" t="s">
        <v>886</v>
      </c>
      <c r="S73" s="120" t="s">
        <v>890</v>
      </c>
      <c r="T73" s="124">
        <v>45473</v>
      </c>
      <c r="U73" s="122">
        <v>4.0202</v>
      </c>
      <c r="V73" s="122">
        <v>487.73264</v>
      </c>
      <c r="W73" s="122">
        <v>1960.7827500000001</v>
      </c>
      <c r="X73" s="123">
        <v>8.1999999999999998E-4</v>
      </c>
      <c r="Y73" s="123">
        <v>3.3799999999999998E-4</v>
      </c>
      <c r="Z73" s="123">
        <v>3.1999999999999999E-5</v>
      </c>
    </row>
    <row r="74" spans="1:26" ht="15" customHeight="1">
      <c r="A74" s="121">
        <v>313</v>
      </c>
      <c r="B74" s="121">
        <v>313</v>
      </c>
      <c r="C74" s="120" t="s">
        <v>2149</v>
      </c>
      <c r="D74" s="121"/>
      <c r="E74" s="120"/>
      <c r="F74" s="120" t="s">
        <v>2150</v>
      </c>
      <c r="G74" s="121">
        <v>60397841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295</v>
      </c>
      <c r="O74" s="120" t="s">
        <v>338</v>
      </c>
      <c r="P74" s="124">
        <v>42248</v>
      </c>
      <c r="Q74" s="120" t="s">
        <v>1212</v>
      </c>
      <c r="R74" s="120" t="s">
        <v>886</v>
      </c>
      <c r="S74" s="120" t="s">
        <v>890</v>
      </c>
      <c r="T74" s="124">
        <v>45473</v>
      </c>
      <c r="U74" s="122">
        <v>3.7589999999999999</v>
      </c>
      <c r="V74" s="122">
        <v>1551.3650700000001</v>
      </c>
      <c r="W74" s="122">
        <v>5831.5812999999998</v>
      </c>
      <c r="X74" s="123">
        <v>4.5620000000000001E-3</v>
      </c>
      <c r="Y74" s="123">
        <v>1.0070000000000001E-3</v>
      </c>
      <c r="Z74" s="123">
        <v>9.7E-5</v>
      </c>
    </row>
    <row r="75" spans="1:26" ht="15" customHeight="1">
      <c r="A75" s="121">
        <v>313</v>
      </c>
      <c r="B75" s="121">
        <v>313</v>
      </c>
      <c r="C75" s="120" t="s">
        <v>2151</v>
      </c>
      <c r="D75" s="121"/>
      <c r="E75" s="120"/>
      <c r="F75" s="120" t="s">
        <v>2152</v>
      </c>
      <c r="G75" s="121">
        <v>62019799</v>
      </c>
      <c r="H75" s="120" t="s">
        <v>311</v>
      </c>
      <c r="I75" s="120" t="s">
        <v>1002</v>
      </c>
      <c r="J75" s="120"/>
      <c r="K75" s="120" t="s">
        <v>204</v>
      </c>
      <c r="L75" s="120"/>
      <c r="M75" s="120"/>
      <c r="N75" s="120" t="s">
        <v>295</v>
      </c>
      <c r="O75" s="120" t="s">
        <v>338</v>
      </c>
      <c r="P75" s="124">
        <v>44529</v>
      </c>
      <c r="Q75" s="120" t="s">
        <v>1212</v>
      </c>
      <c r="R75" s="120" t="s">
        <v>886</v>
      </c>
      <c r="S75" s="120" t="s">
        <v>890</v>
      </c>
      <c r="T75" s="124">
        <v>45473</v>
      </c>
      <c r="U75" s="122">
        <v>3.7589999999999999</v>
      </c>
      <c r="V75" s="122">
        <v>9710.7804699999997</v>
      </c>
      <c r="W75" s="122">
        <v>36502.823770000003</v>
      </c>
      <c r="X75" s="123">
        <v>3.8839999999999999E-3</v>
      </c>
      <c r="Y75" s="123">
        <v>6.3049999999999998E-3</v>
      </c>
      <c r="Z75" s="123">
        <v>6.1200000000000002E-4</v>
      </c>
    </row>
    <row r="76" spans="1:26" ht="15" customHeight="1">
      <c r="A76" s="121">
        <v>313</v>
      </c>
      <c r="B76" s="121">
        <v>313</v>
      </c>
      <c r="C76" s="120" t="s">
        <v>2153</v>
      </c>
      <c r="D76" s="121"/>
      <c r="E76" s="120"/>
      <c r="F76" s="120" t="s">
        <v>2154</v>
      </c>
      <c r="G76" s="121">
        <v>60346236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41609</v>
      </c>
      <c r="Q76" s="120" t="s">
        <v>1212</v>
      </c>
      <c r="R76" s="120" t="s">
        <v>886</v>
      </c>
      <c r="S76" s="120" t="s">
        <v>890</v>
      </c>
      <c r="T76" s="124">
        <v>45473</v>
      </c>
      <c r="U76" s="122">
        <v>3.7589999999999999</v>
      </c>
      <c r="V76" s="122">
        <v>7503.0671199999997</v>
      </c>
      <c r="W76" s="122">
        <v>28204.029289999999</v>
      </c>
      <c r="X76" s="123">
        <v>1.1731999999999999E-2</v>
      </c>
      <c r="Y76" s="123">
        <v>4.8710000000000003E-3</v>
      </c>
      <c r="Z76" s="123">
        <v>4.73E-4</v>
      </c>
    </row>
    <row r="77" spans="1:26" ht="15" customHeight="1">
      <c r="A77" s="121">
        <v>313</v>
      </c>
      <c r="B77" s="121">
        <v>313</v>
      </c>
      <c r="C77" s="120" t="s">
        <v>2155</v>
      </c>
      <c r="D77" s="121"/>
      <c r="E77" s="120"/>
      <c r="F77" s="120" t="s">
        <v>2156</v>
      </c>
      <c r="G77" s="121">
        <v>60353299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303</v>
      </c>
      <c r="O77" s="120" t="s">
        <v>338</v>
      </c>
      <c r="P77" s="124">
        <v>41671</v>
      </c>
      <c r="Q77" s="120" t="s">
        <v>1212</v>
      </c>
      <c r="R77" s="120" t="s">
        <v>886</v>
      </c>
      <c r="S77" s="120" t="s">
        <v>890</v>
      </c>
      <c r="T77" s="124">
        <v>45473</v>
      </c>
      <c r="U77" s="122">
        <v>3.7589999999999999</v>
      </c>
      <c r="V77" s="122">
        <v>233.13457</v>
      </c>
      <c r="W77" s="122">
        <v>876.35284999999999</v>
      </c>
      <c r="X77" s="123">
        <v>2.5399999999999999E-4</v>
      </c>
      <c r="Y77" s="123">
        <v>1.5100000000000001E-4</v>
      </c>
      <c r="Z77" s="123">
        <v>1.4E-5</v>
      </c>
    </row>
    <row r="78" spans="1:26" ht="15" customHeight="1">
      <c r="A78" s="121">
        <v>313</v>
      </c>
      <c r="B78" s="121">
        <v>313</v>
      </c>
      <c r="C78" s="120" t="s">
        <v>2138</v>
      </c>
      <c r="D78" s="121"/>
      <c r="E78" s="120"/>
      <c r="F78" s="120" t="s">
        <v>2157</v>
      </c>
      <c r="G78" s="121">
        <v>62002516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292</v>
      </c>
      <c r="O78" s="120" t="s">
        <v>338</v>
      </c>
      <c r="P78" s="124">
        <v>42917</v>
      </c>
      <c r="Q78" s="120" t="s">
        <v>1216</v>
      </c>
      <c r="R78" s="120" t="s">
        <v>886</v>
      </c>
      <c r="S78" s="120" t="s">
        <v>890</v>
      </c>
      <c r="T78" s="124">
        <v>45473</v>
      </c>
      <c r="U78" s="122">
        <v>4.0202</v>
      </c>
      <c r="V78" s="122">
        <v>2508.7495899999999</v>
      </c>
      <c r="W78" s="122">
        <v>10085.67511</v>
      </c>
      <c r="X78" s="123">
        <v>1.2199999999999999E-3</v>
      </c>
      <c r="Y78" s="123">
        <v>1.7420000000000001E-3</v>
      </c>
      <c r="Z78" s="123">
        <v>1.6899999999999999E-4</v>
      </c>
    </row>
    <row r="79" spans="1:26" ht="15" customHeight="1">
      <c r="A79" s="121">
        <v>313</v>
      </c>
      <c r="B79" s="121">
        <v>313</v>
      </c>
      <c r="C79" s="120" t="s">
        <v>2127</v>
      </c>
      <c r="D79" s="121"/>
      <c r="E79" s="120"/>
      <c r="F79" s="120" t="s">
        <v>2158</v>
      </c>
      <c r="G79" s="121">
        <v>42000918</v>
      </c>
      <c r="H79" s="120" t="s">
        <v>311</v>
      </c>
      <c r="I79" s="120" t="s">
        <v>1006</v>
      </c>
      <c r="J79" s="120"/>
      <c r="K79" s="120" t="s">
        <v>204</v>
      </c>
      <c r="L79" s="120"/>
      <c r="M79" s="120"/>
      <c r="N79" s="120" t="s">
        <v>295</v>
      </c>
      <c r="O79" s="120" t="s">
        <v>338</v>
      </c>
      <c r="P79" s="124">
        <v>43601</v>
      </c>
      <c r="Q79" s="120" t="s">
        <v>1212</v>
      </c>
      <c r="R79" s="120" t="s">
        <v>886</v>
      </c>
      <c r="S79" s="120" t="s">
        <v>890</v>
      </c>
      <c r="T79" s="124">
        <v>45473</v>
      </c>
      <c r="U79" s="122">
        <v>3.7589999999999999</v>
      </c>
      <c r="V79" s="122">
        <v>114.687</v>
      </c>
      <c r="W79" s="122">
        <v>431.10843</v>
      </c>
      <c r="X79" s="123">
        <v>3.8000000000000002E-5</v>
      </c>
      <c r="Y79" s="123">
        <v>7.3999999999999996E-5</v>
      </c>
      <c r="Z79" s="123">
        <v>6.9999999999999999E-6</v>
      </c>
    </row>
    <row r="80" spans="1:26" ht="15" customHeight="1">
      <c r="A80" s="121">
        <v>313</v>
      </c>
      <c r="B80" s="121">
        <v>313</v>
      </c>
      <c r="C80" s="120" t="s">
        <v>2124</v>
      </c>
      <c r="D80" s="121"/>
      <c r="E80" s="120"/>
      <c r="F80" s="120" t="s">
        <v>2159</v>
      </c>
      <c r="G80" s="121">
        <v>43000913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232</v>
      </c>
      <c r="O80" s="120" t="s">
        <v>338</v>
      </c>
      <c r="P80" s="124">
        <v>44054</v>
      </c>
      <c r="Q80" s="120" t="s">
        <v>1212</v>
      </c>
      <c r="R80" s="120" t="s">
        <v>886</v>
      </c>
      <c r="S80" s="120" t="s">
        <v>890</v>
      </c>
      <c r="T80" s="124">
        <v>45473</v>
      </c>
      <c r="U80" s="122">
        <v>3.7589999999999999</v>
      </c>
      <c r="V80" s="122">
        <v>1373.9880000000001</v>
      </c>
      <c r="W80" s="122">
        <v>5164.82089</v>
      </c>
      <c r="X80" s="123">
        <v>6.8599999999999998E-4</v>
      </c>
      <c r="Y80" s="123">
        <v>8.92E-4</v>
      </c>
      <c r="Z80" s="123">
        <v>8.6000000000000003E-5</v>
      </c>
    </row>
    <row r="81" spans="1:26" ht="15" customHeight="1">
      <c r="A81" s="121">
        <v>313</v>
      </c>
      <c r="B81" s="121">
        <v>313</v>
      </c>
      <c r="C81" s="120" t="s">
        <v>2043</v>
      </c>
      <c r="D81" s="121"/>
      <c r="E81" s="120"/>
      <c r="F81" s="120" t="s">
        <v>2160</v>
      </c>
      <c r="G81" s="121">
        <v>9840535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292</v>
      </c>
      <c r="O81" s="120" t="s">
        <v>338</v>
      </c>
      <c r="P81" s="124">
        <v>40148</v>
      </c>
      <c r="Q81" s="120" t="s">
        <v>1216</v>
      </c>
      <c r="R81" s="120" t="s">
        <v>886</v>
      </c>
      <c r="S81" s="120" t="s">
        <v>890</v>
      </c>
      <c r="T81" s="124">
        <v>45473</v>
      </c>
      <c r="U81" s="122">
        <v>4.0202</v>
      </c>
      <c r="V81" s="122">
        <v>2095.4855200000002</v>
      </c>
      <c r="W81" s="122">
        <v>8424.2708899999998</v>
      </c>
      <c r="X81" s="123">
        <v>1.1641E-2</v>
      </c>
      <c r="Y81" s="123">
        <v>1.4549999999999999E-3</v>
      </c>
      <c r="Z81" s="123">
        <v>1.4100000000000001E-4</v>
      </c>
    </row>
    <row r="82" spans="1:26" ht="15" customHeight="1">
      <c r="A82" s="121">
        <v>313</v>
      </c>
      <c r="B82" s="121">
        <v>313</v>
      </c>
      <c r="C82" s="120" t="s">
        <v>2161</v>
      </c>
      <c r="D82" s="121"/>
      <c r="E82" s="120"/>
      <c r="F82" s="120" t="s">
        <v>2162</v>
      </c>
      <c r="G82" s="121">
        <v>60333382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223</v>
      </c>
      <c r="O82" s="120" t="s">
        <v>338</v>
      </c>
      <c r="P82" s="124">
        <v>41426</v>
      </c>
      <c r="Q82" s="120" t="s">
        <v>1212</v>
      </c>
      <c r="R82" s="120" t="s">
        <v>886</v>
      </c>
      <c r="S82" s="120" t="s">
        <v>890</v>
      </c>
      <c r="T82" s="124">
        <v>45473</v>
      </c>
      <c r="U82" s="122">
        <v>3.7589999999999999</v>
      </c>
      <c r="V82" s="122">
        <v>64.021940000000001</v>
      </c>
      <c r="W82" s="122">
        <v>240.65848</v>
      </c>
      <c r="X82" s="123">
        <v>5.7300000000000005E-4</v>
      </c>
      <c r="Y82" s="123">
        <v>4.1E-5</v>
      </c>
      <c r="Z82" s="123">
        <v>3.9999999999999998E-6</v>
      </c>
    </row>
    <row r="83" spans="1:26" ht="15" customHeight="1">
      <c r="A83" s="121">
        <v>313</v>
      </c>
      <c r="B83" s="121">
        <v>313</v>
      </c>
      <c r="C83" s="120" t="s">
        <v>2163</v>
      </c>
      <c r="D83" s="121"/>
      <c r="E83" s="120"/>
      <c r="F83" s="120" t="s">
        <v>2164</v>
      </c>
      <c r="G83" s="121">
        <v>9840568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39845</v>
      </c>
      <c r="Q83" s="120" t="s">
        <v>1212</v>
      </c>
      <c r="R83" s="120" t="s">
        <v>886</v>
      </c>
      <c r="S83" s="120" t="s">
        <v>890</v>
      </c>
      <c r="T83" s="124">
        <v>45473</v>
      </c>
      <c r="U83" s="122">
        <v>3.7589999999999999</v>
      </c>
      <c r="V83" s="122">
        <v>147.98111</v>
      </c>
      <c r="W83" s="122">
        <v>556.26098999999999</v>
      </c>
      <c r="X83" s="123">
        <v>9.7999999999999997E-5</v>
      </c>
      <c r="Y83" s="123">
        <v>9.6000000000000002E-5</v>
      </c>
      <c r="Z83" s="123">
        <v>9.0000000000000002E-6</v>
      </c>
    </row>
    <row r="84" spans="1:26" ht="15" customHeight="1">
      <c r="A84" s="121">
        <v>313</v>
      </c>
      <c r="B84" s="121">
        <v>313</v>
      </c>
      <c r="C84" s="120" t="s">
        <v>2165</v>
      </c>
      <c r="D84" s="121"/>
      <c r="E84" s="120"/>
      <c r="F84" s="120" t="s">
        <v>2166</v>
      </c>
      <c r="G84" s="121">
        <v>41000846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295</v>
      </c>
      <c r="O84" s="120" t="s">
        <v>338</v>
      </c>
      <c r="P84" s="124">
        <v>43513</v>
      </c>
      <c r="Q84" s="120" t="s">
        <v>1216</v>
      </c>
      <c r="R84" s="120" t="s">
        <v>886</v>
      </c>
      <c r="S84" s="120" t="s">
        <v>890</v>
      </c>
      <c r="T84" s="124">
        <v>45473</v>
      </c>
      <c r="U84" s="122">
        <v>4.0202</v>
      </c>
      <c r="V84" s="122">
        <v>515.38300000000004</v>
      </c>
      <c r="W84" s="122">
        <v>2071.94274</v>
      </c>
      <c r="X84" s="123">
        <v>2.5700000000000001E-4</v>
      </c>
      <c r="Y84" s="123">
        <v>3.57E-4</v>
      </c>
      <c r="Z84" s="123">
        <v>3.4E-5</v>
      </c>
    </row>
    <row r="85" spans="1:26" ht="15" customHeight="1">
      <c r="A85" s="121">
        <v>313</v>
      </c>
      <c r="B85" s="121">
        <v>313</v>
      </c>
      <c r="C85" s="120" t="s">
        <v>2167</v>
      </c>
      <c r="D85" s="121"/>
      <c r="E85" s="120"/>
      <c r="F85" s="120" t="s">
        <v>2168</v>
      </c>
      <c r="G85" s="121">
        <v>62018174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292</v>
      </c>
      <c r="O85" s="120" t="s">
        <v>338</v>
      </c>
      <c r="P85" s="124">
        <v>44287</v>
      </c>
      <c r="Q85" s="120" t="s">
        <v>1216</v>
      </c>
      <c r="R85" s="120" t="s">
        <v>886</v>
      </c>
      <c r="S85" s="120" t="s">
        <v>890</v>
      </c>
      <c r="T85" s="124">
        <v>45473</v>
      </c>
      <c r="U85" s="122">
        <v>4.0202</v>
      </c>
      <c r="V85" s="122">
        <v>1191.2451599999999</v>
      </c>
      <c r="W85" s="122">
        <v>4789.0438100000001</v>
      </c>
      <c r="X85" s="123">
        <v>9.4300000000000004E-4</v>
      </c>
      <c r="Y85" s="123">
        <v>8.2700000000000004E-4</v>
      </c>
      <c r="Z85" s="123">
        <v>8.0000000000000007E-5</v>
      </c>
    </row>
    <row r="86" spans="1:26" ht="15" customHeight="1">
      <c r="A86" s="121">
        <v>313</v>
      </c>
      <c r="B86" s="121">
        <v>313</v>
      </c>
      <c r="C86" s="120" t="s">
        <v>2169</v>
      </c>
      <c r="D86" s="121"/>
      <c r="E86" s="120"/>
      <c r="F86" s="120" t="s">
        <v>2170</v>
      </c>
      <c r="G86" s="121">
        <v>60397560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45037</v>
      </c>
      <c r="Q86" s="120" t="s">
        <v>1212</v>
      </c>
      <c r="R86" s="120" t="s">
        <v>886</v>
      </c>
      <c r="S86" s="120" t="s">
        <v>890</v>
      </c>
      <c r="T86" s="124">
        <v>45473</v>
      </c>
      <c r="U86" s="122">
        <v>3.7589999999999999</v>
      </c>
      <c r="V86" s="122">
        <v>1412.17806</v>
      </c>
      <c r="W86" s="122">
        <v>5308.37734</v>
      </c>
      <c r="X86" s="123">
        <v>1.9239999999999999E-3</v>
      </c>
      <c r="Y86" s="123">
        <v>9.1600000000000004E-4</v>
      </c>
      <c r="Z86" s="123">
        <v>8.8999999999999995E-5</v>
      </c>
    </row>
    <row r="87" spans="1:26" ht="15" customHeight="1">
      <c r="A87" s="121">
        <v>313</v>
      </c>
      <c r="B87" s="121">
        <v>313</v>
      </c>
      <c r="C87" s="120" t="s">
        <v>2124</v>
      </c>
      <c r="D87" s="121"/>
      <c r="E87" s="120"/>
      <c r="F87" s="120" t="s">
        <v>2171</v>
      </c>
      <c r="G87" s="121">
        <v>44000108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45473</v>
      </c>
      <c r="Q87" s="120" t="s">
        <v>1212</v>
      </c>
      <c r="R87" s="120" t="s">
        <v>886</v>
      </c>
      <c r="S87" s="120" t="s">
        <v>890</v>
      </c>
      <c r="T87" s="124">
        <v>45473</v>
      </c>
      <c r="U87" s="122">
        <v>3.7589999999999999</v>
      </c>
      <c r="V87" s="122">
        <v>2516.5870199999999</v>
      </c>
      <c r="W87" s="122">
        <v>9459.8506099999995</v>
      </c>
      <c r="X87" s="123">
        <v>8.3799999999999999E-4</v>
      </c>
      <c r="Y87" s="123">
        <v>1.634E-3</v>
      </c>
      <c r="Z87" s="123">
        <v>1.5799999999999999E-4</v>
      </c>
    </row>
    <row r="88" spans="1:26" ht="15" customHeight="1">
      <c r="A88" s="121">
        <v>313</v>
      </c>
      <c r="B88" s="121">
        <v>313</v>
      </c>
      <c r="C88" s="120" t="s">
        <v>2127</v>
      </c>
      <c r="D88" s="121"/>
      <c r="E88" s="120"/>
      <c r="F88" s="120" t="s">
        <v>2172</v>
      </c>
      <c r="G88" s="121">
        <v>62010091</v>
      </c>
      <c r="H88" s="120" t="s">
        <v>311</v>
      </c>
      <c r="I88" s="120" t="s">
        <v>1006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44840</v>
      </c>
      <c r="Q88" s="120" t="s">
        <v>1212</v>
      </c>
      <c r="R88" s="120" t="s">
        <v>886</v>
      </c>
      <c r="S88" s="120" t="s">
        <v>890</v>
      </c>
      <c r="T88" s="124">
        <v>45473</v>
      </c>
      <c r="U88" s="122">
        <v>3.7589999999999999</v>
      </c>
      <c r="V88" s="122">
        <v>157.02609000000001</v>
      </c>
      <c r="W88" s="122">
        <v>590.26107999999999</v>
      </c>
      <c r="X88" s="123">
        <v>3.1399999999999999E-4</v>
      </c>
      <c r="Y88" s="123">
        <v>1.01E-4</v>
      </c>
      <c r="Z88" s="123">
        <v>9.0000000000000002E-6</v>
      </c>
    </row>
    <row r="89" spans="1:26" ht="15" customHeight="1">
      <c r="A89" s="121">
        <v>313</v>
      </c>
      <c r="B89" s="121">
        <v>313</v>
      </c>
      <c r="C89" s="120" t="s">
        <v>2161</v>
      </c>
      <c r="D89" s="121"/>
      <c r="E89" s="120"/>
      <c r="F89" s="120" t="s">
        <v>2173</v>
      </c>
      <c r="G89" s="121">
        <v>9840569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39845</v>
      </c>
      <c r="Q89" s="120" t="s">
        <v>1212</v>
      </c>
      <c r="R89" s="120" t="s">
        <v>886</v>
      </c>
      <c r="S89" s="120" t="s">
        <v>890</v>
      </c>
      <c r="T89" s="124">
        <v>45473</v>
      </c>
      <c r="U89" s="122">
        <v>3.7589999999999999</v>
      </c>
      <c r="V89" s="122">
        <v>17.958559999999999</v>
      </c>
      <c r="W89" s="122">
        <v>67.506230000000002</v>
      </c>
      <c r="X89" s="123">
        <v>3.0000000000000001E-5</v>
      </c>
      <c r="Y89" s="123">
        <v>1.1E-5</v>
      </c>
      <c r="Z89" s="123">
        <v>9.9999999999999995E-7</v>
      </c>
    </row>
    <row r="90" spans="1:26" ht="15" customHeight="1">
      <c r="A90" s="121">
        <v>313</v>
      </c>
      <c r="B90" s="121">
        <v>313</v>
      </c>
      <c r="C90" s="120" t="s">
        <v>2174</v>
      </c>
      <c r="D90" s="121"/>
      <c r="E90" s="120"/>
      <c r="F90" s="120" t="s">
        <v>2175</v>
      </c>
      <c r="G90" s="121">
        <v>60289782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223</v>
      </c>
      <c r="O90" s="120" t="s">
        <v>338</v>
      </c>
      <c r="P90" s="124">
        <v>40878</v>
      </c>
      <c r="Q90" s="120" t="s">
        <v>1212</v>
      </c>
      <c r="R90" s="120" t="s">
        <v>886</v>
      </c>
      <c r="S90" s="120" t="s">
        <v>890</v>
      </c>
      <c r="T90" s="124">
        <v>45473</v>
      </c>
      <c r="U90" s="122">
        <v>3.7589999999999999</v>
      </c>
      <c r="V90" s="122">
        <v>885.79313999999999</v>
      </c>
      <c r="W90" s="122">
        <v>3329.6964200000002</v>
      </c>
      <c r="X90" s="123">
        <v>2.3599999999999999E-4</v>
      </c>
      <c r="Y90" s="123">
        <v>5.7499999999999999E-4</v>
      </c>
      <c r="Z90" s="123">
        <v>5.5000000000000002E-5</v>
      </c>
    </row>
    <row r="91" spans="1:26" ht="15" customHeight="1">
      <c r="A91" s="121">
        <v>313</v>
      </c>
      <c r="B91" s="121">
        <v>313</v>
      </c>
      <c r="C91" s="120" t="s">
        <v>2176</v>
      </c>
      <c r="D91" s="121"/>
      <c r="E91" s="120"/>
      <c r="F91" s="120" t="s">
        <v>2177</v>
      </c>
      <c r="G91" s="121">
        <v>62012077</v>
      </c>
      <c r="H91" s="120" t="s">
        <v>311</v>
      </c>
      <c r="I91" s="120" t="s">
        <v>1005</v>
      </c>
      <c r="J91" s="120"/>
      <c r="K91" s="120" t="s">
        <v>204</v>
      </c>
      <c r="L91" s="120"/>
      <c r="M91" s="120"/>
      <c r="N91" s="120" t="s">
        <v>281</v>
      </c>
      <c r="O91" s="120" t="s">
        <v>338</v>
      </c>
      <c r="P91" s="124">
        <v>43948</v>
      </c>
      <c r="Q91" s="120" t="s">
        <v>1229</v>
      </c>
      <c r="R91" s="120" t="s">
        <v>886</v>
      </c>
      <c r="S91" s="120" t="s">
        <v>890</v>
      </c>
      <c r="T91" s="124">
        <v>45473</v>
      </c>
      <c r="U91" s="122">
        <v>2.7412999999999998</v>
      </c>
      <c r="V91" s="122">
        <v>12575.7896</v>
      </c>
      <c r="W91" s="122">
        <v>34474.012020000002</v>
      </c>
      <c r="X91" s="123">
        <v>1.2574999999999999E-2</v>
      </c>
      <c r="Y91" s="123">
        <v>5.9540000000000001E-3</v>
      </c>
      <c r="Z91" s="123">
        <v>5.7799999999999995E-4</v>
      </c>
    </row>
    <row r="92" spans="1:26" ht="15" customHeight="1">
      <c r="A92" s="121">
        <v>313</v>
      </c>
      <c r="B92" s="121">
        <v>313</v>
      </c>
      <c r="C92" s="120" t="s">
        <v>2161</v>
      </c>
      <c r="D92" s="121"/>
      <c r="E92" s="120"/>
      <c r="F92" s="120" t="s">
        <v>2178</v>
      </c>
      <c r="G92" s="121">
        <v>62021027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295</v>
      </c>
      <c r="O92" s="120" t="s">
        <v>338</v>
      </c>
      <c r="P92" s="124">
        <v>44754</v>
      </c>
      <c r="Q92" s="120" t="s">
        <v>1212</v>
      </c>
      <c r="R92" s="120" t="s">
        <v>886</v>
      </c>
      <c r="S92" s="120" t="s">
        <v>890</v>
      </c>
      <c r="T92" s="124">
        <v>45473</v>
      </c>
      <c r="U92" s="122">
        <v>3.7589999999999999</v>
      </c>
      <c r="V92" s="122">
        <v>7996.2179400000005</v>
      </c>
      <c r="W92" s="122">
        <v>30057.783240000001</v>
      </c>
      <c r="X92" s="123">
        <v>4.4990000000000004E-3</v>
      </c>
      <c r="Y92" s="123">
        <v>5.1910000000000003E-3</v>
      </c>
      <c r="Z92" s="123">
        <v>5.04E-4</v>
      </c>
    </row>
    <row r="93" spans="1:26" ht="15" customHeight="1">
      <c r="A93" s="121">
        <v>313</v>
      </c>
      <c r="B93" s="121">
        <v>313</v>
      </c>
      <c r="C93" s="120" t="s">
        <v>2124</v>
      </c>
      <c r="D93" s="121"/>
      <c r="E93" s="120"/>
      <c r="F93" s="120" t="s">
        <v>2179</v>
      </c>
      <c r="G93" s="121">
        <v>43000904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285</v>
      </c>
      <c r="O93" s="120" t="s">
        <v>338</v>
      </c>
      <c r="P93" s="124">
        <v>44054</v>
      </c>
      <c r="Q93" s="120" t="s">
        <v>1212</v>
      </c>
      <c r="R93" s="120" t="s">
        <v>886</v>
      </c>
      <c r="S93" s="120" t="s">
        <v>890</v>
      </c>
      <c r="T93" s="124">
        <v>45473</v>
      </c>
      <c r="U93" s="122">
        <v>3.7589999999999999</v>
      </c>
      <c r="V93" s="122">
        <v>2707.3339999999998</v>
      </c>
      <c r="W93" s="122">
        <v>10176.86851</v>
      </c>
      <c r="X93" s="123">
        <v>1.353E-3</v>
      </c>
      <c r="Y93" s="123">
        <v>1.7570000000000001E-3</v>
      </c>
      <c r="Z93" s="123">
        <v>1.7000000000000001E-4</v>
      </c>
    </row>
    <row r="94" spans="1:26" ht="15" customHeight="1">
      <c r="A94" s="121">
        <v>313</v>
      </c>
      <c r="B94" s="121">
        <v>313</v>
      </c>
      <c r="C94" s="120" t="s">
        <v>2124</v>
      </c>
      <c r="D94" s="121"/>
      <c r="E94" s="120"/>
      <c r="F94" s="120" t="s">
        <v>2180</v>
      </c>
      <c r="G94" s="121">
        <v>43000917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244</v>
      </c>
      <c r="O94" s="120" t="s">
        <v>338</v>
      </c>
      <c r="P94" s="124">
        <v>44054</v>
      </c>
      <c r="Q94" s="120" t="s">
        <v>1212</v>
      </c>
      <c r="R94" s="120" t="s">
        <v>886</v>
      </c>
      <c r="S94" s="120" t="s">
        <v>890</v>
      </c>
      <c r="T94" s="124">
        <v>45473</v>
      </c>
      <c r="U94" s="122">
        <v>3.7589999999999999</v>
      </c>
      <c r="V94" s="122">
        <v>685.048</v>
      </c>
      <c r="W94" s="122">
        <v>2575.0954299999999</v>
      </c>
      <c r="X94" s="123">
        <v>3.4200000000000002E-4</v>
      </c>
      <c r="Y94" s="123">
        <v>4.44E-4</v>
      </c>
      <c r="Z94" s="123">
        <v>4.3000000000000002E-5</v>
      </c>
    </row>
    <row r="95" spans="1:26" ht="15" customHeight="1">
      <c r="A95" s="121">
        <v>313</v>
      </c>
      <c r="B95" s="121">
        <v>313</v>
      </c>
      <c r="C95" s="120" t="s">
        <v>2181</v>
      </c>
      <c r="D95" s="121"/>
      <c r="E95" s="120"/>
      <c r="F95" s="120" t="s">
        <v>2182</v>
      </c>
      <c r="G95" s="121">
        <v>60378569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41991</v>
      </c>
      <c r="Q95" s="120" t="s">
        <v>1212</v>
      </c>
      <c r="R95" s="120" t="s">
        <v>886</v>
      </c>
      <c r="S95" s="120" t="s">
        <v>890</v>
      </c>
      <c r="T95" s="124">
        <v>45473</v>
      </c>
      <c r="U95" s="122">
        <v>3.7589999999999999</v>
      </c>
      <c r="V95" s="122">
        <v>18711.558400000002</v>
      </c>
      <c r="W95" s="122">
        <v>70336.748009999996</v>
      </c>
      <c r="X95" s="123">
        <v>3.7420000000000001E-3</v>
      </c>
      <c r="Y95" s="123">
        <v>1.2149E-2</v>
      </c>
      <c r="Z95" s="123">
        <v>1.1800000000000001E-3</v>
      </c>
    </row>
    <row r="96" spans="1:26" ht="15" customHeight="1">
      <c r="A96" s="121">
        <v>313</v>
      </c>
      <c r="B96" s="121">
        <v>313</v>
      </c>
      <c r="C96" s="120" t="s">
        <v>2147</v>
      </c>
      <c r="D96" s="121"/>
      <c r="E96" s="120"/>
      <c r="F96" s="120" t="s">
        <v>2183</v>
      </c>
      <c r="G96" s="121">
        <v>60409695</v>
      </c>
      <c r="H96" s="120" t="s">
        <v>311</v>
      </c>
      <c r="I96" s="120" t="s">
        <v>1002</v>
      </c>
      <c r="J96" s="120"/>
      <c r="K96" s="120" t="s">
        <v>204</v>
      </c>
      <c r="L96" s="120"/>
      <c r="M96" s="120"/>
      <c r="N96" s="120" t="s">
        <v>223</v>
      </c>
      <c r="O96" s="120" t="s">
        <v>338</v>
      </c>
      <c r="P96" s="124">
        <v>42522</v>
      </c>
      <c r="Q96" s="120" t="s">
        <v>1212</v>
      </c>
      <c r="R96" s="120" t="s">
        <v>886</v>
      </c>
      <c r="S96" s="120" t="s">
        <v>890</v>
      </c>
      <c r="T96" s="124">
        <v>45473</v>
      </c>
      <c r="U96" s="122">
        <v>3.7589999999999999</v>
      </c>
      <c r="V96" s="122">
        <v>8038.1836599999997</v>
      </c>
      <c r="W96" s="122">
        <v>30215.532370000001</v>
      </c>
      <c r="X96" s="123">
        <v>5.7399999999999997E-4</v>
      </c>
      <c r="Y96" s="123">
        <v>5.2189999999999997E-3</v>
      </c>
      <c r="Z96" s="123">
        <v>5.0699999999999996E-4</v>
      </c>
    </row>
    <row r="97" spans="1:26" ht="15" customHeight="1">
      <c r="A97" s="121">
        <v>313</v>
      </c>
      <c r="B97" s="121">
        <v>313</v>
      </c>
      <c r="C97" s="120" t="s">
        <v>2184</v>
      </c>
      <c r="D97" s="121"/>
      <c r="E97" s="120"/>
      <c r="F97" s="120" t="s">
        <v>2185</v>
      </c>
      <c r="G97" s="121">
        <v>60318607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223</v>
      </c>
      <c r="O97" s="120" t="s">
        <v>338</v>
      </c>
      <c r="P97" s="124">
        <v>41244</v>
      </c>
      <c r="Q97" s="120" t="s">
        <v>1212</v>
      </c>
      <c r="R97" s="120" t="s">
        <v>886</v>
      </c>
      <c r="S97" s="120" t="s">
        <v>890</v>
      </c>
      <c r="T97" s="124">
        <v>45473</v>
      </c>
      <c r="U97" s="122">
        <v>3.7589999999999999</v>
      </c>
      <c r="V97" s="122">
        <v>220.59558000000001</v>
      </c>
      <c r="W97" s="122">
        <v>829.21878000000004</v>
      </c>
      <c r="X97" s="123">
        <v>2.9999999999999997E-4</v>
      </c>
      <c r="Y97" s="123">
        <v>1.4300000000000001E-4</v>
      </c>
      <c r="Z97" s="123">
        <v>1.2999999999999999E-5</v>
      </c>
    </row>
    <row r="98" spans="1:26" ht="15" customHeight="1">
      <c r="A98" s="121">
        <v>313</v>
      </c>
      <c r="B98" s="121">
        <v>313</v>
      </c>
      <c r="C98" s="120" t="s">
        <v>2186</v>
      </c>
      <c r="D98" s="121"/>
      <c r="E98" s="120"/>
      <c r="F98" s="120" t="s">
        <v>2187</v>
      </c>
      <c r="G98" s="121">
        <v>62006515</v>
      </c>
      <c r="H98" s="120" t="s">
        <v>311</v>
      </c>
      <c r="I98" s="120" t="s">
        <v>1004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43009</v>
      </c>
      <c r="Q98" s="120" t="s">
        <v>1212</v>
      </c>
      <c r="R98" s="120" t="s">
        <v>886</v>
      </c>
      <c r="S98" s="120" t="s">
        <v>890</v>
      </c>
      <c r="T98" s="124">
        <v>45473</v>
      </c>
      <c r="U98" s="122">
        <v>3.7589999999999999</v>
      </c>
      <c r="V98" s="122">
        <v>7156.5231199999998</v>
      </c>
      <c r="W98" s="122">
        <v>26901.37041</v>
      </c>
      <c r="X98" s="123">
        <v>6.2989999999999999E-3</v>
      </c>
      <c r="Y98" s="123">
        <v>4.646E-3</v>
      </c>
      <c r="Z98" s="123">
        <v>4.5100000000000001E-4</v>
      </c>
    </row>
    <row r="99" spans="1:26" ht="15" customHeight="1">
      <c r="A99" s="121">
        <v>313</v>
      </c>
      <c r="B99" s="121">
        <v>313</v>
      </c>
      <c r="C99" s="120" t="s">
        <v>2147</v>
      </c>
      <c r="D99" s="121"/>
      <c r="E99" s="120"/>
      <c r="F99" s="120" t="s">
        <v>2188</v>
      </c>
      <c r="G99" s="121">
        <v>62009882</v>
      </c>
      <c r="H99" s="120" t="s">
        <v>311</v>
      </c>
      <c r="I99" s="120" t="s">
        <v>1002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43374</v>
      </c>
      <c r="Q99" s="120" t="s">
        <v>1212</v>
      </c>
      <c r="R99" s="120" t="s">
        <v>886</v>
      </c>
      <c r="S99" s="120" t="s">
        <v>890</v>
      </c>
      <c r="T99" s="124">
        <v>45473</v>
      </c>
      <c r="U99" s="122">
        <v>3.7589999999999999</v>
      </c>
      <c r="V99" s="122">
        <v>9574.0973200000008</v>
      </c>
      <c r="W99" s="122">
        <v>35989.03181</v>
      </c>
      <c r="X99" s="123">
        <v>4.3379999999999998E-3</v>
      </c>
      <c r="Y99" s="123">
        <v>6.2160000000000002E-3</v>
      </c>
      <c r="Z99" s="123">
        <v>6.0300000000000002E-4</v>
      </c>
    </row>
    <row r="100" spans="1:26" ht="15" customHeight="1">
      <c r="A100" s="121">
        <v>313</v>
      </c>
      <c r="B100" s="121">
        <v>313</v>
      </c>
      <c r="C100" s="120" t="s">
        <v>2189</v>
      </c>
      <c r="D100" s="121"/>
      <c r="E100" s="120"/>
      <c r="F100" s="120" t="s">
        <v>2190</v>
      </c>
      <c r="G100" s="121">
        <v>62017504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295</v>
      </c>
      <c r="O100" s="120" t="s">
        <v>338</v>
      </c>
      <c r="P100" s="124">
        <v>44075</v>
      </c>
      <c r="Q100" s="120" t="s">
        <v>1212</v>
      </c>
      <c r="R100" s="120" t="s">
        <v>886</v>
      </c>
      <c r="S100" s="120" t="s">
        <v>890</v>
      </c>
      <c r="T100" s="124">
        <v>45473</v>
      </c>
      <c r="U100" s="122">
        <v>3.7589999999999999</v>
      </c>
      <c r="V100" s="122">
        <v>6810.6349</v>
      </c>
      <c r="W100" s="122">
        <v>25601.176609999999</v>
      </c>
      <c r="X100" s="123">
        <v>9.7999999999999997E-4</v>
      </c>
      <c r="Y100" s="123">
        <v>4.4219999999999997E-3</v>
      </c>
      <c r="Z100" s="123">
        <v>4.2900000000000002E-4</v>
      </c>
    </row>
    <row r="101" spans="1:26" ht="15" customHeight="1">
      <c r="A101" s="121">
        <v>313</v>
      </c>
      <c r="B101" s="121">
        <v>313</v>
      </c>
      <c r="C101" s="120" t="s">
        <v>2191</v>
      </c>
      <c r="D101" s="121"/>
      <c r="E101" s="120"/>
      <c r="F101" s="120" t="s">
        <v>2192</v>
      </c>
      <c r="G101" s="121">
        <v>41000866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43513</v>
      </c>
      <c r="Q101" s="120" t="s">
        <v>1216</v>
      </c>
      <c r="R101" s="120" t="s">
        <v>886</v>
      </c>
      <c r="S101" s="120" t="s">
        <v>890</v>
      </c>
      <c r="T101" s="124">
        <v>45473</v>
      </c>
      <c r="U101" s="122">
        <v>4.0202</v>
      </c>
      <c r="V101" s="122">
        <v>1475.076</v>
      </c>
      <c r="W101" s="122">
        <v>5930.1005400000004</v>
      </c>
      <c r="X101" s="123">
        <v>7.3700000000000002E-4</v>
      </c>
      <c r="Y101" s="123">
        <v>1.024E-3</v>
      </c>
      <c r="Z101" s="123">
        <v>9.8999999999999994E-5</v>
      </c>
    </row>
    <row r="102" spans="1:26" ht="15" customHeight="1">
      <c r="A102" s="121">
        <v>313</v>
      </c>
      <c r="B102" s="121">
        <v>313</v>
      </c>
      <c r="C102" s="120" t="s">
        <v>2161</v>
      </c>
      <c r="D102" s="121"/>
      <c r="E102" s="120"/>
      <c r="F102" s="120" t="s">
        <v>2193</v>
      </c>
      <c r="G102" s="121">
        <v>62007075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295</v>
      </c>
      <c r="O102" s="120" t="s">
        <v>338</v>
      </c>
      <c r="P102" s="124">
        <v>43204</v>
      </c>
      <c r="Q102" s="120" t="s">
        <v>1212</v>
      </c>
      <c r="R102" s="120" t="s">
        <v>886</v>
      </c>
      <c r="S102" s="120" t="s">
        <v>890</v>
      </c>
      <c r="T102" s="124">
        <v>45473</v>
      </c>
      <c r="U102" s="122">
        <v>3.7589999999999999</v>
      </c>
      <c r="V102" s="122">
        <v>12442.93586</v>
      </c>
      <c r="W102" s="122">
        <v>46772.995889999998</v>
      </c>
      <c r="X102" s="123">
        <v>4.87E-2</v>
      </c>
      <c r="Y102" s="123">
        <v>8.0789999999999994E-3</v>
      </c>
      <c r="Z102" s="123">
        <v>7.8399999999999997E-4</v>
      </c>
    </row>
    <row r="103" spans="1:26" ht="15" customHeight="1">
      <c r="A103" s="121">
        <v>313</v>
      </c>
      <c r="B103" s="121">
        <v>313</v>
      </c>
      <c r="C103" s="120" t="s">
        <v>2194</v>
      </c>
      <c r="D103" s="121"/>
      <c r="E103" s="120"/>
      <c r="F103" s="120" t="s">
        <v>2195</v>
      </c>
      <c r="G103" s="121">
        <v>9988965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295</v>
      </c>
      <c r="O103" s="120" t="s">
        <v>338</v>
      </c>
      <c r="P103" s="124">
        <v>40848</v>
      </c>
      <c r="Q103" s="120" t="s">
        <v>1212</v>
      </c>
      <c r="R103" s="120" t="s">
        <v>886</v>
      </c>
      <c r="S103" s="120" t="s">
        <v>890</v>
      </c>
      <c r="T103" s="124">
        <v>45473</v>
      </c>
      <c r="U103" s="122">
        <v>3.7589999999999999</v>
      </c>
      <c r="V103" s="122">
        <v>46.49091</v>
      </c>
      <c r="W103" s="122">
        <v>174.75934000000001</v>
      </c>
      <c r="X103" s="123">
        <v>2.0999999999999999E-5</v>
      </c>
      <c r="Y103" s="123">
        <v>3.0000000000000001E-5</v>
      </c>
      <c r="Z103" s="123">
        <v>1.9999999999999999E-6</v>
      </c>
    </row>
    <row r="104" spans="1:26" ht="15" customHeight="1">
      <c r="A104" s="121">
        <v>313</v>
      </c>
      <c r="B104" s="121">
        <v>313</v>
      </c>
      <c r="C104" s="120" t="s">
        <v>2196</v>
      </c>
      <c r="D104" s="121"/>
      <c r="E104" s="120"/>
      <c r="F104" s="120" t="s">
        <v>2197</v>
      </c>
      <c r="G104" s="121">
        <v>62019600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44497</v>
      </c>
      <c r="Q104" s="120" t="s">
        <v>1212</v>
      </c>
      <c r="R104" s="120" t="s">
        <v>886</v>
      </c>
      <c r="S104" s="120" t="s">
        <v>890</v>
      </c>
      <c r="T104" s="124">
        <v>45473</v>
      </c>
      <c r="U104" s="122">
        <v>3.7589999999999999</v>
      </c>
      <c r="V104" s="122">
        <v>12509.595960000001</v>
      </c>
      <c r="W104" s="122">
        <v>47023.571210000002</v>
      </c>
      <c r="X104" s="123">
        <v>8.8500000000000004E-4</v>
      </c>
      <c r="Y104" s="123">
        <v>8.1220000000000007E-3</v>
      </c>
      <c r="Z104" s="123">
        <v>7.8899999999999999E-4</v>
      </c>
    </row>
    <row r="105" spans="1:26" ht="15" customHeight="1">
      <c r="A105" s="121">
        <v>313</v>
      </c>
      <c r="B105" s="121">
        <v>313</v>
      </c>
      <c r="C105" s="120" t="s">
        <v>2198</v>
      </c>
      <c r="D105" s="121"/>
      <c r="E105" s="120"/>
      <c r="F105" s="120" t="s">
        <v>2199</v>
      </c>
      <c r="G105" s="121">
        <v>62020508</v>
      </c>
      <c r="H105" s="120" t="s">
        <v>311</v>
      </c>
      <c r="I105" s="120" t="s">
        <v>1002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44673</v>
      </c>
      <c r="Q105" s="120" t="s">
        <v>1212</v>
      </c>
      <c r="R105" s="120" t="s">
        <v>886</v>
      </c>
      <c r="S105" s="120" t="s">
        <v>890</v>
      </c>
      <c r="T105" s="124">
        <v>45473</v>
      </c>
      <c r="U105" s="122">
        <v>3.7589999999999999</v>
      </c>
      <c r="V105" s="122">
        <v>953.60194000000001</v>
      </c>
      <c r="W105" s="122">
        <v>3584.5897</v>
      </c>
      <c r="X105" s="123">
        <v>4.8459999999999996E-3</v>
      </c>
      <c r="Y105" s="123">
        <v>6.1899999999999998E-4</v>
      </c>
      <c r="Z105" s="123">
        <v>6.0000000000000002E-5</v>
      </c>
    </row>
    <row r="106" spans="1:26" ht="15" customHeight="1">
      <c r="A106" s="121">
        <v>313</v>
      </c>
      <c r="B106" s="121">
        <v>313</v>
      </c>
      <c r="C106" s="120" t="s">
        <v>2138</v>
      </c>
      <c r="D106" s="121"/>
      <c r="E106" s="120"/>
      <c r="F106" s="120" t="s">
        <v>2200</v>
      </c>
      <c r="G106" s="121">
        <v>62011360</v>
      </c>
      <c r="H106" s="120" t="s">
        <v>311</v>
      </c>
      <c r="I106" s="120" t="s">
        <v>1004</v>
      </c>
      <c r="J106" s="120"/>
      <c r="K106" s="120" t="s">
        <v>204</v>
      </c>
      <c r="L106" s="120"/>
      <c r="M106" s="120"/>
      <c r="N106" s="120" t="s">
        <v>223</v>
      </c>
      <c r="O106" s="120" t="s">
        <v>338</v>
      </c>
      <c r="P106" s="124">
        <v>44858</v>
      </c>
      <c r="Q106" s="120" t="s">
        <v>1212</v>
      </c>
      <c r="R106" s="120" t="s">
        <v>886</v>
      </c>
      <c r="S106" s="120" t="s">
        <v>890</v>
      </c>
      <c r="T106" s="124">
        <v>45473</v>
      </c>
      <c r="U106" s="122">
        <v>3.7589999999999999</v>
      </c>
      <c r="V106" s="122">
        <v>9188.4329400000006</v>
      </c>
      <c r="W106" s="122">
        <v>34539.319430000003</v>
      </c>
      <c r="X106" s="123">
        <v>5.104E-3</v>
      </c>
      <c r="Y106" s="123">
        <v>5.9649999999999998E-3</v>
      </c>
      <c r="Z106" s="123">
        <v>5.7899999999999998E-4</v>
      </c>
    </row>
    <row r="107" spans="1:26" ht="15" customHeight="1">
      <c r="A107" s="121">
        <v>313</v>
      </c>
      <c r="B107" s="121">
        <v>313</v>
      </c>
      <c r="C107" s="120" t="s">
        <v>2127</v>
      </c>
      <c r="D107" s="121"/>
      <c r="E107" s="120"/>
      <c r="F107" s="120" t="s">
        <v>2201</v>
      </c>
      <c r="G107" s="121">
        <v>42000913</v>
      </c>
      <c r="H107" s="120" t="s">
        <v>311</v>
      </c>
      <c r="I107" s="120" t="s">
        <v>1006</v>
      </c>
      <c r="J107" s="120"/>
      <c r="K107" s="120" t="s">
        <v>204</v>
      </c>
      <c r="L107" s="120"/>
      <c r="M107" s="120"/>
      <c r="N107" s="120" t="s">
        <v>295</v>
      </c>
      <c r="O107" s="120" t="s">
        <v>338</v>
      </c>
      <c r="P107" s="124">
        <v>43601</v>
      </c>
      <c r="Q107" s="120" t="s">
        <v>1212</v>
      </c>
      <c r="R107" s="120" t="s">
        <v>886</v>
      </c>
      <c r="S107" s="120" t="s">
        <v>890</v>
      </c>
      <c r="T107" s="124">
        <v>45473</v>
      </c>
      <c r="U107" s="122">
        <v>3.7589999999999999</v>
      </c>
      <c r="V107" s="122">
        <v>74.614800000000002</v>
      </c>
      <c r="W107" s="122">
        <v>280.47703000000001</v>
      </c>
      <c r="X107" s="123">
        <v>2.4000000000000001E-5</v>
      </c>
      <c r="Y107" s="123">
        <v>4.8000000000000001E-5</v>
      </c>
      <c r="Z107" s="123">
        <v>3.9999999999999998E-6</v>
      </c>
    </row>
    <row r="108" spans="1:26" ht="15" customHeight="1">
      <c r="A108" s="121">
        <v>313</v>
      </c>
      <c r="B108" s="121">
        <v>313</v>
      </c>
      <c r="C108" s="120" t="s">
        <v>2124</v>
      </c>
      <c r="D108" s="121"/>
      <c r="E108" s="120"/>
      <c r="F108" s="120" t="s">
        <v>2202</v>
      </c>
      <c r="G108" s="121">
        <v>44000109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280</v>
      </c>
      <c r="O108" s="120" t="s">
        <v>338</v>
      </c>
      <c r="P108" s="124">
        <v>45473</v>
      </c>
      <c r="Q108" s="120" t="s">
        <v>1212</v>
      </c>
      <c r="R108" s="120" t="s">
        <v>886</v>
      </c>
      <c r="S108" s="120" t="s">
        <v>890</v>
      </c>
      <c r="T108" s="124">
        <v>45473</v>
      </c>
      <c r="U108" s="122">
        <v>3.7589999999999999</v>
      </c>
      <c r="V108" s="122">
        <v>3113.9553599999999</v>
      </c>
      <c r="W108" s="122">
        <v>11705.358200000001</v>
      </c>
      <c r="X108" s="123">
        <v>1.0369999999999999E-3</v>
      </c>
      <c r="Y108" s="123">
        <v>2.0209999999999998E-3</v>
      </c>
      <c r="Z108" s="123">
        <v>1.9599999999999999E-4</v>
      </c>
    </row>
    <row r="109" spans="1:26" ht="15" customHeight="1">
      <c r="A109" s="121">
        <v>313</v>
      </c>
      <c r="B109" s="121">
        <v>313</v>
      </c>
      <c r="C109" s="120" t="s">
        <v>2127</v>
      </c>
      <c r="D109" s="121"/>
      <c r="E109" s="120"/>
      <c r="F109" s="120" t="s">
        <v>2203</v>
      </c>
      <c r="G109" s="121">
        <v>42000914</v>
      </c>
      <c r="H109" s="120" t="s">
        <v>311</v>
      </c>
      <c r="I109" s="120" t="s">
        <v>1006</v>
      </c>
      <c r="J109" s="120"/>
      <c r="K109" s="120" t="s">
        <v>204</v>
      </c>
      <c r="L109" s="120"/>
      <c r="M109" s="120"/>
      <c r="N109" s="120" t="s">
        <v>295</v>
      </c>
      <c r="O109" s="120" t="s">
        <v>338</v>
      </c>
      <c r="P109" s="124">
        <v>43601</v>
      </c>
      <c r="Q109" s="120" t="s">
        <v>1212</v>
      </c>
      <c r="R109" s="120" t="s">
        <v>886</v>
      </c>
      <c r="S109" s="120" t="s">
        <v>890</v>
      </c>
      <c r="T109" s="124">
        <v>45473</v>
      </c>
      <c r="U109" s="122">
        <v>3.7589999999999999</v>
      </c>
      <c r="V109" s="122">
        <v>354.99079999999998</v>
      </c>
      <c r="W109" s="122">
        <v>1334.4104199999999</v>
      </c>
      <c r="X109" s="123">
        <v>1.18E-4</v>
      </c>
      <c r="Y109" s="123">
        <v>2.3000000000000001E-4</v>
      </c>
      <c r="Z109" s="123">
        <v>2.1999999999999999E-5</v>
      </c>
    </row>
    <row r="110" spans="1:26" ht="15" customHeight="1">
      <c r="A110" s="121">
        <v>313</v>
      </c>
      <c r="B110" s="121">
        <v>313</v>
      </c>
      <c r="C110" s="120" t="s">
        <v>2165</v>
      </c>
      <c r="D110" s="121"/>
      <c r="E110" s="120"/>
      <c r="F110" s="120" t="s">
        <v>2204</v>
      </c>
      <c r="G110" s="121">
        <v>41000855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43513</v>
      </c>
      <c r="Q110" s="120" t="s">
        <v>1216</v>
      </c>
      <c r="R110" s="120" t="s">
        <v>886</v>
      </c>
      <c r="S110" s="120" t="s">
        <v>890</v>
      </c>
      <c r="T110" s="124">
        <v>45473</v>
      </c>
      <c r="U110" s="122">
        <v>4.0202</v>
      </c>
      <c r="V110" s="122">
        <v>148.68600000000001</v>
      </c>
      <c r="W110" s="122">
        <v>597.74746000000005</v>
      </c>
      <c r="X110" s="123">
        <v>7.3999999999999996E-5</v>
      </c>
      <c r="Y110" s="123">
        <v>1.03E-4</v>
      </c>
      <c r="Z110" s="123">
        <v>1.0000000000000001E-5</v>
      </c>
    </row>
    <row r="111" spans="1:26" ht="15" customHeight="1">
      <c r="A111" s="121">
        <v>313</v>
      </c>
      <c r="B111" s="121">
        <v>313</v>
      </c>
      <c r="C111" s="120" t="s">
        <v>2191</v>
      </c>
      <c r="D111" s="121"/>
      <c r="E111" s="120"/>
      <c r="F111" s="120" t="s">
        <v>2205</v>
      </c>
      <c r="G111" s="121">
        <v>41000862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292</v>
      </c>
      <c r="O111" s="120" t="s">
        <v>338</v>
      </c>
      <c r="P111" s="124">
        <v>43513</v>
      </c>
      <c r="Q111" s="120" t="s">
        <v>1216</v>
      </c>
      <c r="R111" s="120" t="s">
        <v>886</v>
      </c>
      <c r="S111" s="120" t="s">
        <v>890</v>
      </c>
      <c r="T111" s="124">
        <v>45473</v>
      </c>
      <c r="U111" s="122">
        <v>4.0202</v>
      </c>
      <c r="V111" s="122">
        <v>842.10900000000004</v>
      </c>
      <c r="W111" s="122">
        <v>3385.4466000000002</v>
      </c>
      <c r="X111" s="123">
        <v>4.2099999999999999E-4</v>
      </c>
      <c r="Y111" s="123">
        <v>5.8399999999999999E-4</v>
      </c>
      <c r="Z111" s="123">
        <v>5.5999999999999999E-5</v>
      </c>
    </row>
    <row r="112" spans="1:26" ht="15" customHeight="1">
      <c r="A112" s="121">
        <v>313</v>
      </c>
      <c r="B112" s="121">
        <v>313</v>
      </c>
      <c r="C112" s="120" t="s">
        <v>2138</v>
      </c>
      <c r="D112" s="121"/>
      <c r="E112" s="120"/>
      <c r="F112" s="120" t="s">
        <v>2206</v>
      </c>
      <c r="G112" s="121">
        <v>62013578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295</v>
      </c>
      <c r="O112" s="120" t="s">
        <v>338</v>
      </c>
      <c r="P112" s="124">
        <v>43646</v>
      </c>
      <c r="Q112" s="120" t="s">
        <v>1212</v>
      </c>
      <c r="R112" s="120" t="s">
        <v>886</v>
      </c>
      <c r="S112" s="120" t="s">
        <v>890</v>
      </c>
      <c r="T112" s="124">
        <v>45473</v>
      </c>
      <c r="U112" s="122">
        <v>3.7589999999999999</v>
      </c>
      <c r="V112" s="122">
        <v>8031.8981100000001</v>
      </c>
      <c r="W112" s="122">
        <v>30191.904979999999</v>
      </c>
      <c r="X112" s="123">
        <v>9.4899999999999997E-4</v>
      </c>
      <c r="Y112" s="123">
        <v>5.215E-3</v>
      </c>
      <c r="Z112" s="123">
        <v>5.0600000000000005E-4</v>
      </c>
    </row>
    <row r="113" spans="1:26" ht="15" customHeight="1">
      <c r="A113" s="121">
        <v>313</v>
      </c>
      <c r="B113" s="121">
        <v>313</v>
      </c>
      <c r="C113" s="120" t="s">
        <v>2138</v>
      </c>
      <c r="D113" s="121"/>
      <c r="E113" s="120"/>
      <c r="F113" s="120" t="s">
        <v>2207</v>
      </c>
      <c r="G113" s="121">
        <v>62003613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43009</v>
      </c>
      <c r="Q113" s="120" t="s">
        <v>1212</v>
      </c>
      <c r="R113" s="120" t="s">
        <v>886</v>
      </c>
      <c r="S113" s="120" t="s">
        <v>890</v>
      </c>
      <c r="T113" s="124">
        <v>45473</v>
      </c>
      <c r="U113" s="122">
        <v>3.7589999999999999</v>
      </c>
      <c r="V113" s="122">
        <v>11528.37803</v>
      </c>
      <c r="W113" s="122">
        <v>43335.173029999998</v>
      </c>
      <c r="X113" s="123">
        <v>4.6100000000000004E-3</v>
      </c>
      <c r="Y113" s="123">
        <v>7.4850000000000003E-3</v>
      </c>
      <c r="Z113" s="123">
        <v>7.27E-4</v>
      </c>
    </row>
    <row r="114" spans="1:26" ht="15" customHeight="1">
      <c r="A114" s="121">
        <v>313</v>
      </c>
      <c r="B114" s="121">
        <v>313</v>
      </c>
      <c r="C114" s="120" t="s">
        <v>2161</v>
      </c>
      <c r="D114" s="121"/>
      <c r="E114" s="120"/>
      <c r="F114" s="120" t="s">
        <v>2208</v>
      </c>
      <c r="G114" s="121">
        <v>60312816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288</v>
      </c>
      <c r="O114" s="120" t="s">
        <v>338</v>
      </c>
      <c r="P114" s="124">
        <v>41426</v>
      </c>
      <c r="Q114" s="120" t="s">
        <v>1212</v>
      </c>
      <c r="R114" s="120" t="s">
        <v>886</v>
      </c>
      <c r="S114" s="120" t="s">
        <v>890</v>
      </c>
      <c r="T114" s="124">
        <v>45473</v>
      </c>
      <c r="U114" s="122">
        <v>3.7589999999999999</v>
      </c>
      <c r="V114" s="122">
        <v>989.62413000000004</v>
      </c>
      <c r="W114" s="122">
        <v>3719.9971</v>
      </c>
      <c r="X114" s="123">
        <v>3.9579999999999997E-3</v>
      </c>
      <c r="Y114" s="123">
        <v>6.4199999999999999E-4</v>
      </c>
      <c r="Z114" s="123">
        <v>6.2000000000000003E-5</v>
      </c>
    </row>
    <row r="115" spans="1:26" ht="15" customHeight="1">
      <c r="A115" s="121">
        <v>313</v>
      </c>
      <c r="B115" s="121">
        <v>313</v>
      </c>
      <c r="C115" s="120" t="s">
        <v>2209</v>
      </c>
      <c r="D115" s="121"/>
      <c r="E115" s="120"/>
      <c r="F115" s="120" t="s">
        <v>2210</v>
      </c>
      <c r="G115" s="121">
        <v>60293396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223</v>
      </c>
      <c r="O115" s="120" t="s">
        <v>338</v>
      </c>
      <c r="P115" s="124">
        <v>40940</v>
      </c>
      <c r="Q115" s="120" t="s">
        <v>1212</v>
      </c>
      <c r="R115" s="120" t="s">
        <v>886</v>
      </c>
      <c r="S115" s="120" t="s">
        <v>890</v>
      </c>
      <c r="T115" s="124">
        <v>45473</v>
      </c>
      <c r="U115" s="122">
        <v>3.7589999999999999</v>
      </c>
      <c r="V115" s="122">
        <v>338.99641000000003</v>
      </c>
      <c r="W115" s="122">
        <v>1274.2875200000001</v>
      </c>
      <c r="X115" s="123">
        <v>1.129E-3</v>
      </c>
      <c r="Y115" s="123">
        <v>2.2000000000000001E-4</v>
      </c>
      <c r="Z115" s="123">
        <v>2.0999999999999999E-5</v>
      </c>
    </row>
    <row r="116" spans="1:26" ht="15" customHeight="1">
      <c r="A116" s="121">
        <v>313</v>
      </c>
      <c r="B116" s="121">
        <v>313</v>
      </c>
      <c r="C116" s="120" t="s">
        <v>2155</v>
      </c>
      <c r="D116" s="121"/>
      <c r="E116" s="120"/>
      <c r="F116" s="120" t="s">
        <v>2211</v>
      </c>
      <c r="G116" s="121">
        <v>62007695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292</v>
      </c>
      <c r="O116" s="120" t="s">
        <v>338</v>
      </c>
      <c r="P116" s="124">
        <v>43203</v>
      </c>
      <c r="Q116" s="120" t="s">
        <v>1216</v>
      </c>
      <c r="R116" s="120" t="s">
        <v>886</v>
      </c>
      <c r="S116" s="120" t="s">
        <v>890</v>
      </c>
      <c r="T116" s="124">
        <v>45473</v>
      </c>
      <c r="U116" s="122">
        <v>4.0202</v>
      </c>
      <c r="V116" s="122">
        <v>8514.5586500000009</v>
      </c>
      <c r="W116" s="122">
        <v>34230.228690000004</v>
      </c>
      <c r="X116" s="123">
        <v>1.892E-3</v>
      </c>
      <c r="Y116" s="123">
        <v>5.9119999999999997E-3</v>
      </c>
      <c r="Z116" s="123">
        <v>5.7399999999999997E-4</v>
      </c>
    </row>
    <row r="117" spans="1:26" ht="15" customHeight="1">
      <c r="A117" s="121">
        <v>313</v>
      </c>
      <c r="B117" s="121">
        <v>313</v>
      </c>
      <c r="C117" s="120" t="s">
        <v>2138</v>
      </c>
      <c r="D117" s="121"/>
      <c r="E117" s="120"/>
      <c r="F117" s="120" t="s">
        <v>2212</v>
      </c>
      <c r="G117" s="121">
        <v>62006615</v>
      </c>
      <c r="H117" s="120" t="s">
        <v>311</v>
      </c>
      <c r="I117" s="120" t="s">
        <v>1005</v>
      </c>
      <c r="J117" s="120"/>
      <c r="K117" s="120" t="s">
        <v>204</v>
      </c>
      <c r="L117" s="120"/>
      <c r="M117" s="120"/>
      <c r="N117" s="120" t="s">
        <v>292</v>
      </c>
      <c r="O117" s="120" t="s">
        <v>338</v>
      </c>
      <c r="P117" s="124">
        <v>44287</v>
      </c>
      <c r="Q117" s="120" t="s">
        <v>1216</v>
      </c>
      <c r="R117" s="120" t="s">
        <v>886</v>
      </c>
      <c r="S117" s="120" t="s">
        <v>890</v>
      </c>
      <c r="T117" s="124">
        <v>45473</v>
      </c>
      <c r="U117" s="122">
        <v>4.0202</v>
      </c>
      <c r="V117" s="122">
        <v>4720.5126600000003</v>
      </c>
      <c r="W117" s="122">
        <v>18977.405009999999</v>
      </c>
      <c r="X117" s="123">
        <v>1.3094E-2</v>
      </c>
      <c r="Y117" s="123">
        <v>3.277E-3</v>
      </c>
      <c r="Z117" s="123">
        <v>3.1799999999999998E-4</v>
      </c>
    </row>
    <row r="118" spans="1:26" ht="15" customHeight="1">
      <c r="A118" s="121">
        <v>313</v>
      </c>
      <c r="B118" s="121">
        <v>313</v>
      </c>
      <c r="C118" s="120" t="s">
        <v>2213</v>
      </c>
      <c r="D118" s="121"/>
      <c r="E118" s="120"/>
      <c r="F118" s="120" t="s">
        <v>2214</v>
      </c>
      <c r="G118" s="121">
        <v>60388675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295</v>
      </c>
      <c r="O118" s="120" t="s">
        <v>338</v>
      </c>
      <c r="P118" s="124">
        <v>42095</v>
      </c>
      <c r="Q118" s="120" t="s">
        <v>1212</v>
      </c>
      <c r="R118" s="120" t="s">
        <v>886</v>
      </c>
      <c r="S118" s="120" t="s">
        <v>890</v>
      </c>
      <c r="T118" s="124">
        <v>45473</v>
      </c>
      <c r="U118" s="122">
        <v>3.7589999999999999</v>
      </c>
      <c r="V118" s="122">
        <v>5872.0444600000001</v>
      </c>
      <c r="W118" s="122">
        <v>22073.01511</v>
      </c>
      <c r="X118" s="123">
        <v>3.2600000000000001E-4</v>
      </c>
      <c r="Y118" s="123">
        <v>3.8119999999999999E-3</v>
      </c>
      <c r="Z118" s="123">
        <v>3.6999999999999999E-4</v>
      </c>
    </row>
    <row r="119" spans="1:26" ht="15" customHeight="1">
      <c r="A119" s="121">
        <v>313</v>
      </c>
      <c r="B119" s="121">
        <v>313</v>
      </c>
      <c r="C119" s="120" t="s">
        <v>2215</v>
      </c>
      <c r="D119" s="121"/>
      <c r="E119" s="120"/>
      <c r="F119" s="120" t="s">
        <v>2216</v>
      </c>
      <c r="G119" s="121">
        <v>9840770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223</v>
      </c>
      <c r="O119" s="120" t="s">
        <v>338</v>
      </c>
      <c r="P119" s="124">
        <v>40299</v>
      </c>
      <c r="Q119" s="120" t="s">
        <v>1212</v>
      </c>
      <c r="R119" s="120" t="s">
        <v>886</v>
      </c>
      <c r="S119" s="120" t="s">
        <v>890</v>
      </c>
      <c r="T119" s="124">
        <v>45473</v>
      </c>
      <c r="U119" s="122">
        <v>3.7589999999999999</v>
      </c>
      <c r="V119" s="122">
        <v>32.26746</v>
      </c>
      <c r="W119" s="122">
        <v>121.29337</v>
      </c>
      <c r="X119" s="123">
        <v>3.0000000000000001E-5</v>
      </c>
      <c r="Y119" s="123">
        <v>2.0000000000000002E-5</v>
      </c>
      <c r="Z119" s="123">
        <v>1.9999999999999999E-6</v>
      </c>
    </row>
    <row r="120" spans="1:26" ht="15" customHeight="1">
      <c r="A120" s="121">
        <v>313</v>
      </c>
      <c r="B120" s="121">
        <v>313</v>
      </c>
      <c r="C120" s="120" t="s">
        <v>2127</v>
      </c>
      <c r="D120" s="121"/>
      <c r="E120" s="120"/>
      <c r="F120" s="120" t="s">
        <v>2217</v>
      </c>
      <c r="G120" s="121">
        <v>45000103</v>
      </c>
      <c r="H120" s="120" t="s">
        <v>311</v>
      </c>
      <c r="I120" s="120" t="s">
        <v>1006</v>
      </c>
      <c r="J120" s="120"/>
      <c r="K120" s="120" t="s">
        <v>204</v>
      </c>
      <c r="L120" s="120"/>
      <c r="M120" s="120"/>
      <c r="N120" s="120" t="s">
        <v>223</v>
      </c>
      <c r="O120" s="120" t="s">
        <v>338</v>
      </c>
      <c r="P120" s="124">
        <v>45473</v>
      </c>
      <c r="Q120" s="120" t="s">
        <v>1212</v>
      </c>
      <c r="R120" s="120" t="s">
        <v>886</v>
      </c>
      <c r="S120" s="120" t="s">
        <v>890</v>
      </c>
      <c r="T120" s="124">
        <v>45473</v>
      </c>
      <c r="U120" s="122">
        <v>3.7589999999999999</v>
      </c>
      <c r="V120" s="122">
        <v>62.60942</v>
      </c>
      <c r="W120" s="122">
        <v>235.34880999999999</v>
      </c>
      <c r="X120" s="123">
        <v>6.2600000000000004E-4</v>
      </c>
      <c r="Y120" s="123">
        <v>4.0000000000000003E-5</v>
      </c>
      <c r="Z120" s="123">
        <v>3.0000000000000001E-6</v>
      </c>
    </row>
    <row r="121" spans="1:26" ht="15" customHeight="1">
      <c r="A121" s="121">
        <v>313</v>
      </c>
      <c r="B121" s="121">
        <v>313</v>
      </c>
      <c r="C121" s="120" t="s">
        <v>2213</v>
      </c>
      <c r="D121" s="121"/>
      <c r="E121" s="120"/>
      <c r="F121" s="120" t="s">
        <v>2218</v>
      </c>
      <c r="G121" s="121">
        <v>60385630</v>
      </c>
      <c r="H121" s="120" t="s">
        <v>311</v>
      </c>
      <c r="I121" s="120" t="s">
        <v>1005</v>
      </c>
      <c r="J121" s="120"/>
      <c r="K121" s="120" t="s">
        <v>204</v>
      </c>
      <c r="L121" s="120"/>
      <c r="M121" s="120"/>
      <c r="N121" s="120" t="s">
        <v>295</v>
      </c>
      <c r="O121" s="120" t="s">
        <v>338</v>
      </c>
      <c r="P121" s="124">
        <v>42064</v>
      </c>
      <c r="Q121" s="120" t="s">
        <v>1212</v>
      </c>
      <c r="R121" s="120" t="s">
        <v>886</v>
      </c>
      <c r="S121" s="120" t="s">
        <v>890</v>
      </c>
      <c r="T121" s="124">
        <v>45473</v>
      </c>
      <c r="U121" s="122">
        <v>3.7589999999999999</v>
      </c>
      <c r="V121" s="122">
        <v>7980.7181700000001</v>
      </c>
      <c r="W121" s="122">
        <v>29999.51959</v>
      </c>
      <c r="X121" s="123">
        <v>4.8200000000000001E-4</v>
      </c>
      <c r="Y121" s="123">
        <v>5.1809999999999998E-3</v>
      </c>
      <c r="Z121" s="123">
        <v>5.0299999999999997E-4</v>
      </c>
    </row>
    <row r="122" spans="1:26" ht="15" customHeight="1">
      <c r="A122" s="121">
        <v>313</v>
      </c>
      <c r="B122" s="121">
        <v>313</v>
      </c>
      <c r="C122" s="120" t="s">
        <v>2219</v>
      </c>
      <c r="D122" s="121"/>
      <c r="E122" s="120"/>
      <c r="F122" s="120" t="s">
        <v>2220</v>
      </c>
      <c r="G122" s="121">
        <v>62010088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242</v>
      </c>
      <c r="O122" s="120" t="s">
        <v>338</v>
      </c>
      <c r="P122" s="124">
        <v>43252</v>
      </c>
      <c r="Q122" s="120" t="s">
        <v>1212</v>
      </c>
      <c r="R122" s="120" t="s">
        <v>886</v>
      </c>
      <c r="S122" s="120" t="s">
        <v>890</v>
      </c>
      <c r="T122" s="124">
        <v>45473</v>
      </c>
      <c r="U122" s="122">
        <v>3.7589999999999999</v>
      </c>
      <c r="V122" s="122">
        <v>853.58731999999998</v>
      </c>
      <c r="W122" s="122">
        <v>3208.6347300000002</v>
      </c>
      <c r="X122" s="123">
        <v>1.2880000000000001E-3</v>
      </c>
      <c r="Y122" s="123">
        <v>5.5400000000000002E-4</v>
      </c>
      <c r="Z122" s="123">
        <v>5.3000000000000001E-5</v>
      </c>
    </row>
    <row r="123" spans="1:26" ht="15" customHeight="1">
      <c r="A123" s="121">
        <v>313</v>
      </c>
      <c r="B123" s="121">
        <v>313</v>
      </c>
      <c r="C123" s="120" t="s">
        <v>2221</v>
      </c>
      <c r="D123" s="121"/>
      <c r="E123" s="120"/>
      <c r="F123" s="120" t="s">
        <v>2222</v>
      </c>
      <c r="G123" s="121">
        <v>62006524</v>
      </c>
      <c r="H123" s="120" t="s">
        <v>311</v>
      </c>
      <c r="I123" s="120" t="s">
        <v>1005</v>
      </c>
      <c r="J123" s="120"/>
      <c r="K123" s="120" t="s">
        <v>204</v>
      </c>
      <c r="L123" s="120"/>
      <c r="M123" s="120"/>
      <c r="N123" s="120" t="s">
        <v>223</v>
      </c>
      <c r="O123" s="120" t="s">
        <v>338</v>
      </c>
      <c r="P123" s="124">
        <v>44501</v>
      </c>
      <c r="Q123" s="120" t="s">
        <v>1212</v>
      </c>
      <c r="R123" s="120" t="s">
        <v>886</v>
      </c>
      <c r="S123" s="120" t="s">
        <v>890</v>
      </c>
      <c r="T123" s="124">
        <v>45473</v>
      </c>
      <c r="U123" s="122">
        <v>3.7589999999999999</v>
      </c>
      <c r="V123" s="122">
        <v>17102.490300000001</v>
      </c>
      <c r="W123" s="122">
        <v>64288.261059999997</v>
      </c>
      <c r="X123" s="123">
        <v>6.2189999999999997E-3</v>
      </c>
      <c r="Y123" s="123">
        <v>1.1103999999999999E-2</v>
      </c>
      <c r="Z123" s="123">
        <v>1.078E-3</v>
      </c>
    </row>
    <row r="124" spans="1:26" ht="15" customHeight="1">
      <c r="A124" s="121">
        <v>313</v>
      </c>
      <c r="B124" s="121">
        <v>313</v>
      </c>
      <c r="C124" s="120" t="s">
        <v>2223</v>
      </c>
      <c r="D124" s="121"/>
      <c r="E124" s="120"/>
      <c r="F124" s="120" t="s">
        <v>2224</v>
      </c>
      <c r="G124" s="121">
        <v>60311032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289</v>
      </c>
      <c r="O124" s="120" t="s">
        <v>338</v>
      </c>
      <c r="P124" s="124">
        <v>41153</v>
      </c>
      <c r="Q124" s="120" t="s">
        <v>1212</v>
      </c>
      <c r="R124" s="120" t="s">
        <v>886</v>
      </c>
      <c r="S124" s="120" t="s">
        <v>890</v>
      </c>
      <c r="T124" s="124">
        <v>45473</v>
      </c>
      <c r="U124" s="122">
        <v>3.7589999999999999</v>
      </c>
      <c r="V124" s="122">
        <v>561.43628000000001</v>
      </c>
      <c r="W124" s="122">
        <v>2110.4389900000001</v>
      </c>
      <c r="X124" s="123">
        <v>1.093E-3</v>
      </c>
      <c r="Y124" s="123">
        <v>3.6400000000000001E-4</v>
      </c>
      <c r="Z124" s="123">
        <v>3.4999999999999997E-5</v>
      </c>
    </row>
    <row r="125" spans="1:26" ht="15" customHeight="1">
      <c r="A125" s="121">
        <v>313</v>
      </c>
      <c r="B125" s="121">
        <v>313</v>
      </c>
      <c r="C125" s="120" t="s">
        <v>2176</v>
      </c>
      <c r="D125" s="121"/>
      <c r="E125" s="120"/>
      <c r="F125" s="120" t="s">
        <v>2225</v>
      </c>
      <c r="G125" s="121">
        <v>62016829</v>
      </c>
      <c r="H125" s="120" t="s">
        <v>311</v>
      </c>
      <c r="I125" s="120" t="s">
        <v>1005</v>
      </c>
      <c r="J125" s="120"/>
      <c r="K125" s="120" t="s">
        <v>204</v>
      </c>
      <c r="L125" s="120"/>
      <c r="M125" s="120"/>
      <c r="N125" s="120" t="s">
        <v>281</v>
      </c>
      <c r="O125" s="120" t="s">
        <v>338</v>
      </c>
      <c r="P125" s="124">
        <v>44007</v>
      </c>
      <c r="Q125" s="120" t="s">
        <v>1229</v>
      </c>
      <c r="R125" s="120" t="s">
        <v>886</v>
      </c>
      <c r="S125" s="120" t="s">
        <v>890</v>
      </c>
      <c r="T125" s="124">
        <v>45473</v>
      </c>
      <c r="U125" s="122">
        <v>2.7412999999999998</v>
      </c>
      <c r="V125" s="122">
        <v>7584.9301699999996</v>
      </c>
      <c r="W125" s="122">
        <v>20792.569080000001</v>
      </c>
      <c r="X125" s="123">
        <v>7.5839999999999996E-3</v>
      </c>
      <c r="Y125" s="123">
        <v>3.591E-3</v>
      </c>
      <c r="Z125" s="123">
        <v>3.48E-4</v>
      </c>
    </row>
    <row r="126" spans="1:26" ht="15" customHeight="1">
      <c r="A126" s="121">
        <v>313</v>
      </c>
      <c r="B126" s="121">
        <v>313</v>
      </c>
      <c r="C126" s="120" t="s">
        <v>2189</v>
      </c>
      <c r="D126" s="121"/>
      <c r="E126" s="120"/>
      <c r="F126" s="120" t="s">
        <v>2226</v>
      </c>
      <c r="G126" s="121">
        <v>62016841</v>
      </c>
      <c r="H126" s="120" t="s">
        <v>311</v>
      </c>
      <c r="I126" s="120" t="s">
        <v>1005</v>
      </c>
      <c r="J126" s="120"/>
      <c r="K126" s="120" t="s">
        <v>204</v>
      </c>
      <c r="L126" s="120"/>
      <c r="M126" s="120"/>
      <c r="N126" s="120" t="s">
        <v>281</v>
      </c>
      <c r="O126" s="120" t="s">
        <v>338</v>
      </c>
      <c r="P126" s="124">
        <v>44742</v>
      </c>
      <c r="Q126" s="120" t="s">
        <v>1229</v>
      </c>
      <c r="R126" s="120" t="s">
        <v>886</v>
      </c>
      <c r="S126" s="120" t="s">
        <v>890</v>
      </c>
      <c r="T126" s="124">
        <v>45473</v>
      </c>
      <c r="U126" s="122">
        <v>2.7412999999999998</v>
      </c>
      <c r="V126" s="122">
        <v>444.10845</v>
      </c>
      <c r="W126" s="122">
        <v>1217.4344900000001</v>
      </c>
      <c r="X126" s="123">
        <v>4.44E-4</v>
      </c>
      <c r="Y126" s="123">
        <v>2.1000000000000001E-4</v>
      </c>
      <c r="Z126" s="123">
        <v>2.0000000000000002E-5</v>
      </c>
    </row>
    <row r="127" spans="1:26" ht="15" customHeight="1">
      <c r="A127" s="121">
        <v>313</v>
      </c>
      <c r="B127" s="121">
        <v>313</v>
      </c>
      <c r="C127" s="120" t="s">
        <v>2065</v>
      </c>
      <c r="D127" s="121"/>
      <c r="E127" s="120"/>
      <c r="F127" s="120" t="s">
        <v>2227</v>
      </c>
      <c r="G127" s="121">
        <v>62010083</v>
      </c>
      <c r="H127" s="120" t="s">
        <v>311</v>
      </c>
      <c r="I127" s="120" t="s">
        <v>1006</v>
      </c>
      <c r="J127" s="120"/>
      <c r="K127" s="120" t="s">
        <v>204</v>
      </c>
      <c r="L127" s="120"/>
      <c r="M127" s="120"/>
      <c r="N127" s="120" t="s">
        <v>223</v>
      </c>
      <c r="O127" s="120" t="s">
        <v>338</v>
      </c>
      <c r="P127" s="124">
        <v>43466</v>
      </c>
      <c r="Q127" s="120" t="s">
        <v>1212</v>
      </c>
      <c r="R127" s="120" t="s">
        <v>886</v>
      </c>
      <c r="S127" s="120" t="s">
        <v>890</v>
      </c>
      <c r="T127" s="124">
        <v>45473</v>
      </c>
      <c r="U127" s="122">
        <v>3.7589999999999999</v>
      </c>
      <c r="V127" s="122">
        <v>14849.80523</v>
      </c>
      <c r="W127" s="122">
        <v>55820.417849999998</v>
      </c>
      <c r="X127" s="123">
        <v>0.15759899999999999</v>
      </c>
      <c r="Y127" s="123">
        <v>9.6410000000000003E-3</v>
      </c>
      <c r="Z127" s="123">
        <v>9.3599999999999998E-4</v>
      </c>
    </row>
    <row r="128" spans="1:26" ht="15" customHeight="1">
      <c r="A128" s="121">
        <v>313</v>
      </c>
      <c r="B128" s="121">
        <v>313</v>
      </c>
      <c r="C128" s="120" t="s">
        <v>2228</v>
      </c>
      <c r="D128" s="121"/>
      <c r="E128" s="120"/>
      <c r="F128" s="120" t="s">
        <v>2229</v>
      </c>
      <c r="G128" s="121">
        <v>40000580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43513</v>
      </c>
      <c r="Q128" s="120" t="s">
        <v>1216</v>
      </c>
      <c r="R128" s="120" t="s">
        <v>886</v>
      </c>
      <c r="S128" s="120" t="s">
        <v>890</v>
      </c>
      <c r="T128" s="124">
        <v>45473</v>
      </c>
      <c r="U128" s="122">
        <v>4.0202</v>
      </c>
      <c r="V128" s="122">
        <v>0.27200000000000002</v>
      </c>
      <c r="W128" s="122">
        <v>1.0934900000000001</v>
      </c>
      <c r="X128" s="123">
        <v>2.6999999999999999E-5</v>
      </c>
      <c r="Y128" s="123">
        <v>0</v>
      </c>
      <c r="Z128" s="123">
        <v>0</v>
      </c>
    </row>
    <row r="129" spans="1:26" ht="15" customHeight="1">
      <c r="A129" s="121">
        <v>313</v>
      </c>
      <c r="B129" s="121">
        <v>313</v>
      </c>
      <c r="C129" s="120" t="s">
        <v>2132</v>
      </c>
      <c r="D129" s="121"/>
      <c r="E129" s="120"/>
      <c r="F129" s="120" t="s">
        <v>2230</v>
      </c>
      <c r="G129" s="121">
        <v>41000798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292</v>
      </c>
      <c r="O129" s="120" t="s">
        <v>338</v>
      </c>
      <c r="P129" s="124">
        <v>43513</v>
      </c>
      <c r="Q129" s="120" t="s">
        <v>1216</v>
      </c>
      <c r="R129" s="120" t="s">
        <v>886</v>
      </c>
      <c r="S129" s="120" t="s">
        <v>890</v>
      </c>
      <c r="T129" s="124">
        <v>45473</v>
      </c>
      <c r="U129" s="122">
        <v>4.0202</v>
      </c>
      <c r="V129" s="122">
        <v>-10010.488799999999</v>
      </c>
      <c r="W129" s="122">
        <v>-40244.167070000003</v>
      </c>
      <c r="X129" s="123">
        <v>0</v>
      </c>
      <c r="Y129" s="123">
        <v>-6.9509999999999997E-3</v>
      </c>
      <c r="Z129" s="123">
        <v>-6.7500000000000004E-4</v>
      </c>
    </row>
    <row r="130" spans="1:26" ht="15" customHeight="1">
      <c r="A130" s="121">
        <v>313</v>
      </c>
      <c r="B130" s="121">
        <v>313</v>
      </c>
      <c r="C130" s="120" t="s">
        <v>2124</v>
      </c>
      <c r="D130" s="121"/>
      <c r="E130" s="120"/>
      <c r="F130" s="120" t="s">
        <v>2231</v>
      </c>
      <c r="G130" s="121">
        <v>44000101</v>
      </c>
      <c r="H130" s="120" t="s">
        <v>311</v>
      </c>
      <c r="I130" s="120" t="s">
        <v>849</v>
      </c>
      <c r="J130" s="120"/>
      <c r="K130" s="120" t="s">
        <v>204</v>
      </c>
      <c r="L130" s="120"/>
      <c r="M130" s="120"/>
      <c r="N130" s="120" t="s">
        <v>295</v>
      </c>
      <c r="O130" s="120" t="s">
        <v>338</v>
      </c>
      <c r="P130" s="124">
        <v>44946</v>
      </c>
      <c r="Q130" s="120" t="s">
        <v>1212</v>
      </c>
      <c r="R130" s="120" t="s">
        <v>886</v>
      </c>
      <c r="S130" s="120" t="s">
        <v>890</v>
      </c>
      <c r="T130" s="124">
        <v>45473</v>
      </c>
      <c r="U130" s="122">
        <v>3.7589999999999999</v>
      </c>
      <c r="V130" s="122">
        <v>8592.4215899999999</v>
      </c>
      <c r="W130" s="122">
        <v>32298.912759999999</v>
      </c>
      <c r="X130" s="123">
        <v>2.8639999999999998E-3</v>
      </c>
      <c r="Y130" s="123">
        <v>5.5789999999999998E-3</v>
      </c>
      <c r="Z130" s="123">
        <v>5.4199999999999995E-4</v>
      </c>
    </row>
    <row r="131" spans="1:26" ht="15" customHeight="1">
      <c r="A131" s="121">
        <v>313</v>
      </c>
      <c r="B131" s="121">
        <v>313</v>
      </c>
      <c r="C131" s="120" t="s">
        <v>2232</v>
      </c>
      <c r="D131" s="121"/>
      <c r="E131" s="120"/>
      <c r="F131" s="120" t="s">
        <v>2233</v>
      </c>
      <c r="G131" s="121">
        <v>62013937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267</v>
      </c>
      <c r="O131" s="120" t="s">
        <v>338</v>
      </c>
      <c r="P131" s="124">
        <v>43251</v>
      </c>
      <c r="Q131" s="120" t="s">
        <v>1212</v>
      </c>
      <c r="R131" s="120" t="s">
        <v>886</v>
      </c>
      <c r="S131" s="120" t="s">
        <v>890</v>
      </c>
      <c r="T131" s="124">
        <v>45473</v>
      </c>
      <c r="U131" s="122">
        <v>3.7589999999999999</v>
      </c>
      <c r="V131" s="122">
        <v>1944.2664199999999</v>
      </c>
      <c r="W131" s="122">
        <v>7308.4974599999996</v>
      </c>
      <c r="X131" s="123">
        <v>1.294E-3</v>
      </c>
      <c r="Y131" s="123">
        <v>1.2620000000000001E-3</v>
      </c>
      <c r="Z131" s="123">
        <v>1.22E-4</v>
      </c>
    </row>
    <row r="132" spans="1:26" ht="15" customHeight="1">
      <c r="A132" s="121">
        <v>313</v>
      </c>
      <c r="B132" s="121">
        <v>313</v>
      </c>
      <c r="C132" s="120" t="s">
        <v>2165</v>
      </c>
      <c r="D132" s="121"/>
      <c r="E132" s="120"/>
      <c r="F132" s="120" t="s">
        <v>2234</v>
      </c>
      <c r="G132" s="121">
        <v>41000852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295</v>
      </c>
      <c r="O132" s="120" t="s">
        <v>338</v>
      </c>
      <c r="P132" s="124">
        <v>43513</v>
      </c>
      <c r="Q132" s="120" t="s">
        <v>1216</v>
      </c>
      <c r="R132" s="120" t="s">
        <v>886</v>
      </c>
      <c r="S132" s="120" t="s">
        <v>890</v>
      </c>
      <c r="T132" s="124">
        <v>45473</v>
      </c>
      <c r="U132" s="122">
        <v>4.0202</v>
      </c>
      <c r="V132" s="122">
        <v>91.042000000000002</v>
      </c>
      <c r="W132" s="122">
        <v>366.00704999999999</v>
      </c>
      <c r="X132" s="123">
        <v>9.1000000000000003E-5</v>
      </c>
      <c r="Y132" s="123">
        <v>6.3E-5</v>
      </c>
      <c r="Z132" s="123">
        <v>6.0000000000000002E-6</v>
      </c>
    </row>
    <row r="133" spans="1:26" ht="15" customHeight="1">
      <c r="A133" s="121">
        <v>313</v>
      </c>
      <c r="B133" s="121">
        <v>313</v>
      </c>
      <c r="C133" s="120" t="s">
        <v>2124</v>
      </c>
      <c r="D133" s="121"/>
      <c r="E133" s="120"/>
      <c r="F133" s="120" t="s">
        <v>2235</v>
      </c>
      <c r="G133" s="121">
        <v>43000911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280</v>
      </c>
      <c r="O133" s="120" t="s">
        <v>338</v>
      </c>
      <c r="P133" s="124">
        <v>44054</v>
      </c>
      <c r="Q133" s="120" t="s">
        <v>1212</v>
      </c>
      <c r="R133" s="120" t="s">
        <v>886</v>
      </c>
      <c r="S133" s="120" t="s">
        <v>890</v>
      </c>
      <c r="T133" s="124">
        <v>45473</v>
      </c>
      <c r="U133" s="122">
        <v>3.7589999999999999</v>
      </c>
      <c r="V133" s="122">
        <v>904.428</v>
      </c>
      <c r="W133" s="122">
        <v>3399.74485</v>
      </c>
      <c r="X133" s="123">
        <v>4.5199999999999998E-4</v>
      </c>
      <c r="Y133" s="123">
        <v>5.8699999999999996E-4</v>
      </c>
      <c r="Z133" s="123">
        <v>5.7000000000000003E-5</v>
      </c>
    </row>
    <row r="134" spans="1:26" ht="15" customHeight="1">
      <c r="A134" s="121">
        <v>313</v>
      </c>
      <c r="B134" s="121">
        <v>313</v>
      </c>
      <c r="C134" s="120" t="s">
        <v>2057</v>
      </c>
      <c r="D134" s="121"/>
      <c r="E134" s="120"/>
      <c r="F134" s="120" t="s">
        <v>2236</v>
      </c>
      <c r="G134" s="121">
        <v>60385260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44174</v>
      </c>
      <c r="Q134" s="120" t="s">
        <v>1216</v>
      </c>
      <c r="R134" s="120" t="s">
        <v>886</v>
      </c>
      <c r="S134" s="120" t="s">
        <v>890</v>
      </c>
      <c r="T134" s="124">
        <v>45473</v>
      </c>
      <c r="U134" s="122">
        <v>4.0202</v>
      </c>
      <c r="V134" s="122">
        <v>2492.5105800000001</v>
      </c>
      <c r="W134" s="122">
        <v>10020.391030000001</v>
      </c>
      <c r="X134" s="123">
        <v>9.2599999999999996E-4</v>
      </c>
      <c r="Y134" s="123">
        <v>1.73E-3</v>
      </c>
      <c r="Z134" s="123">
        <v>1.6799999999999999E-4</v>
      </c>
    </row>
    <row r="135" spans="1:26" ht="15" customHeight="1">
      <c r="A135" s="121">
        <v>313</v>
      </c>
      <c r="B135" s="121">
        <v>313</v>
      </c>
      <c r="C135" s="120" t="s">
        <v>2237</v>
      </c>
      <c r="D135" s="121"/>
      <c r="E135" s="120"/>
      <c r="F135" s="120" t="s">
        <v>2238</v>
      </c>
      <c r="G135" s="121">
        <v>62018171</v>
      </c>
      <c r="H135" s="120" t="s">
        <v>311</v>
      </c>
      <c r="I135" s="120" t="s">
        <v>1002</v>
      </c>
      <c r="J135" s="120"/>
      <c r="K135" s="120" t="s">
        <v>204</v>
      </c>
      <c r="L135" s="120"/>
      <c r="M135" s="120"/>
      <c r="N135" s="120" t="s">
        <v>292</v>
      </c>
      <c r="O135" s="120" t="s">
        <v>338</v>
      </c>
      <c r="P135" s="124">
        <v>44256</v>
      </c>
      <c r="Q135" s="120" t="s">
        <v>1216</v>
      </c>
      <c r="R135" s="120" t="s">
        <v>886</v>
      </c>
      <c r="S135" s="120" t="s">
        <v>890</v>
      </c>
      <c r="T135" s="124">
        <v>45473</v>
      </c>
      <c r="U135" s="122">
        <v>4.0202</v>
      </c>
      <c r="V135" s="122">
        <v>28821.236110000002</v>
      </c>
      <c r="W135" s="122">
        <v>115867.13340999999</v>
      </c>
      <c r="X135" s="123">
        <v>0.106267</v>
      </c>
      <c r="Y135" s="123">
        <v>2.0013E-2</v>
      </c>
      <c r="Z135" s="123">
        <v>1.944E-3</v>
      </c>
    </row>
    <row r="136" spans="1:26" ht="15" customHeight="1">
      <c r="A136" s="121">
        <v>313</v>
      </c>
      <c r="B136" s="121">
        <v>313</v>
      </c>
      <c r="C136" s="120" t="s">
        <v>2239</v>
      </c>
      <c r="D136" s="121"/>
      <c r="E136" s="120"/>
      <c r="F136" s="120" t="s">
        <v>2240</v>
      </c>
      <c r="G136" s="121">
        <v>62015862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223</v>
      </c>
      <c r="O136" s="120" t="s">
        <v>338</v>
      </c>
      <c r="P136" s="124">
        <v>43845</v>
      </c>
      <c r="Q136" s="120" t="s">
        <v>1212</v>
      </c>
      <c r="R136" s="120" t="s">
        <v>886</v>
      </c>
      <c r="S136" s="120" t="s">
        <v>890</v>
      </c>
      <c r="T136" s="124">
        <v>45473</v>
      </c>
      <c r="U136" s="122">
        <v>3.7589999999999999</v>
      </c>
      <c r="V136" s="122">
        <v>8990.1412</v>
      </c>
      <c r="W136" s="122">
        <v>33793.940759999998</v>
      </c>
      <c r="X136" s="123">
        <v>9.4200000000000002E-4</v>
      </c>
      <c r="Y136" s="123">
        <v>5.8370000000000002E-3</v>
      </c>
      <c r="Z136" s="123">
        <v>5.6700000000000001E-4</v>
      </c>
    </row>
    <row r="137" spans="1:26" ht="15" customHeight="1">
      <c r="A137" s="121">
        <v>313</v>
      </c>
      <c r="B137" s="121">
        <v>313</v>
      </c>
      <c r="C137" s="120" t="s">
        <v>2127</v>
      </c>
      <c r="D137" s="121"/>
      <c r="E137" s="120"/>
      <c r="F137" s="120" t="s">
        <v>2241</v>
      </c>
      <c r="G137" s="121">
        <v>42000906</v>
      </c>
      <c r="H137" s="120" t="s">
        <v>311</v>
      </c>
      <c r="I137" s="120" t="s">
        <v>1006</v>
      </c>
      <c r="J137" s="120"/>
      <c r="K137" s="120" t="s">
        <v>204</v>
      </c>
      <c r="L137" s="120"/>
      <c r="M137" s="120"/>
      <c r="N137" s="120" t="s">
        <v>295</v>
      </c>
      <c r="O137" s="120" t="s">
        <v>338</v>
      </c>
      <c r="P137" s="124">
        <v>43601</v>
      </c>
      <c r="Q137" s="120" t="s">
        <v>1212</v>
      </c>
      <c r="R137" s="120" t="s">
        <v>886</v>
      </c>
      <c r="S137" s="120" t="s">
        <v>890</v>
      </c>
      <c r="T137" s="124">
        <v>45473</v>
      </c>
      <c r="U137" s="122">
        <v>3.7589999999999999</v>
      </c>
      <c r="V137" s="122">
        <v>1602.3191999999999</v>
      </c>
      <c r="W137" s="122">
        <v>6023.11787</v>
      </c>
      <c r="X137" s="123">
        <v>5.3399999999999997E-4</v>
      </c>
      <c r="Y137" s="123">
        <v>1.0399999999999999E-3</v>
      </c>
      <c r="Z137" s="123">
        <v>1.01E-4</v>
      </c>
    </row>
    <row r="138" spans="1:26" ht="15" customHeight="1">
      <c r="A138" s="121">
        <v>313</v>
      </c>
      <c r="B138" s="121">
        <v>313</v>
      </c>
      <c r="C138" s="120" t="s">
        <v>2242</v>
      </c>
      <c r="D138" s="121"/>
      <c r="E138" s="120"/>
      <c r="F138" s="120" t="s">
        <v>2243</v>
      </c>
      <c r="G138" s="121">
        <v>62018181</v>
      </c>
      <c r="H138" s="120" t="s">
        <v>311</v>
      </c>
      <c r="I138" s="120" t="s">
        <v>1002</v>
      </c>
      <c r="J138" s="120"/>
      <c r="K138" s="120" t="s">
        <v>204</v>
      </c>
      <c r="L138" s="120"/>
      <c r="M138" s="120"/>
      <c r="N138" s="120" t="s">
        <v>232</v>
      </c>
      <c r="O138" s="120" t="s">
        <v>338</v>
      </c>
      <c r="P138" s="124">
        <v>44784</v>
      </c>
      <c r="Q138" s="120" t="s">
        <v>1212</v>
      </c>
      <c r="R138" s="120" t="s">
        <v>886</v>
      </c>
      <c r="S138" s="120" t="s">
        <v>890</v>
      </c>
      <c r="T138" s="124">
        <v>45473</v>
      </c>
      <c r="U138" s="122">
        <v>3.7589999999999999</v>
      </c>
      <c r="V138" s="122">
        <v>3113.2620000000002</v>
      </c>
      <c r="W138" s="122">
        <v>11702.75186</v>
      </c>
      <c r="X138" s="123">
        <v>3.7742999999999999E-2</v>
      </c>
      <c r="Y138" s="123">
        <v>2.0209999999999998E-3</v>
      </c>
      <c r="Z138" s="123">
        <v>1.9599999999999999E-4</v>
      </c>
    </row>
    <row r="139" spans="1:26" ht="15" customHeight="1">
      <c r="A139" s="121">
        <v>313</v>
      </c>
      <c r="B139" s="121">
        <v>313</v>
      </c>
      <c r="C139" s="120" t="s">
        <v>2244</v>
      </c>
      <c r="D139" s="121"/>
      <c r="E139" s="120"/>
      <c r="F139" s="120" t="s">
        <v>2245</v>
      </c>
      <c r="G139" s="121">
        <v>60341914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295</v>
      </c>
      <c r="O139" s="120" t="s">
        <v>338</v>
      </c>
      <c r="P139" s="124">
        <v>41548</v>
      </c>
      <c r="Q139" s="120" t="s">
        <v>1212</v>
      </c>
      <c r="R139" s="120" t="s">
        <v>886</v>
      </c>
      <c r="S139" s="120" t="s">
        <v>890</v>
      </c>
      <c r="T139" s="124">
        <v>45473</v>
      </c>
      <c r="U139" s="122">
        <v>3.7589999999999999</v>
      </c>
      <c r="V139" s="122">
        <v>1998.05799</v>
      </c>
      <c r="W139" s="122">
        <v>7510.7</v>
      </c>
      <c r="X139" s="123">
        <v>2.036E-3</v>
      </c>
      <c r="Y139" s="123">
        <v>1.297E-3</v>
      </c>
      <c r="Z139" s="123">
        <v>1.26E-4</v>
      </c>
    </row>
    <row r="140" spans="1:26" ht="15" customHeight="1">
      <c r="A140" s="121">
        <v>313</v>
      </c>
      <c r="B140" s="121">
        <v>313</v>
      </c>
      <c r="C140" s="120" t="s">
        <v>2138</v>
      </c>
      <c r="D140" s="121"/>
      <c r="E140" s="120"/>
      <c r="F140" s="120" t="s">
        <v>2246</v>
      </c>
      <c r="G140" s="121">
        <v>62009378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232</v>
      </c>
      <c r="O140" s="120" t="s">
        <v>338</v>
      </c>
      <c r="P140" s="124">
        <v>43282</v>
      </c>
      <c r="Q140" s="120" t="s">
        <v>1230</v>
      </c>
      <c r="R140" s="120" t="s">
        <v>886</v>
      </c>
      <c r="S140" s="120" t="s">
        <v>890</v>
      </c>
      <c r="T140" s="124">
        <v>45473</v>
      </c>
      <c r="U140" s="122">
        <v>4.7504999999999997</v>
      </c>
      <c r="V140" s="122">
        <v>2304.9331699999998</v>
      </c>
      <c r="W140" s="122">
        <v>10949.58505</v>
      </c>
      <c r="X140" s="123">
        <v>3.212E-3</v>
      </c>
      <c r="Y140" s="123">
        <v>1.8910000000000001E-3</v>
      </c>
      <c r="Z140" s="123">
        <v>1.83E-4</v>
      </c>
    </row>
    <row r="141" spans="1:26" ht="15" customHeight="1">
      <c r="A141" s="121">
        <v>313</v>
      </c>
      <c r="B141" s="121">
        <v>313</v>
      </c>
      <c r="C141" s="120" t="s">
        <v>2127</v>
      </c>
      <c r="D141" s="121"/>
      <c r="E141" s="120"/>
      <c r="F141" s="120" t="s">
        <v>2247</v>
      </c>
      <c r="G141" s="121">
        <v>42000909</v>
      </c>
      <c r="H141" s="120" t="s">
        <v>311</v>
      </c>
      <c r="I141" s="120" t="s">
        <v>1006</v>
      </c>
      <c r="J141" s="120"/>
      <c r="K141" s="120" t="s">
        <v>204</v>
      </c>
      <c r="L141" s="120"/>
      <c r="M141" s="120"/>
      <c r="N141" s="120" t="s">
        <v>295</v>
      </c>
      <c r="O141" s="120" t="s">
        <v>338</v>
      </c>
      <c r="P141" s="124">
        <v>43601</v>
      </c>
      <c r="Q141" s="120" t="s">
        <v>1212</v>
      </c>
      <c r="R141" s="120" t="s">
        <v>886</v>
      </c>
      <c r="S141" s="120" t="s">
        <v>890</v>
      </c>
      <c r="T141" s="124">
        <v>45473</v>
      </c>
      <c r="U141" s="122">
        <v>3.7589999999999999</v>
      </c>
      <c r="V141" s="122">
        <v>651.19479999999999</v>
      </c>
      <c r="W141" s="122">
        <v>2447.8412499999999</v>
      </c>
      <c r="X141" s="123">
        <v>2.1699999999999999E-4</v>
      </c>
      <c r="Y141" s="123">
        <v>4.2200000000000001E-4</v>
      </c>
      <c r="Z141" s="123">
        <v>4.1E-5</v>
      </c>
    </row>
    <row r="142" spans="1:26" ht="15" customHeight="1">
      <c r="A142" s="121">
        <v>313</v>
      </c>
      <c r="B142" s="121">
        <v>313</v>
      </c>
      <c r="C142" s="120" t="s">
        <v>2138</v>
      </c>
      <c r="D142" s="121"/>
      <c r="E142" s="120"/>
      <c r="F142" s="120" t="s">
        <v>2248</v>
      </c>
      <c r="G142" s="121">
        <v>62006978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288</v>
      </c>
      <c r="O142" s="120" t="s">
        <v>338</v>
      </c>
      <c r="P142" s="124">
        <v>43091</v>
      </c>
      <c r="Q142" s="120" t="s">
        <v>1212</v>
      </c>
      <c r="R142" s="120" t="s">
        <v>886</v>
      </c>
      <c r="S142" s="120" t="s">
        <v>890</v>
      </c>
      <c r="T142" s="124">
        <v>45473</v>
      </c>
      <c r="U142" s="122">
        <v>3.7589999999999999</v>
      </c>
      <c r="V142" s="122">
        <v>1719.18373</v>
      </c>
      <c r="W142" s="122">
        <v>6462.4116599999998</v>
      </c>
      <c r="X142" s="123">
        <v>4.5710000000000004E-3</v>
      </c>
      <c r="Y142" s="123">
        <v>1.116E-3</v>
      </c>
      <c r="Z142" s="123">
        <v>1.08E-4</v>
      </c>
    </row>
    <row r="143" spans="1:26" ht="15" customHeight="1">
      <c r="A143" s="121">
        <v>313</v>
      </c>
      <c r="B143" s="121">
        <v>313</v>
      </c>
      <c r="C143" s="120" t="s">
        <v>2249</v>
      </c>
      <c r="D143" s="121"/>
      <c r="E143" s="120"/>
      <c r="F143" s="120" t="s">
        <v>2250</v>
      </c>
      <c r="G143" s="121">
        <v>62001232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42826</v>
      </c>
      <c r="Q143" s="120" t="s">
        <v>1212</v>
      </c>
      <c r="R143" s="120" t="s">
        <v>886</v>
      </c>
      <c r="S143" s="120" t="s">
        <v>890</v>
      </c>
      <c r="T143" s="124">
        <v>45473</v>
      </c>
      <c r="U143" s="122">
        <v>3.7589999999999999</v>
      </c>
      <c r="V143" s="122">
        <v>2116.08005</v>
      </c>
      <c r="W143" s="122">
        <v>7954.3449000000001</v>
      </c>
      <c r="X143" s="123">
        <v>3.7450000000000001E-3</v>
      </c>
      <c r="Y143" s="123">
        <v>1.3730000000000001E-3</v>
      </c>
      <c r="Z143" s="123">
        <v>1.3300000000000001E-4</v>
      </c>
    </row>
    <row r="144" spans="1:26" ht="15" customHeight="1">
      <c r="A144" s="121">
        <v>313</v>
      </c>
      <c r="B144" s="121">
        <v>313</v>
      </c>
      <c r="C144" s="120" t="s">
        <v>2251</v>
      </c>
      <c r="D144" s="121"/>
      <c r="E144" s="120"/>
      <c r="F144" s="120" t="s">
        <v>2252</v>
      </c>
      <c r="G144" s="121">
        <v>62021803</v>
      </c>
      <c r="H144" s="120" t="s">
        <v>311</v>
      </c>
      <c r="I144" s="120" t="s">
        <v>1005</v>
      </c>
      <c r="J144" s="120"/>
      <c r="K144" s="120" t="s">
        <v>204</v>
      </c>
      <c r="L144" s="120"/>
      <c r="M144" s="120"/>
      <c r="N144" s="120" t="s">
        <v>292</v>
      </c>
      <c r="O144" s="120" t="s">
        <v>338</v>
      </c>
      <c r="P144" s="124">
        <v>45449</v>
      </c>
      <c r="Q144" s="120" t="s">
        <v>1216</v>
      </c>
      <c r="R144" s="120" t="s">
        <v>886</v>
      </c>
      <c r="S144" s="120" t="s">
        <v>890</v>
      </c>
      <c r="T144" s="124">
        <v>45473</v>
      </c>
      <c r="U144" s="122">
        <v>4.0202</v>
      </c>
      <c r="V144" s="122">
        <v>3055.8470000000002</v>
      </c>
      <c r="W144" s="122">
        <v>12285.116110000001</v>
      </c>
      <c r="X144" s="123">
        <v>7.639E-3</v>
      </c>
      <c r="Y144" s="123">
        <v>2.1220000000000002E-3</v>
      </c>
      <c r="Z144" s="123">
        <v>2.0599999999999999E-4</v>
      </c>
    </row>
    <row r="145" spans="1:26" ht="15" customHeight="1">
      <c r="A145" s="121">
        <v>313</v>
      </c>
      <c r="B145" s="121">
        <v>313</v>
      </c>
      <c r="C145" s="120" t="s">
        <v>2253</v>
      </c>
      <c r="D145" s="121"/>
      <c r="E145" s="120"/>
      <c r="F145" s="120" t="s">
        <v>2254</v>
      </c>
      <c r="G145" s="121">
        <v>62013957</v>
      </c>
      <c r="H145" s="120" t="s">
        <v>311</v>
      </c>
      <c r="I145" s="120" t="s">
        <v>1004</v>
      </c>
      <c r="J145" s="120"/>
      <c r="K145" s="120" t="s">
        <v>204</v>
      </c>
      <c r="L145" s="120"/>
      <c r="M145" s="120"/>
      <c r="N145" s="120" t="s">
        <v>223</v>
      </c>
      <c r="O145" s="120" t="s">
        <v>338</v>
      </c>
      <c r="P145" s="124">
        <v>43862</v>
      </c>
      <c r="Q145" s="120" t="s">
        <v>1212</v>
      </c>
      <c r="R145" s="120" t="s">
        <v>886</v>
      </c>
      <c r="S145" s="120" t="s">
        <v>890</v>
      </c>
      <c r="T145" s="124">
        <v>45473</v>
      </c>
      <c r="U145" s="122">
        <v>3.7589999999999999</v>
      </c>
      <c r="V145" s="122">
        <v>11577.47006</v>
      </c>
      <c r="W145" s="122">
        <v>43519.70996</v>
      </c>
      <c r="X145" s="123">
        <v>5.5640000000000004E-3</v>
      </c>
      <c r="Y145" s="123">
        <v>7.5170000000000002E-3</v>
      </c>
      <c r="Z145" s="123">
        <v>7.2999999999999996E-4</v>
      </c>
    </row>
    <row r="146" spans="1:26" ht="15" customHeight="1">
      <c r="A146" s="121">
        <v>313</v>
      </c>
      <c r="B146" s="121">
        <v>313</v>
      </c>
      <c r="C146" s="120" t="s">
        <v>2255</v>
      </c>
      <c r="D146" s="121"/>
      <c r="E146" s="120"/>
      <c r="F146" s="120" t="s">
        <v>2256</v>
      </c>
      <c r="G146" s="121">
        <v>60335809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41456</v>
      </c>
      <c r="Q146" s="120" t="s">
        <v>1212</v>
      </c>
      <c r="R146" s="120" t="s">
        <v>886</v>
      </c>
      <c r="S146" s="120" t="s">
        <v>890</v>
      </c>
      <c r="T146" s="124">
        <v>45473</v>
      </c>
      <c r="U146" s="122">
        <v>3.7589999999999999</v>
      </c>
      <c r="V146" s="122">
        <v>69.672330000000002</v>
      </c>
      <c r="W146" s="122">
        <v>261.89830000000001</v>
      </c>
      <c r="X146" s="123">
        <v>6.6000000000000005E-5</v>
      </c>
      <c r="Y146" s="123">
        <v>4.5000000000000003E-5</v>
      </c>
      <c r="Z146" s="123">
        <v>3.9999999999999998E-6</v>
      </c>
    </row>
    <row r="147" spans="1:26" ht="15" customHeight="1">
      <c r="A147" s="121">
        <v>313</v>
      </c>
      <c r="B147" s="121">
        <v>313</v>
      </c>
      <c r="C147" s="120" t="s">
        <v>2196</v>
      </c>
      <c r="D147" s="121"/>
      <c r="E147" s="120"/>
      <c r="F147" s="120" t="s">
        <v>2257</v>
      </c>
      <c r="G147" s="121">
        <v>62019542</v>
      </c>
      <c r="H147" s="120" t="s">
        <v>311</v>
      </c>
      <c r="I147" s="120" t="s">
        <v>1005</v>
      </c>
      <c r="J147" s="120"/>
      <c r="K147" s="120" t="s">
        <v>204</v>
      </c>
      <c r="L147" s="120"/>
      <c r="M147" s="120"/>
      <c r="N147" s="120" t="s">
        <v>292</v>
      </c>
      <c r="O147" s="120" t="s">
        <v>338</v>
      </c>
      <c r="P147" s="124">
        <v>44440</v>
      </c>
      <c r="Q147" s="120" t="s">
        <v>1216</v>
      </c>
      <c r="R147" s="120" t="s">
        <v>886</v>
      </c>
      <c r="S147" s="120" t="s">
        <v>890</v>
      </c>
      <c r="T147" s="124">
        <v>45473</v>
      </c>
      <c r="U147" s="122">
        <v>4.0202</v>
      </c>
      <c r="V147" s="122">
        <v>19528.58352</v>
      </c>
      <c r="W147" s="122">
        <v>78508.811449999994</v>
      </c>
      <c r="X147" s="123">
        <v>1.4397E-2</v>
      </c>
      <c r="Y147" s="123">
        <v>1.3559999999999999E-2</v>
      </c>
      <c r="Z147" s="123">
        <v>1.317E-3</v>
      </c>
    </row>
    <row r="148" spans="1:26" ht="15" customHeight="1">
      <c r="A148" s="121">
        <v>313</v>
      </c>
      <c r="B148" s="121">
        <v>313</v>
      </c>
      <c r="C148" s="120" t="s">
        <v>2258</v>
      </c>
      <c r="D148" s="121"/>
      <c r="E148" s="120"/>
      <c r="F148" s="120" t="s">
        <v>2259</v>
      </c>
      <c r="G148" s="121">
        <v>62020466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44647</v>
      </c>
      <c r="Q148" s="120" t="s">
        <v>1212</v>
      </c>
      <c r="R148" s="120" t="s">
        <v>886</v>
      </c>
      <c r="S148" s="120" t="s">
        <v>890</v>
      </c>
      <c r="T148" s="124">
        <v>45473</v>
      </c>
      <c r="U148" s="122">
        <v>3.7589999999999999</v>
      </c>
      <c r="V148" s="122">
        <v>9523.4791399999995</v>
      </c>
      <c r="W148" s="122">
        <v>35798.758099999999</v>
      </c>
      <c r="X148" s="123">
        <v>8.6899999999999998E-4</v>
      </c>
      <c r="Y148" s="123">
        <v>6.1830000000000001E-3</v>
      </c>
      <c r="Z148" s="123">
        <v>5.9999999999999995E-4</v>
      </c>
    </row>
    <row r="149" spans="1:26" ht="15" customHeight="1">
      <c r="A149" s="121">
        <v>313</v>
      </c>
      <c r="B149" s="121">
        <v>313</v>
      </c>
      <c r="C149" s="120" t="s">
        <v>2161</v>
      </c>
      <c r="D149" s="121"/>
      <c r="E149" s="120"/>
      <c r="F149" s="120" t="s">
        <v>2260</v>
      </c>
      <c r="G149" s="121">
        <v>60337086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295</v>
      </c>
      <c r="O149" s="120" t="s">
        <v>338</v>
      </c>
      <c r="P149" s="124">
        <v>41426</v>
      </c>
      <c r="Q149" s="120" t="s">
        <v>1212</v>
      </c>
      <c r="R149" s="120" t="s">
        <v>886</v>
      </c>
      <c r="S149" s="120" t="s">
        <v>890</v>
      </c>
      <c r="T149" s="124">
        <v>45473</v>
      </c>
      <c r="U149" s="122">
        <v>3.7589999999999999</v>
      </c>
      <c r="V149" s="122">
        <v>21304.389719999999</v>
      </c>
      <c r="W149" s="122">
        <v>80083.200939999995</v>
      </c>
      <c r="X149" s="123">
        <v>6.0868999999999999E-2</v>
      </c>
      <c r="Y149" s="123">
        <v>1.3832000000000001E-2</v>
      </c>
      <c r="Z149" s="123">
        <v>1.343E-3</v>
      </c>
    </row>
    <row r="150" spans="1:26" ht="15" customHeight="1">
      <c r="A150" s="121">
        <v>313</v>
      </c>
      <c r="B150" s="121">
        <v>313</v>
      </c>
      <c r="C150" s="120" t="s">
        <v>2132</v>
      </c>
      <c r="D150" s="121"/>
      <c r="E150" s="120"/>
      <c r="F150" s="120" t="s">
        <v>2261</v>
      </c>
      <c r="G150" s="121">
        <v>9988718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295</v>
      </c>
      <c r="O150" s="120" t="s">
        <v>338</v>
      </c>
      <c r="P150" s="124">
        <v>40817</v>
      </c>
      <c r="Q150" s="120" t="s">
        <v>1212</v>
      </c>
      <c r="R150" s="120" t="s">
        <v>886</v>
      </c>
      <c r="S150" s="120" t="s">
        <v>890</v>
      </c>
      <c r="T150" s="124">
        <v>45473</v>
      </c>
      <c r="U150" s="122">
        <v>3.7589999999999999</v>
      </c>
      <c r="V150" s="122">
        <v>1945.5245399999999</v>
      </c>
      <c r="W150" s="122">
        <v>7313.2267499999998</v>
      </c>
      <c r="X150" s="123">
        <v>8.1899999999999996E-4</v>
      </c>
      <c r="Y150" s="123">
        <v>1.263E-3</v>
      </c>
      <c r="Z150" s="123">
        <v>1.22E-4</v>
      </c>
    </row>
    <row r="151" spans="1:26" ht="15" customHeight="1">
      <c r="A151" s="121">
        <v>313</v>
      </c>
      <c r="B151" s="121">
        <v>313</v>
      </c>
      <c r="C151" s="120" t="s">
        <v>2262</v>
      </c>
      <c r="D151" s="121"/>
      <c r="E151" s="120"/>
      <c r="F151" s="120" t="s">
        <v>2263</v>
      </c>
      <c r="G151" s="121">
        <v>60392545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267</v>
      </c>
      <c r="O151" s="120" t="s">
        <v>338</v>
      </c>
      <c r="P151" s="124">
        <v>42186</v>
      </c>
      <c r="Q151" s="120" t="s">
        <v>1212</v>
      </c>
      <c r="R151" s="120" t="s">
        <v>886</v>
      </c>
      <c r="S151" s="120" t="s">
        <v>890</v>
      </c>
      <c r="T151" s="124">
        <v>45473</v>
      </c>
      <c r="U151" s="122">
        <v>3.7589999999999999</v>
      </c>
      <c r="V151" s="122">
        <v>2059.3415300000001</v>
      </c>
      <c r="W151" s="122">
        <v>7741.0647900000004</v>
      </c>
      <c r="X151" s="123">
        <v>2.2260000000000001E-3</v>
      </c>
      <c r="Y151" s="123">
        <v>1.3370000000000001E-3</v>
      </c>
      <c r="Z151" s="123">
        <v>1.2899999999999999E-4</v>
      </c>
    </row>
    <row r="152" spans="1:26" ht="15" customHeight="1">
      <c r="A152" s="121">
        <v>313</v>
      </c>
      <c r="B152" s="121">
        <v>313</v>
      </c>
      <c r="C152" s="120" t="s">
        <v>2264</v>
      </c>
      <c r="D152" s="121"/>
      <c r="E152" s="120"/>
      <c r="F152" s="120" t="s">
        <v>2265</v>
      </c>
      <c r="G152" s="121">
        <v>62017183</v>
      </c>
      <c r="H152" s="120" t="s">
        <v>311</v>
      </c>
      <c r="I152" s="120" t="s">
        <v>1002</v>
      </c>
      <c r="J152" s="120"/>
      <c r="K152" s="120" t="s">
        <v>204</v>
      </c>
      <c r="L152" s="120"/>
      <c r="M152" s="120"/>
      <c r="N152" s="120" t="s">
        <v>295</v>
      </c>
      <c r="O152" s="120" t="s">
        <v>338</v>
      </c>
      <c r="P152" s="124">
        <v>44259</v>
      </c>
      <c r="Q152" s="120" t="s">
        <v>1216</v>
      </c>
      <c r="R152" s="120" t="s">
        <v>886</v>
      </c>
      <c r="S152" s="120" t="s">
        <v>890</v>
      </c>
      <c r="T152" s="124">
        <v>45473</v>
      </c>
      <c r="U152" s="122">
        <v>4.0202</v>
      </c>
      <c r="V152" s="122">
        <v>14919.93886</v>
      </c>
      <c r="W152" s="122">
        <v>59981.138200000001</v>
      </c>
      <c r="X152" s="123">
        <v>1.4970000000000001E-3</v>
      </c>
      <c r="Y152" s="123">
        <v>1.0359999999999999E-2</v>
      </c>
      <c r="Z152" s="123">
        <v>1.0059999999999999E-3</v>
      </c>
    </row>
    <row r="153" spans="1:26" ht="15" customHeight="1">
      <c r="A153" s="121">
        <v>313</v>
      </c>
      <c r="B153" s="121">
        <v>313</v>
      </c>
      <c r="C153" s="120" t="s">
        <v>2249</v>
      </c>
      <c r="D153" s="121"/>
      <c r="E153" s="120"/>
      <c r="F153" s="120" t="s">
        <v>2266</v>
      </c>
      <c r="G153" s="121">
        <v>62020490</v>
      </c>
      <c r="H153" s="120" t="s">
        <v>311</v>
      </c>
      <c r="I153" s="120" t="s">
        <v>1002</v>
      </c>
      <c r="J153" s="120"/>
      <c r="K153" s="120" t="s">
        <v>204</v>
      </c>
      <c r="L153" s="120"/>
      <c r="M153" s="120"/>
      <c r="N153" s="120" t="s">
        <v>295</v>
      </c>
      <c r="O153" s="120" t="s">
        <v>338</v>
      </c>
      <c r="P153" s="124">
        <v>44673</v>
      </c>
      <c r="Q153" s="120" t="s">
        <v>1212</v>
      </c>
      <c r="R153" s="120" t="s">
        <v>886</v>
      </c>
      <c r="S153" s="120" t="s">
        <v>890</v>
      </c>
      <c r="T153" s="124">
        <v>45473</v>
      </c>
      <c r="U153" s="122">
        <v>3.7589999999999999</v>
      </c>
      <c r="V153" s="122">
        <v>8149.4112299999997</v>
      </c>
      <c r="W153" s="122">
        <v>30633.6368</v>
      </c>
      <c r="X153" s="123">
        <v>5.3200000000000003E-4</v>
      </c>
      <c r="Y153" s="123">
        <v>5.2909999999999997E-3</v>
      </c>
      <c r="Z153" s="123">
        <v>5.1400000000000003E-4</v>
      </c>
    </row>
    <row r="154" spans="1:26" ht="15" customHeight="1">
      <c r="A154" s="121">
        <v>313</v>
      </c>
      <c r="B154" s="121">
        <v>313</v>
      </c>
      <c r="C154" s="120" t="s">
        <v>2138</v>
      </c>
      <c r="D154" s="121"/>
      <c r="E154" s="120"/>
      <c r="F154" s="120" t="s">
        <v>2267</v>
      </c>
      <c r="G154" s="121">
        <v>62001857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292</v>
      </c>
      <c r="O154" s="120" t="s">
        <v>338</v>
      </c>
      <c r="P154" s="124">
        <v>42856</v>
      </c>
      <c r="Q154" s="120" t="s">
        <v>1216</v>
      </c>
      <c r="R154" s="120" t="s">
        <v>886</v>
      </c>
      <c r="S154" s="120" t="s">
        <v>890</v>
      </c>
      <c r="T154" s="124">
        <v>45473</v>
      </c>
      <c r="U154" s="122">
        <v>4.0202</v>
      </c>
      <c r="V154" s="122">
        <v>12087.296679999999</v>
      </c>
      <c r="W154" s="122">
        <v>48593.350120000003</v>
      </c>
      <c r="X154" s="123">
        <v>7.7899999999999996E-4</v>
      </c>
      <c r="Y154" s="123">
        <v>8.3929999999999994E-3</v>
      </c>
      <c r="Z154" s="123">
        <v>8.1499999999999997E-4</v>
      </c>
    </row>
    <row r="155" spans="1:26" ht="15" customHeight="1">
      <c r="A155" s="121">
        <v>313</v>
      </c>
      <c r="B155" s="121">
        <v>313</v>
      </c>
      <c r="C155" s="120" t="s">
        <v>2268</v>
      </c>
      <c r="D155" s="121"/>
      <c r="E155" s="120"/>
      <c r="F155" s="120" t="s">
        <v>2269</v>
      </c>
      <c r="G155" s="121">
        <v>60302569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284</v>
      </c>
      <c r="O155" s="120" t="s">
        <v>338</v>
      </c>
      <c r="P155" s="124">
        <v>41030</v>
      </c>
      <c r="Q155" s="120" t="s">
        <v>1212</v>
      </c>
      <c r="R155" s="120" t="s">
        <v>886</v>
      </c>
      <c r="S155" s="120" t="s">
        <v>890</v>
      </c>
      <c r="T155" s="124">
        <v>45473</v>
      </c>
      <c r="U155" s="122">
        <v>3.7589999999999999</v>
      </c>
      <c r="V155" s="122">
        <v>4000.8754800000002</v>
      </c>
      <c r="W155" s="122">
        <v>15039.290919999999</v>
      </c>
      <c r="X155" s="123">
        <v>3.143E-3</v>
      </c>
      <c r="Y155" s="123">
        <v>2.5969999999999999E-3</v>
      </c>
      <c r="Z155" s="123">
        <v>2.52E-4</v>
      </c>
    </row>
    <row r="156" spans="1:26" ht="15" customHeight="1">
      <c r="A156" s="121">
        <v>313</v>
      </c>
      <c r="B156" s="121">
        <v>313</v>
      </c>
      <c r="C156" s="120" t="s">
        <v>2270</v>
      </c>
      <c r="D156" s="121"/>
      <c r="E156" s="120"/>
      <c r="F156" s="120" t="s">
        <v>2271</v>
      </c>
      <c r="G156" s="121">
        <v>62017547</v>
      </c>
      <c r="H156" s="120" t="s">
        <v>311</v>
      </c>
      <c r="I156" s="120" t="s">
        <v>1005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44105</v>
      </c>
      <c r="Q156" s="120" t="s">
        <v>1212</v>
      </c>
      <c r="R156" s="120" t="s">
        <v>886</v>
      </c>
      <c r="S156" s="120" t="s">
        <v>890</v>
      </c>
      <c r="T156" s="124">
        <v>45473</v>
      </c>
      <c r="U156" s="122">
        <v>3.7589999999999999</v>
      </c>
      <c r="V156" s="122">
        <v>11385.8832</v>
      </c>
      <c r="W156" s="122">
        <v>42799.534950000001</v>
      </c>
      <c r="X156" s="123">
        <v>7.5905E-2</v>
      </c>
      <c r="Y156" s="123">
        <v>7.3920000000000001E-3</v>
      </c>
      <c r="Z156" s="123">
        <v>7.18E-4</v>
      </c>
    </row>
    <row r="157" spans="1:26" ht="15" customHeight="1">
      <c r="A157" s="121">
        <v>313</v>
      </c>
      <c r="B157" s="121">
        <v>313</v>
      </c>
      <c r="C157" s="120" t="s">
        <v>2138</v>
      </c>
      <c r="D157" s="121"/>
      <c r="E157" s="120"/>
      <c r="F157" s="120" t="s">
        <v>2272</v>
      </c>
      <c r="G157" s="121">
        <v>62013934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303</v>
      </c>
      <c r="O157" s="120" t="s">
        <v>338</v>
      </c>
      <c r="P157" s="124">
        <v>43768</v>
      </c>
      <c r="Q157" s="120" t="s">
        <v>1212</v>
      </c>
      <c r="R157" s="120" t="s">
        <v>886</v>
      </c>
      <c r="S157" s="120" t="s">
        <v>890</v>
      </c>
      <c r="T157" s="124">
        <v>45473</v>
      </c>
      <c r="U157" s="122">
        <v>3.7589999999999999</v>
      </c>
      <c r="V157" s="122">
        <v>2179.90452</v>
      </c>
      <c r="W157" s="122">
        <v>8194.2610800000002</v>
      </c>
      <c r="X157" s="123">
        <v>1.8447000000000002E-2</v>
      </c>
      <c r="Y157" s="123">
        <v>1.415E-3</v>
      </c>
      <c r="Z157" s="123">
        <v>1.37E-4</v>
      </c>
    </row>
    <row r="158" spans="1:26" ht="15" customHeight="1">
      <c r="A158" s="121">
        <v>313</v>
      </c>
      <c r="B158" s="121">
        <v>313</v>
      </c>
      <c r="C158" s="120" t="s">
        <v>2127</v>
      </c>
      <c r="D158" s="121"/>
      <c r="E158" s="120"/>
      <c r="F158" s="120" t="s">
        <v>2273</v>
      </c>
      <c r="G158" s="121">
        <v>42000916</v>
      </c>
      <c r="H158" s="120" t="s">
        <v>311</v>
      </c>
      <c r="I158" s="120" t="s">
        <v>1006</v>
      </c>
      <c r="J158" s="120"/>
      <c r="K158" s="120" t="s">
        <v>204</v>
      </c>
      <c r="L158" s="120"/>
      <c r="M158" s="120"/>
      <c r="N158" s="120" t="s">
        <v>295</v>
      </c>
      <c r="O158" s="120" t="s">
        <v>338</v>
      </c>
      <c r="P158" s="124">
        <v>43601</v>
      </c>
      <c r="Q158" s="120" t="s">
        <v>1212</v>
      </c>
      <c r="R158" s="120" t="s">
        <v>886</v>
      </c>
      <c r="S158" s="120" t="s">
        <v>890</v>
      </c>
      <c r="T158" s="124">
        <v>45473</v>
      </c>
      <c r="U158" s="122">
        <v>3.7589999999999999</v>
      </c>
      <c r="V158" s="122">
        <v>378.88</v>
      </c>
      <c r="W158" s="122">
        <v>1424.20992</v>
      </c>
      <c r="X158" s="123">
        <v>1.26E-4</v>
      </c>
      <c r="Y158" s="123">
        <v>2.4600000000000002E-4</v>
      </c>
      <c r="Z158" s="123">
        <v>2.3E-5</v>
      </c>
    </row>
    <row r="159" spans="1:26" ht="15" customHeight="1">
      <c r="A159" s="121">
        <v>313</v>
      </c>
      <c r="B159" s="121">
        <v>313</v>
      </c>
      <c r="C159" s="120" t="s">
        <v>2274</v>
      </c>
      <c r="D159" s="121"/>
      <c r="E159" s="120"/>
      <c r="F159" s="120" t="s">
        <v>2275</v>
      </c>
      <c r="G159" s="121">
        <v>62020474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44647</v>
      </c>
      <c r="Q159" s="120" t="s">
        <v>1216</v>
      </c>
      <c r="R159" s="120" t="s">
        <v>886</v>
      </c>
      <c r="S159" s="120" t="s">
        <v>890</v>
      </c>
      <c r="T159" s="124">
        <v>45473</v>
      </c>
      <c r="U159" s="122">
        <v>4.0202</v>
      </c>
      <c r="V159" s="122">
        <v>7430.1735699999999</v>
      </c>
      <c r="W159" s="122">
        <v>29870.783790000001</v>
      </c>
      <c r="X159" s="123">
        <v>4.2630000000000003E-3</v>
      </c>
      <c r="Y159" s="123">
        <v>5.1590000000000004E-3</v>
      </c>
      <c r="Z159" s="123">
        <v>5.0100000000000003E-4</v>
      </c>
    </row>
    <row r="160" spans="1:26" ht="15" customHeight="1">
      <c r="A160" s="121">
        <v>313</v>
      </c>
      <c r="B160" s="121">
        <v>313</v>
      </c>
      <c r="C160" s="120" t="s">
        <v>2127</v>
      </c>
      <c r="D160" s="121"/>
      <c r="E160" s="120"/>
      <c r="F160" s="120" t="s">
        <v>2276</v>
      </c>
      <c r="G160" s="121">
        <v>42000903</v>
      </c>
      <c r="H160" s="120" t="s">
        <v>311</v>
      </c>
      <c r="I160" s="120" t="s">
        <v>1006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43601</v>
      </c>
      <c r="Q160" s="120" t="s">
        <v>1212</v>
      </c>
      <c r="R160" s="120" t="s">
        <v>886</v>
      </c>
      <c r="S160" s="120" t="s">
        <v>890</v>
      </c>
      <c r="T160" s="124">
        <v>45473</v>
      </c>
      <c r="U160" s="122">
        <v>3.7589999999999999</v>
      </c>
      <c r="V160" s="122">
        <v>3237.4893999999999</v>
      </c>
      <c r="W160" s="122">
        <v>12169.72265</v>
      </c>
      <c r="X160" s="123">
        <v>1.0790000000000001E-3</v>
      </c>
      <c r="Y160" s="123">
        <v>2.1020000000000001E-3</v>
      </c>
      <c r="Z160" s="123">
        <v>2.04E-4</v>
      </c>
    </row>
    <row r="161" spans="1:26" ht="15" customHeight="1">
      <c r="A161" s="121">
        <v>313</v>
      </c>
      <c r="B161" s="121">
        <v>313</v>
      </c>
      <c r="C161" s="120" t="s">
        <v>2138</v>
      </c>
      <c r="D161" s="121"/>
      <c r="E161" s="120"/>
      <c r="F161" s="120" t="s">
        <v>2277</v>
      </c>
      <c r="G161" s="121">
        <v>62013586</v>
      </c>
      <c r="H161" s="120" t="s">
        <v>311</v>
      </c>
      <c r="I161" s="120" t="s">
        <v>1004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43592</v>
      </c>
      <c r="Q161" s="120" t="s">
        <v>1216</v>
      </c>
      <c r="R161" s="120" t="s">
        <v>886</v>
      </c>
      <c r="S161" s="120" t="s">
        <v>890</v>
      </c>
      <c r="T161" s="124">
        <v>45473</v>
      </c>
      <c r="U161" s="122">
        <v>4.0202</v>
      </c>
      <c r="V161" s="122">
        <v>5863.2569999999996</v>
      </c>
      <c r="W161" s="122">
        <v>23571.465810000002</v>
      </c>
      <c r="X161" s="123">
        <v>5.8339999999999998E-3</v>
      </c>
      <c r="Y161" s="123">
        <v>4.071E-3</v>
      </c>
      <c r="Z161" s="123">
        <v>3.9500000000000001E-4</v>
      </c>
    </row>
    <row r="162" spans="1:26" ht="15" customHeight="1">
      <c r="A162" s="121">
        <v>313</v>
      </c>
      <c r="B162" s="121">
        <v>313</v>
      </c>
      <c r="C162" s="120" t="s">
        <v>2161</v>
      </c>
      <c r="D162" s="121"/>
      <c r="E162" s="120"/>
      <c r="F162" s="120" t="s">
        <v>2278</v>
      </c>
      <c r="G162" s="121">
        <v>60395761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295</v>
      </c>
      <c r="O162" s="120" t="s">
        <v>338</v>
      </c>
      <c r="P162" s="124">
        <v>41426</v>
      </c>
      <c r="Q162" s="120" t="s">
        <v>1212</v>
      </c>
      <c r="R162" s="120" t="s">
        <v>886</v>
      </c>
      <c r="S162" s="120" t="s">
        <v>890</v>
      </c>
      <c r="T162" s="124">
        <v>45473</v>
      </c>
      <c r="U162" s="122">
        <v>3.7589999999999999</v>
      </c>
      <c r="V162" s="122">
        <v>12.65354</v>
      </c>
      <c r="W162" s="122">
        <v>47.564660000000003</v>
      </c>
      <c r="X162" s="123">
        <v>4.1999999999999998E-5</v>
      </c>
      <c r="Y162" s="123">
        <v>7.9999999999999996E-6</v>
      </c>
      <c r="Z162" s="123">
        <v>0</v>
      </c>
    </row>
    <row r="163" spans="1:26" ht="15" customHeight="1">
      <c r="A163" s="121">
        <v>313</v>
      </c>
      <c r="B163" s="121">
        <v>313</v>
      </c>
      <c r="C163" s="120" t="s">
        <v>2279</v>
      </c>
      <c r="D163" s="121"/>
      <c r="E163" s="120"/>
      <c r="F163" s="120" t="s">
        <v>2280</v>
      </c>
      <c r="G163" s="121">
        <v>62020987</v>
      </c>
      <c r="H163" s="120" t="s">
        <v>311</v>
      </c>
      <c r="I163" s="120" t="s">
        <v>1005</v>
      </c>
      <c r="J163" s="120"/>
      <c r="K163" s="120" t="s">
        <v>204</v>
      </c>
      <c r="L163" s="120"/>
      <c r="M163" s="120"/>
      <c r="N163" s="120" t="s">
        <v>295</v>
      </c>
      <c r="O163" s="120" t="s">
        <v>338</v>
      </c>
      <c r="P163" s="124">
        <v>44762</v>
      </c>
      <c r="Q163" s="120" t="s">
        <v>1212</v>
      </c>
      <c r="R163" s="120" t="s">
        <v>886</v>
      </c>
      <c r="S163" s="120" t="s">
        <v>890</v>
      </c>
      <c r="T163" s="124">
        <v>45473</v>
      </c>
      <c r="U163" s="122">
        <v>3.7589999999999999</v>
      </c>
      <c r="V163" s="122">
        <v>5558.9683599999998</v>
      </c>
      <c r="W163" s="122">
        <v>20896.162049999999</v>
      </c>
      <c r="X163" s="123">
        <v>1.85E-4</v>
      </c>
      <c r="Y163" s="123">
        <v>3.6089999999999998E-3</v>
      </c>
      <c r="Z163" s="123">
        <v>3.5E-4</v>
      </c>
    </row>
    <row r="164" spans="1:26" ht="15" customHeight="1">
      <c r="A164" s="121">
        <v>313</v>
      </c>
      <c r="B164" s="121">
        <v>313</v>
      </c>
      <c r="C164" s="120" t="s">
        <v>2127</v>
      </c>
      <c r="D164" s="121"/>
      <c r="E164" s="120"/>
      <c r="F164" s="120" t="s">
        <v>2281</v>
      </c>
      <c r="G164" s="121">
        <v>42000905</v>
      </c>
      <c r="H164" s="120" t="s">
        <v>311</v>
      </c>
      <c r="I164" s="120" t="s">
        <v>1006</v>
      </c>
      <c r="J164" s="120"/>
      <c r="K164" s="120" t="s">
        <v>204</v>
      </c>
      <c r="L164" s="120"/>
      <c r="M164" s="120"/>
      <c r="N164" s="120" t="s">
        <v>295</v>
      </c>
      <c r="O164" s="120" t="s">
        <v>338</v>
      </c>
      <c r="P164" s="124">
        <v>43601</v>
      </c>
      <c r="Q164" s="120" t="s">
        <v>1212</v>
      </c>
      <c r="R164" s="120" t="s">
        <v>886</v>
      </c>
      <c r="S164" s="120" t="s">
        <v>890</v>
      </c>
      <c r="T164" s="124">
        <v>45473</v>
      </c>
      <c r="U164" s="122">
        <v>3.7589999999999999</v>
      </c>
      <c r="V164" s="122">
        <v>1201.2148</v>
      </c>
      <c r="W164" s="122">
        <v>4515.36643</v>
      </c>
      <c r="X164" s="123">
        <v>4.0000000000000002E-4</v>
      </c>
      <c r="Y164" s="123">
        <v>7.7899999999999996E-4</v>
      </c>
      <c r="Z164" s="123">
        <v>7.4999999999999993E-5</v>
      </c>
    </row>
    <row r="165" spans="1:26" ht="15" customHeight="1">
      <c r="A165" s="121">
        <v>313</v>
      </c>
      <c r="B165" s="121">
        <v>313</v>
      </c>
      <c r="C165" s="120" t="s">
        <v>2282</v>
      </c>
      <c r="D165" s="121"/>
      <c r="E165" s="120"/>
      <c r="F165" s="120" t="s">
        <v>2283</v>
      </c>
      <c r="G165" s="121">
        <v>62018172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292</v>
      </c>
      <c r="O165" s="120" t="s">
        <v>338</v>
      </c>
      <c r="P165" s="124">
        <v>44378</v>
      </c>
      <c r="Q165" s="120" t="s">
        <v>1216</v>
      </c>
      <c r="R165" s="120" t="s">
        <v>886</v>
      </c>
      <c r="S165" s="120" t="s">
        <v>890</v>
      </c>
      <c r="T165" s="124">
        <v>45473</v>
      </c>
      <c r="U165" s="122">
        <v>4.0202</v>
      </c>
      <c r="V165" s="122">
        <v>1367.5366300000001</v>
      </c>
      <c r="W165" s="122">
        <v>5497.7707799999998</v>
      </c>
      <c r="X165" s="123">
        <v>6.9999999999999999E-4</v>
      </c>
      <c r="Y165" s="123">
        <v>9.4899999999999997E-4</v>
      </c>
      <c r="Z165" s="123">
        <v>9.2E-5</v>
      </c>
    </row>
    <row r="166" spans="1:26" ht="15" customHeight="1">
      <c r="A166" s="121">
        <v>313</v>
      </c>
      <c r="B166" s="121">
        <v>313</v>
      </c>
      <c r="C166" s="120" t="s">
        <v>2161</v>
      </c>
      <c r="D166" s="121"/>
      <c r="E166" s="120"/>
      <c r="F166" s="120" t="s">
        <v>2284</v>
      </c>
      <c r="G166" s="121">
        <v>60413218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223</v>
      </c>
      <c r="O166" s="120" t="s">
        <v>338</v>
      </c>
      <c r="P166" s="124">
        <v>42583</v>
      </c>
      <c r="Q166" s="120" t="s">
        <v>1212</v>
      </c>
      <c r="R166" s="120" t="s">
        <v>886</v>
      </c>
      <c r="S166" s="120" t="s">
        <v>890</v>
      </c>
      <c r="T166" s="124">
        <v>45473</v>
      </c>
      <c r="U166" s="122">
        <v>3.7589999999999999</v>
      </c>
      <c r="V166" s="122">
        <v>885.12773000000004</v>
      </c>
      <c r="W166" s="122">
        <v>3327.1951300000001</v>
      </c>
      <c r="X166" s="123">
        <v>1.7701999999999999E-2</v>
      </c>
      <c r="Y166" s="123">
        <v>5.7399999999999997E-4</v>
      </c>
      <c r="Z166" s="123">
        <v>5.5000000000000002E-5</v>
      </c>
    </row>
    <row r="167" spans="1:26" ht="15" customHeight="1">
      <c r="A167" s="121">
        <v>313</v>
      </c>
      <c r="B167" s="121">
        <v>313</v>
      </c>
      <c r="C167" s="120" t="s">
        <v>2285</v>
      </c>
      <c r="D167" s="121"/>
      <c r="E167" s="120"/>
      <c r="F167" s="120" t="s">
        <v>2286</v>
      </c>
      <c r="G167" s="121">
        <v>62017185</v>
      </c>
      <c r="H167" s="120" t="s">
        <v>311</v>
      </c>
      <c r="I167" s="120" t="s">
        <v>1002</v>
      </c>
      <c r="J167" s="120"/>
      <c r="K167" s="120" t="s">
        <v>204</v>
      </c>
      <c r="L167" s="120"/>
      <c r="M167" s="120"/>
      <c r="N167" s="120" t="s">
        <v>223</v>
      </c>
      <c r="O167" s="120" t="s">
        <v>338</v>
      </c>
      <c r="P167" s="124">
        <v>44602</v>
      </c>
      <c r="Q167" s="120" t="s">
        <v>1212</v>
      </c>
      <c r="R167" s="120" t="s">
        <v>886</v>
      </c>
      <c r="S167" s="120" t="s">
        <v>890</v>
      </c>
      <c r="T167" s="124">
        <v>45473</v>
      </c>
      <c r="U167" s="122">
        <v>3.7589999999999999</v>
      </c>
      <c r="V167" s="122">
        <v>6590.7701999999999</v>
      </c>
      <c r="W167" s="122">
        <v>24774.705180000001</v>
      </c>
      <c r="X167" s="123">
        <v>3.7661E-2</v>
      </c>
      <c r="Y167" s="123">
        <v>4.2789999999999998E-3</v>
      </c>
      <c r="Z167" s="123">
        <v>4.15E-4</v>
      </c>
    </row>
    <row r="168" spans="1:26" ht="15" customHeight="1">
      <c r="A168" s="121">
        <v>313</v>
      </c>
      <c r="B168" s="121">
        <v>313</v>
      </c>
      <c r="C168" s="120" t="s">
        <v>2138</v>
      </c>
      <c r="D168" s="121"/>
      <c r="E168" s="120"/>
      <c r="F168" s="120" t="s">
        <v>2287</v>
      </c>
      <c r="G168" s="121">
        <v>62005617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292</v>
      </c>
      <c r="O168" s="120" t="s">
        <v>338</v>
      </c>
      <c r="P168" s="124">
        <v>44105</v>
      </c>
      <c r="Q168" s="120" t="s">
        <v>1216</v>
      </c>
      <c r="R168" s="120" t="s">
        <v>886</v>
      </c>
      <c r="S168" s="120" t="s">
        <v>890</v>
      </c>
      <c r="T168" s="124">
        <v>45473</v>
      </c>
      <c r="U168" s="122">
        <v>4.0202</v>
      </c>
      <c r="V168" s="122">
        <v>4333.0994300000002</v>
      </c>
      <c r="W168" s="122">
        <v>17419.926340000002</v>
      </c>
      <c r="X168" s="123">
        <v>7.9249999999999998E-3</v>
      </c>
      <c r="Y168" s="123">
        <v>3.0079999999999998E-3</v>
      </c>
      <c r="Z168" s="123">
        <v>2.92E-4</v>
      </c>
    </row>
    <row r="169" spans="1:26" ht="15" customHeight="1">
      <c r="A169" s="121">
        <v>313</v>
      </c>
      <c r="B169" s="121">
        <v>313</v>
      </c>
      <c r="C169" s="120" t="s">
        <v>2279</v>
      </c>
      <c r="D169" s="121"/>
      <c r="E169" s="120"/>
      <c r="F169" s="120" t="s">
        <v>2288</v>
      </c>
      <c r="G169" s="121">
        <v>62021035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295</v>
      </c>
      <c r="O169" s="120" t="s">
        <v>338</v>
      </c>
      <c r="P169" s="124">
        <v>44775</v>
      </c>
      <c r="Q169" s="120" t="s">
        <v>1212</v>
      </c>
      <c r="R169" s="120" t="s">
        <v>886</v>
      </c>
      <c r="S169" s="120" t="s">
        <v>890</v>
      </c>
      <c r="T169" s="124">
        <v>45473</v>
      </c>
      <c r="U169" s="122">
        <v>3.7589999999999999</v>
      </c>
      <c r="V169" s="122">
        <v>9140.2317600000006</v>
      </c>
      <c r="W169" s="122">
        <v>34358.13119</v>
      </c>
      <c r="X169" s="123">
        <v>6.7699999999999998E-4</v>
      </c>
      <c r="Y169" s="123">
        <v>5.934E-3</v>
      </c>
      <c r="Z169" s="123">
        <v>5.7600000000000001E-4</v>
      </c>
    </row>
    <row r="170" spans="1:26" ht="15" customHeight="1">
      <c r="A170" s="121">
        <v>313</v>
      </c>
      <c r="B170" s="121">
        <v>313</v>
      </c>
      <c r="C170" s="120" t="s">
        <v>2127</v>
      </c>
      <c r="D170" s="121"/>
      <c r="E170" s="120"/>
      <c r="F170" s="120" t="s">
        <v>2289</v>
      </c>
      <c r="G170" s="121">
        <v>42000915</v>
      </c>
      <c r="H170" s="120" t="s">
        <v>311</v>
      </c>
      <c r="I170" s="120" t="s">
        <v>1006</v>
      </c>
      <c r="J170" s="120"/>
      <c r="K170" s="120" t="s">
        <v>204</v>
      </c>
      <c r="L170" s="120"/>
      <c r="M170" s="120"/>
      <c r="N170" s="120" t="s">
        <v>295</v>
      </c>
      <c r="O170" s="120" t="s">
        <v>338</v>
      </c>
      <c r="P170" s="124">
        <v>43601</v>
      </c>
      <c r="Q170" s="120" t="s">
        <v>1212</v>
      </c>
      <c r="R170" s="120" t="s">
        <v>886</v>
      </c>
      <c r="S170" s="120" t="s">
        <v>890</v>
      </c>
      <c r="T170" s="124">
        <v>45473</v>
      </c>
      <c r="U170" s="122">
        <v>3.7589999999999999</v>
      </c>
      <c r="V170" s="122">
        <v>835.54759999999999</v>
      </c>
      <c r="W170" s="122">
        <v>3140.8234299999999</v>
      </c>
      <c r="X170" s="123">
        <v>2.7799999999999998E-4</v>
      </c>
      <c r="Y170" s="123">
        <v>5.4199999999999995E-4</v>
      </c>
      <c r="Z170" s="123">
        <v>5.1999999999999997E-5</v>
      </c>
    </row>
    <row r="171" spans="1:26" ht="15" customHeight="1">
      <c r="A171" s="121">
        <v>313</v>
      </c>
      <c r="B171" s="121">
        <v>313</v>
      </c>
      <c r="C171" s="120" t="s">
        <v>2191</v>
      </c>
      <c r="D171" s="121"/>
      <c r="E171" s="120"/>
      <c r="F171" s="120" t="s">
        <v>2290</v>
      </c>
      <c r="G171" s="121">
        <v>41000864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292</v>
      </c>
      <c r="O171" s="120" t="s">
        <v>338</v>
      </c>
      <c r="P171" s="124">
        <v>43513</v>
      </c>
      <c r="Q171" s="120" t="s">
        <v>1216</v>
      </c>
      <c r="R171" s="120" t="s">
        <v>886</v>
      </c>
      <c r="S171" s="120" t="s">
        <v>890</v>
      </c>
      <c r="T171" s="124">
        <v>45473</v>
      </c>
      <c r="U171" s="122">
        <v>4.0202</v>
      </c>
      <c r="V171" s="122">
        <v>792.49199999999996</v>
      </c>
      <c r="W171" s="122">
        <v>3185.9763400000002</v>
      </c>
      <c r="X171" s="123">
        <v>3.9599999999999998E-4</v>
      </c>
      <c r="Y171" s="123">
        <v>5.5000000000000003E-4</v>
      </c>
      <c r="Z171" s="123">
        <v>5.3000000000000001E-5</v>
      </c>
    </row>
    <row r="172" spans="1:26" ht="15" customHeight="1">
      <c r="A172" s="121">
        <v>313</v>
      </c>
      <c r="B172" s="121">
        <v>313</v>
      </c>
      <c r="C172" s="120" t="s">
        <v>2138</v>
      </c>
      <c r="D172" s="121"/>
      <c r="E172" s="120"/>
      <c r="F172" s="120" t="s">
        <v>2291</v>
      </c>
      <c r="G172" s="121">
        <v>62015841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292</v>
      </c>
      <c r="O172" s="120" t="s">
        <v>338</v>
      </c>
      <c r="P172" s="124">
        <v>43952</v>
      </c>
      <c r="Q172" s="120" t="s">
        <v>1216</v>
      </c>
      <c r="R172" s="120" t="s">
        <v>886</v>
      </c>
      <c r="S172" s="120" t="s">
        <v>890</v>
      </c>
      <c r="T172" s="124">
        <v>45473</v>
      </c>
      <c r="U172" s="122">
        <v>4.0202</v>
      </c>
      <c r="V172" s="122">
        <v>1750.2607</v>
      </c>
      <c r="W172" s="122">
        <v>7036.3980799999999</v>
      </c>
      <c r="X172" s="123">
        <v>4.3100000000000001E-4</v>
      </c>
      <c r="Y172" s="123">
        <v>1.2149999999999999E-3</v>
      </c>
      <c r="Z172" s="123">
        <v>1.18E-4</v>
      </c>
    </row>
    <row r="173" spans="1:26" ht="15" customHeight="1">
      <c r="A173" s="121">
        <v>313</v>
      </c>
      <c r="B173" s="121">
        <v>313</v>
      </c>
      <c r="C173" s="120" t="s">
        <v>2169</v>
      </c>
      <c r="D173" s="121"/>
      <c r="E173" s="120"/>
      <c r="F173" s="120" t="s">
        <v>2292</v>
      </c>
      <c r="G173" s="121">
        <v>60397551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295</v>
      </c>
      <c r="O173" s="120" t="s">
        <v>338</v>
      </c>
      <c r="P173" s="124">
        <v>42186</v>
      </c>
      <c r="Q173" s="120" t="s">
        <v>1212</v>
      </c>
      <c r="R173" s="120" t="s">
        <v>886</v>
      </c>
      <c r="S173" s="120" t="s">
        <v>890</v>
      </c>
      <c r="T173" s="124">
        <v>45473</v>
      </c>
      <c r="U173" s="122">
        <v>3.7589999999999999</v>
      </c>
      <c r="V173" s="122">
        <v>1408.2233200000001</v>
      </c>
      <c r="W173" s="122">
        <v>5293.5114400000002</v>
      </c>
      <c r="X173" s="123">
        <v>7.3200000000000001E-4</v>
      </c>
      <c r="Y173" s="123">
        <v>9.1399999999999999E-4</v>
      </c>
      <c r="Z173" s="123">
        <v>8.7999999999999998E-5</v>
      </c>
    </row>
    <row r="174" spans="1:26" ht="15" customHeight="1">
      <c r="A174" s="121">
        <v>313</v>
      </c>
      <c r="B174" s="121">
        <v>313</v>
      </c>
      <c r="C174" s="120" t="s">
        <v>2293</v>
      </c>
      <c r="D174" s="121"/>
      <c r="E174" s="120"/>
      <c r="F174" s="120" t="s">
        <v>2294</v>
      </c>
      <c r="G174" s="121">
        <v>60298742</v>
      </c>
      <c r="H174" s="120" t="s">
        <v>311</v>
      </c>
      <c r="I174" s="120" t="s">
        <v>1005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41122</v>
      </c>
      <c r="Q174" s="120" t="s">
        <v>1212</v>
      </c>
      <c r="R174" s="120" t="s">
        <v>886</v>
      </c>
      <c r="S174" s="120" t="s">
        <v>890</v>
      </c>
      <c r="T174" s="124">
        <v>45473</v>
      </c>
      <c r="U174" s="122">
        <v>3.7589999999999999</v>
      </c>
      <c r="V174" s="122">
        <v>864.86279000000002</v>
      </c>
      <c r="W174" s="122">
        <v>3251.0192200000001</v>
      </c>
      <c r="X174" s="123">
        <v>6.3999999999999997E-5</v>
      </c>
      <c r="Y174" s="123">
        <v>5.6099999999999998E-4</v>
      </c>
      <c r="Z174" s="123">
        <v>5.3999999999999998E-5</v>
      </c>
    </row>
    <row r="175" spans="1:26" ht="15" customHeight="1">
      <c r="A175" s="121">
        <v>313</v>
      </c>
      <c r="B175" s="121">
        <v>313</v>
      </c>
      <c r="C175" s="120" t="s">
        <v>2138</v>
      </c>
      <c r="D175" s="121"/>
      <c r="E175" s="120"/>
      <c r="F175" s="120" t="s">
        <v>2295</v>
      </c>
      <c r="G175" s="121">
        <v>62013594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295</v>
      </c>
      <c r="O175" s="120" t="s">
        <v>338</v>
      </c>
      <c r="P175" s="124">
        <v>43654</v>
      </c>
      <c r="Q175" s="120" t="s">
        <v>1212</v>
      </c>
      <c r="R175" s="120" t="s">
        <v>886</v>
      </c>
      <c r="S175" s="120" t="s">
        <v>890</v>
      </c>
      <c r="T175" s="124">
        <v>45473</v>
      </c>
      <c r="U175" s="122">
        <v>3.7589999999999999</v>
      </c>
      <c r="V175" s="122">
        <v>12310.210499999999</v>
      </c>
      <c r="W175" s="122">
        <v>46274.081259999999</v>
      </c>
      <c r="X175" s="123">
        <v>1.2310000000000001E-3</v>
      </c>
      <c r="Y175" s="123">
        <v>7.9920000000000008E-3</v>
      </c>
      <c r="Z175" s="123">
        <v>7.76E-4</v>
      </c>
    </row>
    <row r="176" spans="1:26" ht="15" customHeight="1">
      <c r="A176" s="121">
        <v>313</v>
      </c>
      <c r="B176" s="121">
        <v>313</v>
      </c>
      <c r="C176" s="120" t="s">
        <v>2161</v>
      </c>
      <c r="D176" s="121"/>
      <c r="E176" s="120"/>
      <c r="F176" s="120" t="s">
        <v>2296</v>
      </c>
      <c r="G176" s="121">
        <v>60337078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41426</v>
      </c>
      <c r="Q176" s="120" t="s">
        <v>1212</v>
      </c>
      <c r="R176" s="120" t="s">
        <v>886</v>
      </c>
      <c r="S176" s="120" t="s">
        <v>890</v>
      </c>
      <c r="T176" s="124">
        <v>45473</v>
      </c>
      <c r="U176" s="122">
        <v>3.7589999999999999</v>
      </c>
      <c r="V176" s="122">
        <v>272.09224</v>
      </c>
      <c r="W176" s="122">
        <v>1022.79471</v>
      </c>
      <c r="X176" s="123">
        <v>7.7700000000000002E-4</v>
      </c>
      <c r="Y176" s="123">
        <v>1.76E-4</v>
      </c>
      <c r="Z176" s="123">
        <v>1.7E-5</v>
      </c>
    </row>
    <row r="177" spans="1:26" ht="15" customHeight="1">
      <c r="A177" s="121">
        <v>313</v>
      </c>
      <c r="B177" s="121">
        <v>313</v>
      </c>
      <c r="C177" s="120" t="s">
        <v>2124</v>
      </c>
      <c r="D177" s="121"/>
      <c r="E177" s="120"/>
      <c r="F177" s="120" t="s">
        <v>2297</v>
      </c>
      <c r="G177" s="121">
        <v>9840574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303</v>
      </c>
      <c r="O177" s="120" t="s">
        <v>338</v>
      </c>
      <c r="P177" s="124">
        <v>40087</v>
      </c>
      <c r="Q177" s="120" t="s">
        <v>1212</v>
      </c>
      <c r="R177" s="120" t="s">
        <v>886</v>
      </c>
      <c r="S177" s="120" t="s">
        <v>890</v>
      </c>
      <c r="T177" s="124">
        <v>45473</v>
      </c>
      <c r="U177" s="122">
        <v>3.7589999999999999</v>
      </c>
      <c r="V177" s="122">
        <v>3086.8834499999998</v>
      </c>
      <c r="W177" s="122">
        <v>11603.59489</v>
      </c>
      <c r="X177" s="123">
        <v>6.0850000000000001E-3</v>
      </c>
      <c r="Y177" s="123">
        <v>2.0040000000000001E-3</v>
      </c>
      <c r="Z177" s="123">
        <v>1.94E-4</v>
      </c>
    </row>
    <row r="178" spans="1:26" ht="15" customHeight="1">
      <c r="A178" s="121">
        <v>313</v>
      </c>
      <c r="B178" s="121">
        <v>313</v>
      </c>
      <c r="C178" s="120" t="s">
        <v>2138</v>
      </c>
      <c r="D178" s="121"/>
      <c r="E178" s="120"/>
      <c r="F178" s="120" t="s">
        <v>2298</v>
      </c>
      <c r="G178" s="121">
        <v>62011337</v>
      </c>
      <c r="H178" s="120" t="s">
        <v>311</v>
      </c>
      <c r="I178" s="120" t="s">
        <v>1005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44287</v>
      </c>
      <c r="Q178" s="120" t="s">
        <v>1216</v>
      </c>
      <c r="R178" s="120" t="s">
        <v>886</v>
      </c>
      <c r="S178" s="120" t="s">
        <v>890</v>
      </c>
      <c r="T178" s="124">
        <v>45473</v>
      </c>
      <c r="U178" s="122">
        <v>4.0202</v>
      </c>
      <c r="V178" s="122">
        <v>1747.7589399999999</v>
      </c>
      <c r="W178" s="122">
        <v>7026.3404700000001</v>
      </c>
      <c r="X178" s="123">
        <v>2.2010999999999999E-2</v>
      </c>
      <c r="Y178" s="123">
        <v>1.2130000000000001E-3</v>
      </c>
      <c r="Z178" s="123">
        <v>1.17E-4</v>
      </c>
    </row>
    <row r="179" spans="1:26" ht="15" customHeight="1">
      <c r="A179" s="121">
        <v>313</v>
      </c>
      <c r="B179" s="121">
        <v>313</v>
      </c>
      <c r="C179" s="120" t="s">
        <v>2299</v>
      </c>
      <c r="D179" s="121"/>
      <c r="E179" s="120"/>
      <c r="F179" s="120" t="s">
        <v>2300</v>
      </c>
      <c r="G179" s="121">
        <v>62021472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223</v>
      </c>
      <c r="O179" s="120" t="s">
        <v>338</v>
      </c>
      <c r="P179" s="124">
        <v>45246</v>
      </c>
      <c r="Q179" s="120" t="s">
        <v>1212</v>
      </c>
      <c r="R179" s="120" t="s">
        <v>886</v>
      </c>
      <c r="S179" s="120" t="s">
        <v>890</v>
      </c>
      <c r="T179" s="124">
        <v>45473</v>
      </c>
      <c r="U179" s="122">
        <v>3.7589999999999999</v>
      </c>
      <c r="V179" s="122">
        <v>6754.4072999999999</v>
      </c>
      <c r="W179" s="122">
        <v>25389.817060000001</v>
      </c>
      <c r="X179" s="123">
        <v>8.9999999999999998E-4</v>
      </c>
      <c r="Y179" s="123">
        <v>4.385E-3</v>
      </c>
      <c r="Z179" s="123">
        <v>4.26E-4</v>
      </c>
    </row>
    <row r="180" spans="1:26" ht="15" customHeight="1">
      <c r="A180" s="121">
        <v>313</v>
      </c>
      <c r="B180" s="121">
        <v>313</v>
      </c>
      <c r="C180" s="120" t="s">
        <v>2301</v>
      </c>
      <c r="D180" s="121"/>
      <c r="E180" s="120"/>
      <c r="F180" s="120" t="s">
        <v>2302</v>
      </c>
      <c r="G180" s="121">
        <v>60385264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44914</v>
      </c>
      <c r="Q180" s="120" t="s">
        <v>1216</v>
      </c>
      <c r="R180" s="120" t="s">
        <v>886</v>
      </c>
      <c r="S180" s="120" t="s">
        <v>890</v>
      </c>
      <c r="T180" s="124">
        <v>45473</v>
      </c>
      <c r="U180" s="122">
        <v>4.0202</v>
      </c>
      <c r="V180" s="122">
        <v>1084.46327</v>
      </c>
      <c r="W180" s="122">
        <v>4359.7592400000003</v>
      </c>
      <c r="X180" s="123">
        <v>3.0899999999999998E-4</v>
      </c>
      <c r="Y180" s="123">
        <v>7.5299999999999998E-4</v>
      </c>
      <c r="Z180" s="123">
        <v>7.2999999999999999E-5</v>
      </c>
    </row>
    <row r="181" spans="1:26" ht="15" customHeight="1">
      <c r="A181" s="121">
        <v>313</v>
      </c>
      <c r="B181" s="121">
        <v>313</v>
      </c>
      <c r="C181" s="120" t="s">
        <v>2303</v>
      </c>
      <c r="D181" s="121"/>
      <c r="E181" s="120"/>
      <c r="F181" s="120" t="s">
        <v>2304</v>
      </c>
      <c r="G181" s="121">
        <v>60391324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232</v>
      </c>
      <c r="O181" s="120" t="s">
        <v>338</v>
      </c>
      <c r="P181" s="124">
        <v>44105</v>
      </c>
      <c r="Q181" s="120" t="s">
        <v>1230</v>
      </c>
      <c r="R181" s="120" t="s">
        <v>886</v>
      </c>
      <c r="S181" s="120" t="s">
        <v>890</v>
      </c>
      <c r="T181" s="124">
        <v>45473</v>
      </c>
      <c r="U181" s="122">
        <v>4.7504999999999997</v>
      </c>
      <c r="V181" s="122">
        <v>2137.7350099999999</v>
      </c>
      <c r="W181" s="122">
        <v>10155.31018</v>
      </c>
      <c r="X181" s="123">
        <v>6.5770000000000004E-3</v>
      </c>
      <c r="Y181" s="123">
        <v>1.7539999999999999E-3</v>
      </c>
      <c r="Z181" s="123">
        <v>1.7000000000000001E-4</v>
      </c>
    </row>
    <row r="182" spans="1:26" ht="15" customHeight="1">
      <c r="A182" s="121">
        <v>313</v>
      </c>
      <c r="B182" s="121">
        <v>313</v>
      </c>
      <c r="C182" s="120" t="s">
        <v>2035</v>
      </c>
      <c r="D182" s="121"/>
      <c r="E182" s="120"/>
      <c r="F182" s="120" t="s">
        <v>2305</v>
      </c>
      <c r="G182" s="121">
        <v>62010079</v>
      </c>
      <c r="H182" s="120" t="s">
        <v>311</v>
      </c>
      <c r="I182" s="120" t="s">
        <v>1006</v>
      </c>
      <c r="J182" s="120"/>
      <c r="K182" s="120" t="s">
        <v>204</v>
      </c>
      <c r="L182" s="120"/>
      <c r="M182" s="120"/>
      <c r="N182" s="120" t="s">
        <v>223</v>
      </c>
      <c r="O182" s="120" t="s">
        <v>338</v>
      </c>
      <c r="P182" s="124">
        <v>43282</v>
      </c>
      <c r="Q182" s="120" t="s">
        <v>1212</v>
      </c>
      <c r="R182" s="120" t="s">
        <v>886</v>
      </c>
      <c r="S182" s="120" t="s">
        <v>890</v>
      </c>
      <c r="T182" s="124">
        <v>45473</v>
      </c>
      <c r="U182" s="122">
        <v>3.7589999999999999</v>
      </c>
      <c r="V182" s="122">
        <v>3957.2737400000001</v>
      </c>
      <c r="W182" s="122">
        <v>14875.39198</v>
      </c>
      <c r="X182" s="123">
        <v>8.3310999999999996E-2</v>
      </c>
      <c r="Y182" s="123">
        <v>2.5690000000000001E-3</v>
      </c>
      <c r="Z182" s="123">
        <v>2.4899999999999998E-4</v>
      </c>
    </row>
    <row r="183" spans="1:26" ht="15" customHeight="1">
      <c r="A183" s="121">
        <v>313</v>
      </c>
      <c r="B183" s="121">
        <v>313</v>
      </c>
      <c r="C183" s="120" t="s">
        <v>2147</v>
      </c>
      <c r="D183" s="121"/>
      <c r="E183" s="120"/>
      <c r="F183" s="120" t="s">
        <v>2306</v>
      </c>
      <c r="G183" s="121">
        <v>9840565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292</v>
      </c>
      <c r="O183" s="120" t="s">
        <v>338</v>
      </c>
      <c r="P183" s="124">
        <v>39751</v>
      </c>
      <c r="Q183" s="120" t="s">
        <v>1216</v>
      </c>
      <c r="R183" s="120" t="s">
        <v>886</v>
      </c>
      <c r="S183" s="120" t="s">
        <v>890</v>
      </c>
      <c r="T183" s="124">
        <v>45473</v>
      </c>
      <c r="U183" s="122">
        <v>4.0202</v>
      </c>
      <c r="V183" s="122">
        <v>1839.5276100000001</v>
      </c>
      <c r="W183" s="122">
        <v>7395.2689099999998</v>
      </c>
      <c r="X183" s="123">
        <v>1.709E-3</v>
      </c>
      <c r="Y183" s="123">
        <v>1.2769999999999999E-3</v>
      </c>
      <c r="Z183" s="123">
        <v>1.2400000000000001E-4</v>
      </c>
    </row>
    <row r="184" spans="1:26" ht="15" customHeight="1">
      <c r="A184" s="121">
        <v>313</v>
      </c>
      <c r="B184" s="121">
        <v>313</v>
      </c>
      <c r="C184" s="120" t="s">
        <v>2307</v>
      </c>
      <c r="D184" s="121"/>
      <c r="E184" s="120"/>
      <c r="F184" s="120" t="s">
        <v>2308</v>
      </c>
      <c r="G184" s="121">
        <v>60350733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223</v>
      </c>
      <c r="O184" s="120" t="s">
        <v>338</v>
      </c>
      <c r="P184" s="124">
        <v>41671</v>
      </c>
      <c r="Q184" s="120" t="s">
        <v>1212</v>
      </c>
      <c r="R184" s="120" t="s">
        <v>886</v>
      </c>
      <c r="S184" s="120" t="s">
        <v>890</v>
      </c>
      <c r="T184" s="124">
        <v>45473</v>
      </c>
      <c r="U184" s="122">
        <v>3.7589999999999999</v>
      </c>
      <c r="V184" s="122">
        <v>3283.7350999999999</v>
      </c>
      <c r="W184" s="122">
        <v>12343.560240000001</v>
      </c>
      <c r="X184" s="123">
        <v>6.4999999999999997E-4</v>
      </c>
      <c r="Y184" s="123">
        <v>2.1320000000000002E-3</v>
      </c>
      <c r="Z184" s="123">
        <v>2.0699999999999999E-4</v>
      </c>
    </row>
    <row r="185" spans="1:26" ht="15" customHeight="1">
      <c r="A185" s="121">
        <v>313</v>
      </c>
      <c r="B185" s="121">
        <v>313</v>
      </c>
      <c r="C185" s="120" t="s">
        <v>2309</v>
      </c>
      <c r="D185" s="121"/>
      <c r="E185" s="120"/>
      <c r="F185" s="120" t="s">
        <v>2310</v>
      </c>
      <c r="G185" s="121">
        <v>60415768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223</v>
      </c>
      <c r="O185" s="120" t="s">
        <v>338</v>
      </c>
      <c r="P185" s="124">
        <v>44348</v>
      </c>
      <c r="Q185" s="120" t="s">
        <v>1212</v>
      </c>
      <c r="R185" s="120" t="s">
        <v>886</v>
      </c>
      <c r="S185" s="120" t="s">
        <v>890</v>
      </c>
      <c r="T185" s="124">
        <v>45473</v>
      </c>
      <c r="U185" s="122">
        <v>3.7589999999999999</v>
      </c>
      <c r="V185" s="122">
        <v>3730.2366400000001</v>
      </c>
      <c r="W185" s="122">
        <v>14021.959510000001</v>
      </c>
      <c r="X185" s="123">
        <v>1.1469E-2</v>
      </c>
      <c r="Y185" s="123">
        <v>2.4220000000000001E-3</v>
      </c>
      <c r="Z185" s="123">
        <v>2.3499999999999999E-4</v>
      </c>
    </row>
    <row r="186" spans="1:26" ht="15" customHeight="1">
      <c r="A186" s="121">
        <v>313</v>
      </c>
      <c r="B186" s="121">
        <v>313</v>
      </c>
      <c r="C186" s="120" t="s">
        <v>2127</v>
      </c>
      <c r="D186" s="121"/>
      <c r="E186" s="120"/>
      <c r="F186" s="120" t="s">
        <v>2311</v>
      </c>
      <c r="G186" s="121">
        <v>42000917</v>
      </c>
      <c r="H186" s="120" t="s">
        <v>311</v>
      </c>
      <c r="I186" s="120" t="s">
        <v>1006</v>
      </c>
      <c r="J186" s="120"/>
      <c r="K186" s="120" t="s">
        <v>204</v>
      </c>
      <c r="L186" s="120"/>
      <c r="M186" s="120"/>
      <c r="N186" s="120" t="s">
        <v>295</v>
      </c>
      <c r="O186" s="120" t="s">
        <v>338</v>
      </c>
      <c r="P186" s="124">
        <v>43601</v>
      </c>
      <c r="Q186" s="120" t="s">
        <v>1212</v>
      </c>
      <c r="R186" s="120" t="s">
        <v>886</v>
      </c>
      <c r="S186" s="120" t="s">
        <v>890</v>
      </c>
      <c r="T186" s="124">
        <v>45473</v>
      </c>
      <c r="U186" s="122">
        <v>3.7589999999999999</v>
      </c>
      <c r="V186" s="122">
        <v>276.02260000000001</v>
      </c>
      <c r="W186" s="122">
        <v>1037.5689500000001</v>
      </c>
      <c r="X186" s="123">
        <v>9.2E-5</v>
      </c>
      <c r="Y186" s="123">
        <v>1.7899999999999999E-4</v>
      </c>
      <c r="Z186" s="123">
        <v>1.7E-5</v>
      </c>
    </row>
    <row r="187" spans="1:26" ht="15" customHeight="1">
      <c r="A187" s="121">
        <v>313</v>
      </c>
      <c r="B187" s="121">
        <v>313</v>
      </c>
      <c r="C187" s="120" t="s">
        <v>2138</v>
      </c>
      <c r="D187" s="121"/>
      <c r="E187" s="120"/>
      <c r="F187" s="120" t="s">
        <v>2312</v>
      </c>
      <c r="G187" s="121">
        <v>62005616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292</v>
      </c>
      <c r="O187" s="120" t="s">
        <v>338</v>
      </c>
      <c r="P187" s="124">
        <v>43070</v>
      </c>
      <c r="Q187" s="120" t="s">
        <v>2313</v>
      </c>
      <c r="R187" s="120" t="s">
        <v>886</v>
      </c>
      <c r="S187" s="120" t="s">
        <v>890</v>
      </c>
      <c r="T187" s="124">
        <v>45473</v>
      </c>
      <c r="U187" s="122">
        <v>0.3528</v>
      </c>
      <c r="V187" s="122">
        <v>27922.422070000001</v>
      </c>
      <c r="W187" s="122">
        <v>9851.0305100000005</v>
      </c>
      <c r="X187" s="123">
        <v>8.8540000000000008E-3</v>
      </c>
      <c r="Y187" s="123">
        <v>1.701E-3</v>
      </c>
      <c r="Z187" s="123">
        <v>1.65E-4</v>
      </c>
    </row>
    <row r="188" spans="1:26" ht="15" customHeight="1">
      <c r="A188" s="121">
        <v>313</v>
      </c>
      <c r="B188" s="121">
        <v>313</v>
      </c>
      <c r="C188" s="120" t="s">
        <v>2314</v>
      </c>
      <c r="D188" s="121"/>
      <c r="E188" s="120"/>
      <c r="F188" s="120" t="s">
        <v>2315</v>
      </c>
      <c r="G188" s="121">
        <v>62020839</v>
      </c>
      <c r="H188" s="120" t="s">
        <v>311</v>
      </c>
      <c r="I188" s="120" t="s">
        <v>1004</v>
      </c>
      <c r="J188" s="120"/>
      <c r="K188" s="120" t="s">
        <v>204</v>
      </c>
      <c r="L188" s="120"/>
      <c r="M188" s="120"/>
      <c r="N188" s="120" t="s">
        <v>292</v>
      </c>
      <c r="O188" s="120" t="s">
        <v>338</v>
      </c>
      <c r="P188" s="124">
        <v>44769</v>
      </c>
      <c r="Q188" s="120" t="s">
        <v>1216</v>
      </c>
      <c r="R188" s="120" t="s">
        <v>886</v>
      </c>
      <c r="S188" s="120" t="s">
        <v>890</v>
      </c>
      <c r="T188" s="124">
        <v>45473</v>
      </c>
      <c r="U188" s="122">
        <v>4.0202</v>
      </c>
      <c r="V188" s="122">
        <v>9016.2367699999995</v>
      </c>
      <c r="W188" s="122">
        <v>36247.075049999999</v>
      </c>
      <c r="X188" s="123">
        <v>3.6459999999999999E-3</v>
      </c>
      <c r="Y188" s="123">
        <v>6.2599999999999999E-3</v>
      </c>
      <c r="Z188" s="123">
        <v>6.0800000000000003E-4</v>
      </c>
    </row>
    <row r="189" spans="1:26" ht="15" customHeight="1">
      <c r="A189" s="121">
        <v>313</v>
      </c>
      <c r="B189" s="121">
        <v>313</v>
      </c>
      <c r="C189" s="120" t="s">
        <v>2285</v>
      </c>
      <c r="D189" s="121"/>
      <c r="E189" s="120"/>
      <c r="F189" s="120" t="s">
        <v>2316</v>
      </c>
      <c r="G189" s="121">
        <v>62017181</v>
      </c>
      <c r="H189" s="120" t="s">
        <v>311</v>
      </c>
      <c r="I189" s="120" t="s">
        <v>1002</v>
      </c>
      <c r="J189" s="120"/>
      <c r="K189" s="120" t="s">
        <v>204</v>
      </c>
      <c r="L189" s="120"/>
      <c r="M189" s="120"/>
      <c r="N189" s="120" t="s">
        <v>223</v>
      </c>
      <c r="O189" s="120" t="s">
        <v>338</v>
      </c>
      <c r="P189" s="124">
        <v>44013</v>
      </c>
      <c r="Q189" s="120" t="s">
        <v>1212</v>
      </c>
      <c r="R189" s="120" t="s">
        <v>886</v>
      </c>
      <c r="S189" s="120" t="s">
        <v>890</v>
      </c>
      <c r="T189" s="124">
        <v>45473</v>
      </c>
      <c r="U189" s="122">
        <v>3.7589999999999999</v>
      </c>
      <c r="V189" s="122">
        <v>19151.355</v>
      </c>
      <c r="W189" s="122">
        <v>71989.943440000003</v>
      </c>
      <c r="X189" s="123">
        <v>2.0794E-2</v>
      </c>
      <c r="Y189" s="123">
        <v>1.2434000000000001E-2</v>
      </c>
      <c r="Z189" s="123">
        <v>1.2080000000000001E-3</v>
      </c>
    </row>
    <row r="190" spans="1:26" ht="15" customHeight="1">
      <c r="A190" s="121">
        <v>313</v>
      </c>
      <c r="B190" s="121">
        <v>313</v>
      </c>
      <c r="C190" s="120" t="s">
        <v>2127</v>
      </c>
      <c r="D190" s="121"/>
      <c r="E190" s="120"/>
      <c r="F190" s="120" t="s">
        <v>2317</v>
      </c>
      <c r="G190" s="121">
        <v>42000907</v>
      </c>
      <c r="H190" s="120" t="s">
        <v>311</v>
      </c>
      <c r="I190" s="120" t="s">
        <v>1006</v>
      </c>
      <c r="J190" s="120"/>
      <c r="K190" s="120" t="s">
        <v>204</v>
      </c>
      <c r="L190" s="120"/>
      <c r="M190" s="120"/>
      <c r="N190" s="120" t="s">
        <v>295</v>
      </c>
      <c r="O190" s="120" t="s">
        <v>338</v>
      </c>
      <c r="P190" s="124">
        <v>43601</v>
      </c>
      <c r="Q190" s="120" t="s">
        <v>1212</v>
      </c>
      <c r="R190" s="120" t="s">
        <v>886</v>
      </c>
      <c r="S190" s="120" t="s">
        <v>890</v>
      </c>
      <c r="T190" s="124">
        <v>45473</v>
      </c>
      <c r="U190" s="122">
        <v>3.7589999999999999</v>
      </c>
      <c r="V190" s="122">
        <v>787.96299999999997</v>
      </c>
      <c r="W190" s="122">
        <v>2961.9529200000002</v>
      </c>
      <c r="X190" s="123">
        <v>2.6200000000000003E-4</v>
      </c>
      <c r="Y190" s="123">
        <v>5.1099999999999995E-4</v>
      </c>
      <c r="Z190" s="123">
        <v>4.8999999999999998E-5</v>
      </c>
    </row>
    <row r="191" spans="1:26" ht="15" customHeight="1">
      <c r="A191" s="121">
        <v>313</v>
      </c>
      <c r="B191" s="121">
        <v>313</v>
      </c>
      <c r="C191" s="120" t="s">
        <v>2124</v>
      </c>
      <c r="D191" s="121"/>
      <c r="E191" s="120"/>
      <c r="F191" s="120" t="s">
        <v>2318</v>
      </c>
      <c r="G191" s="121">
        <v>43000905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237</v>
      </c>
      <c r="O191" s="120" t="s">
        <v>338</v>
      </c>
      <c r="P191" s="124">
        <v>44054</v>
      </c>
      <c r="Q191" s="120" t="s">
        <v>1212</v>
      </c>
      <c r="R191" s="120" t="s">
        <v>886</v>
      </c>
      <c r="S191" s="120" t="s">
        <v>890</v>
      </c>
      <c r="T191" s="124">
        <v>45473</v>
      </c>
      <c r="U191" s="122">
        <v>3.7589999999999999</v>
      </c>
      <c r="V191" s="122">
        <v>1905.134</v>
      </c>
      <c r="W191" s="122">
        <v>7161.3987100000004</v>
      </c>
      <c r="X191" s="123">
        <v>9.5200000000000005E-4</v>
      </c>
      <c r="Y191" s="123">
        <v>1.2359999999999999E-3</v>
      </c>
      <c r="Z191" s="123">
        <v>1.2E-4</v>
      </c>
    </row>
    <row r="192" spans="1:26" ht="15" customHeight="1">
      <c r="A192" s="121">
        <v>313</v>
      </c>
      <c r="B192" s="121">
        <v>313</v>
      </c>
      <c r="C192" s="120" t="s">
        <v>2161</v>
      </c>
      <c r="D192" s="121"/>
      <c r="E192" s="120"/>
      <c r="F192" s="120" t="s">
        <v>2319</v>
      </c>
      <c r="G192" s="121">
        <v>60395779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295</v>
      </c>
      <c r="O192" s="120" t="s">
        <v>338</v>
      </c>
      <c r="P192" s="124">
        <v>41426</v>
      </c>
      <c r="Q192" s="120" t="s">
        <v>1212</v>
      </c>
      <c r="R192" s="120" t="s">
        <v>886</v>
      </c>
      <c r="S192" s="120" t="s">
        <v>890</v>
      </c>
      <c r="T192" s="124">
        <v>45473</v>
      </c>
      <c r="U192" s="122">
        <v>3.7589999999999999</v>
      </c>
      <c r="V192" s="122">
        <v>2140.7263600000001</v>
      </c>
      <c r="W192" s="122">
        <v>8046.9903800000002</v>
      </c>
      <c r="X192" s="123">
        <v>9.8189999999999996E-3</v>
      </c>
      <c r="Y192" s="123">
        <v>1.389E-3</v>
      </c>
      <c r="Z192" s="123">
        <v>1.35E-4</v>
      </c>
    </row>
    <row r="193" spans="1:26" ht="15" customHeight="1">
      <c r="A193" s="121">
        <v>313</v>
      </c>
      <c r="B193" s="121">
        <v>313</v>
      </c>
      <c r="C193" s="120" t="s">
        <v>2124</v>
      </c>
      <c r="D193" s="121"/>
      <c r="E193" s="120"/>
      <c r="F193" s="120" t="s">
        <v>2320</v>
      </c>
      <c r="G193" s="121">
        <v>43000903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280</v>
      </c>
      <c r="O193" s="120" t="s">
        <v>338</v>
      </c>
      <c r="P193" s="124">
        <v>44054</v>
      </c>
      <c r="Q193" s="120" t="s">
        <v>1212</v>
      </c>
      <c r="R193" s="120" t="s">
        <v>886</v>
      </c>
      <c r="S193" s="120" t="s">
        <v>890</v>
      </c>
      <c r="T193" s="124">
        <v>45473</v>
      </c>
      <c r="U193" s="122">
        <v>3.7589999999999999</v>
      </c>
      <c r="V193" s="122">
        <v>803.51599999999996</v>
      </c>
      <c r="W193" s="122">
        <v>3020.4166399999999</v>
      </c>
      <c r="X193" s="123">
        <v>4.0099999999999999E-4</v>
      </c>
      <c r="Y193" s="123">
        <v>5.2099999999999998E-4</v>
      </c>
      <c r="Z193" s="123">
        <v>5.0000000000000002E-5</v>
      </c>
    </row>
    <row r="194" spans="1:26" ht="15" customHeight="1">
      <c r="A194" s="121">
        <v>313</v>
      </c>
      <c r="B194" s="121">
        <v>313</v>
      </c>
      <c r="C194" s="120" t="s">
        <v>2127</v>
      </c>
      <c r="D194" s="121"/>
      <c r="E194" s="120"/>
      <c r="F194" s="120" t="s">
        <v>2321</v>
      </c>
      <c r="G194" s="121">
        <v>45000101</v>
      </c>
      <c r="H194" s="120" t="s">
        <v>311</v>
      </c>
      <c r="I194" s="120" t="s">
        <v>849</v>
      </c>
      <c r="J194" s="120"/>
      <c r="K194" s="120" t="s">
        <v>204</v>
      </c>
      <c r="L194" s="120"/>
      <c r="M194" s="120"/>
      <c r="N194" s="120" t="s">
        <v>223</v>
      </c>
      <c r="O194" s="120" t="s">
        <v>338</v>
      </c>
      <c r="P194" s="124">
        <v>45473</v>
      </c>
      <c r="Q194" s="120" t="s">
        <v>1212</v>
      </c>
      <c r="R194" s="120" t="s">
        <v>886</v>
      </c>
      <c r="S194" s="120" t="s">
        <v>890</v>
      </c>
      <c r="T194" s="124">
        <v>45473</v>
      </c>
      <c r="U194" s="122">
        <v>3.7589999999999999</v>
      </c>
      <c r="V194" s="122">
        <v>94.416669999999996</v>
      </c>
      <c r="W194" s="122">
        <v>354.91226</v>
      </c>
      <c r="X194" s="123">
        <v>9.4399999999999996E-4</v>
      </c>
      <c r="Y194" s="123">
        <v>6.0999999999999999E-5</v>
      </c>
      <c r="Z194" s="123">
        <v>5.0000000000000004E-6</v>
      </c>
    </row>
    <row r="195" spans="1:26" ht="15" customHeight="1">
      <c r="A195" s="121">
        <v>313</v>
      </c>
      <c r="B195" s="121">
        <v>313</v>
      </c>
      <c r="C195" s="120" t="s">
        <v>2132</v>
      </c>
      <c r="D195" s="121"/>
      <c r="E195" s="120"/>
      <c r="F195" s="120" t="s">
        <v>2322</v>
      </c>
      <c r="G195" s="121">
        <v>40000770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292</v>
      </c>
      <c r="O195" s="120" t="s">
        <v>338</v>
      </c>
      <c r="P195" s="124">
        <v>43513</v>
      </c>
      <c r="Q195" s="120" t="s">
        <v>1216</v>
      </c>
      <c r="R195" s="120" t="s">
        <v>886</v>
      </c>
      <c r="S195" s="120" t="s">
        <v>890</v>
      </c>
      <c r="T195" s="124">
        <v>45473</v>
      </c>
      <c r="U195" s="122">
        <v>4.0202</v>
      </c>
      <c r="V195" s="122">
        <v>145.46799999999999</v>
      </c>
      <c r="W195" s="122">
        <v>584.81044999999995</v>
      </c>
      <c r="X195" s="123">
        <v>1.45E-4</v>
      </c>
      <c r="Y195" s="123">
        <v>1.01E-4</v>
      </c>
      <c r="Z195" s="123">
        <v>9.0000000000000002E-6</v>
      </c>
    </row>
    <row r="196" spans="1:26" ht="15" customHeight="1">
      <c r="A196" s="121">
        <v>313</v>
      </c>
      <c r="B196" s="121">
        <v>313</v>
      </c>
      <c r="C196" s="120" t="s">
        <v>2138</v>
      </c>
      <c r="D196" s="121"/>
      <c r="E196" s="120"/>
      <c r="F196" s="120" t="s">
        <v>2323</v>
      </c>
      <c r="G196" s="121">
        <v>62011317</v>
      </c>
      <c r="H196" s="120" t="s">
        <v>311</v>
      </c>
      <c r="I196" s="120" t="s">
        <v>1005</v>
      </c>
      <c r="J196" s="120"/>
      <c r="K196" s="120" t="s">
        <v>204</v>
      </c>
      <c r="L196" s="120"/>
      <c r="M196" s="120"/>
      <c r="N196" s="120" t="s">
        <v>295</v>
      </c>
      <c r="O196" s="120" t="s">
        <v>338</v>
      </c>
      <c r="P196" s="124">
        <v>43435</v>
      </c>
      <c r="Q196" s="120" t="s">
        <v>1212</v>
      </c>
      <c r="R196" s="120" t="s">
        <v>886</v>
      </c>
      <c r="S196" s="120" t="s">
        <v>890</v>
      </c>
      <c r="T196" s="124">
        <v>45473</v>
      </c>
      <c r="U196" s="122">
        <v>3.7589999999999999</v>
      </c>
      <c r="V196" s="122">
        <v>16651.06236</v>
      </c>
      <c r="W196" s="122">
        <v>62591.343410000001</v>
      </c>
      <c r="X196" s="123">
        <v>7.8100000000000001E-4</v>
      </c>
      <c r="Y196" s="123">
        <v>1.0810999999999999E-2</v>
      </c>
      <c r="Z196" s="123">
        <v>1.0499999999999999E-3</v>
      </c>
    </row>
    <row r="197" spans="1:26" ht="15" customHeight="1">
      <c r="A197" s="121">
        <v>313</v>
      </c>
      <c r="B197" s="121">
        <v>313</v>
      </c>
      <c r="C197" s="120" t="s">
        <v>2324</v>
      </c>
      <c r="D197" s="121"/>
      <c r="E197" s="120"/>
      <c r="F197" s="120" t="s">
        <v>2325</v>
      </c>
      <c r="G197" s="121">
        <v>60391299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223</v>
      </c>
      <c r="O197" s="120" t="s">
        <v>338</v>
      </c>
      <c r="P197" s="124">
        <v>42186</v>
      </c>
      <c r="Q197" s="120" t="s">
        <v>1212</v>
      </c>
      <c r="R197" s="120" t="s">
        <v>886</v>
      </c>
      <c r="S197" s="120" t="s">
        <v>890</v>
      </c>
      <c r="T197" s="124">
        <v>45473</v>
      </c>
      <c r="U197" s="122">
        <v>3.7589999999999999</v>
      </c>
      <c r="V197" s="122">
        <v>695.78156999999999</v>
      </c>
      <c r="W197" s="122">
        <v>2615.4429399999999</v>
      </c>
      <c r="X197" s="123">
        <v>1.673E-3</v>
      </c>
      <c r="Y197" s="123">
        <v>4.5100000000000001E-4</v>
      </c>
      <c r="Z197" s="123">
        <v>4.3000000000000002E-5</v>
      </c>
    </row>
    <row r="198" spans="1:26" ht="15" customHeight="1">
      <c r="A198" s="121">
        <v>313</v>
      </c>
      <c r="B198" s="121">
        <v>313</v>
      </c>
      <c r="C198" s="120" t="s">
        <v>2138</v>
      </c>
      <c r="D198" s="121"/>
      <c r="E198" s="120"/>
      <c r="F198" s="120" t="s">
        <v>2326</v>
      </c>
      <c r="G198" s="121">
        <v>62005620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44917</v>
      </c>
      <c r="Q198" s="120" t="s">
        <v>1216</v>
      </c>
      <c r="R198" s="120" t="s">
        <v>886</v>
      </c>
      <c r="S198" s="120" t="s">
        <v>890</v>
      </c>
      <c r="T198" s="124">
        <v>45473</v>
      </c>
      <c r="U198" s="122">
        <v>4.0202</v>
      </c>
      <c r="V198" s="122">
        <v>577.09114999999997</v>
      </c>
      <c r="W198" s="122">
        <v>2320.0218500000001</v>
      </c>
      <c r="X198" s="123">
        <v>5.7200000000000003E-4</v>
      </c>
      <c r="Y198" s="123">
        <v>4.0000000000000002E-4</v>
      </c>
      <c r="Z198" s="123">
        <v>3.8000000000000002E-5</v>
      </c>
    </row>
    <row r="199" spans="1:26" ht="15" customHeight="1">
      <c r="A199" s="121">
        <v>313</v>
      </c>
      <c r="B199" s="121">
        <v>313</v>
      </c>
      <c r="C199" s="120" t="s">
        <v>2327</v>
      </c>
      <c r="D199" s="121"/>
      <c r="E199" s="120"/>
      <c r="F199" s="120" t="s">
        <v>2328</v>
      </c>
      <c r="G199" s="121">
        <v>62020342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223</v>
      </c>
      <c r="O199" s="120" t="s">
        <v>338</v>
      </c>
      <c r="P199" s="124">
        <v>44599</v>
      </c>
      <c r="Q199" s="120" t="s">
        <v>1212</v>
      </c>
      <c r="R199" s="120" t="s">
        <v>886</v>
      </c>
      <c r="S199" s="120" t="s">
        <v>890</v>
      </c>
      <c r="T199" s="124">
        <v>45473</v>
      </c>
      <c r="U199" s="122">
        <v>3.7589999999999999</v>
      </c>
      <c r="V199" s="122">
        <v>8892.9505000000008</v>
      </c>
      <c r="W199" s="122">
        <v>33428.600930000001</v>
      </c>
      <c r="X199" s="123">
        <v>5.842E-3</v>
      </c>
      <c r="Y199" s="123">
        <v>5.7739999999999996E-3</v>
      </c>
      <c r="Z199" s="123">
        <v>5.5999999999999995E-4</v>
      </c>
    </row>
    <row r="200" spans="1:26" ht="15" customHeight="1">
      <c r="A200" s="121">
        <v>313</v>
      </c>
      <c r="B200" s="121">
        <v>313</v>
      </c>
      <c r="C200" s="120" t="s">
        <v>2138</v>
      </c>
      <c r="D200" s="121"/>
      <c r="E200" s="120"/>
      <c r="F200" s="120" t="s">
        <v>2329</v>
      </c>
      <c r="G200" s="121">
        <v>60418481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303</v>
      </c>
      <c r="O200" s="120" t="s">
        <v>338</v>
      </c>
      <c r="P200" s="124">
        <v>43921</v>
      </c>
      <c r="Q200" s="120" t="s">
        <v>1212</v>
      </c>
      <c r="R200" s="120" t="s">
        <v>886</v>
      </c>
      <c r="S200" s="120" t="s">
        <v>890</v>
      </c>
      <c r="T200" s="124">
        <v>45473</v>
      </c>
      <c r="U200" s="122">
        <v>3.7589999999999999</v>
      </c>
      <c r="V200" s="122">
        <v>1887.12769</v>
      </c>
      <c r="W200" s="122">
        <v>7093.7129699999996</v>
      </c>
      <c r="X200" s="123">
        <v>2.9E-4</v>
      </c>
      <c r="Y200" s="123">
        <v>1.225E-3</v>
      </c>
      <c r="Z200" s="123">
        <v>1.1900000000000001E-4</v>
      </c>
    </row>
    <row r="201" spans="1:26" ht="15" customHeight="1">
      <c r="A201" s="121">
        <v>313</v>
      </c>
      <c r="B201" s="121">
        <v>313</v>
      </c>
      <c r="C201" s="120" t="s">
        <v>2138</v>
      </c>
      <c r="D201" s="121"/>
      <c r="E201" s="120"/>
      <c r="F201" s="120" t="s">
        <v>2330</v>
      </c>
      <c r="G201" s="121">
        <v>62015840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292</v>
      </c>
      <c r="O201" s="120" t="s">
        <v>338</v>
      </c>
      <c r="P201" s="124">
        <v>43922</v>
      </c>
      <c r="Q201" s="120" t="s">
        <v>1216</v>
      </c>
      <c r="R201" s="120" t="s">
        <v>886</v>
      </c>
      <c r="S201" s="120" t="s">
        <v>890</v>
      </c>
      <c r="T201" s="124">
        <v>45473</v>
      </c>
      <c r="U201" s="122">
        <v>4.0202</v>
      </c>
      <c r="V201" s="122">
        <v>2101.3103999999998</v>
      </c>
      <c r="W201" s="122">
        <v>8447.6880500000007</v>
      </c>
      <c r="X201" s="123">
        <v>4.7450000000000001E-3</v>
      </c>
      <c r="Y201" s="123">
        <v>1.459E-3</v>
      </c>
      <c r="Z201" s="123">
        <v>1.4100000000000001E-4</v>
      </c>
    </row>
    <row r="202" spans="1:26" ht="15" customHeight="1">
      <c r="A202" s="121">
        <v>313</v>
      </c>
      <c r="B202" s="121">
        <v>313</v>
      </c>
      <c r="C202" s="120" t="s">
        <v>2331</v>
      </c>
      <c r="D202" s="121"/>
      <c r="E202" s="120"/>
      <c r="F202" s="120" t="s">
        <v>2332</v>
      </c>
      <c r="G202" s="121">
        <v>62021464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292</v>
      </c>
      <c r="O202" s="120" t="s">
        <v>338</v>
      </c>
      <c r="P202" s="124">
        <v>45395</v>
      </c>
      <c r="Q202" s="120" t="s">
        <v>1216</v>
      </c>
      <c r="R202" s="120" t="s">
        <v>886</v>
      </c>
      <c r="S202" s="120" t="s">
        <v>890</v>
      </c>
      <c r="T202" s="124">
        <v>45473</v>
      </c>
      <c r="U202" s="122">
        <v>4.0202</v>
      </c>
      <c r="V202" s="122">
        <v>3328.7024299999998</v>
      </c>
      <c r="W202" s="122">
        <v>13382.04952</v>
      </c>
      <c r="X202" s="123">
        <v>1.5E-5</v>
      </c>
      <c r="Y202" s="123">
        <v>2.3110000000000001E-3</v>
      </c>
      <c r="Z202" s="123">
        <v>2.24E-4</v>
      </c>
    </row>
    <row r="203" spans="1:26" ht="15" customHeight="1">
      <c r="A203" s="121">
        <v>313</v>
      </c>
      <c r="B203" s="121">
        <v>313</v>
      </c>
      <c r="C203" s="120" t="s">
        <v>2124</v>
      </c>
      <c r="D203" s="121"/>
      <c r="E203" s="120"/>
      <c r="F203" s="120" t="s">
        <v>2124</v>
      </c>
      <c r="G203" s="121">
        <v>43000900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292</v>
      </c>
      <c r="O203" s="120" t="s">
        <v>338</v>
      </c>
      <c r="P203" s="124">
        <v>44054</v>
      </c>
      <c r="Q203" s="120" t="s">
        <v>1212</v>
      </c>
      <c r="R203" s="120" t="s">
        <v>886</v>
      </c>
      <c r="S203" s="120" t="s">
        <v>890</v>
      </c>
      <c r="T203" s="124">
        <v>45473</v>
      </c>
      <c r="U203" s="122">
        <v>3.7589999999999999</v>
      </c>
      <c r="V203" s="122">
        <v>-16249.447759999999</v>
      </c>
      <c r="W203" s="122">
        <v>-61081.674129999999</v>
      </c>
      <c r="X203" s="123">
        <v>0</v>
      </c>
      <c r="Y203" s="123">
        <v>-1.055E-2</v>
      </c>
      <c r="Z203" s="123">
        <v>-1.0250000000000001E-3</v>
      </c>
    </row>
    <row r="204" spans="1:26" ht="15" customHeight="1">
      <c r="A204" s="121">
        <v>313</v>
      </c>
      <c r="B204" s="121">
        <v>313</v>
      </c>
      <c r="C204" s="120" t="s">
        <v>2270</v>
      </c>
      <c r="D204" s="121"/>
      <c r="E204" s="120"/>
      <c r="F204" s="120" t="s">
        <v>2333</v>
      </c>
      <c r="G204" s="121">
        <v>62013073</v>
      </c>
      <c r="H204" s="120" t="s">
        <v>311</v>
      </c>
      <c r="I204" s="120" t="s">
        <v>1005</v>
      </c>
      <c r="J204" s="120"/>
      <c r="K204" s="120" t="s">
        <v>204</v>
      </c>
      <c r="L204" s="120"/>
      <c r="M204" s="120"/>
      <c r="N204" s="120" t="s">
        <v>223</v>
      </c>
      <c r="O204" s="120" t="s">
        <v>338</v>
      </c>
      <c r="P204" s="124">
        <v>43617</v>
      </c>
      <c r="Q204" s="120" t="s">
        <v>1212</v>
      </c>
      <c r="R204" s="120" t="s">
        <v>886</v>
      </c>
      <c r="S204" s="120" t="s">
        <v>890</v>
      </c>
      <c r="T204" s="124">
        <v>45473</v>
      </c>
      <c r="U204" s="122">
        <v>3.7589999999999999</v>
      </c>
      <c r="V204" s="122">
        <v>8721.9771999999994</v>
      </c>
      <c r="W204" s="122">
        <v>32785.91229</v>
      </c>
      <c r="X204" s="123">
        <v>1.8877999999999999E-2</v>
      </c>
      <c r="Y204" s="123">
        <v>5.6629999999999996E-3</v>
      </c>
      <c r="Z204" s="123">
        <v>5.5000000000000003E-4</v>
      </c>
    </row>
    <row r="205" spans="1:26" ht="15" customHeight="1">
      <c r="A205" s="121">
        <v>313</v>
      </c>
      <c r="B205" s="121">
        <v>313</v>
      </c>
      <c r="C205" s="120" t="s">
        <v>2124</v>
      </c>
      <c r="D205" s="121"/>
      <c r="E205" s="120"/>
      <c r="F205" s="120" t="s">
        <v>2334</v>
      </c>
      <c r="G205" s="121">
        <v>43000916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280</v>
      </c>
      <c r="O205" s="120" t="s">
        <v>338</v>
      </c>
      <c r="P205" s="124">
        <v>44054</v>
      </c>
      <c r="Q205" s="120" t="s">
        <v>1212</v>
      </c>
      <c r="R205" s="120" t="s">
        <v>886</v>
      </c>
      <c r="S205" s="120" t="s">
        <v>890</v>
      </c>
      <c r="T205" s="124">
        <v>45473</v>
      </c>
      <c r="U205" s="122">
        <v>3.7589999999999999</v>
      </c>
      <c r="V205" s="122">
        <v>2307.5219999999999</v>
      </c>
      <c r="W205" s="122">
        <v>8673.9752000000008</v>
      </c>
      <c r="X205" s="123">
        <v>1.1529999999999999E-3</v>
      </c>
      <c r="Y205" s="123">
        <v>1.498E-3</v>
      </c>
      <c r="Z205" s="123">
        <v>1.45E-4</v>
      </c>
    </row>
    <row r="206" spans="1:26" ht="15" customHeight="1">
      <c r="A206" s="121">
        <v>313</v>
      </c>
      <c r="B206" s="121">
        <v>313</v>
      </c>
      <c r="C206" s="120" t="s">
        <v>2228</v>
      </c>
      <c r="D206" s="121"/>
      <c r="E206" s="120"/>
      <c r="F206" s="120" t="s">
        <v>2335</v>
      </c>
      <c r="G206" s="121">
        <v>40000549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292</v>
      </c>
      <c r="O206" s="120" t="s">
        <v>338</v>
      </c>
      <c r="P206" s="124">
        <v>43513</v>
      </c>
      <c r="Q206" s="120" t="s">
        <v>1216</v>
      </c>
      <c r="R206" s="120" t="s">
        <v>886</v>
      </c>
      <c r="S206" s="120" t="s">
        <v>890</v>
      </c>
      <c r="T206" s="124">
        <v>45473</v>
      </c>
      <c r="U206" s="122">
        <v>4.0202</v>
      </c>
      <c r="V206" s="122">
        <v>8.6669999999999998</v>
      </c>
      <c r="W206" s="122">
        <v>34.843069999999997</v>
      </c>
      <c r="X206" s="123">
        <v>1.7E-5</v>
      </c>
      <c r="Y206" s="123">
        <v>6.0000000000000002E-6</v>
      </c>
      <c r="Z206" s="123">
        <v>0</v>
      </c>
    </row>
    <row r="207" spans="1:26" ht="15" customHeight="1">
      <c r="A207" s="121">
        <v>313</v>
      </c>
      <c r="B207" s="121">
        <v>313</v>
      </c>
      <c r="C207" s="120" t="s">
        <v>2124</v>
      </c>
      <c r="D207" s="121"/>
      <c r="E207" s="120"/>
      <c r="F207" s="120" t="s">
        <v>2336</v>
      </c>
      <c r="G207" s="121">
        <v>44000105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285</v>
      </c>
      <c r="O207" s="120" t="s">
        <v>338</v>
      </c>
      <c r="P207" s="124">
        <v>44946</v>
      </c>
      <c r="Q207" s="120" t="s">
        <v>1212</v>
      </c>
      <c r="R207" s="120" t="s">
        <v>886</v>
      </c>
      <c r="S207" s="120" t="s">
        <v>890</v>
      </c>
      <c r="T207" s="124">
        <v>45473</v>
      </c>
      <c r="U207" s="122">
        <v>3.7589999999999999</v>
      </c>
      <c r="V207" s="122">
        <v>3162.8152100000002</v>
      </c>
      <c r="W207" s="122">
        <v>11889.022370000001</v>
      </c>
      <c r="X207" s="123">
        <v>1.054E-3</v>
      </c>
      <c r="Y207" s="123">
        <v>2.0530000000000001E-3</v>
      </c>
      <c r="Z207" s="123">
        <v>1.9900000000000001E-4</v>
      </c>
    </row>
    <row r="208" spans="1:26" ht="15" customHeight="1">
      <c r="A208" s="121">
        <v>313</v>
      </c>
      <c r="B208" s="121">
        <v>313</v>
      </c>
      <c r="C208" s="120" t="s">
        <v>2138</v>
      </c>
      <c r="D208" s="121"/>
      <c r="E208" s="120"/>
      <c r="F208" s="120" t="s">
        <v>2337</v>
      </c>
      <c r="G208" s="121">
        <v>62013560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295</v>
      </c>
      <c r="O208" s="120" t="s">
        <v>338</v>
      </c>
      <c r="P208" s="124">
        <v>43648</v>
      </c>
      <c r="Q208" s="120" t="s">
        <v>1212</v>
      </c>
      <c r="R208" s="120" t="s">
        <v>886</v>
      </c>
      <c r="S208" s="120" t="s">
        <v>890</v>
      </c>
      <c r="T208" s="124">
        <v>45473</v>
      </c>
      <c r="U208" s="122">
        <v>3.7589999999999999</v>
      </c>
      <c r="V208" s="122">
        <v>8073.3205500000004</v>
      </c>
      <c r="W208" s="122">
        <v>30347.611949999999</v>
      </c>
      <c r="X208" s="123">
        <v>8.4400000000000002E-4</v>
      </c>
      <c r="Y208" s="123">
        <v>5.241E-3</v>
      </c>
      <c r="Z208" s="123">
        <v>5.0900000000000001E-4</v>
      </c>
    </row>
    <row r="209" spans="1:26" ht="15" customHeight="1">
      <c r="A209" s="121">
        <v>313</v>
      </c>
      <c r="B209" s="121">
        <v>313</v>
      </c>
      <c r="C209" s="120" t="s">
        <v>2338</v>
      </c>
      <c r="D209" s="121"/>
      <c r="E209" s="120"/>
      <c r="F209" s="120" t="s">
        <v>2339</v>
      </c>
      <c r="G209" s="121">
        <v>60398860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223</v>
      </c>
      <c r="O209" s="120" t="s">
        <v>338</v>
      </c>
      <c r="P209" s="124">
        <v>45023</v>
      </c>
      <c r="Q209" s="120" t="s">
        <v>1212</v>
      </c>
      <c r="R209" s="120" t="s">
        <v>886</v>
      </c>
      <c r="S209" s="120" t="s">
        <v>890</v>
      </c>
      <c r="T209" s="124">
        <v>45473</v>
      </c>
      <c r="U209" s="122">
        <v>3.7589999999999999</v>
      </c>
      <c r="V209" s="122">
        <v>2280.5301300000001</v>
      </c>
      <c r="W209" s="122">
        <v>8572.5127400000001</v>
      </c>
      <c r="X209" s="123">
        <v>4.8700000000000002E-4</v>
      </c>
      <c r="Y209" s="123">
        <v>1.48E-3</v>
      </c>
      <c r="Z209" s="123">
        <v>1.4300000000000001E-4</v>
      </c>
    </row>
    <row r="210" spans="1:26" ht="15" customHeight="1">
      <c r="A210" s="121">
        <v>313</v>
      </c>
      <c r="B210" s="121">
        <v>313</v>
      </c>
      <c r="C210" s="120" t="s">
        <v>2165</v>
      </c>
      <c r="D210" s="121"/>
      <c r="E210" s="120"/>
      <c r="F210" s="120" t="s">
        <v>2340</v>
      </c>
      <c r="G210" s="121">
        <v>41000856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292</v>
      </c>
      <c r="O210" s="120" t="s">
        <v>338</v>
      </c>
      <c r="P210" s="124">
        <v>43513</v>
      </c>
      <c r="Q210" s="120" t="s">
        <v>1216</v>
      </c>
      <c r="R210" s="120" t="s">
        <v>886</v>
      </c>
      <c r="S210" s="120" t="s">
        <v>890</v>
      </c>
      <c r="T210" s="124">
        <v>45473</v>
      </c>
      <c r="U210" s="122">
        <v>4.0202</v>
      </c>
      <c r="V210" s="122">
        <v>29.667000000000002</v>
      </c>
      <c r="W210" s="122">
        <v>119.26727</v>
      </c>
      <c r="X210" s="123">
        <v>5.8999999999999998E-5</v>
      </c>
      <c r="Y210" s="123">
        <v>2.0000000000000002E-5</v>
      </c>
      <c r="Z210" s="123">
        <v>1.9999999999999999E-6</v>
      </c>
    </row>
    <row r="211" spans="1:26" ht="15" customHeight="1">
      <c r="A211" s="121">
        <v>313</v>
      </c>
      <c r="B211" s="121">
        <v>313</v>
      </c>
      <c r="C211" s="120" t="s">
        <v>2341</v>
      </c>
      <c r="D211" s="121"/>
      <c r="E211" s="120"/>
      <c r="F211" s="120" t="s">
        <v>2342</v>
      </c>
      <c r="G211" s="121">
        <v>60265089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295</v>
      </c>
      <c r="O211" s="120" t="s">
        <v>338</v>
      </c>
      <c r="P211" s="124">
        <v>40360</v>
      </c>
      <c r="Q211" s="120" t="s">
        <v>1212</v>
      </c>
      <c r="R211" s="120" t="s">
        <v>886</v>
      </c>
      <c r="S211" s="120" t="s">
        <v>890</v>
      </c>
      <c r="T211" s="124">
        <v>45473</v>
      </c>
      <c r="U211" s="122">
        <v>3.7589999999999999</v>
      </c>
      <c r="V211" s="122">
        <v>1919.3681899999999</v>
      </c>
      <c r="W211" s="122">
        <v>7214.9050299999999</v>
      </c>
      <c r="X211" s="123">
        <v>1.26E-4</v>
      </c>
      <c r="Y211" s="123">
        <v>1.2459999999999999E-3</v>
      </c>
      <c r="Z211" s="123">
        <v>1.21E-4</v>
      </c>
    </row>
    <row r="212" spans="1:26" ht="15" customHeight="1">
      <c r="A212" s="121">
        <v>313</v>
      </c>
      <c r="B212" s="121">
        <v>313</v>
      </c>
      <c r="C212" s="120" t="s">
        <v>2124</v>
      </c>
      <c r="D212" s="121"/>
      <c r="E212" s="120"/>
      <c r="F212" s="120" t="s">
        <v>2343</v>
      </c>
      <c r="G212" s="121">
        <v>44000104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280</v>
      </c>
      <c r="O212" s="120" t="s">
        <v>338</v>
      </c>
      <c r="P212" s="124">
        <v>44946</v>
      </c>
      <c r="Q212" s="120" t="s">
        <v>1212</v>
      </c>
      <c r="R212" s="120" t="s">
        <v>886</v>
      </c>
      <c r="S212" s="120" t="s">
        <v>890</v>
      </c>
      <c r="T212" s="124">
        <v>45473</v>
      </c>
      <c r="U212" s="122">
        <v>3.7589999999999999</v>
      </c>
      <c r="V212" s="122">
        <v>5182.4612399999996</v>
      </c>
      <c r="W212" s="122">
        <v>19480.871800000001</v>
      </c>
      <c r="X212" s="123">
        <v>1.727E-3</v>
      </c>
      <c r="Y212" s="123">
        <v>3.3639999999999998E-3</v>
      </c>
      <c r="Z212" s="123">
        <v>3.2600000000000001E-4</v>
      </c>
    </row>
    <row r="213" spans="1:26" ht="15" customHeight="1">
      <c r="A213" s="121">
        <v>313</v>
      </c>
      <c r="B213" s="121">
        <v>313</v>
      </c>
      <c r="C213" s="120" t="s">
        <v>2344</v>
      </c>
      <c r="D213" s="121"/>
      <c r="E213" s="120"/>
      <c r="F213" s="120" t="s">
        <v>2345</v>
      </c>
      <c r="G213" s="121">
        <v>60402286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232</v>
      </c>
      <c r="O213" s="120" t="s">
        <v>338</v>
      </c>
      <c r="P213" s="124">
        <v>42430</v>
      </c>
      <c r="Q213" s="120" t="s">
        <v>1230</v>
      </c>
      <c r="R213" s="120" t="s">
        <v>886</v>
      </c>
      <c r="S213" s="120" t="s">
        <v>890</v>
      </c>
      <c r="T213" s="124">
        <v>45473</v>
      </c>
      <c r="U213" s="122">
        <v>4.7504999999999997</v>
      </c>
      <c r="V213" s="122">
        <v>1699.2561599999999</v>
      </c>
      <c r="W213" s="122">
        <v>8072.31639</v>
      </c>
      <c r="X213" s="123">
        <v>8.4960000000000001E-3</v>
      </c>
      <c r="Y213" s="123">
        <v>1.3940000000000001E-3</v>
      </c>
      <c r="Z213" s="123">
        <v>1.35E-4</v>
      </c>
    </row>
    <row r="214" spans="1:26" ht="15" customHeight="1">
      <c r="A214" s="121">
        <v>313</v>
      </c>
      <c r="B214" s="121">
        <v>313</v>
      </c>
      <c r="C214" s="120" t="s">
        <v>2181</v>
      </c>
      <c r="D214" s="121"/>
      <c r="E214" s="120"/>
      <c r="F214" s="120" t="s">
        <v>2346</v>
      </c>
      <c r="G214" s="121">
        <v>62006176</v>
      </c>
      <c r="H214" s="120" t="s">
        <v>311</v>
      </c>
      <c r="I214" s="120" t="s">
        <v>1001</v>
      </c>
      <c r="J214" s="120"/>
      <c r="K214" s="120" t="s">
        <v>204</v>
      </c>
      <c r="L214" s="120"/>
      <c r="M214" s="120"/>
      <c r="N214" s="120" t="s">
        <v>295</v>
      </c>
      <c r="O214" s="120" t="s">
        <v>338</v>
      </c>
      <c r="P214" s="124">
        <v>43132</v>
      </c>
      <c r="Q214" s="120" t="s">
        <v>1212</v>
      </c>
      <c r="R214" s="120" t="s">
        <v>886</v>
      </c>
      <c r="S214" s="120" t="s">
        <v>890</v>
      </c>
      <c r="T214" s="124">
        <v>45473</v>
      </c>
      <c r="U214" s="122">
        <v>3.7589999999999999</v>
      </c>
      <c r="V214" s="122">
        <v>18024.662039999999</v>
      </c>
      <c r="W214" s="122">
        <v>67754.704620000004</v>
      </c>
      <c r="X214" s="123">
        <v>2.5739999999999999E-3</v>
      </c>
      <c r="Y214" s="123">
        <v>1.1703E-2</v>
      </c>
      <c r="Z214" s="123">
        <v>1.137E-3</v>
      </c>
    </row>
    <row r="215" spans="1:26" ht="15" customHeight="1">
      <c r="A215" s="121">
        <v>313</v>
      </c>
      <c r="B215" s="121">
        <v>313</v>
      </c>
      <c r="C215" s="120" t="s">
        <v>2347</v>
      </c>
      <c r="D215" s="121"/>
      <c r="E215" s="120"/>
      <c r="F215" s="120" t="s">
        <v>2348</v>
      </c>
      <c r="G215" s="121">
        <v>62016258</v>
      </c>
      <c r="H215" s="120" t="s">
        <v>311</v>
      </c>
      <c r="I215" s="120" t="s">
        <v>1001</v>
      </c>
      <c r="J215" s="120"/>
      <c r="K215" s="120" t="s">
        <v>204</v>
      </c>
      <c r="L215" s="120"/>
      <c r="M215" s="120"/>
      <c r="N215" s="120" t="s">
        <v>223</v>
      </c>
      <c r="O215" s="120" t="s">
        <v>338</v>
      </c>
      <c r="P215" s="124">
        <v>43891</v>
      </c>
      <c r="Q215" s="120" t="s">
        <v>1212</v>
      </c>
      <c r="R215" s="120" t="s">
        <v>886</v>
      </c>
      <c r="S215" s="120" t="s">
        <v>890</v>
      </c>
      <c r="T215" s="124">
        <v>45473</v>
      </c>
      <c r="U215" s="122">
        <v>3.7589999999999999</v>
      </c>
      <c r="V215" s="122">
        <v>10826.367399999999</v>
      </c>
      <c r="W215" s="122">
        <v>40696.315049999997</v>
      </c>
      <c r="X215" s="123">
        <v>3.2290000000000001E-3</v>
      </c>
      <c r="Y215" s="123">
        <v>7.0289999999999997E-3</v>
      </c>
      <c r="Z215" s="123">
        <v>6.8199999999999999E-4</v>
      </c>
    </row>
    <row r="216" spans="1:26" ht="15" customHeight="1">
      <c r="A216" s="121">
        <v>313</v>
      </c>
      <c r="B216" s="121">
        <v>313</v>
      </c>
      <c r="C216" s="120" t="s">
        <v>2219</v>
      </c>
      <c r="D216" s="121"/>
      <c r="E216" s="120"/>
      <c r="F216" s="120" t="s">
        <v>2349</v>
      </c>
      <c r="G216" s="121">
        <v>60374196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242</v>
      </c>
      <c r="O216" s="120" t="s">
        <v>338</v>
      </c>
      <c r="P216" s="124">
        <v>41944</v>
      </c>
      <c r="Q216" s="120" t="s">
        <v>1212</v>
      </c>
      <c r="R216" s="120" t="s">
        <v>886</v>
      </c>
      <c r="S216" s="120" t="s">
        <v>890</v>
      </c>
      <c r="T216" s="124">
        <v>45473</v>
      </c>
      <c r="U216" s="122">
        <v>3.7589999999999999</v>
      </c>
      <c r="V216" s="122">
        <v>6211.5987500000001</v>
      </c>
      <c r="W216" s="122">
        <v>23349.399700000002</v>
      </c>
      <c r="X216" s="123">
        <v>5.0369999999999998E-3</v>
      </c>
      <c r="Y216" s="123">
        <v>4.0330000000000001E-3</v>
      </c>
      <c r="Z216" s="123">
        <v>3.9100000000000002E-4</v>
      </c>
    </row>
    <row r="217" spans="1:26" ht="15" customHeight="1">
      <c r="A217" s="121">
        <v>313</v>
      </c>
      <c r="B217" s="121">
        <v>313</v>
      </c>
      <c r="C217" s="120" t="s">
        <v>2350</v>
      </c>
      <c r="D217" s="121"/>
      <c r="E217" s="120"/>
      <c r="F217" s="120" t="s">
        <v>2351</v>
      </c>
      <c r="G217" s="121">
        <v>62020620</v>
      </c>
      <c r="H217" s="120" t="s">
        <v>311</v>
      </c>
      <c r="I217" s="120" t="s">
        <v>1002</v>
      </c>
      <c r="J217" s="120"/>
      <c r="K217" s="120" t="s">
        <v>204</v>
      </c>
      <c r="L217" s="120"/>
      <c r="M217" s="120"/>
      <c r="N217" s="120" t="s">
        <v>207</v>
      </c>
      <c r="O217" s="120" t="s">
        <v>338</v>
      </c>
      <c r="P217" s="124">
        <v>45054</v>
      </c>
      <c r="Q217" s="120" t="s">
        <v>1223</v>
      </c>
      <c r="R217" s="120" t="s">
        <v>886</v>
      </c>
      <c r="S217" s="120" t="s">
        <v>890</v>
      </c>
      <c r="T217" s="124">
        <v>45473</v>
      </c>
      <c r="U217" s="122">
        <v>2.4931000000000001</v>
      </c>
      <c r="V217" s="122">
        <v>8514.21767</v>
      </c>
      <c r="W217" s="122">
        <v>21226.79608</v>
      </c>
      <c r="X217" s="123">
        <v>0.18920400000000001</v>
      </c>
      <c r="Y217" s="123">
        <v>3.666E-3</v>
      </c>
      <c r="Z217" s="123">
        <v>3.5599999999999998E-4</v>
      </c>
    </row>
    <row r="218" spans="1:26" ht="15" customHeight="1">
      <c r="A218" s="121">
        <v>313</v>
      </c>
      <c r="B218" s="121">
        <v>313</v>
      </c>
      <c r="C218" s="120" t="s">
        <v>2352</v>
      </c>
      <c r="D218" s="121"/>
      <c r="E218" s="120"/>
      <c r="F218" s="120" t="s">
        <v>2353</v>
      </c>
      <c r="G218" s="121">
        <v>41000861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292</v>
      </c>
      <c r="O218" s="120" t="s">
        <v>338</v>
      </c>
      <c r="P218" s="124">
        <v>43513</v>
      </c>
      <c r="Q218" s="120" t="s">
        <v>1216</v>
      </c>
      <c r="R218" s="120" t="s">
        <v>886</v>
      </c>
      <c r="S218" s="120" t="s">
        <v>890</v>
      </c>
      <c r="T218" s="124">
        <v>45473</v>
      </c>
      <c r="U218" s="122">
        <v>4.0202</v>
      </c>
      <c r="V218" s="122">
        <v>389.24099999999999</v>
      </c>
      <c r="W218" s="122">
        <v>1564.8266699999999</v>
      </c>
      <c r="X218" s="123">
        <v>1.94E-4</v>
      </c>
      <c r="Y218" s="123">
        <v>2.7E-4</v>
      </c>
      <c r="Z218" s="123">
        <v>2.5999999999999998E-5</v>
      </c>
    </row>
    <row r="219" spans="1:26" ht="15" customHeight="1">
      <c r="A219" s="121">
        <v>313</v>
      </c>
      <c r="B219" s="121">
        <v>313</v>
      </c>
      <c r="C219" s="120" t="s">
        <v>2065</v>
      </c>
      <c r="D219" s="121"/>
      <c r="E219" s="120"/>
      <c r="F219" s="120" t="s">
        <v>2354</v>
      </c>
      <c r="G219" s="121">
        <v>62009675</v>
      </c>
      <c r="H219" s="120" t="s">
        <v>311</v>
      </c>
      <c r="I219" s="120" t="s">
        <v>1006</v>
      </c>
      <c r="J219" s="120"/>
      <c r="K219" s="120" t="s">
        <v>204</v>
      </c>
      <c r="L219" s="120"/>
      <c r="M219" s="120"/>
      <c r="N219" s="120" t="s">
        <v>223</v>
      </c>
      <c r="O219" s="120" t="s">
        <v>338</v>
      </c>
      <c r="P219" s="124">
        <v>43282</v>
      </c>
      <c r="Q219" s="120" t="s">
        <v>1212</v>
      </c>
      <c r="R219" s="120" t="s">
        <v>886</v>
      </c>
      <c r="S219" s="120" t="s">
        <v>890</v>
      </c>
      <c r="T219" s="124">
        <v>45473</v>
      </c>
      <c r="U219" s="122">
        <v>3.7589999999999999</v>
      </c>
      <c r="V219" s="122">
        <v>12337.97805</v>
      </c>
      <c r="W219" s="122">
        <v>46378.459499999997</v>
      </c>
      <c r="X219" s="123">
        <v>6.4671999999999993E-2</v>
      </c>
      <c r="Y219" s="123">
        <v>8.0099999999999998E-3</v>
      </c>
      <c r="Z219" s="123">
        <v>7.7800000000000005E-4</v>
      </c>
    </row>
    <row r="220" spans="1:26" ht="15" customHeight="1">
      <c r="A220" s="121">
        <v>313</v>
      </c>
      <c r="B220" s="121">
        <v>313</v>
      </c>
      <c r="C220" s="120" t="s">
        <v>2127</v>
      </c>
      <c r="D220" s="121"/>
      <c r="E220" s="120"/>
      <c r="F220" s="120" t="s">
        <v>2355</v>
      </c>
      <c r="G220" s="121">
        <v>42000904</v>
      </c>
      <c r="H220" s="120" t="s">
        <v>311</v>
      </c>
      <c r="I220" s="120" t="s">
        <v>1006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43601</v>
      </c>
      <c r="Q220" s="120" t="s">
        <v>1212</v>
      </c>
      <c r="R220" s="120" t="s">
        <v>886</v>
      </c>
      <c r="S220" s="120" t="s">
        <v>890</v>
      </c>
      <c r="T220" s="124">
        <v>45473</v>
      </c>
      <c r="U220" s="122">
        <v>3.7589999999999999</v>
      </c>
      <c r="V220" s="122">
        <v>1715.9924000000001</v>
      </c>
      <c r="W220" s="122">
        <v>6450.41543</v>
      </c>
      <c r="X220" s="123">
        <v>5.71E-4</v>
      </c>
      <c r="Y220" s="123">
        <v>1.114E-3</v>
      </c>
      <c r="Z220" s="123">
        <v>1.08E-4</v>
      </c>
    </row>
    <row r="221" spans="1:26" ht="15" customHeight="1">
      <c r="A221" s="121">
        <v>313</v>
      </c>
      <c r="B221" s="121">
        <v>313</v>
      </c>
      <c r="C221" s="120" t="s">
        <v>2176</v>
      </c>
      <c r="D221" s="121"/>
      <c r="E221" s="120"/>
      <c r="F221" s="120" t="s">
        <v>2356</v>
      </c>
      <c r="G221" s="121">
        <v>62016811</v>
      </c>
      <c r="H221" s="120" t="s">
        <v>311</v>
      </c>
      <c r="I221" s="120" t="s">
        <v>1005</v>
      </c>
      <c r="J221" s="120"/>
      <c r="K221" s="120" t="s">
        <v>204</v>
      </c>
      <c r="L221" s="120"/>
      <c r="M221" s="120"/>
      <c r="N221" s="120" t="s">
        <v>281</v>
      </c>
      <c r="O221" s="120" t="s">
        <v>338</v>
      </c>
      <c r="P221" s="124">
        <v>43983</v>
      </c>
      <c r="Q221" s="120" t="s">
        <v>1229</v>
      </c>
      <c r="R221" s="120" t="s">
        <v>886</v>
      </c>
      <c r="S221" s="120" t="s">
        <v>890</v>
      </c>
      <c r="T221" s="124">
        <v>45473</v>
      </c>
      <c r="U221" s="122">
        <v>2.7412999999999998</v>
      </c>
      <c r="V221" s="122">
        <v>12669.876749999999</v>
      </c>
      <c r="W221" s="122">
        <v>34731.933120000002</v>
      </c>
      <c r="X221" s="123">
        <v>2.0560999999999999E-2</v>
      </c>
      <c r="Y221" s="123">
        <v>5.999E-3</v>
      </c>
      <c r="Z221" s="123">
        <v>5.8200000000000005E-4</v>
      </c>
    </row>
    <row r="222" spans="1:26" ht="15" customHeight="1">
      <c r="A222" s="121">
        <v>313</v>
      </c>
      <c r="B222" s="121">
        <v>313</v>
      </c>
      <c r="C222" s="120" t="s">
        <v>2357</v>
      </c>
      <c r="D222" s="121"/>
      <c r="E222" s="120"/>
      <c r="F222" s="120" t="s">
        <v>2358</v>
      </c>
      <c r="G222" s="121">
        <v>9840622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292</v>
      </c>
      <c r="O222" s="120" t="s">
        <v>338</v>
      </c>
      <c r="P222" s="124">
        <v>39264</v>
      </c>
      <c r="Q222" s="120" t="s">
        <v>1216</v>
      </c>
      <c r="R222" s="120" t="s">
        <v>886</v>
      </c>
      <c r="S222" s="120" t="s">
        <v>890</v>
      </c>
      <c r="T222" s="124">
        <v>45473</v>
      </c>
      <c r="U222" s="122">
        <v>4.0202</v>
      </c>
      <c r="V222" s="122">
        <v>70.888509999999997</v>
      </c>
      <c r="W222" s="122">
        <v>284.98599999999999</v>
      </c>
      <c r="X222" s="123">
        <v>6.0000000000000002E-6</v>
      </c>
      <c r="Y222" s="123">
        <v>4.8999999999999998E-5</v>
      </c>
      <c r="Z222" s="123">
        <v>3.9999999999999998E-6</v>
      </c>
    </row>
    <row r="223" spans="1:26" ht="15" customHeight="1">
      <c r="A223" s="121">
        <v>313</v>
      </c>
      <c r="B223" s="121">
        <v>313</v>
      </c>
      <c r="C223" s="120" t="s">
        <v>2359</v>
      </c>
      <c r="D223" s="121"/>
      <c r="E223" s="120"/>
      <c r="F223" s="120" t="s">
        <v>2360</v>
      </c>
      <c r="G223" s="121">
        <v>62017588</v>
      </c>
      <c r="H223" s="120" t="s">
        <v>311</v>
      </c>
      <c r="I223" s="120" t="s">
        <v>1005</v>
      </c>
      <c r="J223" s="120"/>
      <c r="K223" s="120" t="s">
        <v>204</v>
      </c>
      <c r="L223" s="120"/>
      <c r="M223" s="120"/>
      <c r="N223" s="120" t="s">
        <v>292</v>
      </c>
      <c r="O223" s="120" t="s">
        <v>338</v>
      </c>
      <c r="P223" s="124">
        <v>44166</v>
      </c>
      <c r="Q223" s="120" t="s">
        <v>1216</v>
      </c>
      <c r="R223" s="120" t="s">
        <v>886</v>
      </c>
      <c r="S223" s="120" t="s">
        <v>890</v>
      </c>
      <c r="T223" s="124">
        <v>45473</v>
      </c>
      <c r="U223" s="122">
        <v>4.0202</v>
      </c>
      <c r="V223" s="122">
        <v>5091.6189599999998</v>
      </c>
      <c r="W223" s="122">
        <v>20469.326539999998</v>
      </c>
      <c r="X223" s="123">
        <v>2.7373999999999999E-2</v>
      </c>
      <c r="Y223" s="123">
        <v>3.5349999999999999E-3</v>
      </c>
      <c r="Z223" s="123">
        <v>3.4299999999999999E-4</v>
      </c>
    </row>
    <row r="224" spans="1:26" ht="15" customHeight="1">
      <c r="A224" s="121">
        <v>313</v>
      </c>
      <c r="B224" s="121">
        <v>313</v>
      </c>
      <c r="C224" s="120" t="s">
        <v>2258</v>
      </c>
      <c r="D224" s="121"/>
      <c r="E224" s="120"/>
      <c r="F224" s="120" t="s">
        <v>2361</v>
      </c>
      <c r="G224" s="121">
        <v>62018010</v>
      </c>
      <c r="H224" s="120" t="s">
        <v>311</v>
      </c>
      <c r="I224" s="120" t="s">
        <v>1005</v>
      </c>
      <c r="J224" s="120"/>
      <c r="K224" s="120" t="s">
        <v>204</v>
      </c>
      <c r="L224" s="120"/>
      <c r="M224" s="120"/>
      <c r="N224" s="120" t="s">
        <v>223</v>
      </c>
      <c r="O224" s="120" t="s">
        <v>338</v>
      </c>
      <c r="P224" s="124">
        <v>44719</v>
      </c>
      <c r="Q224" s="120" t="s">
        <v>1212</v>
      </c>
      <c r="R224" s="120" t="s">
        <v>886</v>
      </c>
      <c r="S224" s="120" t="s">
        <v>890</v>
      </c>
      <c r="T224" s="124">
        <v>45473</v>
      </c>
      <c r="U224" s="122">
        <v>3.7589999999999999</v>
      </c>
      <c r="V224" s="122">
        <v>7182.9938499999998</v>
      </c>
      <c r="W224" s="122">
        <v>27000.873899999999</v>
      </c>
      <c r="X224" s="123">
        <v>6.9290000000000003E-3</v>
      </c>
      <c r="Y224" s="123">
        <v>4.6629999999999996E-3</v>
      </c>
      <c r="Z224" s="123">
        <v>4.5300000000000001E-4</v>
      </c>
    </row>
    <row r="225" spans="1:26" ht="15" customHeight="1">
      <c r="A225" s="121">
        <v>313</v>
      </c>
      <c r="B225" s="121">
        <v>313</v>
      </c>
      <c r="C225" s="120" t="s">
        <v>2327</v>
      </c>
      <c r="D225" s="121"/>
      <c r="E225" s="120"/>
      <c r="F225" s="120" t="s">
        <v>2362</v>
      </c>
      <c r="G225" s="121">
        <v>62013817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223</v>
      </c>
      <c r="O225" s="120" t="s">
        <v>338</v>
      </c>
      <c r="P225" s="124">
        <v>43560</v>
      </c>
      <c r="Q225" s="120" t="s">
        <v>1212</v>
      </c>
      <c r="R225" s="120" t="s">
        <v>886</v>
      </c>
      <c r="S225" s="120" t="s">
        <v>890</v>
      </c>
      <c r="T225" s="124">
        <v>45473</v>
      </c>
      <c r="U225" s="122">
        <v>3.7589999999999999</v>
      </c>
      <c r="V225" s="122">
        <v>7467.2565199999999</v>
      </c>
      <c r="W225" s="122">
        <v>28069.417270000002</v>
      </c>
      <c r="X225" s="123">
        <v>5.8050000000000003E-3</v>
      </c>
      <c r="Y225" s="123">
        <v>4.8479999999999999E-3</v>
      </c>
      <c r="Z225" s="123">
        <v>4.7100000000000001E-4</v>
      </c>
    </row>
    <row r="226" spans="1:26" ht="15" customHeight="1">
      <c r="A226" s="121">
        <v>313</v>
      </c>
      <c r="B226" s="121">
        <v>313</v>
      </c>
      <c r="C226" s="120" t="s">
        <v>2127</v>
      </c>
      <c r="D226" s="121"/>
      <c r="E226" s="120"/>
      <c r="F226" s="120" t="s">
        <v>2363</v>
      </c>
      <c r="G226" s="121">
        <v>45000100</v>
      </c>
      <c r="H226" s="120" t="s">
        <v>311</v>
      </c>
      <c r="I226" s="120" t="s">
        <v>1006</v>
      </c>
      <c r="J226" s="120"/>
      <c r="K226" s="120" t="s">
        <v>204</v>
      </c>
      <c r="L226" s="120"/>
      <c r="M226" s="120"/>
      <c r="N226" s="120" t="s">
        <v>223</v>
      </c>
      <c r="O226" s="120" t="s">
        <v>338</v>
      </c>
      <c r="P226" s="124">
        <v>45473</v>
      </c>
      <c r="Q226" s="120" t="s">
        <v>1212</v>
      </c>
      <c r="R226" s="120" t="s">
        <v>886</v>
      </c>
      <c r="S226" s="120" t="s">
        <v>890</v>
      </c>
      <c r="T226" s="124">
        <v>45473</v>
      </c>
      <c r="U226" s="122">
        <v>3.7589999999999999</v>
      </c>
      <c r="V226" s="122">
        <v>-157.02609000000001</v>
      </c>
      <c r="W226" s="122">
        <v>-590.26107000000002</v>
      </c>
      <c r="X226" s="123">
        <v>0</v>
      </c>
      <c r="Y226" s="123">
        <v>-1.01E-4</v>
      </c>
      <c r="Z226" s="123">
        <v>-9.0000000000000002E-6</v>
      </c>
    </row>
    <row r="227" spans="1:26" ht="15" customHeight="1">
      <c r="A227" s="121">
        <v>313</v>
      </c>
      <c r="B227" s="121">
        <v>313</v>
      </c>
      <c r="C227" s="120" t="s">
        <v>2364</v>
      </c>
      <c r="D227" s="121"/>
      <c r="E227" s="120"/>
      <c r="F227" s="120" t="s">
        <v>2365</v>
      </c>
      <c r="G227" s="121">
        <v>60287034</v>
      </c>
      <c r="H227" s="120" t="s">
        <v>311</v>
      </c>
      <c r="I227" s="120" t="s">
        <v>1001</v>
      </c>
      <c r="J227" s="120"/>
      <c r="K227" s="120" t="s">
        <v>204</v>
      </c>
      <c r="L227" s="120"/>
      <c r="M227" s="120"/>
      <c r="N227" s="120" t="s">
        <v>223</v>
      </c>
      <c r="O227" s="120" t="s">
        <v>338</v>
      </c>
      <c r="P227" s="124">
        <v>40575</v>
      </c>
      <c r="Q227" s="120" t="s">
        <v>1212</v>
      </c>
      <c r="R227" s="120" t="s">
        <v>886</v>
      </c>
      <c r="S227" s="120" t="s">
        <v>890</v>
      </c>
      <c r="T227" s="124">
        <v>45473</v>
      </c>
      <c r="U227" s="122">
        <v>3.7589999999999999</v>
      </c>
      <c r="V227" s="122">
        <v>4793.3367399999997</v>
      </c>
      <c r="W227" s="122">
        <v>18018.15281</v>
      </c>
      <c r="X227" s="123">
        <v>1.3179999999999999E-3</v>
      </c>
      <c r="Y227" s="123">
        <v>3.1120000000000002E-3</v>
      </c>
      <c r="Z227" s="123">
        <v>3.0200000000000002E-4</v>
      </c>
    </row>
    <row r="228" spans="1:26" ht="15" customHeight="1">
      <c r="A228" s="121">
        <v>313</v>
      </c>
      <c r="B228" s="121">
        <v>313</v>
      </c>
      <c r="C228" s="120" t="s">
        <v>2338</v>
      </c>
      <c r="D228" s="121"/>
      <c r="E228" s="120"/>
      <c r="F228" s="120" t="s">
        <v>2366</v>
      </c>
      <c r="G228" s="121">
        <v>60398856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295</v>
      </c>
      <c r="O228" s="120" t="s">
        <v>338</v>
      </c>
      <c r="P228" s="124">
        <v>42339</v>
      </c>
      <c r="Q228" s="120" t="s">
        <v>1212</v>
      </c>
      <c r="R228" s="120" t="s">
        <v>886</v>
      </c>
      <c r="S228" s="120" t="s">
        <v>890</v>
      </c>
      <c r="T228" s="124">
        <v>45473</v>
      </c>
      <c r="U228" s="122">
        <v>3.7589999999999999</v>
      </c>
      <c r="V228" s="122">
        <v>2291.2050100000001</v>
      </c>
      <c r="W228" s="122">
        <v>8612.6396399999994</v>
      </c>
      <c r="X228" s="123">
        <v>1.0020000000000001E-3</v>
      </c>
      <c r="Y228" s="123">
        <v>1.487E-3</v>
      </c>
      <c r="Z228" s="123">
        <v>1.44E-4</v>
      </c>
    </row>
    <row r="229" spans="1:26" ht="15" customHeight="1">
      <c r="A229" s="121">
        <v>313</v>
      </c>
      <c r="B229" s="121">
        <v>313</v>
      </c>
      <c r="C229" s="120" t="s">
        <v>2191</v>
      </c>
      <c r="D229" s="121"/>
      <c r="E229" s="120"/>
      <c r="F229" s="120" t="s">
        <v>2367</v>
      </c>
      <c r="G229" s="121">
        <v>41000865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292</v>
      </c>
      <c r="O229" s="120" t="s">
        <v>338</v>
      </c>
      <c r="P229" s="124">
        <v>43513</v>
      </c>
      <c r="Q229" s="120" t="s">
        <v>1216</v>
      </c>
      <c r="R229" s="120" t="s">
        <v>886</v>
      </c>
      <c r="S229" s="120" t="s">
        <v>890</v>
      </c>
      <c r="T229" s="124">
        <v>45473</v>
      </c>
      <c r="U229" s="122">
        <v>4.0202</v>
      </c>
      <c r="V229" s="122">
        <v>139.066</v>
      </c>
      <c r="W229" s="122">
        <v>559.07312999999999</v>
      </c>
      <c r="X229" s="123">
        <v>6.8999999999999997E-5</v>
      </c>
      <c r="Y229" s="123">
        <v>9.6000000000000002E-5</v>
      </c>
      <c r="Z229" s="123">
        <v>9.0000000000000002E-6</v>
      </c>
    </row>
    <row r="230" spans="1:26" ht="15" customHeight="1">
      <c r="A230" s="121">
        <v>313</v>
      </c>
      <c r="B230" s="121">
        <v>313</v>
      </c>
      <c r="C230" s="120" t="s">
        <v>2138</v>
      </c>
      <c r="D230" s="121"/>
      <c r="E230" s="120"/>
      <c r="F230" s="120" t="s">
        <v>2368</v>
      </c>
      <c r="G230" s="121">
        <v>62011335</v>
      </c>
      <c r="H230" s="120" t="s">
        <v>311</v>
      </c>
      <c r="I230" s="120" t="s">
        <v>1005</v>
      </c>
      <c r="J230" s="120"/>
      <c r="K230" s="120" t="s">
        <v>204</v>
      </c>
      <c r="L230" s="120"/>
      <c r="M230" s="120"/>
      <c r="N230" s="120" t="s">
        <v>292</v>
      </c>
      <c r="O230" s="120" t="s">
        <v>338</v>
      </c>
      <c r="P230" s="124">
        <v>44299</v>
      </c>
      <c r="Q230" s="120" t="s">
        <v>1216</v>
      </c>
      <c r="R230" s="120" t="s">
        <v>886</v>
      </c>
      <c r="S230" s="120" t="s">
        <v>890</v>
      </c>
      <c r="T230" s="124">
        <v>45473</v>
      </c>
      <c r="U230" s="122">
        <v>4.0202</v>
      </c>
      <c r="V230" s="122">
        <v>1728.0980999999999</v>
      </c>
      <c r="W230" s="122">
        <v>6947.2999799999998</v>
      </c>
      <c r="X230" s="123">
        <v>1.2343E-2</v>
      </c>
      <c r="Y230" s="123">
        <v>1.1999999999999999E-3</v>
      </c>
      <c r="Z230" s="123">
        <v>1.16E-4</v>
      </c>
    </row>
    <row r="231" spans="1:26" ht="15" customHeight="1">
      <c r="A231" s="121">
        <v>313</v>
      </c>
      <c r="B231" s="121">
        <v>313</v>
      </c>
      <c r="C231" s="120" t="s">
        <v>2138</v>
      </c>
      <c r="D231" s="121"/>
      <c r="E231" s="120"/>
      <c r="F231" s="120" t="s">
        <v>2369</v>
      </c>
      <c r="G231" s="121">
        <v>62010012</v>
      </c>
      <c r="H231" s="120" t="s">
        <v>311</v>
      </c>
      <c r="I231" s="120" t="s">
        <v>1006</v>
      </c>
      <c r="J231" s="120"/>
      <c r="K231" s="120" t="s">
        <v>204</v>
      </c>
      <c r="L231" s="120"/>
      <c r="M231" s="120"/>
      <c r="N231" s="120" t="s">
        <v>223</v>
      </c>
      <c r="O231" s="120" t="s">
        <v>338</v>
      </c>
      <c r="P231" s="124">
        <v>43344</v>
      </c>
      <c r="Q231" s="120" t="s">
        <v>1212</v>
      </c>
      <c r="R231" s="120" t="s">
        <v>886</v>
      </c>
      <c r="S231" s="120" t="s">
        <v>890</v>
      </c>
      <c r="T231" s="124">
        <v>45473</v>
      </c>
      <c r="U231" s="122">
        <v>3.7589999999999999</v>
      </c>
      <c r="V231" s="122">
        <v>342.03975000000003</v>
      </c>
      <c r="W231" s="122">
        <v>1285.7274199999999</v>
      </c>
      <c r="X231" s="123">
        <v>4.5399999999999998E-4</v>
      </c>
      <c r="Y231" s="123">
        <v>2.22E-4</v>
      </c>
      <c r="Z231" s="123">
        <v>2.0999999999999999E-5</v>
      </c>
    </row>
    <row r="232" spans="1:26" ht="15" customHeight="1">
      <c r="A232" s="121">
        <v>313</v>
      </c>
      <c r="B232" s="121">
        <v>313</v>
      </c>
      <c r="C232" s="120" t="s">
        <v>2138</v>
      </c>
      <c r="D232" s="121"/>
      <c r="E232" s="120"/>
      <c r="F232" s="120" t="s">
        <v>2370</v>
      </c>
      <c r="G232" s="121">
        <v>62010989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292</v>
      </c>
      <c r="O232" s="120" t="s">
        <v>338</v>
      </c>
      <c r="P232" s="124">
        <v>44553</v>
      </c>
      <c r="Q232" s="120" t="s">
        <v>1216</v>
      </c>
      <c r="R232" s="120" t="s">
        <v>886</v>
      </c>
      <c r="S232" s="120" t="s">
        <v>890</v>
      </c>
      <c r="T232" s="124">
        <v>45473</v>
      </c>
      <c r="U232" s="122">
        <v>4.0202</v>
      </c>
      <c r="V232" s="122">
        <v>1089.63915</v>
      </c>
      <c r="W232" s="122">
        <v>4380.5673100000004</v>
      </c>
      <c r="X232" s="123">
        <v>5.9400000000000002E-4</v>
      </c>
      <c r="Y232" s="123">
        <v>7.5600000000000005E-4</v>
      </c>
      <c r="Z232" s="123">
        <v>7.2999999999999999E-5</v>
      </c>
    </row>
    <row r="233" spans="1:26" ht="15" customHeight="1">
      <c r="A233" s="121">
        <v>313</v>
      </c>
      <c r="B233" s="121">
        <v>313</v>
      </c>
      <c r="C233" s="120" t="s">
        <v>2255</v>
      </c>
      <c r="D233" s="121"/>
      <c r="E233" s="120"/>
      <c r="F233" s="120" t="s">
        <v>2371</v>
      </c>
      <c r="G233" s="121">
        <v>9840579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223</v>
      </c>
      <c r="O233" s="120" t="s">
        <v>338</v>
      </c>
      <c r="P233" s="124">
        <v>40179</v>
      </c>
      <c r="Q233" s="120" t="s">
        <v>1212</v>
      </c>
      <c r="R233" s="120" t="s">
        <v>886</v>
      </c>
      <c r="S233" s="120" t="s">
        <v>890</v>
      </c>
      <c r="T233" s="124">
        <v>45473</v>
      </c>
      <c r="U233" s="122">
        <v>3.7589999999999999</v>
      </c>
      <c r="V233" s="122">
        <v>13.94445</v>
      </c>
      <c r="W233" s="122">
        <v>52.417189999999998</v>
      </c>
      <c r="X233" s="123">
        <v>1.8E-5</v>
      </c>
      <c r="Y233" s="123">
        <v>9.0000000000000002E-6</v>
      </c>
      <c r="Z233" s="123">
        <v>0</v>
      </c>
    </row>
    <row r="234" spans="1:26" ht="15" customHeight="1">
      <c r="A234" s="121">
        <v>313</v>
      </c>
      <c r="B234" s="121">
        <v>313</v>
      </c>
      <c r="C234" s="120" t="s">
        <v>2232</v>
      </c>
      <c r="D234" s="121"/>
      <c r="E234" s="120"/>
      <c r="F234" s="120" t="s">
        <v>2372</v>
      </c>
      <c r="G234" s="121">
        <v>60323052</v>
      </c>
      <c r="H234" s="120" t="s">
        <v>311</v>
      </c>
      <c r="I234" s="120" t="s">
        <v>1001</v>
      </c>
      <c r="J234" s="120"/>
      <c r="K234" s="120" t="s">
        <v>204</v>
      </c>
      <c r="L234" s="120"/>
      <c r="M234" s="120"/>
      <c r="N234" s="120" t="s">
        <v>267</v>
      </c>
      <c r="O234" s="120" t="s">
        <v>338</v>
      </c>
      <c r="P234" s="124">
        <v>41306</v>
      </c>
      <c r="Q234" s="120" t="s">
        <v>1212</v>
      </c>
      <c r="R234" s="120" t="s">
        <v>886</v>
      </c>
      <c r="S234" s="120" t="s">
        <v>890</v>
      </c>
      <c r="T234" s="124">
        <v>45473</v>
      </c>
      <c r="U234" s="122">
        <v>3.7589999999999999</v>
      </c>
      <c r="V234" s="122">
        <v>980.34930999999995</v>
      </c>
      <c r="W234" s="122">
        <v>3685.1330699999999</v>
      </c>
      <c r="X234" s="123">
        <v>3.7399999999999998E-4</v>
      </c>
      <c r="Y234" s="123">
        <v>6.3599999999999996E-4</v>
      </c>
      <c r="Z234" s="123">
        <v>6.0999999999999999E-5</v>
      </c>
    </row>
    <row r="235" spans="1:26" ht="15" customHeight="1">
      <c r="A235" s="121">
        <v>313</v>
      </c>
      <c r="B235" s="121">
        <v>313</v>
      </c>
      <c r="C235" s="120" t="s">
        <v>2373</v>
      </c>
      <c r="D235" s="121"/>
      <c r="E235" s="120"/>
      <c r="F235" s="120" t="s">
        <v>2374</v>
      </c>
      <c r="G235" s="121">
        <v>62020482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295</v>
      </c>
      <c r="O235" s="120" t="s">
        <v>338</v>
      </c>
      <c r="P235" s="124">
        <v>44666</v>
      </c>
      <c r="Q235" s="120" t="s">
        <v>1216</v>
      </c>
      <c r="R235" s="120" t="s">
        <v>886</v>
      </c>
      <c r="S235" s="120" t="s">
        <v>890</v>
      </c>
      <c r="T235" s="124">
        <v>45473</v>
      </c>
      <c r="U235" s="122">
        <v>4.0202</v>
      </c>
      <c r="V235" s="122">
        <v>7893.8894899999996</v>
      </c>
      <c r="W235" s="122">
        <v>31735.01455</v>
      </c>
      <c r="X235" s="123">
        <v>4.9600000000000002E-4</v>
      </c>
      <c r="Y235" s="123">
        <v>5.4809999999999998E-3</v>
      </c>
      <c r="Z235" s="123">
        <v>5.3200000000000003E-4</v>
      </c>
    </row>
    <row r="236" spans="1:26" ht="15" customHeight="1">
      <c r="A236" s="121">
        <v>313</v>
      </c>
      <c r="B236" s="121">
        <v>313</v>
      </c>
      <c r="C236" s="120" t="s">
        <v>2093</v>
      </c>
      <c r="D236" s="121"/>
      <c r="E236" s="120"/>
      <c r="F236" s="120" t="s">
        <v>2375</v>
      </c>
      <c r="G236" s="121">
        <v>41000880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292</v>
      </c>
      <c r="O236" s="120" t="s">
        <v>338</v>
      </c>
      <c r="P236" s="124">
        <v>43513</v>
      </c>
      <c r="Q236" s="120" t="s">
        <v>1216</v>
      </c>
      <c r="R236" s="120" t="s">
        <v>886</v>
      </c>
      <c r="S236" s="120" t="s">
        <v>890</v>
      </c>
      <c r="T236" s="124">
        <v>45473</v>
      </c>
      <c r="U236" s="122">
        <v>4.0202</v>
      </c>
      <c r="V236" s="122">
        <v>7.9589999999999996</v>
      </c>
      <c r="W236" s="122">
        <v>31.996770000000001</v>
      </c>
      <c r="X236" s="123">
        <v>7.9500000000000003E-4</v>
      </c>
      <c r="Y236" s="123">
        <v>5.0000000000000004E-6</v>
      </c>
      <c r="Z236" s="123">
        <v>0</v>
      </c>
    </row>
    <row r="237" spans="1:26" ht="15" customHeight="1">
      <c r="A237" s="121">
        <v>313</v>
      </c>
      <c r="B237" s="121">
        <v>313</v>
      </c>
      <c r="C237" s="120" t="s">
        <v>2124</v>
      </c>
      <c r="D237" s="121"/>
      <c r="E237" s="120"/>
      <c r="F237" s="120" t="s">
        <v>2376</v>
      </c>
      <c r="G237" s="121">
        <v>44000103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244</v>
      </c>
      <c r="O237" s="120" t="s">
        <v>338</v>
      </c>
      <c r="P237" s="124">
        <v>44946</v>
      </c>
      <c r="Q237" s="120" t="s">
        <v>1212</v>
      </c>
      <c r="R237" s="120" t="s">
        <v>886</v>
      </c>
      <c r="S237" s="120" t="s">
        <v>890</v>
      </c>
      <c r="T237" s="124">
        <v>45473</v>
      </c>
      <c r="U237" s="122">
        <v>3.7589999999999999</v>
      </c>
      <c r="V237" s="122">
        <v>2179.6906899999999</v>
      </c>
      <c r="W237" s="122">
        <v>8193.4573</v>
      </c>
      <c r="X237" s="123">
        <v>7.2599999999999997E-4</v>
      </c>
      <c r="Y237" s="123">
        <v>1.415E-3</v>
      </c>
      <c r="Z237" s="123">
        <v>1.37E-4</v>
      </c>
    </row>
    <row r="238" spans="1:26" ht="15" customHeight="1">
      <c r="A238" s="121">
        <v>313</v>
      </c>
      <c r="B238" s="121">
        <v>313</v>
      </c>
      <c r="C238" s="120" t="s">
        <v>2161</v>
      </c>
      <c r="D238" s="121"/>
      <c r="E238" s="120"/>
      <c r="F238" s="120" t="s">
        <v>2377</v>
      </c>
      <c r="G238" s="121">
        <v>62013524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295</v>
      </c>
      <c r="O238" s="120" t="s">
        <v>338</v>
      </c>
      <c r="P238" s="124">
        <v>43647</v>
      </c>
      <c r="Q238" s="120" t="s">
        <v>1212</v>
      </c>
      <c r="R238" s="120" t="s">
        <v>886</v>
      </c>
      <c r="S238" s="120" t="s">
        <v>890</v>
      </c>
      <c r="T238" s="124">
        <v>45473</v>
      </c>
      <c r="U238" s="122">
        <v>3.7589999999999999</v>
      </c>
      <c r="V238" s="122">
        <v>21054.628280000001</v>
      </c>
      <c r="W238" s="122">
        <v>79144.347720000005</v>
      </c>
      <c r="X238" s="123">
        <v>4.6273000000000002E-2</v>
      </c>
      <c r="Y238" s="123">
        <v>1.367E-2</v>
      </c>
      <c r="Z238" s="123">
        <v>1.328E-3</v>
      </c>
    </row>
    <row r="239" spans="1:26" ht="15" customHeight="1">
      <c r="A239" s="121">
        <v>313</v>
      </c>
      <c r="B239" s="121">
        <v>313</v>
      </c>
      <c r="C239" s="120" t="s">
        <v>2378</v>
      </c>
      <c r="D239" s="121"/>
      <c r="E239" s="120"/>
      <c r="F239" s="120" t="s">
        <v>2379</v>
      </c>
      <c r="G239" s="121">
        <v>62005732</v>
      </c>
      <c r="H239" s="120" t="s">
        <v>311</v>
      </c>
      <c r="I239" s="120" t="s">
        <v>1001</v>
      </c>
      <c r="J239" s="120"/>
      <c r="K239" s="120" t="s">
        <v>204</v>
      </c>
      <c r="L239" s="120"/>
      <c r="M239" s="120"/>
      <c r="N239" s="120" t="s">
        <v>295</v>
      </c>
      <c r="O239" s="120" t="s">
        <v>338</v>
      </c>
      <c r="P239" s="124">
        <v>44348</v>
      </c>
      <c r="Q239" s="120" t="s">
        <v>1212</v>
      </c>
      <c r="R239" s="120" t="s">
        <v>886</v>
      </c>
      <c r="S239" s="120" t="s">
        <v>890</v>
      </c>
      <c r="T239" s="124">
        <v>45473</v>
      </c>
      <c r="U239" s="122">
        <v>3.7589999999999999</v>
      </c>
      <c r="V239" s="122">
        <v>4929.33518</v>
      </c>
      <c r="W239" s="122">
        <v>18529.37095</v>
      </c>
      <c r="X239" s="123">
        <v>9.8799999999999995E-4</v>
      </c>
      <c r="Y239" s="123">
        <v>3.2000000000000002E-3</v>
      </c>
      <c r="Z239" s="123">
        <v>3.1E-4</v>
      </c>
    </row>
    <row r="240" spans="1:26" ht="15" customHeight="1">
      <c r="A240" s="121">
        <v>313</v>
      </c>
      <c r="B240" s="121">
        <v>313</v>
      </c>
      <c r="C240" s="120" t="s">
        <v>2165</v>
      </c>
      <c r="D240" s="121"/>
      <c r="E240" s="120"/>
      <c r="F240" s="120" t="s">
        <v>2380</v>
      </c>
      <c r="G240" s="121">
        <v>41000857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292</v>
      </c>
      <c r="O240" s="120" t="s">
        <v>338</v>
      </c>
      <c r="P240" s="124">
        <v>43513</v>
      </c>
      <c r="Q240" s="120" t="s">
        <v>1216</v>
      </c>
      <c r="R240" s="120" t="s">
        <v>886</v>
      </c>
      <c r="S240" s="120" t="s">
        <v>890</v>
      </c>
      <c r="T240" s="124">
        <v>45473</v>
      </c>
      <c r="U240" s="122">
        <v>4.0202</v>
      </c>
      <c r="V240" s="122">
        <v>1046.5229999999999</v>
      </c>
      <c r="W240" s="122">
        <v>4207.2317599999997</v>
      </c>
      <c r="X240" s="123">
        <v>5.2300000000000003E-4</v>
      </c>
      <c r="Y240" s="123">
        <v>7.2599999999999997E-4</v>
      </c>
      <c r="Z240" s="123">
        <v>6.9999999999999994E-5</v>
      </c>
    </row>
    <row r="241" spans="1:26" ht="15" customHeight="1">
      <c r="A241" s="121">
        <v>313</v>
      </c>
      <c r="B241" s="121">
        <v>313</v>
      </c>
      <c r="C241" s="120" t="s">
        <v>2138</v>
      </c>
      <c r="D241" s="121"/>
      <c r="E241" s="120"/>
      <c r="F241" s="120" t="s">
        <v>2381</v>
      </c>
      <c r="G241" s="121">
        <v>62011334</v>
      </c>
      <c r="H241" s="120" t="s">
        <v>311</v>
      </c>
      <c r="I241" s="120" t="s">
        <v>1005</v>
      </c>
      <c r="J241" s="120"/>
      <c r="K241" s="120" t="s">
        <v>204</v>
      </c>
      <c r="L241" s="120"/>
      <c r="M241" s="120"/>
      <c r="N241" s="120" t="s">
        <v>292</v>
      </c>
      <c r="O241" s="120" t="s">
        <v>338</v>
      </c>
      <c r="P241" s="124">
        <v>44299</v>
      </c>
      <c r="Q241" s="120" t="s">
        <v>1230</v>
      </c>
      <c r="R241" s="120" t="s">
        <v>886</v>
      </c>
      <c r="S241" s="120" t="s">
        <v>890</v>
      </c>
      <c r="T241" s="124">
        <v>45473</v>
      </c>
      <c r="U241" s="122">
        <v>4.7504999999999997</v>
      </c>
      <c r="V241" s="122">
        <v>2191.3977199999999</v>
      </c>
      <c r="W241" s="122">
        <v>10410.23488</v>
      </c>
      <c r="X241" s="123">
        <v>5.6189000000000003E-2</v>
      </c>
      <c r="Y241" s="123">
        <v>1.7979999999999999E-3</v>
      </c>
      <c r="Z241" s="123">
        <v>1.74E-4</v>
      </c>
    </row>
    <row r="242" spans="1:26" ht="15" customHeight="1">
      <c r="A242" s="121">
        <v>313</v>
      </c>
      <c r="B242" s="121">
        <v>313</v>
      </c>
      <c r="C242" s="120" t="s">
        <v>2347</v>
      </c>
      <c r="D242" s="121"/>
      <c r="E242" s="120"/>
      <c r="F242" s="120" t="s">
        <v>2382</v>
      </c>
      <c r="G242" s="121">
        <v>62016262</v>
      </c>
      <c r="H242" s="120" t="s">
        <v>311</v>
      </c>
      <c r="I242" s="120" t="s">
        <v>1001</v>
      </c>
      <c r="J242" s="120"/>
      <c r="K242" s="120" t="s">
        <v>204</v>
      </c>
      <c r="L242" s="120"/>
      <c r="M242" s="120"/>
      <c r="N242" s="120" t="s">
        <v>223</v>
      </c>
      <c r="O242" s="120" t="s">
        <v>338</v>
      </c>
      <c r="P242" s="124">
        <v>44973</v>
      </c>
      <c r="Q242" s="120" t="s">
        <v>1212</v>
      </c>
      <c r="R242" s="120" t="s">
        <v>886</v>
      </c>
      <c r="S242" s="120" t="s">
        <v>890</v>
      </c>
      <c r="T242" s="124">
        <v>45473</v>
      </c>
      <c r="U242" s="122">
        <v>3.7589999999999999</v>
      </c>
      <c r="V242" s="122">
        <v>2393.5926199999999</v>
      </c>
      <c r="W242" s="122">
        <v>8997.5146600000007</v>
      </c>
      <c r="X242" s="123">
        <v>4.3080000000000002E-3</v>
      </c>
      <c r="Y242" s="123">
        <v>1.554E-3</v>
      </c>
      <c r="Z242" s="123">
        <v>1.4999999999999999E-4</v>
      </c>
    </row>
    <row r="243" spans="1:26" ht="15" customHeight="1">
      <c r="A243" s="121">
        <v>313</v>
      </c>
      <c r="B243" s="121">
        <v>313</v>
      </c>
      <c r="C243" s="120" t="s">
        <v>2151</v>
      </c>
      <c r="D243" s="121"/>
      <c r="E243" s="120"/>
      <c r="F243" s="120" t="s">
        <v>2383</v>
      </c>
      <c r="G243" s="121">
        <v>62020078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223</v>
      </c>
      <c r="O243" s="120" t="s">
        <v>338</v>
      </c>
      <c r="P243" s="124">
        <v>44561</v>
      </c>
      <c r="Q243" s="120" t="s">
        <v>1212</v>
      </c>
      <c r="R243" s="120" t="s">
        <v>886</v>
      </c>
      <c r="S243" s="120" t="s">
        <v>890</v>
      </c>
      <c r="T243" s="124">
        <v>45473</v>
      </c>
      <c r="U243" s="122">
        <v>3.7589999999999999</v>
      </c>
      <c r="V243" s="122">
        <v>8986.0960200000009</v>
      </c>
      <c r="W243" s="122">
        <v>33778.734929999999</v>
      </c>
      <c r="X243" s="123">
        <v>8.83E-4</v>
      </c>
      <c r="Y243" s="123">
        <v>5.8339999999999998E-3</v>
      </c>
      <c r="Z243" s="123">
        <v>5.6599999999999999E-4</v>
      </c>
    </row>
    <row r="244" spans="1:26" ht="15" customHeight="1">
      <c r="A244" s="121">
        <v>313</v>
      </c>
      <c r="B244" s="121">
        <v>313</v>
      </c>
      <c r="C244" s="120" t="s">
        <v>2378</v>
      </c>
      <c r="D244" s="121"/>
      <c r="E244" s="120"/>
      <c r="F244" s="120" t="s">
        <v>2384</v>
      </c>
      <c r="G244" s="121">
        <v>60370475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295</v>
      </c>
      <c r="O244" s="120" t="s">
        <v>338</v>
      </c>
      <c r="P244" s="124">
        <v>41883</v>
      </c>
      <c r="Q244" s="120" t="s">
        <v>1212</v>
      </c>
      <c r="R244" s="120" t="s">
        <v>886</v>
      </c>
      <c r="S244" s="120" t="s">
        <v>890</v>
      </c>
      <c r="T244" s="124">
        <v>45473</v>
      </c>
      <c r="U244" s="122">
        <v>3.7589999999999999</v>
      </c>
      <c r="V244" s="122">
        <v>8427.9084800000001</v>
      </c>
      <c r="W244" s="122">
        <v>31680.507959999999</v>
      </c>
      <c r="X244" s="123">
        <v>3.1819999999999999E-3</v>
      </c>
      <c r="Y244" s="123">
        <v>5.4720000000000003E-3</v>
      </c>
      <c r="Z244" s="123">
        <v>5.31E-4</v>
      </c>
    </row>
    <row r="245" spans="1:26" ht="15" customHeight="1">
      <c r="A245" s="121">
        <v>313</v>
      </c>
      <c r="B245" s="121">
        <v>313</v>
      </c>
      <c r="C245" s="120" t="s">
        <v>2279</v>
      </c>
      <c r="D245" s="121"/>
      <c r="E245" s="120"/>
      <c r="F245" s="120" t="s">
        <v>2385</v>
      </c>
      <c r="G245" s="121">
        <v>62020854</v>
      </c>
      <c r="H245" s="120" t="s">
        <v>311</v>
      </c>
      <c r="I245" s="120" t="s">
        <v>1004</v>
      </c>
      <c r="J245" s="120"/>
      <c r="K245" s="120" t="s">
        <v>204</v>
      </c>
      <c r="L245" s="120"/>
      <c r="M245" s="120"/>
      <c r="N245" s="120" t="s">
        <v>292</v>
      </c>
      <c r="O245" s="120" t="s">
        <v>338</v>
      </c>
      <c r="P245" s="124">
        <v>44778</v>
      </c>
      <c r="Q245" s="120" t="s">
        <v>1216</v>
      </c>
      <c r="R245" s="120" t="s">
        <v>886</v>
      </c>
      <c r="S245" s="120" t="s">
        <v>890</v>
      </c>
      <c r="T245" s="124">
        <v>45473</v>
      </c>
      <c r="U245" s="122">
        <v>4.0202</v>
      </c>
      <c r="V245" s="122">
        <v>9409.8035400000008</v>
      </c>
      <c r="W245" s="122">
        <v>37829.292200000004</v>
      </c>
      <c r="X245" s="123">
        <v>4.2770000000000004E-3</v>
      </c>
      <c r="Y245" s="123">
        <v>6.5339999999999999E-3</v>
      </c>
      <c r="Z245" s="123">
        <v>6.3400000000000001E-4</v>
      </c>
    </row>
    <row r="246" spans="1:26" ht="15" customHeight="1">
      <c r="A246" s="121">
        <v>313</v>
      </c>
      <c r="B246" s="121">
        <v>313</v>
      </c>
      <c r="C246" s="120" t="s">
        <v>2124</v>
      </c>
      <c r="D246" s="121"/>
      <c r="E246" s="120"/>
      <c r="F246" s="120" t="s">
        <v>2386</v>
      </c>
      <c r="G246" s="121">
        <v>43000915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280</v>
      </c>
      <c r="O246" s="120" t="s">
        <v>338</v>
      </c>
      <c r="P246" s="124">
        <v>44054</v>
      </c>
      <c r="Q246" s="120" t="s">
        <v>1212</v>
      </c>
      <c r="R246" s="120" t="s">
        <v>886</v>
      </c>
      <c r="S246" s="120" t="s">
        <v>890</v>
      </c>
      <c r="T246" s="124">
        <v>45473</v>
      </c>
      <c r="U246" s="122">
        <v>3.7589999999999999</v>
      </c>
      <c r="V246" s="122">
        <v>1039.8499999999999</v>
      </c>
      <c r="W246" s="122">
        <v>3908.7961500000001</v>
      </c>
      <c r="X246" s="123">
        <v>5.1900000000000004E-4</v>
      </c>
      <c r="Y246" s="123">
        <v>6.7500000000000004E-4</v>
      </c>
      <c r="Z246" s="123">
        <v>6.4999999999999994E-5</v>
      </c>
    </row>
    <row r="247" spans="1:26" ht="15" customHeight="1">
      <c r="A247" s="121">
        <v>313</v>
      </c>
      <c r="B247" s="121">
        <v>313</v>
      </c>
      <c r="C247" s="120" t="s">
        <v>2314</v>
      </c>
      <c r="D247" s="121"/>
      <c r="E247" s="120"/>
      <c r="F247" s="120" t="s">
        <v>2387</v>
      </c>
      <c r="G247" s="121">
        <v>62020847</v>
      </c>
      <c r="H247" s="120" t="s">
        <v>311</v>
      </c>
      <c r="I247" s="120" t="s">
        <v>1005</v>
      </c>
      <c r="J247" s="120"/>
      <c r="K247" s="120" t="s">
        <v>204</v>
      </c>
      <c r="L247" s="120"/>
      <c r="M247" s="120"/>
      <c r="N247" s="120" t="s">
        <v>223</v>
      </c>
      <c r="O247" s="120" t="s">
        <v>338</v>
      </c>
      <c r="P247" s="124">
        <v>44805</v>
      </c>
      <c r="Q247" s="120" t="s">
        <v>1212</v>
      </c>
      <c r="R247" s="120" t="s">
        <v>886</v>
      </c>
      <c r="S247" s="120" t="s">
        <v>890</v>
      </c>
      <c r="T247" s="124">
        <v>45473</v>
      </c>
      <c r="U247" s="122">
        <v>3.7589999999999999</v>
      </c>
      <c r="V247" s="122">
        <v>8679.9928099999997</v>
      </c>
      <c r="W247" s="122">
        <v>32628.092980000001</v>
      </c>
      <c r="X247" s="123">
        <v>1.1573E-2</v>
      </c>
      <c r="Y247" s="123">
        <v>5.6350000000000003E-3</v>
      </c>
      <c r="Z247" s="123">
        <v>5.4699999999999996E-4</v>
      </c>
    </row>
    <row r="248" spans="1:26" ht="15" customHeight="1">
      <c r="A248" s="121">
        <v>313</v>
      </c>
      <c r="B248" s="121">
        <v>313</v>
      </c>
      <c r="C248" s="120" t="s">
        <v>2388</v>
      </c>
      <c r="D248" s="121"/>
      <c r="E248" s="120"/>
      <c r="F248" s="120" t="s">
        <v>2389</v>
      </c>
      <c r="G248" s="121">
        <v>60294154</v>
      </c>
      <c r="H248" s="120" t="s">
        <v>311</v>
      </c>
      <c r="I248" s="120" t="s">
        <v>1001</v>
      </c>
      <c r="J248" s="120"/>
      <c r="K248" s="120" t="s">
        <v>204</v>
      </c>
      <c r="L248" s="120"/>
      <c r="M248" s="120"/>
      <c r="N248" s="120" t="s">
        <v>292</v>
      </c>
      <c r="O248" s="120" t="s">
        <v>338</v>
      </c>
      <c r="P248" s="124">
        <v>40940</v>
      </c>
      <c r="Q248" s="120" t="s">
        <v>1216</v>
      </c>
      <c r="R248" s="120" t="s">
        <v>886</v>
      </c>
      <c r="S248" s="120" t="s">
        <v>890</v>
      </c>
      <c r="T248" s="124">
        <v>45473</v>
      </c>
      <c r="U248" s="122">
        <v>4.0202</v>
      </c>
      <c r="V248" s="122">
        <v>1386.5979199999999</v>
      </c>
      <c r="W248" s="122">
        <v>5574.4009699999997</v>
      </c>
      <c r="X248" s="123">
        <v>2.0699999999999999E-4</v>
      </c>
      <c r="Y248" s="123">
        <v>9.6199999999999996E-4</v>
      </c>
      <c r="Z248" s="123">
        <v>9.2999999999999997E-5</v>
      </c>
    </row>
    <row r="249" spans="1:26" ht="15" customHeight="1">
      <c r="A249" s="121">
        <v>313</v>
      </c>
      <c r="B249" s="121">
        <v>313</v>
      </c>
      <c r="C249" s="120" t="s">
        <v>2132</v>
      </c>
      <c r="D249" s="121"/>
      <c r="E249" s="120"/>
      <c r="F249" s="120" t="s">
        <v>2390</v>
      </c>
      <c r="G249" s="121">
        <v>41000820</v>
      </c>
      <c r="H249" s="120" t="s">
        <v>311</v>
      </c>
      <c r="I249" s="120" t="s">
        <v>1001</v>
      </c>
      <c r="J249" s="120"/>
      <c r="K249" s="120" t="s">
        <v>204</v>
      </c>
      <c r="L249" s="120"/>
      <c r="M249" s="120"/>
      <c r="N249" s="120" t="s">
        <v>292</v>
      </c>
      <c r="O249" s="120" t="s">
        <v>338</v>
      </c>
      <c r="P249" s="124">
        <v>43513</v>
      </c>
      <c r="Q249" s="120" t="s">
        <v>1216</v>
      </c>
      <c r="R249" s="120" t="s">
        <v>886</v>
      </c>
      <c r="S249" s="120" t="s">
        <v>890</v>
      </c>
      <c r="T249" s="124">
        <v>45473</v>
      </c>
      <c r="U249" s="122">
        <v>4.0202</v>
      </c>
      <c r="V249" s="122">
        <v>439.60500000000002</v>
      </c>
      <c r="W249" s="122">
        <v>1767.3000199999999</v>
      </c>
      <c r="X249" s="123">
        <v>4.3899999999999999E-4</v>
      </c>
      <c r="Y249" s="123">
        <v>3.0499999999999999E-4</v>
      </c>
      <c r="Z249" s="123">
        <v>2.9E-5</v>
      </c>
    </row>
    <row r="250" spans="1:26" ht="15" customHeight="1">
      <c r="A250" s="121">
        <v>313</v>
      </c>
      <c r="B250" s="121">
        <v>313</v>
      </c>
      <c r="C250" s="120" t="s">
        <v>2391</v>
      </c>
      <c r="D250" s="121"/>
      <c r="E250" s="120"/>
      <c r="F250" s="120" t="s">
        <v>2392</v>
      </c>
      <c r="G250" s="121">
        <v>60397650</v>
      </c>
      <c r="H250" s="120" t="s">
        <v>311</v>
      </c>
      <c r="I250" s="120" t="s">
        <v>1001</v>
      </c>
      <c r="J250" s="120"/>
      <c r="K250" s="120" t="s">
        <v>204</v>
      </c>
      <c r="L250" s="120"/>
      <c r="M250" s="120"/>
      <c r="N250" s="120" t="s">
        <v>295</v>
      </c>
      <c r="O250" s="120" t="s">
        <v>338</v>
      </c>
      <c r="P250" s="124">
        <v>42156</v>
      </c>
      <c r="Q250" s="120" t="s">
        <v>1212</v>
      </c>
      <c r="R250" s="120" t="s">
        <v>886</v>
      </c>
      <c r="S250" s="120" t="s">
        <v>890</v>
      </c>
      <c r="T250" s="124">
        <v>45473</v>
      </c>
      <c r="U250" s="122">
        <v>3.7589999999999999</v>
      </c>
      <c r="V250" s="122">
        <v>2858.8960200000001</v>
      </c>
      <c r="W250" s="122">
        <v>10746.59013</v>
      </c>
      <c r="X250" s="123">
        <v>4.2900000000000002E-4</v>
      </c>
      <c r="Y250" s="123">
        <v>1.856E-3</v>
      </c>
      <c r="Z250" s="123">
        <v>1.8000000000000001E-4</v>
      </c>
    </row>
    <row r="251" spans="1:26" ht="15" customHeight="1">
      <c r="A251" s="121">
        <v>313</v>
      </c>
      <c r="B251" s="121">
        <v>313</v>
      </c>
      <c r="C251" s="120" t="s">
        <v>2344</v>
      </c>
      <c r="D251" s="121"/>
      <c r="E251" s="120"/>
      <c r="F251" s="120" t="s">
        <v>2393</v>
      </c>
      <c r="G251" s="121">
        <v>60401171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295</v>
      </c>
      <c r="O251" s="120" t="s">
        <v>338</v>
      </c>
      <c r="P251" s="124">
        <v>42401</v>
      </c>
      <c r="Q251" s="120" t="s">
        <v>1212</v>
      </c>
      <c r="R251" s="120" t="s">
        <v>886</v>
      </c>
      <c r="S251" s="120" t="s">
        <v>890</v>
      </c>
      <c r="T251" s="124">
        <v>45473</v>
      </c>
      <c r="U251" s="122">
        <v>3.7589999999999999</v>
      </c>
      <c r="V251" s="122">
        <v>5213.9268000000002</v>
      </c>
      <c r="W251" s="122">
        <v>19599.150839999998</v>
      </c>
      <c r="X251" s="123">
        <v>5.6039999999999996E-3</v>
      </c>
      <c r="Y251" s="123">
        <v>3.385E-3</v>
      </c>
      <c r="Z251" s="123">
        <v>3.28E-4</v>
      </c>
    </row>
    <row r="252" spans="1:26" ht="15" customHeight="1">
      <c r="A252" s="121">
        <v>313</v>
      </c>
      <c r="B252" s="121">
        <v>313</v>
      </c>
      <c r="C252" s="120" t="s">
        <v>2134</v>
      </c>
      <c r="D252" s="121"/>
      <c r="E252" s="120"/>
      <c r="F252" s="120" t="s">
        <v>2394</v>
      </c>
      <c r="G252" s="121">
        <v>41000859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211</v>
      </c>
      <c r="O252" s="120" t="s">
        <v>338</v>
      </c>
      <c r="P252" s="124">
        <v>43513</v>
      </c>
      <c r="Q252" s="120" t="s">
        <v>1216</v>
      </c>
      <c r="R252" s="120" t="s">
        <v>886</v>
      </c>
      <c r="S252" s="120" t="s">
        <v>890</v>
      </c>
      <c r="T252" s="124">
        <v>45473</v>
      </c>
      <c r="U252" s="122">
        <v>4.0202</v>
      </c>
      <c r="V252" s="122">
        <v>715.40700000000004</v>
      </c>
      <c r="W252" s="122">
        <v>2876.0792200000001</v>
      </c>
      <c r="X252" s="123">
        <v>3.57E-4</v>
      </c>
      <c r="Y252" s="123">
        <v>4.9600000000000002E-4</v>
      </c>
      <c r="Z252" s="123">
        <v>4.8000000000000001E-5</v>
      </c>
    </row>
    <row r="253" spans="1:26" ht="15" customHeight="1">
      <c r="A253" s="121">
        <v>313</v>
      </c>
      <c r="B253" s="121">
        <v>313</v>
      </c>
      <c r="C253" s="120" t="s">
        <v>2395</v>
      </c>
      <c r="D253" s="121"/>
      <c r="E253" s="120"/>
      <c r="F253" s="120" t="s">
        <v>2396</v>
      </c>
      <c r="G253" s="121">
        <v>60357506</v>
      </c>
      <c r="H253" s="120" t="s">
        <v>311</v>
      </c>
      <c r="I253" s="120" t="s">
        <v>1001</v>
      </c>
      <c r="J253" s="120"/>
      <c r="K253" s="120" t="s">
        <v>204</v>
      </c>
      <c r="L253" s="120"/>
      <c r="M253" s="120"/>
      <c r="N253" s="120" t="s">
        <v>231</v>
      </c>
      <c r="O253" s="120" t="s">
        <v>338</v>
      </c>
      <c r="P253" s="124">
        <v>41730</v>
      </c>
      <c r="Q253" s="120" t="s">
        <v>1212</v>
      </c>
      <c r="R253" s="120" t="s">
        <v>886</v>
      </c>
      <c r="S253" s="120" t="s">
        <v>890</v>
      </c>
      <c r="T253" s="124">
        <v>45473</v>
      </c>
      <c r="U253" s="122">
        <v>3.7589999999999999</v>
      </c>
      <c r="V253" s="122">
        <v>617.15236000000004</v>
      </c>
      <c r="W253" s="122">
        <v>2319.8757099999998</v>
      </c>
      <c r="X253" s="123">
        <v>8.4400000000000002E-4</v>
      </c>
      <c r="Y253" s="123">
        <v>4.0000000000000002E-4</v>
      </c>
      <c r="Z253" s="123">
        <v>3.8000000000000002E-5</v>
      </c>
    </row>
    <row r="254" spans="1:26" ht="15" customHeight="1">
      <c r="A254" s="121">
        <v>313</v>
      </c>
      <c r="B254" s="121">
        <v>313</v>
      </c>
      <c r="C254" s="120" t="s">
        <v>2397</v>
      </c>
      <c r="D254" s="121"/>
      <c r="E254" s="120"/>
      <c r="F254" s="120" t="s">
        <v>2398</v>
      </c>
      <c r="G254" s="121">
        <v>62019700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223</v>
      </c>
      <c r="O254" s="120" t="s">
        <v>338</v>
      </c>
      <c r="P254" s="124">
        <v>44844</v>
      </c>
      <c r="Q254" s="120" t="s">
        <v>1212</v>
      </c>
      <c r="R254" s="120" t="s">
        <v>886</v>
      </c>
      <c r="S254" s="120" t="s">
        <v>890</v>
      </c>
      <c r="T254" s="124">
        <v>45473</v>
      </c>
      <c r="U254" s="122">
        <v>3.7589999999999999</v>
      </c>
      <c r="V254" s="122">
        <v>9389.6927099999994</v>
      </c>
      <c r="W254" s="122">
        <v>35295.854890000002</v>
      </c>
      <c r="X254" s="123">
        <v>3.8499999999999998E-4</v>
      </c>
      <c r="Y254" s="123">
        <v>6.0959999999999999E-3</v>
      </c>
      <c r="Z254" s="123">
        <v>5.9199999999999997E-4</v>
      </c>
    </row>
    <row r="255" spans="1:26" ht="15" customHeight="1">
      <c r="A255" s="121">
        <v>313</v>
      </c>
      <c r="B255" s="121">
        <v>313</v>
      </c>
      <c r="C255" s="120" t="s">
        <v>2309</v>
      </c>
      <c r="D255" s="121"/>
      <c r="E255" s="120"/>
      <c r="F255" s="120" t="s">
        <v>2399</v>
      </c>
      <c r="G255" s="121">
        <v>60415767</v>
      </c>
      <c r="H255" s="120" t="s">
        <v>311</v>
      </c>
      <c r="I255" s="120" t="s">
        <v>1001</v>
      </c>
      <c r="J255" s="120"/>
      <c r="K255" s="120" t="s">
        <v>204</v>
      </c>
      <c r="L255" s="120"/>
      <c r="M255" s="120"/>
      <c r="N255" s="120" t="s">
        <v>295</v>
      </c>
      <c r="O255" s="120" t="s">
        <v>338</v>
      </c>
      <c r="P255" s="124">
        <v>42614</v>
      </c>
      <c r="Q255" s="120" t="s">
        <v>1212</v>
      </c>
      <c r="R255" s="120" t="s">
        <v>886</v>
      </c>
      <c r="S255" s="120" t="s">
        <v>890</v>
      </c>
      <c r="T255" s="124">
        <v>45473</v>
      </c>
      <c r="U255" s="122">
        <v>3.7589999999999999</v>
      </c>
      <c r="V255" s="122">
        <v>5733.4190600000002</v>
      </c>
      <c r="W255" s="122">
        <v>21551.92223</v>
      </c>
      <c r="X255" s="123">
        <v>3.7803000000000003E-2</v>
      </c>
      <c r="Y255" s="123">
        <v>3.722E-3</v>
      </c>
      <c r="Z255" s="123">
        <v>3.6099999999999999E-4</v>
      </c>
    </row>
    <row r="256" spans="1:26" ht="15" customHeight="1">
      <c r="A256" s="121">
        <v>313</v>
      </c>
      <c r="B256" s="121">
        <v>313</v>
      </c>
      <c r="C256" s="120" t="s">
        <v>2138</v>
      </c>
      <c r="D256" s="121"/>
      <c r="E256" s="120"/>
      <c r="F256" s="120" t="s">
        <v>2400</v>
      </c>
      <c r="G256" s="121">
        <v>62008800</v>
      </c>
      <c r="H256" s="120" t="s">
        <v>311</v>
      </c>
      <c r="I256" s="120" t="s">
        <v>1005</v>
      </c>
      <c r="J256" s="120"/>
      <c r="K256" s="120" t="s">
        <v>204</v>
      </c>
      <c r="L256" s="120"/>
      <c r="M256" s="120"/>
      <c r="N256" s="120" t="s">
        <v>292</v>
      </c>
      <c r="O256" s="120" t="s">
        <v>338</v>
      </c>
      <c r="P256" s="124">
        <v>43345</v>
      </c>
      <c r="Q256" s="120" t="s">
        <v>1216</v>
      </c>
      <c r="R256" s="120" t="s">
        <v>886</v>
      </c>
      <c r="S256" s="120" t="s">
        <v>890</v>
      </c>
      <c r="T256" s="124">
        <v>45473</v>
      </c>
      <c r="U256" s="122">
        <v>4.0202</v>
      </c>
      <c r="V256" s="122">
        <v>8155.9581200000002</v>
      </c>
      <c r="W256" s="122">
        <v>32788.582820000003</v>
      </c>
      <c r="X256" s="123">
        <v>5.7600000000000004E-3</v>
      </c>
      <c r="Y256" s="123">
        <v>5.6629999999999996E-3</v>
      </c>
      <c r="Z256" s="123">
        <v>5.5000000000000003E-4</v>
      </c>
    </row>
    <row r="257" spans="1:26" ht="15" customHeight="1">
      <c r="A257" s="121">
        <v>313</v>
      </c>
      <c r="B257" s="121">
        <v>313</v>
      </c>
      <c r="C257" s="120" t="s">
        <v>2401</v>
      </c>
      <c r="D257" s="121"/>
      <c r="E257" s="120"/>
      <c r="F257" s="120" t="s">
        <v>2402</v>
      </c>
      <c r="G257" s="121">
        <v>40000473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292</v>
      </c>
      <c r="O257" s="120" t="s">
        <v>338</v>
      </c>
      <c r="P257" s="124">
        <v>43513</v>
      </c>
      <c r="Q257" s="120" t="s">
        <v>1216</v>
      </c>
      <c r="R257" s="120" t="s">
        <v>886</v>
      </c>
      <c r="S257" s="120" t="s">
        <v>890</v>
      </c>
      <c r="T257" s="124">
        <v>45473</v>
      </c>
      <c r="U257" s="122">
        <v>4.0202</v>
      </c>
      <c r="V257" s="122">
        <v>-2095.4955</v>
      </c>
      <c r="W257" s="122">
        <v>-8424.3110099999994</v>
      </c>
      <c r="X257" s="123">
        <v>0</v>
      </c>
      <c r="Y257" s="123">
        <v>-1.4549999999999999E-3</v>
      </c>
      <c r="Z257" s="123">
        <v>-1.4100000000000001E-4</v>
      </c>
    </row>
    <row r="258" spans="1:26" ht="15" customHeight="1">
      <c r="A258" s="121">
        <v>313</v>
      </c>
      <c r="B258" s="121">
        <v>313</v>
      </c>
      <c r="C258" s="120" t="s">
        <v>2403</v>
      </c>
      <c r="D258" s="121"/>
      <c r="E258" s="120"/>
      <c r="F258" s="120" t="s">
        <v>2404</v>
      </c>
      <c r="G258" s="121">
        <v>60395118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223</v>
      </c>
      <c r="O258" s="120" t="s">
        <v>338</v>
      </c>
      <c r="P258" s="124">
        <v>42248</v>
      </c>
      <c r="Q258" s="120" t="s">
        <v>1212</v>
      </c>
      <c r="R258" s="120" t="s">
        <v>886</v>
      </c>
      <c r="S258" s="120" t="s">
        <v>890</v>
      </c>
      <c r="T258" s="124">
        <v>45473</v>
      </c>
      <c r="U258" s="122">
        <v>3.7589999999999999</v>
      </c>
      <c r="V258" s="122">
        <v>2430.2118099999998</v>
      </c>
      <c r="W258" s="122">
        <v>9135.1661800000002</v>
      </c>
      <c r="X258" s="123">
        <v>1.317E-3</v>
      </c>
      <c r="Y258" s="123">
        <v>1.5770000000000001E-3</v>
      </c>
      <c r="Z258" s="123">
        <v>1.5300000000000001E-4</v>
      </c>
    </row>
    <row r="259" spans="1:26" ht="15" customHeight="1">
      <c r="A259" s="121">
        <v>313</v>
      </c>
      <c r="B259" s="121">
        <v>313</v>
      </c>
      <c r="C259" s="120" t="s">
        <v>2405</v>
      </c>
      <c r="D259" s="121"/>
      <c r="E259" s="120"/>
      <c r="F259" s="120" t="s">
        <v>2406</v>
      </c>
      <c r="G259" s="121">
        <v>62021068</v>
      </c>
      <c r="H259" s="120" t="s">
        <v>311</v>
      </c>
      <c r="I259" s="120" t="s">
        <v>1004</v>
      </c>
      <c r="J259" s="120"/>
      <c r="K259" s="120" t="s">
        <v>204</v>
      </c>
      <c r="L259" s="120"/>
      <c r="M259" s="120"/>
      <c r="N259" s="120" t="s">
        <v>295</v>
      </c>
      <c r="O259" s="120" t="s">
        <v>338</v>
      </c>
      <c r="P259" s="124">
        <v>44923</v>
      </c>
      <c r="Q259" s="120" t="s">
        <v>1212</v>
      </c>
      <c r="R259" s="120" t="s">
        <v>886</v>
      </c>
      <c r="S259" s="120" t="s">
        <v>890</v>
      </c>
      <c r="T259" s="124">
        <v>45473</v>
      </c>
      <c r="U259" s="122">
        <v>3.7589999999999999</v>
      </c>
      <c r="V259" s="122">
        <v>7257.3270599999996</v>
      </c>
      <c r="W259" s="122">
        <v>27280.292420000002</v>
      </c>
      <c r="X259" s="123">
        <v>1.8140000000000001E-3</v>
      </c>
      <c r="Y259" s="123">
        <v>4.712E-3</v>
      </c>
      <c r="Z259" s="123">
        <v>4.57E-4</v>
      </c>
    </row>
    <row r="260" spans="1:26" ht="15" customHeight="1">
      <c r="A260" s="121">
        <v>313</v>
      </c>
      <c r="B260" s="121">
        <v>313</v>
      </c>
      <c r="C260" s="120" t="s">
        <v>2127</v>
      </c>
      <c r="D260" s="121"/>
      <c r="E260" s="120"/>
      <c r="F260" s="120" t="s">
        <v>2407</v>
      </c>
      <c r="G260" s="121">
        <v>42000919</v>
      </c>
      <c r="H260" s="120" t="s">
        <v>311</v>
      </c>
      <c r="I260" s="120" t="s">
        <v>1006</v>
      </c>
      <c r="J260" s="120"/>
      <c r="K260" s="120" t="s">
        <v>204</v>
      </c>
      <c r="L260" s="120"/>
      <c r="M260" s="120"/>
      <c r="N260" s="120" t="s">
        <v>295</v>
      </c>
      <c r="O260" s="120" t="s">
        <v>338</v>
      </c>
      <c r="P260" s="124">
        <v>43601</v>
      </c>
      <c r="Q260" s="120" t="s">
        <v>1212</v>
      </c>
      <c r="R260" s="120" t="s">
        <v>886</v>
      </c>
      <c r="S260" s="120" t="s">
        <v>890</v>
      </c>
      <c r="T260" s="124">
        <v>45473</v>
      </c>
      <c r="U260" s="122">
        <v>3.7589999999999999</v>
      </c>
      <c r="V260" s="122">
        <v>128.98660000000001</v>
      </c>
      <c r="W260" s="122">
        <v>484.86063000000001</v>
      </c>
      <c r="X260" s="123">
        <v>4.1999999999999998E-5</v>
      </c>
      <c r="Y260" s="123">
        <v>8.2999999999999998E-5</v>
      </c>
      <c r="Z260" s="123">
        <v>7.9999999999999996E-6</v>
      </c>
    </row>
    <row r="261" spans="1:26" ht="15" customHeight="1">
      <c r="A261" s="121">
        <v>313</v>
      </c>
      <c r="B261" s="121">
        <v>313</v>
      </c>
      <c r="C261" s="120" t="s">
        <v>2408</v>
      </c>
      <c r="D261" s="121"/>
      <c r="E261" s="120"/>
      <c r="F261" s="120" t="s">
        <v>2409</v>
      </c>
      <c r="G261" s="121">
        <v>60416534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223</v>
      </c>
      <c r="O261" s="120" t="s">
        <v>338</v>
      </c>
      <c r="P261" s="124">
        <v>42644</v>
      </c>
      <c r="Q261" s="120" t="s">
        <v>1212</v>
      </c>
      <c r="R261" s="120" t="s">
        <v>886</v>
      </c>
      <c r="S261" s="120" t="s">
        <v>890</v>
      </c>
      <c r="T261" s="124">
        <v>45473</v>
      </c>
      <c r="U261" s="122">
        <v>3.7589999999999999</v>
      </c>
      <c r="V261" s="122">
        <v>6461.1063000000004</v>
      </c>
      <c r="W261" s="122">
        <v>24287.298579999999</v>
      </c>
      <c r="X261" s="123">
        <v>1.3519999999999999E-3</v>
      </c>
      <c r="Y261" s="123">
        <v>4.1949999999999999E-3</v>
      </c>
      <c r="Z261" s="123">
        <v>4.0700000000000003E-4</v>
      </c>
    </row>
    <row r="262" spans="1:26" ht="15" customHeight="1">
      <c r="A262" s="121">
        <v>313</v>
      </c>
      <c r="B262" s="121">
        <v>313</v>
      </c>
      <c r="C262" s="120" t="s">
        <v>2410</v>
      </c>
      <c r="D262" s="121"/>
      <c r="E262" s="120"/>
      <c r="F262" s="120" t="s">
        <v>2411</v>
      </c>
      <c r="G262" s="121">
        <v>40000507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292</v>
      </c>
      <c r="O262" s="120" t="s">
        <v>338</v>
      </c>
      <c r="P262" s="124">
        <v>43513</v>
      </c>
      <c r="Q262" s="120" t="s">
        <v>1216</v>
      </c>
      <c r="R262" s="120" t="s">
        <v>886</v>
      </c>
      <c r="S262" s="120" t="s">
        <v>890</v>
      </c>
      <c r="T262" s="124">
        <v>45473</v>
      </c>
      <c r="U262" s="122">
        <v>4.0202</v>
      </c>
      <c r="V262" s="122">
        <v>1088.9670000000001</v>
      </c>
      <c r="W262" s="122">
        <v>4377.8651300000001</v>
      </c>
      <c r="X262" s="123">
        <v>1.088E-3</v>
      </c>
      <c r="Y262" s="123">
        <v>7.5600000000000005E-4</v>
      </c>
      <c r="Z262" s="123">
        <v>7.2999999999999999E-5</v>
      </c>
    </row>
    <row r="263" spans="1:26" ht="15" customHeight="1">
      <c r="A263" s="121">
        <v>313</v>
      </c>
      <c r="B263" s="121">
        <v>313</v>
      </c>
      <c r="C263" s="120" t="s">
        <v>2219</v>
      </c>
      <c r="D263" s="121"/>
      <c r="E263" s="120"/>
      <c r="F263" s="120" t="s">
        <v>2412</v>
      </c>
      <c r="G263" s="121">
        <v>62010087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242</v>
      </c>
      <c r="O263" s="120" t="s">
        <v>338</v>
      </c>
      <c r="P263" s="124">
        <v>43252</v>
      </c>
      <c r="Q263" s="120" t="s">
        <v>1212</v>
      </c>
      <c r="R263" s="120" t="s">
        <v>886</v>
      </c>
      <c r="S263" s="120" t="s">
        <v>890</v>
      </c>
      <c r="T263" s="124">
        <v>45473</v>
      </c>
      <c r="U263" s="122">
        <v>3.7589999999999999</v>
      </c>
      <c r="V263" s="122">
        <v>2032.9229600000001</v>
      </c>
      <c r="W263" s="122">
        <v>7641.7573899999998</v>
      </c>
      <c r="X263" s="123">
        <v>1.018E-3</v>
      </c>
      <c r="Y263" s="123">
        <v>1.3190000000000001E-3</v>
      </c>
      <c r="Z263" s="123">
        <v>1.2799999999999999E-4</v>
      </c>
    </row>
    <row r="264" spans="1:26" ht="15" customHeight="1">
      <c r="A264" s="121">
        <v>313</v>
      </c>
      <c r="B264" s="121">
        <v>313</v>
      </c>
      <c r="C264" s="120" t="s">
        <v>2327</v>
      </c>
      <c r="D264" s="121"/>
      <c r="E264" s="120"/>
      <c r="F264" s="120" t="s">
        <v>2413</v>
      </c>
      <c r="G264" s="121">
        <v>60304870</v>
      </c>
      <c r="H264" s="120" t="s">
        <v>311</v>
      </c>
      <c r="I264" s="120" t="s">
        <v>1001</v>
      </c>
      <c r="J264" s="120"/>
      <c r="K264" s="120" t="s">
        <v>204</v>
      </c>
      <c r="L264" s="120"/>
      <c r="M264" s="120"/>
      <c r="N264" s="120" t="s">
        <v>223</v>
      </c>
      <c r="O264" s="120" t="s">
        <v>338</v>
      </c>
      <c r="P264" s="124">
        <v>41061</v>
      </c>
      <c r="Q264" s="120" t="s">
        <v>1212</v>
      </c>
      <c r="R264" s="120" t="s">
        <v>886</v>
      </c>
      <c r="S264" s="120" t="s">
        <v>890</v>
      </c>
      <c r="T264" s="124">
        <v>45473</v>
      </c>
      <c r="U264" s="122">
        <v>3.7589999999999999</v>
      </c>
      <c r="V264" s="122">
        <v>656.86501999999996</v>
      </c>
      <c r="W264" s="122">
        <v>2469.15562</v>
      </c>
      <c r="X264" s="123">
        <v>1.542E-3</v>
      </c>
      <c r="Y264" s="123">
        <v>4.26E-4</v>
      </c>
      <c r="Z264" s="123">
        <v>4.1E-5</v>
      </c>
    </row>
    <row r="265" spans="1:26" ht="15" customHeight="1">
      <c r="A265" s="121">
        <v>313</v>
      </c>
      <c r="B265" s="121">
        <v>313</v>
      </c>
      <c r="C265" s="120" t="s">
        <v>2124</v>
      </c>
      <c r="D265" s="121"/>
      <c r="E265" s="120"/>
      <c r="F265" s="120" t="s">
        <v>2414</v>
      </c>
      <c r="G265" s="121">
        <v>44000106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232</v>
      </c>
      <c r="O265" s="120" t="s">
        <v>338</v>
      </c>
      <c r="P265" s="124">
        <v>44946</v>
      </c>
      <c r="Q265" s="120" t="s">
        <v>1212</v>
      </c>
      <c r="R265" s="120" t="s">
        <v>886</v>
      </c>
      <c r="S265" s="120" t="s">
        <v>890</v>
      </c>
      <c r="T265" s="124">
        <v>45473</v>
      </c>
      <c r="U265" s="122">
        <v>3.7589999999999999</v>
      </c>
      <c r="V265" s="122">
        <v>3296.53946</v>
      </c>
      <c r="W265" s="122">
        <v>12391.69183</v>
      </c>
      <c r="X265" s="123">
        <v>1.098E-3</v>
      </c>
      <c r="Y265" s="123">
        <v>2.14E-3</v>
      </c>
      <c r="Z265" s="123">
        <v>2.0699999999999999E-4</v>
      </c>
    </row>
    <row r="266" spans="1:26" ht="15" customHeight="1">
      <c r="A266" s="121">
        <v>313</v>
      </c>
      <c r="B266" s="121">
        <v>313</v>
      </c>
      <c r="C266" s="120" t="s">
        <v>2415</v>
      </c>
      <c r="D266" s="121"/>
      <c r="E266" s="120"/>
      <c r="F266" s="120" t="s">
        <v>2416</v>
      </c>
      <c r="G266" s="121">
        <v>62021514</v>
      </c>
      <c r="H266" s="120" t="s">
        <v>311</v>
      </c>
      <c r="I266" s="120" t="s">
        <v>1004</v>
      </c>
      <c r="J266" s="120"/>
      <c r="K266" s="120" t="s">
        <v>204</v>
      </c>
      <c r="L266" s="120"/>
      <c r="M266" s="120"/>
      <c r="N266" s="120" t="s">
        <v>223</v>
      </c>
      <c r="O266" s="120" t="s">
        <v>338</v>
      </c>
      <c r="P266" s="124">
        <v>45261</v>
      </c>
      <c r="Q266" s="120" t="s">
        <v>1212</v>
      </c>
      <c r="R266" s="120" t="s">
        <v>886</v>
      </c>
      <c r="S266" s="120" t="s">
        <v>890</v>
      </c>
      <c r="T266" s="124">
        <v>45473</v>
      </c>
      <c r="U266" s="122">
        <v>3.7589999999999999</v>
      </c>
      <c r="V266" s="122">
        <v>9029.8477500000008</v>
      </c>
      <c r="W266" s="122">
        <v>33943.197690000001</v>
      </c>
      <c r="X266" s="123">
        <v>1.5E-5</v>
      </c>
      <c r="Y266" s="123">
        <v>5.8630000000000002E-3</v>
      </c>
      <c r="Z266" s="123">
        <v>5.6899999999999995E-4</v>
      </c>
    </row>
    <row r="267" spans="1:26" ht="15" customHeight="1">
      <c r="A267" s="121">
        <v>313</v>
      </c>
      <c r="B267" s="121">
        <v>313</v>
      </c>
      <c r="C267" s="120" t="s">
        <v>2124</v>
      </c>
      <c r="D267" s="121"/>
      <c r="E267" s="120"/>
      <c r="F267" s="120" t="s">
        <v>2417</v>
      </c>
      <c r="G267" s="121">
        <v>43000914</v>
      </c>
      <c r="H267" s="120" t="s">
        <v>311</v>
      </c>
      <c r="I267" s="120" t="s">
        <v>1001</v>
      </c>
      <c r="J267" s="120"/>
      <c r="K267" s="120" t="s">
        <v>204</v>
      </c>
      <c r="L267" s="120"/>
      <c r="M267" s="120"/>
      <c r="N267" s="120" t="s">
        <v>223</v>
      </c>
      <c r="O267" s="120" t="s">
        <v>338</v>
      </c>
      <c r="P267" s="124">
        <v>44054</v>
      </c>
      <c r="Q267" s="120" t="s">
        <v>1212</v>
      </c>
      <c r="R267" s="120" t="s">
        <v>886</v>
      </c>
      <c r="S267" s="120" t="s">
        <v>890</v>
      </c>
      <c r="T267" s="124">
        <v>45473</v>
      </c>
      <c r="U267" s="122">
        <v>3.7589999999999999</v>
      </c>
      <c r="V267" s="122">
        <v>2901.346</v>
      </c>
      <c r="W267" s="122">
        <v>10906.159610000001</v>
      </c>
      <c r="X267" s="123">
        <v>1.4499999999999999E-3</v>
      </c>
      <c r="Y267" s="123">
        <v>1.8829999999999999E-3</v>
      </c>
      <c r="Z267" s="123">
        <v>1.83E-4</v>
      </c>
    </row>
    <row r="268" spans="1:26" ht="15" customHeight="1">
      <c r="A268" s="121">
        <v>313</v>
      </c>
      <c r="B268" s="121">
        <v>313</v>
      </c>
      <c r="C268" s="120" t="s">
        <v>2129</v>
      </c>
      <c r="D268" s="121"/>
      <c r="E268" s="120"/>
      <c r="F268" s="120" t="s">
        <v>2418</v>
      </c>
      <c r="G268" s="121">
        <v>62013941</v>
      </c>
      <c r="H268" s="120" t="s">
        <v>311</v>
      </c>
      <c r="I268" s="120" t="s">
        <v>1001</v>
      </c>
      <c r="J268" s="120"/>
      <c r="K268" s="120" t="s">
        <v>204</v>
      </c>
      <c r="L268" s="120"/>
      <c r="M268" s="120"/>
      <c r="N268" s="120" t="s">
        <v>250</v>
      </c>
      <c r="O268" s="120" t="s">
        <v>338</v>
      </c>
      <c r="P268" s="124">
        <v>43796</v>
      </c>
      <c r="Q268" s="120" t="s">
        <v>1228</v>
      </c>
      <c r="R268" s="120" t="s">
        <v>886</v>
      </c>
      <c r="S268" s="120" t="s">
        <v>890</v>
      </c>
      <c r="T268" s="124">
        <v>45473</v>
      </c>
      <c r="U268" s="122">
        <v>2.3400000000000001E-2</v>
      </c>
      <c r="V268" s="122">
        <v>201020.92934999999</v>
      </c>
      <c r="W268" s="122">
        <v>4695.6478900000002</v>
      </c>
      <c r="X268" s="123">
        <v>7.4660000000000004E-3</v>
      </c>
      <c r="Y268" s="123">
        <v>8.1099999999999998E-4</v>
      </c>
      <c r="Z268" s="123">
        <v>7.7999999999999999E-5</v>
      </c>
    </row>
    <row r="269" spans="1:26" ht="15" customHeight="1">
      <c r="A269" s="121">
        <v>313</v>
      </c>
      <c r="B269" s="121">
        <v>313</v>
      </c>
      <c r="C269" s="120" t="s">
        <v>2419</v>
      </c>
      <c r="D269" s="121"/>
      <c r="E269" s="120"/>
      <c r="F269" s="120" t="s">
        <v>2420</v>
      </c>
      <c r="G269" s="121">
        <v>60316858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292</v>
      </c>
      <c r="O269" s="120" t="s">
        <v>338</v>
      </c>
      <c r="P269" s="124">
        <v>41153</v>
      </c>
      <c r="Q269" s="120" t="s">
        <v>1212</v>
      </c>
      <c r="R269" s="120" t="s">
        <v>886</v>
      </c>
      <c r="S269" s="120" t="s">
        <v>890</v>
      </c>
      <c r="T269" s="124">
        <v>45473</v>
      </c>
      <c r="U269" s="122">
        <v>3.7589999999999999</v>
      </c>
      <c r="V269" s="122">
        <v>435.09120000000001</v>
      </c>
      <c r="W269" s="122">
        <v>1635.50782</v>
      </c>
      <c r="X269" s="123">
        <v>1.34E-4</v>
      </c>
      <c r="Y269" s="123">
        <v>2.8200000000000002E-4</v>
      </c>
      <c r="Z269" s="123">
        <v>2.6999999999999999E-5</v>
      </c>
    </row>
    <row r="270" spans="1:26" ht="15" customHeight="1">
      <c r="A270" s="121">
        <v>313</v>
      </c>
      <c r="B270" s="121">
        <v>313</v>
      </c>
      <c r="C270" s="120" t="s">
        <v>2347</v>
      </c>
      <c r="D270" s="121"/>
      <c r="E270" s="120"/>
      <c r="F270" s="120" t="s">
        <v>2421</v>
      </c>
      <c r="G270" s="121">
        <v>60414935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223</v>
      </c>
      <c r="O270" s="120" t="s">
        <v>338</v>
      </c>
      <c r="P270" s="124">
        <v>42583</v>
      </c>
      <c r="Q270" s="120" t="s">
        <v>1212</v>
      </c>
      <c r="R270" s="120" t="s">
        <v>886</v>
      </c>
      <c r="S270" s="120" t="s">
        <v>890</v>
      </c>
      <c r="T270" s="124">
        <v>45473</v>
      </c>
      <c r="U270" s="122">
        <v>3.7589999999999999</v>
      </c>
      <c r="V270" s="122">
        <v>6313.6066600000004</v>
      </c>
      <c r="W270" s="122">
        <v>23732.847440000001</v>
      </c>
      <c r="X270" s="123">
        <v>2.8289999999999999E-3</v>
      </c>
      <c r="Y270" s="123">
        <v>4.0990000000000002E-3</v>
      </c>
      <c r="Z270" s="123">
        <v>3.9800000000000002E-4</v>
      </c>
    </row>
    <row r="271" spans="1:26" ht="15" customHeight="1">
      <c r="A271" s="121">
        <v>313</v>
      </c>
      <c r="B271" s="121">
        <v>313</v>
      </c>
      <c r="C271" s="120" t="s">
        <v>2422</v>
      </c>
      <c r="D271" s="121"/>
      <c r="E271" s="120"/>
      <c r="F271" s="120" t="s">
        <v>2423</v>
      </c>
      <c r="G271" s="121">
        <v>60402625</v>
      </c>
      <c r="H271" s="120" t="s">
        <v>311</v>
      </c>
      <c r="I271" s="120" t="s">
        <v>1005</v>
      </c>
      <c r="J271" s="120"/>
      <c r="K271" s="120" t="s">
        <v>204</v>
      </c>
      <c r="L271" s="120"/>
      <c r="M271" s="120"/>
      <c r="N271" s="120" t="s">
        <v>295</v>
      </c>
      <c r="O271" s="120" t="s">
        <v>338</v>
      </c>
      <c r="P271" s="124">
        <v>42401</v>
      </c>
      <c r="Q271" s="120" t="s">
        <v>1212</v>
      </c>
      <c r="R271" s="120" t="s">
        <v>886</v>
      </c>
      <c r="S271" s="120" t="s">
        <v>890</v>
      </c>
      <c r="T271" s="124">
        <v>45473</v>
      </c>
      <c r="U271" s="122">
        <v>3.7589999999999999</v>
      </c>
      <c r="V271" s="122">
        <v>6990.0243</v>
      </c>
      <c r="W271" s="122">
        <v>26275.501329999999</v>
      </c>
      <c r="X271" s="123">
        <v>7.76E-4</v>
      </c>
      <c r="Y271" s="123">
        <v>4.5380000000000004E-3</v>
      </c>
      <c r="Z271" s="123">
        <v>4.4000000000000002E-4</v>
      </c>
    </row>
    <row r="272" spans="1:26" ht="15" customHeight="1">
      <c r="A272" s="121">
        <v>313</v>
      </c>
      <c r="B272" s="121">
        <v>313</v>
      </c>
      <c r="C272" s="120" t="s">
        <v>2140</v>
      </c>
      <c r="D272" s="121"/>
      <c r="E272" s="120"/>
      <c r="F272" s="120" t="s">
        <v>2424</v>
      </c>
      <c r="G272" s="121">
        <v>40000481</v>
      </c>
      <c r="H272" s="120" t="s">
        <v>311</v>
      </c>
      <c r="I272" s="120" t="s">
        <v>1001</v>
      </c>
      <c r="J272" s="120"/>
      <c r="K272" s="120" t="s">
        <v>204</v>
      </c>
      <c r="L272" s="120"/>
      <c r="M272" s="120"/>
      <c r="N272" s="120" t="s">
        <v>292</v>
      </c>
      <c r="O272" s="120" t="s">
        <v>338</v>
      </c>
      <c r="P272" s="124">
        <v>43513</v>
      </c>
      <c r="Q272" s="120" t="s">
        <v>1216</v>
      </c>
      <c r="R272" s="120" t="s">
        <v>886</v>
      </c>
      <c r="S272" s="120" t="s">
        <v>890</v>
      </c>
      <c r="T272" s="124">
        <v>45473</v>
      </c>
      <c r="U272" s="122">
        <v>4.0202</v>
      </c>
      <c r="V272" s="122">
        <v>498.37700000000001</v>
      </c>
      <c r="W272" s="122">
        <v>2003.5752199999999</v>
      </c>
      <c r="X272" s="123">
        <v>4.9799999999999996E-4</v>
      </c>
      <c r="Y272" s="123">
        <v>3.4600000000000001E-4</v>
      </c>
      <c r="Z272" s="123">
        <v>3.3000000000000003E-5</v>
      </c>
    </row>
    <row r="273" spans="1:26" ht="15" customHeight="1">
      <c r="A273" s="121">
        <v>313</v>
      </c>
      <c r="B273" s="121">
        <v>313</v>
      </c>
      <c r="C273" s="120" t="s">
        <v>2057</v>
      </c>
      <c r="D273" s="121"/>
      <c r="E273" s="120"/>
      <c r="F273" s="120" t="s">
        <v>2425</v>
      </c>
      <c r="G273" s="121">
        <v>60385259</v>
      </c>
      <c r="H273" s="120" t="s">
        <v>311</v>
      </c>
      <c r="I273" s="120" t="s">
        <v>1001</v>
      </c>
      <c r="J273" s="120"/>
      <c r="K273" s="120" t="s">
        <v>204</v>
      </c>
      <c r="L273" s="120"/>
      <c r="M273" s="120"/>
      <c r="N273" s="120" t="s">
        <v>292</v>
      </c>
      <c r="O273" s="120" t="s">
        <v>338</v>
      </c>
      <c r="P273" s="124">
        <v>42095</v>
      </c>
      <c r="Q273" s="120" t="s">
        <v>1216</v>
      </c>
      <c r="R273" s="120" t="s">
        <v>886</v>
      </c>
      <c r="S273" s="120" t="s">
        <v>890</v>
      </c>
      <c r="T273" s="124">
        <v>45473</v>
      </c>
      <c r="U273" s="122">
        <v>4.0202</v>
      </c>
      <c r="V273" s="122">
        <v>1422.8829599999999</v>
      </c>
      <c r="W273" s="122">
        <v>5720.2740800000001</v>
      </c>
      <c r="X273" s="123">
        <v>1.1119999999999999E-3</v>
      </c>
      <c r="Y273" s="123">
        <v>9.8799999999999995E-4</v>
      </c>
      <c r="Z273" s="123">
        <v>9.5000000000000005E-5</v>
      </c>
    </row>
    <row r="274" spans="1:26" ht="15" customHeight="1">
      <c r="A274" s="121">
        <v>313</v>
      </c>
      <c r="B274" s="121">
        <v>313</v>
      </c>
      <c r="C274" s="120" t="s">
        <v>2138</v>
      </c>
      <c r="D274" s="121"/>
      <c r="E274" s="120"/>
      <c r="F274" s="120" t="s">
        <v>2426</v>
      </c>
      <c r="G274" s="121">
        <v>62013940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303</v>
      </c>
      <c r="O274" s="120" t="s">
        <v>338</v>
      </c>
      <c r="P274" s="124">
        <v>43796</v>
      </c>
      <c r="Q274" s="120" t="s">
        <v>1212</v>
      </c>
      <c r="R274" s="120" t="s">
        <v>886</v>
      </c>
      <c r="S274" s="120" t="s">
        <v>890</v>
      </c>
      <c r="T274" s="124">
        <v>45473</v>
      </c>
      <c r="U274" s="122">
        <v>3.7589999999999999</v>
      </c>
      <c r="V274" s="122">
        <v>463.62356</v>
      </c>
      <c r="W274" s="122">
        <v>1742.7609500000001</v>
      </c>
      <c r="X274" s="123">
        <v>2.4600000000000002E-4</v>
      </c>
      <c r="Y274" s="123">
        <v>3.01E-4</v>
      </c>
      <c r="Z274" s="123">
        <v>2.9E-5</v>
      </c>
    </row>
    <row r="275" spans="1:26" ht="15" customHeight="1">
      <c r="A275" s="121">
        <v>313</v>
      </c>
      <c r="B275" s="121">
        <v>313</v>
      </c>
      <c r="C275" s="120" t="s">
        <v>2127</v>
      </c>
      <c r="D275" s="121"/>
      <c r="E275" s="120"/>
      <c r="F275" s="120" t="s">
        <v>2427</v>
      </c>
      <c r="G275" s="121">
        <v>42000902</v>
      </c>
      <c r="H275" s="120" t="s">
        <v>311</v>
      </c>
      <c r="I275" s="120" t="s">
        <v>1006</v>
      </c>
      <c r="J275" s="120"/>
      <c r="K275" s="120" t="s">
        <v>204</v>
      </c>
      <c r="L275" s="120"/>
      <c r="M275" s="120"/>
      <c r="N275" s="120" t="s">
        <v>223</v>
      </c>
      <c r="O275" s="120" t="s">
        <v>338</v>
      </c>
      <c r="P275" s="124">
        <v>43601</v>
      </c>
      <c r="Q275" s="120" t="s">
        <v>1212</v>
      </c>
      <c r="R275" s="120" t="s">
        <v>886</v>
      </c>
      <c r="S275" s="120" t="s">
        <v>890</v>
      </c>
      <c r="T275" s="124">
        <v>45473</v>
      </c>
      <c r="U275" s="122">
        <v>3.7589999999999999</v>
      </c>
      <c r="V275" s="122">
        <v>1166.8094000000001</v>
      </c>
      <c r="W275" s="122">
        <v>4386.0365300000003</v>
      </c>
      <c r="X275" s="123">
        <v>3.88E-4</v>
      </c>
      <c r="Y275" s="123">
        <v>7.5699999999999997E-4</v>
      </c>
      <c r="Z275" s="123">
        <v>7.2999999999999999E-5</v>
      </c>
    </row>
    <row r="276" spans="1:26" ht="15" customHeight="1">
      <c r="A276" s="121">
        <v>313</v>
      </c>
      <c r="B276" s="121">
        <v>313</v>
      </c>
      <c r="C276" s="120" t="s">
        <v>2270</v>
      </c>
      <c r="D276" s="121"/>
      <c r="E276" s="120"/>
      <c r="F276" s="120" t="s">
        <v>2428</v>
      </c>
      <c r="G276" s="121">
        <v>62020516</v>
      </c>
      <c r="H276" s="120" t="s">
        <v>311</v>
      </c>
      <c r="I276" s="120" t="s">
        <v>1005</v>
      </c>
      <c r="J276" s="120"/>
      <c r="K276" s="120" t="s">
        <v>204</v>
      </c>
      <c r="L276" s="120"/>
      <c r="M276" s="120"/>
      <c r="N276" s="120" t="s">
        <v>223</v>
      </c>
      <c r="O276" s="120" t="s">
        <v>338</v>
      </c>
      <c r="P276" s="124">
        <v>44697</v>
      </c>
      <c r="Q276" s="120" t="s">
        <v>1212</v>
      </c>
      <c r="R276" s="120" t="s">
        <v>886</v>
      </c>
      <c r="S276" s="120" t="s">
        <v>890</v>
      </c>
      <c r="T276" s="124">
        <v>45473</v>
      </c>
      <c r="U276" s="122">
        <v>3.7589999999999999</v>
      </c>
      <c r="V276" s="122">
        <v>9823.4351299999998</v>
      </c>
      <c r="W276" s="122">
        <v>36926.292630000004</v>
      </c>
      <c r="X276" s="123">
        <v>9.8230000000000001E-3</v>
      </c>
      <c r="Y276" s="123">
        <v>6.378E-3</v>
      </c>
      <c r="Z276" s="123">
        <v>6.1899999999999998E-4</v>
      </c>
    </row>
    <row r="277" spans="1:26" ht="15" customHeight="1">
      <c r="A277" s="121">
        <v>313</v>
      </c>
      <c r="B277" s="121">
        <v>313</v>
      </c>
      <c r="C277" s="120" t="s">
        <v>2429</v>
      </c>
      <c r="D277" s="121"/>
      <c r="E277" s="120"/>
      <c r="F277" s="120" t="s">
        <v>2430</v>
      </c>
      <c r="G277" s="121">
        <v>62021100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295</v>
      </c>
      <c r="O277" s="120" t="s">
        <v>338</v>
      </c>
      <c r="P277" s="124">
        <v>44917</v>
      </c>
      <c r="Q277" s="120" t="s">
        <v>1212</v>
      </c>
      <c r="R277" s="120" t="s">
        <v>886</v>
      </c>
      <c r="S277" s="120" t="s">
        <v>890</v>
      </c>
      <c r="T277" s="124">
        <v>45473</v>
      </c>
      <c r="U277" s="122">
        <v>3.7589999999999999</v>
      </c>
      <c r="V277" s="122">
        <v>9632.28874</v>
      </c>
      <c r="W277" s="122">
        <v>36207.773359999999</v>
      </c>
      <c r="X277" s="123">
        <v>8.6040000000000005E-3</v>
      </c>
      <c r="Y277" s="123">
        <v>6.254E-3</v>
      </c>
      <c r="Z277" s="123">
        <v>6.0700000000000001E-4</v>
      </c>
    </row>
    <row r="278" spans="1:26" ht="15" customHeight="1">
      <c r="A278" s="121">
        <v>313</v>
      </c>
      <c r="B278" s="121">
        <v>313</v>
      </c>
      <c r="C278" s="120" t="s">
        <v>2237</v>
      </c>
      <c r="D278" s="121"/>
      <c r="E278" s="120"/>
      <c r="F278" s="120" t="s">
        <v>2431</v>
      </c>
      <c r="G278" s="121">
        <v>62020656</v>
      </c>
      <c r="H278" s="120" t="s">
        <v>311</v>
      </c>
      <c r="I278" s="120" t="s">
        <v>1002</v>
      </c>
      <c r="J278" s="120"/>
      <c r="K278" s="120" t="s">
        <v>204</v>
      </c>
      <c r="L278" s="120"/>
      <c r="M278" s="120"/>
      <c r="N278" s="120" t="s">
        <v>292</v>
      </c>
      <c r="O278" s="120" t="s">
        <v>338</v>
      </c>
      <c r="P278" s="124">
        <v>44759</v>
      </c>
      <c r="Q278" s="120" t="s">
        <v>1216</v>
      </c>
      <c r="R278" s="120" t="s">
        <v>886</v>
      </c>
      <c r="S278" s="120" t="s">
        <v>890</v>
      </c>
      <c r="T278" s="124">
        <v>45473</v>
      </c>
      <c r="U278" s="122">
        <v>4.0202</v>
      </c>
      <c r="V278" s="122">
        <v>24987.95307</v>
      </c>
      <c r="W278" s="122">
        <v>100456.56895</v>
      </c>
      <c r="X278" s="123">
        <v>0.117314</v>
      </c>
      <c r="Y278" s="123">
        <v>1.7350999999999998E-2</v>
      </c>
      <c r="Z278" s="123">
        <v>1.6850000000000001E-3</v>
      </c>
    </row>
    <row r="279" spans="1:26" ht="15" customHeight="1">
      <c r="A279" s="121">
        <v>313</v>
      </c>
      <c r="B279" s="121">
        <v>313</v>
      </c>
      <c r="C279" s="120" t="s">
        <v>2124</v>
      </c>
      <c r="D279" s="121"/>
      <c r="E279" s="120"/>
      <c r="F279" s="120" t="s">
        <v>2432</v>
      </c>
      <c r="G279" s="121">
        <v>43000912</v>
      </c>
      <c r="H279" s="120" t="s">
        <v>311</v>
      </c>
      <c r="I279" s="120" t="s">
        <v>1001</v>
      </c>
      <c r="J279" s="120"/>
      <c r="K279" s="120" t="s">
        <v>204</v>
      </c>
      <c r="L279" s="120"/>
      <c r="M279" s="120"/>
      <c r="N279" s="120" t="s">
        <v>280</v>
      </c>
      <c r="O279" s="120" t="s">
        <v>338</v>
      </c>
      <c r="P279" s="124">
        <v>44054</v>
      </c>
      <c r="Q279" s="120" t="s">
        <v>1212</v>
      </c>
      <c r="R279" s="120" t="s">
        <v>886</v>
      </c>
      <c r="S279" s="120" t="s">
        <v>890</v>
      </c>
      <c r="T279" s="124">
        <v>45473</v>
      </c>
      <c r="U279" s="122">
        <v>3.7589999999999999</v>
      </c>
      <c r="V279" s="122">
        <v>790.44</v>
      </c>
      <c r="W279" s="122">
        <v>2971.2639600000002</v>
      </c>
      <c r="X279" s="123">
        <v>3.9500000000000001E-4</v>
      </c>
      <c r="Y279" s="123">
        <v>5.13E-4</v>
      </c>
      <c r="Z279" s="123">
        <v>4.8999999999999998E-5</v>
      </c>
    </row>
    <row r="280" spans="1:26" ht="15" customHeight="1">
      <c r="A280" s="121">
        <v>313</v>
      </c>
      <c r="B280" s="121">
        <v>313</v>
      </c>
      <c r="C280" s="120" t="s">
        <v>2147</v>
      </c>
      <c r="D280" s="121"/>
      <c r="E280" s="120"/>
      <c r="F280" s="120" t="s">
        <v>2433</v>
      </c>
      <c r="G280" s="121">
        <v>60415759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295</v>
      </c>
      <c r="O280" s="120" t="s">
        <v>338</v>
      </c>
      <c r="P280" s="124">
        <v>42583</v>
      </c>
      <c r="Q280" s="120" t="s">
        <v>1212</v>
      </c>
      <c r="R280" s="120" t="s">
        <v>886</v>
      </c>
      <c r="S280" s="120" t="s">
        <v>890</v>
      </c>
      <c r="T280" s="124">
        <v>45473</v>
      </c>
      <c r="U280" s="122">
        <v>3.7589999999999999</v>
      </c>
      <c r="V280" s="122">
        <v>9739.81142</v>
      </c>
      <c r="W280" s="122">
        <v>36611.951119999998</v>
      </c>
      <c r="X280" s="123">
        <v>1.498E-3</v>
      </c>
      <c r="Y280" s="123">
        <v>6.3239999999999998E-3</v>
      </c>
      <c r="Z280" s="123">
        <v>6.1399999999999996E-4</v>
      </c>
    </row>
    <row r="281" spans="1:26" ht="15" customHeight="1">
      <c r="A281" s="121">
        <v>313</v>
      </c>
      <c r="B281" s="121">
        <v>313</v>
      </c>
      <c r="C281" s="120" t="s">
        <v>2239</v>
      </c>
      <c r="D281" s="121"/>
      <c r="E281" s="120"/>
      <c r="F281" s="120" t="s">
        <v>2434</v>
      </c>
      <c r="G281" s="121">
        <v>62018288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295</v>
      </c>
      <c r="O281" s="120" t="s">
        <v>338</v>
      </c>
      <c r="P281" s="124">
        <v>44317</v>
      </c>
      <c r="Q281" s="120" t="s">
        <v>1212</v>
      </c>
      <c r="R281" s="120" t="s">
        <v>886</v>
      </c>
      <c r="S281" s="120" t="s">
        <v>890</v>
      </c>
      <c r="T281" s="124">
        <v>45473</v>
      </c>
      <c r="U281" s="122">
        <v>3.7589999999999999</v>
      </c>
      <c r="V281" s="122">
        <v>11225.697039999999</v>
      </c>
      <c r="W281" s="122">
        <v>42197.39518</v>
      </c>
      <c r="X281" s="123">
        <v>6.5099999999999999E-4</v>
      </c>
      <c r="Y281" s="123">
        <v>7.2880000000000002E-3</v>
      </c>
      <c r="Z281" s="123">
        <v>7.0799999999999997E-4</v>
      </c>
    </row>
    <row r="282" spans="1:26" ht="15" customHeight="1">
      <c r="A282" s="121">
        <v>313</v>
      </c>
      <c r="B282" s="121">
        <v>313</v>
      </c>
      <c r="C282" s="120" t="s">
        <v>2132</v>
      </c>
      <c r="D282" s="121"/>
      <c r="E282" s="120"/>
      <c r="F282" s="120" t="s">
        <v>2435</v>
      </c>
      <c r="G282" s="121">
        <v>40000754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295</v>
      </c>
      <c r="O282" s="120" t="s">
        <v>338</v>
      </c>
      <c r="P282" s="124">
        <v>43513</v>
      </c>
      <c r="Q282" s="120" t="s">
        <v>1216</v>
      </c>
      <c r="R282" s="120" t="s">
        <v>886</v>
      </c>
      <c r="S282" s="120" t="s">
        <v>890</v>
      </c>
      <c r="T282" s="124">
        <v>45473</v>
      </c>
      <c r="U282" s="122">
        <v>4.0202</v>
      </c>
      <c r="V282" s="122">
        <v>14.454000000000001</v>
      </c>
      <c r="W282" s="122">
        <v>58.107970000000002</v>
      </c>
      <c r="X282" s="123">
        <v>2.8E-5</v>
      </c>
      <c r="Y282" s="123">
        <v>1.0000000000000001E-5</v>
      </c>
      <c r="Z282" s="123">
        <v>0</v>
      </c>
    </row>
    <row r="283" spans="1:26" ht="15" customHeight="1">
      <c r="A283" s="121">
        <v>313</v>
      </c>
      <c r="B283" s="121">
        <v>313</v>
      </c>
      <c r="C283" s="120" t="s">
        <v>2151</v>
      </c>
      <c r="D283" s="121"/>
      <c r="E283" s="120"/>
      <c r="F283" s="120" t="s">
        <v>2436</v>
      </c>
      <c r="G283" s="121">
        <v>62019650</v>
      </c>
      <c r="H283" s="120" t="s">
        <v>311</v>
      </c>
      <c r="I283" s="120" t="s">
        <v>1001</v>
      </c>
      <c r="J283" s="120"/>
      <c r="K283" s="120" t="s">
        <v>204</v>
      </c>
      <c r="L283" s="120"/>
      <c r="M283" s="120"/>
      <c r="N283" s="120" t="s">
        <v>292</v>
      </c>
      <c r="O283" s="120" t="s">
        <v>338</v>
      </c>
      <c r="P283" s="124">
        <v>44883</v>
      </c>
      <c r="Q283" s="120" t="s">
        <v>1216</v>
      </c>
      <c r="R283" s="120" t="s">
        <v>886</v>
      </c>
      <c r="S283" s="120" t="s">
        <v>890</v>
      </c>
      <c r="T283" s="124">
        <v>45473</v>
      </c>
      <c r="U283" s="122">
        <v>4.0202</v>
      </c>
      <c r="V283" s="122">
        <v>5.1803600000000003</v>
      </c>
      <c r="W283" s="122">
        <v>20.826080000000001</v>
      </c>
      <c r="X283" s="123">
        <v>0</v>
      </c>
      <c r="Y283" s="123">
        <v>3.0000000000000001E-6</v>
      </c>
      <c r="Z283" s="123">
        <v>0</v>
      </c>
    </row>
    <row r="284" spans="1:26" ht="15" customHeight="1">
      <c r="A284" s="121">
        <v>313</v>
      </c>
      <c r="B284" s="121">
        <v>313</v>
      </c>
      <c r="C284" s="120" t="s">
        <v>2132</v>
      </c>
      <c r="D284" s="121"/>
      <c r="E284" s="120"/>
      <c r="F284" s="120" t="s">
        <v>2437</v>
      </c>
      <c r="G284" s="121">
        <v>41000812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292</v>
      </c>
      <c r="O284" s="120" t="s">
        <v>338</v>
      </c>
      <c r="P284" s="124">
        <v>43513</v>
      </c>
      <c r="Q284" s="120" t="s">
        <v>1216</v>
      </c>
      <c r="R284" s="120" t="s">
        <v>886</v>
      </c>
      <c r="S284" s="120" t="s">
        <v>890</v>
      </c>
      <c r="T284" s="124">
        <v>45473</v>
      </c>
      <c r="U284" s="122">
        <v>4.0202</v>
      </c>
      <c r="V284" s="122">
        <v>376.32</v>
      </c>
      <c r="W284" s="122">
        <v>1512.88166</v>
      </c>
      <c r="X284" s="123">
        <v>3.7599999999999998E-4</v>
      </c>
      <c r="Y284" s="123">
        <v>2.61E-4</v>
      </c>
      <c r="Z284" s="123">
        <v>2.5000000000000001E-5</v>
      </c>
    </row>
    <row r="285" spans="1:26" ht="15" customHeight="1">
      <c r="A285" s="121">
        <v>313</v>
      </c>
      <c r="B285" s="121">
        <v>313</v>
      </c>
      <c r="C285" s="120" t="s">
        <v>2438</v>
      </c>
      <c r="D285" s="121"/>
      <c r="E285" s="120"/>
      <c r="F285" s="120" t="s">
        <v>2439</v>
      </c>
      <c r="G285" s="121">
        <v>60323060</v>
      </c>
      <c r="H285" s="120" t="s">
        <v>311</v>
      </c>
      <c r="I285" s="120" t="s">
        <v>1001</v>
      </c>
      <c r="J285" s="120"/>
      <c r="K285" s="120" t="s">
        <v>204</v>
      </c>
      <c r="L285" s="120"/>
      <c r="M285" s="120"/>
      <c r="N285" s="120" t="s">
        <v>291</v>
      </c>
      <c r="O285" s="120" t="s">
        <v>338</v>
      </c>
      <c r="P285" s="124">
        <v>41275</v>
      </c>
      <c r="Q285" s="120" t="s">
        <v>1212</v>
      </c>
      <c r="R285" s="120" t="s">
        <v>886</v>
      </c>
      <c r="S285" s="120" t="s">
        <v>890</v>
      </c>
      <c r="T285" s="124">
        <v>45473</v>
      </c>
      <c r="U285" s="122">
        <v>3.7589999999999999</v>
      </c>
      <c r="V285" s="122">
        <v>2735.6616800000002</v>
      </c>
      <c r="W285" s="122">
        <v>10283.35225</v>
      </c>
      <c r="X285" s="123">
        <v>4.5589999999999997E-3</v>
      </c>
      <c r="Y285" s="123">
        <v>1.776E-3</v>
      </c>
      <c r="Z285" s="123">
        <v>1.7200000000000001E-4</v>
      </c>
    </row>
    <row r="286" spans="1:26" ht="15" customHeight="1">
      <c r="A286" s="121">
        <v>313</v>
      </c>
      <c r="B286" s="121">
        <v>313</v>
      </c>
      <c r="C286" s="120" t="s">
        <v>2138</v>
      </c>
      <c r="D286" s="121"/>
      <c r="E286" s="120"/>
      <c r="F286" s="120" t="s">
        <v>2440</v>
      </c>
      <c r="G286" s="121">
        <v>62012257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295</v>
      </c>
      <c r="O286" s="120" t="s">
        <v>338</v>
      </c>
      <c r="P286" s="124">
        <v>43525</v>
      </c>
      <c r="Q286" s="120" t="s">
        <v>1212</v>
      </c>
      <c r="R286" s="120" t="s">
        <v>886</v>
      </c>
      <c r="S286" s="120" t="s">
        <v>890</v>
      </c>
      <c r="T286" s="124">
        <v>45473</v>
      </c>
      <c r="U286" s="122">
        <v>3.7589999999999999</v>
      </c>
      <c r="V286" s="122">
        <v>7274.69535</v>
      </c>
      <c r="W286" s="122">
        <v>27345.579829999999</v>
      </c>
      <c r="X286" s="123">
        <v>2.9599999999999998E-4</v>
      </c>
      <c r="Y286" s="123">
        <v>4.7229999999999998E-3</v>
      </c>
      <c r="Z286" s="123">
        <v>4.5800000000000002E-4</v>
      </c>
    </row>
    <row r="287" spans="1:26" ht="15" customHeight="1">
      <c r="A287" s="121">
        <v>313</v>
      </c>
      <c r="B287" s="121">
        <v>313</v>
      </c>
      <c r="C287" s="120" t="s">
        <v>2441</v>
      </c>
      <c r="D287" s="121"/>
      <c r="E287" s="120"/>
      <c r="F287" s="120" t="s">
        <v>2442</v>
      </c>
      <c r="G287" s="121">
        <v>60400215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295</v>
      </c>
      <c r="O287" s="120" t="s">
        <v>338</v>
      </c>
      <c r="P287" s="124">
        <v>42370</v>
      </c>
      <c r="Q287" s="120" t="s">
        <v>1212</v>
      </c>
      <c r="R287" s="120" t="s">
        <v>886</v>
      </c>
      <c r="S287" s="120" t="s">
        <v>890</v>
      </c>
      <c r="T287" s="124">
        <v>45473</v>
      </c>
      <c r="U287" s="122">
        <v>3.7589999999999999</v>
      </c>
      <c r="V287" s="122">
        <v>2710.9128300000002</v>
      </c>
      <c r="W287" s="122">
        <v>10190.32134</v>
      </c>
      <c r="X287" s="123">
        <v>2.6319999999999998E-3</v>
      </c>
      <c r="Y287" s="123">
        <v>1.7600000000000001E-3</v>
      </c>
      <c r="Z287" s="123">
        <v>1.7100000000000001E-4</v>
      </c>
    </row>
    <row r="288" spans="1:26" ht="15" customHeight="1">
      <c r="A288" s="121">
        <v>313</v>
      </c>
      <c r="B288" s="121">
        <v>313</v>
      </c>
      <c r="C288" s="120" t="s">
        <v>2258</v>
      </c>
      <c r="D288" s="121"/>
      <c r="E288" s="120"/>
      <c r="F288" s="120" t="s">
        <v>2443</v>
      </c>
      <c r="G288" s="121">
        <v>62018000</v>
      </c>
      <c r="H288" s="120" t="s">
        <v>311</v>
      </c>
      <c r="I288" s="120" t="s">
        <v>1005</v>
      </c>
      <c r="J288" s="120"/>
      <c r="K288" s="120" t="s">
        <v>204</v>
      </c>
      <c r="L288" s="120"/>
      <c r="M288" s="120"/>
      <c r="N288" s="120" t="s">
        <v>223</v>
      </c>
      <c r="O288" s="120" t="s">
        <v>338</v>
      </c>
      <c r="P288" s="124">
        <v>44652</v>
      </c>
      <c r="Q288" s="120" t="s">
        <v>1212</v>
      </c>
      <c r="R288" s="120" t="s">
        <v>886</v>
      </c>
      <c r="S288" s="120" t="s">
        <v>890</v>
      </c>
      <c r="T288" s="124">
        <v>45473</v>
      </c>
      <c r="U288" s="122">
        <v>3.7589999999999999</v>
      </c>
      <c r="V288" s="122">
        <v>5968.1184599999997</v>
      </c>
      <c r="W288" s="122">
        <v>22434.157309999999</v>
      </c>
      <c r="X288" s="123">
        <v>2.794E-3</v>
      </c>
      <c r="Y288" s="123">
        <v>3.875E-3</v>
      </c>
      <c r="Z288" s="123">
        <v>3.7599999999999998E-4</v>
      </c>
    </row>
    <row r="289" spans="1:26" ht="15" customHeight="1">
      <c r="A289" s="121">
        <v>313</v>
      </c>
      <c r="B289" s="121">
        <v>313</v>
      </c>
      <c r="C289" s="120" t="s">
        <v>2327</v>
      </c>
      <c r="D289" s="121"/>
      <c r="E289" s="120"/>
      <c r="F289" s="120" t="s">
        <v>2444</v>
      </c>
      <c r="G289" s="121">
        <v>60391331</v>
      </c>
      <c r="H289" s="120" t="s">
        <v>311</v>
      </c>
      <c r="I289" s="120" t="s">
        <v>1001</v>
      </c>
      <c r="J289" s="120"/>
      <c r="K289" s="120" t="s">
        <v>204</v>
      </c>
      <c r="L289" s="120"/>
      <c r="M289" s="120"/>
      <c r="N289" s="120" t="s">
        <v>223</v>
      </c>
      <c r="O289" s="120" t="s">
        <v>338</v>
      </c>
      <c r="P289" s="124">
        <v>42186</v>
      </c>
      <c r="Q289" s="120" t="s">
        <v>1212</v>
      </c>
      <c r="R289" s="120" t="s">
        <v>886</v>
      </c>
      <c r="S289" s="120" t="s">
        <v>890</v>
      </c>
      <c r="T289" s="124">
        <v>45473</v>
      </c>
      <c r="U289" s="122">
        <v>3.7589999999999999</v>
      </c>
      <c r="V289" s="122">
        <v>5369.0923899999998</v>
      </c>
      <c r="W289" s="122">
        <v>20182.418280000002</v>
      </c>
      <c r="X289" s="123">
        <v>6.3160000000000004E-3</v>
      </c>
      <c r="Y289" s="123">
        <v>3.4859999999999999E-3</v>
      </c>
      <c r="Z289" s="123">
        <v>3.3799999999999998E-4</v>
      </c>
    </row>
    <row r="290" spans="1:26" ht="15" customHeight="1">
      <c r="A290" s="121">
        <v>313</v>
      </c>
      <c r="B290" s="121">
        <v>313</v>
      </c>
      <c r="C290" s="120" t="s">
        <v>2445</v>
      </c>
      <c r="D290" s="121"/>
      <c r="E290" s="120"/>
      <c r="F290" s="120" t="s">
        <v>2446</v>
      </c>
      <c r="G290" s="121">
        <v>40000499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292</v>
      </c>
      <c r="O290" s="120" t="s">
        <v>338</v>
      </c>
      <c r="P290" s="124">
        <v>43513</v>
      </c>
      <c r="Q290" s="120" t="s">
        <v>1216</v>
      </c>
      <c r="R290" s="120" t="s">
        <v>886</v>
      </c>
      <c r="S290" s="120" t="s">
        <v>890</v>
      </c>
      <c r="T290" s="124">
        <v>45473</v>
      </c>
      <c r="U290" s="122">
        <v>4.0202</v>
      </c>
      <c r="V290" s="122">
        <v>254.88200000000001</v>
      </c>
      <c r="W290" s="122">
        <v>1024.67662</v>
      </c>
      <c r="X290" s="123">
        <v>2.5399999999999999E-4</v>
      </c>
      <c r="Y290" s="123">
        <v>1.76E-4</v>
      </c>
      <c r="Z290" s="123">
        <v>1.7E-5</v>
      </c>
    </row>
    <row r="291" spans="1:26" ht="15" customHeight="1">
      <c r="A291" s="121">
        <v>313</v>
      </c>
      <c r="B291" s="121">
        <v>313</v>
      </c>
      <c r="C291" s="120" t="s">
        <v>2244</v>
      </c>
      <c r="D291" s="121"/>
      <c r="E291" s="120"/>
      <c r="F291" s="120" t="s">
        <v>2447</v>
      </c>
      <c r="G291" s="121">
        <v>60334695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223</v>
      </c>
      <c r="O291" s="120" t="s">
        <v>338</v>
      </c>
      <c r="P291" s="124">
        <v>41456</v>
      </c>
      <c r="Q291" s="120" t="s">
        <v>1212</v>
      </c>
      <c r="R291" s="120" t="s">
        <v>886</v>
      </c>
      <c r="S291" s="120" t="s">
        <v>890</v>
      </c>
      <c r="T291" s="124">
        <v>45473</v>
      </c>
      <c r="U291" s="122">
        <v>3.7589999999999999</v>
      </c>
      <c r="V291" s="122">
        <v>4592.6139899999998</v>
      </c>
      <c r="W291" s="122">
        <v>17263.635999999999</v>
      </c>
      <c r="X291" s="123">
        <v>1.2411999999999999E-2</v>
      </c>
      <c r="Y291" s="123">
        <v>2.9810000000000001E-3</v>
      </c>
      <c r="Z291" s="123">
        <v>2.8899999999999998E-4</v>
      </c>
    </row>
    <row r="292" spans="1:26" ht="15" customHeight="1">
      <c r="A292" s="121">
        <v>313</v>
      </c>
      <c r="B292" s="121">
        <v>313</v>
      </c>
      <c r="C292" s="120" t="s">
        <v>2138</v>
      </c>
      <c r="D292" s="121"/>
      <c r="E292" s="120"/>
      <c r="F292" s="120" t="s">
        <v>2448</v>
      </c>
      <c r="G292" s="121">
        <v>62016840</v>
      </c>
      <c r="H292" s="120" t="s">
        <v>311</v>
      </c>
      <c r="I292" s="120" t="s">
        <v>1005</v>
      </c>
      <c r="J292" s="120"/>
      <c r="K292" s="120" t="s">
        <v>204</v>
      </c>
      <c r="L292" s="120"/>
      <c r="M292" s="120"/>
      <c r="N292" s="120" t="s">
        <v>281</v>
      </c>
      <c r="O292" s="120" t="s">
        <v>338</v>
      </c>
      <c r="P292" s="124">
        <v>44719</v>
      </c>
      <c r="Q292" s="120" t="s">
        <v>1229</v>
      </c>
      <c r="R292" s="120" t="s">
        <v>886</v>
      </c>
      <c r="S292" s="120" t="s">
        <v>890</v>
      </c>
      <c r="T292" s="124">
        <v>45473</v>
      </c>
      <c r="U292" s="122">
        <v>2.7412999999999998</v>
      </c>
      <c r="V292" s="122">
        <v>7762.5</v>
      </c>
      <c r="W292" s="122">
        <v>21279.341250000001</v>
      </c>
      <c r="X292" s="123">
        <v>7.7619999999999998E-3</v>
      </c>
      <c r="Y292" s="123">
        <v>3.6749999999999999E-3</v>
      </c>
      <c r="Z292" s="123">
        <v>3.57E-4</v>
      </c>
    </row>
    <row r="293" spans="1:26" ht="15" customHeight="1">
      <c r="A293" s="121">
        <v>313</v>
      </c>
      <c r="B293" s="121">
        <v>313</v>
      </c>
      <c r="C293" s="120" t="s">
        <v>2165</v>
      </c>
      <c r="D293" s="121"/>
      <c r="E293" s="120"/>
      <c r="F293" s="120" t="s">
        <v>2449</v>
      </c>
      <c r="G293" s="121">
        <v>41000848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292</v>
      </c>
      <c r="O293" s="120" t="s">
        <v>338</v>
      </c>
      <c r="P293" s="124">
        <v>43513</v>
      </c>
      <c r="Q293" s="120" t="s">
        <v>1216</v>
      </c>
      <c r="R293" s="120" t="s">
        <v>886</v>
      </c>
      <c r="S293" s="120" t="s">
        <v>890</v>
      </c>
      <c r="T293" s="124">
        <v>45473</v>
      </c>
      <c r="U293" s="122">
        <v>4.0202</v>
      </c>
      <c r="V293" s="122">
        <v>879.61300000000006</v>
      </c>
      <c r="W293" s="122">
        <v>3536.2201799999998</v>
      </c>
      <c r="X293" s="123">
        <v>4.3899999999999999E-4</v>
      </c>
      <c r="Y293" s="123">
        <v>6.0999999999999997E-4</v>
      </c>
      <c r="Z293" s="123">
        <v>5.8999999999999998E-5</v>
      </c>
    </row>
    <row r="294" spans="1:26" ht="15" customHeight="1">
      <c r="A294" s="121">
        <v>313</v>
      </c>
      <c r="B294" s="121">
        <v>313</v>
      </c>
      <c r="C294" s="120" t="s">
        <v>2176</v>
      </c>
      <c r="D294" s="121"/>
      <c r="E294" s="120"/>
      <c r="F294" s="120" t="s">
        <v>2450</v>
      </c>
      <c r="G294" s="121">
        <v>62012078</v>
      </c>
      <c r="H294" s="120" t="s">
        <v>311</v>
      </c>
      <c r="I294" s="120" t="s">
        <v>1005</v>
      </c>
      <c r="J294" s="120"/>
      <c r="K294" s="120" t="s">
        <v>204</v>
      </c>
      <c r="L294" s="120"/>
      <c r="M294" s="120"/>
      <c r="N294" s="120" t="s">
        <v>281</v>
      </c>
      <c r="O294" s="120" t="s">
        <v>338</v>
      </c>
      <c r="P294" s="124">
        <v>43948</v>
      </c>
      <c r="Q294" s="120" t="s">
        <v>1229</v>
      </c>
      <c r="R294" s="120" t="s">
        <v>886</v>
      </c>
      <c r="S294" s="120" t="s">
        <v>890</v>
      </c>
      <c r="T294" s="124">
        <v>45473</v>
      </c>
      <c r="U294" s="122">
        <v>2.7412999999999998</v>
      </c>
      <c r="V294" s="122">
        <v>4966.5419099999999</v>
      </c>
      <c r="W294" s="122">
        <v>13614.78134</v>
      </c>
      <c r="X294" s="123">
        <v>4.9659999999999999E-3</v>
      </c>
      <c r="Y294" s="123">
        <v>2.3509999999999998E-3</v>
      </c>
      <c r="Z294" s="123">
        <v>2.2800000000000001E-4</v>
      </c>
    </row>
    <row r="295" spans="1:26" ht="15" customHeight="1">
      <c r="A295" s="121">
        <v>313</v>
      </c>
      <c r="B295" s="121">
        <v>313</v>
      </c>
      <c r="C295" s="120" t="s">
        <v>2138</v>
      </c>
      <c r="D295" s="121"/>
      <c r="E295" s="120"/>
      <c r="F295" s="120" t="s">
        <v>2451</v>
      </c>
      <c r="G295" s="121">
        <v>62001973</v>
      </c>
      <c r="H295" s="120" t="s">
        <v>311</v>
      </c>
      <c r="I295" s="120" t="s">
        <v>1001</v>
      </c>
      <c r="J295" s="120"/>
      <c r="K295" s="120" t="s">
        <v>204</v>
      </c>
      <c r="L295" s="120"/>
      <c r="M295" s="120"/>
      <c r="N295" s="120" t="s">
        <v>223</v>
      </c>
      <c r="O295" s="120" t="s">
        <v>338</v>
      </c>
      <c r="P295" s="124">
        <v>42887</v>
      </c>
      <c r="Q295" s="120" t="s">
        <v>1212</v>
      </c>
      <c r="R295" s="120" t="s">
        <v>886</v>
      </c>
      <c r="S295" s="120" t="s">
        <v>890</v>
      </c>
      <c r="T295" s="124">
        <v>45473</v>
      </c>
      <c r="U295" s="122">
        <v>3.7589999999999999</v>
      </c>
      <c r="V295" s="122">
        <v>14645.2644</v>
      </c>
      <c r="W295" s="122">
        <v>55051.548869999999</v>
      </c>
      <c r="X295" s="123">
        <v>5.9199999999999997E-4</v>
      </c>
      <c r="Y295" s="123">
        <v>9.5090000000000001E-3</v>
      </c>
      <c r="Z295" s="123">
        <v>9.2299999999999999E-4</v>
      </c>
    </row>
    <row r="296" spans="1:26" ht="15" customHeight="1">
      <c r="A296" s="121">
        <v>313</v>
      </c>
      <c r="B296" s="121">
        <v>313</v>
      </c>
      <c r="C296" s="120" t="s">
        <v>2127</v>
      </c>
      <c r="D296" s="121"/>
      <c r="E296" s="120"/>
      <c r="F296" s="120" t="s">
        <v>2452</v>
      </c>
      <c r="G296" s="121">
        <v>42000920</v>
      </c>
      <c r="H296" s="120" t="s">
        <v>311</v>
      </c>
      <c r="I296" s="120" t="s">
        <v>1006</v>
      </c>
      <c r="J296" s="120"/>
      <c r="K296" s="120" t="s">
        <v>204</v>
      </c>
      <c r="L296" s="120"/>
      <c r="M296" s="120"/>
      <c r="N296" s="120" t="s">
        <v>295</v>
      </c>
      <c r="O296" s="120" t="s">
        <v>338</v>
      </c>
      <c r="P296" s="124">
        <v>43601</v>
      </c>
      <c r="Q296" s="120" t="s">
        <v>1212</v>
      </c>
      <c r="R296" s="120" t="s">
        <v>886</v>
      </c>
      <c r="S296" s="120" t="s">
        <v>890</v>
      </c>
      <c r="T296" s="124">
        <v>45473</v>
      </c>
      <c r="U296" s="122">
        <v>3.7589999999999999</v>
      </c>
      <c r="V296" s="122">
        <v>85.996200000000002</v>
      </c>
      <c r="W296" s="122">
        <v>323.25972000000002</v>
      </c>
      <c r="X296" s="123">
        <v>2.8E-5</v>
      </c>
      <c r="Y296" s="123">
        <v>5.5000000000000002E-5</v>
      </c>
      <c r="Z296" s="123">
        <v>5.0000000000000004E-6</v>
      </c>
    </row>
    <row r="297" spans="1:26" ht="15" customHeight="1">
      <c r="A297" s="121">
        <v>313</v>
      </c>
      <c r="B297" s="121">
        <v>313</v>
      </c>
      <c r="C297" s="120" t="s">
        <v>2127</v>
      </c>
      <c r="D297" s="121"/>
      <c r="E297" s="120"/>
      <c r="F297" s="120" t="s">
        <v>2453</v>
      </c>
      <c r="G297" s="121">
        <v>42000910</v>
      </c>
      <c r="H297" s="120" t="s">
        <v>311</v>
      </c>
      <c r="I297" s="120" t="s">
        <v>1006</v>
      </c>
      <c r="J297" s="120"/>
      <c r="K297" s="120" t="s">
        <v>204</v>
      </c>
      <c r="L297" s="120"/>
      <c r="M297" s="120"/>
      <c r="N297" s="120" t="s">
        <v>295</v>
      </c>
      <c r="O297" s="120" t="s">
        <v>338</v>
      </c>
      <c r="P297" s="124">
        <v>43601</v>
      </c>
      <c r="Q297" s="120" t="s">
        <v>1212</v>
      </c>
      <c r="R297" s="120" t="s">
        <v>886</v>
      </c>
      <c r="S297" s="120" t="s">
        <v>890</v>
      </c>
      <c r="T297" s="124">
        <v>45473</v>
      </c>
      <c r="U297" s="122">
        <v>3.7589999999999999</v>
      </c>
      <c r="V297" s="122">
        <v>378.52760000000001</v>
      </c>
      <c r="W297" s="122">
        <v>1422.88525</v>
      </c>
      <c r="X297" s="123">
        <v>1.26E-4</v>
      </c>
      <c r="Y297" s="123">
        <v>2.4499999999999999E-4</v>
      </c>
      <c r="Z297" s="123">
        <v>2.3E-5</v>
      </c>
    </row>
    <row r="298" spans="1:26" ht="15" customHeight="1">
      <c r="A298" s="121">
        <v>313</v>
      </c>
      <c r="B298" s="121">
        <v>313</v>
      </c>
      <c r="C298" s="120" t="s">
        <v>2132</v>
      </c>
      <c r="D298" s="121"/>
      <c r="E298" s="120"/>
      <c r="F298" s="120" t="s">
        <v>2454</v>
      </c>
      <c r="G298" s="121">
        <v>62006614</v>
      </c>
      <c r="H298" s="120" t="s">
        <v>311</v>
      </c>
      <c r="I298" s="120" t="s">
        <v>1005</v>
      </c>
      <c r="J298" s="120"/>
      <c r="K298" s="120" t="s">
        <v>204</v>
      </c>
      <c r="L298" s="120"/>
      <c r="M298" s="120"/>
      <c r="N298" s="120" t="s">
        <v>292</v>
      </c>
      <c r="O298" s="120" t="s">
        <v>338</v>
      </c>
      <c r="P298" s="124">
        <v>43206</v>
      </c>
      <c r="Q298" s="120" t="s">
        <v>1216</v>
      </c>
      <c r="R298" s="120" t="s">
        <v>886</v>
      </c>
      <c r="S298" s="120" t="s">
        <v>890</v>
      </c>
      <c r="T298" s="124">
        <v>45473</v>
      </c>
      <c r="U298" s="122">
        <v>4.0202</v>
      </c>
      <c r="V298" s="122">
        <v>2797.14851</v>
      </c>
      <c r="W298" s="122">
        <v>11245.09643</v>
      </c>
      <c r="X298" s="123">
        <v>1.1346999999999999E-2</v>
      </c>
      <c r="Y298" s="123">
        <v>1.9419999999999999E-3</v>
      </c>
      <c r="Z298" s="123">
        <v>1.8799999999999999E-4</v>
      </c>
    </row>
    <row r="299" spans="1:26" ht="15" customHeight="1">
      <c r="A299" s="121">
        <v>313</v>
      </c>
      <c r="B299" s="121">
        <v>313</v>
      </c>
      <c r="C299" s="120" t="s">
        <v>2303</v>
      </c>
      <c r="D299" s="121"/>
      <c r="E299" s="120"/>
      <c r="F299" s="120" t="s">
        <v>2455</v>
      </c>
      <c r="G299" s="121">
        <v>60391323</v>
      </c>
      <c r="H299" s="120" t="s">
        <v>311</v>
      </c>
      <c r="I299" s="120" t="s">
        <v>1001</v>
      </c>
      <c r="J299" s="120"/>
      <c r="K299" s="120" t="s">
        <v>204</v>
      </c>
      <c r="L299" s="120"/>
      <c r="M299" s="120"/>
      <c r="N299" s="120" t="s">
        <v>292</v>
      </c>
      <c r="O299" s="120" t="s">
        <v>338</v>
      </c>
      <c r="P299" s="124">
        <v>42186</v>
      </c>
      <c r="Q299" s="120" t="s">
        <v>1230</v>
      </c>
      <c r="R299" s="120" t="s">
        <v>886</v>
      </c>
      <c r="S299" s="120" t="s">
        <v>890</v>
      </c>
      <c r="T299" s="124">
        <v>45473</v>
      </c>
      <c r="U299" s="122">
        <v>4.7504999999999997</v>
      </c>
      <c r="V299" s="122">
        <v>555.97646999999995</v>
      </c>
      <c r="W299" s="122">
        <v>2641.16624</v>
      </c>
      <c r="X299" s="123">
        <v>2.2230000000000001E-3</v>
      </c>
      <c r="Y299" s="123">
        <v>4.5600000000000003E-4</v>
      </c>
      <c r="Z299" s="123">
        <v>4.3999999999999999E-5</v>
      </c>
    </row>
    <row r="300" spans="1:26" ht="15" customHeight="1">
      <c r="A300" s="121">
        <v>313</v>
      </c>
      <c r="B300" s="121">
        <v>313</v>
      </c>
      <c r="C300" s="120" t="s">
        <v>2124</v>
      </c>
      <c r="D300" s="121"/>
      <c r="E300" s="120"/>
      <c r="F300" s="120" t="s">
        <v>2456</v>
      </c>
      <c r="G300" s="121">
        <v>43000909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280</v>
      </c>
      <c r="O300" s="120" t="s">
        <v>338</v>
      </c>
      <c r="P300" s="124">
        <v>44054</v>
      </c>
      <c r="Q300" s="120" t="s">
        <v>1212</v>
      </c>
      <c r="R300" s="120" t="s">
        <v>886</v>
      </c>
      <c r="S300" s="120" t="s">
        <v>890</v>
      </c>
      <c r="T300" s="124">
        <v>45473</v>
      </c>
      <c r="U300" s="122">
        <v>3.7589999999999999</v>
      </c>
      <c r="V300" s="122">
        <v>865.08799999999997</v>
      </c>
      <c r="W300" s="122">
        <v>3251.8657899999998</v>
      </c>
      <c r="X300" s="123">
        <v>4.3199999999999998E-4</v>
      </c>
      <c r="Y300" s="123">
        <v>5.6099999999999998E-4</v>
      </c>
      <c r="Z300" s="123">
        <v>5.3999999999999998E-5</v>
      </c>
    </row>
    <row r="301" spans="1:26" ht="15" customHeight="1">
      <c r="A301" s="121">
        <v>313</v>
      </c>
      <c r="B301" s="121">
        <v>313</v>
      </c>
      <c r="C301" s="120" t="s">
        <v>2138</v>
      </c>
      <c r="D301" s="121"/>
      <c r="E301" s="120"/>
      <c r="F301" s="120" t="s">
        <v>2457</v>
      </c>
      <c r="G301" s="121">
        <v>62002918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303</v>
      </c>
      <c r="O301" s="120" t="s">
        <v>338</v>
      </c>
      <c r="P301" s="124">
        <v>42826</v>
      </c>
      <c r="Q301" s="120" t="s">
        <v>1212</v>
      </c>
      <c r="R301" s="120" t="s">
        <v>886</v>
      </c>
      <c r="S301" s="120" t="s">
        <v>890</v>
      </c>
      <c r="T301" s="124">
        <v>45473</v>
      </c>
      <c r="U301" s="122">
        <v>3.7589999999999999</v>
      </c>
      <c r="V301" s="122">
        <v>1571.3002899999999</v>
      </c>
      <c r="W301" s="122">
        <v>5906.5177700000004</v>
      </c>
      <c r="X301" s="123">
        <v>1.33E-3</v>
      </c>
      <c r="Y301" s="123">
        <v>1.0200000000000001E-3</v>
      </c>
      <c r="Z301" s="123">
        <v>9.8999999999999994E-5</v>
      </c>
    </row>
    <row r="302" spans="1:26" ht="15" customHeight="1">
      <c r="A302" s="121">
        <v>313</v>
      </c>
      <c r="B302" s="121">
        <v>313</v>
      </c>
      <c r="C302" s="120" t="s">
        <v>2458</v>
      </c>
      <c r="D302" s="121"/>
      <c r="E302" s="120"/>
      <c r="F302" s="120" t="s">
        <v>2459</v>
      </c>
      <c r="G302" s="121">
        <v>62017801</v>
      </c>
      <c r="H302" s="120" t="s">
        <v>311</v>
      </c>
      <c r="I302" s="120" t="s">
        <v>1002</v>
      </c>
      <c r="J302" s="120"/>
      <c r="K302" s="120" t="s">
        <v>204</v>
      </c>
      <c r="L302" s="120"/>
      <c r="M302" s="120"/>
      <c r="N302" s="120" t="s">
        <v>295</v>
      </c>
      <c r="O302" s="120" t="s">
        <v>338</v>
      </c>
      <c r="P302" s="124">
        <v>44197</v>
      </c>
      <c r="Q302" s="120" t="s">
        <v>1212</v>
      </c>
      <c r="R302" s="120" t="s">
        <v>886</v>
      </c>
      <c r="S302" s="120" t="s">
        <v>890</v>
      </c>
      <c r="T302" s="124">
        <v>45473</v>
      </c>
      <c r="U302" s="122">
        <v>3.7589999999999999</v>
      </c>
      <c r="V302" s="122">
        <v>7970.32557</v>
      </c>
      <c r="W302" s="122">
        <v>29960.453819999999</v>
      </c>
      <c r="X302" s="123">
        <v>6.3000000000000003E-4</v>
      </c>
      <c r="Y302" s="123">
        <v>5.1749999999999999E-3</v>
      </c>
      <c r="Z302" s="123">
        <v>5.0199999999999995E-4</v>
      </c>
    </row>
    <row r="303" spans="1:26" ht="15" customHeight="1">
      <c r="A303" s="121">
        <v>313</v>
      </c>
      <c r="B303" s="121">
        <v>313</v>
      </c>
      <c r="C303" s="120" t="s">
        <v>2151</v>
      </c>
      <c r="D303" s="121"/>
      <c r="E303" s="120"/>
      <c r="F303" s="120" t="s">
        <v>2460</v>
      </c>
      <c r="G303" s="121">
        <v>62016805</v>
      </c>
      <c r="H303" s="120" t="s">
        <v>311</v>
      </c>
      <c r="I303" s="120" t="s">
        <v>1005</v>
      </c>
      <c r="J303" s="120"/>
      <c r="K303" s="120" t="s">
        <v>204</v>
      </c>
      <c r="L303" s="120"/>
      <c r="M303" s="120"/>
      <c r="N303" s="120" t="s">
        <v>281</v>
      </c>
      <c r="O303" s="120" t="s">
        <v>338</v>
      </c>
      <c r="P303" s="124">
        <v>44319</v>
      </c>
      <c r="Q303" s="120" t="s">
        <v>1229</v>
      </c>
      <c r="R303" s="120" t="s">
        <v>886</v>
      </c>
      <c r="S303" s="120" t="s">
        <v>890</v>
      </c>
      <c r="T303" s="124">
        <v>45473</v>
      </c>
      <c r="U303" s="122">
        <v>2.7412999999999998</v>
      </c>
      <c r="V303" s="122">
        <v>6441.9965300000003</v>
      </c>
      <c r="W303" s="122">
        <v>17659.445080000001</v>
      </c>
      <c r="X303" s="123">
        <v>5.3680000000000004E-3</v>
      </c>
      <c r="Y303" s="123">
        <v>3.0500000000000002E-3</v>
      </c>
      <c r="Z303" s="123">
        <v>2.9599999999999998E-4</v>
      </c>
    </row>
    <row r="304" spans="1:26" ht="15" customHeight="1">
      <c r="A304" s="121">
        <v>313</v>
      </c>
      <c r="B304" s="121">
        <v>313</v>
      </c>
      <c r="C304" s="120" t="s">
        <v>2147</v>
      </c>
      <c r="D304" s="121"/>
      <c r="E304" s="120"/>
      <c r="F304" s="120" t="s">
        <v>2461</v>
      </c>
      <c r="G304" s="121">
        <v>62021654</v>
      </c>
      <c r="H304" s="120" t="s">
        <v>311</v>
      </c>
      <c r="I304" s="120" t="s">
        <v>1004</v>
      </c>
      <c r="J304" s="120"/>
      <c r="K304" s="120" t="s">
        <v>204</v>
      </c>
      <c r="L304" s="120"/>
      <c r="M304" s="120"/>
      <c r="N304" s="120" t="s">
        <v>223</v>
      </c>
      <c r="O304" s="120" t="s">
        <v>338</v>
      </c>
      <c r="P304" s="124">
        <v>45385</v>
      </c>
      <c r="Q304" s="120" t="s">
        <v>1212</v>
      </c>
      <c r="R304" s="120" t="s">
        <v>886</v>
      </c>
      <c r="S304" s="120" t="s">
        <v>890</v>
      </c>
      <c r="T304" s="124">
        <v>45473</v>
      </c>
      <c r="U304" s="122">
        <v>3.7589999999999999</v>
      </c>
      <c r="V304" s="122">
        <v>517.24136999999996</v>
      </c>
      <c r="W304" s="122">
        <v>1944.3103100000001</v>
      </c>
      <c r="X304" s="123">
        <v>4.1300000000000001E-4</v>
      </c>
      <c r="Y304" s="123">
        <v>3.3500000000000001E-4</v>
      </c>
      <c r="Z304" s="123">
        <v>3.1999999999999999E-5</v>
      </c>
    </row>
    <row r="305" spans="1:26" ht="15" customHeight="1">
      <c r="A305" s="121">
        <v>313</v>
      </c>
      <c r="B305" s="121">
        <v>313</v>
      </c>
      <c r="C305" s="120" t="s">
        <v>2462</v>
      </c>
      <c r="D305" s="121"/>
      <c r="E305" s="120"/>
      <c r="F305" s="120" t="s">
        <v>2463</v>
      </c>
      <c r="G305" s="121">
        <v>60407780</v>
      </c>
      <c r="H305" s="120" t="s">
        <v>311</v>
      </c>
      <c r="I305" s="120" t="s">
        <v>1005</v>
      </c>
      <c r="J305" s="120"/>
      <c r="K305" s="120" t="s">
        <v>204</v>
      </c>
      <c r="L305" s="120"/>
      <c r="M305" s="120"/>
      <c r="N305" s="120" t="s">
        <v>223</v>
      </c>
      <c r="O305" s="120" t="s">
        <v>338</v>
      </c>
      <c r="P305" s="124">
        <v>41730</v>
      </c>
      <c r="Q305" s="120" t="s">
        <v>1212</v>
      </c>
      <c r="R305" s="120" t="s">
        <v>886</v>
      </c>
      <c r="S305" s="120" t="s">
        <v>890</v>
      </c>
      <c r="T305" s="124">
        <v>45473</v>
      </c>
      <c r="U305" s="122">
        <v>3.7589999999999999</v>
      </c>
      <c r="V305" s="122">
        <v>3303.9059999999999</v>
      </c>
      <c r="W305" s="122">
        <v>12419.38265</v>
      </c>
      <c r="X305" s="123">
        <v>1.358E-3</v>
      </c>
      <c r="Y305" s="123">
        <v>2.1450000000000002E-3</v>
      </c>
      <c r="Z305" s="123">
        <v>2.0799999999999999E-4</v>
      </c>
    </row>
    <row r="306" spans="1:26" ht="15" customHeight="1">
      <c r="A306" s="121">
        <v>313</v>
      </c>
      <c r="B306" s="121">
        <v>313</v>
      </c>
      <c r="C306" s="120" t="s">
        <v>2093</v>
      </c>
      <c r="D306" s="121"/>
      <c r="E306" s="120"/>
      <c r="F306" s="120" t="s">
        <v>2464</v>
      </c>
      <c r="G306" s="121">
        <v>60199586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292</v>
      </c>
      <c r="O306" s="120" t="s">
        <v>338</v>
      </c>
      <c r="P306" s="124">
        <v>44027</v>
      </c>
      <c r="Q306" s="120" t="s">
        <v>1230</v>
      </c>
      <c r="R306" s="120" t="s">
        <v>886</v>
      </c>
      <c r="S306" s="120" t="s">
        <v>890</v>
      </c>
      <c r="T306" s="124">
        <v>45473</v>
      </c>
      <c r="U306" s="122">
        <v>4.7504999999999997</v>
      </c>
      <c r="V306" s="122">
        <v>1072.7073499999999</v>
      </c>
      <c r="W306" s="122">
        <v>5095.8962499999998</v>
      </c>
      <c r="X306" s="123">
        <v>6.78E-4</v>
      </c>
      <c r="Y306" s="123">
        <v>8.8000000000000003E-4</v>
      </c>
      <c r="Z306" s="123">
        <v>8.5000000000000006E-5</v>
      </c>
    </row>
    <row r="307" spans="1:26" ht="15" customHeight="1">
      <c r="A307" s="121">
        <v>313</v>
      </c>
      <c r="B307" s="121">
        <v>313</v>
      </c>
      <c r="C307" s="120" t="s">
        <v>2124</v>
      </c>
      <c r="D307" s="121"/>
      <c r="E307" s="120"/>
      <c r="F307" s="120" t="s">
        <v>2465</v>
      </c>
      <c r="G307" s="121">
        <v>44000102</v>
      </c>
      <c r="H307" s="120" t="s">
        <v>311</v>
      </c>
      <c r="I307" s="120" t="s">
        <v>1001</v>
      </c>
      <c r="J307" s="120"/>
      <c r="K307" s="120" t="s">
        <v>204</v>
      </c>
      <c r="L307" s="120"/>
      <c r="M307" s="120"/>
      <c r="N307" s="120" t="s">
        <v>244</v>
      </c>
      <c r="O307" s="120" t="s">
        <v>338</v>
      </c>
      <c r="P307" s="124">
        <v>44946</v>
      </c>
      <c r="Q307" s="120" t="s">
        <v>1212</v>
      </c>
      <c r="R307" s="120" t="s">
        <v>886</v>
      </c>
      <c r="S307" s="120" t="s">
        <v>890</v>
      </c>
      <c r="T307" s="124">
        <v>45473</v>
      </c>
      <c r="U307" s="122">
        <v>3.7589999999999999</v>
      </c>
      <c r="V307" s="122">
        <v>5643.5440200000003</v>
      </c>
      <c r="W307" s="122">
        <v>21214.081969999999</v>
      </c>
      <c r="X307" s="123">
        <v>1.8810000000000001E-3</v>
      </c>
      <c r="Y307" s="123">
        <v>3.6640000000000002E-3</v>
      </c>
      <c r="Z307" s="123">
        <v>3.5500000000000001E-4</v>
      </c>
    </row>
    <row r="308" spans="1:26" ht="15" customHeight="1">
      <c r="A308" s="121">
        <v>313</v>
      </c>
      <c r="B308" s="121">
        <v>313</v>
      </c>
      <c r="C308" s="120" t="s">
        <v>2132</v>
      </c>
      <c r="D308" s="121"/>
      <c r="E308" s="120"/>
      <c r="F308" s="120" t="s">
        <v>2466</v>
      </c>
      <c r="G308" s="121">
        <v>41000799</v>
      </c>
      <c r="H308" s="120" t="s">
        <v>311</v>
      </c>
      <c r="I308" s="120" t="s">
        <v>849</v>
      </c>
      <c r="J308" s="120"/>
      <c r="K308" s="120" t="s">
        <v>204</v>
      </c>
      <c r="L308" s="120"/>
      <c r="M308" s="120"/>
      <c r="N308" s="120" t="s">
        <v>292</v>
      </c>
      <c r="O308" s="120" t="s">
        <v>338</v>
      </c>
      <c r="P308" s="124">
        <v>43513</v>
      </c>
      <c r="Q308" s="120" t="s">
        <v>1216</v>
      </c>
      <c r="R308" s="120" t="s">
        <v>886</v>
      </c>
      <c r="S308" s="120" t="s">
        <v>890</v>
      </c>
      <c r="T308" s="124">
        <v>45473</v>
      </c>
      <c r="U308" s="122">
        <v>4.0202</v>
      </c>
      <c r="V308" s="122">
        <v>-1305.0662</v>
      </c>
      <c r="W308" s="122">
        <v>-5246.6271399999996</v>
      </c>
      <c r="X308" s="123">
        <v>0</v>
      </c>
      <c r="Y308" s="123">
        <v>-9.0600000000000001E-4</v>
      </c>
      <c r="Z308" s="123">
        <v>-8.7999999999999998E-5</v>
      </c>
    </row>
    <row r="309" spans="1:26" ht="15" customHeight="1">
      <c r="A309" s="121">
        <v>313</v>
      </c>
      <c r="B309" s="121">
        <v>313</v>
      </c>
      <c r="C309" s="120" t="s">
        <v>2419</v>
      </c>
      <c r="D309" s="121"/>
      <c r="E309" s="120"/>
      <c r="F309" s="120" t="s">
        <v>2467</v>
      </c>
      <c r="G309" s="121">
        <v>60318367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292</v>
      </c>
      <c r="O309" s="120" t="s">
        <v>338</v>
      </c>
      <c r="P309" s="124">
        <v>41214</v>
      </c>
      <c r="Q309" s="120" t="s">
        <v>1216</v>
      </c>
      <c r="R309" s="120" t="s">
        <v>886</v>
      </c>
      <c r="S309" s="120" t="s">
        <v>890</v>
      </c>
      <c r="T309" s="124">
        <v>45473</v>
      </c>
      <c r="U309" s="122">
        <v>4.0202</v>
      </c>
      <c r="V309" s="122">
        <v>10010.487279999999</v>
      </c>
      <c r="W309" s="122">
        <v>40244.160960000001</v>
      </c>
      <c r="X309" s="123">
        <v>5.5613000000000003E-2</v>
      </c>
      <c r="Y309" s="123">
        <v>6.9509999999999997E-3</v>
      </c>
      <c r="Z309" s="123">
        <v>6.7500000000000004E-4</v>
      </c>
    </row>
    <row r="310" spans="1:26" ht="15" customHeight="1">
      <c r="A310" s="121">
        <v>313</v>
      </c>
      <c r="B310" s="121">
        <v>313</v>
      </c>
      <c r="C310" s="120" t="s">
        <v>2468</v>
      </c>
      <c r="D310" s="121"/>
      <c r="E310" s="120"/>
      <c r="F310" s="120" t="s">
        <v>2469</v>
      </c>
      <c r="G310" s="121">
        <v>60372851</v>
      </c>
      <c r="H310" s="120" t="s">
        <v>311</v>
      </c>
      <c r="I310" s="120" t="s">
        <v>1001</v>
      </c>
      <c r="J310" s="120"/>
      <c r="K310" s="120" t="s">
        <v>204</v>
      </c>
      <c r="L310" s="120"/>
      <c r="M310" s="120"/>
      <c r="N310" s="120" t="s">
        <v>284</v>
      </c>
      <c r="O310" s="120" t="s">
        <v>338</v>
      </c>
      <c r="P310" s="124">
        <v>41913</v>
      </c>
      <c r="Q310" s="120" t="s">
        <v>1212</v>
      </c>
      <c r="R310" s="120" t="s">
        <v>886</v>
      </c>
      <c r="S310" s="120" t="s">
        <v>890</v>
      </c>
      <c r="T310" s="124">
        <v>45473</v>
      </c>
      <c r="U310" s="122">
        <v>3.7589999999999999</v>
      </c>
      <c r="V310" s="122">
        <v>270.99301000000003</v>
      </c>
      <c r="W310" s="122">
        <v>1018.66273</v>
      </c>
      <c r="X310" s="123">
        <v>8.5899999999999995E-4</v>
      </c>
      <c r="Y310" s="123">
        <v>1.75E-4</v>
      </c>
      <c r="Z310" s="123">
        <v>1.7E-5</v>
      </c>
    </row>
    <row r="311" spans="1:26" ht="15" customHeight="1">
      <c r="A311" s="121">
        <v>313</v>
      </c>
      <c r="B311" s="121">
        <v>313</v>
      </c>
      <c r="C311" s="120" t="s">
        <v>2429</v>
      </c>
      <c r="D311" s="121"/>
      <c r="E311" s="120"/>
      <c r="F311" s="120" t="s">
        <v>2470</v>
      </c>
      <c r="G311" s="121">
        <v>62021072</v>
      </c>
      <c r="H311" s="120" t="s">
        <v>311</v>
      </c>
      <c r="I311" s="120" t="s">
        <v>1004</v>
      </c>
      <c r="J311" s="120"/>
      <c r="K311" s="120" t="s">
        <v>204</v>
      </c>
      <c r="L311" s="120"/>
      <c r="M311" s="120"/>
      <c r="N311" s="120" t="s">
        <v>223</v>
      </c>
      <c r="O311" s="120" t="s">
        <v>338</v>
      </c>
      <c r="P311" s="124">
        <v>45016</v>
      </c>
      <c r="Q311" s="120" t="s">
        <v>1212</v>
      </c>
      <c r="R311" s="120" t="s">
        <v>886</v>
      </c>
      <c r="S311" s="120" t="s">
        <v>890</v>
      </c>
      <c r="T311" s="124">
        <v>45473</v>
      </c>
      <c r="U311" s="122">
        <v>3.7589999999999999</v>
      </c>
      <c r="V311" s="122">
        <v>1504.5677599999999</v>
      </c>
      <c r="W311" s="122">
        <v>5655.6702100000002</v>
      </c>
      <c r="X311" s="123">
        <v>1.46E-4</v>
      </c>
      <c r="Y311" s="123">
        <v>9.7599999999999998E-4</v>
      </c>
      <c r="Z311" s="123">
        <v>9.3999999999999994E-5</v>
      </c>
    </row>
    <row r="312" spans="1:26" ht="15" customHeight="1">
      <c r="A312" s="121">
        <v>313</v>
      </c>
      <c r="B312" s="121">
        <v>313</v>
      </c>
      <c r="C312" s="120" t="s">
        <v>2471</v>
      </c>
      <c r="D312" s="121"/>
      <c r="E312" s="120"/>
      <c r="F312" s="120" t="s">
        <v>2472</v>
      </c>
      <c r="G312" s="121">
        <v>9840826</v>
      </c>
      <c r="H312" s="120" t="s">
        <v>311</v>
      </c>
      <c r="I312" s="120" t="s">
        <v>1006</v>
      </c>
      <c r="J312" s="120"/>
      <c r="K312" s="120" t="s">
        <v>204</v>
      </c>
      <c r="L312" s="120"/>
      <c r="M312" s="120"/>
      <c r="N312" s="120" t="s">
        <v>203</v>
      </c>
      <c r="O312" s="120" t="s">
        <v>338</v>
      </c>
      <c r="P312" s="124">
        <v>39783</v>
      </c>
      <c r="Q312" s="120" t="s">
        <v>1212</v>
      </c>
      <c r="R312" s="120" t="s">
        <v>886</v>
      </c>
      <c r="S312" s="120" t="s">
        <v>890</v>
      </c>
      <c r="T312" s="124">
        <v>45473</v>
      </c>
      <c r="U312" s="122">
        <v>3.7589999999999999</v>
      </c>
      <c r="V312" s="122">
        <v>1493.145</v>
      </c>
      <c r="W312" s="122">
        <v>5612.7320600000003</v>
      </c>
      <c r="X312" s="123">
        <v>9.9170000000000005E-3</v>
      </c>
      <c r="Y312" s="123">
        <v>9.6900000000000003E-4</v>
      </c>
      <c r="Z312" s="123">
        <v>9.3999999999999994E-5</v>
      </c>
    </row>
    <row r="313" spans="1:26" ht="15" customHeight="1">
      <c r="A313" s="121">
        <v>313</v>
      </c>
      <c r="B313" s="121">
        <v>313</v>
      </c>
      <c r="C313" s="120" t="s">
        <v>2473</v>
      </c>
      <c r="D313" s="121"/>
      <c r="E313" s="120"/>
      <c r="F313" s="120" t="s">
        <v>2474</v>
      </c>
      <c r="G313" s="121">
        <v>9840548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223</v>
      </c>
      <c r="O313" s="120" t="s">
        <v>338</v>
      </c>
      <c r="P313" s="124">
        <v>39934</v>
      </c>
      <c r="Q313" s="120" t="s">
        <v>1212</v>
      </c>
      <c r="R313" s="120" t="s">
        <v>886</v>
      </c>
      <c r="S313" s="120" t="s">
        <v>890</v>
      </c>
      <c r="T313" s="124">
        <v>45473</v>
      </c>
      <c r="U313" s="122">
        <v>3.7589999999999999</v>
      </c>
      <c r="V313" s="122">
        <v>488.68009000000001</v>
      </c>
      <c r="W313" s="122">
        <v>1836.9484399999999</v>
      </c>
      <c r="X313" s="123">
        <v>4.4099999999999999E-4</v>
      </c>
      <c r="Y313" s="123">
        <v>3.1700000000000001E-4</v>
      </c>
      <c r="Z313" s="123">
        <v>3.0000000000000001E-5</v>
      </c>
    </row>
    <row r="314" spans="1:26" ht="15" customHeight="1">
      <c r="A314" s="121">
        <v>313</v>
      </c>
      <c r="B314" s="121">
        <v>313</v>
      </c>
      <c r="C314" s="120" t="s">
        <v>2035</v>
      </c>
      <c r="D314" s="121"/>
      <c r="E314" s="120"/>
      <c r="F314" s="120" t="s">
        <v>2475</v>
      </c>
      <c r="G314" s="121">
        <v>62017751</v>
      </c>
      <c r="H314" s="120" t="s">
        <v>311</v>
      </c>
      <c r="I314" s="120" t="s">
        <v>1006</v>
      </c>
      <c r="J314" s="120"/>
      <c r="K314" s="120" t="s">
        <v>204</v>
      </c>
      <c r="L314" s="120"/>
      <c r="M314" s="120"/>
      <c r="N314" s="120" t="s">
        <v>223</v>
      </c>
      <c r="O314" s="120" t="s">
        <v>338</v>
      </c>
      <c r="P314" s="124">
        <v>44166</v>
      </c>
      <c r="Q314" s="120" t="s">
        <v>1212</v>
      </c>
      <c r="R314" s="120" t="s">
        <v>886</v>
      </c>
      <c r="S314" s="120" t="s">
        <v>890</v>
      </c>
      <c r="T314" s="124">
        <v>45473</v>
      </c>
      <c r="U314" s="122">
        <v>3.7589999999999999</v>
      </c>
      <c r="V314" s="122">
        <v>7159.1688000000004</v>
      </c>
      <c r="W314" s="122">
        <v>26911.31552</v>
      </c>
      <c r="X314" s="123">
        <v>2.2915999999999999E-2</v>
      </c>
      <c r="Y314" s="123">
        <v>4.6480000000000002E-3</v>
      </c>
      <c r="Z314" s="123">
        <v>4.5100000000000001E-4</v>
      </c>
    </row>
    <row r="315" spans="1:26" ht="15" customHeight="1">
      <c r="A315" s="121">
        <v>313</v>
      </c>
      <c r="B315" s="121">
        <v>313</v>
      </c>
      <c r="C315" s="120" t="s">
        <v>2055</v>
      </c>
      <c r="D315" s="121"/>
      <c r="E315" s="120"/>
      <c r="F315" s="120" t="s">
        <v>2476</v>
      </c>
      <c r="G315" s="121">
        <v>9840773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203</v>
      </c>
      <c r="O315" s="120" t="s">
        <v>338</v>
      </c>
      <c r="P315" s="124">
        <v>39726</v>
      </c>
      <c r="Q315" s="120" t="s">
        <v>1212</v>
      </c>
      <c r="R315" s="120" t="s">
        <v>886</v>
      </c>
      <c r="S315" s="120" t="s">
        <v>890</v>
      </c>
      <c r="T315" s="124">
        <v>45473</v>
      </c>
      <c r="U315" s="122">
        <v>3.7589999999999999</v>
      </c>
      <c r="V315" s="122">
        <v>116.18397</v>
      </c>
      <c r="W315" s="122">
        <v>436.73554999999999</v>
      </c>
      <c r="X315" s="123">
        <v>1.0560000000000001E-3</v>
      </c>
      <c r="Y315" s="123">
        <v>7.4999999999999993E-5</v>
      </c>
      <c r="Z315" s="123">
        <v>6.9999999999999999E-6</v>
      </c>
    </row>
    <row r="316" spans="1:26" ht="15" customHeight="1">
      <c r="A316" s="121">
        <v>313</v>
      </c>
      <c r="B316" s="121">
        <v>313</v>
      </c>
      <c r="C316" s="120" t="s">
        <v>2378</v>
      </c>
      <c r="D316" s="121"/>
      <c r="E316" s="120"/>
      <c r="F316" s="120" t="s">
        <v>2477</v>
      </c>
      <c r="G316" s="121">
        <v>62018182</v>
      </c>
      <c r="H316" s="120" t="s">
        <v>311</v>
      </c>
      <c r="I316" s="120" t="s">
        <v>1001</v>
      </c>
      <c r="J316" s="120"/>
      <c r="K316" s="120" t="s">
        <v>204</v>
      </c>
      <c r="L316" s="120"/>
      <c r="M316" s="120"/>
      <c r="N316" s="120" t="s">
        <v>292</v>
      </c>
      <c r="O316" s="120" t="s">
        <v>338</v>
      </c>
      <c r="P316" s="124">
        <v>45125</v>
      </c>
      <c r="Q316" s="120" t="s">
        <v>1216</v>
      </c>
      <c r="R316" s="120" t="s">
        <v>886</v>
      </c>
      <c r="S316" s="120" t="s">
        <v>890</v>
      </c>
      <c r="T316" s="124">
        <v>45473</v>
      </c>
      <c r="U316" s="122">
        <v>4.0202</v>
      </c>
      <c r="V316" s="122">
        <v>3334.7464799999998</v>
      </c>
      <c r="W316" s="122">
        <v>13406.347809999999</v>
      </c>
      <c r="X316" s="123">
        <v>1.0859999999999999E-3</v>
      </c>
      <c r="Y316" s="123">
        <v>2.3149999999999998E-3</v>
      </c>
      <c r="Z316" s="123">
        <v>2.24E-4</v>
      </c>
    </row>
    <row r="317" spans="1:26" ht="15" customHeight="1">
      <c r="A317" s="121">
        <v>313</v>
      </c>
      <c r="B317" s="121">
        <v>313</v>
      </c>
      <c r="C317" s="120" t="s">
        <v>2138</v>
      </c>
      <c r="D317" s="121"/>
      <c r="E317" s="120"/>
      <c r="F317" s="120" t="s">
        <v>2478</v>
      </c>
      <c r="G317" s="121">
        <v>62015846</v>
      </c>
      <c r="H317" s="120" t="s">
        <v>311</v>
      </c>
      <c r="I317" s="120" t="s">
        <v>1001</v>
      </c>
      <c r="J317" s="120"/>
      <c r="K317" s="120" t="s">
        <v>204</v>
      </c>
      <c r="L317" s="120"/>
      <c r="M317" s="120"/>
      <c r="N317" s="120" t="s">
        <v>292</v>
      </c>
      <c r="O317" s="120" t="s">
        <v>338</v>
      </c>
      <c r="P317" s="124">
        <v>44849</v>
      </c>
      <c r="Q317" s="120" t="s">
        <v>1216</v>
      </c>
      <c r="R317" s="120" t="s">
        <v>886</v>
      </c>
      <c r="S317" s="120" t="s">
        <v>890</v>
      </c>
      <c r="T317" s="124">
        <v>45473</v>
      </c>
      <c r="U317" s="122">
        <v>4.0202</v>
      </c>
      <c r="V317" s="122">
        <v>590.84433999999999</v>
      </c>
      <c r="W317" s="122">
        <v>2375.3123999999998</v>
      </c>
      <c r="X317" s="123">
        <v>1.12E-4</v>
      </c>
      <c r="Y317" s="123">
        <v>4.0999999999999999E-4</v>
      </c>
      <c r="Z317" s="123">
        <v>3.8999999999999999E-5</v>
      </c>
    </row>
    <row r="318" spans="1:26" ht="15" customHeight="1">
      <c r="A318" s="121">
        <v>313</v>
      </c>
      <c r="B318" s="121">
        <v>313</v>
      </c>
      <c r="C318" s="120" t="s">
        <v>2479</v>
      </c>
      <c r="D318" s="121"/>
      <c r="E318" s="120"/>
      <c r="F318" s="120" t="s">
        <v>2480</v>
      </c>
      <c r="G318" s="121">
        <v>62005624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292</v>
      </c>
      <c r="O318" s="120" t="s">
        <v>338</v>
      </c>
      <c r="P318" s="124">
        <v>45376</v>
      </c>
      <c r="Q318" s="120" t="s">
        <v>1216</v>
      </c>
      <c r="R318" s="120" t="s">
        <v>886</v>
      </c>
      <c r="S318" s="120" t="s">
        <v>890</v>
      </c>
      <c r="T318" s="124">
        <v>45473</v>
      </c>
      <c r="U318" s="122">
        <v>4.0202</v>
      </c>
      <c r="V318" s="122">
        <v>239.49274</v>
      </c>
      <c r="W318" s="122">
        <v>962.80871999999999</v>
      </c>
      <c r="X318" s="123">
        <v>1.116E-3</v>
      </c>
      <c r="Y318" s="123">
        <v>1.66E-4</v>
      </c>
      <c r="Z318" s="123">
        <v>1.5999999999999999E-5</v>
      </c>
    </row>
    <row r="319" spans="1:26" ht="15" customHeight="1">
      <c r="A319" s="121">
        <v>313</v>
      </c>
      <c r="B319" s="121">
        <v>313</v>
      </c>
      <c r="C319" s="120" t="s">
        <v>2124</v>
      </c>
      <c r="D319" s="121"/>
      <c r="E319" s="120"/>
      <c r="F319" s="120" t="s">
        <v>2481</v>
      </c>
      <c r="G319" s="121">
        <v>43000907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232</v>
      </c>
      <c r="O319" s="120" t="s">
        <v>338</v>
      </c>
      <c r="P319" s="124">
        <v>44054</v>
      </c>
      <c r="Q319" s="120" t="s">
        <v>1212</v>
      </c>
      <c r="R319" s="120" t="s">
        <v>886</v>
      </c>
      <c r="S319" s="120" t="s">
        <v>890</v>
      </c>
      <c r="T319" s="124">
        <v>45473</v>
      </c>
      <c r="U319" s="122">
        <v>3.7589999999999999</v>
      </c>
      <c r="V319" s="122">
        <v>827.97400000000005</v>
      </c>
      <c r="W319" s="122">
        <v>3112.3542699999998</v>
      </c>
      <c r="X319" s="123">
        <v>4.1300000000000001E-4</v>
      </c>
      <c r="Y319" s="123">
        <v>5.3700000000000004E-4</v>
      </c>
      <c r="Z319" s="123">
        <v>5.1999999999999997E-5</v>
      </c>
    </row>
    <row r="320" spans="1:26" ht="15" customHeight="1">
      <c r="A320" s="121">
        <v>313</v>
      </c>
      <c r="B320" s="121">
        <v>313</v>
      </c>
      <c r="C320" s="120" t="s">
        <v>2165</v>
      </c>
      <c r="D320" s="121"/>
      <c r="E320" s="120"/>
      <c r="F320" s="120" t="s">
        <v>2435</v>
      </c>
      <c r="G320" s="121">
        <v>41000853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295</v>
      </c>
      <c r="O320" s="120" t="s">
        <v>338</v>
      </c>
      <c r="P320" s="124">
        <v>43513</v>
      </c>
      <c r="Q320" s="120" t="s">
        <v>1216</v>
      </c>
      <c r="R320" s="120" t="s">
        <v>886</v>
      </c>
      <c r="S320" s="120" t="s">
        <v>890</v>
      </c>
      <c r="T320" s="124">
        <v>45473</v>
      </c>
      <c r="U320" s="122">
        <v>4.0202</v>
      </c>
      <c r="V320" s="122">
        <v>46.253</v>
      </c>
      <c r="W320" s="122">
        <v>185.94631000000001</v>
      </c>
      <c r="X320" s="123">
        <v>4.6E-5</v>
      </c>
      <c r="Y320" s="123">
        <v>3.1999999999999999E-5</v>
      </c>
      <c r="Z320" s="123">
        <v>3.0000000000000001E-6</v>
      </c>
    </row>
    <row r="321" spans="1:26" ht="15" customHeight="1">
      <c r="A321" s="121">
        <v>313</v>
      </c>
      <c r="B321" s="121">
        <v>313</v>
      </c>
      <c r="C321" s="120" t="s">
        <v>2410</v>
      </c>
      <c r="D321" s="121"/>
      <c r="E321" s="120"/>
      <c r="F321" s="120" t="s">
        <v>2482</v>
      </c>
      <c r="G321" s="121">
        <v>40000515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292</v>
      </c>
      <c r="O321" s="120" t="s">
        <v>338</v>
      </c>
      <c r="P321" s="124">
        <v>43513</v>
      </c>
      <c r="Q321" s="120" t="s">
        <v>1216</v>
      </c>
      <c r="R321" s="120" t="s">
        <v>886</v>
      </c>
      <c r="S321" s="120" t="s">
        <v>890</v>
      </c>
      <c r="T321" s="124">
        <v>45473</v>
      </c>
      <c r="U321" s="122">
        <v>4.0202</v>
      </c>
      <c r="V321" s="122">
        <v>1424.3330000000001</v>
      </c>
      <c r="W321" s="122">
        <v>5726.1035300000003</v>
      </c>
      <c r="X321" s="123">
        <v>1.4239999999999999E-3</v>
      </c>
      <c r="Y321" s="123">
        <v>9.8900000000000008E-4</v>
      </c>
      <c r="Z321" s="123">
        <v>9.6000000000000002E-5</v>
      </c>
    </row>
    <row r="322" spans="1:26" ht="15" customHeight="1">
      <c r="A322" s="121">
        <v>313</v>
      </c>
      <c r="B322" s="121">
        <v>313</v>
      </c>
      <c r="C322" s="120" t="s">
        <v>2129</v>
      </c>
      <c r="D322" s="121"/>
      <c r="E322" s="120"/>
      <c r="F322" s="120" t="s">
        <v>2483</v>
      </c>
      <c r="G322" s="121">
        <v>62013951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250</v>
      </c>
      <c r="O322" s="120" t="s">
        <v>338</v>
      </c>
      <c r="P322" s="124">
        <v>43796</v>
      </c>
      <c r="Q322" s="120" t="s">
        <v>1228</v>
      </c>
      <c r="R322" s="120" t="s">
        <v>886</v>
      </c>
      <c r="S322" s="120" t="s">
        <v>890</v>
      </c>
      <c r="T322" s="124">
        <v>45473</v>
      </c>
      <c r="U322" s="122">
        <v>2.3400000000000001E-2</v>
      </c>
      <c r="V322" s="122">
        <v>53581.34289</v>
      </c>
      <c r="W322" s="122">
        <v>1251.6065900000001</v>
      </c>
      <c r="X322" s="123">
        <v>7.9600000000000001E-3</v>
      </c>
      <c r="Y322" s="123">
        <v>2.1599999999999999E-4</v>
      </c>
      <c r="Z322" s="123">
        <v>2.0999999999999999E-5</v>
      </c>
    </row>
    <row r="323" spans="1:26" ht="15" customHeight="1">
      <c r="A323" s="121">
        <v>313</v>
      </c>
      <c r="B323" s="121">
        <v>313</v>
      </c>
      <c r="C323" s="120" t="s">
        <v>2124</v>
      </c>
      <c r="D323" s="121"/>
      <c r="E323" s="120"/>
      <c r="F323" s="120" t="s">
        <v>2484</v>
      </c>
      <c r="G323" s="121">
        <v>43000906</v>
      </c>
      <c r="H323" s="120" t="s">
        <v>311</v>
      </c>
      <c r="I323" s="120" t="s">
        <v>1001</v>
      </c>
      <c r="J323" s="120"/>
      <c r="K323" s="120" t="s">
        <v>204</v>
      </c>
      <c r="L323" s="120"/>
      <c r="M323" s="120"/>
      <c r="N323" s="120" t="s">
        <v>265</v>
      </c>
      <c r="O323" s="120" t="s">
        <v>338</v>
      </c>
      <c r="P323" s="124">
        <v>44054</v>
      </c>
      <c r="Q323" s="120" t="s">
        <v>1212</v>
      </c>
      <c r="R323" s="120" t="s">
        <v>886</v>
      </c>
      <c r="S323" s="120" t="s">
        <v>890</v>
      </c>
      <c r="T323" s="124">
        <v>45473</v>
      </c>
      <c r="U323" s="122">
        <v>3.7589999999999999</v>
      </c>
      <c r="V323" s="122">
        <v>1105.846</v>
      </c>
      <c r="W323" s="122">
        <v>4156.8751099999999</v>
      </c>
      <c r="X323" s="123">
        <v>5.5199999999999997E-4</v>
      </c>
      <c r="Y323" s="123">
        <v>7.18E-4</v>
      </c>
      <c r="Z323" s="123">
        <v>6.8999999999999997E-5</v>
      </c>
    </row>
    <row r="324" spans="1:26" ht="15" customHeight="1">
      <c r="A324" s="121">
        <v>313</v>
      </c>
      <c r="B324" s="121">
        <v>313</v>
      </c>
      <c r="C324" s="120" t="s">
        <v>2485</v>
      </c>
      <c r="D324" s="121"/>
      <c r="E324" s="120"/>
      <c r="F324" s="120" t="s">
        <v>2486</v>
      </c>
      <c r="G324" s="121">
        <v>60333663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223</v>
      </c>
      <c r="O324" s="120" t="s">
        <v>338</v>
      </c>
      <c r="P324" s="124">
        <v>41426</v>
      </c>
      <c r="Q324" s="120" t="s">
        <v>1212</v>
      </c>
      <c r="R324" s="120" t="s">
        <v>886</v>
      </c>
      <c r="S324" s="120" t="s">
        <v>890</v>
      </c>
      <c r="T324" s="124">
        <v>45473</v>
      </c>
      <c r="U324" s="122">
        <v>3.7589999999999999</v>
      </c>
      <c r="V324" s="122">
        <v>172.03282999999999</v>
      </c>
      <c r="W324" s="122">
        <v>646.67141000000004</v>
      </c>
      <c r="X324" s="123">
        <v>1.0399999999999999E-4</v>
      </c>
      <c r="Y324" s="123">
        <v>1.11E-4</v>
      </c>
      <c r="Z324" s="123">
        <v>1.0000000000000001E-5</v>
      </c>
    </row>
    <row r="325" spans="1:26" ht="15" customHeight="1">
      <c r="A325" s="121">
        <v>313</v>
      </c>
      <c r="B325" s="121">
        <v>313</v>
      </c>
      <c r="C325" s="120" t="s">
        <v>2161</v>
      </c>
      <c r="D325" s="121"/>
      <c r="E325" s="120"/>
      <c r="F325" s="120" t="s">
        <v>2487</v>
      </c>
      <c r="G325" s="121">
        <v>62013529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223</v>
      </c>
      <c r="O325" s="120" t="s">
        <v>338</v>
      </c>
      <c r="P325" s="124">
        <v>44789</v>
      </c>
      <c r="Q325" s="120" t="s">
        <v>1212</v>
      </c>
      <c r="R325" s="120" t="s">
        <v>886</v>
      </c>
      <c r="S325" s="120" t="s">
        <v>890</v>
      </c>
      <c r="T325" s="124">
        <v>45473</v>
      </c>
      <c r="U325" s="122">
        <v>3.7589999999999999</v>
      </c>
      <c r="V325" s="122">
        <v>31268.509669999999</v>
      </c>
      <c r="W325" s="122">
        <v>117538.32784</v>
      </c>
      <c r="X325" s="123">
        <v>5.9559000000000001E-2</v>
      </c>
      <c r="Y325" s="123">
        <v>2.0302000000000001E-2</v>
      </c>
      <c r="Z325" s="123">
        <v>1.9719999999999998E-3</v>
      </c>
    </row>
    <row r="326" spans="1:26" ht="15" customHeight="1">
      <c r="A326" s="121">
        <v>313</v>
      </c>
      <c r="B326" s="121">
        <v>313</v>
      </c>
      <c r="C326" s="120" t="s">
        <v>2378</v>
      </c>
      <c r="D326" s="121"/>
      <c r="E326" s="120"/>
      <c r="F326" s="120" t="s">
        <v>2488</v>
      </c>
      <c r="G326" s="121">
        <v>62005731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223</v>
      </c>
      <c r="O326" s="120" t="s">
        <v>338</v>
      </c>
      <c r="P326" s="124">
        <v>43009</v>
      </c>
      <c r="Q326" s="120" t="s">
        <v>1212</v>
      </c>
      <c r="R326" s="120" t="s">
        <v>886</v>
      </c>
      <c r="S326" s="120" t="s">
        <v>890</v>
      </c>
      <c r="T326" s="124">
        <v>45473</v>
      </c>
      <c r="U326" s="122">
        <v>3.7589999999999999</v>
      </c>
      <c r="V326" s="122">
        <v>6949.3854199999996</v>
      </c>
      <c r="W326" s="122">
        <v>26122.739799999999</v>
      </c>
      <c r="X326" s="123">
        <v>1.3780000000000001E-3</v>
      </c>
      <c r="Y326" s="123">
        <v>4.5120000000000004E-3</v>
      </c>
      <c r="Z326" s="123">
        <v>4.3800000000000002E-4</v>
      </c>
    </row>
    <row r="327" spans="1:26" ht="15" customHeight="1">
      <c r="A327" s="121">
        <v>313</v>
      </c>
      <c r="B327" s="121">
        <v>313</v>
      </c>
      <c r="C327" s="120" t="s">
        <v>2138</v>
      </c>
      <c r="D327" s="121"/>
      <c r="E327" s="120"/>
      <c r="F327" s="120" t="s">
        <v>2489</v>
      </c>
      <c r="G327" s="121">
        <v>62016597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295</v>
      </c>
      <c r="O327" s="120" t="s">
        <v>338</v>
      </c>
      <c r="P327" s="124">
        <v>43952</v>
      </c>
      <c r="Q327" s="120" t="s">
        <v>1216</v>
      </c>
      <c r="R327" s="120" t="s">
        <v>886</v>
      </c>
      <c r="S327" s="120" t="s">
        <v>890</v>
      </c>
      <c r="T327" s="124">
        <v>45473</v>
      </c>
      <c r="U327" s="122">
        <v>4.0202</v>
      </c>
      <c r="V327" s="122">
        <v>10930.868270000001</v>
      </c>
      <c r="W327" s="122">
        <v>43944.276610000001</v>
      </c>
      <c r="X327" s="123">
        <v>5.1400000000000003E-4</v>
      </c>
      <c r="Y327" s="123">
        <v>7.5900000000000004E-3</v>
      </c>
      <c r="Z327" s="123">
        <v>7.3700000000000002E-4</v>
      </c>
    </row>
    <row r="328" spans="1:26" ht="15" customHeight="1">
      <c r="A328" s="121">
        <v>313</v>
      </c>
      <c r="B328" s="121">
        <v>313</v>
      </c>
      <c r="C328" s="120" t="s">
        <v>2485</v>
      </c>
      <c r="D328" s="121"/>
      <c r="E328" s="120"/>
      <c r="F328" s="120" t="s">
        <v>2490</v>
      </c>
      <c r="G328" s="121">
        <v>60385416</v>
      </c>
      <c r="H328" s="120" t="s">
        <v>311</v>
      </c>
      <c r="I328" s="120" t="s">
        <v>1001</v>
      </c>
      <c r="J328" s="120"/>
      <c r="K328" s="120" t="s">
        <v>204</v>
      </c>
      <c r="L328" s="120"/>
      <c r="M328" s="120"/>
      <c r="N328" s="120" t="s">
        <v>292</v>
      </c>
      <c r="O328" s="120" t="s">
        <v>338</v>
      </c>
      <c r="P328" s="124">
        <v>42064</v>
      </c>
      <c r="Q328" s="120" t="s">
        <v>1216</v>
      </c>
      <c r="R328" s="120" t="s">
        <v>886</v>
      </c>
      <c r="S328" s="120" t="s">
        <v>890</v>
      </c>
      <c r="T328" s="124">
        <v>45473</v>
      </c>
      <c r="U328" s="122">
        <v>4.0202</v>
      </c>
      <c r="V328" s="122">
        <v>2076.1477500000001</v>
      </c>
      <c r="W328" s="122">
        <v>8346.5291899999993</v>
      </c>
      <c r="X328" s="123">
        <v>6.9200000000000002E-4</v>
      </c>
      <c r="Y328" s="123">
        <v>1.441E-3</v>
      </c>
      <c r="Z328" s="123">
        <v>1.3999999999999999E-4</v>
      </c>
    </row>
    <row r="329" spans="1:26" ht="15" customHeight="1">
      <c r="A329" s="121">
        <v>313</v>
      </c>
      <c r="B329" s="121">
        <v>313</v>
      </c>
      <c r="C329" s="120" t="s">
        <v>2491</v>
      </c>
      <c r="D329" s="121"/>
      <c r="E329" s="120"/>
      <c r="F329" s="120" t="s">
        <v>2492</v>
      </c>
      <c r="G329" s="121">
        <v>41000860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292</v>
      </c>
      <c r="O329" s="120" t="s">
        <v>338</v>
      </c>
      <c r="P329" s="124">
        <v>43513</v>
      </c>
      <c r="Q329" s="120" t="s">
        <v>1216</v>
      </c>
      <c r="R329" s="120" t="s">
        <v>886</v>
      </c>
      <c r="S329" s="120" t="s">
        <v>890</v>
      </c>
      <c r="T329" s="124">
        <v>45473</v>
      </c>
      <c r="U329" s="122">
        <v>4.0202</v>
      </c>
      <c r="V329" s="122">
        <v>161.44</v>
      </c>
      <c r="W329" s="122">
        <v>649.02108999999996</v>
      </c>
      <c r="X329" s="123">
        <v>8.0000000000000007E-5</v>
      </c>
      <c r="Y329" s="123">
        <v>1.12E-4</v>
      </c>
      <c r="Z329" s="123">
        <v>1.0000000000000001E-5</v>
      </c>
    </row>
    <row r="330" spans="1:26" ht="15" customHeight="1">
      <c r="A330" s="121">
        <v>313</v>
      </c>
      <c r="B330" s="121">
        <v>313</v>
      </c>
      <c r="C330" s="120" t="s">
        <v>2043</v>
      </c>
      <c r="D330" s="121"/>
      <c r="E330" s="120"/>
      <c r="F330" s="120" t="s">
        <v>2493</v>
      </c>
      <c r="G330" s="121">
        <v>36731</v>
      </c>
      <c r="H330" s="120" t="s">
        <v>311</v>
      </c>
      <c r="I330" s="120" t="s">
        <v>1001</v>
      </c>
      <c r="J330" s="120"/>
      <c r="K330" s="120" t="s">
        <v>204</v>
      </c>
      <c r="L330" s="120"/>
      <c r="M330" s="120"/>
      <c r="N330" s="120" t="s">
        <v>203</v>
      </c>
      <c r="O330" s="120" t="s">
        <v>338</v>
      </c>
      <c r="P330" s="124">
        <v>42004</v>
      </c>
      <c r="Q330" s="120" t="s">
        <v>1217</v>
      </c>
      <c r="R330" s="120" t="s">
        <v>886</v>
      </c>
      <c r="S330" s="120" t="s">
        <v>890</v>
      </c>
      <c r="T330" s="124">
        <v>45473</v>
      </c>
      <c r="U330" s="122">
        <v>1</v>
      </c>
      <c r="V330" s="122">
        <v>885.81338000000005</v>
      </c>
      <c r="W330" s="122">
        <v>885.81338000000005</v>
      </c>
      <c r="X330" s="123">
        <v>8.8500000000000004E-4</v>
      </c>
      <c r="Y330" s="123">
        <v>1.5300000000000001E-4</v>
      </c>
      <c r="Z330" s="123">
        <v>1.4E-5</v>
      </c>
    </row>
    <row r="331" spans="1:26" ht="15" customHeight="1">
      <c r="A331" s="121">
        <v>313</v>
      </c>
      <c r="B331" s="121">
        <v>313</v>
      </c>
      <c r="C331" s="120" t="s">
        <v>2124</v>
      </c>
      <c r="D331" s="121"/>
      <c r="E331" s="120"/>
      <c r="F331" s="120" t="s">
        <v>2494</v>
      </c>
      <c r="G331" s="121">
        <v>9840580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295</v>
      </c>
      <c r="O331" s="120" t="s">
        <v>338</v>
      </c>
      <c r="P331" s="124">
        <v>44788</v>
      </c>
      <c r="Q331" s="120" t="s">
        <v>1212</v>
      </c>
      <c r="R331" s="120" t="s">
        <v>886</v>
      </c>
      <c r="S331" s="120" t="s">
        <v>890</v>
      </c>
      <c r="T331" s="124">
        <v>45473</v>
      </c>
      <c r="U331" s="122">
        <v>3.7589999999999999</v>
      </c>
      <c r="V331" s="122">
        <v>37850.761319999998</v>
      </c>
      <c r="W331" s="122">
        <v>142281.01181</v>
      </c>
      <c r="X331" s="123">
        <v>0.25233800000000001</v>
      </c>
      <c r="Y331" s="123">
        <v>2.4576000000000001E-2</v>
      </c>
      <c r="Z331" s="123">
        <v>2.3869999999999998E-3</v>
      </c>
    </row>
    <row r="332" spans="1:26" ht="15" customHeight="1">
      <c r="A332" s="121">
        <v>313</v>
      </c>
      <c r="B332" s="121">
        <v>313</v>
      </c>
      <c r="C332" s="120" t="s">
        <v>2127</v>
      </c>
      <c r="D332" s="121"/>
      <c r="E332" s="120"/>
      <c r="F332" s="120" t="s">
        <v>2495</v>
      </c>
      <c r="G332" s="121">
        <v>42000900</v>
      </c>
      <c r="H332" s="120" t="s">
        <v>311</v>
      </c>
      <c r="I332" s="120" t="s">
        <v>1006</v>
      </c>
      <c r="J332" s="120"/>
      <c r="K332" s="120" t="s">
        <v>204</v>
      </c>
      <c r="L332" s="120"/>
      <c r="M332" s="120"/>
      <c r="N332" s="120" t="s">
        <v>223</v>
      </c>
      <c r="O332" s="120" t="s">
        <v>338</v>
      </c>
      <c r="P332" s="124">
        <v>43601</v>
      </c>
      <c r="Q332" s="120" t="s">
        <v>1212</v>
      </c>
      <c r="R332" s="120" t="s">
        <v>886</v>
      </c>
      <c r="S332" s="120" t="s">
        <v>890</v>
      </c>
      <c r="T332" s="124">
        <v>45473</v>
      </c>
      <c r="U332" s="122">
        <v>3.7589999999999999</v>
      </c>
      <c r="V332" s="122">
        <v>-14849.80523</v>
      </c>
      <c r="W332" s="122">
        <v>-55820.417860000001</v>
      </c>
      <c r="X332" s="123">
        <v>0</v>
      </c>
      <c r="Y332" s="123">
        <v>-9.6410000000000003E-3</v>
      </c>
      <c r="Z332" s="123">
        <v>-9.3599999999999998E-4</v>
      </c>
    </row>
    <row r="333" spans="1:26" ht="15" customHeight="1">
      <c r="A333" s="121">
        <v>313</v>
      </c>
      <c r="B333" s="121">
        <v>313</v>
      </c>
      <c r="C333" s="120" t="s">
        <v>2132</v>
      </c>
      <c r="D333" s="121"/>
      <c r="E333" s="120"/>
      <c r="F333" s="120" t="s">
        <v>2496</v>
      </c>
      <c r="G333" s="121">
        <v>41000804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292</v>
      </c>
      <c r="O333" s="120" t="s">
        <v>338</v>
      </c>
      <c r="P333" s="124">
        <v>43513</v>
      </c>
      <c r="Q333" s="120" t="s">
        <v>1216</v>
      </c>
      <c r="R333" s="120" t="s">
        <v>886</v>
      </c>
      <c r="S333" s="120" t="s">
        <v>890</v>
      </c>
      <c r="T333" s="124">
        <v>45473</v>
      </c>
      <c r="U333" s="122">
        <v>4.0202</v>
      </c>
      <c r="V333" s="122">
        <v>309.358</v>
      </c>
      <c r="W333" s="122">
        <v>1243.68103</v>
      </c>
      <c r="X333" s="123">
        <v>3.0899999999999998E-4</v>
      </c>
      <c r="Y333" s="123">
        <v>2.14E-4</v>
      </c>
      <c r="Z333" s="123">
        <v>2.0000000000000002E-5</v>
      </c>
    </row>
    <row r="334" spans="1:26" ht="15" customHeight="1">
      <c r="A334" s="121">
        <v>313</v>
      </c>
      <c r="B334" s="121">
        <v>313</v>
      </c>
      <c r="C334" s="120" t="s">
        <v>2124</v>
      </c>
      <c r="D334" s="121"/>
      <c r="E334" s="120"/>
      <c r="F334" s="120" t="s">
        <v>2497</v>
      </c>
      <c r="G334" s="121">
        <v>44000107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237</v>
      </c>
      <c r="O334" s="120" t="s">
        <v>338</v>
      </c>
      <c r="P334" s="124">
        <v>44946</v>
      </c>
      <c r="Q334" s="120" t="s">
        <v>1212</v>
      </c>
      <c r="R334" s="120" t="s">
        <v>886</v>
      </c>
      <c r="S334" s="120" t="s">
        <v>890</v>
      </c>
      <c r="T334" s="124">
        <v>45473</v>
      </c>
      <c r="U334" s="122">
        <v>3.7589999999999999</v>
      </c>
      <c r="V334" s="122">
        <v>4162.7467299999998</v>
      </c>
      <c r="W334" s="122">
        <v>15647.76496</v>
      </c>
      <c r="X334" s="123">
        <v>1.387E-3</v>
      </c>
      <c r="Y334" s="123">
        <v>2.702E-3</v>
      </c>
      <c r="Z334" s="123">
        <v>2.6200000000000003E-4</v>
      </c>
    </row>
    <row r="335" spans="1:26" ht="15" customHeight="1">
      <c r="A335" s="121">
        <v>313</v>
      </c>
      <c r="B335" s="121">
        <v>313</v>
      </c>
      <c r="C335" s="120" t="s">
        <v>2498</v>
      </c>
      <c r="D335" s="121"/>
      <c r="E335" s="120"/>
      <c r="F335" s="120" t="s">
        <v>2499</v>
      </c>
      <c r="G335" s="121">
        <v>62000153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267</v>
      </c>
      <c r="O335" s="120" t="s">
        <v>338</v>
      </c>
      <c r="P335" s="124">
        <v>42522</v>
      </c>
      <c r="Q335" s="120" t="s">
        <v>1212</v>
      </c>
      <c r="R335" s="120" t="s">
        <v>886</v>
      </c>
      <c r="S335" s="120" t="s">
        <v>890</v>
      </c>
      <c r="T335" s="124">
        <v>45473</v>
      </c>
      <c r="U335" s="122">
        <v>3.7589999999999999</v>
      </c>
      <c r="V335" s="122">
        <v>3860.8238299999998</v>
      </c>
      <c r="W335" s="122">
        <v>14512.83677</v>
      </c>
      <c r="X335" s="123">
        <v>1.853E-3</v>
      </c>
      <c r="Y335" s="123">
        <v>2.506E-3</v>
      </c>
      <c r="Z335" s="123">
        <v>2.43E-4</v>
      </c>
    </row>
    <row r="336" spans="1:26" ht="15" customHeight="1">
      <c r="A336" s="121">
        <v>313</v>
      </c>
      <c r="B336" s="121">
        <v>313</v>
      </c>
      <c r="C336" s="120" t="s">
        <v>2176</v>
      </c>
      <c r="D336" s="121"/>
      <c r="E336" s="120"/>
      <c r="F336" s="120" t="s">
        <v>2500</v>
      </c>
      <c r="G336" s="121">
        <v>62012079</v>
      </c>
      <c r="H336" s="120" t="s">
        <v>311</v>
      </c>
      <c r="I336" s="120" t="s">
        <v>1005</v>
      </c>
      <c r="J336" s="120"/>
      <c r="K336" s="120" t="s">
        <v>204</v>
      </c>
      <c r="L336" s="120"/>
      <c r="M336" s="120"/>
      <c r="N336" s="120" t="s">
        <v>281</v>
      </c>
      <c r="O336" s="120" t="s">
        <v>338</v>
      </c>
      <c r="P336" s="124">
        <v>43948</v>
      </c>
      <c r="Q336" s="120" t="s">
        <v>1229</v>
      </c>
      <c r="R336" s="120" t="s">
        <v>886</v>
      </c>
      <c r="S336" s="120" t="s">
        <v>890</v>
      </c>
      <c r="T336" s="124">
        <v>45473</v>
      </c>
      <c r="U336" s="122">
        <v>2.7412999999999998</v>
      </c>
      <c r="V336" s="122">
        <v>721.56034999999997</v>
      </c>
      <c r="W336" s="122">
        <v>1978.0133900000001</v>
      </c>
      <c r="X336" s="123">
        <v>7.2099999999999996E-4</v>
      </c>
      <c r="Y336" s="123">
        <v>3.4099999999999999E-4</v>
      </c>
      <c r="Z336" s="123">
        <v>3.3000000000000003E-5</v>
      </c>
    </row>
    <row r="337" spans="1:26" ht="15" customHeight="1">
      <c r="A337" s="121">
        <v>313</v>
      </c>
      <c r="B337" s="121">
        <v>313</v>
      </c>
      <c r="C337" s="120" t="s">
        <v>2035</v>
      </c>
      <c r="D337" s="121"/>
      <c r="E337" s="120"/>
      <c r="F337" s="120" t="s">
        <v>2501</v>
      </c>
      <c r="G337" s="121">
        <v>62021019</v>
      </c>
      <c r="H337" s="120" t="s">
        <v>311</v>
      </c>
      <c r="I337" s="120" t="s">
        <v>1006</v>
      </c>
      <c r="J337" s="120"/>
      <c r="K337" s="120" t="s">
        <v>204</v>
      </c>
      <c r="L337" s="120"/>
      <c r="M337" s="120"/>
      <c r="N337" s="120" t="s">
        <v>295</v>
      </c>
      <c r="O337" s="120" t="s">
        <v>338</v>
      </c>
      <c r="P337" s="124">
        <v>44824</v>
      </c>
      <c r="Q337" s="120" t="s">
        <v>1212</v>
      </c>
      <c r="R337" s="120" t="s">
        <v>886</v>
      </c>
      <c r="S337" s="120" t="s">
        <v>890</v>
      </c>
      <c r="T337" s="124">
        <v>45473</v>
      </c>
      <c r="U337" s="122">
        <v>3.7589999999999999</v>
      </c>
      <c r="V337" s="122">
        <v>1541.8344400000001</v>
      </c>
      <c r="W337" s="122">
        <v>5795.7556500000001</v>
      </c>
      <c r="X337" s="123">
        <v>3.8539999999999998E-3</v>
      </c>
      <c r="Y337" s="123">
        <v>1.0009999999999999E-3</v>
      </c>
      <c r="Z337" s="123">
        <v>9.7E-5</v>
      </c>
    </row>
    <row r="338" spans="1:26" ht="15" customHeight="1">
      <c r="A338" s="121">
        <v>313</v>
      </c>
      <c r="B338" s="121">
        <v>313</v>
      </c>
      <c r="C338" s="120" t="s">
        <v>2403</v>
      </c>
      <c r="D338" s="121"/>
      <c r="E338" s="120"/>
      <c r="F338" s="120" t="s">
        <v>2502</v>
      </c>
      <c r="G338" s="121">
        <v>62013572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223</v>
      </c>
      <c r="O338" s="120" t="s">
        <v>338</v>
      </c>
      <c r="P338" s="124">
        <v>43553</v>
      </c>
      <c r="Q338" s="120" t="s">
        <v>1212</v>
      </c>
      <c r="R338" s="120" t="s">
        <v>886</v>
      </c>
      <c r="S338" s="120" t="s">
        <v>890</v>
      </c>
      <c r="T338" s="124">
        <v>45473</v>
      </c>
      <c r="U338" s="122">
        <v>3.7589999999999999</v>
      </c>
      <c r="V338" s="122">
        <v>4082.9111800000001</v>
      </c>
      <c r="W338" s="122">
        <v>15347.66311</v>
      </c>
      <c r="X338" s="123">
        <v>1.3270000000000001E-3</v>
      </c>
      <c r="Y338" s="123">
        <v>2.6510000000000001E-3</v>
      </c>
      <c r="Z338" s="123">
        <v>2.5700000000000001E-4</v>
      </c>
    </row>
    <row r="339" spans="1:26" ht="15" customHeight="1">
      <c r="A339" s="121">
        <v>313</v>
      </c>
      <c r="B339" s="121">
        <v>313</v>
      </c>
      <c r="C339" s="120" t="s">
        <v>2196</v>
      </c>
      <c r="D339" s="121"/>
      <c r="E339" s="120"/>
      <c r="F339" s="120" t="s">
        <v>2503</v>
      </c>
      <c r="G339" s="121">
        <v>62019280</v>
      </c>
      <c r="H339" s="120" t="s">
        <v>311</v>
      </c>
      <c r="I339" s="120" t="s">
        <v>1005</v>
      </c>
      <c r="J339" s="120"/>
      <c r="K339" s="120" t="s">
        <v>204</v>
      </c>
      <c r="L339" s="120"/>
      <c r="M339" s="120"/>
      <c r="N339" s="120" t="s">
        <v>303</v>
      </c>
      <c r="O339" s="120" t="s">
        <v>338</v>
      </c>
      <c r="P339" s="124">
        <v>44440</v>
      </c>
      <c r="Q339" s="120" t="s">
        <v>1212</v>
      </c>
      <c r="R339" s="120" t="s">
        <v>886</v>
      </c>
      <c r="S339" s="120" t="s">
        <v>890</v>
      </c>
      <c r="T339" s="124">
        <v>45473</v>
      </c>
      <c r="U339" s="122">
        <v>3.7589999999999999</v>
      </c>
      <c r="V339" s="122">
        <v>2128.3560900000002</v>
      </c>
      <c r="W339" s="122">
        <v>8000.4905500000004</v>
      </c>
      <c r="X339" s="123">
        <v>2.5900000000000001E-4</v>
      </c>
      <c r="Y339" s="123">
        <v>1.3810000000000001E-3</v>
      </c>
      <c r="Z339" s="123">
        <v>1.34E-4</v>
      </c>
    </row>
    <row r="340" spans="1:26" ht="15" customHeight="1">
      <c r="A340" s="121">
        <v>313</v>
      </c>
      <c r="B340" s="121">
        <v>313</v>
      </c>
      <c r="C340" s="120" t="s">
        <v>2504</v>
      </c>
      <c r="D340" s="121"/>
      <c r="E340" s="120"/>
      <c r="F340" s="120" t="s">
        <v>2505</v>
      </c>
      <c r="G340" s="121">
        <v>60328044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223</v>
      </c>
      <c r="O340" s="120" t="s">
        <v>338</v>
      </c>
      <c r="P340" s="124">
        <v>41334</v>
      </c>
      <c r="Q340" s="120" t="s">
        <v>1212</v>
      </c>
      <c r="R340" s="120" t="s">
        <v>886</v>
      </c>
      <c r="S340" s="120" t="s">
        <v>890</v>
      </c>
      <c r="T340" s="124">
        <v>45473</v>
      </c>
      <c r="U340" s="122">
        <v>3.7589999999999999</v>
      </c>
      <c r="V340" s="122">
        <v>4109.2951700000003</v>
      </c>
      <c r="W340" s="122">
        <v>15446.840529999999</v>
      </c>
      <c r="X340" s="123">
        <v>1.2841E-2</v>
      </c>
      <c r="Y340" s="123">
        <v>2.6679999999999998E-3</v>
      </c>
      <c r="Z340" s="123">
        <v>2.5900000000000001E-4</v>
      </c>
    </row>
    <row r="341" spans="1:26" ht="15" customHeight="1">
      <c r="A341" s="121">
        <v>313</v>
      </c>
      <c r="B341" s="121">
        <v>313</v>
      </c>
      <c r="C341" s="120" t="s">
        <v>2165</v>
      </c>
      <c r="D341" s="121"/>
      <c r="E341" s="120"/>
      <c r="F341" s="120" t="s">
        <v>2506</v>
      </c>
      <c r="G341" s="121">
        <v>62018502</v>
      </c>
      <c r="H341" s="120" t="s">
        <v>311</v>
      </c>
      <c r="I341" s="120" t="s">
        <v>1005</v>
      </c>
      <c r="J341" s="120"/>
      <c r="K341" s="120" t="s">
        <v>204</v>
      </c>
      <c r="L341" s="120"/>
      <c r="M341" s="120"/>
      <c r="N341" s="120" t="s">
        <v>295</v>
      </c>
      <c r="O341" s="120" t="s">
        <v>338</v>
      </c>
      <c r="P341" s="124">
        <v>44348</v>
      </c>
      <c r="Q341" s="120" t="s">
        <v>1212</v>
      </c>
      <c r="R341" s="120" t="s">
        <v>886</v>
      </c>
      <c r="S341" s="120" t="s">
        <v>890</v>
      </c>
      <c r="T341" s="124">
        <v>45473</v>
      </c>
      <c r="U341" s="122">
        <v>3.7589999999999999</v>
      </c>
      <c r="V341" s="122">
        <v>14932.84756</v>
      </c>
      <c r="W341" s="122">
        <v>56132.573969999998</v>
      </c>
      <c r="X341" s="123">
        <v>9.7400000000000004E-4</v>
      </c>
      <c r="Y341" s="123">
        <v>9.6950000000000005E-3</v>
      </c>
      <c r="Z341" s="123">
        <v>9.41E-4</v>
      </c>
    </row>
    <row r="342" spans="1:26" ht="15" customHeight="1">
      <c r="A342" s="121">
        <v>313</v>
      </c>
      <c r="B342" s="121">
        <v>313</v>
      </c>
      <c r="C342" s="120" t="s">
        <v>2507</v>
      </c>
      <c r="D342" s="121"/>
      <c r="E342" s="120"/>
      <c r="F342" s="120" t="s">
        <v>2508</v>
      </c>
      <c r="G342" s="121">
        <v>60294100</v>
      </c>
      <c r="H342" s="120" t="s">
        <v>311</v>
      </c>
      <c r="I342" s="120" t="s">
        <v>1001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45016</v>
      </c>
      <c r="Q342" s="120" t="s">
        <v>1212</v>
      </c>
      <c r="R342" s="120" t="s">
        <v>886</v>
      </c>
      <c r="S342" s="120" t="s">
        <v>890</v>
      </c>
      <c r="T342" s="124">
        <v>45473</v>
      </c>
      <c r="U342" s="122">
        <v>3.7589999999999999</v>
      </c>
      <c r="V342" s="122">
        <v>0</v>
      </c>
      <c r="W342" s="122">
        <v>1.0000000000000001E-5</v>
      </c>
      <c r="X342" s="123">
        <v>0</v>
      </c>
      <c r="Y342" s="123">
        <v>0</v>
      </c>
      <c r="Z342" s="123">
        <v>0</v>
      </c>
    </row>
    <row r="343" spans="1:26" ht="15" customHeight="1">
      <c r="A343" s="121">
        <v>313</v>
      </c>
      <c r="B343" s="121">
        <v>313</v>
      </c>
      <c r="C343" s="120" t="s">
        <v>2401</v>
      </c>
      <c r="D343" s="121"/>
      <c r="E343" s="120"/>
      <c r="F343" s="120" t="s">
        <v>2509</v>
      </c>
      <c r="G343" s="121">
        <v>40000474</v>
      </c>
      <c r="H343" s="120" t="s">
        <v>311</v>
      </c>
      <c r="I343" s="120" t="s">
        <v>849</v>
      </c>
      <c r="J343" s="120"/>
      <c r="K343" s="120" t="s">
        <v>204</v>
      </c>
      <c r="L343" s="120"/>
      <c r="M343" s="120"/>
      <c r="N343" s="120" t="s">
        <v>292</v>
      </c>
      <c r="O343" s="120" t="s">
        <v>338</v>
      </c>
      <c r="P343" s="124">
        <v>43513</v>
      </c>
      <c r="Q343" s="120" t="s">
        <v>1216</v>
      </c>
      <c r="R343" s="120" t="s">
        <v>886</v>
      </c>
      <c r="S343" s="120" t="s">
        <v>890</v>
      </c>
      <c r="T343" s="124">
        <v>45473</v>
      </c>
      <c r="U343" s="122">
        <v>4.0202</v>
      </c>
      <c r="V343" s="122">
        <v>-1356.8064999999999</v>
      </c>
      <c r="W343" s="122">
        <v>-5454.6334900000002</v>
      </c>
      <c r="X343" s="123">
        <v>0</v>
      </c>
      <c r="Y343" s="123">
        <v>-9.4200000000000002E-4</v>
      </c>
      <c r="Z343" s="123">
        <v>-9.1000000000000003E-5</v>
      </c>
    </row>
    <row r="344" spans="1:26" ht="15" customHeight="1">
      <c r="A344" s="121">
        <v>313</v>
      </c>
      <c r="B344" s="121">
        <v>313</v>
      </c>
      <c r="C344" s="120" t="s">
        <v>2124</v>
      </c>
      <c r="D344" s="121"/>
      <c r="E344" s="120"/>
      <c r="F344" s="120" t="s">
        <v>2510</v>
      </c>
      <c r="G344" s="121">
        <v>44000100</v>
      </c>
      <c r="H344" s="120" t="s">
        <v>311</v>
      </c>
      <c r="I344" s="120" t="s">
        <v>1001</v>
      </c>
      <c r="J344" s="120"/>
      <c r="K344" s="120" t="s">
        <v>204</v>
      </c>
      <c r="L344" s="120"/>
      <c r="M344" s="120"/>
      <c r="N344" s="120" t="s">
        <v>295</v>
      </c>
      <c r="O344" s="120" t="s">
        <v>338</v>
      </c>
      <c r="P344" s="124">
        <v>44946</v>
      </c>
      <c r="Q344" s="120" t="s">
        <v>1212</v>
      </c>
      <c r="R344" s="120" t="s">
        <v>886</v>
      </c>
      <c r="S344" s="120" t="s">
        <v>890</v>
      </c>
      <c r="T344" s="124">
        <v>45473</v>
      </c>
      <c r="U344" s="122">
        <v>3.7589999999999999</v>
      </c>
      <c r="V344" s="122">
        <v>-37850.761319999998</v>
      </c>
      <c r="W344" s="122">
        <v>-142281.01180000001</v>
      </c>
      <c r="X344" s="123">
        <v>0</v>
      </c>
      <c r="Y344" s="123">
        <v>-2.4576000000000001E-2</v>
      </c>
      <c r="Z344" s="123">
        <v>-2.3869999999999998E-3</v>
      </c>
    </row>
    <row r="345" spans="1:26" ht="15" customHeight="1">
      <c r="A345" s="121">
        <v>313</v>
      </c>
      <c r="B345" s="121">
        <v>313</v>
      </c>
      <c r="C345" s="120" t="s">
        <v>2511</v>
      </c>
      <c r="D345" s="121"/>
      <c r="E345" s="120"/>
      <c r="F345" s="120" t="s">
        <v>2512</v>
      </c>
      <c r="G345" s="121">
        <v>62013926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223</v>
      </c>
      <c r="O345" s="120" t="s">
        <v>338</v>
      </c>
      <c r="P345" s="124">
        <v>43748</v>
      </c>
      <c r="Q345" s="120" t="s">
        <v>1212</v>
      </c>
      <c r="R345" s="120" t="s">
        <v>886</v>
      </c>
      <c r="S345" s="120" t="s">
        <v>890</v>
      </c>
      <c r="T345" s="124">
        <v>45473</v>
      </c>
      <c r="U345" s="122">
        <v>3.7589999999999999</v>
      </c>
      <c r="V345" s="122">
        <v>3249.8240300000002</v>
      </c>
      <c r="W345" s="122">
        <v>12216.088530000001</v>
      </c>
      <c r="X345" s="123">
        <v>5.2999999999999998E-4</v>
      </c>
      <c r="Y345" s="123">
        <v>2.1099999999999999E-3</v>
      </c>
      <c r="Z345" s="123">
        <v>2.05E-4</v>
      </c>
    </row>
    <row r="346" spans="1:26" ht="15" customHeight="1">
      <c r="A346" s="121">
        <v>313</v>
      </c>
      <c r="B346" s="121">
        <v>313</v>
      </c>
      <c r="C346" s="120" t="s">
        <v>2127</v>
      </c>
      <c r="D346" s="121"/>
      <c r="E346" s="120"/>
      <c r="F346" s="120" t="s">
        <v>2513</v>
      </c>
      <c r="G346" s="121">
        <v>42000908</v>
      </c>
      <c r="H346" s="120" t="s">
        <v>311</v>
      </c>
      <c r="I346" s="120" t="s">
        <v>849</v>
      </c>
      <c r="J346" s="120"/>
      <c r="K346" s="120" t="s">
        <v>204</v>
      </c>
      <c r="L346" s="120"/>
      <c r="M346" s="120"/>
      <c r="N346" s="120" t="s">
        <v>223</v>
      </c>
      <c r="O346" s="120" t="s">
        <v>338</v>
      </c>
      <c r="P346" s="124">
        <v>43601</v>
      </c>
      <c r="Q346" s="120" t="s">
        <v>1212</v>
      </c>
      <c r="R346" s="120" t="s">
        <v>886</v>
      </c>
      <c r="S346" s="120" t="s">
        <v>890</v>
      </c>
      <c r="T346" s="124">
        <v>45473</v>
      </c>
      <c r="U346" s="122">
        <v>3.7589999999999999</v>
      </c>
      <c r="V346" s="122">
        <v>890.92123000000004</v>
      </c>
      <c r="W346" s="122">
        <v>3348.9729000000002</v>
      </c>
      <c r="X346" s="123">
        <v>8.8999999999999995E-4</v>
      </c>
      <c r="Y346" s="123">
        <v>5.7799999999999995E-4</v>
      </c>
      <c r="Z346" s="123">
        <v>5.5999999999999999E-5</v>
      </c>
    </row>
    <row r="347" spans="1:26" ht="15" customHeight="1">
      <c r="A347" s="121">
        <v>313</v>
      </c>
      <c r="B347" s="121">
        <v>313</v>
      </c>
      <c r="C347" s="120" t="s">
        <v>2124</v>
      </c>
      <c r="D347" s="121"/>
      <c r="E347" s="120"/>
      <c r="F347" s="120" t="s">
        <v>2124</v>
      </c>
      <c r="G347" s="121">
        <v>9840573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292</v>
      </c>
      <c r="O347" s="120" t="s">
        <v>338</v>
      </c>
      <c r="P347" s="124">
        <v>43800</v>
      </c>
      <c r="Q347" s="120" t="s">
        <v>1212</v>
      </c>
      <c r="R347" s="120" t="s">
        <v>886</v>
      </c>
      <c r="S347" s="120" t="s">
        <v>890</v>
      </c>
      <c r="T347" s="124">
        <v>45473</v>
      </c>
      <c r="U347" s="122">
        <v>3.7589999999999999</v>
      </c>
      <c r="V347" s="122">
        <v>16249.447770000001</v>
      </c>
      <c r="W347" s="122">
        <v>61081.674160000002</v>
      </c>
      <c r="X347" s="123">
        <v>7.4088000000000001E-2</v>
      </c>
      <c r="Y347" s="123">
        <v>1.055E-2</v>
      </c>
      <c r="Z347" s="123">
        <v>1.0250000000000001E-3</v>
      </c>
    </row>
    <row r="348" spans="1:26" ht="15" customHeight="1">
      <c r="A348" s="121">
        <v>313</v>
      </c>
      <c r="B348" s="121">
        <v>313</v>
      </c>
      <c r="C348" s="120" t="s">
        <v>2514</v>
      </c>
      <c r="D348" s="121"/>
      <c r="E348" s="120"/>
      <c r="F348" s="120" t="s">
        <v>2515</v>
      </c>
      <c r="G348" s="121">
        <v>60409687</v>
      </c>
      <c r="H348" s="120" t="s">
        <v>311</v>
      </c>
      <c r="I348" s="120" t="s">
        <v>1006</v>
      </c>
      <c r="J348" s="120"/>
      <c r="K348" s="120" t="s">
        <v>204</v>
      </c>
      <c r="L348" s="120"/>
      <c r="M348" s="120"/>
      <c r="N348" s="120" t="s">
        <v>223</v>
      </c>
      <c r="O348" s="120" t="s">
        <v>338</v>
      </c>
      <c r="P348" s="124">
        <v>42522</v>
      </c>
      <c r="Q348" s="120" t="s">
        <v>1212</v>
      </c>
      <c r="R348" s="120" t="s">
        <v>886</v>
      </c>
      <c r="S348" s="120" t="s">
        <v>890</v>
      </c>
      <c r="T348" s="124">
        <v>45473</v>
      </c>
      <c r="U348" s="122">
        <v>3.7589999999999999</v>
      </c>
      <c r="V348" s="122">
        <v>6814.3746000000001</v>
      </c>
      <c r="W348" s="122">
        <v>25615.234120000001</v>
      </c>
      <c r="X348" s="123">
        <v>1.5487000000000001E-2</v>
      </c>
      <c r="Y348" s="123">
        <v>4.424E-3</v>
      </c>
      <c r="Z348" s="123">
        <v>4.2900000000000002E-4</v>
      </c>
    </row>
    <row r="349" spans="1:26" ht="15" customHeight="1">
      <c r="A349" s="121">
        <v>313</v>
      </c>
      <c r="B349" s="121">
        <v>313</v>
      </c>
      <c r="C349" s="120" t="s">
        <v>2138</v>
      </c>
      <c r="D349" s="121"/>
      <c r="E349" s="120"/>
      <c r="F349" s="120" t="s">
        <v>2516</v>
      </c>
      <c r="G349" s="121">
        <v>62010020</v>
      </c>
      <c r="H349" s="120" t="s">
        <v>311</v>
      </c>
      <c r="I349" s="120" t="s">
        <v>1006</v>
      </c>
      <c r="J349" s="120"/>
      <c r="K349" s="120" t="s">
        <v>204</v>
      </c>
      <c r="L349" s="120"/>
      <c r="M349" s="120"/>
      <c r="N349" s="120" t="s">
        <v>223</v>
      </c>
      <c r="O349" s="120" t="s">
        <v>338</v>
      </c>
      <c r="P349" s="124">
        <v>43344</v>
      </c>
      <c r="Q349" s="120" t="s">
        <v>1212</v>
      </c>
      <c r="R349" s="120" t="s">
        <v>886</v>
      </c>
      <c r="S349" s="120" t="s">
        <v>890</v>
      </c>
      <c r="T349" s="124">
        <v>45473</v>
      </c>
      <c r="U349" s="122">
        <v>3.7589999999999999</v>
      </c>
      <c r="V349" s="122">
        <v>3494.1419700000001</v>
      </c>
      <c r="W349" s="122">
        <v>13134.479670000001</v>
      </c>
      <c r="X349" s="123">
        <v>2.565E-3</v>
      </c>
      <c r="Y349" s="123">
        <v>2.2680000000000001E-3</v>
      </c>
      <c r="Z349" s="123">
        <v>2.2000000000000001E-4</v>
      </c>
    </row>
    <row r="350" spans="1:26" ht="15" customHeight="1">
      <c r="A350" s="121">
        <v>313</v>
      </c>
      <c r="B350" s="121">
        <v>313</v>
      </c>
      <c r="C350" s="120" t="s">
        <v>2517</v>
      </c>
      <c r="D350" s="121"/>
      <c r="E350" s="120"/>
      <c r="F350" s="120" t="s">
        <v>2518</v>
      </c>
      <c r="G350" s="121">
        <v>41000828</v>
      </c>
      <c r="H350" s="120" t="s">
        <v>311</v>
      </c>
      <c r="I350" s="120" t="s">
        <v>1001</v>
      </c>
      <c r="J350" s="120"/>
      <c r="K350" s="120" t="s">
        <v>204</v>
      </c>
      <c r="L350" s="120"/>
      <c r="M350" s="120"/>
      <c r="N350" s="120" t="s">
        <v>292</v>
      </c>
      <c r="O350" s="120" t="s">
        <v>338</v>
      </c>
      <c r="P350" s="124">
        <v>43513</v>
      </c>
      <c r="Q350" s="120" t="s">
        <v>1216</v>
      </c>
      <c r="R350" s="120" t="s">
        <v>886</v>
      </c>
      <c r="S350" s="120" t="s">
        <v>890</v>
      </c>
      <c r="T350" s="124">
        <v>45473</v>
      </c>
      <c r="U350" s="122">
        <v>4.0202</v>
      </c>
      <c r="V350" s="122">
        <v>1068.0889999999999</v>
      </c>
      <c r="W350" s="122">
        <v>4293.9314000000004</v>
      </c>
      <c r="X350" s="123">
        <v>5.3399999999999997E-4</v>
      </c>
      <c r="Y350" s="123">
        <v>7.4100000000000001E-4</v>
      </c>
      <c r="Z350" s="123">
        <v>7.2000000000000002E-5</v>
      </c>
    </row>
    <row r="351" spans="1:26" ht="15" customHeight="1">
      <c r="A351" s="121">
        <v>313</v>
      </c>
      <c r="B351" s="121">
        <v>313</v>
      </c>
      <c r="C351" s="120" t="s">
        <v>2138</v>
      </c>
      <c r="D351" s="121"/>
      <c r="E351" s="120"/>
      <c r="F351" s="120" t="s">
        <v>2519</v>
      </c>
      <c r="G351" s="121">
        <v>62010988</v>
      </c>
      <c r="H351" s="120" t="s">
        <v>311</v>
      </c>
      <c r="I351" s="120" t="s">
        <v>1001</v>
      </c>
      <c r="J351" s="120"/>
      <c r="K351" s="120" t="s">
        <v>204</v>
      </c>
      <c r="L351" s="120"/>
      <c r="M351" s="120"/>
      <c r="N351" s="120" t="s">
        <v>292</v>
      </c>
      <c r="O351" s="120" t="s">
        <v>338</v>
      </c>
      <c r="P351" s="124">
        <v>43344</v>
      </c>
      <c r="Q351" s="120" t="s">
        <v>1216</v>
      </c>
      <c r="R351" s="120" t="s">
        <v>886</v>
      </c>
      <c r="S351" s="120" t="s">
        <v>890</v>
      </c>
      <c r="T351" s="124">
        <v>45473</v>
      </c>
      <c r="U351" s="122">
        <v>4.0202</v>
      </c>
      <c r="V351" s="122">
        <v>2112.82935</v>
      </c>
      <c r="W351" s="122">
        <v>8493.9965499999998</v>
      </c>
      <c r="X351" s="123">
        <v>2.081E-3</v>
      </c>
      <c r="Y351" s="123">
        <v>1.467E-3</v>
      </c>
      <c r="Z351" s="123">
        <v>1.4200000000000001E-4</v>
      </c>
    </row>
    <row r="352" spans="1:26" ht="15" customHeight="1">
      <c r="A352" s="121">
        <v>313</v>
      </c>
      <c r="B352" s="121">
        <v>313</v>
      </c>
      <c r="C352" s="120" t="s">
        <v>2161</v>
      </c>
      <c r="D352" s="121"/>
      <c r="E352" s="120"/>
      <c r="F352" s="120" t="s">
        <v>2520</v>
      </c>
      <c r="G352" s="121">
        <v>60413220</v>
      </c>
      <c r="H352" s="120" t="s">
        <v>311</v>
      </c>
      <c r="I352" s="120" t="s">
        <v>1001</v>
      </c>
      <c r="J352" s="120"/>
      <c r="K352" s="120" t="s">
        <v>204</v>
      </c>
      <c r="L352" s="120"/>
      <c r="M352" s="120"/>
      <c r="N352" s="120" t="s">
        <v>288</v>
      </c>
      <c r="O352" s="120" t="s">
        <v>338</v>
      </c>
      <c r="P352" s="124">
        <v>44791</v>
      </c>
      <c r="Q352" s="120" t="s">
        <v>1212</v>
      </c>
      <c r="R352" s="120" t="s">
        <v>886</v>
      </c>
      <c r="S352" s="120" t="s">
        <v>890</v>
      </c>
      <c r="T352" s="124">
        <v>45473</v>
      </c>
      <c r="U352" s="122">
        <v>3.7589999999999999</v>
      </c>
      <c r="V352" s="122">
        <v>4233.0702899999997</v>
      </c>
      <c r="W352" s="122">
        <v>15912.111220000001</v>
      </c>
      <c r="X352" s="123">
        <v>1.6281E-2</v>
      </c>
      <c r="Y352" s="123">
        <v>2.748E-3</v>
      </c>
      <c r="Z352" s="123">
        <v>2.6699999999999998E-4</v>
      </c>
    </row>
    <row r="353" spans="1:26" ht="15" customHeight="1">
      <c r="A353" s="121">
        <v>313</v>
      </c>
      <c r="B353" s="121">
        <v>313</v>
      </c>
      <c r="C353" s="120" t="s">
        <v>2155</v>
      </c>
      <c r="D353" s="121"/>
      <c r="E353" s="120"/>
      <c r="F353" s="120" t="s">
        <v>2521</v>
      </c>
      <c r="G353" s="121">
        <v>62018957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292</v>
      </c>
      <c r="O353" s="120" t="s">
        <v>338</v>
      </c>
      <c r="P353" s="124">
        <v>44378</v>
      </c>
      <c r="Q353" s="120" t="s">
        <v>1216</v>
      </c>
      <c r="R353" s="120" t="s">
        <v>886</v>
      </c>
      <c r="S353" s="120" t="s">
        <v>890</v>
      </c>
      <c r="T353" s="124">
        <v>45473</v>
      </c>
      <c r="U353" s="122">
        <v>4.0202</v>
      </c>
      <c r="V353" s="122">
        <v>11090.53674</v>
      </c>
      <c r="W353" s="122">
        <v>44586.175819999997</v>
      </c>
      <c r="X353" s="123">
        <v>1.369E-3</v>
      </c>
      <c r="Y353" s="123">
        <v>7.7010000000000004E-3</v>
      </c>
      <c r="Z353" s="123">
        <v>7.4799999999999997E-4</v>
      </c>
    </row>
    <row r="354" spans="1:26" ht="15" customHeight="1">
      <c r="A354" s="121">
        <v>313</v>
      </c>
      <c r="B354" s="121">
        <v>313</v>
      </c>
      <c r="C354" s="120" t="s">
        <v>2258</v>
      </c>
      <c r="D354" s="121"/>
      <c r="E354" s="120"/>
      <c r="F354" s="120" t="s">
        <v>2522</v>
      </c>
      <c r="G354" s="121">
        <v>62018025</v>
      </c>
      <c r="H354" s="120" t="s">
        <v>311</v>
      </c>
      <c r="I354" s="120" t="s">
        <v>1005</v>
      </c>
      <c r="J354" s="120"/>
      <c r="K354" s="120" t="s">
        <v>204</v>
      </c>
      <c r="L354" s="120"/>
      <c r="M354" s="120"/>
      <c r="N354" s="120" t="s">
        <v>292</v>
      </c>
      <c r="O354" s="120" t="s">
        <v>338</v>
      </c>
      <c r="P354" s="124">
        <v>44958</v>
      </c>
      <c r="Q354" s="120" t="s">
        <v>1216</v>
      </c>
      <c r="R354" s="120" t="s">
        <v>886</v>
      </c>
      <c r="S354" s="120" t="s">
        <v>890</v>
      </c>
      <c r="T354" s="124">
        <v>45473</v>
      </c>
      <c r="U354" s="122">
        <v>4.0202</v>
      </c>
      <c r="V354" s="122">
        <v>6274.893</v>
      </c>
      <c r="W354" s="122">
        <v>25226.324830000001</v>
      </c>
      <c r="X354" s="123">
        <v>2.5099E-2</v>
      </c>
      <c r="Y354" s="123">
        <v>4.3569999999999998E-3</v>
      </c>
      <c r="Z354" s="123">
        <v>4.2299999999999998E-4</v>
      </c>
    </row>
    <row r="355" spans="1:26" ht="15" customHeight="1">
      <c r="A355" s="121">
        <v>313</v>
      </c>
      <c r="B355" s="121">
        <v>313</v>
      </c>
      <c r="C355" s="120" t="s">
        <v>2176</v>
      </c>
      <c r="D355" s="121"/>
      <c r="E355" s="120"/>
      <c r="F355" s="120" t="s">
        <v>2523</v>
      </c>
      <c r="G355" s="121">
        <v>62016837</v>
      </c>
      <c r="H355" s="120" t="s">
        <v>311</v>
      </c>
      <c r="I355" s="120" t="s">
        <v>1005</v>
      </c>
      <c r="J355" s="120"/>
      <c r="K355" s="120" t="s">
        <v>204</v>
      </c>
      <c r="L355" s="120"/>
      <c r="M355" s="120"/>
      <c r="N355" s="120" t="s">
        <v>281</v>
      </c>
      <c r="O355" s="120" t="s">
        <v>338</v>
      </c>
      <c r="P355" s="124">
        <v>44012</v>
      </c>
      <c r="Q355" s="120" t="s">
        <v>1229</v>
      </c>
      <c r="R355" s="120" t="s">
        <v>886</v>
      </c>
      <c r="S355" s="120" t="s">
        <v>890</v>
      </c>
      <c r="T355" s="124">
        <v>45473</v>
      </c>
      <c r="U355" s="122">
        <v>2.7412999999999998</v>
      </c>
      <c r="V355" s="122">
        <v>1146.7018399999999</v>
      </c>
      <c r="W355" s="122">
        <v>3143.4537500000001</v>
      </c>
      <c r="X355" s="123">
        <v>1.1460000000000001E-3</v>
      </c>
      <c r="Y355" s="123">
        <v>5.4199999999999995E-4</v>
      </c>
      <c r="Z355" s="123">
        <v>5.1999999999999997E-5</v>
      </c>
    </row>
    <row r="356" spans="1:26" ht="15" customHeight="1">
      <c r="A356" s="121">
        <v>313</v>
      </c>
      <c r="B356" s="121">
        <v>313</v>
      </c>
      <c r="C356" s="120" t="s">
        <v>2524</v>
      </c>
      <c r="D356" s="121"/>
      <c r="E356" s="120"/>
      <c r="F356" s="120" t="s">
        <v>2525</v>
      </c>
      <c r="G356" s="121">
        <v>60402626</v>
      </c>
      <c r="H356" s="120" t="s">
        <v>311</v>
      </c>
      <c r="I356" s="120" t="s">
        <v>1005</v>
      </c>
      <c r="J356" s="120"/>
      <c r="K356" s="120" t="s">
        <v>204</v>
      </c>
      <c r="L356" s="120"/>
      <c r="M356" s="120"/>
      <c r="N356" s="120" t="s">
        <v>292</v>
      </c>
      <c r="O356" s="120" t="s">
        <v>338</v>
      </c>
      <c r="P356" s="124">
        <v>42401</v>
      </c>
      <c r="Q356" s="120" t="s">
        <v>1216</v>
      </c>
      <c r="R356" s="120" t="s">
        <v>886</v>
      </c>
      <c r="S356" s="120" t="s">
        <v>890</v>
      </c>
      <c r="T356" s="124">
        <v>45473</v>
      </c>
      <c r="U356" s="122">
        <v>4.0202</v>
      </c>
      <c r="V356" s="122">
        <v>12515.340749999999</v>
      </c>
      <c r="W356" s="122">
        <v>50314.172879999998</v>
      </c>
      <c r="X356" s="123">
        <v>1.5762000000000002E-2</v>
      </c>
      <c r="Y356" s="123">
        <v>8.6899999999999998E-3</v>
      </c>
      <c r="Z356" s="123">
        <v>8.4400000000000002E-4</v>
      </c>
    </row>
    <row r="357" spans="1:26" ht="15" customHeight="1">
      <c r="A357" s="121">
        <v>313</v>
      </c>
      <c r="B357" s="121">
        <v>313</v>
      </c>
      <c r="C357" s="120" t="s">
        <v>2526</v>
      </c>
      <c r="D357" s="121"/>
      <c r="E357" s="120"/>
      <c r="F357" s="120" t="s">
        <v>2527</v>
      </c>
      <c r="G357" s="121">
        <v>62018173</v>
      </c>
      <c r="H357" s="120" t="s">
        <v>311</v>
      </c>
      <c r="I357" s="120" t="s">
        <v>1001</v>
      </c>
      <c r="J357" s="120"/>
      <c r="K357" s="120" t="s">
        <v>204</v>
      </c>
      <c r="L357" s="120"/>
      <c r="M357" s="120"/>
      <c r="N357" s="120" t="s">
        <v>292</v>
      </c>
      <c r="O357" s="120" t="s">
        <v>338</v>
      </c>
      <c r="P357" s="124">
        <v>44378</v>
      </c>
      <c r="Q357" s="120" t="s">
        <v>1212</v>
      </c>
      <c r="R357" s="120" t="s">
        <v>886</v>
      </c>
      <c r="S357" s="120" t="s">
        <v>890</v>
      </c>
      <c r="T357" s="124">
        <v>45473</v>
      </c>
      <c r="U357" s="122">
        <v>3.7589999999999999</v>
      </c>
      <c r="V357" s="122">
        <v>965.80017999999995</v>
      </c>
      <c r="W357" s="122">
        <v>3630.4428699999999</v>
      </c>
      <c r="X357" s="123">
        <v>2.6600000000000001E-4</v>
      </c>
      <c r="Y357" s="123">
        <v>6.2699999999999995E-4</v>
      </c>
      <c r="Z357" s="123">
        <v>6.0000000000000002E-5</v>
      </c>
    </row>
    <row r="358" spans="1:26" ht="15" customHeight="1">
      <c r="A358" s="121">
        <v>313</v>
      </c>
      <c r="B358" s="121">
        <v>313</v>
      </c>
      <c r="C358" s="120" t="s">
        <v>2132</v>
      </c>
      <c r="D358" s="121"/>
      <c r="E358" s="120"/>
      <c r="F358" s="120" t="s">
        <v>2528</v>
      </c>
      <c r="G358" s="121">
        <v>40000804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292</v>
      </c>
      <c r="O358" s="120" t="s">
        <v>338</v>
      </c>
      <c r="P358" s="124">
        <v>43513</v>
      </c>
      <c r="Q358" s="120" t="s">
        <v>1216</v>
      </c>
      <c r="R358" s="120" t="s">
        <v>886</v>
      </c>
      <c r="S358" s="120" t="s">
        <v>890</v>
      </c>
      <c r="T358" s="124">
        <v>45473</v>
      </c>
      <c r="U358" s="122">
        <v>4.0202</v>
      </c>
      <c r="V358" s="122">
        <v>16.062000000000001</v>
      </c>
      <c r="W358" s="122">
        <v>64.572450000000003</v>
      </c>
      <c r="X358" s="123">
        <v>4.5000000000000003E-5</v>
      </c>
      <c r="Y358" s="123">
        <v>1.1E-5</v>
      </c>
      <c r="Z358" s="123">
        <v>9.9999999999999995E-7</v>
      </c>
    </row>
    <row r="359" spans="1:26" ht="15" customHeight="1">
      <c r="A359" s="121">
        <v>313</v>
      </c>
      <c r="B359" s="121">
        <v>313</v>
      </c>
      <c r="C359" s="120" t="s">
        <v>2529</v>
      </c>
      <c r="D359" s="121"/>
      <c r="E359" s="120"/>
      <c r="F359" s="120" t="s">
        <v>2530</v>
      </c>
      <c r="G359" s="121">
        <v>62014040</v>
      </c>
      <c r="H359" s="120" t="s">
        <v>311</v>
      </c>
      <c r="I359" s="120" t="s">
        <v>1001</v>
      </c>
      <c r="J359" s="120"/>
      <c r="K359" s="120" t="s">
        <v>204</v>
      </c>
      <c r="L359" s="120"/>
      <c r="M359" s="120"/>
      <c r="N359" s="120" t="s">
        <v>223</v>
      </c>
      <c r="O359" s="120" t="s">
        <v>338</v>
      </c>
      <c r="P359" s="124">
        <v>45350</v>
      </c>
      <c r="Q359" s="120" t="s">
        <v>1212</v>
      </c>
      <c r="R359" s="120" t="s">
        <v>886</v>
      </c>
      <c r="S359" s="120" t="s">
        <v>890</v>
      </c>
      <c r="T359" s="124">
        <v>45473</v>
      </c>
      <c r="U359" s="122">
        <v>3.7589999999999999</v>
      </c>
      <c r="V359" s="122">
        <v>803.58082999999999</v>
      </c>
      <c r="W359" s="122">
        <v>3020.6603300000002</v>
      </c>
      <c r="X359" s="123">
        <v>2.3526999999999999E-2</v>
      </c>
      <c r="Y359" s="123">
        <v>5.2099999999999998E-4</v>
      </c>
      <c r="Z359" s="123">
        <v>5.0000000000000002E-5</v>
      </c>
    </row>
    <row r="360" spans="1:26" ht="15" customHeight="1">
      <c r="A360" s="121">
        <v>313</v>
      </c>
      <c r="B360" s="121">
        <v>313</v>
      </c>
      <c r="C360" s="120" t="s">
        <v>2035</v>
      </c>
      <c r="D360" s="121"/>
      <c r="E360" s="120"/>
      <c r="F360" s="120" t="s">
        <v>2531</v>
      </c>
      <c r="G360" s="121">
        <v>62017769</v>
      </c>
      <c r="H360" s="120" t="s">
        <v>311</v>
      </c>
      <c r="I360" s="120" t="s">
        <v>1006</v>
      </c>
      <c r="J360" s="120"/>
      <c r="K360" s="120" t="s">
        <v>204</v>
      </c>
      <c r="L360" s="120"/>
      <c r="M360" s="120"/>
      <c r="N360" s="120" t="s">
        <v>295</v>
      </c>
      <c r="O360" s="120" t="s">
        <v>338</v>
      </c>
      <c r="P360" s="124">
        <v>44166</v>
      </c>
      <c r="Q360" s="120" t="s">
        <v>1212</v>
      </c>
      <c r="R360" s="120" t="s">
        <v>886</v>
      </c>
      <c r="S360" s="120" t="s">
        <v>890</v>
      </c>
      <c r="T360" s="124">
        <v>45473</v>
      </c>
      <c r="U360" s="122">
        <v>3.7589999999999999</v>
      </c>
      <c r="V360" s="122">
        <v>2843.8179</v>
      </c>
      <c r="W360" s="122">
        <v>10689.91149</v>
      </c>
      <c r="X360" s="123">
        <v>2.3698E-2</v>
      </c>
      <c r="Y360" s="123">
        <v>1.846E-3</v>
      </c>
      <c r="Z360" s="123">
        <v>1.7899999999999999E-4</v>
      </c>
    </row>
    <row r="361" spans="1:26" ht="15" customHeight="1">
      <c r="A361" s="121">
        <v>313</v>
      </c>
      <c r="B361" s="121">
        <v>313</v>
      </c>
      <c r="C361" s="120" t="s">
        <v>2138</v>
      </c>
      <c r="D361" s="121"/>
      <c r="E361" s="120"/>
      <c r="F361" s="120" t="s">
        <v>2532</v>
      </c>
      <c r="G361" s="121">
        <v>62005608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292</v>
      </c>
      <c r="O361" s="120" t="s">
        <v>338</v>
      </c>
      <c r="P361" s="124">
        <v>43101</v>
      </c>
      <c r="Q361" s="120" t="s">
        <v>1216</v>
      </c>
      <c r="R361" s="120" t="s">
        <v>886</v>
      </c>
      <c r="S361" s="120" t="s">
        <v>890</v>
      </c>
      <c r="T361" s="124">
        <v>45473</v>
      </c>
      <c r="U361" s="122">
        <v>4.0202</v>
      </c>
      <c r="V361" s="122">
        <v>3481.3686699999998</v>
      </c>
      <c r="W361" s="122">
        <v>13995.798339999999</v>
      </c>
      <c r="X361" s="123">
        <v>5.8019999999999999E-3</v>
      </c>
      <c r="Y361" s="123">
        <v>2.4169999999999999E-3</v>
      </c>
      <c r="Z361" s="123">
        <v>2.34E-4</v>
      </c>
    </row>
    <row r="362" spans="1:26" ht="15" customHeight="1">
      <c r="A362" s="121">
        <v>313</v>
      </c>
      <c r="B362" s="121">
        <v>313</v>
      </c>
      <c r="C362" s="120" t="s">
        <v>2533</v>
      </c>
      <c r="D362" s="121"/>
      <c r="E362" s="120"/>
      <c r="F362" s="120" t="s">
        <v>2534</v>
      </c>
      <c r="G362" s="121">
        <v>62021401</v>
      </c>
      <c r="H362" s="120" t="s">
        <v>311</v>
      </c>
      <c r="I362" s="120" t="s">
        <v>1005</v>
      </c>
      <c r="J362" s="120"/>
      <c r="K362" s="120" t="s">
        <v>204</v>
      </c>
      <c r="L362" s="120"/>
      <c r="M362" s="120"/>
      <c r="N362" s="120" t="s">
        <v>223</v>
      </c>
      <c r="O362" s="120" t="s">
        <v>338</v>
      </c>
      <c r="P362" s="124">
        <v>45315</v>
      </c>
      <c r="Q362" s="120" t="s">
        <v>1212</v>
      </c>
      <c r="R362" s="120" t="s">
        <v>886</v>
      </c>
      <c r="S362" s="120" t="s">
        <v>890</v>
      </c>
      <c r="T362" s="124">
        <v>45473</v>
      </c>
      <c r="U362" s="122">
        <v>3.7589999999999999</v>
      </c>
      <c r="V362" s="122">
        <v>3906.91489</v>
      </c>
      <c r="W362" s="122">
        <v>14686.093070000001</v>
      </c>
      <c r="X362" s="123">
        <v>2.0004000000000001E-2</v>
      </c>
      <c r="Y362" s="123">
        <v>2.5360000000000001E-3</v>
      </c>
      <c r="Z362" s="123">
        <v>2.4600000000000002E-4</v>
      </c>
    </row>
    <row r="363" spans="1:26" ht="15" customHeight="1">
      <c r="A363" s="121">
        <v>313</v>
      </c>
      <c r="B363" s="121">
        <v>313</v>
      </c>
      <c r="C363" s="120" t="s">
        <v>2419</v>
      </c>
      <c r="D363" s="121"/>
      <c r="E363" s="120"/>
      <c r="F363" s="120" t="s">
        <v>2535</v>
      </c>
      <c r="G363" s="121">
        <v>60303385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295</v>
      </c>
      <c r="O363" s="120" t="s">
        <v>338</v>
      </c>
      <c r="P363" s="124">
        <v>41030</v>
      </c>
      <c r="Q363" s="120" t="s">
        <v>1212</v>
      </c>
      <c r="R363" s="120" t="s">
        <v>886</v>
      </c>
      <c r="S363" s="120" t="s">
        <v>890</v>
      </c>
      <c r="T363" s="124">
        <v>45473</v>
      </c>
      <c r="U363" s="122">
        <v>3.7589999999999999</v>
      </c>
      <c r="V363" s="122">
        <v>822.99676999999997</v>
      </c>
      <c r="W363" s="122">
        <v>3093.6448399999999</v>
      </c>
      <c r="X363" s="123">
        <v>1.4999999999999999E-4</v>
      </c>
      <c r="Y363" s="123">
        <v>5.3399999999999997E-4</v>
      </c>
      <c r="Z363" s="123">
        <v>5.1E-5</v>
      </c>
    </row>
    <row r="364" spans="1:26" ht="15" customHeight="1">
      <c r="A364" s="121">
        <v>313</v>
      </c>
      <c r="B364" s="121">
        <v>313</v>
      </c>
      <c r="C364" s="120" t="s">
        <v>2198</v>
      </c>
      <c r="D364" s="121"/>
      <c r="E364" s="120"/>
      <c r="F364" s="120" t="s">
        <v>2536</v>
      </c>
      <c r="G364" s="121">
        <v>60344975</v>
      </c>
      <c r="H364" s="120" t="s">
        <v>311</v>
      </c>
      <c r="I364" s="120" t="s">
        <v>1001</v>
      </c>
      <c r="J364" s="120"/>
      <c r="K364" s="120" t="s">
        <v>204</v>
      </c>
      <c r="L364" s="120"/>
      <c r="M364" s="120"/>
      <c r="N364" s="120" t="s">
        <v>223</v>
      </c>
      <c r="O364" s="120" t="s">
        <v>338</v>
      </c>
      <c r="P364" s="124">
        <v>41579</v>
      </c>
      <c r="Q364" s="120" t="s">
        <v>1212</v>
      </c>
      <c r="R364" s="120" t="s">
        <v>886</v>
      </c>
      <c r="S364" s="120" t="s">
        <v>890</v>
      </c>
      <c r="T364" s="124">
        <v>45473</v>
      </c>
      <c r="U364" s="122">
        <v>3.7589999999999999</v>
      </c>
      <c r="V364" s="122">
        <v>3816.66363</v>
      </c>
      <c r="W364" s="122">
        <v>14346.83858</v>
      </c>
      <c r="X364" s="123">
        <v>2.0699999999999999E-4</v>
      </c>
      <c r="Y364" s="123">
        <v>2.4780000000000002E-3</v>
      </c>
      <c r="Z364" s="123">
        <v>2.4000000000000001E-4</v>
      </c>
    </row>
    <row r="365" spans="1:26" ht="15" customHeight="1">
      <c r="A365" s="121">
        <v>313</v>
      </c>
      <c r="B365" s="121">
        <v>313</v>
      </c>
      <c r="C365" s="120" t="s">
        <v>2221</v>
      </c>
      <c r="D365" s="121"/>
      <c r="E365" s="120"/>
      <c r="F365" s="120" t="s">
        <v>2537</v>
      </c>
      <c r="G365" s="121">
        <v>62006523</v>
      </c>
      <c r="H365" s="120" t="s">
        <v>311</v>
      </c>
      <c r="I365" s="120" t="s">
        <v>1005</v>
      </c>
      <c r="J365" s="120"/>
      <c r="K365" s="120" t="s">
        <v>204</v>
      </c>
      <c r="L365" s="120"/>
      <c r="M365" s="120"/>
      <c r="N365" s="120" t="s">
        <v>223</v>
      </c>
      <c r="O365" s="120" t="s">
        <v>338</v>
      </c>
      <c r="P365" s="124">
        <v>43188</v>
      </c>
      <c r="Q365" s="120" t="s">
        <v>1212</v>
      </c>
      <c r="R365" s="120" t="s">
        <v>886</v>
      </c>
      <c r="S365" s="120" t="s">
        <v>890</v>
      </c>
      <c r="T365" s="124">
        <v>45473</v>
      </c>
      <c r="U365" s="122">
        <v>3.7589999999999999</v>
      </c>
      <c r="V365" s="122">
        <v>10736.068079999999</v>
      </c>
      <c r="W365" s="122">
        <v>40356.879910000003</v>
      </c>
      <c r="X365" s="123">
        <v>5.803E-3</v>
      </c>
      <c r="Y365" s="123">
        <v>6.9699999999999996E-3</v>
      </c>
      <c r="Z365" s="123">
        <v>6.7699999999999998E-4</v>
      </c>
    </row>
    <row r="366" spans="1:26" ht="15" customHeight="1">
      <c r="A366" s="121">
        <v>313</v>
      </c>
      <c r="B366" s="121">
        <v>313</v>
      </c>
      <c r="C366" s="120" t="s">
        <v>2138</v>
      </c>
      <c r="D366" s="121"/>
      <c r="E366" s="120"/>
      <c r="F366" s="120" t="s">
        <v>2538</v>
      </c>
      <c r="G366" s="121">
        <v>60418480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303</v>
      </c>
      <c r="O366" s="120" t="s">
        <v>338</v>
      </c>
      <c r="P366" s="124">
        <v>42675</v>
      </c>
      <c r="Q366" s="120" t="s">
        <v>1212</v>
      </c>
      <c r="R366" s="120" t="s">
        <v>886</v>
      </c>
      <c r="S366" s="120" t="s">
        <v>890</v>
      </c>
      <c r="T366" s="124">
        <v>45473</v>
      </c>
      <c r="U366" s="122">
        <v>3.7589999999999999</v>
      </c>
      <c r="V366" s="122">
        <v>3050.4303799999998</v>
      </c>
      <c r="W366" s="122">
        <v>11466.567800000001</v>
      </c>
      <c r="X366" s="123">
        <v>7.4200000000000004E-4</v>
      </c>
      <c r="Y366" s="123">
        <v>1.98E-3</v>
      </c>
      <c r="Z366" s="123">
        <v>1.92E-4</v>
      </c>
    </row>
    <row r="367" spans="1:26" ht="15" customHeight="1">
      <c r="A367" s="121">
        <v>313</v>
      </c>
      <c r="B367" s="121">
        <v>313</v>
      </c>
      <c r="C367" s="120" t="s">
        <v>2539</v>
      </c>
      <c r="D367" s="121"/>
      <c r="E367" s="120"/>
      <c r="F367" s="120" t="s">
        <v>2540</v>
      </c>
      <c r="G367" s="121">
        <v>60402627</v>
      </c>
      <c r="H367" s="120" t="s">
        <v>311</v>
      </c>
      <c r="I367" s="120" t="s">
        <v>1005</v>
      </c>
      <c r="J367" s="120"/>
      <c r="K367" s="120" t="s">
        <v>204</v>
      </c>
      <c r="L367" s="120"/>
      <c r="M367" s="120"/>
      <c r="N367" s="120" t="s">
        <v>292</v>
      </c>
      <c r="O367" s="120" t="s">
        <v>338</v>
      </c>
      <c r="P367" s="124">
        <v>44197</v>
      </c>
      <c r="Q367" s="120" t="s">
        <v>1216</v>
      </c>
      <c r="R367" s="120" t="s">
        <v>886</v>
      </c>
      <c r="S367" s="120" t="s">
        <v>890</v>
      </c>
      <c r="T367" s="124">
        <v>45473</v>
      </c>
      <c r="U367" s="122">
        <v>4.0202</v>
      </c>
      <c r="V367" s="122">
        <v>3994.3337499999998</v>
      </c>
      <c r="W367" s="122">
        <v>16058.02052</v>
      </c>
      <c r="X367" s="123">
        <v>1.7739000000000001E-2</v>
      </c>
      <c r="Y367" s="123">
        <v>2.7729999999999999E-3</v>
      </c>
      <c r="Z367" s="123">
        <v>2.6899999999999998E-4</v>
      </c>
    </row>
    <row r="368" spans="1:26" ht="15" customHeight="1">
      <c r="A368" s="121">
        <v>313</v>
      </c>
      <c r="B368" s="121">
        <v>313</v>
      </c>
      <c r="C368" s="120" t="s">
        <v>2255</v>
      </c>
      <c r="D368" s="121"/>
      <c r="E368" s="120"/>
      <c r="F368" s="120" t="s">
        <v>2541</v>
      </c>
      <c r="G368" s="121">
        <v>62005749</v>
      </c>
      <c r="H368" s="120" t="s">
        <v>311</v>
      </c>
      <c r="I368" s="120" t="s">
        <v>1001</v>
      </c>
      <c r="J368" s="120"/>
      <c r="K368" s="120" t="s">
        <v>204</v>
      </c>
      <c r="L368" s="120"/>
      <c r="M368" s="120"/>
      <c r="N368" s="120" t="s">
        <v>223</v>
      </c>
      <c r="O368" s="120" t="s">
        <v>338</v>
      </c>
      <c r="P368" s="124">
        <v>43039</v>
      </c>
      <c r="Q368" s="120" t="s">
        <v>1212</v>
      </c>
      <c r="R368" s="120" t="s">
        <v>886</v>
      </c>
      <c r="S368" s="120" t="s">
        <v>890</v>
      </c>
      <c r="T368" s="124">
        <v>45473</v>
      </c>
      <c r="U368" s="122">
        <v>3.7589999999999999</v>
      </c>
      <c r="V368" s="122">
        <v>3199.5883100000001</v>
      </c>
      <c r="W368" s="122">
        <v>12027.25244</v>
      </c>
      <c r="X368" s="123">
        <v>3.8779999999999999E-3</v>
      </c>
      <c r="Y368" s="123">
        <v>2.0769999999999999E-3</v>
      </c>
      <c r="Z368" s="123">
        <v>2.0100000000000001E-4</v>
      </c>
    </row>
    <row r="369" spans="1:26" ht="15" customHeight="1">
      <c r="A369" s="121">
        <v>313</v>
      </c>
      <c r="B369" s="121">
        <v>313</v>
      </c>
      <c r="C369" s="120" t="s">
        <v>2514</v>
      </c>
      <c r="D369" s="121"/>
      <c r="E369" s="120"/>
      <c r="F369" s="120" t="s">
        <v>2542</v>
      </c>
      <c r="G369" s="121">
        <v>60409703</v>
      </c>
      <c r="H369" s="120" t="s">
        <v>311</v>
      </c>
      <c r="I369" s="120" t="s">
        <v>1006</v>
      </c>
      <c r="J369" s="120"/>
      <c r="K369" s="120" t="s">
        <v>204</v>
      </c>
      <c r="L369" s="120"/>
      <c r="M369" s="120"/>
      <c r="N369" s="120" t="s">
        <v>223</v>
      </c>
      <c r="O369" s="120" t="s">
        <v>338</v>
      </c>
      <c r="P369" s="124">
        <v>42522</v>
      </c>
      <c r="Q369" s="120" t="s">
        <v>1212</v>
      </c>
      <c r="R369" s="120" t="s">
        <v>886</v>
      </c>
      <c r="S369" s="120" t="s">
        <v>890</v>
      </c>
      <c r="T369" s="124">
        <v>45473</v>
      </c>
      <c r="U369" s="122">
        <v>3.7589999999999999</v>
      </c>
      <c r="V369" s="122">
        <v>6795.1840000000002</v>
      </c>
      <c r="W369" s="122">
        <v>25543.096659999999</v>
      </c>
      <c r="X369" s="123">
        <v>6.8599999999999998E-3</v>
      </c>
      <c r="Y369" s="123">
        <v>4.4120000000000001E-3</v>
      </c>
      <c r="Z369" s="123">
        <v>4.28E-4</v>
      </c>
    </row>
    <row r="370" spans="1:26" ht="15" customHeight="1">
      <c r="A370" s="121">
        <v>313</v>
      </c>
      <c r="B370" s="121">
        <v>313</v>
      </c>
      <c r="C370" s="120" t="s">
        <v>2138</v>
      </c>
      <c r="D370" s="121"/>
      <c r="E370" s="120"/>
      <c r="F370" s="120" t="s">
        <v>2543</v>
      </c>
      <c r="G370" s="121">
        <v>62005723</v>
      </c>
      <c r="H370" s="120" t="s">
        <v>311</v>
      </c>
      <c r="I370" s="120" t="s">
        <v>1001</v>
      </c>
      <c r="J370" s="120"/>
      <c r="K370" s="120" t="s">
        <v>204</v>
      </c>
      <c r="L370" s="120"/>
      <c r="M370" s="120"/>
      <c r="N370" s="120" t="s">
        <v>223</v>
      </c>
      <c r="O370" s="120" t="s">
        <v>338</v>
      </c>
      <c r="P370" s="124">
        <v>43009</v>
      </c>
      <c r="Q370" s="120" t="s">
        <v>1212</v>
      </c>
      <c r="R370" s="120" t="s">
        <v>886</v>
      </c>
      <c r="S370" s="120" t="s">
        <v>890</v>
      </c>
      <c r="T370" s="124">
        <v>45473</v>
      </c>
      <c r="U370" s="122">
        <v>3.7589999999999999</v>
      </c>
      <c r="V370" s="122">
        <v>1891.95868</v>
      </c>
      <c r="W370" s="122">
        <v>7111.8726800000004</v>
      </c>
      <c r="X370" s="123">
        <v>1.255E-3</v>
      </c>
      <c r="Y370" s="123">
        <v>1.2279999999999999E-3</v>
      </c>
      <c r="Z370" s="123">
        <v>1.1900000000000001E-4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N1" workbookViewId="0">
      <selection activeCell="W3" sqref="W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875" bestFit="1" customWidth="1"/>
    <col min="4" max="4" width="9.875" bestFit="1" customWidth="1"/>
    <col min="5" max="5" width="9.625" bestFit="1" customWidth="1"/>
    <col min="6" max="6" width="31.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8.875" bestFit="1" customWidth="1"/>
    <col min="22" max="22" width="8.375" bestFit="1" customWidth="1"/>
    <col min="23" max="23" width="11.875" bestFit="1" customWidth="1"/>
    <col min="24" max="24" width="11.625" customWidth="1"/>
    <col min="25" max="25" width="8.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313</v>
      </c>
      <c r="B2" s="121">
        <v>313</v>
      </c>
      <c r="C2" s="120" t="s">
        <v>2544</v>
      </c>
      <c r="D2" s="121">
        <v>515166544</v>
      </c>
      <c r="E2" s="120" t="s">
        <v>308</v>
      </c>
      <c r="F2" s="120" t="s">
        <v>2545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2546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1217</v>
      </c>
      <c r="R2" s="120" t="s">
        <v>313</v>
      </c>
      <c r="S2" s="120" t="s">
        <v>890</v>
      </c>
      <c r="T2" s="124">
        <v>45473</v>
      </c>
      <c r="U2" s="122">
        <v>6.05</v>
      </c>
      <c r="V2" s="122">
        <v>9.9999999999999995E-7</v>
      </c>
      <c r="W2" s="122">
        <v>117300</v>
      </c>
      <c r="X2" s="122">
        <v>8.7799999999999994</v>
      </c>
      <c r="Y2" s="122">
        <v>1</v>
      </c>
      <c r="Z2" s="122">
        <v>10.29894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H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49"/>
  <sheetViews>
    <sheetView rightToLeft="1" topLeftCell="A7" workbookViewId="0">
      <selection activeCell="A23" sqref="A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5.125" bestFit="1" customWidth="1"/>
    <col min="8" max="8" width="14.375" customWidth="1"/>
    <col min="9" max="9" width="11.625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15.5" bestFit="1" customWidth="1"/>
    <col min="15" max="15" width="16.375" customWidth="1"/>
    <col min="16" max="16" width="15.875" customWidth="1"/>
    <col min="17" max="17" width="8.75" bestFit="1" customWidth="1"/>
    <col min="18" max="18" width="11.875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313</v>
      </c>
      <c r="B2" s="121">
        <v>313</v>
      </c>
      <c r="C2" s="120" t="s">
        <v>1016</v>
      </c>
      <c r="D2" s="121">
        <v>31002002</v>
      </c>
      <c r="E2" s="120" t="s">
        <v>1217</v>
      </c>
      <c r="F2" s="122">
        <v>1</v>
      </c>
      <c r="G2" s="122">
        <v>-18000000</v>
      </c>
      <c r="H2" s="122">
        <v>-18050.623200000002</v>
      </c>
      <c r="I2" s="123">
        <v>-0.13156499999999999</v>
      </c>
      <c r="J2" s="123">
        <v>-3.0200000000000002E-4</v>
      </c>
      <c r="K2" s="121">
        <v>31002001</v>
      </c>
      <c r="L2" s="120" t="s">
        <v>1217</v>
      </c>
      <c r="M2" s="120" t="s">
        <v>1218</v>
      </c>
      <c r="N2" s="122">
        <v>18000000</v>
      </c>
      <c r="O2" s="122">
        <v>19144.926899999999</v>
      </c>
      <c r="P2" s="123">
        <v>0.139541</v>
      </c>
      <c r="Q2" s="123">
        <v>3.21E-4</v>
      </c>
      <c r="R2" s="122">
        <v>1094.3036999999999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2547</v>
      </c>
      <c r="Y2" s="120" t="s">
        <v>338</v>
      </c>
      <c r="Z2" s="124">
        <v>41816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2548</v>
      </c>
      <c r="AN2" s="123">
        <v>7.9760000000000005E-3</v>
      </c>
      <c r="AO2" s="123">
        <v>1.8E-5</v>
      </c>
    </row>
    <row r="3" spans="1:41" ht="15" customHeight="1">
      <c r="A3" s="121">
        <v>313</v>
      </c>
      <c r="B3" s="121">
        <v>313</v>
      </c>
      <c r="C3" s="120" t="s">
        <v>1018</v>
      </c>
      <c r="D3" s="121">
        <v>76018596</v>
      </c>
      <c r="E3" s="120" t="s">
        <v>1212</v>
      </c>
      <c r="F3" s="122">
        <v>3.7589999999999999</v>
      </c>
      <c r="G3" s="122">
        <v>-16000000</v>
      </c>
      <c r="H3" s="122">
        <v>-16000</v>
      </c>
      <c r="I3" s="123">
        <v>-0.43836999999999998</v>
      </c>
      <c r="J3" s="123">
        <v>-1.0089999999999999E-3</v>
      </c>
      <c r="K3" s="121">
        <v>760185960</v>
      </c>
      <c r="L3" s="120" t="s">
        <v>1217</v>
      </c>
      <c r="M3" s="120" t="s">
        <v>1218</v>
      </c>
      <c r="N3" s="122">
        <v>16000000</v>
      </c>
      <c r="O3" s="122">
        <v>59862.004679999998</v>
      </c>
      <c r="P3" s="123">
        <v>0.43631399999999998</v>
      </c>
      <c r="Q3" s="123">
        <v>1.0039999999999999E-3</v>
      </c>
      <c r="R3" s="122">
        <v>-281.99531999999999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2552</v>
      </c>
      <c r="Y3" s="120" t="s">
        <v>338</v>
      </c>
      <c r="Z3" s="124">
        <v>44543</v>
      </c>
      <c r="AA3" s="124">
        <v>46274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3.101</v>
      </c>
      <c r="AJ3" s="122"/>
      <c r="AK3" s="120"/>
      <c r="AL3" s="123"/>
      <c r="AM3" s="120" t="s">
        <v>2549</v>
      </c>
      <c r="AN3" s="123">
        <v>-2.055E-3</v>
      </c>
      <c r="AO3" s="123">
        <v>-3.9999999999999998E-6</v>
      </c>
    </row>
    <row r="4" spans="1:41" ht="15" customHeight="1">
      <c r="A4" s="121">
        <v>313</v>
      </c>
      <c r="B4" s="121">
        <v>313</v>
      </c>
      <c r="C4" s="120" t="s">
        <v>1016</v>
      </c>
      <c r="D4" s="121">
        <v>31028602</v>
      </c>
      <c r="E4" s="120" t="s">
        <v>1217</v>
      </c>
      <c r="F4" s="122">
        <v>1</v>
      </c>
      <c r="G4" s="122">
        <v>-1000000</v>
      </c>
      <c r="H4" s="122">
        <v>-1002.4262</v>
      </c>
      <c r="I4" s="123">
        <v>-7.306E-3</v>
      </c>
      <c r="J4" s="123">
        <v>-1.5999999999999999E-5</v>
      </c>
      <c r="K4" s="121">
        <v>31028601</v>
      </c>
      <c r="L4" s="120" t="s">
        <v>1217</v>
      </c>
      <c r="M4" s="120" t="s">
        <v>1218</v>
      </c>
      <c r="N4" s="122">
        <v>1000000</v>
      </c>
      <c r="O4" s="122">
        <v>922.91450999999995</v>
      </c>
      <c r="P4" s="123">
        <v>6.7260000000000002E-3</v>
      </c>
      <c r="Q4" s="123">
        <v>1.5E-5</v>
      </c>
      <c r="R4" s="122">
        <v>-79.511690000000002</v>
      </c>
      <c r="S4" s="120" t="s">
        <v>203</v>
      </c>
      <c r="T4" s="120" t="s">
        <v>203</v>
      </c>
      <c r="U4" s="120" t="s">
        <v>750</v>
      </c>
      <c r="V4" s="120" t="s">
        <v>313</v>
      </c>
      <c r="W4" s="120" t="s">
        <v>929</v>
      </c>
      <c r="X4" s="120" t="s">
        <v>2547</v>
      </c>
      <c r="Y4" s="120" t="s">
        <v>338</v>
      </c>
      <c r="Z4" s="124">
        <v>45062</v>
      </c>
      <c r="AA4" s="124">
        <v>46369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2548</v>
      </c>
      <c r="AN4" s="123">
        <v>-5.7899999999999998E-4</v>
      </c>
      <c r="AO4" s="123">
        <v>-9.9999999999999995E-7</v>
      </c>
    </row>
    <row r="5" spans="1:41" ht="15" customHeight="1">
      <c r="A5" s="121">
        <v>313</v>
      </c>
      <c r="B5" s="121">
        <v>313</v>
      </c>
      <c r="C5" s="120" t="s">
        <v>1018</v>
      </c>
      <c r="D5" s="121">
        <v>76019516</v>
      </c>
      <c r="E5" s="120" t="s">
        <v>1212</v>
      </c>
      <c r="F5" s="122">
        <v>3.7589999999999999</v>
      </c>
      <c r="G5" s="122">
        <v>-18226049</v>
      </c>
      <c r="H5" s="122">
        <v>-18226.048999999999</v>
      </c>
      <c r="I5" s="123">
        <v>-0.499359</v>
      </c>
      <c r="J5" s="123">
        <v>-1.1490000000000001E-3</v>
      </c>
      <c r="K5" s="121">
        <v>760195160</v>
      </c>
      <c r="L5" s="120" t="s">
        <v>1217</v>
      </c>
      <c r="M5" s="120" t="s">
        <v>1218</v>
      </c>
      <c r="N5" s="122">
        <v>18226049</v>
      </c>
      <c r="O5" s="122">
        <v>67444.932140000004</v>
      </c>
      <c r="P5" s="123">
        <v>0.49158400000000002</v>
      </c>
      <c r="Q5" s="123">
        <v>1.1310000000000001E-3</v>
      </c>
      <c r="R5" s="122">
        <v>-1066.7860499999999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2552</v>
      </c>
      <c r="Y5" s="120" t="s">
        <v>338</v>
      </c>
      <c r="Z5" s="124">
        <v>45302</v>
      </c>
      <c r="AA5" s="124">
        <v>45673</v>
      </c>
      <c r="AB5" s="120" t="s">
        <v>897</v>
      </c>
      <c r="AC5" s="120" t="s">
        <v>898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3.7349999999999999</v>
      </c>
      <c r="AJ5" s="122"/>
      <c r="AK5" s="120"/>
      <c r="AL5" s="123"/>
      <c r="AM5" s="120" t="s">
        <v>2548</v>
      </c>
      <c r="AN5" s="123">
        <v>-7.7749999999999998E-3</v>
      </c>
      <c r="AO5" s="123">
        <v>-1.7E-5</v>
      </c>
    </row>
    <row r="6" spans="1:41" ht="15" customHeight="1">
      <c r="A6" s="121">
        <v>313</v>
      </c>
      <c r="B6" s="121">
        <v>313</v>
      </c>
      <c r="C6" s="120" t="s">
        <v>1022</v>
      </c>
      <c r="D6" s="121">
        <v>31011192</v>
      </c>
      <c r="E6" s="120" t="s">
        <v>1212</v>
      </c>
      <c r="F6" s="122">
        <v>3.7589999999999999</v>
      </c>
      <c r="G6" s="122">
        <v>4594.78</v>
      </c>
      <c r="H6" s="122">
        <v>1549214.1290899999</v>
      </c>
      <c r="I6" s="123">
        <v>42.445580999999997</v>
      </c>
      <c r="J6" s="123">
        <v>9.7725000000000006E-2</v>
      </c>
      <c r="K6" s="121">
        <v>310111920</v>
      </c>
      <c r="L6" s="120" t="s">
        <v>1212</v>
      </c>
      <c r="M6" s="120" t="s">
        <v>2731</v>
      </c>
      <c r="N6" s="122">
        <v>-4594.78</v>
      </c>
      <c r="O6" s="122">
        <v>-1539897.37</v>
      </c>
      <c r="P6" s="123">
        <v>-42.190319000000002</v>
      </c>
      <c r="Q6" s="123">
        <v>-9.7137000000000001E-2</v>
      </c>
      <c r="R6" s="122">
        <v>35021.697410000001</v>
      </c>
      <c r="S6" s="120" t="s">
        <v>203</v>
      </c>
      <c r="T6" s="120" t="s">
        <v>288</v>
      </c>
      <c r="U6" s="120" t="s">
        <v>746</v>
      </c>
      <c r="V6" s="120" t="s">
        <v>313</v>
      </c>
      <c r="W6" s="120" t="s">
        <v>927</v>
      </c>
      <c r="X6" s="120" t="s">
        <v>2550</v>
      </c>
      <c r="Y6" s="120" t="s">
        <v>338</v>
      </c>
      <c r="Z6" s="124">
        <v>45201</v>
      </c>
      <c r="AA6" s="124">
        <v>45617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8827.67</v>
      </c>
      <c r="AJ6" s="122"/>
      <c r="AK6" s="120"/>
      <c r="AL6" s="123"/>
      <c r="AM6" s="120" t="s">
        <v>2551</v>
      </c>
      <c r="AN6" s="123">
        <v>0.25526100000000002</v>
      </c>
      <c r="AO6" s="123">
        <v>5.8699999999999996E-4</v>
      </c>
    </row>
    <row r="7" spans="1:41" ht="15" customHeight="1">
      <c r="A7" s="121">
        <v>313</v>
      </c>
      <c r="B7" s="121">
        <v>313</v>
      </c>
      <c r="C7" s="120" t="s">
        <v>1018</v>
      </c>
      <c r="D7" s="121">
        <v>76019644</v>
      </c>
      <c r="E7" s="120" t="s">
        <v>1212</v>
      </c>
      <c r="F7" s="122">
        <v>3.7589999999999999</v>
      </c>
      <c r="G7" s="122">
        <v>-32457000</v>
      </c>
      <c r="H7" s="122">
        <v>-32457</v>
      </c>
      <c r="I7" s="123">
        <v>-0.88926099999999997</v>
      </c>
      <c r="J7" s="123">
        <v>-2.0470000000000002E-3</v>
      </c>
      <c r="K7" s="121">
        <v>760196440</v>
      </c>
      <c r="L7" s="120" t="s">
        <v>1217</v>
      </c>
      <c r="M7" s="120" t="s">
        <v>1218</v>
      </c>
      <c r="N7" s="122">
        <v>32457000</v>
      </c>
      <c r="O7" s="122">
        <v>118207.31959</v>
      </c>
      <c r="P7" s="123">
        <v>0.86157399999999995</v>
      </c>
      <c r="Q7" s="123">
        <v>1.983E-3</v>
      </c>
      <c r="R7" s="122">
        <v>-3798.5434100000002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2552</v>
      </c>
      <c r="Y7" s="120" t="s">
        <v>338</v>
      </c>
      <c r="Z7" s="124">
        <v>45334</v>
      </c>
      <c r="AA7" s="124">
        <v>45490</v>
      </c>
      <c r="AB7" s="120" t="s">
        <v>897</v>
      </c>
      <c r="AC7" s="120" t="s">
        <v>898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3.6829999999999998</v>
      </c>
      <c r="AJ7" s="122"/>
      <c r="AK7" s="120"/>
      <c r="AL7" s="123"/>
      <c r="AM7" s="120" t="s">
        <v>2548</v>
      </c>
      <c r="AN7" s="123">
        <v>-2.7685999999999999E-2</v>
      </c>
      <c r="AO7" s="123">
        <v>-6.3E-5</v>
      </c>
    </row>
    <row r="8" spans="1:41" ht="15" customHeight="1">
      <c r="A8" s="121">
        <v>313</v>
      </c>
      <c r="B8" s="121">
        <v>313</v>
      </c>
      <c r="C8" s="120" t="s">
        <v>1016</v>
      </c>
      <c r="D8" s="121">
        <v>31011191</v>
      </c>
      <c r="E8" s="120" t="s">
        <v>1217</v>
      </c>
      <c r="F8" s="122">
        <v>1</v>
      </c>
      <c r="G8" s="122">
        <v>24800000</v>
      </c>
      <c r="H8" s="122">
        <v>31883.179800000002</v>
      </c>
      <c r="I8" s="123">
        <v>0.23238600000000001</v>
      </c>
      <c r="J8" s="123">
        <v>5.3499999999999999E-4</v>
      </c>
      <c r="K8" s="121">
        <v>310111910</v>
      </c>
      <c r="L8" s="120" t="s">
        <v>1217</v>
      </c>
      <c r="M8" s="120" t="s">
        <v>1218</v>
      </c>
      <c r="N8" s="122">
        <v>-24800000</v>
      </c>
      <c r="O8" s="122">
        <v>-31839.134999999998</v>
      </c>
      <c r="P8" s="123">
        <v>-0.23206499999999999</v>
      </c>
      <c r="Q8" s="123">
        <v>-5.3399999999999997E-4</v>
      </c>
      <c r="R8" s="122">
        <v>44.044800000000002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2547</v>
      </c>
      <c r="Y8" s="120" t="s">
        <v>338</v>
      </c>
      <c r="Z8" s="124">
        <v>44718</v>
      </c>
      <c r="AA8" s="124">
        <v>48715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2551</v>
      </c>
      <c r="AN8" s="123">
        <v>3.21E-4</v>
      </c>
      <c r="AO8" s="123">
        <v>0</v>
      </c>
    </row>
    <row r="9" spans="1:41" ht="15" customHeight="1">
      <c r="A9" s="121">
        <v>313</v>
      </c>
      <c r="B9" s="121">
        <v>313</v>
      </c>
      <c r="C9" s="120" t="s">
        <v>1018</v>
      </c>
      <c r="D9" s="121">
        <v>76019820</v>
      </c>
      <c r="E9" s="120" t="s">
        <v>1212</v>
      </c>
      <c r="F9" s="122">
        <v>3.7589999999999999</v>
      </c>
      <c r="G9" s="122">
        <v>-18236000</v>
      </c>
      <c r="H9" s="122">
        <v>-18236</v>
      </c>
      <c r="I9" s="123">
        <v>-0.49963200000000002</v>
      </c>
      <c r="J9" s="123">
        <v>-1.15E-3</v>
      </c>
      <c r="K9" s="121">
        <v>760198200</v>
      </c>
      <c r="L9" s="120" t="s">
        <v>1217</v>
      </c>
      <c r="M9" s="120" t="s">
        <v>1218</v>
      </c>
      <c r="N9" s="122">
        <v>18236000</v>
      </c>
      <c r="O9" s="122">
        <v>66482.708889999994</v>
      </c>
      <c r="P9" s="123">
        <v>0.48457099999999997</v>
      </c>
      <c r="Q9" s="123">
        <v>1.1150000000000001E-3</v>
      </c>
      <c r="R9" s="122">
        <v>-2066.4151099999999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2552</v>
      </c>
      <c r="Y9" s="120" t="s">
        <v>338</v>
      </c>
      <c r="Z9" s="124">
        <v>45377</v>
      </c>
      <c r="AA9" s="124">
        <v>45525</v>
      </c>
      <c r="AB9" s="120" t="s">
        <v>897</v>
      </c>
      <c r="AC9" s="120" t="s">
        <v>898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3.66</v>
      </c>
      <c r="AJ9" s="122"/>
      <c r="AK9" s="120"/>
      <c r="AL9" s="123"/>
      <c r="AM9" s="120" t="s">
        <v>2549</v>
      </c>
      <c r="AN9" s="123">
        <v>-1.5061E-2</v>
      </c>
      <c r="AO9" s="123">
        <v>-3.4E-5</v>
      </c>
    </row>
    <row r="10" spans="1:41" ht="15" customHeight="1">
      <c r="A10" s="121">
        <v>313</v>
      </c>
      <c r="B10" s="121">
        <v>313</v>
      </c>
      <c r="C10" s="120" t="s">
        <v>1016</v>
      </c>
      <c r="D10" s="121">
        <v>31011190</v>
      </c>
      <c r="E10" s="120" t="s">
        <v>1217</v>
      </c>
      <c r="F10" s="122">
        <v>1</v>
      </c>
      <c r="G10" s="122">
        <v>22000000</v>
      </c>
      <c r="H10" s="122">
        <v>28418.986000000001</v>
      </c>
      <c r="I10" s="123">
        <v>0.20713599999999999</v>
      </c>
      <c r="J10" s="123">
        <v>4.7600000000000002E-4</v>
      </c>
      <c r="K10" s="121">
        <v>310111900</v>
      </c>
      <c r="L10" s="120" t="s">
        <v>1217</v>
      </c>
      <c r="M10" s="120" t="s">
        <v>1218</v>
      </c>
      <c r="N10" s="122">
        <v>-22000000</v>
      </c>
      <c r="O10" s="122">
        <v>-28493.302</v>
      </c>
      <c r="P10" s="123">
        <v>-0.207678</v>
      </c>
      <c r="Q10" s="123">
        <v>-4.7800000000000002E-4</v>
      </c>
      <c r="R10" s="122">
        <v>-74.316000000000003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2547</v>
      </c>
      <c r="Y10" s="120" t="s">
        <v>338</v>
      </c>
      <c r="Z10" s="124">
        <v>44648</v>
      </c>
      <c r="AA10" s="124">
        <v>48652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2551</v>
      </c>
      <c r="AN10" s="123">
        <v>-5.4100000000000003E-4</v>
      </c>
      <c r="AO10" s="123">
        <v>-9.9999999999999995E-7</v>
      </c>
    </row>
    <row r="11" spans="1:41" ht="15" customHeight="1">
      <c r="A11" s="121">
        <v>313</v>
      </c>
      <c r="B11" s="121">
        <v>313</v>
      </c>
      <c r="C11" s="120" t="s">
        <v>1018</v>
      </c>
      <c r="D11" s="121">
        <v>76019836</v>
      </c>
      <c r="E11" s="120" t="s">
        <v>1212</v>
      </c>
      <c r="F11" s="122">
        <v>3.7589999999999999</v>
      </c>
      <c r="G11" s="122">
        <v>-9122610</v>
      </c>
      <c r="H11" s="122">
        <v>-9122.61</v>
      </c>
      <c r="I11" s="123">
        <v>-0.249942</v>
      </c>
      <c r="J11" s="123">
        <v>-5.7499999999999999E-4</v>
      </c>
      <c r="K11" s="121">
        <v>760198360</v>
      </c>
      <c r="L11" s="120" t="s">
        <v>1217</v>
      </c>
      <c r="M11" s="120" t="s">
        <v>1218</v>
      </c>
      <c r="N11" s="122">
        <v>9122610</v>
      </c>
      <c r="O11" s="122">
        <v>33325.249640000002</v>
      </c>
      <c r="P11" s="123">
        <v>0.242896</v>
      </c>
      <c r="Q11" s="123">
        <v>5.5900000000000004E-4</v>
      </c>
      <c r="R11" s="122">
        <v>-966.64134999999999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2552</v>
      </c>
      <c r="Y11" s="120" t="s">
        <v>338</v>
      </c>
      <c r="Z11" s="124">
        <v>45371</v>
      </c>
      <c r="AA11" s="124">
        <v>45561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3.681</v>
      </c>
      <c r="AJ11" s="122"/>
      <c r="AK11" s="120"/>
      <c r="AL11" s="123"/>
      <c r="AM11" s="120" t="s">
        <v>2549</v>
      </c>
      <c r="AN11" s="123">
        <v>-7.045E-3</v>
      </c>
      <c r="AO11" s="123">
        <v>-1.5999999999999999E-5</v>
      </c>
    </row>
    <row r="12" spans="1:41" ht="15" customHeight="1">
      <c r="A12" s="121">
        <v>313</v>
      </c>
      <c r="B12" s="121">
        <v>313</v>
      </c>
      <c r="C12" s="120" t="s">
        <v>1022</v>
      </c>
      <c r="D12" s="121">
        <v>31011189</v>
      </c>
      <c r="E12" s="120" t="s">
        <v>1212</v>
      </c>
      <c r="F12" s="122">
        <v>3.7589999999999999</v>
      </c>
      <c r="G12" s="122">
        <v>4391.62</v>
      </c>
      <c r="H12" s="122">
        <v>1643277.9968000001</v>
      </c>
      <c r="I12" s="123">
        <v>45.022756000000001</v>
      </c>
      <c r="J12" s="123">
        <v>0.103658</v>
      </c>
      <c r="K12" s="121">
        <v>310111890</v>
      </c>
      <c r="L12" s="120" t="s">
        <v>1212</v>
      </c>
      <c r="M12" s="120" t="s">
        <v>2731</v>
      </c>
      <c r="N12" s="122">
        <v>-4391.62</v>
      </c>
      <c r="O12" s="122">
        <v>-1635400.96</v>
      </c>
      <c r="P12" s="123">
        <v>-44.806939999999997</v>
      </c>
      <c r="Q12" s="123">
        <v>-0.103162</v>
      </c>
      <c r="R12" s="122">
        <v>29609.781330000002</v>
      </c>
      <c r="S12" s="120" t="s">
        <v>203</v>
      </c>
      <c r="T12" s="120" t="s">
        <v>288</v>
      </c>
      <c r="U12" s="120" t="s">
        <v>746</v>
      </c>
      <c r="V12" s="120" t="s">
        <v>313</v>
      </c>
      <c r="W12" s="120" t="s">
        <v>927</v>
      </c>
      <c r="X12" s="120" t="s">
        <v>2550</v>
      </c>
      <c r="Y12" s="120" t="s">
        <v>338</v>
      </c>
      <c r="Z12" s="124">
        <v>45201</v>
      </c>
      <c r="AA12" s="124">
        <v>45596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8827.67</v>
      </c>
      <c r="AJ12" s="122"/>
      <c r="AK12" s="120"/>
      <c r="AL12" s="123"/>
      <c r="AM12" s="120" t="s">
        <v>2549</v>
      </c>
      <c r="AN12" s="123">
        <v>0.21581600000000001</v>
      </c>
      <c r="AO12" s="123">
        <v>4.9600000000000002E-4</v>
      </c>
    </row>
    <row r="13" spans="1:41" ht="15" customHeight="1">
      <c r="A13" s="121">
        <v>313</v>
      </c>
      <c r="B13" s="121">
        <v>313</v>
      </c>
      <c r="C13" s="120" t="s">
        <v>1018</v>
      </c>
      <c r="D13" s="121">
        <v>76019868</v>
      </c>
      <c r="E13" s="120" t="s">
        <v>1212</v>
      </c>
      <c r="F13" s="122">
        <v>3.7589999999999999</v>
      </c>
      <c r="G13" s="122">
        <v>-60400000</v>
      </c>
      <c r="H13" s="122">
        <v>-60400</v>
      </c>
      <c r="I13" s="123">
        <v>-1.654847</v>
      </c>
      <c r="J13" s="123">
        <v>-3.81E-3</v>
      </c>
      <c r="K13" s="121">
        <v>760198680</v>
      </c>
      <c r="L13" s="120" t="s">
        <v>1217</v>
      </c>
      <c r="M13" s="120" t="s">
        <v>1218</v>
      </c>
      <c r="N13" s="122">
        <v>60400000</v>
      </c>
      <c r="O13" s="122">
        <v>222469.23798999999</v>
      </c>
      <c r="P13" s="123">
        <v>1.6215059999999999</v>
      </c>
      <c r="Q13" s="123">
        <v>3.7330000000000002E-3</v>
      </c>
      <c r="R13" s="122">
        <v>-4574.3620099999998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2547</v>
      </c>
      <c r="Y13" s="120" t="s">
        <v>338</v>
      </c>
      <c r="Z13" s="124">
        <v>45384</v>
      </c>
      <c r="AA13" s="124">
        <v>45602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3.6970000000000001</v>
      </c>
      <c r="AJ13" s="122"/>
      <c r="AK13" s="120"/>
      <c r="AL13" s="123"/>
      <c r="AM13" s="120" t="s">
        <v>2548</v>
      </c>
      <c r="AN13" s="123">
        <v>-3.3341000000000003E-2</v>
      </c>
      <c r="AO13" s="123">
        <v>-7.6000000000000004E-5</v>
      </c>
    </row>
    <row r="14" spans="1:41" ht="15" customHeight="1">
      <c r="A14" s="121">
        <v>313</v>
      </c>
      <c r="B14" s="121">
        <v>313</v>
      </c>
      <c r="C14" s="120" t="s">
        <v>1016</v>
      </c>
      <c r="D14" s="121">
        <v>31011180</v>
      </c>
      <c r="E14" s="120" t="s">
        <v>1217</v>
      </c>
      <c r="F14" s="122">
        <v>1</v>
      </c>
      <c r="G14" s="122">
        <v>17900000</v>
      </c>
      <c r="H14" s="122">
        <v>19930.18</v>
      </c>
      <c r="I14" s="123">
        <v>0.145264</v>
      </c>
      <c r="J14" s="123">
        <v>3.3399999999999999E-4</v>
      </c>
      <c r="K14" s="121">
        <v>310111800</v>
      </c>
      <c r="L14" s="120" t="s">
        <v>1217</v>
      </c>
      <c r="M14" s="120" t="s">
        <v>1218</v>
      </c>
      <c r="N14" s="122">
        <v>-17900000</v>
      </c>
      <c r="O14" s="122">
        <v>-19662.539199999999</v>
      </c>
      <c r="P14" s="123">
        <v>-0.143313</v>
      </c>
      <c r="Q14" s="123">
        <v>-3.2899999999999997E-4</v>
      </c>
      <c r="R14" s="122">
        <v>267.64080000000001</v>
      </c>
      <c r="S14" s="120" t="s">
        <v>203</v>
      </c>
      <c r="T14" s="120" t="s">
        <v>203</v>
      </c>
      <c r="U14" s="120" t="s">
        <v>743</v>
      </c>
      <c r="V14" s="120" t="s">
        <v>313</v>
      </c>
      <c r="W14" s="120" t="s">
        <v>927</v>
      </c>
      <c r="X14" s="120" t="s">
        <v>2547</v>
      </c>
      <c r="Y14" s="120" t="s">
        <v>338</v>
      </c>
      <c r="Z14" s="124">
        <v>45377</v>
      </c>
      <c r="AA14" s="124">
        <v>45744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2551</v>
      </c>
      <c r="AN14" s="123">
        <v>1.9499999999999999E-3</v>
      </c>
      <c r="AO14" s="123">
        <v>3.9999999999999998E-6</v>
      </c>
    </row>
    <row r="15" spans="1:41" ht="15" customHeight="1">
      <c r="A15" s="121">
        <v>313</v>
      </c>
      <c r="B15" s="121">
        <v>313</v>
      </c>
      <c r="C15" s="120" t="s">
        <v>1016</v>
      </c>
      <c r="D15" s="121">
        <v>31011170</v>
      </c>
      <c r="E15" s="120" t="s">
        <v>1217</v>
      </c>
      <c r="F15" s="122">
        <v>1</v>
      </c>
      <c r="G15" s="122">
        <v>36400000</v>
      </c>
      <c r="H15" s="122">
        <v>47744.407079999997</v>
      </c>
      <c r="I15" s="123">
        <v>0.347993</v>
      </c>
      <c r="J15" s="123">
        <v>8.0099999999999995E-4</v>
      </c>
      <c r="K15" s="121">
        <v>310111700</v>
      </c>
      <c r="L15" s="120" t="s">
        <v>1217</v>
      </c>
      <c r="M15" s="120" t="s">
        <v>1218</v>
      </c>
      <c r="N15" s="122">
        <v>-36400000</v>
      </c>
      <c r="O15" s="122">
        <v>-45962.554279999997</v>
      </c>
      <c r="P15" s="123">
        <v>-0.33500600000000003</v>
      </c>
      <c r="Q15" s="123">
        <v>-7.7099999999999998E-4</v>
      </c>
      <c r="R15" s="122">
        <v>1781.8527999999999</v>
      </c>
      <c r="S15" s="120" t="s">
        <v>203</v>
      </c>
      <c r="T15" s="120" t="s">
        <v>203</v>
      </c>
      <c r="U15" s="120" t="s">
        <v>743</v>
      </c>
      <c r="V15" s="120" t="s">
        <v>313</v>
      </c>
      <c r="W15" s="120" t="s">
        <v>927</v>
      </c>
      <c r="X15" s="120" t="s">
        <v>2547</v>
      </c>
      <c r="Y15" s="120" t="s">
        <v>338</v>
      </c>
      <c r="Z15" s="124">
        <v>45152</v>
      </c>
      <c r="AA15" s="124">
        <v>46425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2548</v>
      </c>
      <c r="AN15" s="123">
        <v>1.2987E-2</v>
      </c>
      <c r="AO15" s="123">
        <v>2.9E-5</v>
      </c>
    </row>
    <row r="16" spans="1:41" ht="15" customHeight="1">
      <c r="A16" s="121">
        <v>313</v>
      </c>
      <c r="B16" s="121">
        <v>313</v>
      </c>
      <c r="C16" s="120" t="s">
        <v>1016</v>
      </c>
      <c r="D16" s="121">
        <v>31010411</v>
      </c>
      <c r="E16" s="120" t="s">
        <v>1217</v>
      </c>
      <c r="F16" s="122">
        <v>1</v>
      </c>
      <c r="G16" s="122">
        <v>20932000</v>
      </c>
      <c r="H16" s="122">
        <v>26841.647079999999</v>
      </c>
      <c r="I16" s="123">
        <v>0.19564000000000001</v>
      </c>
      <c r="J16" s="123">
        <v>4.4999999999999999E-4</v>
      </c>
      <c r="K16" s="121">
        <v>310104110</v>
      </c>
      <c r="L16" s="120" t="s">
        <v>1217</v>
      </c>
      <c r="M16" s="120" t="s">
        <v>1218</v>
      </c>
      <c r="N16" s="122">
        <v>-20932000</v>
      </c>
      <c r="O16" s="122">
        <v>-26638.294999999998</v>
      </c>
      <c r="P16" s="123">
        <v>-0.194157</v>
      </c>
      <c r="Q16" s="123">
        <v>-4.4700000000000002E-4</v>
      </c>
      <c r="R16" s="122">
        <v>203.35208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2547</v>
      </c>
      <c r="Y16" s="120" t="s">
        <v>338</v>
      </c>
      <c r="Z16" s="124">
        <v>45334</v>
      </c>
      <c r="AA16" s="124">
        <v>49023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2549</v>
      </c>
      <c r="AN16" s="123">
        <v>1.482E-3</v>
      </c>
      <c r="AO16" s="123">
        <v>3.0000000000000001E-6</v>
      </c>
    </row>
    <row r="17" spans="1:41" ht="15" customHeight="1">
      <c r="A17" s="121">
        <v>313</v>
      </c>
      <c r="B17" s="121">
        <v>313</v>
      </c>
      <c r="C17" s="120" t="s">
        <v>1016</v>
      </c>
      <c r="D17" s="121">
        <v>31009902</v>
      </c>
      <c r="E17" s="120" t="s">
        <v>1212</v>
      </c>
      <c r="F17" s="122">
        <v>3.7589999999999999</v>
      </c>
      <c r="G17" s="122">
        <v>-5625000</v>
      </c>
      <c r="H17" s="122">
        <v>-5259.8514400000004</v>
      </c>
      <c r="I17" s="123">
        <v>-0.14410999999999999</v>
      </c>
      <c r="J17" s="123">
        <v>-3.3100000000000002E-4</v>
      </c>
      <c r="K17" s="121">
        <v>31009901</v>
      </c>
      <c r="L17" s="120" t="s">
        <v>1217</v>
      </c>
      <c r="M17" s="120" t="s">
        <v>1218</v>
      </c>
      <c r="N17" s="122">
        <v>19307812.399999999</v>
      </c>
      <c r="O17" s="122">
        <v>18348.456709999999</v>
      </c>
      <c r="P17" s="123">
        <v>0.13373499999999999</v>
      </c>
      <c r="Q17" s="123">
        <v>3.0699999999999998E-4</v>
      </c>
      <c r="R17" s="122">
        <v>-1423.32485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2552</v>
      </c>
      <c r="Y17" s="120" t="s">
        <v>338</v>
      </c>
      <c r="Z17" s="124">
        <v>45379</v>
      </c>
      <c r="AA17" s="124">
        <v>46660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3.66</v>
      </c>
      <c r="AJ17" s="122"/>
      <c r="AK17" s="120"/>
      <c r="AL17" s="123"/>
      <c r="AM17" s="120" t="s">
        <v>2551</v>
      </c>
      <c r="AN17" s="123">
        <v>-1.0374E-2</v>
      </c>
      <c r="AO17" s="123">
        <v>-2.3E-5</v>
      </c>
    </row>
    <row r="18" spans="1:41" ht="15" customHeight="1">
      <c r="A18" s="121">
        <v>313</v>
      </c>
      <c r="B18" s="121">
        <v>313</v>
      </c>
      <c r="C18" s="120" t="s">
        <v>1016</v>
      </c>
      <c r="D18" s="121">
        <v>31011130</v>
      </c>
      <c r="E18" s="120" t="s">
        <v>1217</v>
      </c>
      <c r="F18" s="122">
        <v>1</v>
      </c>
      <c r="G18" s="122">
        <v>27200000</v>
      </c>
      <c r="H18" s="122">
        <v>35649.191879999998</v>
      </c>
      <c r="I18" s="123">
        <v>0.25983499999999998</v>
      </c>
      <c r="J18" s="123">
        <v>5.9800000000000001E-4</v>
      </c>
      <c r="K18" s="121">
        <v>310111300</v>
      </c>
      <c r="L18" s="120" t="s">
        <v>1217</v>
      </c>
      <c r="M18" s="120" t="s">
        <v>1218</v>
      </c>
      <c r="N18" s="122">
        <v>-27200000</v>
      </c>
      <c r="O18" s="122">
        <v>-34161.544999999998</v>
      </c>
      <c r="P18" s="123">
        <v>-0.24899199999999999</v>
      </c>
      <c r="Q18" s="123">
        <v>-5.7300000000000005E-4</v>
      </c>
      <c r="R18" s="122">
        <v>1487.64688</v>
      </c>
      <c r="S18" s="120" t="s">
        <v>203</v>
      </c>
      <c r="T18" s="120" t="s">
        <v>203</v>
      </c>
      <c r="U18" s="120" t="s">
        <v>743</v>
      </c>
      <c r="V18" s="120" t="s">
        <v>313</v>
      </c>
      <c r="W18" s="120" t="s">
        <v>927</v>
      </c>
      <c r="X18" s="120" t="s">
        <v>2547</v>
      </c>
      <c r="Y18" s="120" t="s">
        <v>338</v>
      </c>
      <c r="Z18" s="124">
        <v>44718</v>
      </c>
      <c r="AA18" s="124">
        <v>48219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2549</v>
      </c>
      <c r="AN18" s="123">
        <v>1.0841999999999999E-2</v>
      </c>
      <c r="AO18" s="123">
        <v>2.4000000000000001E-5</v>
      </c>
    </row>
    <row r="19" spans="1:41" ht="15" customHeight="1">
      <c r="A19" s="121">
        <v>313</v>
      </c>
      <c r="B19" s="121">
        <v>313</v>
      </c>
      <c r="C19" s="120" t="s">
        <v>1016</v>
      </c>
      <c r="D19" s="121">
        <v>31005902</v>
      </c>
      <c r="E19" s="120" t="s">
        <v>1212</v>
      </c>
      <c r="F19" s="122">
        <v>3.7589999999999999</v>
      </c>
      <c r="G19" s="122">
        <v>-2700000</v>
      </c>
      <c r="H19" s="122">
        <v>-3010.5718200000001</v>
      </c>
      <c r="I19" s="123">
        <v>-8.2484000000000002E-2</v>
      </c>
      <c r="J19" s="123">
        <v>-1.8900000000000001E-4</v>
      </c>
      <c r="K19" s="121">
        <v>31005901</v>
      </c>
      <c r="L19" s="120" t="s">
        <v>1217</v>
      </c>
      <c r="M19" s="120" t="s">
        <v>1218</v>
      </c>
      <c r="N19" s="122">
        <v>10062090</v>
      </c>
      <c r="O19" s="122">
        <v>12103.01914</v>
      </c>
      <c r="P19" s="123">
        <v>8.8214000000000001E-2</v>
      </c>
      <c r="Q19" s="123">
        <v>2.03E-4</v>
      </c>
      <c r="R19" s="122">
        <v>786.27967000000001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2552</v>
      </c>
      <c r="Y19" s="120" t="s">
        <v>338</v>
      </c>
      <c r="Z19" s="124">
        <v>40941</v>
      </c>
      <c r="AA19" s="124">
        <v>46736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3.7269999999999999</v>
      </c>
      <c r="AJ19" s="122"/>
      <c r="AK19" s="120"/>
      <c r="AL19" s="123"/>
      <c r="AM19" s="120" t="s">
        <v>2549</v>
      </c>
      <c r="AN19" s="123">
        <v>5.7299999999999999E-3</v>
      </c>
      <c r="AO19" s="123">
        <v>1.2999999999999999E-5</v>
      </c>
    </row>
    <row r="20" spans="1:41" ht="15" customHeight="1">
      <c r="A20" s="121">
        <v>313</v>
      </c>
      <c r="B20" s="121">
        <v>313</v>
      </c>
      <c r="C20" s="120" t="s">
        <v>1016</v>
      </c>
      <c r="D20" s="121">
        <v>31004002</v>
      </c>
      <c r="E20" s="120" t="s">
        <v>1217</v>
      </c>
      <c r="F20" s="122">
        <v>1</v>
      </c>
      <c r="G20" s="122">
        <v>-19000000</v>
      </c>
      <c r="H20" s="122">
        <v>-19053.435600000001</v>
      </c>
      <c r="I20" s="123">
        <v>-0.138874</v>
      </c>
      <c r="J20" s="123">
        <v>-3.19E-4</v>
      </c>
      <c r="K20" s="121">
        <v>31004001</v>
      </c>
      <c r="L20" s="120" t="s">
        <v>1217</v>
      </c>
      <c r="M20" s="120" t="s">
        <v>1218</v>
      </c>
      <c r="N20" s="122">
        <v>19000000</v>
      </c>
      <c r="O20" s="122">
        <v>19790.626840000001</v>
      </c>
      <c r="P20" s="123">
        <v>0.14424699999999999</v>
      </c>
      <c r="Q20" s="123">
        <v>3.3199999999999999E-4</v>
      </c>
      <c r="R20" s="122">
        <v>737.19123999999999</v>
      </c>
      <c r="S20" s="120" t="s">
        <v>203</v>
      </c>
      <c r="T20" s="120" t="s">
        <v>203</v>
      </c>
      <c r="U20" s="120" t="s">
        <v>750</v>
      </c>
      <c r="V20" s="120" t="s">
        <v>313</v>
      </c>
      <c r="W20" s="120" t="s">
        <v>929</v>
      </c>
      <c r="X20" s="120" t="s">
        <v>2547</v>
      </c>
      <c r="Y20" s="120" t="s">
        <v>338</v>
      </c>
      <c r="Z20" s="124">
        <v>44174</v>
      </c>
      <c r="AA20" s="124">
        <v>46182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2553</v>
      </c>
      <c r="AN20" s="123">
        <v>5.3730000000000002E-3</v>
      </c>
      <c r="AO20" s="123">
        <v>1.2E-5</v>
      </c>
    </row>
    <row r="21" spans="1:41" ht="15" customHeight="1">
      <c r="A21" s="121">
        <v>313</v>
      </c>
      <c r="B21" s="121">
        <v>313</v>
      </c>
      <c r="C21" s="120" t="s">
        <v>1016</v>
      </c>
      <c r="D21" s="121">
        <v>31006402</v>
      </c>
      <c r="E21" s="120" t="s">
        <v>1217</v>
      </c>
      <c r="F21" s="122">
        <v>1</v>
      </c>
      <c r="G21" s="122">
        <v>-18000000</v>
      </c>
      <c r="H21" s="122">
        <v>-18050.623200000002</v>
      </c>
      <c r="I21" s="123">
        <v>-0.13156499999999999</v>
      </c>
      <c r="J21" s="123">
        <v>-3.0200000000000002E-4</v>
      </c>
      <c r="K21" s="121">
        <v>31006401</v>
      </c>
      <c r="L21" s="120" t="s">
        <v>1217</v>
      </c>
      <c r="M21" s="120" t="s">
        <v>1218</v>
      </c>
      <c r="N21" s="122">
        <v>18000000</v>
      </c>
      <c r="O21" s="122">
        <v>19352.00603</v>
      </c>
      <c r="P21" s="123">
        <v>0.14105000000000001</v>
      </c>
      <c r="Q21" s="123">
        <v>3.2400000000000001E-4</v>
      </c>
      <c r="R21" s="122">
        <v>1301.38283</v>
      </c>
      <c r="S21" s="120" t="s">
        <v>203</v>
      </c>
      <c r="T21" s="120" t="s">
        <v>203</v>
      </c>
      <c r="U21" s="120" t="s">
        <v>750</v>
      </c>
      <c r="V21" s="120" t="s">
        <v>313</v>
      </c>
      <c r="W21" s="120" t="s">
        <v>929</v>
      </c>
      <c r="X21" s="120" t="s">
        <v>2547</v>
      </c>
      <c r="Y21" s="120" t="s">
        <v>338</v>
      </c>
      <c r="Z21" s="124">
        <v>40973</v>
      </c>
      <c r="AA21" s="124">
        <v>46454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2549</v>
      </c>
      <c r="AN21" s="123">
        <v>9.4850000000000004E-3</v>
      </c>
      <c r="AO21" s="123">
        <v>2.0999999999999999E-5</v>
      </c>
    </row>
    <row r="22" spans="1:41" ht="15" customHeight="1">
      <c r="A22" s="121">
        <v>313</v>
      </c>
      <c r="B22" s="121">
        <v>313</v>
      </c>
      <c r="C22" s="120" t="s">
        <v>1016</v>
      </c>
      <c r="D22" s="121">
        <v>31010400</v>
      </c>
      <c r="E22" s="120" t="s">
        <v>1217</v>
      </c>
      <c r="F22" s="122">
        <v>1</v>
      </c>
      <c r="G22" s="122">
        <v>55500000</v>
      </c>
      <c r="H22" s="122">
        <v>70875.700859999997</v>
      </c>
      <c r="I22" s="123">
        <v>0.51658999999999999</v>
      </c>
      <c r="J22" s="123">
        <v>1.189E-3</v>
      </c>
      <c r="K22" s="121">
        <v>310104000</v>
      </c>
      <c r="L22" s="120" t="s">
        <v>1217</v>
      </c>
      <c r="M22" s="120" t="s">
        <v>1218</v>
      </c>
      <c r="N22" s="122">
        <v>-55500000</v>
      </c>
      <c r="O22" s="122">
        <v>-72232.319000000003</v>
      </c>
      <c r="P22" s="123">
        <v>-0.526478</v>
      </c>
      <c r="Q22" s="123">
        <v>-1.212E-3</v>
      </c>
      <c r="R22" s="122">
        <v>-1356.61814</v>
      </c>
      <c r="S22" s="120" t="s">
        <v>204</v>
      </c>
      <c r="T22" s="120" t="s">
        <v>203</v>
      </c>
      <c r="U22" s="120" t="s">
        <v>743</v>
      </c>
      <c r="V22" s="120" t="s">
        <v>313</v>
      </c>
      <c r="W22" s="120" t="s">
        <v>927</v>
      </c>
      <c r="X22" s="120" t="s">
        <v>2547</v>
      </c>
      <c r="Y22" s="120" t="s">
        <v>338</v>
      </c>
      <c r="Z22" s="124">
        <v>45385</v>
      </c>
      <c r="AA22" s="124">
        <v>47048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2553</v>
      </c>
      <c r="AN22" s="123">
        <v>-9.887E-3</v>
      </c>
      <c r="AO22" s="123">
        <v>-2.1999999999999999E-5</v>
      </c>
    </row>
    <row r="23" spans="1:41" ht="15" customHeight="1">
      <c r="A23" s="121">
        <v>313</v>
      </c>
      <c r="B23" s="121">
        <v>313</v>
      </c>
      <c r="C23" s="120" t="s">
        <v>1016</v>
      </c>
      <c r="D23" s="121">
        <v>31028102</v>
      </c>
      <c r="E23" s="120" t="s">
        <v>1216</v>
      </c>
      <c r="F23" s="122">
        <v>4.0202</v>
      </c>
      <c r="G23" s="122">
        <v>-19110667.260000002</v>
      </c>
      <c r="H23" s="122">
        <v>-18619.425650000001</v>
      </c>
      <c r="I23" s="123">
        <v>-0.54558499999999999</v>
      </c>
      <c r="J23" s="123">
        <v>-1.256E-3</v>
      </c>
      <c r="K23" s="121">
        <v>31028101</v>
      </c>
      <c r="L23" s="120" t="s">
        <v>1217</v>
      </c>
      <c r="M23" s="120" t="s">
        <v>1218</v>
      </c>
      <c r="N23" s="122">
        <v>73251187.340000004</v>
      </c>
      <c r="O23" s="122">
        <v>71533.442309999999</v>
      </c>
      <c r="P23" s="123">
        <v>0.52138399999999996</v>
      </c>
      <c r="Q23" s="123">
        <v>1.1999999999999999E-3</v>
      </c>
      <c r="R23" s="122">
        <v>-3320.3726799999999</v>
      </c>
      <c r="S23" s="120" t="s">
        <v>204</v>
      </c>
      <c r="T23" s="120" t="s">
        <v>223</v>
      </c>
      <c r="U23" s="120" t="s">
        <v>745</v>
      </c>
      <c r="V23" s="120" t="s">
        <v>313</v>
      </c>
      <c r="W23" s="120" t="s">
        <v>929</v>
      </c>
      <c r="X23" s="120" t="s">
        <v>2554</v>
      </c>
      <c r="Y23" s="120" t="s">
        <v>338</v>
      </c>
      <c r="Z23" s="124">
        <v>43498</v>
      </c>
      <c r="AA23" s="124">
        <v>49034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4.1531000000000002</v>
      </c>
      <c r="AJ23" s="122"/>
      <c r="AK23" s="120"/>
      <c r="AL23" s="123"/>
      <c r="AM23" s="120" t="s">
        <v>2555</v>
      </c>
      <c r="AN23" s="123">
        <v>-2.4201E-2</v>
      </c>
      <c r="AO23" s="123">
        <v>-5.5000000000000002E-5</v>
      </c>
    </row>
    <row r="24" spans="1:41" ht="15" customHeight="1">
      <c r="A24" s="121">
        <v>313</v>
      </c>
      <c r="B24" s="121">
        <v>313</v>
      </c>
      <c r="C24" s="120" t="s">
        <v>1016</v>
      </c>
      <c r="D24" s="121">
        <v>31028202</v>
      </c>
      <c r="E24" s="120" t="s">
        <v>1212</v>
      </c>
      <c r="F24" s="122">
        <v>3.7589999999999999</v>
      </c>
      <c r="G24" s="122">
        <v>-4932000</v>
      </c>
      <c r="H24" s="122">
        <v>-4607.7510899999997</v>
      </c>
      <c r="I24" s="123">
        <v>-0.12624299999999999</v>
      </c>
      <c r="J24" s="123">
        <v>-2.9E-4</v>
      </c>
      <c r="K24" s="121">
        <v>31028201</v>
      </c>
      <c r="L24" s="120" t="s">
        <v>1217</v>
      </c>
      <c r="M24" s="120" t="s">
        <v>1218</v>
      </c>
      <c r="N24" s="122">
        <v>17646696</v>
      </c>
      <c r="O24" s="122">
        <v>16864.274799999999</v>
      </c>
      <c r="P24" s="123">
        <v>0.122918</v>
      </c>
      <c r="Q24" s="123">
        <v>2.8299999999999999E-4</v>
      </c>
      <c r="R24" s="122">
        <v>-456.26154000000002</v>
      </c>
      <c r="S24" s="120" t="s">
        <v>204</v>
      </c>
      <c r="T24" s="120" t="s">
        <v>223</v>
      </c>
      <c r="U24" s="120" t="s">
        <v>745</v>
      </c>
      <c r="V24" s="120" t="s">
        <v>313</v>
      </c>
      <c r="W24" s="120" t="s">
        <v>929</v>
      </c>
      <c r="X24" s="120" t="s">
        <v>2552</v>
      </c>
      <c r="Y24" s="120" t="s">
        <v>338</v>
      </c>
      <c r="Z24" s="124">
        <v>43803</v>
      </c>
      <c r="AA24" s="124">
        <v>47667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3.4710000000000001</v>
      </c>
      <c r="AJ24" s="122"/>
      <c r="AK24" s="120"/>
      <c r="AL24" s="123"/>
      <c r="AM24" s="120" t="s">
        <v>2548</v>
      </c>
      <c r="AN24" s="123">
        <v>-3.3249999999999998E-3</v>
      </c>
      <c r="AO24" s="123">
        <v>-6.9999999999999999E-6</v>
      </c>
    </row>
    <row r="25" spans="1:41" ht="15" customHeight="1">
      <c r="A25" s="121">
        <v>313</v>
      </c>
      <c r="B25" s="121">
        <v>313</v>
      </c>
      <c r="C25" s="120" t="s">
        <v>1016</v>
      </c>
      <c r="D25" s="121">
        <v>31028302</v>
      </c>
      <c r="E25" s="120" t="s">
        <v>1216</v>
      </c>
      <c r="F25" s="122">
        <v>4.0202</v>
      </c>
      <c r="G25" s="122">
        <v>-30023880.670000002</v>
      </c>
      <c r="H25" s="122">
        <v>-29049.680799999998</v>
      </c>
      <c r="I25" s="123">
        <v>-0.85121199999999997</v>
      </c>
      <c r="J25" s="123">
        <v>-1.9589999999999998E-3</v>
      </c>
      <c r="K25" s="121">
        <v>31028301</v>
      </c>
      <c r="L25" s="120" t="s">
        <v>1217</v>
      </c>
      <c r="M25" s="120" t="s">
        <v>1218</v>
      </c>
      <c r="N25" s="122">
        <v>115141584.39</v>
      </c>
      <c r="O25" s="122">
        <v>110048.00003</v>
      </c>
      <c r="P25" s="123">
        <v>0.80210400000000004</v>
      </c>
      <c r="Q25" s="123">
        <v>1.846E-3</v>
      </c>
      <c r="R25" s="122">
        <v>-6737.5267199999998</v>
      </c>
      <c r="S25" s="120" t="s">
        <v>204</v>
      </c>
      <c r="T25" s="120" t="s">
        <v>223</v>
      </c>
      <c r="U25" s="120" t="s">
        <v>745</v>
      </c>
      <c r="V25" s="120" t="s">
        <v>313</v>
      </c>
      <c r="W25" s="120" t="s">
        <v>929</v>
      </c>
      <c r="X25" s="120" t="s">
        <v>2554</v>
      </c>
      <c r="Y25" s="120" t="s">
        <v>338</v>
      </c>
      <c r="Z25" s="124">
        <v>43924</v>
      </c>
      <c r="AA25" s="124">
        <v>51317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3.927</v>
      </c>
      <c r="AJ25" s="122"/>
      <c r="AK25" s="120"/>
      <c r="AL25" s="123"/>
      <c r="AM25" s="120" t="s">
        <v>2555</v>
      </c>
      <c r="AN25" s="123">
        <v>-4.9106999999999998E-2</v>
      </c>
      <c r="AO25" s="123">
        <v>-1.13E-4</v>
      </c>
    </row>
    <row r="26" spans="1:41" ht="15" customHeight="1">
      <c r="A26" s="121">
        <v>313</v>
      </c>
      <c r="B26" s="121">
        <v>313</v>
      </c>
      <c r="C26" s="120" t="s">
        <v>1016</v>
      </c>
      <c r="D26" s="121">
        <v>31028402</v>
      </c>
      <c r="E26" s="120" t="s">
        <v>1212</v>
      </c>
      <c r="F26" s="122">
        <v>3.7589999999999999</v>
      </c>
      <c r="G26" s="122">
        <v>-6500000</v>
      </c>
      <c r="H26" s="122">
        <v>-6605.4911000000002</v>
      </c>
      <c r="I26" s="123">
        <v>-0.180978</v>
      </c>
      <c r="J26" s="123">
        <v>-4.1599999999999997E-4</v>
      </c>
      <c r="K26" s="121">
        <v>31028401</v>
      </c>
      <c r="L26" s="120" t="s">
        <v>1217</v>
      </c>
      <c r="M26" s="120" t="s">
        <v>1218</v>
      </c>
      <c r="N26" s="122">
        <v>21599500</v>
      </c>
      <c r="O26" s="122">
        <v>22057.86707</v>
      </c>
      <c r="P26" s="123">
        <v>0.160772</v>
      </c>
      <c r="Q26" s="123">
        <v>3.6999999999999999E-4</v>
      </c>
      <c r="R26" s="122">
        <v>-2772.1739699999998</v>
      </c>
      <c r="S26" s="120" t="s">
        <v>204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2552</v>
      </c>
      <c r="Y26" s="120" t="s">
        <v>338</v>
      </c>
      <c r="Z26" s="124">
        <v>44279</v>
      </c>
      <c r="AA26" s="124">
        <v>46111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3.2949999999999999</v>
      </c>
      <c r="AJ26" s="122"/>
      <c r="AK26" s="120"/>
      <c r="AL26" s="123"/>
      <c r="AM26" s="120" t="s">
        <v>2556</v>
      </c>
      <c r="AN26" s="123">
        <v>-2.0205000000000001E-2</v>
      </c>
      <c r="AO26" s="123">
        <v>-4.6E-5</v>
      </c>
    </row>
    <row r="27" spans="1:41" ht="15" customHeight="1">
      <c r="A27" s="121">
        <v>313</v>
      </c>
      <c r="B27" s="121">
        <v>313</v>
      </c>
      <c r="C27" s="120" t="s">
        <v>1016</v>
      </c>
      <c r="D27" s="121">
        <v>31003402</v>
      </c>
      <c r="E27" s="120" t="s">
        <v>1212</v>
      </c>
      <c r="F27" s="122">
        <v>3.7589999999999999</v>
      </c>
      <c r="G27" s="122">
        <v>-9000000</v>
      </c>
      <c r="H27" s="122">
        <v>-10032.2559</v>
      </c>
      <c r="I27" s="123">
        <v>-0.27486500000000003</v>
      </c>
      <c r="J27" s="123">
        <v>-6.3199999999999997E-4</v>
      </c>
      <c r="K27" s="121">
        <v>31003401</v>
      </c>
      <c r="L27" s="120" t="s">
        <v>1217</v>
      </c>
      <c r="M27" s="120" t="s">
        <v>1218</v>
      </c>
      <c r="N27" s="122">
        <v>31873500</v>
      </c>
      <c r="O27" s="122">
        <v>37583.931810000002</v>
      </c>
      <c r="P27" s="123">
        <v>0.27393699999999999</v>
      </c>
      <c r="Q27" s="123">
        <v>6.3000000000000003E-4</v>
      </c>
      <c r="R27" s="122">
        <v>-127.31811</v>
      </c>
      <c r="S27" s="120" t="s">
        <v>204</v>
      </c>
      <c r="T27" s="120" t="s">
        <v>232</v>
      </c>
      <c r="U27" s="120" t="s">
        <v>745</v>
      </c>
      <c r="V27" s="120" t="s">
        <v>313</v>
      </c>
      <c r="W27" s="120" t="s">
        <v>929</v>
      </c>
      <c r="X27" s="120" t="s">
        <v>2552</v>
      </c>
      <c r="Y27" s="120" t="s">
        <v>338</v>
      </c>
      <c r="Z27" s="124">
        <v>40617</v>
      </c>
      <c r="AA27" s="124">
        <v>46736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3.56</v>
      </c>
      <c r="AJ27" s="122"/>
      <c r="AK27" s="120"/>
      <c r="AL27" s="123"/>
      <c r="AM27" s="120" t="s">
        <v>2553</v>
      </c>
      <c r="AN27" s="123">
        <v>-9.2699999999999998E-4</v>
      </c>
      <c r="AO27" s="123">
        <v>-1.9999999999999999E-6</v>
      </c>
    </row>
    <row r="28" spans="1:41" ht="15" customHeight="1">
      <c r="A28" s="121">
        <v>313</v>
      </c>
      <c r="B28" s="121">
        <v>313</v>
      </c>
      <c r="C28" s="120" t="s">
        <v>1018</v>
      </c>
      <c r="D28" s="121">
        <v>76009030</v>
      </c>
      <c r="E28" s="120" t="s">
        <v>1212</v>
      </c>
      <c r="F28" s="122">
        <v>3.7589999999999999</v>
      </c>
      <c r="G28" s="122">
        <v>-1772000</v>
      </c>
      <c r="H28" s="122">
        <v>-1772</v>
      </c>
      <c r="I28" s="123">
        <v>-4.8549000000000002E-2</v>
      </c>
      <c r="J28" s="123">
        <v>-1.11E-4</v>
      </c>
      <c r="K28" s="121">
        <v>760090300</v>
      </c>
      <c r="L28" s="120" t="s">
        <v>1217</v>
      </c>
      <c r="M28" s="120" t="s">
        <v>1218</v>
      </c>
      <c r="N28" s="122">
        <v>1772000</v>
      </c>
      <c r="O28" s="122">
        <v>5818.8703100000002</v>
      </c>
      <c r="P28" s="123">
        <v>4.2410999999999997E-2</v>
      </c>
      <c r="Q28" s="123">
        <v>9.7E-5</v>
      </c>
      <c r="R28" s="122">
        <v>-842.07768999999996</v>
      </c>
      <c r="S28" s="120" t="s">
        <v>204</v>
      </c>
      <c r="T28" s="120" t="s">
        <v>203</v>
      </c>
      <c r="U28" s="120" t="s">
        <v>745</v>
      </c>
      <c r="V28" s="120" t="s">
        <v>313</v>
      </c>
      <c r="W28" s="120" t="s">
        <v>929</v>
      </c>
      <c r="X28" s="120" t="s">
        <v>2552</v>
      </c>
      <c r="Y28" s="120" t="s">
        <v>338</v>
      </c>
      <c r="Z28" s="124">
        <v>44279</v>
      </c>
      <c r="AA28" s="124">
        <v>46661</v>
      </c>
      <c r="AB28" s="120" t="s">
        <v>897</v>
      </c>
      <c r="AC28" s="120" t="s">
        <v>898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3.2949999999999999</v>
      </c>
      <c r="AJ28" s="122"/>
      <c r="AK28" s="120"/>
      <c r="AL28" s="123"/>
      <c r="AM28" s="120" t="s">
        <v>2556</v>
      </c>
      <c r="AN28" s="123">
        <v>-6.1370000000000001E-3</v>
      </c>
      <c r="AO28" s="123">
        <v>-1.4E-5</v>
      </c>
    </row>
    <row r="29" spans="1:41" ht="15" customHeight="1">
      <c r="A29" s="121">
        <v>313</v>
      </c>
      <c r="B29" s="121">
        <v>313</v>
      </c>
      <c r="C29" s="120" t="s">
        <v>1018</v>
      </c>
      <c r="D29" s="121">
        <v>76017116</v>
      </c>
      <c r="E29" s="120" t="s">
        <v>1212</v>
      </c>
      <c r="F29" s="122">
        <v>3.7589999999999999</v>
      </c>
      <c r="G29" s="122">
        <v>-36625000</v>
      </c>
      <c r="H29" s="122">
        <v>-36625</v>
      </c>
      <c r="I29" s="123">
        <v>-1.0034559999999999</v>
      </c>
      <c r="J29" s="123">
        <v>-2.31E-3</v>
      </c>
      <c r="K29" s="121">
        <v>760171160</v>
      </c>
      <c r="L29" s="120" t="s">
        <v>1217</v>
      </c>
      <c r="M29" s="120" t="s">
        <v>1218</v>
      </c>
      <c r="N29" s="122">
        <v>36625000</v>
      </c>
      <c r="O29" s="122">
        <v>129563.60460000001</v>
      </c>
      <c r="P29" s="123">
        <v>0.94434700000000005</v>
      </c>
      <c r="Q29" s="123">
        <v>2.1740000000000002E-3</v>
      </c>
      <c r="R29" s="122">
        <v>-8109.7704000000003</v>
      </c>
      <c r="S29" s="120" t="s">
        <v>204</v>
      </c>
      <c r="T29" s="120" t="s">
        <v>223</v>
      </c>
      <c r="U29" s="120" t="s">
        <v>745</v>
      </c>
      <c r="V29" s="120" t="s">
        <v>313</v>
      </c>
      <c r="W29" s="120" t="s">
        <v>929</v>
      </c>
      <c r="X29" s="120" t="s">
        <v>2552</v>
      </c>
      <c r="Y29" s="120" t="s">
        <v>338</v>
      </c>
      <c r="Z29" s="124">
        <v>45019</v>
      </c>
      <c r="AA29" s="124">
        <v>45757</v>
      </c>
      <c r="AB29" s="120" t="s">
        <v>897</v>
      </c>
      <c r="AC29" s="120" t="s">
        <v>898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3.593</v>
      </c>
      <c r="AJ29" s="122"/>
      <c r="AK29" s="120"/>
      <c r="AL29" s="123"/>
      <c r="AM29" s="120" t="s">
        <v>2557</v>
      </c>
      <c r="AN29" s="123">
        <v>-5.9109000000000002E-2</v>
      </c>
      <c r="AO29" s="123">
        <v>-1.36E-4</v>
      </c>
    </row>
    <row r="30" spans="1:41" ht="15" customHeight="1">
      <c r="A30" s="121">
        <v>313</v>
      </c>
      <c r="B30" s="121">
        <v>313</v>
      </c>
      <c r="C30" s="120" t="s">
        <v>1018</v>
      </c>
      <c r="D30" s="121">
        <v>76018220</v>
      </c>
      <c r="E30" s="120" t="s">
        <v>1212</v>
      </c>
      <c r="F30" s="122">
        <v>3.7589999999999999</v>
      </c>
      <c r="G30" s="122">
        <v>-11300000</v>
      </c>
      <c r="H30" s="122">
        <v>-11300</v>
      </c>
      <c r="I30" s="123">
        <v>-0.30959799999999998</v>
      </c>
      <c r="J30" s="123">
        <v>-7.1199999999999996E-4</v>
      </c>
      <c r="K30" s="121">
        <v>760182200</v>
      </c>
      <c r="L30" s="120" t="s">
        <v>1217</v>
      </c>
      <c r="M30" s="120" t="s">
        <v>1218</v>
      </c>
      <c r="N30" s="122">
        <v>11300000</v>
      </c>
      <c r="O30" s="122">
        <v>42274.859129999997</v>
      </c>
      <c r="P30" s="123">
        <v>0.30812699999999998</v>
      </c>
      <c r="Q30" s="123">
        <v>7.0899999999999999E-4</v>
      </c>
      <c r="R30" s="122">
        <v>-201.84087</v>
      </c>
      <c r="S30" s="120" t="s">
        <v>204</v>
      </c>
      <c r="T30" s="120" t="s">
        <v>223</v>
      </c>
      <c r="U30" s="120" t="s">
        <v>745</v>
      </c>
      <c r="V30" s="120" t="s">
        <v>313</v>
      </c>
      <c r="W30" s="120" t="s">
        <v>929</v>
      </c>
      <c r="X30" s="120" t="s">
        <v>2552</v>
      </c>
      <c r="Y30" s="120" t="s">
        <v>338</v>
      </c>
      <c r="Z30" s="124">
        <v>45159</v>
      </c>
      <c r="AA30" s="124">
        <v>45530</v>
      </c>
      <c r="AB30" s="120" t="s">
        <v>897</v>
      </c>
      <c r="AC30" s="120" t="s">
        <v>898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3.794</v>
      </c>
      <c r="AJ30" s="122"/>
      <c r="AK30" s="120"/>
      <c r="AL30" s="123"/>
      <c r="AM30" s="120" t="s">
        <v>2557</v>
      </c>
      <c r="AN30" s="123">
        <v>-1.4710000000000001E-3</v>
      </c>
      <c r="AO30" s="123">
        <v>-3.0000000000000001E-6</v>
      </c>
    </row>
    <row r="31" spans="1:41" ht="15" customHeight="1">
      <c r="A31" s="121">
        <v>313</v>
      </c>
      <c r="B31" s="121">
        <v>313</v>
      </c>
      <c r="C31" s="120" t="s">
        <v>1016</v>
      </c>
      <c r="D31" s="121">
        <v>31028502</v>
      </c>
      <c r="E31" s="120" t="s">
        <v>1212</v>
      </c>
      <c r="F31" s="122">
        <v>3.7589999999999999</v>
      </c>
      <c r="G31" s="122">
        <v>-4000000</v>
      </c>
      <c r="H31" s="122">
        <v>-4219.1819999999998</v>
      </c>
      <c r="I31" s="123">
        <v>-0.11559700000000001</v>
      </c>
      <c r="J31" s="123">
        <v>-2.6600000000000001E-4</v>
      </c>
      <c r="K31" s="121">
        <v>31028501</v>
      </c>
      <c r="L31" s="120" t="s">
        <v>1217</v>
      </c>
      <c r="M31" s="120" t="s">
        <v>1218</v>
      </c>
      <c r="N31" s="122">
        <v>13292000</v>
      </c>
      <c r="O31" s="122">
        <v>13996.46795</v>
      </c>
      <c r="P31" s="123">
        <v>0.10201499999999999</v>
      </c>
      <c r="Q31" s="123">
        <v>2.34E-4</v>
      </c>
      <c r="R31" s="122">
        <v>-1863.4371799999999</v>
      </c>
      <c r="S31" s="120" t="s">
        <v>204</v>
      </c>
      <c r="T31" s="120" t="s">
        <v>203</v>
      </c>
      <c r="U31" s="120" t="s">
        <v>745</v>
      </c>
      <c r="V31" s="120" t="s">
        <v>313</v>
      </c>
      <c r="W31" s="120" t="s">
        <v>929</v>
      </c>
      <c r="X31" s="120" t="s">
        <v>2552</v>
      </c>
      <c r="Y31" s="120" t="s">
        <v>338</v>
      </c>
      <c r="Z31" s="124">
        <v>44279</v>
      </c>
      <c r="AA31" s="124">
        <v>46842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3.2949999999999999</v>
      </c>
      <c r="AJ31" s="122"/>
      <c r="AK31" s="120"/>
      <c r="AL31" s="123"/>
      <c r="AM31" s="120" t="s">
        <v>2556</v>
      </c>
      <c r="AN31" s="123">
        <v>-1.3580999999999999E-2</v>
      </c>
      <c r="AO31" s="123">
        <v>-3.1000000000000001E-5</v>
      </c>
    </row>
    <row r="32" spans="1:41" ht="15" customHeight="1">
      <c r="A32" s="121">
        <v>313</v>
      </c>
      <c r="B32" s="121">
        <v>313</v>
      </c>
      <c r="C32" s="120" t="s">
        <v>1016</v>
      </c>
      <c r="D32" s="121">
        <v>31009802</v>
      </c>
      <c r="E32" s="120" t="s">
        <v>1212</v>
      </c>
      <c r="F32" s="122">
        <v>3.7589999999999999</v>
      </c>
      <c r="G32" s="122">
        <v>-16875000</v>
      </c>
      <c r="H32" s="122">
        <v>-17846.271000000001</v>
      </c>
      <c r="I32" s="123">
        <v>-0.488954</v>
      </c>
      <c r="J32" s="123">
        <v>-1.1249999999999999E-3</v>
      </c>
      <c r="K32" s="121">
        <v>31009801</v>
      </c>
      <c r="L32" s="120" t="s">
        <v>1217</v>
      </c>
      <c r="M32" s="120" t="s">
        <v>1218</v>
      </c>
      <c r="N32" s="122">
        <v>58007812.5</v>
      </c>
      <c r="O32" s="122">
        <v>62294.918109999999</v>
      </c>
      <c r="P32" s="123">
        <v>0.45404699999999998</v>
      </c>
      <c r="Q32" s="123">
        <v>1.0449999999999999E-3</v>
      </c>
      <c r="R32" s="122">
        <v>-4789.2145700000001</v>
      </c>
      <c r="S32" s="120" t="s">
        <v>204</v>
      </c>
      <c r="T32" s="120" t="s">
        <v>237</v>
      </c>
      <c r="U32" s="120" t="s">
        <v>745</v>
      </c>
      <c r="V32" s="120" t="s">
        <v>313</v>
      </c>
      <c r="W32" s="120" t="s">
        <v>929</v>
      </c>
      <c r="X32" s="120" t="s">
        <v>2552</v>
      </c>
      <c r="Y32" s="120" t="s">
        <v>338</v>
      </c>
      <c r="Z32" s="124">
        <v>45078</v>
      </c>
      <c r="AA32" s="124">
        <v>46660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3.7360000000000002</v>
      </c>
      <c r="AJ32" s="122"/>
      <c r="AK32" s="120"/>
      <c r="AL32" s="123"/>
      <c r="AM32" s="120" t="s">
        <v>2558</v>
      </c>
      <c r="AN32" s="123">
        <v>-3.4907000000000001E-2</v>
      </c>
      <c r="AO32" s="123">
        <v>-8.0000000000000007E-5</v>
      </c>
    </row>
    <row r="33" spans="1:41" ht="15" customHeight="1">
      <c r="A33" s="121">
        <v>313</v>
      </c>
      <c r="B33" s="121">
        <v>313</v>
      </c>
      <c r="C33" s="120" t="s">
        <v>1016</v>
      </c>
      <c r="D33" s="121">
        <v>31008002</v>
      </c>
      <c r="E33" s="120" t="s">
        <v>1212</v>
      </c>
      <c r="F33" s="122">
        <v>3.7589999999999999</v>
      </c>
      <c r="G33" s="122">
        <v>-3489995.35</v>
      </c>
      <c r="H33" s="122">
        <v>-4230.4885999999997</v>
      </c>
      <c r="I33" s="123">
        <v>-0.115907</v>
      </c>
      <c r="J33" s="123">
        <v>-2.6600000000000001E-4</v>
      </c>
      <c r="K33" s="121">
        <v>31008001</v>
      </c>
      <c r="L33" s="120" t="s">
        <v>1217</v>
      </c>
      <c r="M33" s="120" t="s">
        <v>1218</v>
      </c>
      <c r="N33" s="122">
        <v>12790832.960000001</v>
      </c>
      <c r="O33" s="122">
        <v>17084.17007</v>
      </c>
      <c r="P33" s="123">
        <v>0.12452100000000001</v>
      </c>
      <c r="Q33" s="123">
        <v>2.8600000000000001E-4</v>
      </c>
      <c r="R33" s="122">
        <v>1181.76343</v>
      </c>
      <c r="S33" s="120" t="s">
        <v>204</v>
      </c>
      <c r="T33" s="120" t="s">
        <v>203</v>
      </c>
      <c r="U33" s="120" t="s">
        <v>745</v>
      </c>
      <c r="V33" s="120" t="s">
        <v>313</v>
      </c>
      <c r="W33" s="120" t="s">
        <v>929</v>
      </c>
      <c r="X33" s="120" t="s">
        <v>2552</v>
      </c>
      <c r="Y33" s="120" t="s">
        <v>338</v>
      </c>
      <c r="Z33" s="124">
        <v>41520</v>
      </c>
      <c r="AA33" s="124">
        <v>52261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3.6320000000000001</v>
      </c>
      <c r="AJ33" s="122"/>
      <c r="AK33" s="120"/>
      <c r="AL33" s="123"/>
      <c r="AM33" s="120" t="s">
        <v>2548</v>
      </c>
      <c r="AN33" s="123">
        <v>8.6130000000000009E-3</v>
      </c>
      <c r="AO33" s="123">
        <v>1.9000000000000001E-5</v>
      </c>
    </row>
    <row r="34" spans="1:41" ht="15" customHeight="1">
      <c r="A34" s="121">
        <v>313</v>
      </c>
      <c r="B34" s="121">
        <v>313</v>
      </c>
      <c r="C34" s="120" t="s">
        <v>1022</v>
      </c>
      <c r="D34" s="121">
        <v>31011187</v>
      </c>
      <c r="E34" s="120" t="s">
        <v>1212</v>
      </c>
      <c r="F34" s="122">
        <v>3.7589999999999999</v>
      </c>
      <c r="G34" s="122">
        <v>4569.46</v>
      </c>
      <c r="H34" s="122">
        <v>2243732.6092599998</v>
      </c>
      <c r="I34" s="123">
        <v>61.474094000000001</v>
      </c>
      <c r="J34" s="123">
        <v>0.14153499999999999</v>
      </c>
      <c r="K34" s="121">
        <v>310111870</v>
      </c>
      <c r="L34" s="120" t="s">
        <v>1212</v>
      </c>
      <c r="M34" s="120" t="s">
        <v>2731</v>
      </c>
      <c r="N34" s="122">
        <v>-4569.46</v>
      </c>
      <c r="O34" s="122">
        <v>-2237793.4500000002</v>
      </c>
      <c r="P34" s="123">
        <v>-61.311371999999999</v>
      </c>
      <c r="Q34" s="123">
        <v>-0.14116100000000001</v>
      </c>
      <c r="R34" s="122">
        <v>22325.299650000001</v>
      </c>
      <c r="S34" s="120" t="s">
        <v>204</v>
      </c>
      <c r="T34" s="120" t="s">
        <v>288</v>
      </c>
      <c r="U34" s="120" t="s">
        <v>746</v>
      </c>
      <c r="V34" s="120" t="s">
        <v>313</v>
      </c>
      <c r="W34" s="120" t="s">
        <v>927</v>
      </c>
      <c r="X34" s="120" t="s">
        <v>2550</v>
      </c>
      <c r="Y34" s="120" t="s">
        <v>338</v>
      </c>
      <c r="Z34" s="124">
        <v>45105</v>
      </c>
      <c r="AA34" s="124">
        <v>45520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9059.3919999999998</v>
      </c>
      <c r="AJ34" s="122"/>
      <c r="AK34" s="120"/>
      <c r="AL34" s="123"/>
      <c r="AM34" s="120" t="s">
        <v>2555</v>
      </c>
      <c r="AN34" s="123">
        <v>0.162721</v>
      </c>
      <c r="AO34" s="123">
        <v>3.7399999999999998E-4</v>
      </c>
    </row>
    <row r="35" spans="1:41" ht="15" customHeight="1">
      <c r="A35" s="121">
        <v>313</v>
      </c>
      <c r="B35" s="121">
        <v>313</v>
      </c>
      <c r="C35" s="120" t="s">
        <v>1016</v>
      </c>
      <c r="D35" s="121">
        <v>31010401</v>
      </c>
      <c r="E35" s="120" t="s">
        <v>1217</v>
      </c>
      <c r="F35" s="122">
        <v>1</v>
      </c>
      <c r="G35" s="122">
        <v>45500000</v>
      </c>
      <c r="H35" s="122">
        <v>55982.325129999997</v>
      </c>
      <c r="I35" s="123">
        <v>0.40803699999999998</v>
      </c>
      <c r="J35" s="123">
        <v>9.3899999999999995E-4</v>
      </c>
      <c r="K35" s="121">
        <v>310104010</v>
      </c>
      <c r="L35" s="120" t="s">
        <v>1217</v>
      </c>
      <c r="M35" s="120" t="s">
        <v>1218</v>
      </c>
      <c r="N35" s="122">
        <v>-45500000</v>
      </c>
      <c r="O35" s="122">
        <v>-51198.597999999998</v>
      </c>
      <c r="P35" s="123">
        <v>-0.37317</v>
      </c>
      <c r="Q35" s="123">
        <v>-8.5899999999999995E-4</v>
      </c>
      <c r="R35" s="122">
        <v>4783.7271300000002</v>
      </c>
      <c r="S35" s="120" t="s">
        <v>204</v>
      </c>
      <c r="T35" s="120" t="s">
        <v>203</v>
      </c>
      <c r="U35" s="120" t="s">
        <v>743</v>
      </c>
      <c r="V35" s="120" t="s">
        <v>313</v>
      </c>
      <c r="W35" s="120" t="s">
        <v>927</v>
      </c>
      <c r="X35" s="120" t="s">
        <v>2547</v>
      </c>
      <c r="Y35" s="120" t="s">
        <v>338</v>
      </c>
      <c r="Z35" s="124">
        <v>41648</v>
      </c>
      <c r="AA35" s="124">
        <v>46941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1</v>
      </c>
      <c r="AJ35" s="122"/>
      <c r="AK35" s="120"/>
      <c r="AL35" s="123"/>
      <c r="AM35" s="120" t="s">
        <v>2557</v>
      </c>
      <c r="AN35" s="123">
        <v>3.4867000000000002E-2</v>
      </c>
      <c r="AO35" s="123">
        <v>8.0000000000000007E-5</v>
      </c>
    </row>
    <row r="36" spans="1:41" ht="15" customHeight="1">
      <c r="A36" s="121">
        <v>313</v>
      </c>
      <c r="B36" s="121">
        <v>313</v>
      </c>
      <c r="C36" s="120" t="s">
        <v>1016</v>
      </c>
      <c r="D36" s="121">
        <v>31010402</v>
      </c>
      <c r="E36" s="120" t="s">
        <v>1217</v>
      </c>
      <c r="F36" s="122">
        <v>1</v>
      </c>
      <c r="G36" s="122">
        <v>30600000</v>
      </c>
      <c r="H36" s="122">
        <v>40007.36623</v>
      </c>
      <c r="I36" s="123">
        <v>0.29160000000000003</v>
      </c>
      <c r="J36" s="123">
        <v>6.7100000000000005E-4</v>
      </c>
      <c r="K36" s="121">
        <v>310104020</v>
      </c>
      <c r="L36" s="120" t="s">
        <v>1217</v>
      </c>
      <c r="M36" s="120" t="s">
        <v>1218</v>
      </c>
      <c r="N36" s="122">
        <v>-30600000</v>
      </c>
      <c r="O36" s="122">
        <v>-38638.851000000002</v>
      </c>
      <c r="P36" s="123">
        <v>-0.28162599999999999</v>
      </c>
      <c r="Q36" s="123">
        <v>-6.4800000000000003E-4</v>
      </c>
      <c r="R36" s="122">
        <v>1368.51523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2547</v>
      </c>
      <c r="Y36" s="120" t="s">
        <v>338</v>
      </c>
      <c r="Z36" s="124">
        <v>44384</v>
      </c>
      <c r="AA36" s="124">
        <v>48289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2557</v>
      </c>
      <c r="AN36" s="123">
        <v>9.9740000000000002E-3</v>
      </c>
      <c r="AO36" s="123">
        <v>2.1999999999999999E-5</v>
      </c>
    </row>
    <row r="37" spans="1:41" ht="15" customHeight="1">
      <c r="A37" s="121">
        <v>313</v>
      </c>
      <c r="B37" s="121">
        <v>313</v>
      </c>
      <c r="C37" s="120" t="s">
        <v>1016</v>
      </c>
      <c r="D37" s="121">
        <v>31010403</v>
      </c>
      <c r="E37" s="120" t="s">
        <v>1217</v>
      </c>
      <c r="F37" s="122">
        <v>1</v>
      </c>
      <c r="G37" s="122">
        <v>36450000</v>
      </c>
      <c r="H37" s="122">
        <v>46770.870089999997</v>
      </c>
      <c r="I37" s="123">
        <v>0.34089700000000001</v>
      </c>
      <c r="J37" s="123">
        <v>7.8399999999999997E-4</v>
      </c>
      <c r="K37" s="121">
        <v>310104030</v>
      </c>
      <c r="L37" s="120" t="s">
        <v>1217</v>
      </c>
      <c r="M37" s="120" t="s">
        <v>1218</v>
      </c>
      <c r="N37" s="122">
        <v>-36450000</v>
      </c>
      <c r="O37" s="122">
        <v>-46590.845000000001</v>
      </c>
      <c r="P37" s="123">
        <v>-0.33958500000000003</v>
      </c>
      <c r="Q37" s="123">
        <v>-7.8100000000000001E-4</v>
      </c>
      <c r="R37" s="122">
        <v>180.02509000000001</v>
      </c>
      <c r="S37" s="120" t="s">
        <v>204</v>
      </c>
      <c r="T37" s="120" t="s">
        <v>203</v>
      </c>
      <c r="U37" s="120" t="s">
        <v>743</v>
      </c>
      <c r="V37" s="120" t="s">
        <v>313</v>
      </c>
      <c r="W37" s="120" t="s">
        <v>927</v>
      </c>
      <c r="X37" s="120" t="s">
        <v>2547</v>
      </c>
      <c r="Y37" s="120" t="s">
        <v>338</v>
      </c>
      <c r="Z37" s="124">
        <v>44636</v>
      </c>
      <c r="AA37" s="124">
        <v>48689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1</v>
      </c>
      <c r="AJ37" s="122"/>
      <c r="AK37" s="120"/>
      <c r="AL37" s="123"/>
      <c r="AM37" s="120" t="s">
        <v>2557</v>
      </c>
      <c r="AN37" s="123">
        <v>1.312E-3</v>
      </c>
      <c r="AO37" s="123">
        <v>3.0000000000000001E-6</v>
      </c>
    </row>
    <row r="38" spans="1:41" ht="15" customHeight="1">
      <c r="A38" s="121">
        <v>313</v>
      </c>
      <c r="B38" s="121">
        <v>313</v>
      </c>
      <c r="C38" s="120" t="s">
        <v>1016</v>
      </c>
      <c r="D38" s="121">
        <v>31010404</v>
      </c>
      <c r="E38" s="120" t="s">
        <v>1217</v>
      </c>
      <c r="F38" s="122">
        <v>1</v>
      </c>
      <c r="G38" s="122">
        <v>24800000</v>
      </c>
      <c r="H38" s="122">
        <v>31780.66707</v>
      </c>
      <c r="I38" s="123">
        <v>0.23163900000000001</v>
      </c>
      <c r="J38" s="123">
        <v>5.3300000000000005E-4</v>
      </c>
      <c r="K38" s="121">
        <v>310104040</v>
      </c>
      <c r="L38" s="120" t="s">
        <v>1217</v>
      </c>
      <c r="M38" s="120" t="s">
        <v>1218</v>
      </c>
      <c r="N38" s="122">
        <v>-24800000</v>
      </c>
      <c r="O38" s="122">
        <v>-31823.611000000001</v>
      </c>
      <c r="P38" s="123">
        <v>-0.23195199999999999</v>
      </c>
      <c r="Q38" s="123">
        <v>-5.3399999999999997E-4</v>
      </c>
      <c r="R38" s="122">
        <v>-42.943930000000002</v>
      </c>
      <c r="S38" s="120" t="s">
        <v>204</v>
      </c>
      <c r="T38" s="120" t="s">
        <v>203</v>
      </c>
      <c r="U38" s="120" t="s">
        <v>743</v>
      </c>
      <c r="V38" s="120" t="s">
        <v>313</v>
      </c>
      <c r="W38" s="120" t="s">
        <v>927</v>
      </c>
      <c r="X38" s="120" t="s">
        <v>2547</v>
      </c>
      <c r="Y38" s="120" t="s">
        <v>338</v>
      </c>
      <c r="Z38" s="124">
        <v>45036</v>
      </c>
      <c r="AA38" s="124">
        <v>48715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1</v>
      </c>
      <c r="AJ38" s="122"/>
      <c r="AK38" s="120"/>
      <c r="AL38" s="123"/>
      <c r="AM38" s="120" t="s">
        <v>2557</v>
      </c>
      <c r="AN38" s="123">
        <v>-3.1300000000000002E-4</v>
      </c>
      <c r="AO38" s="123">
        <v>0</v>
      </c>
    </row>
    <row r="39" spans="1:41" ht="15" customHeight="1">
      <c r="A39" s="121">
        <v>313</v>
      </c>
      <c r="B39" s="121">
        <v>313</v>
      </c>
      <c r="C39" s="120" t="s">
        <v>1016</v>
      </c>
      <c r="D39" s="121">
        <v>31010405</v>
      </c>
      <c r="E39" s="120" t="s">
        <v>1217</v>
      </c>
      <c r="F39" s="122">
        <v>1</v>
      </c>
      <c r="G39" s="122">
        <v>49400000</v>
      </c>
      <c r="H39" s="122">
        <v>63400.074410000001</v>
      </c>
      <c r="I39" s="123">
        <v>0.46210200000000001</v>
      </c>
      <c r="J39" s="123">
        <v>1.0629999999999999E-3</v>
      </c>
      <c r="K39" s="121">
        <v>310104050</v>
      </c>
      <c r="L39" s="120" t="s">
        <v>1217</v>
      </c>
      <c r="M39" s="120" t="s">
        <v>1218</v>
      </c>
      <c r="N39" s="122">
        <v>-49400000</v>
      </c>
      <c r="O39" s="122">
        <v>-63793.62</v>
      </c>
      <c r="P39" s="123">
        <v>-0.46497100000000002</v>
      </c>
      <c r="Q39" s="123">
        <v>-1.07E-3</v>
      </c>
      <c r="R39" s="122">
        <v>-393.54559</v>
      </c>
      <c r="S39" s="120" t="s">
        <v>204</v>
      </c>
      <c r="T39" s="120" t="s">
        <v>203</v>
      </c>
      <c r="U39" s="120" t="s">
        <v>743</v>
      </c>
      <c r="V39" s="120" t="s">
        <v>313</v>
      </c>
      <c r="W39" s="120" t="s">
        <v>927</v>
      </c>
      <c r="X39" s="120" t="s">
        <v>2547</v>
      </c>
      <c r="Y39" s="120" t="s">
        <v>338</v>
      </c>
      <c r="Z39" s="124">
        <v>45062</v>
      </c>
      <c r="AA39" s="124">
        <v>48730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2557</v>
      </c>
      <c r="AN39" s="123">
        <v>-2.8679999999999999E-3</v>
      </c>
      <c r="AO39" s="123">
        <v>-6.0000000000000002E-6</v>
      </c>
    </row>
    <row r="40" spans="1:41" ht="15" customHeight="1">
      <c r="A40" s="121">
        <v>313</v>
      </c>
      <c r="B40" s="121">
        <v>313</v>
      </c>
      <c r="C40" s="120" t="s">
        <v>1016</v>
      </c>
      <c r="D40" s="121">
        <v>31010410</v>
      </c>
      <c r="E40" s="120" t="s">
        <v>1217</v>
      </c>
      <c r="F40" s="122">
        <v>1</v>
      </c>
      <c r="G40" s="122">
        <v>24700000</v>
      </c>
      <c r="H40" s="122">
        <v>31830.27738</v>
      </c>
      <c r="I40" s="123">
        <v>0.23200000000000001</v>
      </c>
      <c r="J40" s="123">
        <v>5.3399999999999997E-4</v>
      </c>
      <c r="K40" s="121">
        <v>310104100</v>
      </c>
      <c r="L40" s="120" t="s">
        <v>1217</v>
      </c>
      <c r="M40" s="120" t="s">
        <v>1218</v>
      </c>
      <c r="N40" s="122">
        <v>-24700000</v>
      </c>
      <c r="O40" s="122">
        <v>-31927.915000000001</v>
      </c>
      <c r="P40" s="123">
        <v>-0.232712</v>
      </c>
      <c r="Q40" s="123">
        <v>-5.3499999999999999E-4</v>
      </c>
      <c r="R40" s="122">
        <v>-97.637619999999998</v>
      </c>
      <c r="S40" s="120" t="s">
        <v>204</v>
      </c>
      <c r="T40" s="120" t="s">
        <v>203</v>
      </c>
      <c r="U40" s="120" t="s">
        <v>743</v>
      </c>
      <c r="V40" s="120" t="s">
        <v>313</v>
      </c>
      <c r="W40" s="120" t="s">
        <v>927</v>
      </c>
      <c r="X40" s="120" t="s">
        <v>2547</v>
      </c>
      <c r="Y40" s="120" t="s">
        <v>338</v>
      </c>
      <c r="Z40" s="124">
        <v>45066</v>
      </c>
      <c r="AA40" s="124">
        <v>48731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2553</v>
      </c>
      <c r="AN40" s="123">
        <v>-7.1100000000000004E-4</v>
      </c>
      <c r="AO40" s="123">
        <v>-9.9999999999999995E-7</v>
      </c>
    </row>
    <row r="41" spans="1:41" ht="15" customHeight="1">
      <c r="A41" s="121">
        <v>313</v>
      </c>
      <c r="B41" s="121">
        <v>313</v>
      </c>
      <c r="C41" s="120" t="s">
        <v>1016</v>
      </c>
      <c r="D41" s="121">
        <v>31009600</v>
      </c>
      <c r="E41" s="120" t="s">
        <v>1217</v>
      </c>
      <c r="F41" s="122">
        <v>1</v>
      </c>
      <c r="G41" s="122">
        <v>48840000</v>
      </c>
      <c r="H41" s="122">
        <v>62400.456760000001</v>
      </c>
      <c r="I41" s="123">
        <v>0.454816</v>
      </c>
      <c r="J41" s="123">
        <v>1.047E-3</v>
      </c>
      <c r="K41" s="121">
        <v>310096000</v>
      </c>
      <c r="L41" s="120" t="s">
        <v>1217</v>
      </c>
      <c r="M41" s="120" t="s">
        <v>1218</v>
      </c>
      <c r="N41" s="122">
        <v>-48840000</v>
      </c>
      <c r="O41" s="122">
        <v>-66144.42469</v>
      </c>
      <c r="P41" s="123">
        <v>-0.48210500000000001</v>
      </c>
      <c r="Q41" s="123">
        <v>-1.109E-3</v>
      </c>
      <c r="R41" s="122">
        <v>-3743.9679299999998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2547</v>
      </c>
      <c r="Y41" s="120" t="s">
        <v>338</v>
      </c>
      <c r="Z41" s="124">
        <v>41816</v>
      </c>
      <c r="AA41" s="124">
        <v>46913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2553</v>
      </c>
      <c r="AN41" s="123">
        <v>-2.7288E-2</v>
      </c>
      <c r="AO41" s="123">
        <v>-6.2000000000000003E-5</v>
      </c>
    </row>
    <row r="42" spans="1:41" ht="15" customHeight="1">
      <c r="A42" s="121">
        <v>313</v>
      </c>
      <c r="B42" s="121">
        <v>313</v>
      </c>
      <c r="C42" s="120" t="s">
        <v>1018</v>
      </c>
      <c r="D42" s="121">
        <v>76018468</v>
      </c>
      <c r="E42" s="120" t="s">
        <v>1212</v>
      </c>
      <c r="F42" s="122">
        <v>3.7589999999999999</v>
      </c>
      <c r="G42" s="122">
        <v>-25500000</v>
      </c>
      <c r="H42" s="122">
        <v>-25500</v>
      </c>
      <c r="I42" s="123">
        <v>-0.69865200000000005</v>
      </c>
      <c r="J42" s="123">
        <v>-1.6080000000000001E-3</v>
      </c>
      <c r="K42" s="121">
        <v>760184680</v>
      </c>
      <c r="L42" s="120" t="s">
        <v>1217</v>
      </c>
      <c r="M42" s="120" t="s">
        <v>1218</v>
      </c>
      <c r="N42" s="122">
        <v>25500000</v>
      </c>
      <c r="O42" s="122">
        <v>95294.277539999995</v>
      </c>
      <c r="P42" s="123">
        <v>0.69456899999999999</v>
      </c>
      <c r="Q42" s="123">
        <v>1.5989999999999999E-3</v>
      </c>
      <c r="R42" s="122">
        <v>-560.22245999999996</v>
      </c>
      <c r="S42" s="120" t="s">
        <v>204</v>
      </c>
      <c r="T42" s="120" t="s">
        <v>237</v>
      </c>
      <c r="U42" s="120" t="s">
        <v>745</v>
      </c>
      <c r="V42" s="120" t="s">
        <v>313</v>
      </c>
      <c r="W42" s="120" t="s">
        <v>929</v>
      </c>
      <c r="X42" s="120" t="s">
        <v>2552</v>
      </c>
      <c r="Y42" s="120" t="s">
        <v>338</v>
      </c>
      <c r="Z42" s="124">
        <v>45159</v>
      </c>
      <c r="AA42" s="124">
        <v>45554</v>
      </c>
      <c r="AB42" s="120" t="s">
        <v>897</v>
      </c>
      <c r="AC42" s="120" t="s">
        <v>898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3.794</v>
      </c>
      <c r="AJ42" s="122"/>
      <c r="AK42" s="120"/>
      <c r="AL42" s="123"/>
      <c r="AM42" s="120" t="s">
        <v>2558</v>
      </c>
      <c r="AN42" s="123">
        <v>-4.0829999999999998E-3</v>
      </c>
      <c r="AO42" s="123">
        <v>-9.0000000000000002E-6</v>
      </c>
    </row>
    <row r="43" spans="1:41" ht="15" customHeight="1">
      <c r="A43" s="121">
        <v>313</v>
      </c>
      <c r="B43" s="121">
        <v>313</v>
      </c>
      <c r="C43" s="120" t="s">
        <v>1016</v>
      </c>
      <c r="D43" s="121">
        <v>31009502</v>
      </c>
      <c r="E43" s="120" t="s">
        <v>1212</v>
      </c>
      <c r="F43" s="122">
        <v>3.7589999999999999</v>
      </c>
      <c r="G43" s="122">
        <v>-5215374.26</v>
      </c>
      <c r="H43" s="122">
        <v>-5659.442</v>
      </c>
      <c r="I43" s="123">
        <v>-0.155058</v>
      </c>
      <c r="J43" s="123">
        <v>-3.57E-4</v>
      </c>
      <c r="K43" s="121">
        <v>31009501</v>
      </c>
      <c r="L43" s="120" t="s">
        <v>1217</v>
      </c>
      <c r="M43" s="120" t="s">
        <v>1218</v>
      </c>
      <c r="N43" s="122">
        <v>18107829.559999999</v>
      </c>
      <c r="O43" s="122">
        <v>17419.456470000001</v>
      </c>
      <c r="P43" s="123">
        <v>0.12696399999999999</v>
      </c>
      <c r="Q43" s="123">
        <v>2.92E-4</v>
      </c>
      <c r="R43" s="122">
        <v>-3854.386</v>
      </c>
      <c r="S43" s="120" t="s">
        <v>204</v>
      </c>
      <c r="T43" s="120" t="s">
        <v>237</v>
      </c>
      <c r="U43" s="120" t="s">
        <v>745</v>
      </c>
      <c r="V43" s="120" t="s">
        <v>313</v>
      </c>
      <c r="W43" s="120" t="s">
        <v>929</v>
      </c>
      <c r="X43" s="120" t="s">
        <v>2552</v>
      </c>
      <c r="Y43" s="120" t="s">
        <v>338</v>
      </c>
      <c r="Z43" s="124">
        <v>41799</v>
      </c>
      <c r="AA43" s="124">
        <v>46387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3.476</v>
      </c>
      <c r="AJ43" s="122"/>
      <c r="AK43" s="120"/>
      <c r="AL43" s="123"/>
      <c r="AM43" s="120" t="s">
        <v>2558</v>
      </c>
      <c r="AN43" s="123">
        <v>-2.8093E-2</v>
      </c>
      <c r="AO43" s="123">
        <v>-6.3999999999999997E-5</v>
      </c>
    </row>
    <row r="44" spans="1:41" ht="15" customHeight="1">
      <c r="A44" s="121">
        <v>313</v>
      </c>
      <c r="B44" s="121">
        <v>313</v>
      </c>
      <c r="C44" s="120" t="s">
        <v>1016</v>
      </c>
      <c r="D44" s="121">
        <v>31008402</v>
      </c>
      <c r="E44" s="120" t="s">
        <v>1212</v>
      </c>
      <c r="F44" s="122">
        <v>3.7589999999999999</v>
      </c>
      <c r="G44" s="122">
        <v>-2500000</v>
      </c>
      <c r="H44" s="122">
        <v>-2784.39</v>
      </c>
      <c r="I44" s="123">
        <v>-7.6286999999999994E-2</v>
      </c>
      <c r="J44" s="123">
        <v>-1.75E-4</v>
      </c>
      <c r="K44" s="121">
        <v>31008401</v>
      </c>
      <c r="L44" s="120" t="s">
        <v>1217</v>
      </c>
      <c r="M44" s="120" t="s">
        <v>1218</v>
      </c>
      <c r="N44" s="122">
        <v>8757500</v>
      </c>
      <c r="O44" s="122">
        <v>10239.80342</v>
      </c>
      <c r="P44" s="123">
        <v>7.4634000000000006E-2</v>
      </c>
      <c r="Q44" s="123">
        <v>1.7100000000000001E-4</v>
      </c>
      <c r="R44" s="122">
        <v>-226.71859000000001</v>
      </c>
      <c r="S44" s="120" t="s">
        <v>204</v>
      </c>
      <c r="T44" s="120" t="s">
        <v>237</v>
      </c>
      <c r="U44" s="120" t="s">
        <v>745</v>
      </c>
      <c r="V44" s="120" t="s">
        <v>313</v>
      </c>
      <c r="W44" s="120" t="s">
        <v>929</v>
      </c>
      <c r="X44" s="120" t="s">
        <v>2552</v>
      </c>
      <c r="Y44" s="120" t="s">
        <v>338</v>
      </c>
      <c r="Z44" s="124">
        <v>41520</v>
      </c>
      <c r="AA44" s="124">
        <v>46736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3.6320000000000001</v>
      </c>
      <c r="AJ44" s="122"/>
      <c r="AK44" s="120"/>
      <c r="AL44" s="123"/>
      <c r="AM44" s="120" t="s">
        <v>2558</v>
      </c>
      <c r="AN44" s="123">
        <v>-1.652E-3</v>
      </c>
      <c r="AO44" s="123">
        <v>-3.0000000000000001E-6</v>
      </c>
    </row>
    <row r="45" spans="1:41" ht="15" customHeight="1">
      <c r="A45" s="121">
        <v>313</v>
      </c>
      <c r="B45" s="121">
        <v>313</v>
      </c>
      <c r="C45" s="120" t="s">
        <v>1022</v>
      </c>
      <c r="D45" s="121">
        <v>31011186</v>
      </c>
      <c r="E45" s="120" t="s">
        <v>1212</v>
      </c>
      <c r="F45" s="122">
        <v>3.7589999999999999</v>
      </c>
      <c r="G45" s="122">
        <v>7446</v>
      </c>
      <c r="H45" s="122">
        <v>3687408.6336400001</v>
      </c>
      <c r="I45" s="123">
        <v>101.028128</v>
      </c>
      <c r="J45" s="123">
        <v>0.232603</v>
      </c>
      <c r="K45" s="121">
        <v>310111860</v>
      </c>
      <c r="L45" s="120" t="s">
        <v>1212</v>
      </c>
      <c r="M45" s="120" t="s">
        <v>2731</v>
      </c>
      <c r="N45" s="122">
        <v>-7446</v>
      </c>
      <c r="O45" s="122">
        <v>-3675595.38</v>
      </c>
      <c r="P45" s="123">
        <v>-100.70446699999999</v>
      </c>
      <c r="Q45" s="123">
        <v>-0.23185800000000001</v>
      </c>
      <c r="R45" s="122">
        <v>44406.020429999997</v>
      </c>
      <c r="S45" s="120" t="s">
        <v>204</v>
      </c>
      <c r="T45" s="120" t="s">
        <v>288</v>
      </c>
      <c r="U45" s="120" t="s">
        <v>746</v>
      </c>
      <c r="V45" s="120" t="s">
        <v>313</v>
      </c>
      <c r="W45" s="120" t="s">
        <v>927</v>
      </c>
      <c r="X45" s="120" t="s">
        <v>2550</v>
      </c>
      <c r="Y45" s="120" t="s">
        <v>338</v>
      </c>
      <c r="Z45" s="124">
        <v>45219</v>
      </c>
      <c r="AA45" s="124">
        <v>45497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8683.7739999999994</v>
      </c>
      <c r="AJ45" s="122"/>
      <c r="AK45" s="120"/>
      <c r="AL45" s="123"/>
      <c r="AM45" s="120" t="s">
        <v>2555</v>
      </c>
      <c r="AN45" s="123">
        <v>0.32366099999999998</v>
      </c>
      <c r="AO45" s="123">
        <v>7.45E-4</v>
      </c>
    </row>
    <row r="46" spans="1:41" ht="15" customHeight="1">
      <c r="A46" s="121">
        <v>313</v>
      </c>
      <c r="B46" s="121">
        <v>313</v>
      </c>
      <c r="C46" s="120" t="s">
        <v>1022</v>
      </c>
      <c r="D46" s="121">
        <v>31011188</v>
      </c>
      <c r="E46" s="120" t="s">
        <v>1212</v>
      </c>
      <c r="F46" s="122">
        <v>3.7589999999999999</v>
      </c>
      <c r="G46" s="122">
        <v>5243</v>
      </c>
      <c r="H46" s="122">
        <v>3240570.8582100002</v>
      </c>
      <c r="I46" s="123">
        <v>88.785606000000001</v>
      </c>
      <c r="J46" s="123">
        <v>0.20441699999999999</v>
      </c>
      <c r="K46" s="121">
        <v>310111880</v>
      </c>
      <c r="L46" s="120" t="s">
        <v>1212</v>
      </c>
      <c r="M46" s="120" t="s">
        <v>2731</v>
      </c>
      <c r="N46" s="122">
        <v>-5243</v>
      </c>
      <c r="O46" s="122">
        <v>-3228721.96</v>
      </c>
      <c r="P46" s="123">
        <v>-88.460967999999994</v>
      </c>
      <c r="Q46" s="123">
        <v>-0.20366899999999999</v>
      </c>
      <c r="R46" s="122">
        <v>44540.008370000003</v>
      </c>
      <c r="S46" s="120" t="s">
        <v>204</v>
      </c>
      <c r="T46" s="120" t="s">
        <v>223</v>
      </c>
      <c r="U46" s="120" t="s">
        <v>746</v>
      </c>
      <c r="V46" s="120" t="s">
        <v>313</v>
      </c>
      <c r="W46" s="120" t="s">
        <v>927</v>
      </c>
      <c r="X46" s="120" t="s">
        <v>2559</v>
      </c>
      <c r="Y46" s="120" t="s">
        <v>338</v>
      </c>
      <c r="Z46" s="124">
        <v>45121</v>
      </c>
      <c r="AA46" s="124">
        <v>45544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9353.3040000000001</v>
      </c>
      <c r="AJ46" s="122"/>
      <c r="AK46" s="120"/>
      <c r="AL46" s="123"/>
      <c r="AM46" s="158" t="s">
        <v>2732</v>
      </c>
      <c r="AN46" s="123">
        <v>0.32463700000000001</v>
      </c>
      <c r="AO46" s="123">
        <v>7.4700000000000005E-4</v>
      </c>
    </row>
    <row r="47" spans="1:41" ht="15" customHeight="1">
      <c r="A47" s="121">
        <v>313</v>
      </c>
      <c r="B47" s="121">
        <v>313</v>
      </c>
      <c r="C47" s="120" t="s">
        <v>1018</v>
      </c>
      <c r="D47" s="121">
        <v>76018532</v>
      </c>
      <c r="E47" s="120" t="s">
        <v>1212</v>
      </c>
      <c r="F47" s="122">
        <v>3.7589999999999999</v>
      </c>
      <c r="G47" s="122">
        <v>-16000000</v>
      </c>
      <c r="H47" s="122">
        <v>-16000</v>
      </c>
      <c r="I47" s="123">
        <v>-0.43836999999999998</v>
      </c>
      <c r="J47" s="123">
        <v>-1.0089999999999999E-3</v>
      </c>
      <c r="K47" s="121">
        <v>760185320</v>
      </c>
      <c r="L47" s="120" t="s">
        <v>1217</v>
      </c>
      <c r="M47" s="120" t="s">
        <v>1218</v>
      </c>
      <c r="N47" s="122">
        <v>16000000</v>
      </c>
      <c r="O47" s="122">
        <v>60050.503649999999</v>
      </c>
      <c r="P47" s="123">
        <v>0.43768800000000002</v>
      </c>
      <c r="Q47" s="123">
        <v>1.0070000000000001E-3</v>
      </c>
      <c r="R47" s="122">
        <v>-93.496350000000007</v>
      </c>
      <c r="S47" s="120" t="s">
        <v>204</v>
      </c>
      <c r="T47" s="120" t="s">
        <v>232</v>
      </c>
      <c r="U47" s="120" t="s">
        <v>745</v>
      </c>
      <c r="V47" s="120" t="s">
        <v>313</v>
      </c>
      <c r="W47" s="120" t="s">
        <v>929</v>
      </c>
      <c r="X47" s="120" t="s">
        <v>2552</v>
      </c>
      <c r="Y47" s="120" t="s">
        <v>338</v>
      </c>
      <c r="Z47" s="124">
        <v>45181</v>
      </c>
      <c r="AA47" s="124">
        <v>45986</v>
      </c>
      <c r="AB47" s="120" t="s">
        <v>897</v>
      </c>
      <c r="AC47" s="120" t="s">
        <v>898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3.798</v>
      </c>
      <c r="AJ47" s="122"/>
      <c r="AK47" s="120"/>
      <c r="AL47" s="123"/>
      <c r="AM47" s="120" t="s">
        <v>2556</v>
      </c>
      <c r="AN47" s="123">
        <v>-6.8099999999999996E-4</v>
      </c>
      <c r="AO47" s="123">
        <v>-9.9999999999999995E-7</v>
      </c>
    </row>
    <row r="49" spans="18:18" ht="15" customHeight="1">
      <c r="R49" s="157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46"/>
  <sheetViews>
    <sheetView rightToLeft="1" topLeftCell="AB1" workbookViewId="0">
      <selection activeCell="AU6" sqref="AU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60.375" bestFit="1" customWidth="1"/>
    <col min="6" max="6" width="10.5" bestFit="1" customWidth="1"/>
    <col min="7" max="7" width="9.375" bestFit="1" customWidth="1"/>
    <col min="8" max="8" width="41.875" bestFit="1" customWidth="1"/>
    <col min="9" max="9" width="8.875" bestFit="1" customWidth="1"/>
    <col min="10" max="10" width="11.375" bestFit="1" customWidth="1"/>
    <col min="11" max="11" width="14.875" bestFit="1" customWidth="1"/>
    <col min="12" max="12" width="9.625" bestFit="1" customWidth="1"/>
    <col min="13" max="13" width="9.25" bestFit="1" customWidth="1"/>
    <col min="14" max="15" width="9.875" bestFit="1" customWidth="1"/>
    <col min="16" max="16" width="6.5" bestFit="1" customWidth="1"/>
    <col min="17" max="17" width="12.25" bestFit="1" customWidth="1"/>
    <col min="18" max="18" width="11.5" bestFit="1" customWidth="1"/>
    <col min="19" max="19" width="10.5" bestFit="1" customWidth="1"/>
    <col min="20" max="20" width="7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13.12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9" bestFit="1" customWidth="1"/>
    <col min="32" max="32" width="9.875" bestFit="1" customWidth="1"/>
    <col min="33" max="33" width="8.625" bestFit="1" customWidth="1"/>
    <col min="34" max="34" width="10.5" bestFit="1" customWidth="1"/>
    <col min="35" max="35" width="18.62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5" bestFit="1" customWidth="1"/>
    <col min="45" max="45" width="8.75" bestFit="1" customWidth="1"/>
    <col min="46" max="47" width="11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313</v>
      </c>
      <c r="B2" s="121">
        <v>313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337</v>
      </c>
      <c r="N2" s="121"/>
      <c r="O2" s="124">
        <v>41791</v>
      </c>
      <c r="P2" s="120" t="s">
        <v>1340</v>
      </c>
      <c r="Q2" s="120" t="s">
        <v>414</v>
      </c>
      <c r="R2" s="120" t="s">
        <v>407</v>
      </c>
      <c r="S2" s="120" t="s">
        <v>1217</v>
      </c>
      <c r="T2" s="122">
        <v>2.74</v>
      </c>
      <c r="U2" s="120" t="s">
        <v>2560</v>
      </c>
      <c r="V2" s="123">
        <v>4.5999999999999999E-2</v>
      </c>
      <c r="W2" s="120"/>
      <c r="X2" s="120"/>
      <c r="Y2" s="123"/>
      <c r="Z2" s="123">
        <v>2.52E-2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45473</v>
      </c>
      <c r="AO2" s="124"/>
      <c r="AP2" s="123"/>
      <c r="AQ2" s="122">
        <v>2142725.77</v>
      </c>
      <c r="AR2" s="122">
        <v>120.29</v>
      </c>
      <c r="AS2" s="122">
        <v>1</v>
      </c>
      <c r="AT2" s="122">
        <v>2577.4848299999999</v>
      </c>
      <c r="AU2" s="122">
        <v>2577.4848299999999</v>
      </c>
      <c r="AV2" s="122"/>
      <c r="AW2" s="122"/>
      <c r="AX2" s="120"/>
      <c r="AY2" s="120"/>
      <c r="AZ2" s="123">
        <v>9.8299999999999993E-4</v>
      </c>
      <c r="BA2" s="123">
        <v>4.3000000000000002E-5</v>
      </c>
    </row>
    <row r="3" spans="1:53" ht="15" customHeight="1">
      <c r="A3" s="121">
        <v>313</v>
      </c>
      <c r="B3" s="121">
        <v>313</v>
      </c>
      <c r="C3" s="121"/>
      <c r="D3" s="120"/>
      <c r="E3" s="120"/>
      <c r="F3" s="121">
        <v>81034</v>
      </c>
      <c r="G3" s="120" t="s">
        <v>1013</v>
      </c>
      <c r="H3" s="120" t="s">
        <v>812</v>
      </c>
      <c r="I3" s="120" t="s">
        <v>203</v>
      </c>
      <c r="J3" s="120"/>
      <c r="K3" s="120" t="s">
        <v>454</v>
      </c>
      <c r="L3" s="120" t="s">
        <v>338</v>
      </c>
      <c r="M3" s="120" t="s">
        <v>338</v>
      </c>
      <c r="N3" s="121"/>
      <c r="O3" s="124">
        <v>43227</v>
      </c>
      <c r="P3" s="120" t="s">
        <v>1340</v>
      </c>
      <c r="Q3" s="120" t="s">
        <v>414</v>
      </c>
      <c r="R3" s="120" t="s">
        <v>407</v>
      </c>
      <c r="S3" s="120" t="s">
        <v>1217</v>
      </c>
      <c r="T3" s="122">
        <v>6.95</v>
      </c>
      <c r="U3" s="120" t="s">
        <v>2560</v>
      </c>
      <c r="V3" s="123">
        <v>3.1199999999999999E-2</v>
      </c>
      <c r="W3" s="120"/>
      <c r="X3" s="120"/>
      <c r="Y3" s="123"/>
      <c r="Z3" s="123">
        <v>3.6700000000000003E-2</v>
      </c>
      <c r="AA3" s="124">
        <v>51134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45473</v>
      </c>
      <c r="AO3" s="120"/>
      <c r="AP3" s="123"/>
      <c r="AQ3" s="122">
        <v>1332443.1100000001</v>
      </c>
      <c r="AR3" s="122">
        <v>110.62</v>
      </c>
      <c r="AS3" s="122">
        <v>1</v>
      </c>
      <c r="AT3" s="122">
        <v>1473.94857</v>
      </c>
      <c r="AU3" s="122">
        <v>1473.94857</v>
      </c>
      <c r="AV3" s="122"/>
      <c r="AW3" s="122"/>
      <c r="AX3" s="120"/>
      <c r="AY3" s="120"/>
      <c r="AZ3" s="123">
        <v>5.62E-4</v>
      </c>
      <c r="BA3" s="123">
        <v>2.4000000000000001E-5</v>
      </c>
    </row>
    <row r="4" spans="1:53" ht="15" customHeight="1">
      <c r="A4" s="121">
        <v>313</v>
      </c>
      <c r="B4" s="121">
        <v>313</v>
      </c>
      <c r="C4" s="121"/>
      <c r="D4" s="120"/>
      <c r="E4" s="120"/>
      <c r="F4" s="121">
        <v>74006185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45244</v>
      </c>
      <c r="P4" s="120" t="s">
        <v>1315</v>
      </c>
      <c r="Q4" s="120" t="s">
        <v>414</v>
      </c>
      <c r="R4" s="120" t="s">
        <v>407</v>
      </c>
      <c r="S4" s="120" t="s">
        <v>1217</v>
      </c>
      <c r="T4" s="122">
        <v>1.1299999999999999</v>
      </c>
      <c r="U4" s="120" t="s">
        <v>824</v>
      </c>
      <c r="V4" s="123">
        <v>6.6000000000000003E-2</v>
      </c>
      <c r="W4" s="120"/>
      <c r="X4" s="120"/>
      <c r="Y4" s="123"/>
      <c r="Z4" s="123">
        <v>6.2E-2</v>
      </c>
      <c r="AA4" s="124">
        <v>45925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45473</v>
      </c>
      <c r="AO4" s="120"/>
      <c r="AP4" s="123"/>
      <c r="AQ4" s="122">
        <v>1342998</v>
      </c>
      <c r="AR4" s="122">
        <v>100.68</v>
      </c>
      <c r="AS4" s="122">
        <v>1</v>
      </c>
      <c r="AT4" s="122">
        <v>1352.13039</v>
      </c>
      <c r="AU4" s="122">
        <v>1352.13039</v>
      </c>
      <c r="AV4" s="122"/>
      <c r="AW4" s="122"/>
      <c r="AX4" s="120"/>
      <c r="AY4" s="120"/>
      <c r="AZ4" s="123">
        <v>5.1500000000000005E-4</v>
      </c>
      <c r="BA4" s="123">
        <v>2.1999999999999999E-5</v>
      </c>
    </row>
    <row r="5" spans="1:53" ht="15" customHeight="1">
      <c r="A5" s="121">
        <v>313</v>
      </c>
      <c r="B5" s="121">
        <v>313</v>
      </c>
      <c r="C5" s="121"/>
      <c r="D5" s="120"/>
      <c r="E5" s="120"/>
      <c r="F5" s="121">
        <v>81802</v>
      </c>
      <c r="G5" s="120" t="s">
        <v>1013</v>
      </c>
      <c r="H5" s="120" t="s">
        <v>812</v>
      </c>
      <c r="I5" s="120" t="s">
        <v>203</v>
      </c>
      <c r="J5" s="120"/>
      <c r="K5" s="120" t="s">
        <v>454</v>
      </c>
      <c r="L5" s="120" t="s">
        <v>338</v>
      </c>
      <c r="M5" s="120" t="s">
        <v>338</v>
      </c>
      <c r="N5" s="121"/>
      <c r="O5" s="124">
        <v>43275</v>
      </c>
      <c r="P5" s="120" t="s">
        <v>1340</v>
      </c>
      <c r="Q5" s="120" t="s">
        <v>414</v>
      </c>
      <c r="R5" s="120" t="s">
        <v>407</v>
      </c>
      <c r="S5" s="120" t="s">
        <v>1217</v>
      </c>
      <c r="T5" s="122">
        <v>6.93</v>
      </c>
      <c r="U5" s="120" t="s">
        <v>2560</v>
      </c>
      <c r="V5" s="123">
        <v>3.39E-2</v>
      </c>
      <c r="W5" s="120"/>
      <c r="X5" s="120"/>
      <c r="Y5" s="123"/>
      <c r="Z5" s="123">
        <v>3.7199999999999997E-2</v>
      </c>
      <c r="AA5" s="124">
        <v>51134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45473</v>
      </c>
      <c r="AO5" s="120"/>
      <c r="AP5" s="123"/>
      <c r="AQ5" s="122">
        <v>496089.16</v>
      </c>
      <c r="AR5" s="122">
        <v>109.78</v>
      </c>
      <c r="AS5" s="122">
        <v>1</v>
      </c>
      <c r="AT5" s="122">
        <v>544.60667999999998</v>
      </c>
      <c r="AU5" s="122">
        <v>544.60667999999998</v>
      </c>
      <c r="AV5" s="122"/>
      <c r="AW5" s="122"/>
      <c r="AX5" s="120"/>
      <c r="AY5" s="120"/>
      <c r="AZ5" s="123">
        <v>2.0699999999999999E-4</v>
      </c>
      <c r="BA5" s="123">
        <v>9.0000000000000002E-6</v>
      </c>
    </row>
    <row r="6" spans="1:53" ht="15" customHeight="1">
      <c r="A6" s="121">
        <v>313</v>
      </c>
      <c r="B6" s="121">
        <v>313</v>
      </c>
      <c r="C6" s="121"/>
      <c r="D6" s="120"/>
      <c r="E6" s="120"/>
      <c r="F6" s="121">
        <v>74006187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45274</v>
      </c>
      <c r="P6" s="120" t="s">
        <v>1315</v>
      </c>
      <c r="Q6" s="120" t="s">
        <v>414</v>
      </c>
      <c r="R6" s="120" t="s">
        <v>407</v>
      </c>
      <c r="S6" s="120" t="s">
        <v>1217</v>
      </c>
      <c r="T6" s="122">
        <v>1.1299999999999999</v>
      </c>
      <c r="U6" s="120" t="s">
        <v>824</v>
      </c>
      <c r="V6" s="123">
        <v>6.6000000000000003E-2</v>
      </c>
      <c r="W6" s="120"/>
      <c r="X6" s="120"/>
      <c r="Y6" s="123"/>
      <c r="Z6" s="123">
        <v>6.2100000000000002E-2</v>
      </c>
      <c r="AA6" s="124">
        <v>45925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45473</v>
      </c>
      <c r="AO6" s="120"/>
      <c r="AP6" s="123"/>
      <c r="AQ6" s="122">
        <v>1207904</v>
      </c>
      <c r="AR6" s="122">
        <v>100.67</v>
      </c>
      <c r="AS6" s="122">
        <v>1</v>
      </c>
      <c r="AT6" s="122">
        <v>1215.9969599999999</v>
      </c>
      <c r="AU6" s="122">
        <v>1215.9969599999999</v>
      </c>
      <c r="AV6" s="122"/>
      <c r="AW6" s="122"/>
      <c r="AX6" s="120"/>
      <c r="AY6" s="120"/>
      <c r="AZ6" s="123">
        <v>4.6299999999999998E-4</v>
      </c>
      <c r="BA6" s="123">
        <v>2.0000000000000002E-5</v>
      </c>
    </row>
    <row r="7" spans="1:53" ht="15" customHeight="1">
      <c r="A7" s="121">
        <v>313</v>
      </c>
      <c r="B7" s="121">
        <v>313</v>
      </c>
      <c r="C7" s="121"/>
      <c r="D7" s="120"/>
      <c r="E7" s="120"/>
      <c r="F7" s="121">
        <v>81810</v>
      </c>
      <c r="G7" s="120" t="s">
        <v>1013</v>
      </c>
      <c r="H7" s="120" t="s">
        <v>812</v>
      </c>
      <c r="I7" s="120" t="s">
        <v>203</v>
      </c>
      <c r="J7" s="120"/>
      <c r="K7" s="120" t="s">
        <v>454</v>
      </c>
      <c r="L7" s="120" t="s">
        <v>338</v>
      </c>
      <c r="M7" s="120" t="s">
        <v>338</v>
      </c>
      <c r="N7" s="121"/>
      <c r="O7" s="124">
        <v>43275</v>
      </c>
      <c r="P7" s="120" t="s">
        <v>1340</v>
      </c>
      <c r="Q7" s="120" t="s">
        <v>414</v>
      </c>
      <c r="R7" s="120" t="s">
        <v>407</v>
      </c>
      <c r="S7" s="120" t="s">
        <v>1217</v>
      </c>
      <c r="T7" s="122">
        <v>6.94</v>
      </c>
      <c r="U7" s="120" t="s">
        <v>2560</v>
      </c>
      <c r="V7" s="123">
        <v>3.39E-2</v>
      </c>
      <c r="W7" s="120"/>
      <c r="X7" s="120"/>
      <c r="Y7" s="123"/>
      <c r="Z7" s="123">
        <v>3.7199999999999997E-2</v>
      </c>
      <c r="AA7" s="124">
        <v>51134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45473</v>
      </c>
      <c r="AO7" s="120"/>
      <c r="AP7" s="123"/>
      <c r="AQ7" s="122">
        <v>517812.06</v>
      </c>
      <c r="AR7" s="122">
        <v>109.78</v>
      </c>
      <c r="AS7" s="122">
        <v>1</v>
      </c>
      <c r="AT7" s="122">
        <v>568.45407999999998</v>
      </c>
      <c r="AU7" s="122">
        <v>568.45407999999998</v>
      </c>
      <c r="AV7" s="122"/>
      <c r="AW7" s="122"/>
      <c r="AX7" s="120"/>
      <c r="AY7" s="120"/>
      <c r="AZ7" s="123">
        <v>2.1599999999999999E-4</v>
      </c>
      <c r="BA7" s="123">
        <v>9.0000000000000002E-6</v>
      </c>
    </row>
    <row r="8" spans="1:53" ht="15" customHeight="1">
      <c r="A8" s="121">
        <v>313</v>
      </c>
      <c r="B8" s="121">
        <v>313</v>
      </c>
      <c r="C8" s="121"/>
      <c r="D8" s="120"/>
      <c r="E8" s="120"/>
      <c r="F8" s="121">
        <v>74006188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45305</v>
      </c>
      <c r="P8" s="120" t="s">
        <v>1315</v>
      </c>
      <c r="Q8" s="120" t="s">
        <v>414</v>
      </c>
      <c r="R8" s="120" t="s">
        <v>407</v>
      </c>
      <c r="S8" s="120" t="s">
        <v>1217</v>
      </c>
      <c r="T8" s="122">
        <v>1.1299999999999999</v>
      </c>
      <c r="U8" s="120" t="s">
        <v>824</v>
      </c>
      <c r="V8" s="123">
        <v>6.6000000000000003E-2</v>
      </c>
      <c r="W8" s="120"/>
      <c r="X8" s="120"/>
      <c r="Y8" s="123"/>
      <c r="Z8" s="123">
        <v>6.2300000000000001E-2</v>
      </c>
      <c r="AA8" s="124">
        <v>45925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45473</v>
      </c>
      <c r="AO8" s="120"/>
      <c r="AP8" s="123"/>
      <c r="AQ8" s="122">
        <v>1255584</v>
      </c>
      <c r="AR8" s="122">
        <v>100.65</v>
      </c>
      <c r="AS8" s="122">
        <v>1</v>
      </c>
      <c r="AT8" s="122">
        <v>1263.7453</v>
      </c>
      <c r="AU8" s="122">
        <v>1263.7453</v>
      </c>
      <c r="AV8" s="122"/>
      <c r="AW8" s="122"/>
      <c r="AX8" s="120"/>
      <c r="AY8" s="120"/>
      <c r="AZ8" s="123">
        <v>4.8099999999999998E-4</v>
      </c>
      <c r="BA8" s="123">
        <v>2.0999999999999999E-5</v>
      </c>
    </row>
    <row r="9" spans="1:53" ht="15" customHeight="1">
      <c r="A9" s="121">
        <v>313</v>
      </c>
      <c r="B9" s="121">
        <v>313</v>
      </c>
      <c r="C9" s="121"/>
      <c r="D9" s="120"/>
      <c r="E9" s="120"/>
      <c r="F9" s="121">
        <v>81828</v>
      </c>
      <c r="G9" s="120" t="s">
        <v>1013</v>
      </c>
      <c r="H9" s="120" t="s">
        <v>812</v>
      </c>
      <c r="I9" s="120" t="s">
        <v>203</v>
      </c>
      <c r="J9" s="120"/>
      <c r="K9" s="120" t="s">
        <v>454</v>
      </c>
      <c r="L9" s="120" t="s">
        <v>338</v>
      </c>
      <c r="M9" s="120" t="s">
        <v>338</v>
      </c>
      <c r="N9" s="121"/>
      <c r="O9" s="124">
        <v>43275</v>
      </c>
      <c r="P9" s="120" t="s">
        <v>2561</v>
      </c>
      <c r="Q9" s="120" t="s">
        <v>414</v>
      </c>
      <c r="R9" s="120" t="s">
        <v>407</v>
      </c>
      <c r="S9" s="120" t="s">
        <v>1217</v>
      </c>
      <c r="T9" s="122">
        <v>6.94</v>
      </c>
      <c r="U9" s="120" t="s">
        <v>2560</v>
      </c>
      <c r="V9" s="123">
        <v>3.39E-2</v>
      </c>
      <c r="W9" s="120"/>
      <c r="X9" s="120"/>
      <c r="Y9" s="123"/>
      <c r="Z9" s="123">
        <v>3.7199999999999997E-2</v>
      </c>
      <c r="AA9" s="124">
        <v>51134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45473</v>
      </c>
      <c r="AO9" s="120"/>
      <c r="AP9" s="123"/>
      <c r="AQ9" s="122">
        <v>235486.18</v>
      </c>
      <c r="AR9" s="122">
        <v>109.78</v>
      </c>
      <c r="AS9" s="122">
        <v>1</v>
      </c>
      <c r="AT9" s="122">
        <v>258.51673</v>
      </c>
      <c r="AU9" s="122">
        <v>258.51673</v>
      </c>
      <c r="AV9" s="122"/>
      <c r="AW9" s="122"/>
      <c r="AX9" s="120"/>
      <c r="AY9" s="120"/>
      <c r="AZ9" s="123">
        <v>9.7999999999999997E-5</v>
      </c>
      <c r="BA9" s="123">
        <v>3.9999999999999998E-6</v>
      </c>
    </row>
    <row r="10" spans="1:53" ht="15" customHeight="1">
      <c r="A10" s="121">
        <v>313</v>
      </c>
      <c r="B10" s="121">
        <v>313</v>
      </c>
      <c r="C10" s="121"/>
      <c r="D10" s="120"/>
      <c r="E10" s="120"/>
      <c r="F10" s="121">
        <v>74006189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45336</v>
      </c>
      <c r="P10" s="120" t="s">
        <v>1315</v>
      </c>
      <c r="Q10" s="120" t="s">
        <v>414</v>
      </c>
      <c r="R10" s="120" t="s">
        <v>407</v>
      </c>
      <c r="S10" s="120" t="s">
        <v>1217</v>
      </c>
      <c r="T10" s="122">
        <v>1.1299999999999999</v>
      </c>
      <c r="U10" s="120" t="s">
        <v>824</v>
      </c>
      <c r="V10" s="123">
        <v>6.6000000000000003E-2</v>
      </c>
      <c r="W10" s="120"/>
      <c r="X10" s="120"/>
      <c r="Y10" s="123"/>
      <c r="Z10" s="123">
        <v>6.2700000000000006E-2</v>
      </c>
      <c r="AA10" s="124">
        <v>45925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45473</v>
      </c>
      <c r="AO10" s="120"/>
      <c r="AP10" s="123"/>
      <c r="AQ10" s="122">
        <v>1307238</v>
      </c>
      <c r="AR10" s="122">
        <v>100.61</v>
      </c>
      <c r="AS10" s="122">
        <v>1</v>
      </c>
      <c r="AT10" s="122">
        <v>1315.2121500000001</v>
      </c>
      <c r="AU10" s="122">
        <v>1315.2121500000001</v>
      </c>
      <c r="AV10" s="122"/>
      <c r="AW10" s="122"/>
      <c r="AX10" s="120"/>
      <c r="AY10" s="120"/>
      <c r="AZ10" s="123">
        <v>5.0100000000000003E-4</v>
      </c>
      <c r="BA10" s="123">
        <v>2.1999999999999999E-5</v>
      </c>
    </row>
    <row r="11" spans="1:53" ht="15" customHeight="1">
      <c r="A11" s="121">
        <v>313</v>
      </c>
      <c r="B11" s="121">
        <v>313</v>
      </c>
      <c r="C11" s="121"/>
      <c r="D11" s="120"/>
      <c r="E11" s="120"/>
      <c r="F11" s="121">
        <v>81836</v>
      </c>
      <c r="G11" s="120" t="s">
        <v>1013</v>
      </c>
      <c r="H11" s="120" t="s">
        <v>812</v>
      </c>
      <c r="I11" s="120" t="s">
        <v>203</v>
      </c>
      <c r="J11" s="120"/>
      <c r="K11" s="120" t="s">
        <v>454</v>
      </c>
      <c r="L11" s="120" t="s">
        <v>338</v>
      </c>
      <c r="M11" s="120" t="s">
        <v>338</v>
      </c>
      <c r="N11" s="121"/>
      <c r="O11" s="124">
        <v>43275</v>
      </c>
      <c r="P11" s="120" t="s">
        <v>1340</v>
      </c>
      <c r="Q11" s="120" t="s">
        <v>414</v>
      </c>
      <c r="R11" s="120" t="s">
        <v>407</v>
      </c>
      <c r="S11" s="120" t="s">
        <v>1217</v>
      </c>
      <c r="T11" s="122">
        <v>6.93</v>
      </c>
      <c r="U11" s="120" t="s">
        <v>2560</v>
      </c>
      <c r="V11" s="123">
        <v>3.39E-2</v>
      </c>
      <c r="W11" s="120"/>
      <c r="X11" s="120"/>
      <c r="Y11" s="123"/>
      <c r="Z11" s="123">
        <v>3.7199999999999997E-2</v>
      </c>
      <c r="AA11" s="124">
        <v>51134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45473</v>
      </c>
      <c r="AO11" s="120"/>
      <c r="AP11" s="123"/>
      <c r="AQ11" s="122">
        <v>511178.9</v>
      </c>
      <c r="AR11" s="122">
        <v>109.78</v>
      </c>
      <c r="AS11" s="122">
        <v>1</v>
      </c>
      <c r="AT11" s="122">
        <v>561.17219999999998</v>
      </c>
      <c r="AU11" s="122">
        <v>561.17219999999998</v>
      </c>
      <c r="AV11" s="122"/>
      <c r="AW11" s="122"/>
      <c r="AX11" s="120"/>
      <c r="AY11" s="120"/>
      <c r="AZ11" s="123">
        <v>2.14E-4</v>
      </c>
      <c r="BA11" s="123">
        <v>9.0000000000000002E-6</v>
      </c>
    </row>
    <row r="12" spans="1:53" ht="15" customHeight="1">
      <c r="A12" s="121">
        <v>313</v>
      </c>
      <c r="B12" s="121">
        <v>313</v>
      </c>
      <c r="C12" s="121"/>
      <c r="D12" s="120"/>
      <c r="E12" s="120"/>
      <c r="F12" s="121">
        <v>74006190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45365</v>
      </c>
      <c r="P12" s="120" t="s">
        <v>1315</v>
      </c>
      <c r="Q12" s="120" t="s">
        <v>414</v>
      </c>
      <c r="R12" s="120" t="s">
        <v>407</v>
      </c>
      <c r="S12" s="120" t="s">
        <v>1217</v>
      </c>
      <c r="T12" s="122">
        <v>1.1299999999999999</v>
      </c>
      <c r="U12" s="120" t="s">
        <v>824</v>
      </c>
      <c r="V12" s="123">
        <v>6.6000000000000003E-2</v>
      </c>
      <c r="W12" s="120"/>
      <c r="X12" s="120"/>
      <c r="Y12" s="123"/>
      <c r="Z12" s="123">
        <v>6.4299999999999996E-2</v>
      </c>
      <c r="AA12" s="124">
        <v>45925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45473</v>
      </c>
      <c r="AO12" s="120"/>
      <c r="AP12" s="123"/>
      <c r="AQ12" s="122">
        <v>3001482</v>
      </c>
      <c r="AR12" s="122">
        <v>100.44</v>
      </c>
      <c r="AS12" s="122">
        <v>1</v>
      </c>
      <c r="AT12" s="122">
        <v>3014.6885200000002</v>
      </c>
      <c r="AU12" s="122">
        <v>3014.6885200000002</v>
      </c>
      <c r="AV12" s="122"/>
      <c r="AW12" s="122"/>
      <c r="AX12" s="120"/>
      <c r="AY12" s="120"/>
      <c r="AZ12" s="123">
        <v>1.1490000000000001E-3</v>
      </c>
      <c r="BA12" s="123">
        <v>5.0000000000000002E-5</v>
      </c>
    </row>
    <row r="13" spans="1:53" ht="15" customHeight="1">
      <c r="A13" s="121">
        <v>313</v>
      </c>
      <c r="B13" s="121">
        <v>313</v>
      </c>
      <c r="C13" s="121"/>
      <c r="D13" s="120"/>
      <c r="E13" s="120"/>
      <c r="F13" s="121">
        <v>86003001</v>
      </c>
      <c r="G13" s="120" t="s">
        <v>1013</v>
      </c>
      <c r="H13" s="120" t="s">
        <v>818</v>
      </c>
      <c r="I13" s="120" t="s">
        <v>203</v>
      </c>
      <c r="J13" s="120"/>
      <c r="K13" s="120" t="s">
        <v>456</v>
      </c>
      <c r="L13" s="120" t="s">
        <v>338</v>
      </c>
      <c r="M13" s="120" t="s">
        <v>338</v>
      </c>
      <c r="N13" s="121"/>
      <c r="O13" s="124">
        <v>44511</v>
      </c>
      <c r="P13" s="120" t="s">
        <v>1932</v>
      </c>
      <c r="Q13" s="120" t="s">
        <v>412</v>
      </c>
      <c r="R13" s="120" t="s">
        <v>407</v>
      </c>
      <c r="S13" s="120" t="s">
        <v>1217</v>
      </c>
      <c r="T13" s="122">
        <v>0.99</v>
      </c>
      <c r="U13" s="120" t="s">
        <v>2560</v>
      </c>
      <c r="V13" s="123">
        <v>4.0183000000000003E-2</v>
      </c>
      <c r="W13" s="120"/>
      <c r="X13" s="120"/>
      <c r="Y13" s="123"/>
      <c r="Z13" s="123">
        <v>5.7000000000000002E-2</v>
      </c>
      <c r="AA13" s="124">
        <v>45930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45473</v>
      </c>
      <c r="AO13" s="120"/>
      <c r="AP13" s="123"/>
      <c r="AQ13" s="122">
        <v>6156334.2999999998</v>
      </c>
      <c r="AR13" s="122">
        <v>98.47</v>
      </c>
      <c r="AS13" s="122">
        <v>1</v>
      </c>
      <c r="AT13" s="122">
        <v>6062.14239</v>
      </c>
      <c r="AU13" s="122">
        <v>6062.14239</v>
      </c>
      <c r="AV13" s="122"/>
      <c r="AW13" s="122"/>
      <c r="AX13" s="120"/>
      <c r="AY13" s="120"/>
      <c r="AZ13" s="123">
        <v>2.3110000000000001E-3</v>
      </c>
      <c r="BA13" s="123">
        <v>1.01E-4</v>
      </c>
    </row>
    <row r="14" spans="1:53" ht="15" customHeight="1">
      <c r="A14" s="121">
        <v>313</v>
      </c>
      <c r="B14" s="121">
        <v>313</v>
      </c>
      <c r="C14" s="121"/>
      <c r="D14" s="120"/>
      <c r="E14" s="120"/>
      <c r="F14" s="121">
        <v>74006191</v>
      </c>
      <c r="G14" s="120" t="s">
        <v>1013</v>
      </c>
      <c r="H14" s="120" t="s">
        <v>812</v>
      </c>
      <c r="I14" s="120" t="s">
        <v>203</v>
      </c>
      <c r="J14" s="120"/>
      <c r="K14" s="120" t="s">
        <v>454</v>
      </c>
      <c r="L14" s="120" t="s">
        <v>338</v>
      </c>
      <c r="M14" s="120" t="s">
        <v>337</v>
      </c>
      <c r="N14" s="121"/>
      <c r="O14" s="124">
        <v>45197</v>
      </c>
      <c r="P14" s="120" t="s">
        <v>1315</v>
      </c>
      <c r="Q14" s="120" t="s">
        <v>414</v>
      </c>
      <c r="R14" s="120" t="s">
        <v>407</v>
      </c>
      <c r="S14" s="120" t="s">
        <v>1217</v>
      </c>
      <c r="T14" s="122">
        <v>8.1</v>
      </c>
      <c r="U14" s="120" t="s">
        <v>2560</v>
      </c>
      <c r="V14" s="123">
        <v>4.1200000000000001E-2</v>
      </c>
      <c r="W14" s="120"/>
      <c r="X14" s="120"/>
      <c r="Y14" s="123"/>
      <c r="Z14" s="123">
        <v>4.0899999999999999E-2</v>
      </c>
      <c r="AA14" s="124">
        <v>52135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45473</v>
      </c>
      <c r="AO14" s="120"/>
      <c r="AP14" s="123"/>
      <c r="AQ14" s="122">
        <v>5677278.2599999998</v>
      </c>
      <c r="AR14" s="122">
        <v>100.35</v>
      </c>
      <c r="AS14" s="122">
        <v>1</v>
      </c>
      <c r="AT14" s="122">
        <v>5697.1487299999999</v>
      </c>
      <c r="AU14" s="122">
        <v>5697.1487299999999</v>
      </c>
      <c r="AV14" s="122"/>
      <c r="AW14" s="122"/>
      <c r="AX14" s="120"/>
      <c r="AY14" s="120"/>
      <c r="AZ14" s="123">
        <v>2.1719999999999999E-3</v>
      </c>
      <c r="BA14" s="123">
        <v>9.5000000000000005E-5</v>
      </c>
    </row>
    <row r="15" spans="1:53" ht="15" customHeight="1">
      <c r="A15" s="121">
        <v>313</v>
      </c>
      <c r="B15" s="121">
        <v>313</v>
      </c>
      <c r="C15" s="121"/>
      <c r="D15" s="120"/>
      <c r="E15" s="120"/>
      <c r="F15" s="121">
        <v>86003002</v>
      </c>
      <c r="G15" s="120" t="s">
        <v>1013</v>
      </c>
      <c r="H15" s="120" t="s">
        <v>818</v>
      </c>
      <c r="I15" s="120" t="s">
        <v>203</v>
      </c>
      <c r="J15" s="120"/>
      <c r="K15" s="120" t="s">
        <v>456</v>
      </c>
      <c r="L15" s="120" t="s">
        <v>338</v>
      </c>
      <c r="M15" s="120" t="s">
        <v>338</v>
      </c>
      <c r="N15" s="121"/>
      <c r="O15" s="124">
        <v>44650</v>
      </c>
      <c r="P15" s="120" t="s">
        <v>1932</v>
      </c>
      <c r="Q15" s="120" t="s">
        <v>412</v>
      </c>
      <c r="R15" s="120" t="s">
        <v>407</v>
      </c>
      <c r="S15" s="120" t="s">
        <v>1217</v>
      </c>
      <c r="T15" s="122">
        <v>1.1399999999999999</v>
      </c>
      <c r="U15" s="120" t="s">
        <v>2560</v>
      </c>
      <c r="V15" s="123">
        <v>5.0035999999999997E-2</v>
      </c>
      <c r="W15" s="120"/>
      <c r="X15" s="120"/>
      <c r="Y15" s="123"/>
      <c r="Z15" s="123">
        <v>5.7299999999999997E-2</v>
      </c>
      <c r="AA15" s="124">
        <v>46022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45473</v>
      </c>
      <c r="AO15" s="120"/>
      <c r="AP15" s="123"/>
      <c r="AQ15" s="122">
        <v>7360000.8300000001</v>
      </c>
      <c r="AR15" s="122">
        <v>99.31</v>
      </c>
      <c r="AS15" s="122">
        <v>1</v>
      </c>
      <c r="AT15" s="122">
        <v>7309.2168199999996</v>
      </c>
      <c r="AU15" s="122">
        <v>7309.2168199999996</v>
      </c>
      <c r="AV15" s="122"/>
      <c r="AW15" s="122"/>
      <c r="AX15" s="120"/>
      <c r="AY15" s="120"/>
      <c r="AZ15" s="123">
        <v>2.787E-3</v>
      </c>
      <c r="BA15" s="123">
        <v>1.22E-4</v>
      </c>
    </row>
    <row r="16" spans="1:53" ht="15" customHeight="1">
      <c r="A16" s="121">
        <v>313</v>
      </c>
      <c r="B16" s="121">
        <v>313</v>
      </c>
      <c r="C16" s="121"/>
      <c r="D16" s="120"/>
      <c r="E16" s="120"/>
      <c r="F16" s="121">
        <v>74006192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45396</v>
      </c>
      <c r="P16" s="120" t="s">
        <v>1315</v>
      </c>
      <c r="Q16" s="120" t="s">
        <v>414</v>
      </c>
      <c r="R16" s="120" t="s">
        <v>407</v>
      </c>
      <c r="S16" s="120" t="s">
        <v>1217</v>
      </c>
      <c r="T16" s="122">
        <v>1.1299999999999999</v>
      </c>
      <c r="U16" s="120" t="s">
        <v>824</v>
      </c>
      <c r="V16" s="123">
        <v>6.6000000000000003E-2</v>
      </c>
      <c r="W16" s="120"/>
      <c r="X16" s="120"/>
      <c r="Y16" s="123"/>
      <c r="Z16" s="123">
        <v>6.7299999999999999E-2</v>
      </c>
      <c r="AA16" s="124">
        <v>45925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45473</v>
      </c>
      <c r="AO16" s="120"/>
      <c r="AP16" s="123"/>
      <c r="AQ16" s="122">
        <v>2447595</v>
      </c>
      <c r="AR16" s="122">
        <v>100.12</v>
      </c>
      <c r="AS16" s="122">
        <v>1</v>
      </c>
      <c r="AT16" s="122">
        <v>2450.5321100000001</v>
      </c>
      <c r="AU16" s="122">
        <v>2450.5321100000001</v>
      </c>
      <c r="AV16" s="122"/>
      <c r="AW16" s="122"/>
      <c r="AX16" s="120"/>
      <c r="AY16" s="120"/>
      <c r="AZ16" s="123">
        <v>9.3400000000000004E-4</v>
      </c>
      <c r="BA16" s="123">
        <v>4.1E-5</v>
      </c>
    </row>
    <row r="17" spans="1:53" ht="15" customHeight="1">
      <c r="A17" s="121">
        <v>313</v>
      </c>
      <c r="B17" s="121">
        <v>313</v>
      </c>
      <c r="C17" s="121"/>
      <c r="D17" s="120"/>
      <c r="E17" s="120"/>
      <c r="F17" s="121">
        <v>86003003</v>
      </c>
      <c r="G17" s="120" t="s">
        <v>1013</v>
      </c>
      <c r="H17" s="120" t="s">
        <v>818</v>
      </c>
      <c r="I17" s="120" t="s">
        <v>203</v>
      </c>
      <c r="J17" s="120"/>
      <c r="K17" s="120" t="s">
        <v>456</v>
      </c>
      <c r="L17" s="120" t="s">
        <v>338</v>
      </c>
      <c r="M17" s="120" t="s">
        <v>338</v>
      </c>
      <c r="N17" s="121"/>
      <c r="O17" s="124">
        <v>44724</v>
      </c>
      <c r="P17" s="120" t="s">
        <v>1932</v>
      </c>
      <c r="Q17" s="120" t="s">
        <v>412</v>
      </c>
      <c r="R17" s="120" t="s">
        <v>407</v>
      </c>
      <c r="S17" s="120" t="s">
        <v>1217</v>
      </c>
      <c r="T17" s="122">
        <v>1.28</v>
      </c>
      <c r="U17" s="120" t="s">
        <v>2560</v>
      </c>
      <c r="V17" s="123">
        <v>5.4517000000000003E-2</v>
      </c>
      <c r="W17" s="120"/>
      <c r="X17" s="120"/>
      <c r="Y17" s="123"/>
      <c r="Z17" s="123">
        <v>5.7599999999999998E-2</v>
      </c>
      <c r="AA17" s="124">
        <v>46112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45473</v>
      </c>
      <c r="AO17" s="120"/>
      <c r="AP17" s="123"/>
      <c r="AQ17" s="122">
        <v>4669000.51</v>
      </c>
      <c r="AR17" s="122">
        <v>99.75</v>
      </c>
      <c r="AS17" s="122">
        <v>1</v>
      </c>
      <c r="AT17" s="122">
        <v>4657.3280100000002</v>
      </c>
      <c r="AU17" s="122">
        <v>4657.3280100000002</v>
      </c>
      <c r="AV17" s="122"/>
      <c r="AW17" s="122"/>
      <c r="AX17" s="120"/>
      <c r="AY17" s="120"/>
      <c r="AZ17" s="123">
        <v>1.776E-3</v>
      </c>
      <c r="BA17" s="123">
        <v>7.7999999999999999E-5</v>
      </c>
    </row>
    <row r="18" spans="1:53" ht="15" customHeight="1">
      <c r="A18" s="121">
        <v>313</v>
      </c>
      <c r="B18" s="121">
        <v>313</v>
      </c>
      <c r="C18" s="121"/>
      <c r="D18" s="120"/>
      <c r="E18" s="120"/>
      <c r="F18" s="121">
        <v>74006193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45427</v>
      </c>
      <c r="P18" s="120" t="s">
        <v>1315</v>
      </c>
      <c r="Q18" s="120" t="s">
        <v>414</v>
      </c>
      <c r="R18" s="120" t="s">
        <v>407</v>
      </c>
      <c r="S18" s="120" t="s">
        <v>1217</v>
      </c>
      <c r="T18" s="122">
        <v>1.1299999999999999</v>
      </c>
      <c r="U18" s="120" t="s">
        <v>824</v>
      </c>
      <c r="V18" s="123">
        <v>6.6000000000000003E-2</v>
      </c>
      <c r="W18" s="120"/>
      <c r="X18" s="120"/>
      <c r="Y18" s="123"/>
      <c r="Z18" s="123">
        <v>7.1400000000000005E-2</v>
      </c>
      <c r="AA18" s="124">
        <v>45925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45473</v>
      </c>
      <c r="AO18" s="120"/>
      <c r="AP18" s="123"/>
      <c r="AQ18" s="122">
        <v>1335052</v>
      </c>
      <c r="AR18" s="122">
        <v>99.69</v>
      </c>
      <c r="AS18" s="122">
        <v>1</v>
      </c>
      <c r="AT18" s="122">
        <v>1330.9133400000001</v>
      </c>
      <c r="AU18" s="122">
        <v>1330.9133400000001</v>
      </c>
      <c r="AV18" s="122"/>
      <c r="AW18" s="122"/>
      <c r="AX18" s="120"/>
      <c r="AY18" s="120"/>
      <c r="AZ18" s="123">
        <v>5.0699999999999996E-4</v>
      </c>
      <c r="BA18" s="123">
        <v>2.1999999999999999E-5</v>
      </c>
    </row>
    <row r="19" spans="1:53" ht="15" customHeight="1">
      <c r="A19" s="121">
        <v>313</v>
      </c>
      <c r="B19" s="121">
        <v>313</v>
      </c>
      <c r="C19" s="121"/>
      <c r="D19" s="120"/>
      <c r="E19" s="120"/>
      <c r="F19" s="121">
        <v>74006195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45459</v>
      </c>
      <c r="P19" s="120" t="s">
        <v>1315</v>
      </c>
      <c r="Q19" s="120" t="s">
        <v>414</v>
      </c>
      <c r="R19" s="120" t="s">
        <v>407</v>
      </c>
      <c r="S19" s="120" t="s">
        <v>1217</v>
      </c>
      <c r="T19" s="122">
        <v>1.1299999999999999</v>
      </c>
      <c r="U19" s="120" t="s">
        <v>824</v>
      </c>
      <c r="V19" s="123">
        <v>6.6000000000000003E-2</v>
      </c>
      <c r="W19" s="120"/>
      <c r="X19" s="120"/>
      <c r="Y19" s="123"/>
      <c r="Z19" s="123">
        <v>6.54E-2</v>
      </c>
      <c r="AA19" s="124">
        <v>45925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45473</v>
      </c>
      <c r="AO19" s="120"/>
      <c r="AP19" s="123"/>
      <c r="AQ19" s="122">
        <v>1931057</v>
      </c>
      <c r="AR19" s="122">
        <v>100.32</v>
      </c>
      <c r="AS19" s="122">
        <v>1</v>
      </c>
      <c r="AT19" s="122">
        <v>1937.2363800000001</v>
      </c>
      <c r="AU19" s="122">
        <v>1937.2363800000001</v>
      </c>
      <c r="AV19" s="122"/>
      <c r="AW19" s="122"/>
      <c r="AX19" s="120"/>
      <c r="AY19" s="120"/>
      <c r="AZ19" s="123">
        <v>7.3800000000000005E-4</v>
      </c>
      <c r="BA19" s="123">
        <v>3.1999999999999999E-5</v>
      </c>
    </row>
    <row r="20" spans="1:53" ht="15" customHeight="1">
      <c r="A20" s="121">
        <v>313</v>
      </c>
      <c r="B20" s="121">
        <v>313</v>
      </c>
      <c r="C20" s="121"/>
      <c r="D20" s="120"/>
      <c r="E20" s="120"/>
      <c r="F20" s="121">
        <v>74006184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45214</v>
      </c>
      <c r="P20" s="120" t="s">
        <v>1315</v>
      </c>
      <c r="Q20" s="120" t="s">
        <v>414</v>
      </c>
      <c r="R20" s="120" t="s">
        <v>407</v>
      </c>
      <c r="S20" s="120" t="s">
        <v>1217</v>
      </c>
      <c r="T20" s="122">
        <v>1.1299999999999999</v>
      </c>
      <c r="U20" s="120" t="s">
        <v>824</v>
      </c>
      <c r="V20" s="123">
        <v>6.6000000000000003E-2</v>
      </c>
      <c r="W20" s="120"/>
      <c r="X20" s="120"/>
      <c r="Y20" s="123"/>
      <c r="Z20" s="123">
        <v>6.2E-2</v>
      </c>
      <c r="AA20" s="124">
        <v>45925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45473</v>
      </c>
      <c r="AO20" s="120"/>
      <c r="AP20" s="123"/>
      <c r="AQ20" s="122">
        <v>2205219</v>
      </c>
      <c r="AR20" s="122">
        <v>100.68</v>
      </c>
      <c r="AS20" s="122">
        <v>1</v>
      </c>
      <c r="AT20" s="122">
        <v>2220.2144899999998</v>
      </c>
      <c r="AU20" s="122">
        <v>2220.2144899999998</v>
      </c>
      <c r="AV20" s="122"/>
      <c r="AW20" s="122"/>
      <c r="AX20" s="120"/>
      <c r="AY20" s="120"/>
      <c r="AZ20" s="123">
        <v>8.4599999999999996E-4</v>
      </c>
      <c r="BA20" s="123">
        <v>3.6999999999999998E-5</v>
      </c>
    </row>
    <row r="21" spans="1:53" ht="15" customHeight="1">
      <c r="A21" s="121">
        <v>313</v>
      </c>
      <c r="B21" s="121">
        <v>313</v>
      </c>
      <c r="C21" s="121"/>
      <c r="D21" s="120"/>
      <c r="E21" s="120"/>
      <c r="F21" s="121">
        <v>74006183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45060</v>
      </c>
      <c r="P21" s="120" t="s">
        <v>1315</v>
      </c>
      <c r="Q21" s="120" t="s">
        <v>414</v>
      </c>
      <c r="R21" s="120" t="s">
        <v>407</v>
      </c>
      <c r="S21" s="120" t="s">
        <v>1217</v>
      </c>
      <c r="T21" s="122">
        <v>1.1299999999999999</v>
      </c>
      <c r="U21" s="120" t="s">
        <v>824</v>
      </c>
      <c r="V21" s="123">
        <v>6.6000000000000003E-2</v>
      </c>
      <c r="W21" s="120"/>
      <c r="X21" s="120"/>
      <c r="Y21" s="123"/>
      <c r="Z21" s="123">
        <v>6.2100000000000002E-2</v>
      </c>
      <c r="AA21" s="124">
        <v>45925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45473</v>
      </c>
      <c r="AO21" s="120"/>
      <c r="AP21" s="123"/>
      <c r="AQ21" s="122">
        <v>3723046</v>
      </c>
      <c r="AR21" s="122">
        <v>100.67</v>
      </c>
      <c r="AS21" s="122">
        <v>1</v>
      </c>
      <c r="AT21" s="122">
        <v>3747.9904099999999</v>
      </c>
      <c r="AU21" s="122">
        <v>3747.9904099999999</v>
      </c>
      <c r="AV21" s="122"/>
      <c r="AW21" s="122"/>
      <c r="AX21" s="120"/>
      <c r="AY21" s="120"/>
      <c r="AZ21" s="123">
        <v>1.4289999999999999E-3</v>
      </c>
      <c r="BA21" s="123">
        <v>6.2000000000000003E-5</v>
      </c>
    </row>
    <row r="22" spans="1:53" ht="15" customHeight="1">
      <c r="A22" s="121">
        <v>313</v>
      </c>
      <c r="B22" s="121">
        <v>313</v>
      </c>
      <c r="C22" s="121"/>
      <c r="D22" s="120"/>
      <c r="E22" s="120"/>
      <c r="F22" s="121">
        <v>74006182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45029</v>
      </c>
      <c r="P22" s="120" t="s">
        <v>1315</v>
      </c>
      <c r="Q22" s="120" t="s">
        <v>414</v>
      </c>
      <c r="R22" s="120" t="s">
        <v>407</v>
      </c>
      <c r="S22" s="120" t="s">
        <v>1217</v>
      </c>
      <c r="T22" s="122">
        <v>1.1299999999999999</v>
      </c>
      <c r="U22" s="120" t="s">
        <v>824</v>
      </c>
      <c r="V22" s="123">
        <v>6.6000000000000003E-2</v>
      </c>
      <c r="W22" s="120"/>
      <c r="X22" s="120"/>
      <c r="Y22" s="123"/>
      <c r="Z22" s="123">
        <v>6.1899999999999997E-2</v>
      </c>
      <c r="AA22" s="124">
        <v>45925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45473</v>
      </c>
      <c r="AO22" s="120"/>
      <c r="AP22" s="123"/>
      <c r="AQ22" s="122">
        <v>2900558</v>
      </c>
      <c r="AR22" s="122">
        <v>100.69</v>
      </c>
      <c r="AS22" s="122">
        <v>1</v>
      </c>
      <c r="AT22" s="122">
        <v>2920.5718499999998</v>
      </c>
      <c r="AU22" s="122">
        <v>2920.5718499999998</v>
      </c>
      <c r="AV22" s="122"/>
      <c r="AW22" s="122"/>
      <c r="AX22" s="120"/>
      <c r="AY22" s="120"/>
      <c r="AZ22" s="123">
        <v>1.1130000000000001E-3</v>
      </c>
      <c r="BA22" s="123">
        <v>4.8999999999999998E-5</v>
      </c>
    </row>
    <row r="23" spans="1:53" ht="15" customHeight="1">
      <c r="A23" s="121">
        <v>313</v>
      </c>
      <c r="B23" s="121">
        <v>313</v>
      </c>
      <c r="C23" s="121"/>
      <c r="D23" s="120"/>
      <c r="E23" s="120"/>
      <c r="F23" s="121">
        <v>74006181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45020</v>
      </c>
      <c r="P23" s="120" t="s">
        <v>1315</v>
      </c>
      <c r="Q23" s="120" t="s">
        <v>414</v>
      </c>
      <c r="R23" s="120" t="s">
        <v>407</v>
      </c>
      <c r="S23" s="120" t="s">
        <v>1217</v>
      </c>
      <c r="T23" s="122">
        <v>1.1299999999999999</v>
      </c>
      <c r="U23" s="120" t="s">
        <v>824</v>
      </c>
      <c r="V23" s="123">
        <v>6.6000000000000003E-2</v>
      </c>
      <c r="W23" s="120"/>
      <c r="X23" s="120"/>
      <c r="Y23" s="123"/>
      <c r="Z23" s="123">
        <v>6.1899999999999997E-2</v>
      </c>
      <c r="AA23" s="124">
        <v>45925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45473</v>
      </c>
      <c r="AO23" s="120"/>
      <c r="AP23" s="123"/>
      <c r="AQ23" s="122">
        <v>2789304</v>
      </c>
      <c r="AR23" s="122">
        <v>100.69</v>
      </c>
      <c r="AS23" s="122">
        <v>1</v>
      </c>
      <c r="AT23" s="122">
        <v>2808.5502000000001</v>
      </c>
      <c r="AU23" s="122">
        <v>2808.5502000000001</v>
      </c>
      <c r="AV23" s="122"/>
      <c r="AW23" s="122"/>
      <c r="AX23" s="120"/>
      <c r="AY23" s="120"/>
      <c r="AZ23" s="123">
        <v>1.0709999999999999E-3</v>
      </c>
      <c r="BA23" s="123">
        <v>4.6999999999999997E-5</v>
      </c>
    </row>
    <row r="24" spans="1:53" ht="15" customHeight="1">
      <c r="A24" s="121">
        <v>313</v>
      </c>
      <c r="B24" s="121">
        <v>313</v>
      </c>
      <c r="C24" s="121"/>
      <c r="D24" s="120"/>
      <c r="E24" s="120"/>
      <c r="F24" s="121">
        <v>74006160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44662</v>
      </c>
      <c r="P24" s="120" t="s">
        <v>1315</v>
      </c>
      <c r="Q24" s="120" t="s">
        <v>414</v>
      </c>
      <c r="R24" s="120" t="s">
        <v>407</v>
      </c>
      <c r="S24" s="120" t="s">
        <v>1217</v>
      </c>
      <c r="T24" s="122">
        <v>8.39</v>
      </c>
      <c r="U24" s="120" t="s">
        <v>2560</v>
      </c>
      <c r="V24" s="123">
        <v>2.4E-2</v>
      </c>
      <c r="W24" s="120"/>
      <c r="X24" s="120"/>
      <c r="Y24" s="123"/>
      <c r="Z24" s="123">
        <v>4.3900000000000002E-2</v>
      </c>
      <c r="AA24" s="124">
        <v>52135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45473</v>
      </c>
      <c r="AO24" s="120"/>
      <c r="AP24" s="123"/>
      <c r="AQ24" s="122">
        <v>12080492.66</v>
      </c>
      <c r="AR24" s="122">
        <v>90.49</v>
      </c>
      <c r="AS24" s="122">
        <v>1</v>
      </c>
      <c r="AT24" s="122">
        <v>10931.63781</v>
      </c>
      <c r="AU24" s="122">
        <v>10931.63781</v>
      </c>
      <c r="AV24" s="122"/>
      <c r="AW24" s="122"/>
      <c r="AX24" s="120"/>
      <c r="AY24" s="120"/>
      <c r="AZ24" s="123">
        <v>4.169E-3</v>
      </c>
      <c r="BA24" s="123">
        <v>1.83E-4</v>
      </c>
    </row>
    <row r="25" spans="1:53" ht="15" customHeight="1">
      <c r="A25" s="121">
        <v>313</v>
      </c>
      <c r="B25" s="121">
        <v>313</v>
      </c>
      <c r="C25" s="121"/>
      <c r="D25" s="120"/>
      <c r="E25" s="120"/>
      <c r="F25" s="121">
        <v>74006161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45197</v>
      </c>
      <c r="P25" s="120" t="s">
        <v>1315</v>
      </c>
      <c r="Q25" s="120" t="s">
        <v>414</v>
      </c>
      <c r="R25" s="120" t="s">
        <v>407</v>
      </c>
      <c r="S25" s="120" t="s">
        <v>1217</v>
      </c>
      <c r="T25" s="122">
        <v>8.1</v>
      </c>
      <c r="U25" s="120" t="s">
        <v>2560</v>
      </c>
      <c r="V25" s="123">
        <v>4.1200000000000001E-2</v>
      </c>
      <c r="W25" s="120"/>
      <c r="X25" s="120"/>
      <c r="Y25" s="123"/>
      <c r="Z25" s="123">
        <v>4.0899999999999999E-2</v>
      </c>
      <c r="AA25" s="124">
        <v>52135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45473</v>
      </c>
      <c r="AO25" s="120"/>
      <c r="AP25" s="123"/>
      <c r="AQ25" s="122">
        <v>186650.25</v>
      </c>
      <c r="AR25" s="122">
        <v>100.35</v>
      </c>
      <c r="AS25" s="122">
        <v>1</v>
      </c>
      <c r="AT25" s="122">
        <v>187.30352999999999</v>
      </c>
      <c r="AU25" s="122">
        <v>187.30352999999999</v>
      </c>
      <c r="AV25" s="122"/>
      <c r="AW25" s="122"/>
      <c r="AX25" s="120"/>
      <c r="AY25" s="120"/>
      <c r="AZ25" s="123">
        <v>7.1000000000000005E-5</v>
      </c>
      <c r="BA25" s="123">
        <v>3.0000000000000001E-6</v>
      </c>
    </row>
    <row r="26" spans="1:53" ht="15" customHeight="1">
      <c r="A26" s="121">
        <v>313</v>
      </c>
      <c r="B26" s="121">
        <v>313</v>
      </c>
      <c r="C26" s="121"/>
      <c r="D26" s="120"/>
      <c r="E26" s="120"/>
      <c r="F26" s="121">
        <v>74006164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44634</v>
      </c>
      <c r="P26" s="120" t="s">
        <v>1315</v>
      </c>
      <c r="Q26" s="120" t="s">
        <v>414</v>
      </c>
      <c r="R26" s="120" t="s">
        <v>407</v>
      </c>
      <c r="S26" s="120" t="s">
        <v>1217</v>
      </c>
      <c r="T26" s="122">
        <v>1.1299999999999999</v>
      </c>
      <c r="U26" s="120" t="s">
        <v>824</v>
      </c>
      <c r="V26" s="123">
        <v>6.6000000000000003E-2</v>
      </c>
      <c r="W26" s="120"/>
      <c r="X26" s="120"/>
      <c r="Y26" s="123"/>
      <c r="Z26" s="123">
        <v>6.2199999999999998E-2</v>
      </c>
      <c r="AA26" s="124">
        <v>45925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45473</v>
      </c>
      <c r="AO26" s="120"/>
      <c r="AP26" s="123"/>
      <c r="AQ26" s="122">
        <v>1263531</v>
      </c>
      <c r="AR26" s="122">
        <v>100.66</v>
      </c>
      <c r="AS26" s="122">
        <v>1</v>
      </c>
      <c r="AT26" s="122">
        <v>1271.8703</v>
      </c>
      <c r="AU26" s="122">
        <v>1271.8703</v>
      </c>
      <c r="AV26" s="122"/>
      <c r="AW26" s="122"/>
      <c r="AX26" s="120"/>
      <c r="AY26" s="120"/>
      <c r="AZ26" s="123">
        <v>4.8500000000000003E-4</v>
      </c>
      <c r="BA26" s="123">
        <v>2.0999999999999999E-5</v>
      </c>
    </row>
    <row r="27" spans="1:53" ht="15" customHeight="1">
      <c r="A27" s="121">
        <v>313</v>
      </c>
      <c r="B27" s="121">
        <v>313</v>
      </c>
      <c r="C27" s="121"/>
      <c r="D27" s="120"/>
      <c r="E27" s="120"/>
      <c r="F27" s="121">
        <v>74006166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44664</v>
      </c>
      <c r="P27" s="120" t="s">
        <v>1315</v>
      </c>
      <c r="Q27" s="120" t="s">
        <v>414</v>
      </c>
      <c r="R27" s="120" t="s">
        <v>407</v>
      </c>
      <c r="S27" s="120" t="s">
        <v>1217</v>
      </c>
      <c r="T27" s="122">
        <v>1.1299999999999999</v>
      </c>
      <c r="U27" s="120" t="s">
        <v>824</v>
      </c>
      <c r="V27" s="123">
        <v>6.6000000000000003E-2</v>
      </c>
      <c r="W27" s="120"/>
      <c r="X27" s="120"/>
      <c r="Y27" s="123"/>
      <c r="Z27" s="123">
        <v>6.2199999999999998E-2</v>
      </c>
      <c r="AA27" s="124">
        <v>45925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45473</v>
      </c>
      <c r="AO27" s="120"/>
      <c r="AP27" s="123"/>
      <c r="AQ27" s="122">
        <v>1462199</v>
      </c>
      <c r="AR27" s="122">
        <v>100.66</v>
      </c>
      <c r="AS27" s="122">
        <v>1</v>
      </c>
      <c r="AT27" s="122">
        <v>1471.84951</v>
      </c>
      <c r="AU27" s="122">
        <v>1471.84951</v>
      </c>
      <c r="AV27" s="122"/>
      <c r="AW27" s="122"/>
      <c r="AX27" s="120"/>
      <c r="AY27" s="120"/>
      <c r="AZ27" s="123">
        <v>5.6099999999999998E-4</v>
      </c>
      <c r="BA27" s="123">
        <v>2.4000000000000001E-5</v>
      </c>
    </row>
    <row r="28" spans="1:53" ht="15" customHeight="1">
      <c r="A28" s="121">
        <v>313</v>
      </c>
      <c r="B28" s="121">
        <v>313</v>
      </c>
      <c r="C28" s="121"/>
      <c r="D28" s="120"/>
      <c r="E28" s="120"/>
      <c r="F28" s="121">
        <v>74009061</v>
      </c>
      <c r="G28" s="120" t="s">
        <v>1013</v>
      </c>
      <c r="H28" s="120" t="s">
        <v>2562</v>
      </c>
      <c r="I28" s="120" t="s">
        <v>203</v>
      </c>
      <c r="J28" s="120"/>
      <c r="K28" s="120" t="s">
        <v>463</v>
      </c>
      <c r="L28" s="120" t="s">
        <v>338</v>
      </c>
      <c r="M28" s="120" t="s">
        <v>338</v>
      </c>
      <c r="N28" s="121"/>
      <c r="O28" s="124">
        <v>44132</v>
      </c>
      <c r="P28" s="120" t="s">
        <v>1407</v>
      </c>
      <c r="Q28" s="120" t="s">
        <v>311</v>
      </c>
      <c r="R28" s="120" t="s">
        <v>407</v>
      </c>
      <c r="S28" s="120" t="s">
        <v>1217</v>
      </c>
      <c r="T28" s="122">
        <v>3.22</v>
      </c>
      <c r="U28" s="120" t="s">
        <v>2560</v>
      </c>
      <c r="V28" s="123">
        <v>2.2800000000000001E-2</v>
      </c>
      <c r="W28" s="120"/>
      <c r="X28" s="120"/>
      <c r="Y28" s="123"/>
      <c r="Z28" s="123">
        <v>3.6900000000000002E-2</v>
      </c>
      <c r="AA28" s="124">
        <v>46687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45473</v>
      </c>
      <c r="AO28" s="120"/>
      <c r="AP28" s="123"/>
      <c r="AQ28" s="122">
        <v>8134755</v>
      </c>
      <c r="AR28" s="122">
        <v>107.93</v>
      </c>
      <c r="AS28" s="122">
        <v>1</v>
      </c>
      <c r="AT28" s="122">
        <v>8779.8410700000004</v>
      </c>
      <c r="AU28" s="122">
        <v>8779.8410700000004</v>
      </c>
      <c r="AV28" s="122"/>
      <c r="AW28" s="122"/>
      <c r="AX28" s="120"/>
      <c r="AY28" s="120"/>
      <c r="AZ28" s="123">
        <v>3.3479999999999998E-3</v>
      </c>
      <c r="BA28" s="123">
        <v>1.47E-4</v>
      </c>
    </row>
    <row r="29" spans="1:53" ht="15" customHeight="1">
      <c r="A29" s="121">
        <v>313</v>
      </c>
      <c r="B29" s="121">
        <v>313</v>
      </c>
      <c r="C29" s="121"/>
      <c r="D29" s="120"/>
      <c r="E29" s="120"/>
      <c r="F29" s="121">
        <v>74006174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44859</v>
      </c>
      <c r="P29" s="120" t="s">
        <v>1315</v>
      </c>
      <c r="Q29" s="120" t="s">
        <v>414</v>
      </c>
      <c r="R29" s="120" t="s">
        <v>407</v>
      </c>
      <c r="S29" s="120" t="s">
        <v>1217</v>
      </c>
      <c r="T29" s="122">
        <v>1.1299999999999999</v>
      </c>
      <c r="U29" s="120" t="s">
        <v>824</v>
      </c>
      <c r="V29" s="123">
        <v>6.6000000000000003E-2</v>
      </c>
      <c r="W29" s="120"/>
      <c r="X29" s="120"/>
      <c r="Y29" s="123"/>
      <c r="Z29" s="123">
        <v>6.2100000000000002E-2</v>
      </c>
      <c r="AA29" s="124">
        <v>45925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45473</v>
      </c>
      <c r="AO29" s="120"/>
      <c r="AP29" s="123"/>
      <c r="AQ29" s="122">
        <v>171332</v>
      </c>
      <c r="AR29" s="122">
        <v>100.67</v>
      </c>
      <c r="AS29" s="122">
        <v>1</v>
      </c>
      <c r="AT29" s="122">
        <v>172.47991999999999</v>
      </c>
      <c r="AU29" s="122">
        <v>172.47991999999999</v>
      </c>
      <c r="AV29" s="122"/>
      <c r="AW29" s="122"/>
      <c r="AX29" s="120"/>
      <c r="AY29" s="120"/>
      <c r="AZ29" s="123">
        <v>6.4999999999999994E-5</v>
      </c>
      <c r="BA29" s="123">
        <v>1.9999999999999999E-6</v>
      </c>
    </row>
    <row r="30" spans="1:53" ht="15" customHeight="1">
      <c r="A30" s="121">
        <v>313</v>
      </c>
      <c r="B30" s="121">
        <v>313</v>
      </c>
      <c r="C30" s="121"/>
      <c r="D30" s="120"/>
      <c r="E30" s="120"/>
      <c r="F30" s="121">
        <v>74006176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44909</v>
      </c>
      <c r="P30" s="120" t="s">
        <v>1315</v>
      </c>
      <c r="Q30" s="120" t="s">
        <v>414</v>
      </c>
      <c r="R30" s="120" t="s">
        <v>407</v>
      </c>
      <c r="S30" s="120" t="s">
        <v>1217</v>
      </c>
      <c r="T30" s="122">
        <v>1.1299999999999999</v>
      </c>
      <c r="U30" s="120" t="s">
        <v>824</v>
      </c>
      <c r="V30" s="123">
        <v>6.6000000000000003E-2</v>
      </c>
      <c r="W30" s="120"/>
      <c r="X30" s="120"/>
      <c r="Y30" s="123"/>
      <c r="Z30" s="123">
        <v>6.2100000000000002E-2</v>
      </c>
      <c r="AA30" s="124">
        <v>45925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45473</v>
      </c>
      <c r="AO30" s="120"/>
      <c r="AP30" s="123"/>
      <c r="AQ30" s="122">
        <v>1589347</v>
      </c>
      <c r="AR30" s="122">
        <v>100.67</v>
      </c>
      <c r="AS30" s="122">
        <v>1</v>
      </c>
      <c r="AT30" s="122">
        <v>1599.9956199999999</v>
      </c>
      <c r="AU30" s="122">
        <v>1599.9956199999999</v>
      </c>
      <c r="AV30" s="122"/>
      <c r="AW30" s="122"/>
      <c r="AX30" s="120"/>
      <c r="AY30" s="120"/>
      <c r="AZ30" s="123">
        <v>6.0999999999999997E-4</v>
      </c>
      <c r="BA30" s="123">
        <v>2.5999999999999998E-5</v>
      </c>
    </row>
    <row r="31" spans="1:53" ht="15" customHeight="1">
      <c r="A31" s="121">
        <v>313</v>
      </c>
      <c r="B31" s="121">
        <v>313</v>
      </c>
      <c r="C31" s="121"/>
      <c r="D31" s="120"/>
      <c r="E31" s="120"/>
      <c r="F31" s="121">
        <v>74006177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44941</v>
      </c>
      <c r="P31" s="120" t="s">
        <v>1315</v>
      </c>
      <c r="Q31" s="120" t="s">
        <v>414</v>
      </c>
      <c r="R31" s="120" t="s">
        <v>407</v>
      </c>
      <c r="S31" s="120" t="s">
        <v>1217</v>
      </c>
      <c r="T31" s="122">
        <v>1.1299999999999999</v>
      </c>
      <c r="U31" s="120" t="s">
        <v>824</v>
      </c>
      <c r="V31" s="123">
        <v>6.6000000000000003E-2</v>
      </c>
      <c r="W31" s="120"/>
      <c r="X31" s="120"/>
      <c r="Y31" s="123"/>
      <c r="Z31" s="123">
        <v>6.2399999999999997E-2</v>
      </c>
      <c r="AA31" s="124">
        <v>45925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45473</v>
      </c>
      <c r="AO31" s="120"/>
      <c r="AP31" s="123"/>
      <c r="AQ31" s="122">
        <v>2900558</v>
      </c>
      <c r="AR31" s="122">
        <v>100.64</v>
      </c>
      <c r="AS31" s="122">
        <v>1</v>
      </c>
      <c r="AT31" s="122">
        <v>2919.1215699999998</v>
      </c>
      <c r="AU31" s="122">
        <v>2919.1215699999998</v>
      </c>
      <c r="AV31" s="122"/>
      <c r="AW31" s="122"/>
      <c r="AX31" s="120"/>
      <c r="AY31" s="120"/>
      <c r="AZ31" s="123">
        <v>1.1130000000000001E-3</v>
      </c>
      <c r="BA31" s="123">
        <v>4.8000000000000001E-5</v>
      </c>
    </row>
    <row r="32" spans="1:53" ht="15" customHeight="1">
      <c r="A32" s="121">
        <v>313</v>
      </c>
      <c r="B32" s="121">
        <v>313</v>
      </c>
      <c r="C32" s="121"/>
      <c r="D32" s="120"/>
      <c r="E32" s="120"/>
      <c r="F32" s="121">
        <v>74006179</v>
      </c>
      <c r="G32" s="120" t="s">
        <v>1013</v>
      </c>
      <c r="H32" s="120" t="s">
        <v>812</v>
      </c>
      <c r="I32" s="120" t="s">
        <v>203</v>
      </c>
      <c r="J32" s="120"/>
      <c r="K32" s="120" t="s">
        <v>446</v>
      </c>
      <c r="L32" s="120" t="s">
        <v>338</v>
      </c>
      <c r="M32" s="120" t="s">
        <v>337</v>
      </c>
      <c r="N32" s="121"/>
      <c r="O32" s="124">
        <v>44971</v>
      </c>
      <c r="P32" s="120" t="s">
        <v>1315</v>
      </c>
      <c r="Q32" s="120" t="s">
        <v>414</v>
      </c>
      <c r="R32" s="120" t="s">
        <v>407</v>
      </c>
      <c r="S32" s="120" t="s">
        <v>1217</v>
      </c>
      <c r="T32" s="122">
        <v>1.1299999999999999</v>
      </c>
      <c r="U32" s="120" t="s">
        <v>824</v>
      </c>
      <c r="V32" s="123">
        <v>6.6000000000000003E-2</v>
      </c>
      <c r="W32" s="120"/>
      <c r="X32" s="120"/>
      <c r="Y32" s="123"/>
      <c r="Z32" s="123">
        <v>6.2300000000000001E-2</v>
      </c>
      <c r="AA32" s="124">
        <v>45925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45473</v>
      </c>
      <c r="AO32" s="120"/>
      <c r="AP32" s="123"/>
      <c r="AQ32" s="122">
        <v>2288660</v>
      </c>
      <c r="AR32" s="122">
        <v>100.65</v>
      </c>
      <c r="AS32" s="122">
        <v>1</v>
      </c>
      <c r="AT32" s="122">
        <v>2303.53629</v>
      </c>
      <c r="AU32" s="122">
        <v>2303.53629</v>
      </c>
      <c r="AV32" s="122"/>
      <c r="AW32" s="122"/>
      <c r="AX32" s="120"/>
      <c r="AY32" s="120"/>
      <c r="AZ32" s="123">
        <v>8.7799999999999998E-4</v>
      </c>
      <c r="BA32" s="123">
        <v>3.8000000000000002E-5</v>
      </c>
    </row>
    <row r="33" spans="1:53" ht="15" customHeight="1">
      <c r="A33" s="121">
        <v>313</v>
      </c>
      <c r="B33" s="121">
        <v>313</v>
      </c>
      <c r="C33" s="121"/>
      <c r="D33" s="120"/>
      <c r="E33" s="120"/>
      <c r="F33" s="121">
        <v>74006180</v>
      </c>
      <c r="G33" s="120" t="s">
        <v>1013</v>
      </c>
      <c r="H33" s="120" t="s">
        <v>812</v>
      </c>
      <c r="I33" s="120" t="s">
        <v>203</v>
      </c>
      <c r="J33" s="120"/>
      <c r="K33" s="120" t="s">
        <v>446</v>
      </c>
      <c r="L33" s="120" t="s">
        <v>338</v>
      </c>
      <c r="M33" s="120" t="s">
        <v>337</v>
      </c>
      <c r="N33" s="121"/>
      <c r="O33" s="124">
        <v>44999</v>
      </c>
      <c r="P33" s="120" t="s">
        <v>1315</v>
      </c>
      <c r="Q33" s="120" t="s">
        <v>414</v>
      </c>
      <c r="R33" s="120" t="s">
        <v>407</v>
      </c>
      <c r="S33" s="120" t="s">
        <v>1217</v>
      </c>
      <c r="T33" s="122">
        <v>1.1299999999999999</v>
      </c>
      <c r="U33" s="120" t="s">
        <v>824</v>
      </c>
      <c r="V33" s="123">
        <v>6.6000000000000003E-2</v>
      </c>
      <c r="W33" s="120"/>
      <c r="X33" s="120"/>
      <c r="Y33" s="123"/>
      <c r="Z33" s="123">
        <v>6.1899999999999997E-2</v>
      </c>
      <c r="AA33" s="124">
        <v>45925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45473</v>
      </c>
      <c r="AO33" s="120"/>
      <c r="AP33" s="123"/>
      <c r="AQ33" s="122">
        <v>3357496</v>
      </c>
      <c r="AR33" s="122">
        <v>100.69</v>
      </c>
      <c r="AS33" s="122">
        <v>1</v>
      </c>
      <c r="AT33" s="122">
        <v>3380.6627199999998</v>
      </c>
      <c r="AU33" s="122">
        <v>3380.6627199999998</v>
      </c>
      <c r="AV33" s="122"/>
      <c r="AW33" s="122"/>
      <c r="AX33" s="120"/>
      <c r="AY33" s="120"/>
      <c r="AZ33" s="123">
        <v>1.289E-3</v>
      </c>
      <c r="BA33" s="123">
        <v>5.5999999999999999E-5</v>
      </c>
    </row>
    <row r="34" spans="1:53" ht="15" customHeight="1">
      <c r="A34" s="121">
        <v>313</v>
      </c>
      <c r="B34" s="121">
        <v>313</v>
      </c>
      <c r="C34" s="121"/>
      <c r="D34" s="120"/>
      <c r="E34" s="120"/>
      <c r="F34" s="121">
        <v>74006175</v>
      </c>
      <c r="G34" s="120" t="s">
        <v>1013</v>
      </c>
      <c r="H34" s="120" t="s">
        <v>812</v>
      </c>
      <c r="I34" s="120" t="s">
        <v>203</v>
      </c>
      <c r="J34" s="120"/>
      <c r="K34" s="120" t="s">
        <v>446</v>
      </c>
      <c r="L34" s="120" t="s">
        <v>338</v>
      </c>
      <c r="M34" s="120" t="s">
        <v>337</v>
      </c>
      <c r="N34" s="121"/>
      <c r="O34" s="124">
        <v>44879</v>
      </c>
      <c r="P34" s="120" t="s">
        <v>1315</v>
      </c>
      <c r="Q34" s="120" t="s">
        <v>414</v>
      </c>
      <c r="R34" s="120" t="s">
        <v>407</v>
      </c>
      <c r="S34" s="120" t="s">
        <v>1217</v>
      </c>
      <c r="T34" s="122">
        <v>1.1299999999999999</v>
      </c>
      <c r="U34" s="120" t="s">
        <v>824</v>
      </c>
      <c r="V34" s="123">
        <v>6.6000000000000003E-2</v>
      </c>
      <c r="W34" s="120"/>
      <c r="X34" s="120"/>
      <c r="Y34" s="123"/>
      <c r="Z34" s="123">
        <v>6.2100000000000002E-2</v>
      </c>
      <c r="AA34" s="124">
        <v>45925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45473</v>
      </c>
      <c r="AO34" s="120"/>
      <c r="AP34" s="123"/>
      <c r="AQ34" s="122">
        <v>1966817</v>
      </c>
      <c r="AR34" s="122">
        <v>100.67</v>
      </c>
      <c r="AS34" s="122">
        <v>1</v>
      </c>
      <c r="AT34" s="122">
        <v>1979.99467</v>
      </c>
      <c r="AU34" s="122">
        <v>1979.99467</v>
      </c>
      <c r="AV34" s="122"/>
      <c r="AW34" s="122"/>
      <c r="AX34" s="120"/>
      <c r="AY34" s="120"/>
      <c r="AZ34" s="123">
        <v>7.5500000000000003E-4</v>
      </c>
      <c r="BA34" s="123">
        <v>3.3000000000000003E-5</v>
      </c>
    </row>
    <row r="35" spans="1:53" ht="15" customHeight="1">
      <c r="A35" s="121">
        <v>313</v>
      </c>
      <c r="B35" s="121">
        <v>313</v>
      </c>
      <c r="C35" s="121"/>
      <c r="D35" s="120"/>
      <c r="E35" s="120"/>
      <c r="F35" s="121">
        <v>74006159</v>
      </c>
      <c r="G35" s="120" t="s">
        <v>1013</v>
      </c>
      <c r="H35" s="120" t="s">
        <v>812</v>
      </c>
      <c r="I35" s="120" t="s">
        <v>203</v>
      </c>
      <c r="J35" s="120"/>
      <c r="K35" s="120" t="s">
        <v>454</v>
      </c>
      <c r="L35" s="120" t="s">
        <v>338</v>
      </c>
      <c r="M35" s="120" t="s">
        <v>337</v>
      </c>
      <c r="N35" s="121"/>
      <c r="O35" s="124">
        <v>44612</v>
      </c>
      <c r="P35" s="120" t="s">
        <v>1315</v>
      </c>
      <c r="Q35" s="120" t="s">
        <v>414</v>
      </c>
      <c r="R35" s="120" t="s">
        <v>407</v>
      </c>
      <c r="S35" s="120" t="s">
        <v>1217</v>
      </c>
      <c r="T35" s="122">
        <v>8.36</v>
      </c>
      <c r="U35" s="120" t="s">
        <v>2560</v>
      </c>
      <c r="V35" s="123">
        <v>2.3599999999999999E-2</v>
      </c>
      <c r="W35" s="120"/>
      <c r="X35" s="120"/>
      <c r="Y35" s="123"/>
      <c r="Z35" s="123">
        <v>4.5199999999999997E-2</v>
      </c>
      <c r="AA35" s="124">
        <v>52135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45473</v>
      </c>
      <c r="AO35" s="120"/>
      <c r="AP35" s="123"/>
      <c r="AQ35" s="122">
        <v>10606956.34</v>
      </c>
      <c r="AR35" s="122">
        <v>89.84</v>
      </c>
      <c r="AS35" s="122">
        <v>1</v>
      </c>
      <c r="AT35" s="122">
        <v>9529.2895800000006</v>
      </c>
      <c r="AU35" s="122">
        <v>9529.2895800000006</v>
      </c>
      <c r="AV35" s="122"/>
      <c r="AW35" s="122"/>
      <c r="AX35" s="120"/>
      <c r="AY35" s="120"/>
      <c r="AZ35" s="123">
        <v>3.6340000000000001E-3</v>
      </c>
      <c r="BA35" s="123">
        <v>1.5899999999999999E-4</v>
      </c>
    </row>
    <row r="36" spans="1:53" ht="15" customHeight="1">
      <c r="A36" s="121">
        <v>313</v>
      </c>
      <c r="B36" s="121">
        <v>313</v>
      </c>
      <c r="C36" s="121"/>
      <c r="D36" s="120"/>
      <c r="E36" s="120"/>
      <c r="F36" s="121">
        <v>74009062</v>
      </c>
      <c r="G36" s="120" t="s">
        <v>1013</v>
      </c>
      <c r="H36" s="120" t="s">
        <v>2562</v>
      </c>
      <c r="I36" s="120" t="s">
        <v>203</v>
      </c>
      <c r="J36" s="120"/>
      <c r="K36" s="120" t="s">
        <v>463</v>
      </c>
      <c r="L36" s="120" t="s">
        <v>338</v>
      </c>
      <c r="M36" s="120" t="s">
        <v>338</v>
      </c>
      <c r="N36" s="121"/>
      <c r="O36" s="124">
        <v>44502</v>
      </c>
      <c r="P36" s="120" t="s">
        <v>1407</v>
      </c>
      <c r="Q36" s="120" t="s">
        <v>311</v>
      </c>
      <c r="R36" s="120" t="s">
        <v>407</v>
      </c>
      <c r="S36" s="120" t="s">
        <v>1217</v>
      </c>
      <c r="T36" s="122">
        <v>3.22</v>
      </c>
      <c r="U36" s="120" t="s">
        <v>2560</v>
      </c>
      <c r="V36" s="123">
        <v>2.0299999999999999E-2</v>
      </c>
      <c r="W36" s="120"/>
      <c r="X36" s="120"/>
      <c r="Y36" s="123"/>
      <c r="Z36" s="123">
        <v>3.9600000000000003E-2</v>
      </c>
      <c r="AA36" s="124">
        <v>46687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45473</v>
      </c>
      <c r="AO36" s="120"/>
      <c r="AP36" s="123"/>
      <c r="AQ36" s="122">
        <v>1074560</v>
      </c>
      <c r="AR36" s="122">
        <v>104.42</v>
      </c>
      <c r="AS36" s="122">
        <v>1</v>
      </c>
      <c r="AT36" s="122">
        <v>1122.05555</v>
      </c>
      <c r="AU36" s="122">
        <v>1122.05555</v>
      </c>
      <c r="AV36" s="122"/>
      <c r="AW36" s="122"/>
      <c r="AX36" s="120"/>
      <c r="AY36" s="120"/>
      <c r="AZ36" s="123">
        <v>4.2700000000000002E-4</v>
      </c>
      <c r="BA36" s="123">
        <v>1.8E-5</v>
      </c>
    </row>
    <row r="37" spans="1:53" ht="15" customHeight="1">
      <c r="A37" s="121">
        <v>313</v>
      </c>
      <c r="B37" s="121">
        <v>313</v>
      </c>
      <c r="C37" s="121"/>
      <c r="D37" s="120"/>
      <c r="E37" s="120"/>
      <c r="F37" s="121">
        <v>74009072</v>
      </c>
      <c r="G37" s="120" t="s">
        <v>1013</v>
      </c>
      <c r="H37" s="120" t="s">
        <v>2562</v>
      </c>
      <c r="I37" s="120" t="s">
        <v>203</v>
      </c>
      <c r="J37" s="120"/>
      <c r="K37" s="120" t="s">
        <v>463</v>
      </c>
      <c r="L37" s="120" t="s">
        <v>338</v>
      </c>
      <c r="M37" s="120" t="s">
        <v>338</v>
      </c>
      <c r="N37" s="121"/>
      <c r="O37" s="124">
        <v>44277</v>
      </c>
      <c r="P37" s="120" t="s">
        <v>1407</v>
      </c>
      <c r="Q37" s="120" t="s">
        <v>311</v>
      </c>
      <c r="R37" s="120" t="s">
        <v>407</v>
      </c>
      <c r="S37" s="120" t="s">
        <v>1217</v>
      </c>
      <c r="T37" s="122">
        <v>3.22</v>
      </c>
      <c r="U37" s="120" t="s">
        <v>2560</v>
      </c>
      <c r="V37" s="123">
        <v>2.0299999999999999E-2</v>
      </c>
      <c r="W37" s="120"/>
      <c r="X37" s="120"/>
      <c r="Y37" s="123"/>
      <c r="Z37" s="123">
        <v>3.9600000000000003E-2</v>
      </c>
      <c r="AA37" s="124">
        <v>46687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45473</v>
      </c>
      <c r="AO37" s="120"/>
      <c r="AP37" s="123"/>
      <c r="AQ37" s="122">
        <v>1104614.1000000001</v>
      </c>
      <c r="AR37" s="122">
        <v>106.83</v>
      </c>
      <c r="AS37" s="122">
        <v>1</v>
      </c>
      <c r="AT37" s="122">
        <v>1180.05924</v>
      </c>
      <c r="AU37" s="122">
        <v>1180.05924</v>
      </c>
      <c r="AV37" s="122"/>
      <c r="AW37" s="122"/>
      <c r="AX37" s="120"/>
      <c r="AY37" s="120"/>
      <c r="AZ37" s="123">
        <v>4.4999999999999999E-4</v>
      </c>
      <c r="BA37" s="123">
        <v>1.9000000000000001E-5</v>
      </c>
    </row>
    <row r="38" spans="1:53" ht="15" customHeight="1">
      <c r="A38" s="121">
        <v>313</v>
      </c>
      <c r="B38" s="121">
        <v>313</v>
      </c>
      <c r="C38" s="121"/>
      <c r="D38" s="120"/>
      <c r="E38" s="120"/>
      <c r="F38" s="121">
        <v>75000442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2563</v>
      </c>
      <c r="Q38" s="120" t="s">
        <v>311</v>
      </c>
      <c r="R38" s="120" t="s">
        <v>407</v>
      </c>
      <c r="S38" s="120" t="s">
        <v>1217</v>
      </c>
      <c r="T38" s="122">
        <v>6.6</v>
      </c>
      <c r="U38" s="120" t="s">
        <v>824</v>
      </c>
      <c r="V38" s="123">
        <v>6.25E-2</v>
      </c>
      <c r="W38" s="120"/>
      <c r="X38" s="120"/>
      <c r="Y38" s="123"/>
      <c r="Z38" s="123">
        <v>6.3299999999999995E-2</v>
      </c>
      <c r="AA38" s="124">
        <v>49562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45473</v>
      </c>
      <c r="AO38" s="120"/>
      <c r="AP38" s="123"/>
      <c r="AQ38" s="122">
        <v>1223059.4099999999</v>
      </c>
      <c r="AR38" s="122">
        <v>100.72</v>
      </c>
      <c r="AS38" s="122">
        <v>1</v>
      </c>
      <c r="AT38" s="122">
        <v>1231.86544</v>
      </c>
      <c r="AU38" s="122">
        <v>1231.86544</v>
      </c>
      <c r="AV38" s="122"/>
      <c r="AW38" s="122"/>
      <c r="AX38" s="120"/>
      <c r="AY38" s="120"/>
      <c r="AZ38" s="123">
        <v>4.6900000000000002E-4</v>
      </c>
      <c r="BA38" s="123">
        <v>2.0000000000000002E-5</v>
      </c>
    </row>
    <row r="39" spans="1:53" ht="15" customHeight="1">
      <c r="A39" s="121">
        <v>313</v>
      </c>
      <c r="B39" s="121">
        <v>313</v>
      </c>
      <c r="C39" s="121"/>
      <c r="D39" s="120"/>
      <c r="E39" s="120"/>
      <c r="F39" s="121">
        <v>75001441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2563</v>
      </c>
      <c r="Q39" s="120" t="s">
        <v>311</v>
      </c>
      <c r="R39" s="120" t="s">
        <v>407</v>
      </c>
      <c r="S39" s="120" t="s">
        <v>1217</v>
      </c>
      <c r="T39" s="122">
        <v>5.33</v>
      </c>
      <c r="U39" s="120" t="s">
        <v>2560</v>
      </c>
      <c r="V39" s="123">
        <v>1.286E-2</v>
      </c>
      <c r="W39" s="120"/>
      <c r="X39" s="120"/>
      <c r="Y39" s="123"/>
      <c r="Z39" s="123">
        <v>3.5400000000000001E-2</v>
      </c>
      <c r="AA39" s="124">
        <v>49562</v>
      </c>
      <c r="AB39" s="120" t="s">
        <v>411</v>
      </c>
      <c r="AC39" s="120"/>
      <c r="AD39" s="122"/>
      <c r="AE39" s="123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45473</v>
      </c>
      <c r="AO39" s="120"/>
      <c r="AP39" s="123"/>
      <c r="AQ39" s="122">
        <v>8437977.3900000006</v>
      </c>
      <c r="AR39" s="122">
        <v>100.79</v>
      </c>
      <c r="AS39" s="122">
        <v>1</v>
      </c>
      <c r="AT39" s="122">
        <v>8504.6374099999994</v>
      </c>
      <c r="AU39" s="122">
        <v>8504.6374099999994</v>
      </c>
      <c r="AV39" s="122"/>
      <c r="AW39" s="122"/>
      <c r="AX39" s="120"/>
      <c r="AY39" s="120"/>
      <c r="AZ39" s="123">
        <v>3.2429999999999998E-3</v>
      </c>
      <c r="BA39" s="123">
        <v>1.4200000000000001E-4</v>
      </c>
    </row>
    <row r="40" spans="1:53" ht="15" customHeight="1">
      <c r="A40" s="121">
        <v>313</v>
      </c>
      <c r="B40" s="121">
        <v>313</v>
      </c>
      <c r="C40" s="121"/>
      <c r="D40" s="120"/>
      <c r="E40" s="120"/>
      <c r="F40" s="121">
        <v>75001442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2563</v>
      </c>
      <c r="Q40" s="120" t="s">
        <v>311</v>
      </c>
      <c r="R40" s="120" t="s">
        <v>407</v>
      </c>
      <c r="S40" s="120" t="s">
        <v>1217</v>
      </c>
      <c r="T40" s="122">
        <v>5.33</v>
      </c>
      <c r="U40" s="120" t="s">
        <v>2560</v>
      </c>
      <c r="V40" s="123">
        <v>1.286E-2</v>
      </c>
      <c r="W40" s="120"/>
      <c r="X40" s="120"/>
      <c r="Y40" s="123"/>
      <c r="Z40" s="123">
        <v>3.5400000000000001E-2</v>
      </c>
      <c r="AA40" s="124">
        <v>49562</v>
      </c>
      <c r="AB40" s="120" t="s">
        <v>411</v>
      </c>
      <c r="AC40" s="120"/>
      <c r="AD40" s="122"/>
      <c r="AE40" s="123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45473</v>
      </c>
      <c r="AO40" s="120"/>
      <c r="AP40" s="123"/>
      <c r="AQ40" s="122">
        <v>8437977.3900000006</v>
      </c>
      <c r="AR40" s="122">
        <v>100.79</v>
      </c>
      <c r="AS40" s="122">
        <v>1</v>
      </c>
      <c r="AT40" s="122">
        <v>8504.6374099999994</v>
      </c>
      <c r="AU40" s="122">
        <v>8504.6374099999994</v>
      </c>
      <c r="AV40" s="122"/>
      <c r="AW40" s="122"/>
      <c r="AX40" s="120"/>
      <c r="AY40" s="120"/>
      <c r="AZ40" s="123">
        <v>3.2429999999999998E-3</v>
      </c>
      <c r="BA40" s="123">
        <v>1.4200000000000001E-4</v>
      </c>
    </row>
    <row r="41" spans="1:53" ht="15" customHeight="1">
      <c r="A41" s="121">
        <v>313</v>
      </c>
      <c r="B41" s="121">
        <v>313</v>
      </c>
      <c r="C41" s="121"/>
      <c r="D41" s="120"/>
      <c r="E41" s="120"/>
      <c r="F41" s="121">
        <v>75001443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2563</v>
      </c>
      <c r="Q41" s="120" t="s">
        <v>311</v>
      </c>
      <c r="R41" s="120" t="s">
        <v>407</v>
      </c>
      <c r="S41" s="120" t="s">
        <v>1217</v>
      </c>
      <c r="T41" s="122">
        <v>5.33</v>
      </c>
      <c r="U41" s="120" t="s">
        <v>2560</v>
      </c>
      <c r="V41" s="123">
        <v>1.286E-2</v>
      </c>
      <c r="W41" s="120"/>
      <c r="X41" s="120"/>
      <c r="Y41" s="123"/>
      <c r="Z41" s="123">
        <v>3.5400000000000001E-2</v>
      </c>
      <c r="AA41" s="124">
        <v>49562</v>
      </c>
      <c r="AB41" s="120" t="s">
        <v>411</v>
      </c>
      <c r="AC41" s="120"/>
      <c r="AD41" s="122"/>
      <c r="AE41" s="123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45473</v>
      </c>
      <c r="AO41" s="120"/>
      <c r="AP41" s="123"/>
      <c r="AQ41" s="122">
        <v>2812661.14</v>
      </c>
      <c r="AR41" s="122">
        <v>100.79</v>
      </c>
      <c r="AS41" s="122">
        <v>1</v>
      </c>
      <c r="AT41" s="122">
        <v>2834.8811599999999</v>
      </c>
      <c r="AU41" s="122">
        <v>2834.8811599999999</v>
      </c>
      <c r="AV41" s="122"/>
      <c r="AW41" s="122"/>
      <c r="AX41" s="120"/>
      <c r="AY41" s="120"/>
      <c r="AZ41" s="123">
        <v>1.0809999999999999E-3</v>
      </c>
      <c r="BA41" s="123">
        <v>4.6999999999999997E-5</v>
      </c>
    </row>
    <row r="42" spans="1:53" ht="15" customHeight="1">
      <c r="A42" s="121">
        <v>313</v>
      </c>
      <c r="B42" s="121">
        <v>313</v>
      </c>
      <c r="C42" s="121"/>
      <c r="D42" s="120"/>
      <c r="E42" s="120"/>
      <c r="F42" s="121">
        <v>75001444</v>
      </c>
      <c r="G42" s="120" t="s">
        <v>1013</v>
      </c>
      <c r="H42" s="120" t="s">
        <v>812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2563</v>
      </c>
      <c r="Q42" s="120" t="s">
        <v>311</v>
      </c>
      <c r="R42" s="120" t="s">
        <v>407</v>
      </c>
      <c r="S42" s="120" t="s">
        <v>1217</v>
      </c>
      <c r="T42" s="122">
        <v>5.33</v>
      </c>
      <c r="U42" s="120" t="s">
        <v>2560</v>
      </c>
      <c r="V42" s="123">
        <v>1.286E-2</v>
      </c>
      <c r="W42" s="120"/>
      <c r="X42" s="120"/>
      <c r="Y42" s="123"/>
      <c r="Z42" s="123">
        <v>3.5400000000000001E-2</v>
      </c>
      <c r="AA42" s="124">
        <v>49562</v>
      </c>
      <c r="AB42" s="120" t="s">
        <v>411</v>
      </c>
      <c r="AC42" s="120"/>
      <c r="AD42" s="122"/>
      <c r="AE42" s="123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45473</v>
      </c>
      <c r="AO42" s="120"/>
      <c r="AP42" s="123"/>
      <c r="AQ42" s="122">
        <v>6570217.8300000001</v>
      </c>
      <c r="AR42" s="122">
        <v>100.79</v>
      </c>
      <c r="AS42" s="122">
        <v>1</v>
      </c>
      <c r="AT42" s="122">
        <v>6622.12255</v>
      </c>
      <c r="AU42" s="122">
        <v>6622.12255</v>
      </c>
      <c r="AV42" s="122"/>
      <c r="AW42" s="122"/>
      <c r="AX42" s="120"/>
      <c r="AY42" s="120"/>
      <c r="AZ42" s="123">
        <v>2.5249999999999999E-3</v>
      </c>
      <c r="BA42" s="123">
        <v>1.11E-4</v>
      </c>
    </row>
    <row r="43" spans="1:53" ht="15" customHeight="1">
      <c r="A43" s="121">
        <v>313</v>
      </c>
      <c r="B43" s="121">
        <v>313</v>
      </c>
      <c r="C43" s="121"/>
      <c r="D43" s="120"/>
      <c r="E43" s="120"/>
      <c r="F43" s="121">
        <v>75001445</v>
      </c>
      <c r="G43" s="120" t="s">
        <v>1013</v>
      </c>
      <c r="H43" s="120" t="s">
        <v>785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2563</v>
      </c>
      <c r="Q43" s="120" t="s">
        <v>311</v>
      </c>
      <c r="R43" s="120" t="s">
        <v>407</v>
      </c>
      <c r="S43" s="120" t="s">
        <v>1217</v>
      </c>
      <c r="T43" s="122">
        <v>5.33</v>
      </c>
      <c r="U43" s="120" t="s">
        <v>2560</v>
      </c>
      <c r="V43" s="123">
        <v>1.286E-2</v>
      </c>
      <c r="W43" s="120"/>
      <c r="X43" s="120"/>
      <c r="Y43" s="123"/>
      <c r="Z43" s="123">
        <v>3.5400000000000001E-2</v>
      </c>
      <c r="AA43" s="124">
        <v>49562</v>
      </c>
      <c r="AB43" s="120" t="s">
        <v>411</v>
      </c>
      <c r="AC43" s="120"/>
      <c r="AD43" s="122"/>
      <c r="AE43" s="123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45473</v>
      </c>
      <c r="AO43" s="120"/>
      <c r="AP43" s="123"/>
      <c r="AQ43" s="122">
        <v>261870.04</v>
      </c>
      <c r="AR43" s="122">
        <v>100.79</v>
      </c>
      <c r="AS43" s="122">
        <v>1</v>
      </c>
      <c r="AT43" s="122">
        <v>263.93880999999999</v>
      </c>
      <c r="AU43" s="122">
        <v>263.93880999999999</v>
      </c>
      <c r="AV43" s="122"/>
      <c r="AW43" s="122"/>
      <c r="AX43" s="120"/>
      <c r="AY43" s="120"/>
      <c r="AZ43" s="123">
        <v>1E-4</v>
      </c>
      <c r="BA43" s="123">
        <v>3.9999999999999998E-6</v>
      </c>
    </row>
    <row r="44" spans="1:53" ht="15" customHeight="1">
      <c r="A44" s="121">
        <v>313</v>
      </c>
      <c r="B44" s="121">
        <v>313</v>
      </c>
      <c r="C44" s="121"/>
      <c r="D44" s="120"/>
      <c r="E44" s="120"/>
      <c r="F44" s="121">
        <v>75001446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2563</v>
      </c>
      <c r="Q44" s="120" t="s">
        <v>311</v>
      </c>
      <c r="R44" s="120" t="s">
        <v>407</v>
      </c>
      <c r="S44" s="120" t="s">
        <v>1217</v>
      </c>
      <c r="T44" s="122">
        <v>5.33</v>
      </c>
      <c r="U44" s="120" t="s">
        <v>2560</v>
      </c>
      <c r="V44" s="123">
        <v>1.286E-2</v>
      </c>
      <c r="W44" s="120"/>
      <c r="X44" s="120"/>
      <c r="Y44" s="123"/>
      <c r="Z44" s="123">
        <v>3.5400000000000001E-2</v>
      </c>
      <c r="AA44" s="124">
        <v>49562</v>
      </c>
      <c r="AB44" s="120" t="s">
        <v>411</v>
      </c>
      <c r="AC44" s="120"/>
      <c r="AD44" s="122"/>
      <c r="AE44" s="123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45473</v>
      </c>
      <c r="AO44" s="120"/>
      <c r="AP44" s="123"/>
      <c r="AQ44" s="122">
        <v>4405.3500000000004</v>
      </c>
      <c r="AR44" s="122">
        <v>100.79</v>
      </c>
      <c r="AS44" s="122">
        <v>1</v>
      </c>
      <c r="AT44" s="122">
        <v>4.44015</v>
      </c>
      <c r="AU44" s="122">
        <v>4.44015</v>
      </c>
      <c r="AV44" s="122"/>
      <c r="AW44" s="122"/>
      <c r="AX44" s="120"/>
      <c r="AY44" s="120"/>
      <c r="AZ44" s="123">
        <v>9.9999999999999995E-7</v>
      </c>
      <c r="BA44" s="123">
        <v>0</v>
      </c>
    </row>
    <row r="45" spans="1:53" ht="15" customHeight="1">
      <c r="A45" s="121">
        <v>313</v>
      </c>
      <c r="B45" s="121">
        <v>313</v>
      </c>
      <c r="C45" s="121"/>
      <c r="D45" s="120"/>
      <c r="E45" s="120"/>
      <c r="F45" s="121">
        <v>75002442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2563</v>
      </c>
      <c r="Q45" s="120" t="s">
        <v>311</v>
      </c>
      <c r="R45" s="120" t="s">
        <v>407</v>
      </c>
      <c r="S45" s="120" t="s">
        <v>1217</v>
      </c>
      <c r="T45" s="122">
        <v>10.32</v>
      </c>
      <c r="U45" s="120" t="s">
        <v>2560</v>
      </c>
      <c r="V45" s="123">
        <v>1.286E-2</v>
      </c>
      <c r="W45" s="120"/>
      <c r="X45" s="120"/>
      <c r="Y45" s="123"/>
      <c r="Z45" s="123">
        <v>3.6400000000000002E-2</v>
      </c>
      <c r="AA45" s="124">
        <v>49562</v>
      </c>
      <c r="AB45" s="120" t="s">
        <v>411</v>
      </c>
      <c r="AC45" s="120"/>
      <c r="AD45" s="122"/>
      <c r="AE45" s="123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45473</v>
      </c>
      <c r="AO45" s="120"/>
      <c r="AP45" s="123"/>
      <c r="AQ45" s="122">
        <v>10824081.060000001</v>
      </c>
      <c r="AR45" s="122">
        <v>89.57</v>
      </c>
      <c r="AS45" s="122">
        <v>1</v>
      </c>
      <c r="AT45" s="122">
        <v>9695.1294099999996</v>
      </c>
      <c r="AU45" s="122">
        <v>9695.1294099999996</v>
      </c>
      <c r="AV45" s="122"/>
      <c r="AW45" s="122"/>
      <c r="AX45" s="120"/>
      <c r="AY45" s="120"/>
      <c r="AZ45" s="123">
        <v>3.6970000000000002E-3</v>
      </c>
      <c r="BA45" s="123">
        <v>1.6200000000000001E-4</v>
      </c>
    </row>
    <row r="46" spans="1:53" ht="15" customHeight="1">
      <c r="A46" s="121">
        <v>313</v>
      </c>
      <c r="B46" s="121">
        <v>313</v>
      </c>
      <c r="C46" s="121"/>
      <c r="D46" s="120"/>
      <c r="E46" s="120"/>
      <c r="F46" s="121">
        <v>75002443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2563</v>
      </c>
      <c r="Q46" s="120" t="s">
        <v>311</v>
      </c>
      <c r="R46" s="120" t="s">
        <v>407</v>
      </c>
      <c r="S46" s="120" t="s">
        <v>1217</v>
      </c>
      <c r="T46" s="122">
        <v>10.32</v>
      </c>
      <c r="U46" s="120" t="s">
        <v>2560</v>
      </c>
      <c r="V46" s="123">
        <v>1.286E-2</v>
      </c>
      <c r="W46" s="120"/>
      <c r="X46" s="120"/>
      <c r="Y46" s="123"/>
      <c r="Z46" s="123">
        <v>3.6400000000000002E-2</v>
      </c>
      <c r="AA46" s="124">
        <v>49562</v>
      </c>
      <c r="AB46" s="120" t="s">
        <v>411</v>
      </c>
      <c r="AC46" s="120"/>
      <c r="AD46" s="122"/>
      <c r="AE46" s="123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45473</v>
      </c>
      <c r="AO46" s="120"/>
      <c r="AP46" s="123"/>
      <c r="AQ46" s="122">
        <v>10824081.060000001</v>
      </c>
      <c r="AR46" s="122">
        <v>89.57</v>
      </c>
      <c r="AS46" s="122">
        <v>1</v>
      </c>
      <c r="AT46" s="122">
        <v>9695.1294099999996</v>
      </c>
      <c r="AU46" s="122">
        <v>9695.1294099999996</v>
      </c>
      <c r="AV46" s="122"/>
      <c r="AW46" s="122"/>
      <c r="AX46" s="120"/>
      <c r="AY46" s="120"/>
      <c r="AZ46" s="123">
        <v>3.6970000000000002E-3</v>
      </c>
      <c r="BA46" s="123">
        <v>1.6200000000000001E-4</v>
      </c>
    </row>
    <row r="47" spans="1:53" ht="15" customHeight="1">
      <c r="A47" s="121">
        <v>313</v>
      </c>
      <c r="B47" s="121">
        <v>313</v>
      </c>
      <c r="C47" s="121"/>
      <c r="D47" s="120"/>
      <c r="E47" s="120"/>
      <c r="F47" s="121">
        <v>75000441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2563</v>
      </c>
      <c r="Q47" s="120" t="s">
        <v>311</v>
      </c>
      <c r="R47" s="120" t="s">
        <v>407</v>
      </c>
      <c r="S47" s="120" t="s">
        <v>1217</v>
      </c>
      <c r="T47" s="122">
        <v>10.32</v>
      </c>
      <c r="U47" s="120" t="s">
        <v>2560</v>
      </c>
      <c r="V47" s="123">
        <v>1.286E-2</v>
      </c>
      <c r="W47" s="120"/>
      <c r="X47" s="120"/>
      <c r="Y47" s="123"/>
      <c r="Z47" s="123">
        <v>3.6400000000000002E-2</v>
      </c>
      <c r="AA47" s="124">
        <v>49562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45473</v>
      </c>
      <c r="AO47" s="120"/>
      <c r="AP47" s="123"/>
      <c r="AQ47" s="122">
        <v>10824081.060000001</v>
      </c>
      <c r="AR47" s="122">
        <v>89.57</v>
      </c>
      <c r="AS47" s="122">
        <v>1</v>
      </c>
      <c r="AT47" s="122">
        <v>9695.1294099999996</v>
      </c>
      <c r="AU47" s="122">
        <v>9695.1294099999996</v>
      </c>
      <c r="AV47" s="122"/>
      <c r="AW47" s="122"/>
      <c r="AX47" s="120"/>
      <c r="AY47" s="120"/>
      <c r="AZ47" s="123">
        <v>3.6970000000000002E-3</v>
      </c>
      <c r="BA47" s="123">
        <v>1.6200000000000001E-4</v>
      </c>
    </row>
    <row r="48" spans="1:53" ht="15" customHeight="1">
      <c r="A48" s="121">
        <v>313</v>
      </c>
      <c r="B48" s="121">
        <v>313</v>
      </c>
      <c r="C48" s="121"/>
      <c r="D48" s="120"/>
      <c r="E48" s="120"/>
      <c r="F48" s="121">
        <v>75000440</v>
      </c>
      <c r="G48" s="120" t="s">
        <v>1013</v>
      </c>
      <c r="H48" s="120" t="s">
        <v>785</v>
      </c>
      <c r="I48" s="120" t="s">
        <v>203</v>
      </c>
      <c r="J48" s="120"/>
      <c r="K48" s="120" t="s">
        <v>463</v>
      </c>
      <c r="L48" s="120" t="s">
        <v>338</v>
      </c>
      <c r="M48" s="120" t="s">
        <v>337</v>
      </c>
      <c r="N48" s="121"/>
      <c r="O48" s="124">
        <v>44195</v>
      </c>
      <c r="P48" s="120" t="s">
        <v>2563</v>
      </c>
      <c r="Q48" s="120" t="s">
        <v>311</v>
      </c>
      <c r="R48" s="120" t="s">
        <v>407</v>
      </c>
      <c r="S48" s="120" t="s">
        <v>1217</v>
      </c>
      <c r="T48" s="122">
        <v>5.33</v>
      </c>
      <c r="U48" s="120" t="s">
        <v>2560</v>
      </c>
      <c r="V48" s="123">
        <v>1.286E-2</v>
      </c>
      <c r="W48" s="120"/>
      <c r="X48" s="120"/>
      <c r="Y48" s="123"/>
      <c r="Z48" s="123">
        <v>3.5400000000000001E-2</v>
      </c>
      <c r="AA48" s="124">
        <v>49562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45473</v>
      </c>
      <c r="AO48" s="120"/>
      <c r="AP48" s="123"/>
      <c r="AQ48" s="122">
        <v>8437977.3900000006</v>
      </c>
      <c r="AR48" s="122">
        <v>100.79</v>
      </c>
      <c r="AS48" s="122">
        <v>1</v>
      </c>
      <c r="AT48" s="122">
        <v>8504.6374099999994</v>
      </c>
      <c r="AU48" s="122">
        <v>8504.6374099999994</v>
      </c>
      <c r="AV48" s="122"/>
      <c r="AW48" s="122"/>
      <c r="AX48" s="120"/>
      <c r="AY48" s="120"/>
      <c r="AZ48" s="123">
        <v>3.2429999999999998E-3</v>
      </c>
      <c r="BA48" s="123">
        <v>1.4200000000000001E-4</v>
      </c>
    </row>
    <row r="49" spans="1:53" ht="15" customHeight="1">
      <c r="A49" s="121">
        <v>313</v>
      </c>
      <c r="B49" s="121">
        <v>313</v>
      </c>
      <c r="C49" s="121"/>
      <c r="D49" s="120"/>
      <c r="E49" s="120"/>
      <c r="F49" s="121">
        <v>74009098</v>
      </c>
      <c r="G49" s="120" t="s">
        <v>1013</v>
      </c>
      <c r="H49" s="120" t="s">
        <v>2562</v>
      </c>
      <c r="I49" s="120" t="s">
        <v>203</v>
      </c>
      <c r="J49" s="120"/>
      <c r="K49" s="120" t="s">
        <v>463</v>
      </c>
      <c r="L49" s="120" t="s">
        <v>338</v>
      </c>
      <c r="M49" s="120" t="s">
        <v>338</v>
      </c>
      <c r="N49" s="121"/>
      <c r="O49" s="124">
        <v>45224</v>
      </c>
      <c r="P49" s="120" t="s">
        <v>1407</v>
      </c>
      <c r="Q49" s="120" t="s">
        <v>311</v>
      </c>
      <c r="R49" s="120" t="s">
        <v>407</v>
      </c>
      <c r="S49" s="120" t="s">
        <v>1217</v>
      </c>
      <c r="T49" s="122">
        <v>3.22</v>
      </c>
      <c r="U49" s="120" t="s">
        <v>2560</v>
      </c>
      <c r="V49" s="123">
        <v>2.0299999999999999E-2</v>
      </c>
      <c r="W49" s="120"/>
      <c r="X49" s="120"/>
      <c r="Y49" s="123"/>
      <c r="Z49" s="123">
        <v>2.0799999999999999E-2</v>
      </c>
      <c r="AA49" s="124">
        <v>46687</v>
      </c>
      <c r="AB49" s="120" t="s">
        <v>411</v>
      </c>
      <c r="AC49" s="120"/>
      <c r="AD49" s="122"/>
      <c r="AE49" s="123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45473</v>
      </c>
      <c r="AO49" s="120"/>
      <c r="AP49" s="123"/>
      <c r="AQ49" s="122">
        <v>503700</v>
      </c>
      <c r="AR49" s="122">
        <v>101.98</v>
      </c>
      <c r="AS49" s="122">
        <v>1</v>
      </c>
      <c r="AT49" s="122">
        <v>513.67326000000003</v>
      </c>
      <c r="AU49" s="122">
        <v>513.67326000000003</v>
      </c>
      <c r="AV49" s="122"/>
      <c r="AW49" s="122"/>
      <c r="AX49" s="120"/>
      <c r="AY49" s="120"/>
      <c r="AZ49" s="123">
        <v>1.95E-4</v>
      </c>
      <c r="BA49" s="123">
        <v>7.9999999999999996E-6</v>
      </c>
    </row>
    <row r="50" spans="1:53" ht="15" customHeight="1">
      <c r="A50" s="121">
        <v>313</v>
      </c>
      <c r="B50" s="121">
        <v>313</v>
      </c>
      <c r="C50" s="121"/>
      <c r="D50" s="120"/>
      <c r="E50" s="120"/>
      <c r="F50" s="121">
        <v>74009097</v>
      </c>
      <c r="G50" s="120" t="s">
        <v>1013</v>
      </c>
      <c r="H50" s="120" t="s">
        <v>2562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45188</v>
      </c>
      <c r="P50" s="120" t="s">
        <v>1407</v>
      </c>
      <c r="Q50" s="120" t="s">
        <v>311</v>
      </c>
      <c r="R50" s="120" t="s">
        <v>407</v>
      </c>
      <c r="S50" s="120" t="s">
        <v>1217</v>
      </c>
      <c r="T50" s="122">
        <v>3.22</v>
      </c>
      <c r="U50" s="120" t="s">
        <v>2560</v>
      </c>
      <c r="V50" s="123">
        <v>2.0299999999999999E-2</v>
      </c>
      <c r="W50" s="120"/>
      <c r="X50" s="120"/>
      <c r="Y50" s="123"/>
      <c r="Z50" s="123">
        <v>2.52E-2</v>
      </c>
      <c r="AA50" s="124">
        <v>46687</v>
      </c>
      <c r="AB50" s="120" t="s">
        <v>411</v>
      </c>
      <c r="AC50" s="120"/>
      <c r="AD50" s="122"/>
      <c r="AE50" s="123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45473</v>
      </c>
      <c r="AO50" s="120"/>
      <c r="AP50" s="123"/>
      <c r="AQ50" s="122">
        <v>1035142.37</v>
      </c>
      <c r="AR50" s="122">
        <v>100.49</v>
      </c>
      <c r="AS50" s="122">
        <v>1</v>
      </c>
      <c r="AT50" s="122">
        <v>1040.2145700000001</v>
      </c>
      <c r="AU50" s="122">
        <v>1040.2145700000001</v>
      </c>
      <c r="AV50" s="122"/>
      <c r="AW50" s="122"/>
      <c r="AX50" s="120"/>
      <c r="AY50" s="120"/>
      <c r="AZ50" s="123">
        <v>3.9599999999999998E-4</v>
      </c>
      <c r="BA50" s="123">
        <v>1.7E-5</v>
      </c>
    </row>
    <row r="51" spans="1:53" ht="15" customHeight="1">
      <c r="A51" s="121">
        <v>313</v>
      </c>
      <c r="B51" s="121">
        <v>313</v>
      </c>
      <c r="C51" s="121"/>
      <c r="D51" s="120"/>
      <c r="E51" s="120"/>
      <c r="F51" s="121">
        <v>74009081</v>
      </c>
      <c r="G51" s="120" t="s">
        <v>1013</v>
      </c>
      <c r="H51" s="120" t="s">
        <v>2562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44132</v>
      </c>
      <c r="P51" s="120" t="s">
        <v>1407</v>
      </c>
      <c r="Q51" s="120" t="s">
        <v>311</v>
      </c>
      <c r="R51" s="120" t="s">
        <v>407</v>
      </c>
      <c r="S51" s="120" t="s">
        <v>1217</v>
      </c>
      <c r="T51" s="122">
        <v>3.22</v>
      </c>
      <c r="U51" s="120" t="s">
        <v>2560</v>
      </c>
      <c r="V51" s="123">
        <v>2.2800000000000001E-2</v>
      </c>
      <c r="W51" s="120"/>
      <c r="X51" s="120"/>
      <c r="Y51" s="123"/>
      <c r="Z51" s="123">
        <v>3.6900000000000002E-2</v>
      </c>
      <c r="AA51" s="124">
        <v>46687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45473</v>
      </c>
      <c r="AO51" s="120"/>
      <c r="AP51" s="123"/>
      <c r="AQ51" s="122">
        <v>5204900</v>
      </c>
      <c r="AR51" s="122">
        <v>107.93</v>
      </c>
      <c r="AS51" s="122">
        <v>1</v>
      </c>
      <c r="AT51" s="122">
        <v>5617.6485700000003</v>
      </c>
      <c r="AU51" s="122">
        <v>5617.6485700000003</v>
      </c>
      <c r="AV51" s="122"/>
      <c r="AW51" s="122"/>
      <c r="AX51" s="120"/>
      <c r="AY51" s="120"/>
      <c r="AZ51" s="123">
        <v>2.1419999999999998E-3</v>
      </c>
      <c r="BA51" s="123">
        <v>9.3999999999999994E-5</v>
      </c>
    </row>
    <row r="52" spans="1:53" ht="15" customHeight="1">
      <c r="A52" s="121">
        <v>313</v>
      </c>
      <c r="B52" s="121">
        <v>313</v>
      </c>
      <c r="C52" s="121"/>
      <c r="D52" s="120"/>
      <c r="E52" s="120"/>
      <c r="F52" s="121">
        <v>74009082</v>
      </c>
      <c r="G52" s="120" t="s">
        <v>1013</v>
      </c>
      <c r="H52" s="120" t="s">
        <v>2562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44277</v>
      </c>
      <c r="P52" s="120" t="s">
        <v>1407</v>
      </c>
      <c r="Q52" s="120" t="s">
        <v>311</v>
      </c>
      <c r="R52" s="120" t="s">
        <v>407</v>
      </c>
      <c r="S52" s="120" t="s">
        <v>1217</v>
      </c>
      <c r="T52" s="122">
        <v>3.22</v>
      </c>
      <c r="U52" s="120" t="s">
        <v>2560</v>
      </c>
      <c r="V52" s="123">
        <v>2.2800000000000001E-2</v>
      </c>
      <c r="W52" s="120"/>
      <c r="X52" s="120"/>
      <c r="Y52" s="123"/>
      <c r="Z52" s="123">
        <v>3.6900000000000002E-2</v>
      </c>
      <c r="AA52" s="124">
        <v>46687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45473</v>
      </c>
      <c r="AO52" s="120"/>
      <c r="AP52" s="123"/>
      <c r="AQ52" s="122">
        <v>839361.31</v>
      </c>
      <c r="AR52" s="122">
        <v>107.71</v>
      </c>
      <c r="AS52" s="122">
        <v>1</v>
      </c>
      <c r="AT52" s="122">
        <v>904.07606999999996</v>
      </c>
      <c r="AU52" s="122">
        <v>904.07606999999996</v>
      </c>
      <c r="AV52" s="122"/>
      <c r="AW52" s="122"/>
      <c r="AX52" s="120"/>
      <c r="AY52" s="120"/>
      <c r="AZ52" s="123">
        <v>3.4400000000000001E-4</v>
      </c>
      <c r="BA52" s="123">
        <v>1.5E-5</v>
      </c>
    </row>
    <row r="53" spans="1:53" ht="15" customHeight="1">
      <c r="A53" s="121">
        <v>313</v>
      </c>
      <c r="B53" s="121">
        <v>313</v>
      </c>
      <c r="C53" s="121"/>
      <c r="D53" s="120"/>
      <c r="E53" s="120"/>
      <c r="F53" s="121">
        <v>74009083</v>
      </c>
      <c r="G53" s="120" t="s">
        <v>1013</v>
      </c>
      <c r="H53" s="120" t="s">
        <v>2562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44502</v>
      </c>
      <c r="P53" s="120" t="s">
        <v>1407</v>
      </c>
      <c r="Q53" s="120" t="s">
        <v>311</v>
      </c>
      <c r="R53" s="120" t="s">
        <v>407</v>
      </c>
      <c r="S53" s="120" t="s">
        <v>1217</v>
      </c>
      <c r="T53" s="122">
        <v>3.22</v>
      </c>
      <c r="U53" s="120" t="s">
        <v>2560</v>
      </c>
      <c r="V53" s="123">
        <v>2.2800000000000001E-2</v>
      </c>
      <c r="W53" s="120"/>
      <c r="X53" s="120"/>
      <c r="Y53" s="123"/>
      <c r="Z53" s="123">
        <v>3.6900000000000002E-2</v>
      </c>
      <c r="AA53" s="124">
        <v>46687</v>
      </c>
      <c r="AB53" s="120" t="s">
        <v>411</v>
      </c>
      <c r="AC53" s="120"/>
      <c r="AD53" s="122"/>
      <c r="AE53" s="123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45473</v>
      </c>
      <c r="AO53" s="120"/>
      <c r="AP53" s="123"/>
      <c r="AQ53" s="122">
        <v>839500</v>
      </c>
      <c r="AR53" s="122">
        <v>105.29</v>
      </c>
      <c r="AS53" s="122">
        <v>1</v>
      </c>
      <c r="AT53" s="122">
        <v>883.90954999999997</v>
      </c>
      <c r="AU53" s="122">
        <v>883.90954999999997</v>
      </c>
      <c r="AV53" s="122"/>
      <c r="AW53" s="122"/>
      <c r="AX53" s="120"/>
      <c r="AY53" s="120"/>
      <c r="AZ53" s="123">
        <v>3.3700000000000001E-4</v>
      </c>
      <c r="BA53" s="123">
        <v>1.4E-5</v>
      </c>
    </row>
    <row r="54" spans="1:53" ht="15" customHeight="1">
      <c r="A54" s="121">
        <v>313</v>
      </c>
      <c r="B54" s="121">
        <v>313</v>
      </c>
      <c r="C54" s="121"/>
      <c r="D54" s="120"/>
      <c r="E54" s="120"/>
      <c r="F54" s="121">
        <v>74009084</v>
      </c>
      <c r="G54" s="120" t="s">
        <v>1013</v>
      </c>
      <c r="H54" s="120" t="s">
        <v>2562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44623</v>
      </c>
      <c r="P54" s="120" t="s">
        <v>1407</v>
      </c>
      <c r="Q54" s="120" t="s">
        <v>311</v>
      </c>
      <c r="R54" s="120" t="s">
        <v>407</v>
      </c>
      <c r="S54" s="120" t="s">
        <v>1217</v>
      </c>
      <c r="T54" s="122">
        <v>3.22</v>
      </c>
      <c r="U54" s="120" t="s">
        <v>2560</v>
      </c>
      <c r="V54" s="123">
        <v>2.2800000000000001E-2</v>
      </c>
      <c r="W54" s="120"/>
      <c r="X54" s="120"/>
      <c r="Y54" s="123"/>
      <c r="Z54" s="123">
        <v>3.9399999999999998E-2</v>
      </c>
      <c r="AA54" s="124">
        <v>46687</v>
      </c>
      <c r="AB54" s="120" t="s">
        <v>411</v>
      </c>
      <c r="AC54" s="120"/>
      <c r="AD54" s="122"/>
      <c r="AE54" s="123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45473</v>
      </c>
      <c r="AO54" s="120"/>
      <c r="AP54" s="123"/>
      <c r="AQ54" s="122">
        <v>1956391</v>
      </c>
      <c r="AR54" s="122">
        <v>103.98</v>
      </c>
      <c r="AS54" s="122">
        <v>1</v>
      </c>
      <c r="AT54" s="122">
        <v>2034.2553600000001</v>
      </c>
      <c r="AU54" s="122">
        <v>2034.2553600000001</v>
      </c>
      <c r="AV54" s="122"/>
      <c r="AW54" s="122"/>
      <c r="AX54" s="120"/>
      <c r="AY54" s="120"/>
      <c r="AZ54" s="123">
        <v>7.7499999999999997E-4</v>
      </c>
      <c r="BA54" s="123">
        <v>3.4E-5</v>
      </c>
    </row>
    <row r="55" spans="1:53" ht="15" customHeight="1">
      <c r="A55" s="121">
        <v>313</v>
      </c>
      <c r="B55" s="121">
        <v>313</v>
      </c>
      <c r="C55" s="121"/>
      <c r="D55" s="120"/>
      <c r="E55" s="120"/>
      <c r="F55" s="121">
        <v>74009071</v>
      </c>
      <c r="G55" s="120" t="s">
        <v>1013</v>
      </c>
      <c r="H55" s="120" t="s">
        <v>2562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44264</v>
      </c>
      <c r="P55" s="120" t="s">
        <v>1407</v>
      </c>
      <c r="Q55" s="120" t="s">
        <v>311</v>
      </c>
      <c r="R55" s="120" t="s">
        <v>407</v>
      </c>
      <c r="S55" s="120" t="s">
        <v>1217</v>
      </c>
      <c r="T55" s="122">
        <v>3.22</v>
      </c>
      <c r="U55" s="120" t="s">
        <v>2560</v>
      </c>
      <c r="V55" s="123">
        <v>2.0299999999999999E-2</v>
      </c>
      <c r="W55" s="120"/>
      <c r="X55" s="120"/>
      <c r="Y55" s="123"/>
      <c r="Z55" s="123">
        <v>3.9600000000000003E-2</v>
      </c>
      <c r="AA55" s="124">
        <v>46687</v>
      </c>
      <c r="AB55" s="120" t="s">
        <v>411</v>
      </c>
      <c r="AC55" s="120"/>
      <c r="AD55" s="122"/>
      <c r="AE55" s="123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45473</v>
      </c>
      <c r="AO55" s="120"/>
      <c r="AP55" s="123"/>
      <c r="AQ55" s="122">
        <v>6678222.5</v>
      </c>
      <c r="AR55" s="122">
        <v>107.15</v>
      </c>
      <c r="AS55" s="122">
        <v>1</v>
      </c>
      <c r="AT55" s="122">
        <v>7155.7154099999998</v>
      </c>
      <c r="AU55" s="122">
        <v>7155.7154099999998</v>
      </c>
      <c r="AV55" s="122"/>
      <c r="AW55" s="122"/>
      <c r="AX55" s="120"/>
      <c r="AY55" s="120"/>
      <c r="AZ55" s="123">
        <v>2.7290000000000001E-3</v>
      </c>
      <c r="BA55" s="123">
        <v>1.2E-4</v>
      </c>
    </row>
    <row r="56" spans="1:53" ht="15" customHeight="1">
      <c r="A56" s="121">
        <v>313</v>
      </c>
      <c r="B56" s="121">
        <v>313</v>
      </c>
      <c r="C56" s="121"/>
      <c r="D56" s="120"/>
      <c r="E56" s="120"/>
      <c r="F56" s="121">
        <v>74009091</v>
      </c>
      <c r="G56" s="120" t="s">
        <v>1013</v>
      </c>
      <c r="H56" s="120" t="s">
        <v>2562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44132</v>
      </c>
      <c r="P56" s="120" t="s">
        <v>1407</v>
      </c>
      <c r="Q56" s="120" t="s">
        <v>311</v>
      </c>
      <c r="R56" s="120" t="s">
        <v>407</v>
      </c>
      <c r="S56" s="120" t="s">
        <v>1217</v>
      </c>
      <c r="T56" s="122">
        <v>3.22</v>
      </c>
      <c r="U56" s="120" t="s">
        <v>2560</v>
      </c>
      <c r="V56" s="123">
        <v>2.2800000000000001E-2</v>
      </c>
      <c r="W56" s="120"/>
      <c r="X56" s="120"/>
      <c r="Y56" s="123"/>
      <c r="Z56" s="123">
        <v>3.6900000000000002E-2</v>
      </c>
      <c r="AA56" s="124">
        <v>46687</v>
      </c>
      <c r="AB56" s="120" t="s">
        <v>411</v>
      </c>
      <c r="AC56" s="120"/>
      <c r="AD56" s="122"/>
      <c r="AE56" s="123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45473</v>
      </c>
      <c r="AO56" s="120"/>
      <c r="AP56" s="123"/>
      <c r="AQ56" s="122">
        <v>4759965</v>
      </c>
      <c r="AR56" s="122">
        <v>107.93</v>
      </c>
      <c r="AS56" s="122">
        <v>1</v>
      </c>
      <c r="AT56" s="122">
        <v>5137.4302200000002</v>
      </c>
      <c r="AU56" s="122">
        <v>5137.4302200000002</v>
      </c>
      <c r="AV56" s="122"/>
      <c r="AW56" s="122"/>
      <c r="AX56" s="120"/>
      <c r="AY56" s="120"/>
      <c r="AZ56" s="123">
        <v>1.9589999999999998E-3</v>
      </c>
      <c r="BA56" s="123">
        <v>8.6000000000000003E-5</v>
      </c>
    </row>
    <row r="57" spans="1:53" ht="15" customHeight="1">
      <c r="A57" s="121">
        <v>313</v>
      </c>
      <c r="B57" s="121">
        <v>313</v>
      </c>
      <c r="C57" s="121"/>
      <c r="D57" s="120"/>
      <c r="E57" s="120"/>
      <c r="F57" s="121">
        <v>74009093</v>
      </c>
      <c r="G57" s="120" t="s">
        <v>1013</v>
      </c>
      <c r="H57" s="120" t="s">
        <v>2562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44277</v>
      </c>
      <c r="P57" s="120" t="s">
        <v>1407</v>
      </c>
      <c r="Q57" s="120" t="s">
        <v>311</v>
      </c>
      <c r="R57" s="120" t="s">
        <v>407</v>
      </c>
      <c r="S57" s="120" t="s">
        <v>1217</v>
      </c>
      <c r="T57" s="122">
        <v>3.22</v>
      </c>
      <c r="U57" s="120" t="s">
        <v>2560</v>
      </c>
      <c r="V57" s="123">
        <v>2.0299999999999999E-2</v>
      </c>
      <c r="W57" s="120"/>
      <c r="X57" s="120"/>
      <c r="Y57" s="123"/>
      <c r="Z57" s="123">
        <v>3.9600000000000003E-2</v>
      </c>
      <c r="AA57" s="124">
        <v>46687</v>
      </c>
      <c r="AB57" s="120" t="s">
        <v>411</v>
      </c>
      <c r="AC57" s="120"/>
      <c r="AD57" s="122"/>
      <c r="AE57" s="123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45473</v>
      </c>
      <c r="AO57" s="120"/>
      <c r="AP57" s="123"/>
      <c r="AQ57" s="122">
        <v>6380200</v>
      </c>
      <c r="AR57" s="122">
        <v>106.83</v>
      </c>
      <c r="AS57" s="122">
        <v>1</v>
      </c>
      <c r="AT57" s="122">
        <v>6815.9676600000003</v>
      </c>
      <c r="AU57" s="122">
        <v>6815.9676600000003</v>
      </c>
      <c r="AV57" s="122"/>
      <c r="AW57" s="122"/>
      <c r="AX57" s="120"/>
      <c r="AY57" s="120"/>
      <c r="AZ57" s="123">
        <v>2.5990000000000002E-3</v>
      </c>
      <c r="BA57" s="123">
        <v>1.1400000000000001E-4</v>
      </c>
    </row>
    <row r="58" spans="1:53" ht="15" customHeight="1">
      <c r="A58" s="121">
        <v>313</v>
      </c>
      <c r="B58" s="121">
        <v>313</v>
      </c>
      <c r="C58" s="121"/>
      <c r="D58" s="120"/>
      <c r="E58" s="120"/>
      <c r="F58" s="121">
        <v>74009094</v>
      </c>
      <c r="G58" s="120" t="s">
        <v>1013</v>
      </c>
      <c r="H58" s="120" t="s">
        <v>2562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44623</v>
      </c>
      <c r="P58" s="120" t="s">
        <v>1407</v>
      </c>
      <c r="Q58" s="120" t="s">
        <v>311</v>
      </c>
      <c r="R58" s="120" t="s">
        <v>407</v>
      </c>
      <c r="S58" s="120" t="s">
        <v>1217</v>
      </c>
      <c r="T58" s="122">
        <v>3.22</v>
      </c>
      <c r="U58" s="120" t="s">
        <v>2560</v>
      </c>
      <c r="V58" s="123">
        <v>2.2800000000000001E-2</v>
      </c>
      <c r="W58" s="120"/>
      <c r="X58" s="120"/>
      <c r="Y58" s="123"/>
      <c r="Z58" s="123">
        <v>3.9399999999999998E-2</v>
      </c>
      <c r="AA58" s="124">
        <v>46687</v>
      </c>
      <c r="AB58" s="120" t="s">
        <v>411</v>
      </c>
      <c r="AC58" s="120"/>
      <c r="AD58" s="122"/>
      <c r="AE58" s="123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45473</v>
      </c>
      <c r="AO58" s="120"/>
      <c r="AP58" s="123"/>
      <c r="AQ58" s="122">
        <v>3367311</v>
      </c>
      <c r="AR58" s="122">
        <v>103.98</v>
      </c>
      <c r="AS58" s="122">
        <v>1</v>
      </c>
      <c r="AT58" s="122">
        <v>3501.32998</v>
      </c>
      <c r="AU58" s="122">
        <v>3501.32998</v>
      </c>
      <c r="AV58" s="122"/>
      <c r="AW58" s="122"/>
      <c r="AX58" s="120"/>
      <c r="AY58" s="120"/>
      <c r="AZ58" s="123">
        <v>1.335E-3</v>
      </c>
      <c r="BA58" s="123">
        <v>5.8E-5</v>
      </c>
    </row>
    <row r="59" spans="1:53" ht="15" customHeight="1">
      <c r="A59" s="121">
        <v>313</v>
      </c>
      <c r="B59" s="121">
        <v>313</v>
      </c>
      <c r="C59" s="121"/>
      <c r="D59" s="120"/>
      <c r="E59" s="120"/>
      <c r="F59" s="121">
        <v>74009095</v>
      </c>
      <c r="G59" s="120" t="s">
        <v>1013</v>
      </c>
      <c r="H59" s="120" t="s">
        <v>2562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44826</v>
      </c>
      <c r="P59" s="120" t="s">
        <v>1407</v>
      </c>
      <c r="Q59" s="120" t="s">
        <v>311</v>
      </c>
      <c r="R59" s="120" t="s">
        <v>407</v>
      </c>
      <c r="S59" s="120" t="s">
        <v>1217</v>
      </c>
      <c r="T59" s="122">
        <v>3.22</v>
      </c>
      <c r="U59" s="120" t="s">
        <v>2560</v>
      </c>
      <c r="V59" s="123">
        <v>2.2800000000000001E-2</v>
      </c>
      <c r="W59" s="120"/>
      <c r="X59" s="120"/>
      <c r="Y59" s="123"/>
      <c r="Z59" s="123">
        <v>3.6900000000000002E-2</v>
      </c>
      <c r="AA59" s="124">
        <v>46687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45473</v>
      </c>
      <c r="AO59" s="120"/>
      <c r="AP59" s="123"/>
      <c r="AQ59" s="122">
        <v>3514198</v>
      </c>
      <c r="AR59" s="122">
        <v>100.85</v>
      </c>
      <c r="AS59" s="122">
        <v>1</v>
      </c>
      <c r="AT59" s="122">
        <v>3544.0686799999999</v>
      </c>
      <c r="AU59" s="122">
        <v>3544.0686799999999</v>
      </c>
      <c r="AV59" s="122"/>
      <c r="AW59" s="122"/>
      <c r="AX59" s="120"/>
      <c r="AY59" s="120"/>
      <c r="AZ59" s="123">
        <v>1.351E-3</v>
      </c>
      <c r="BA59" s="123">
        <v>5.8999999999999998E-5</v>
      </c>
    </row>
    <row r="60" spans="1:53" ht="15" customHeight="1">
      <c r="A60" s="121">
        <v>313</v>
      </c>
      <c r="B60" s="121">
        <v>313</v>
      </c>
      <c r="C60" s="121"/>
      <c r="D60" s="120"/>
      <c r="E60" s="120"/>
      <c r="F60" s="121">
        <v>74009096</v>
      </c>
      <c r="G60" s="120" t="s">
        <v>1013</v>
      </c>
      <c r="H60" s="120" t="s">
        <v>2562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1"/>
      <c r="O60" s="124">
        <v>44826</v>
      </c>
      <c r="P60" s="120" t="s">
        <v>1407</v>
      </c>
      <c r="Q60" s="120" t="s">
        <v>311</v>
      </c>
      <c r="R60" s="120" t="s">
        <v>407</v>
      </c>
      <c r="S60" s="120" t="s">
        <v>1217</v>
      </c>
      <c r="T60" s="122">
        <v>3.22</v>
      </c>
      <c r="U60" s="120" t="s">
        <v>2560</v>
      </c>
      <c r="V60" s="123">
        <v>2.2800000000000001E-2</v>
      </c>
      <c r="W60" s="120"/>
      <c r="X60" s="120"/>
      <c r="Y60" s="123"/>
      <c r="Z60" s="123">
        <v>3.6900000000000002E-2</v>
      </c>
      <c r="AA60" s="124">
        <v>46687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45473</v>
      </c>
      <c r="AO60" s="120"/>
      <c r="AP60" s="123"/>
      <c r="AQ60" s="122">
        <v>922938</v>
      </c>
      <c r="AR60" s="122">
        <v>100.85</v>
      </c>
      <c r="AS60" s="122">
        <v>1</v>
      </c>
      <c r="AT60" s="122">
        <v>930.78296999999998</v>
      </c>
      <c r="AU60" s="122">
        <v>930.78296999999998</v>
      </c>
      <c r="AV60" s="122"/>
      <c r="AW60" s="122"/>
      <c r="AX60" s="120"/>
      <c r="AY60" s="120"/>
      <c r="AZ60" s="123">
        <v>3.5399999999999999E-4</v>
      </c>
      <c r="BA60" s="123">
        <v>1.5E-5</v>
      </c>
    </row>
    <row r="61" spans="1:53" ht="15" customHeight="1">
      <c r="A61" s="121">
        <v>313</v>
      </c>
      <c r="B61" s="121">
        <v>313</v>
      </c>
      <c r="C61" s="121"/>
      <c r="D61" s="120"/>
      <c r="E61" s="120"/>
      <c r="F61" s="121">
        <v>74009092</v>
      </c>
      <c r="G61" s="120" t="s">
        <v>1013</v>
      </c>
      <c r="H61" s="120" t="s">
        <v>2562</v>
      </c>
      <c r="I61" s="120" t="s">
        <v>203</v>
      </c>
      <c r="J61" s="120"/>
      <c r="K61" s="120" t="s">
        <v>463</v>
      </c>
      <c r="L61" s="120" t="s">
        <v>338</v>
      </c>
      <c r="M61" s="120" t="s">
        <v>338</v>
      </c>
      <c r="N61" s="121"/>
      <c r="O61" s="124">
        <v>44264</v>
      </c>
      <c r="P61" s="120" t="s">
        <v>1407</v>
      </c>
      <c r="Q61" s="120" t="s">
        <v>311</v>
      </c>
      <c r="R61" s="120" t="s">
        <v>407</v>
      </c>
      <c r="S61" s="120" t="s">
        <v>1217</v>
      </c>
      <c r="T61" s="122">
        <v>3.22</v>
      </c>
      <c r="U61" s="120" t="s">
        <v>2560</v>
      </c>
      <c r="V61" s="123">
        <v>2.2800000000000001E-2</v>
      </c>
      <c r="W61" s="120"/>
      <c r="X61" s="120"/>
      <c r="Y61" s="123"/>
      <c r="Z61" s="123">
        <v>3.6999999999999998E-2</v>
      </c>
      <c r="AA61" s="124">
        <v>46687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45473</v>
      </c>
      <c r="AO61" s="120"/>
      <c r="AP61" s="123"/>
      <c r="AQ61" s="122">
        <v>3189932.1</v>
      </c>
      <c r="AR61" s="122">
        <v>108.02</v>
      </c>
      <c r="AS61" s="122">
        <v>1</v>
      </c>
      <c r="AT61" s="122">
        <v>3445.7646500000001</v>
      </c>
      <c r="AU61" s="122">
        <v>3445.7646500000001</v>
      </c>
      <c r="AV61" s="122"/>
      <c r="AW61" s="122"/>
      <c r="AX61" s="120"/>
      <c r="AY61" s="120"/>
      <c r="AZ61" s="123">
        <v>1.3140000000000001E-3</v>
      </c>
      <c r="BA61" s="123">
        <v>5.7000000000000003E-5</v>
      </c>
    </row>
    <row r="62" spans="1:53" ht="15" customHeight="1">
      <c r="A62" s="121">
        <v>313</v>
      </c>
      <c r="B62" s="121">
        <v>313</v>
      </c>
      <c r="C62" s="121"/>
      <c r="D62" s="120"/>
      <c r="E62" s="120"/>
      <c r="F62" s="121">
        <v>74006158</v>
      </c>
      <c r="G62" s="120" t="s">
        <v>1013</v>
      </c>
      <c r="H62" s="120" t="s">
        <v>812</v>
      </c>
      <c r="I62" s="120" t="s">
        <v>203</v>
      </c>
      <c r="J62" s="120"/>
      <c r="K62" s="120" t="s">
        <v>454</v>
      </c>
      <c r="L62" s="120" t="s">
        <v>338</v>
      </c>
      <c r="M62" s="120" t="s">
        <v>337</v>
      </c>
      <c r="N62" s="121"/>
      <c r="O62" s="124">
        <v>44530</v>
      </c>
      <c r="P62" s="120" t="s">
        <v>1315</v>
      </c>
      <c r="Q62" s="120" t="s">
        <v>414</v>
      </c>
      <c r="R62" s="120" t="s">
        <v>407</v>
      </c>
      <c r="S62" s="120" t="s">
        <v>1217</v>
      </c>
      <c r="T62" s="122">
        <v>8.4499999999999993</v>
      </c>
      <c r="U62" s="120" t="s">
        <v>2560</v>
      </c>
      <c r="V62" s="123">
        <v>1.7899999999999999E-2</v>
      </c>
      <c r="W62" s="120"/>
      <c r="X62" s="120"/>
      <c r="Y62" s="123"/>
      <c r="Z62" s="123">
        <v>4.7699999999999999E-2</v>
      </c>
      <c r="AA62" s="124">
        <v>52135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45473</v>
      </c>
      <c r="AO62" s="120"/>
      <c r="AP62" s="123"/>
      <c r="AQ62" s="122">
        <v>9044646.3499999996</v>
      </c>
      <c r="AR62" s="122">
        <v>83.56</v>
      </c>
      <c r="AS62" s="122">
        <v>1</v>
      </c>
      <c r="AT62" s="122">
        <v>7557.7064899999996</v>
      </c>
      <c r="AU62" s="122">
        <v>7557.7064899999996</v>
      </c>
      <c r="AV62" s="122"/>
      <c r="AW62" s="122"/>
      <c r="AX62" s="120"/>
      <c r="AY62" s="120"/>
      <c r="AZ62" s="123">
        <v>2.882E-3</v>
      </c>
      <c r="BA62" s="123">
        <v>1.26E-4</v>
      </c>
    </row>
    <row r="63" spans="1:53" ht="15" customHeight="1">
      <c r="A63" s="121">
        <v>313</v>
      </c>
      <c r="B63" s="121">
        <v>313</v>
      </c>
      <c r="C63" s="121"/>
      <c r="D63" s="120"/>
      <c r="E63" s="120"/>
      <c r="F63" s="121">
        <v>74006157</v>
      </c>
      <c r="G63" s="120" t="s">
        <v>1013</v>
      </c>
      <c r="H63" s="120" t="s">
        <v>812</v>
      </c>
      <c r="I63" s="120" t="s">
        <v>203</v>
      </c>
      <c r="J63" s="120"/>
      <c r="K63" s="120" t="s">
        <v>454</v>
      </c>
      <c r="L63" s="120" t="s">
        <v>338</v>
      </c>
      <c r="M63" s="120" t="s">
        <v>337</v>
      </c>
      <c r="N63" s="121"/>
      <c r="O63" s="124">
        <v>44418</v>
      </c>
      <c r="P63" s="120" t="s">
        <v>1315</v>
      </c>
      <c r="Q63" s="120" t="s">
        <v>414</v>
      </c>
      <c r="R63" s="120" t="s">
        <v>407</v>
      </c>
      <c r="S63" s="120" t="s">
        <v>1217</v>
      </c>
      <c r="T63" s="122">
        <v>8.4</v>
      </c>
      <c r="U63" s="120" t="s">
        <v>2560</v>
      </c>
      <c r="V63" s="123">
        <v>2.2700000000000001E-2</v>
      </c>
      <c r="W63" s="120"/>
      <c r="X63" s="120"/>
      <c r="Y63" s="123"/>
      <c r="Z63" s="123">
        <v>4.48E-2</v>
      </c>
      <c r="AA63" s="124">
        <v>52135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45473</v>
      </c>
      <c r="AO63" s="120"/>
      <c r="AP63" s="123"/>
      <c r="AQ63" s="122">
        <v>10976359.77</v>
      </c>
      <c r="AR63" s="122">
        <v>90.56</v>
      </c>
      <c r="AS63" s="122">
        <v>1</v>
      </c>
      <c r="AT63" s="122">
        <v>9940.1914099999995</v>
      </c>
      <c r="AU63" s="122">
        <v>9940.1914099999995</v>
      </c>
      <c r="AV63" s="122"/>
      <c r="AW63" s="122"/>
      <c r="AX63" s="120"/>
      <c r="AY63" s="120"/>
      <c r="AZ63" s="123">
        <v>3.7910000000000001E-3</v>
      </c>
      <c r="BA63" s="123">
        <v>1.66E-4</v>
      </c>
    </row>
    <row r="64" spans="1:53" ht="15" customHeight="1">
      <c r="A64" s="121">
        <v>313</v>
      </c>
      <c r="B64" s="121">
        <v>313</v>
      </c>
      <c r="C64" s="121"/>
      <c r="D64" s="120"/>
      <c r="E64" s="120"/>
      <c r="F64" s="121">
        <v>74006155</v>
      </c>
      <c r="G64" s="120" t="s">
        <v>1013</v>
      </c>
      <c r="H64" s="120" t="s">
        <v>812</v>
      </c>
      <c r="I64" s="120" t="s">
        <v>203</v>
      </c>
      <c r="J64" s="120"/>
      <c r="K64" s="120" t="s">
        <v>454</v>
      </c>
      <c r="L64" s="120" t="s">
        <v>338</v>
      </c>
      <c r="M64" s="120" t="s">
        <v>338</v>
      </c>
      <c r="N64" s="121"/>
      <c r="O64" s="124">
        <v>44815</v>
      </c>
      <c r="P64" s="120" t="s">
        <v>1334</v>
      </c>
      <c r="Q64" s="120" t="s">
        <v>414</v>
      </c>
      <c r="R64" s="120" t="s">
        <v>407</v>
      </c>
      <c r="S64" s="120" t="s">
        <v>1217</v>
      </c>
      <c r="T64" s="122">
        <v>8.7100000000000009</v>
      </c>
      <c r="U64" s="120" t="s">
        <v>2560</v>
      </c>
      <c r="V64" s="123">
        <v>2.7184E-2</v>
      </c>
      <c r="W64" s="120"/>
      <c r="X64" s="120"/>
      <c r="Y64" s="123"/>
      <c r="Z64" s="123">
        <v>3.6299999999999999E-2</v>
      </c>
      <c r="AA64" s="124">
        <v>52504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45473</v>
      </c>
      <c r="AO64" s="120"/>
      <c r="AP64" s="123"/>
      <c r="AQ64" s="122">
        <v>934994.31</v>
      </c>
      <c r="AR64" s="122">
        <v>98.09</v>
      </c>
      <c r="AS64" s="122">
        <v>1</v>
      </c>
      <c r="AT64" s="122">
        <v>917.13592000000006</v>
      </c>
      <c r="AU64" s="122">
        <v>917.13592000000006</v>
      </c>
      <c r="AV64" s="122"/>
      <c r="AW64" s="122"/>
      <c r="AX64" s="120"/>
      <c r="AY64" s="120"/>
      <c r="AZ64" s="123">
        <v>3.4900000000000003E-4</v>
      </c>
      <c r="BA64" s="123">
        <v>1.5E-5</v>
      </c>
    </row>
    <row r="65" spans="1:53" ht="15" customHeight="1">
      <c r="A65" s="121">
        <v>313</v>
      </c>
      <c r="B65" s="121">
        <v>313</v>
      </c>
      <c r="C65" s="121"/>
      <c r="D65" s="120"/>
      <c r="E65" s="120"/>
      <c r="F65" s="121">
        <v>73005003</v>
      </c>
      <c r="G65" s="120" t="s">
        <v>1013</v>
      </c>
      <c r="H65" s="120" t="s">
        <v>818</v>
      </c>
      <c r="I65" s="120" t="s">
        <v>203</v>
      </c>
      <c r="J65" s="120"/>
      <c r="K65" s="120" t="s">
        <v>442</v>
      </c>
      <c r="L65" s="120" t="s">
        <v>338</v>
      </c>
      <c r="M65" s="120" t="s">
        <v>337</v>
      </c>
      <c r="N65" s="121"/>
      <c r="O65" s="124">
        <v>44767</v>
      </c>
      <c r="P65" s="120" t="s">
        <v>409</v>
      </c>
      <c r="Q65" s="120" t="s">
        <v>409</v>
      </c>
      <c r="R65" s="120" t="s">
        <v>409</v>
      </c>
      <c r="S65" s="120" t="s">
        <v>1217</v>
      </c>
      <c r="T65" s="122">
        <v>6.25</v>
      </c>
      <c r="U65" s="120" t="s">
        <v>2560</v>
      </c>
      <c r="V65" s="123">
        <v>0</v>
      </c>
      <c r="W65" s="120"/>
      <c r="X65" s="120"/>
      <c r="Y65" s="123"/>
      <c r="Z65" s="123">
        <v>1.1000000000000001E-3</v>
      </c>
      <c r="AA65" s="124">
        <v>47756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45473</v>
      </c>
      <c r="AO65" s="120"/>
      <c r="AP65" s="123"/>
      <c r="AQ65" s="122">
        <v>12629777.789999999</v>
      </c>
      <c r="AR65" s="122">
        <v>106.37</v>
      </c>
      <c r="AS65" s="122">
        <v>1</v>
      </c>
      <c r="AT65" s="122">
        <v>13434.29464</v>
      </c>
      <c r="AU65" s="122">
        <v>13434.29464</v>
      </c>
      <c r="AV65" s="122"/>
      <c r="AW65" s="122"/>
      <c r="AX65" s="120"/>
      <c r="AY65" s="120"/>
      <c r="AZ65" s="123">
        <v>5.1229999999999999E-3</v>
      </c>
      <c r="BA65" s="123">
        <v>2.2499999999999999E-4</v>
      </c>
    </row>
    <row r="66" spans="1:53" ht="15" customHeight="1">
      <c r="A66" s="121">
        <v>313</v>
      </c>
      <c r="B66" s="121">
        <v>313</v>
      </c>
      <c r="C66" s="121"/>
      <c r="D66" s="120"/>
      <c r="E66" s="120"/>
      <c r="F66" s="121">
        <v>74001501</v>
      </c>
      <c r="G66" s="120" t="s">
        <v>1013</v>
      </c>
      <c r="H66" s="120" t="s">
        <v>785</v>
      </c>
      <c r="I66" s="120" t="s">
        <v>203</v>
      </c>
      <c r="J66" s="120"/>
      <c r="K66" s="120" t="s">
        <v>463</v>
      </c>
      <c r="L66" s="120" t="s">
        <v>338</v>
      </c>
      <c r="M66" s="120" t="s">
        <v>338</v>
      </c>
      <c r="N66" s="121"/>
      <c r="O66" s="124">
        <v>44129</v>
      </c>
      <c r="P66" s="120" t="s">
        <v>2564</v>
      </c>
      <c r="Q66" s="120" t="s">
        <v>311</v>
      </c>
      <c r="R66" s="120" t="s">
        <v>407</v>
      </c>
      <c r="S66" s="120" t="s">
        <v>1217</v>
      </c>
      <c r="T66" s="122">
        <v>4.33</v>
      </c>
      <c r="U66" s="120" t="s">
        <v>2560</v>
      </c>
      <c r="V66" s="123">
        <v>2.8899999999999999E-2</v>
      </c>
      <c r="W66" s="120"/>
      <c r="X66" s="120"/>
      <c r="Y66" s="123"/>
      <c r="Z66" s="123">
        <v>6.5100000000000005E-2</v>
      </c>
      <c r="AA66" s="124">
        <v>47416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45473</v>
      </c>
      <c r="AO66" s="120"/>
      <c r="AP66" s="123"/>
      <c r="AQ66" s="122">
        <v>28014000</v>
      </c>
      <c r="AR66" s="122">
        <v>86.03</v>
      </c>
      <c r="AS66" s="122">
        <v>1</v>
      </c>
      <c r="AT66" s="122">
        <v>24100.444200000002</v>
      </c>
      <c r="AU66" s="122">
        <v>24100.444200000002</v>
      </c>
      <c r="AV66" s="122"/>
      <c r="AW66" s="122"/>
      <c r="AX66" s="120"/>
      <c r="AY66" s="120"/>
      <c r="AZ66" s="123">
        <v>9.1909999999999995E-3</v>
      </c>
      <c r="BA66" s="123">
        <v>4.0400000000000001E-4</v>
      </c>
    </row>
    <row r="67" spans="1:53" ht="15" customHeight="1">
      <c r="A67" s="121">
        <v>313</v>
      </c>
      <c r="B67" s="121">
        <v>313</v>
      </c>
      <c r="C67" s="121"/>
      <c r="D67" s="120"/>
      <c r="E67" s="120"/>
      <c r="F67" s="121">
        <v>74001502</v>
      </c>
      <c r="G67" s="120" t="s">
        <v>1013</v>
      </c>
      <c r="H67" s="120" t="s">
        <v>785</v>
      </c>
      <c r="I67" s="120" t="s">
        <v>203</v>
      </c>
      <c r="J67" s="120"/>
      <c r="K67" s="120" t="s">
        <v>463</v>
      </c>
      <c r="L67" s="120" t="s">
        <v>338</v>
      </c>
      <c r="M67" s="120" t="s">
        <v>338</v>
      </c>
      <c r="N67" s="121"/>
      <c r="O67" s="124">
        <v>44515</v>
      </c>
      <c r="P67" s="120" t="s">
        <v>2564</v>
      </c>
      <c r="Q67" s="120" t="s">
        <v>311</v>
      </c>
      <c r="R67" s="120" t="s">
        <v>407</v>
      </c>
      <c r="S67" s="120" t="s">
        <v>1217</v>
      </c>
      <c r="T67" s="122">
        <v>4.33</v>
      </c>
      <c r="U67" s="120" t="s">
        <v>2560</v>
      </c>
      <c r="V67" s="123">
        <v>2.8899999999999999E-2</v>
      </c>
      <c r="W67" s="120"/>
      <c r="X67" s="120"/>
      <c r="Y67" s="123"/>
      <c r="Z67" s="123">
        <v>6.5100000000000005E-2</v>
      </c>
      <c r="AA67" s="124">
        <v>47416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45473</v>
      </c>
      <c r="AO67" s="120"/>
      <c r="AP67" s="123"/>
      <c r="AQ67" s="122">
        <v>1006249.99</v>
      </c>
      <c r="AR67" s="122">
        <v>86.03</v>
      </c>
      <c r="AS67" s="122">
        <v>1</v>
      </c>
      <c r="AT67" s="122">
        <v>865.67687000000001</v>
      </c>
      <c r="AU67" s="122">
        <v>865.67687000000001</v>
      </c>
      <c r="AV67" s="122"/>
      <c r="AW67" s="122"/>
      <c r="AX67" s="120"/>
      <c r="AY67" s="120"/>
      <c r="AZ67" s="123">
        <v>3.3E-4</v>
      </c>
      <c r="BA67" s="123">
        <v>1.4E-5</v>
      </c>
    </row>
    <row r="68" spans="1:53" ht="15" customHeight="1">
      <c r="A68" s="121">
        <v>313</v>
      </c>
      <c r="B68" s="121">
        <v>313</v>
      </c>
      <c r="C68" s="121"/>
      <c r="D68" s="120"/>
      <c r="E68" s="120"/>
      <c r="F68" s="121">
        <v>7400401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338</v>
      </c>
      <c r="N68" s="121"/>
      <c r="O68" s="124">
        <v>44369</v>
      </c>
      <c r="P68" s="120" t="s">
        <v>1334</v>
      </c>
      <c r="Q68" s="120" t="s">
        <v>414</v>
      </c>
      <c r="R68" s="120" t="s">
        <v>407</v>
      </c>
      <c r="S68" s="120" t="s">
        <v>1217</v>
      </c>
      <c r="T68" s="122">
        <v>8.43</v>
      </c>
      <c r="U68" s="120" t="s">
        <v>2560</v>
      </c>
      <c r="V68" s="123">
        <v>1.6E-2</v>
      </c>
      <c r="W68" s="120"/>
      <c r="X68" s="120"/>
      <c r="Y68" s="123"/>
      <c r="Z68" s="123">
        <v>4.1399999999999999E-2</v>
      </c>
      <c r="AA68" s="124">
        <v>52596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45473</v>
      </c>
      <c r="AO68" s="120"/>
      <c r="AP68" s="123"/>
      <c r="AQ68" s="122">
        <v>3389926.27</v>
      </c>
      <c r="AR68" s="122">
        <v>90.12</v>
      </c>
      <c r="AS68" s="122">
        <v>1</v>
      </c>
      <c r="AT68" s="122">
        <v>3055.00155</v>
      </c>
      <c r="AU68" s="122">
        <v>3055.00155</v>
      </c>
      <c r="AV68" s="122"/>
      <c r="AW68" s="122"/>
      <c r="AX68" s="120"/>
      <c r="AY68" s="120"/>
      <c r="AZ68" s="123">
        <v>1.165E-3</v>
      </c>
      <c r="BA68" s="123">
        <v>5.1E-5</v>
      </c>
    </row>
    <row r="69" spans="1:53" ht="15" customHeight="1">
      <c r="A69" s="121">
        <v>313</v>
      </c>
      <c r="B69" s="121">
        <v>313</v>
      </c>
      <c r="C69" s="121"/>
      <c r="D69" s="120"/>
      <c r="E69" s="120"/>
      <c r="F69" s="121">
        <v>7400402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338</v>
      </c>
      <c r="N69" s="121"/>
      <c r="O69" s="124">
        <v>44439</v>
      </c>
      <c r="P69" s="120" t="s">
        <v>1334</v>
      </c>
      <c r="Q69" s="120" t="s">
        <v>414</v>
      </c>
      <c r="R69" s="120" t="s">
        <v>407</v>
      </c>
      <c r="S69" s="120" t="s">
        <v>1217</v>
      </c>
      <c r="T69" s="122">
        <v>8.4</v>
      </c>
      <c r="U69" s="120" t="s">
        <v>2560</v>
      </c>
      <c r="V69" s="123">
        <v>1.6E-2</v>
      </c>
      <c r="W69" s="120"/>
      <c r="X69" s="120"/>
      <c r="Y69" s="123"/>
      <c r="Z69" s="123">
        <v>4.1700000000000001E-2</v>
      </c>
      <c r="AA69" s="124">
        <v>52596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45473</v>
      </c>
      <c r="AO69" s="120"/>
      <c r="AP69" s="123"/>
      <c r="AQ69" s="122">
        <v>4846096.46</v>
      </c>
      <c r="AR69" s="122">
        <v>89.5</v>
      </c>
      <c r="AS69" s="122">
        <v>1</v>
      </c>
      <c r="AT69" s="122">
        <v>4337.2563300000002</v>
      </c>
      <c r="AU69" s="122">
        <v>4337.2563300000002</v>
      </c>
      <c r="AV69" s="122"/>
      <c r="AW69" s="122"/>
      <c r="AX69" s="120"/>
      <c r="AY69" s="120"/>
      <c r="AZ69" s="123">
        <v>1.6540000000000001E-3</v>
      </c>
      <c r="BA69" s="123">
        <v>7.2000000000000002E-5</v>
      </c>
    </row>
    <row r="70" spans="1:53" ht="15" customHeight="1">
      <c r="A70" s="121">
        <v>313</v>
      </c>
      <c r="B70" s="121">
        <v>313</v>
      </c>
      <c r="C70" s="121"/>
      <c r="D70" s="120"/>
      <c r="E70" s="120"/>
      <c r="F70" s="121">
        <v>7400403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44453</v>
      </c>
      <c r="P70" s="120" t="s">
        <v>1334</v>
      </c>
      <c r="Q70" s="120" t="s">
        <v>414</v>
      </c>
      <c r="R70" s="120" t="s">
        <v>407</v>
      </c>
      <c r="S70" s="120" t="s">
        <v>1217</v>
      </c>
      <c r="T70" s="122">
        <v>8.4</v>
      </c>
      <c r="U70" s="120" t="s">
        <v>2560</v>
      </c>
      <c r="V70" s="123">
        <v>1.6E-2</v>
      </c>
      <c r="W70" s="120"/>
      <c r="X70" s="120"/>
      <c r="Y70" s="123"/>
      <c r="Z70" s="123">
        <v>4.1799999999999997E-2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45473</v>
      </c>
      <c r="AO70" s="120"/>
      <c r="AP70" s="123"/>
      <c r="AQ70" s="122">
        <v>5728842.1100000003</v>
      </c>
      <c r="AR70" s="122">
        <v>89.49</v>
      </c>
      <c r="AS70" s="122">
        <v>1</v>
      </c>
      <c r="AT70" s="122">
        <v>5126.7407999999996</v>
      </c>
      <c r="AU70" s="122">
        <v>5126.7407999999996</v>
      </c>
      <c r="AV70" s="122"/>
      <c r="AW70" s="122"/>
      <c r="AX70" s="120"/>
      <c r="AY70" s="120"/>
      <c r="AZ70" s="123">
        <v>1.9550000000000001E-3</v>
      </c>
      <c r="BA70" s="123">
        <v>8.6000000000000003E-5</v>
      </c>
    </row>
    <row r="71" spans="1:53" ht="15" customHeight="1">
      <c r="A71" s="121">
        <v>313</v>
      </c>
      <c r="B71" s="121">
        <v>313</v>
      </c>
      <c r="C71" s="121"/>
      <c r="D71" s="120"/>
      <c r="E71" s="120"/>
      <c r="F71" s="121">
        <v>7400404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338</v>
      </c>
      <c r="N71" s="121"/>
      <c r="O71" s="124">
        <v>44453</v>
      </c>
      <c r="P71" s="120" t="s">
        <v>1334</v>
      </c>
      <c r="Q71" s="120" t="s">
        <v>414</v>
      </c>
      <c r="R71" s="120" t="s">
        <v>407</v>
      </c>
      <c r="S71" s="120" t="s">
        <v>1217</v>
      </c>
      <c r="T71" s="122">
        <v>8.41</v>
      </c>
      <c r="U71" s="120" t="s">
        <v>2560</v>
      </c>
      <c r="V71" s="123">
        <v>1.6E-2</v>
      </c>
      <c r="W71" s="120"/>
      <c r="X71" s="120"/>
      <c r="Y71" s="123"/>
      <c r="Z71" s="123">
        <v>4.1799999999999997E-2</v>
      </c>
      <c r="AA71" s="124">
        <v>52596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45473</v>
      </c>
      <c r="AO71" s="120"/>
      <c r="AP71" s="123"/>
      <c r="AQ71" s="122">
        <v>2096460.96</v>
      </c>
      <c r="AR71" s="122">
        <v>89.42</v>
      </c>
      <c r="AS71" s="122">
        <v>1</v>
      </c>
      <c r="AT71" s="122">
        <v>1874.6553899999999</v>
      </c>
      <c r="AU71" s="122">
        <v>1874.6553899999999</v>
      </c>
      <c r="AV71" s="122"/>
      <c r="AW71" s="122"/>
      <c r="AX71" s="120"/>
      <c r="AY71" s="120"/>
      <c r="AZ71" s="123">
        <v>7.1400000000000001E-4</v>
      </c>
      <c r="BA71" s="123">
        <v>3.1000000000000001E-5</v>
      </c>
    </row>
    <row r="72" spans="1:53" ht="15" customHeight="1">
      <c r="A72" s="121">
        <v>313</v>
      </c>
      <c r="B72" s="121">
        <v>313</v>
      </c>
      <c r="C72" s="121"/>
      <c r="D72" s="120"/>
      <c r="E72" s="120"/>
      <c r="F72" s="121">
        <v>7400405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44536</v>
      </c>
      <c r="P72" s="120" t="s">
        <v>1334</v>
      </c>
      <c r="Q72" s="120" t="s">
        <v>414</v>
      </c>
      <c r="R72" s="120" t="s">
        <v>407</v>
      </c>
      <c r="S72" s="120" t="s">
        <v>1217</v>
      </c>
      <c r="T72" s="122">
        <v>8.34</v>
      </c>
      <c r="U72" s="120" t="s">
        <v>2560</v>
      </c>
      <c r="V72" s="123">
        <v>1.6E-2</v>
      </c>
      <c r="W72" s="120"/>
      <c r="X72" s="120"/>
      <c r="Y72" s="123"/>
      <c r="Z72" s="123">
        <v>4.3999999999999997E-2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45473</v>
      </c>
      <c r="AO72" s="120"/>
      <c r="AP72" s="123"/>
      <c r="AQ72" s="122">
        <v>4346008.41</v>
      </c>
      <c r="AR72" s="122">
        <v>87.37</v>
      </c>
      <c r="AS72" s="122">
        <v>1</v>
      </c>
      <c r="AT72" s="122">
        <v>3797.1075500000002</v>
      </c>
      <c r="AU72" s="122">
        <v>3797.1075500000002</v>
      </c>
      <c r="AV72" s="122"/>
      <c r="AW72" s="122"/>
      <c r="AX72" s="120"/>
      <c r="AY72" s="120"/>
      <c r="AZ72" s="123">
        <v>1.4480000000000001E-3</v>
      </c>
      <c r="BA72" s="123">
        <v>6.3E-5</v>
      </c>
    </row>
    <row r="73" spans="1:53" ht="15" customHeight="1">
      <c r="A73" s="121">
        <v>313</v>
      </c>
      <c r="B73" s="121">
        <v>313</v>
      </c>
      <c r="C73" s="121"/>
      <c r="D73" s="120"/>
      <c r="E73" s="120"/>
      <c r="F73" s="121">
        <v>7400406</v>
      </c>
      <c r="G73" s="120" t="s">
        <v>1013</v>
      </c>
      <c r="H73" s="120" t="s">
        <v>812</v>
      </c>
      <c r="I73" s="120" t="s">
        <v>203</v>
      </c>
      <c r="J73" s="120"/>
      <c r="K73" s="120" t="s">
        <v>454</v>
      </c>
      <c r="L73" s="120" t="s">
        <v>338</v>
      </c>
      <c r="M73" s="120" t="s">
        <v>338</v>
      </c>
      <c r="N73" s="121"/>
      <c r="O73" s="124">
        <v>44439</v>
      </c>
      <c r="P73" s="120" t="s">
        <v>1334</v>
      </c>
      <c r="Q73" s="120" t="s">
        <v>414</v>
      </c>
      <c r="R73" s="120" t="s">
        <v>407</v>
      </c>
      <c r="S73" s="120" t="s">
        <v>1217</v>
      </c>
      <c r="T73" s="122">
        <v>8.42</v>
      </c>
      <c r="U73" s="120" t="s">
        <v>2560</v>
      </c>
      <c r="V73" s="123">
        <v>1.6E-2</v>
      </c>
      <c r="W73" s="120"/>
      <c r="X73" s="120"/>
      <c r="Y73" s="123"/>
      <c r="Z73" s="123">
        <v>4.1799999999999997E-2</v>
      </c>
      <c r="AA73" s="124">
        <v>52596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45473</v>
      </c>
      <c r="AO73" s="120"/>
      <c r="AP73" s="123"/>
      <c r="AQ73" s="122">
        <v>9861186.4199999999</v>
      </c>
      <c r="AR73" s="122">
        <v>89.38</v>
      </c>
      <c r="AS73" s="122">
        <v>1</v>
      </c>
      <c r="AT73" s="122">
        <v>8813.9284200000002</v>
      </c>
      <c r="AU73" s="122">
        <v>8813.9284200000002</v>
      </c>
      <c r="AV73" s="122"/>
      <c r="AW73" s="122"/>
      <c r="AX73" s="120"/>
      <c r="AY73" s="120"/>
      <c r="AZ73" s="123">
        <v>3.3609999999999998E-3</v>
      </c>
      <c r="BA73" s="123">
        <v>1.47E-4</v>
      </c>
    </row>
    <row r="74" spans="1:53" ht="15" customHeight="1">
      <c r="A74" s="121">
        <v>313</v>
      </c>
      <c r="B74" s="121">
        <v>313</v>
      </c>
      <c r="C74" s="121"/>
      <c r="D74" s="120"/>
      <c r="E74" s="120"/>
      <c r="F74" s="121">
        <v>71000209</v>
      </c>
      <c r="G74" s="120" t="s">
        <v>1013</v>
      </c>
      <c r="H74" s="120" t="s">
        <v>812</v>
      </c>
      <c r="I74" s="120" t="s">
        <v>203</v>
      </c>
      <c r="J74" s="120"/>
      <c r="K74" s="120" t="s">
        <v>454</v>
      </c>
      <c r="L74" s="120" t="s">
        <v>338</v>
      </c>
      <c r="M74" s="120" t="s">
        <v>337</v>
      </c>
      <c r="N74" s="121"/>
      <c r="O74" s="124">
        <v>44858</v>
      </c>
      <c r="P74" s="120" t="s">
        <v>1340</v>
      </c>
      <c r="Q74" s="120" t="s">
        <v>414</v>
      </c>
      <c r="R74" s="120" t="s">
        <v>407</v>
      </c>
      <c r="S74" s="120" t="s">
        <v>1217</v>
      </c>
      <c r="T74" s="122">
        <v>5.17</v>
      </c>
      <c r="U74" s="120" t="s">
        <v>2560</v>
      </c>
      <c r="V74" s="123">
        <v>3.49E-2</v>
      </c>
      <c r="W74" s="120"/>
      <c r="X74" s="120"/>
      <c r="Y74" s="123"/>
      <c r="Z74" s="123">
        <v>4.36E-2</v>
      </c>
      <c r="AA74" s="124">
        <v>48667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45473</v>
      </c>
      <c r="AO74" s="120"/>
      <c r="AP74" s="123"/>
      <c r="AQ74" s="122">
        <v>883963.45</v>
      </c>
      <c r="AR74" s="122">
        <v>102.6</v>
      </c>
      <c r="AS74" s="122">
        <v>1</v>
      </c>
      <c r="AT74" s="122">
        <v>906.94650000000001</v>
      </c>
      <c r="AU74" s="122">
        <v>906.94650000000001</v>
      </c>
      <c r="AV74" s="122"/>
      <c r="AW74" s="122"/>
      <c r="AX74" s="120"/>
      <c r="AY74" s="120"/>
      <c r="AZ74" s="123">
        <v>3.4499999999999998E-4</v>
      </c>
      <c r="BA74" s="123">
        <v>1.5E-5</v>
      </c>
    </row>
    <row r="75" spans="1:53" ht="15" customHeight="1">
      <c r="A75" s="121">
        <v>313</v>
      </c>
      <c r="B75" s="121">
        <v>313</v>
      </c>
      <c r="C75" s="121"/>
      <c r="D75" s="120"/>
      <c r="E75" s="120"/>
      <c r="F75" s="121">
        <v>71000208</v>
      </c>
      <c r="G75" s="120" t="s">
        <v>1013</v>
      </c>
      <c r="H75" s="120" t="s">
        <v>812</v>
      </c>
      <c r="I75" s="120" t="s">
        <v>203</v>
      </c>
      <c r="J75" s="120"/>
      <c r="K75" s="120" t="s">
        <v>454</v>
      </c>
      <c r="L75" s="120" t="s">
        <v>338</v>
      </c>
      <c r="M75" s="120" t="s">
        <v>337</v>
      </c>
      <c r="N75" s="121"/>
      <c r="O75" s="124">
        <v>44858</v>
      </c>
      <c r="P75" s="120" t="s">
        <v>1340</v>
      </c>
      <c r="Q75" s="120" t="s">
        <v>414</v>
      </c>
      <c r="R75" s="120" t="s">
        <v>407</v>
      </c>
      <c r="S75" s="120" t="s">
        <v>1217</v>
      </c>
      <c r="T75" s="122">
        <v>5.26</v>
      </c>
      <c r="U75" s="120" t="s">
        <v>2560</v>
      </c>
      <c r="V75" s="123">
        <v>3.49E-2</v>
      </c>
      <c r="W75" s="120"/>
      <c r="X75" s="120"/>
      <c r="Y75" s="123"/>
      <c r="Z75" s="123">
        <v>4.3499999999999997E-2</v>
      </c>
      <c r="AA75" s="124">
        <v>48667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45473</v>
      </c>
      <c r="AO75" s="120"/>
      <c r="AP75" s="123"/>
      <c r="AQ75" s="122">
        <v>799790.21</v>
      </c>
      <c r="AR75" s="122">
        <v>102.55</v>
      </c>
      <c r="AS75" s="122">
        <v>1</v>
      </c>
      <c r="AT75" s="122">
        <v>820.18485999999996</v>
      </c>
      <c r="AU75" s="122">
        <v>820.18485999999996</v>
      </c>
      <c r="AV75" s="122"/>
      <c r="AW75" s="122"/>
      <c r="AX75" s="120"/>
      <c r="AY75" s="120"/>
      <c r="AZ75" s="123">
        <v>3.1199999999999999E-4</v>
      </c>
      <c r="BA75" s="123">
        <v>1.2999999999999999E-5</v>
      </c>
    </row>
    <row r="76" spans="1:53" ht="15" customHeight="1">
      <c r="A76" s="121">
        <v>313</v>
      </c>
      <c r="B76" s="121">
        <v>313</v>
      </c>
      <c r="C76" s="121"/>
      <c r="D76" s="120"/>
      <c r="E76" s="120"/>
      <c r="F76" s="121">
        <v>71000207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337</v>
      </c>
      <c r="N76" s="121"/>
      <c r="O76" s="124">
        <v>44858</v>
      </c>
      <c r="P76" s="120" t="s">
        <v>1340</v>
      </c>
      <c r="Q76" s="120" t="s">
        <v>414</v>
      </c>
      <c r="R76" s="120" t="s">
        <v>407</v>
      </c>
      <c r="S76" s="120" t="s">
        <v>1217</v>
      </c>
      <c r="T76" s="122">
        <v>5.08</v>
      </c>
      <c r="U76" s="120" t="s">
        <v>2560</v>
      </c>
      <c r="V76" s="123">
        <v>3.49E-2</v>
      </c>
      <c r="W76" s="120"/>
      <c r="X76" s="120"/>
      <c r="Y76" s="123"/>
      <c r="Z76" s="123">
        <v>4.36E-2</v>
      </c>
      <c r="AA76" s="124">
        <v>48667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45473</v>
      </c>
      <c r="AO76" s="120"/>
      <c r="AP76" s="123"/>
      <c r="AQ76" s="122">
        <v>1347882.68</v>
      </c>
      <c r="AR76" s="122">
        <v>102.67</v>
      </c>
      <c r="AS76" s="122">
        <v>1</v>
      </c>
      <c r="AT76" s="122">
        <v>1383.8711499999999</v>
      </c>
      <c r="AU76" s="122">
        <v>1383.8711499999999</v>
      </c>
      <c r="AV76" s="122"/>
      <c r="AW76" s="122"/>
      <c r="AX76" s="120"/>
      <c r="AY76" s="120"/>
      <c r="AZ76" s="123">
        <v>5.2700000000000002E-4</v>
      </c>
      <c r="BA76" s="123">
        <v>2.3E-5</v>
      </c>
    </row>
    <row r="77" spans="1:53" ht="15" customHeight="1">
      <c r="A77" s="121">
        <v>313</v>
      </c>
      <c r="B77" s="121">
        <v>313</v>
      </c>
      <c r="C77" s="121"/>
      <c r="D77" s="120"/>
      <c r="E77" s="120"/>
      <c r="F77" s="121">
        <v>71000206</v>
      </c>
      <c r="G77" s="120" t="s">
        <v>1013</v>
      </c>
      <c r="H77" s="120" t="s">
        <v>812</v>
      </c>
      <c r="I77" s="120" t="s">
        <v>203</v>
      </c>
      <c r="J77" s="120"/>
      <c r="K77" s="120" t="s">
        <v>454</v>
      </c>
      <c r="L77" s="120" t="s">
        <v>338</v>
      </c>
      <c r="M77" s="120" t="s">
        <v>337</v>
      </c>
      <c r="N77" s="121"/>
      <c r="O77" s="124">
        <v>44858</v>
      </c>
      <c r="P77" s="120" t="s">
        <v>1340</v>
      </c>
      <c r="Q77" s="120" t="s">
        <v>414</v>
      </c>
      <c r="R77" s="120" t="s">
        <v>407</v>
      </c>
      <c r="S77" s="120" t="s">
        <v>1217</v>
      </c>
      <c r="T77" s="122">
        <v>5.2</v>
      </c>
      <c r="U77" s="120" t="s">
        <v>2560</v>
      </c>
      <c r="V77" s="123">
        <v>3.49E-2</v>
      </c>
      <c r="W77" s="120"/>
      <c r="X77" s="120"/>
      <c r="Y77" s="123"/>
      <c r="Z77" s="123">
        <v>4.36E-2</v>
      </c>
      <c r="AA77" s="124">
        <v>48844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45473</v>
      </c>
      <c r="AO77" s="120"/>
      <c r="AP77" s="123"/>
      <c r="AQ77" s="122">
        <v>1064340.8500000001</v>
      </c>
      <c r="AR77" s="122">
        <v>102.57</v>
      </c>
      <c r="AS77" s="122">
        <v>1</v>
      </c>
      <c r="AT77" s="122">
        <v>1091.6944100000001</v>
      </c>
      <c r="AU77" s="122">
        <v>1091.6944100000001</v>
      </c>
      <c r="AV77" s="122"/>
      <c r="AW77" s="122"/>
      <c r="AX77" s="120"/>
      <c r="AY77" s="120"/>
      <c r="AZ77" s="123">
        <v>4.1599999999999997E-4</v>
      </c>
      <c r="BA77" s="123">
        <v>1.8E-5</v>
      </c>
    </row>
    <row r="78" spans="1:53" ht="15" customHeight="1">
      <c r="A78" s="121">
        <v>313</v>
      </c>
      <c r="B78" s="121">
        <v>313</v>
      </c>
      <c r="C78" s="121"/>
      <c r="D78" s="120"/>
      <c r="E78" s="120"/>
      <c r="F78" s="121">
        <v>7005014</v>
      </c>
      <c r="G78" s="120" t="s">
        <v>1013</v>
      </c>
      <c r="H78" s="120" t="s">
        <v>812</v>
      </c>
      <c r="I78" s="120" t="s">
        <v>203</v>
      </c>
      <c r="J78" s="120"/>
      <c r="K78" s="120" t="s">
        <v>446</v>
      </c>
      <c r="L78" s="120" t="s">
        <v>338</v>
      </c>
      <c r="M78" s="120" t="s">
        <v>337</v>
      </c>
      <c r="N78" s="121"/>
      <c r="O78" s="124">
        <v>45224</v>
      </c>
      <c r="P78" s="120" t="s">
        <v>1315</v>
      </c>
      <c r="Q78" s="120" t="s">
        <v>414</v>
      </c>
      <c r="R78" s="120" t="s">
        <v>407</v>
      </c>
      <c r="S78" s="120" t="s">
        <v>1216</v>
      </c>
      <c r="T78" s="122">
        <v>2.96</v>
      </c>
      <c r="U78" s="120" t="s">
        <v>2560</v>
      </c>
      <c r="V78" s="123">
        <v>6.0083999999999999E-2</v>
      </c>
      <c r="W78" s="120"/>
      <c r="X78" s="120"/>
      <c r="Y78" s="123"/>
      <c r="Z78" s="123">
        <v>5.8500000000000003E-2</v>
      </c>
      <c r="AA78" s="124">
        <v>46655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45473</v>
      </c>
      <c r="AO78" s="120"/>
      <c r="AP78" s="123"/>
      <c r="AQ78" s="122">
        <v>1041844</v>
      </c>
      <c r="AR78" s="122">
        <v>101.17</v>
      </c>
      <c r="AS78" s="122">
        <v>4.0202</v>
      </c>
      <c r="AT78" s="122">
        <v>4237.4257799999996</v>
      </c>
      <c r="AU78" s="122">
        <v>1054.0335700000001</v>
      </c>
      <c r="AV78" s="122"/>
      <c r="AW78" s="122"/>
      <c r="AX78" s="120"/>
      <c r="AY78" s="120"/>
      <c r="AZ78" s="123">
        <v>1.616E-3</v>
      </c>
      <c r="BA78" s="123">
        <v>7.1000000000000005E-5</v>
      </c>
    </row>
    <row r="79" spans="1:53" ht="15" customHeight="1">
      <c r="A79" s="121">
        <v>313</v>
      </c>
      <c r="B79" s="121">
        <v>313</v>
      </c>
      <c r="C79" s="121"/>
      <c r="D79" s="120"/>
      <c r="E79" s="120"/>
      <c r="F79" s="121">
        <v>7005015</v>
      </c>
      <c r="G79" s="120" t="s">
        <v>1013</v>
      </c>
      <c r="H79" s="120" t="s">
        <v>812</v>
      </c>
      <c r="I79" s="120" t="s">
        <v>203</v>
      </c>
      <c r="J79" s="120"/>
      <c r="K79" s="120" t="s">
        <v>446</v>
      </c>
      <c r="L79" s="120" t="s">
        <v>338</v>
      </c>
      <c r="M79" s="120" t="s">
        <v>337</v>
      </c>
      <c r="N79" s="121"/>
      <c r="O79" s="124">
        <v>45259</v>
      </c>
      <c r="P79" s="120" t="s">
        <v>1315</v>
      </c>
      <c r="Q79" s="120" t="s">
        <v>414</v>
      </c>
      <c r="R79" s="120" t="s">
        <v>407</v>
      </c>
      <c r="S79" s="120" t="s">
        <v>1216</v>
      </c>
      <c r="T79" s="122">
        <v>2.95</v>
      </c>
      <c r="U79" s="120" t="s">
        <v>2560</v>
      </c>
      <c r="V79" s="123">
        <v>5.9523E-2</v>
      </c>
      <c r="W79" s="120"/>
      <c r="X79" s="120"/>
      <c r="Y79" s="123"/>
      <c r="Z79" s="123">
        <v>6.7500000000000004E-2</v>
      </c>
      <c r="AA79" s="124">
        <v>46655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45473</v>
      </c>
      <c r="AO79" s="120"/>
      <c r="AP79" s="123"/>
      <c r="AQ79" s="122">
        <v>1259040</v>
      </c>
      <c r="AR79" s="122">
        <v>98.69</v>
      </c>
      <c r="AS79" s="122">
        <v>4.0202</v>
      </c>
      <c r="AT79" s="122">
        <v>4995.2857400000003</v>
      </c>
      <c r="AU79" s="122">
        <v>1242.5465799999999</v>
      </c>
      <c r="AV79" s="122"/>
      <c r="AW79" s="122"/>
      <c r="AX79" s="120"/>
      <c r="AY79" s="120"/>
      <c r="AZ79" s="123">
        <v>1.905E-3</v>
      </c>
      <c r="BA79" s="123">
        <v>8.2999999999999998E-5</v>
      </c>
    </row>
    <row r="80" spans="1:53" ht="15" customHeight="1">
      <c r="A80" s="121">
        <v>313</v>
      </c>
      <c r="B80" s="121">
        <v>313</v>
      </c>
      <c r="C80" s="121"/>
      <c r="D80" s="120"/>
      <c r="E80" s="120"/>
      <c r="F80" s="121">
        <v>7005016</v>
      </c>
      <c r="G80" s="120" t="s">
        <v>1013</v>
      </c>
      <c r="H80" s="120" t="s">
        <v>812</v>
      </c>
      <c r="I80" s="120" t="s">
        <v>203</v>
      </c>
      <c r="J80" s="120"/>
      <c r="K80" s="120" t="s">
        <v>446</v>
      </c>
      <c r="L80" s="120" t="s">
        <v>338</v>
      </c>
      <c r="M80" s="120" t="s">
        <v>337</v>
      </c>
      <c r="N80" s="121"/>
      <c r="O80" s="124">
        <v>45348</v>
      </c>
      <c r="P80" s="120" t="s">
        <v>1315</v>
      </c>
      <c r="Q80" s="120" t="s">
        <v>414</v>
      </c>
      <c r="R80" s="120" t="s">
        <v>407</v>
      </c>
      <c r="S80" s="120" t="s">
        <v>1216</v>
      </c>
      <c r="T80" s="122">
        <v>2.96</v>
      </c>
      <c r="U80" s="120" t="s">
        <v>824</v>
      </c>
      <c r="V80" s="123">
        <v>5.9636000000000002E-2</v>
      </c>
      <c r="W80" s="120"/>
      <c r="X80" s="120"/>
      <c r="Y80" s="123"/>
      <c r="Z80" s="123">
        <v>6.3600000000000004E-2</v>
      </c>
      <c r="AA80" s="124">
        <v>46655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45473</v>
      </c>
      <c r="AO80" s="120"/>
      <c r="AP80" s="123"/>
      <c r="AQ80" s="122">
        <v>838164</v>
      </c>
      <c r="AR80" s="122">
        <v>99.59</v>
      </c>
      <c r="AS80" s="122">
        <v>4.0202</v>
      </c>
      <c r="AT80" s="122">
        <v>3355.7716099999998</v>
      </c>
      <c r="AU80" s="122">
        <v>834.72753</v>
      </c>
      <c r="AV80" s="122"/>
      <c r="AW80" s="122"/>
      <c r="AX80" s="120"/>
      <c r="AY80" s="120"/>
      <c r="AZ80" s="123">
        <v>1.279E-3</v>
      </c>
      <c r="BA80" s="123">
        <v>5.5999999999999999E-5</v>
      </c>
    </row>
    <row r="81" spans="1:53" ht="15" customHeight="1">
      <c r="A81" s="121">
        <v>313</v>
      </c>
      <c r="B81" s="121">
        <v>313</v>
      </c>
      <c r="C81" s="121"/>
      <c r="D81" s="120"/>
      <c r="E81" s="120"/>
      <c r="F81" s="121">
        <v>7005017</v>
      </c>
      <c r="G81" s="120" t="s">
        <v>1013</v>
      </c>
      <c r="H81" s="120" t="s">
        <v>812</v>
      </c>
      <c r="I81" s="120" t="s">
        <v>203</v>
      </c>
      <c r="J81" s="120"/>
      <c r="K81" s="120" t="s">
        <v>446</v>
      </c>
      <c r="L81" s="120" t="s">
        <v>338</v>
      </c>
      <c r="M81" s="120" t="s">
        <v>337</v>
      </c>
      <c r="N81" s="121"/>
      <c r="O81" s="124">
        <v>45376</v>
      </c>
      <c r="P81" s="120" t="s">
        <v>1315</v>
      </c>
      <c r="Q81" s="120" t="s">
        <v>414</v>
      </c>
      <c r="R81" s="120" t="s">
        <v>407</v>
      </c>
      <c r="S81" s="120" t="s">
        <v>1216</v>
      </c>
      <c r="T81" s="122">
        <v>3.13</v>
      </c>
      <c r="U81" s="120" t="s">
        <v>824</v>
      </c>
      <c r="V81" s="123">
        <v>2.1000000000000001E-2</v>
      </c>
      <c r="W81" s="120"/>
      <c r="X81" s="120"/>
      <c r="Y81" s="123"/>
      <c r="Z81" s="123">
        <v>2.75E-2</v>
      </c>
      <c r="AA81" s="124">
        <v>46655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45473</v>
      </c>
      <c r="AO81" s="120"/>
      <c r="AP81" s="123"/>
      <c r="AQ81" s="122">
        <v>641953</v>
      </c>
      <c r="AR81" s="122">
        <v>98.19</v>
      </c>
      <c r="AS81" s="122">
        <v>4.0202</v>
      </c>
      <c r="AT81" s="122">
        <v>2534.0673400000001</v>
      </c>
      <c r="AU81" s="122">
        <v>630.33365000000003</v>
      </c>
      <c r="AV81" s="122"/>
      <c r="AW81" s="122"/>
      <c r="AX81" s="120"/>
      <c r="AY81" s="120"/>
      <c r="AZ81" s="123">
        <v>9.6599999999999995E-4</v>
      </c>
      <c r="BA81" s="123">
        <v>4.1999999999999998E-5</v>
      </c>
    </row>
    <row r="82" spans="1:53" ht="15" customHeight="1">
      <c r="A82" s="121">
        <v>313</v>
      </c>
      <c r="B82" s="121">
        <v>313</v>
      </c>
      <c r="C82" s="121"/>
      <c r="D82" s="120"/>
      <c r="E82" s="120"/>
      <c r="F82" s="121">
        <v>7400407</v>
      </c>
      <c r="G82" s="120" t="s">
        <v>1013</v>
      </c>
      <c r="H82" s="120" t="s">
        <v>812</v>
      </c>
      <c r="I82" s="120" t="s">
        <v>203</v>
      </c>
      <c r="J82" s="120"/>
      <c r="K82" s="120" t="s">
        <v>454</v>
      </c>
      <c r="L82" s="120" t="s">
        <v>338</v>
      </c>
      <c r="M82" s="120" t="s">
        <v>338</v>
      </c>
      <c r="N82" s="121"/>
      <c r="O82" s="124">
        <v>44439</v>
      </c>
      <c r="P82" s="120" t="s">
        <v>1334</v>
      </c>
      <c r="Q82" s="120" t="s">
        <v>414</v>
      </c>
      <c r="R82" s="120" t="s">
        <v>407</v>
      </c>
      <c r="S82" s="120" t="s">
        <v>1217</v>
      </c>
      <c r="T82" s="122">
        <v>8.39</v>
      </c>
      <c r="U82" s="120" t="s">
        <v>2560</v>
      </c>
      <c r="V82" s="123">
        <v>1.6E-2</v>
      </c>
      <c r="W82" s="120"/>
      <c r="X82" s="120"/>
      <c r="Y82" s="123"/>
      <c r="Z82" s="123">
        <v>4.19E-2</v>
      </c>
      <c r="AA82" s="124">
        <v>52596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45473</v>
      </c>
      <c r="AO82" s="120"/>
      <c r="AP82" s="123"/>
      <c r="AQ82" s="122">
        <v>1528377.59</v>
      </c>
      <c r="AR82" s="122">
        <v>89.43</v>
      </c>
      <c r="AS82" s="122">
        <v>1</v>
      </c>
      <c r="AT82" s="122">
        <v>1366.82808</v>
      </c>
      <c r="AU82" s="122">
        <v>1366.82808</v>
      </c>
      <c r="AV82" s="122"/>
      <c r="AW82" s="122"/>
      <c r="AX82" s="120"/>
      <c r="AY82" s="120"/>
      <c r="AZ82" s="123">
        <v>5.2099999999999998E-4</v>
      </c>
      <c r="BA82" s="123">
        <v>2.1999999999999999E-5</v>
      </c>
    </row>
    <row r="83" spans="1:53" ht="15" customHeight="1">
      <c r="A83" s="121">
        <v>313</v>
      </c>
      <c r="B83" s="121">
        <v>313</v>
      </c>
      <c r="C83" s="121"/>
      <c r="D83" s="120"/>
      <c r="E83" s="120"/>
      <c r="F83" s="121">
        <v>7005018</v>
      </c>
      <c r="G83" s="120" t="s">
        <v>1013</v>
      </c>
      <c r="H83" s="120" t="s">
        <v>812</v>
      </c>
      <c r="I83" s="120" t="s">
        <v>203</v>
      </c>
      <c r="J83" s="120"/>
      <c r="K83" s="120" t="s">
        <v>446</v>
      </c>
      <c r="L83" s="120" t="s">
        <v>338</v>
      </c>
      <c r="M83" s="120" t="s">
        <v>337</v>
      </c>
      <c r="N83" s="121"/>
      <c r="O83" s="124">
        <v>45376</v>
      </c>
      <c r="P83" s="120" t="s">
        <v>1315</v>
      </c>
      <c r="Q83" s="120" t="s">
        <v>414</v>
      </c>
      <c r="R83" s="120" t="s">
        <v>407</v>
      </c>
      <c r="S83" s="120" t="s">
        <v>1216</v>
      </c>
      <c r="T83" s="122">
        <v>0.24</v>
      </c>
      <c r="U83" s="120" t="s">
        <v>824</v>
      </c>
      <c r="V83" s="123">
        <v>2.1000000000000001E-2</v>
      </c>
      <c r="W83" s="120"/>
      <c r="X83" s="120"/>
      <c r="Y83" s="123"/>
      <c r="Z83" s="123">
        <v>2.2700000000000001E-2</v>
      </c>
      <c r="AA83" s="124">
        <v>45560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45473</v>
      </c>
      <c r="AO83" s="120"/>
      <c r="AP83" s="123"/>
      <c r="AQ83" s="122">
        <v>1722176.2</v>
      </c>
      <c r="AR83" s="122">
        <v>100</v>
      </c>
      <c r="AS83" s="122">
        <v>4.0202</v>
      </c>
      <c r="AT83" s="122">
        <v>6923.4927600000001</v>
      </c>
      <c r="AU83" s="122">
        <v>1722.1762000000001</v>
      </c>
      <c r="AV83" s="122"/>
      <c r="AW83" s="122"/>
      <c r="AX83" s="120"/>
      <c r="AY83" s="120"/>
      <c r="AZ83" s="123">
        <v>2.64E-3</v>
      </c>
      <c r="BA83" s="123">
        <v>1.16E-4</v>
      </c>
    </row>
    <row r="84" spans="1:53" ht="15" customHeight="1">
      <c r="A84" s="121">
        <v>313</v>
      </c>
      <c r="B84" s="121">
        <v>313</v>
      </c>
      <c r="C84" s="121"/>
      <c r="D84" s="120"/>
      <c r="E84" s="120"/>
      <c r="F84" s="121">
        <v>7005020</v>
      </c>
      <c r="G84" s="120" t="s">
        <v>1013</v>
      </c>
      <c r="H84" s="120" t="s">
        <v>812</v>
      </c>
      <c r="I84" s="120" t="s">
        <v>203</v>
      </c>
      <c r="J84" s="120"/>
      <c r="K84" s="120" t="s">
        <v>446</v>
      </c>
      <c r="L84" s="120" t="s">
        <v>338</v>
      </c>
      <c r="M84" s="120" t="s">
        <v>337</v>
      </c>
      <c r="N84" s="121"/>
      <c r="O84" s="124">
        <v>45468</v>
      </c>
      <c r="P84" s="120" t="s">
        <v>1315</v>
      </c>
      <c r="Q84" s="120" t="s">
        <v>414</v>
      </c>
      <c r="R84" s="120" t="s">
        <v>407</v>
      </c>
      <c r="S84" s="120" t="s">
        <v>1216</v>
      </c>
      <c r="T84" s="122">
        <v>2.97</v>
      </c>
      <c r="U84" s="120" t="s">
        <v>824</v>
      </c>
      <c r="V84" s="123">
        <v>5.7860000000000002E-2</v>
      </c>
      <c r="W84" s="120"/>
      <c r="X84" s="120"/>
      <c r="Y84" s="123"/>
      <c r="Z84" s="123">
        <v>6.0199999999999997E-2</v>
      </c>
      <c r="AA84" s="124">
        <v>46655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45473</v>
      </c>
      <c r="AO84" s="120"/>
      <c r="AP84" s="123"/>
      <c r="AQ84" s="122">
        <v>913522</v>
      </c>
      <c r="AR84" s="122">
        <v>99.78</v>
      </c>
      <c r="AS84" s="122">
        <v>4.0202</v>
      </c>
      <c r="AT84" s="122">
        <v>3664.46155</v>
      </c>
      <c r="AU84" s="122">
        <v>911.51224999999999</v>
      </c>
      <c r="AV84" s="122"/>
      <c r="AW84" s="122"/>
      <c r="AX84" s="120"/>
      <c r="AY84" s="120"/>
      <c r="AZ84" s="123">
        <v>1.397E-3</v>
      </c>
      <c r="BA84" s="123">
        <v>6.0999999999999999E-5</v>
      </c>
    </row>
    <row r="85" spans="1:53" ht="15" customHeight="1">
      <c r="A85" s="121">
        <v>313</v>
      </c>
      <c r="B85" s="121">
        <v>313</v>
      </c>
      <c r="C85" s="121"/>
      <c r="D85" s="120"/>
      <c r="E85" s="120"/>
      <c r="F85" s="121">
        <v>70065001</v>
      </c>
      <c r="G85" s="120" t="s">
        <v>1013</v>
      </c>
      <c r="H85" s="120" t="s">
        <v>818</v>
      </c>
      <c r="I85" s="120" t="s">
        <v>203</v>
      </c>
      <c r="J85" s="120"/>
      <c r="K85" s="120" t="s">
        <v>442</v>
      </c>
      <c r="L85" s="120" t="s">
        <v>338</v>
      </c>
      <c r="M85" s="120" t="s">
        <v>338</v>
      </c>
      <c r="N85" s="121"/>
      <c r="O85" s="124">
        <v>44651</v>
      </c>
      <c r="P85" s="120" t="s">
        <v>2565</v>
      </c>
      <c r="Q85" s="120" t="s">
        <v>412</v>
      </c>
      <c r="R85" s="120" t="s">
        <v>407</v>
      </c>
      <c r="S85" s="120" t="s">
        <v>1217</v>
      </c>
      <c r="T85" s="122">
        <v>0.6</v>
      </c>
      <c r="U85" s="120" t="s">
        <v>2560</v>
      </c>
      <c r="V85" s="123">
        <v>4.9000000000000002E-2</v>
      </c>
      <c r="W85" s="120"/>
      <c r="X85" s="120"/>
      <c r="Y85" s="123"/>
      <c r="Z85" s="123">
        <v>0.24260000000000001</v>
      </c>
      <c r="AA85" s="124">
        <v>46388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45473</v>
      </c>
      <c r="AO85" s="120"/>
      <c r="AP85" s="123"/>
      <c r="AQ85" s="122">
        <v>2760000</v>
      </c>
      <c r="AR85" s="122">
        <v>92.47</v>
      </c>
      <c r="AS85" s="122">
        <v>1</v>
      </c>
      <c r="AT85" s="122">
        <v>2552.172</v>
      </c>
      <c r="AU85" s="122">
        <v>2552.172</v>
      </c>
      <c r="AV85" s="122"/>
      <c r="AW85" s="122"/>
      <c r="AX85" s="120"/>
      <c r="AY85" s="120"/>
      <c r="AZ85" s="123">
        <v>9.7300000000000002E-4</v>
      </c>
      <c r="BA85" s="123">
        <v>4.1999999999999998E-5</v>
      </c>
    </row>
    <row r="86" spans="1:53" ht="15" customHeight="1">
      <c r="A86" s="121">
        <v>313</v>
      </c>
      <c r="B86" s="121">
        <v>313</v>
      </c>
      <c r="C86" s="121"/>
      <c r="D86" s="120"/>
      <c r="E86" s="120"/>
      <c r="F86" s="121">
        <v>70065006</v>
      </c>
      <c r="G86" s="120" t="s">
        <v>1013</v>
      </c>
      <c r="H86" s="120" t="s">
        <v>818</v>
      </c>
      <c r="I86" s="120" t="s">
        <v>203</v>
      </c>
      <c r="J86" s="120"/>
      <c r="K86" s="120" t="s">
        <v>442</v>
      </c>
      <c r="L86" s="120" t="s">
        <v>338</v>
      </c>
      <c r="M86" s="120" t="s">
        <v>338</v>
      </c>
      <c r="N86" s="121"/>
      <c r="O86" s="124">
        <v>45380</v>
      </c>
      <c r="P86" s="120" t="s">
        <v>2566</v>
      </c>
      <c r="Q86" s="120" t="s">
        <v>412</v>
      </c>
      <c r="R86" s="120" t="s">
        <v>407</v>
      </c>
      <c r="S86" s="120" t="s">
        <v>1217</v>
      </c>
      <c r="T86" s="122">
        <v>1.51</v>
      </c>
      <c r="U86" s="120" t="s">
        <v>824</v>
      </c>
      <c r="V86" s="123">
        <v>8.09E-2</v>
      </c>
      <c r="W86" s="120"/>
      <c r="X86" s="120"/>
      <c r="Y86" s="123"/>
      <c r="Z86" s="123">
        <v>8.5099999999999995E-2</v>
      </c>
      <c r="AA86" s="124">
        <v>46112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45473</v>
      </c>
      <c r="AO86" s="120"/>
      <c r="AP86" s="123"/>
      <c r="AQ86" s="122">
        <v>26910000</v>
      </c>
      <c r="AR86" s="122">
        <v>99.75</v>
      </c>
      <c r="AS86" s="122">
        <v>1</v>
      </c>
      <c r="AT86" s="122">
        <v>26842.724999999999</v>
      </c>
      <c r="AU86" s="122">
        <v>26842.724999999999</v>
      </c>
      <c r="AV86" s="122"/>
      <c r="AW86" s="122"/>
      <c r="AX86" s="120"/>
      <c r="AY86" s="120"/>
      <c r="AZ86" s="123">
        <v>1.0237E-2</v>
      </c>
      <c r="BA86" s="123">
        <v>4.4999999999999999E-4</v>
      </c>
    </row>
    <row r="87" spans="1:53" ht="15" customHeight="1">
      <c r="A87" s="121">
        <v>313</v>
      </c>
      <c r="B87" s="121">
        <v>313</v>
      </c>
      <c r="C87" s="121"/>
      <c r="D87" s="120"/>
      <c r="E87" s="120"/>
      <c r="F87" s="121">
        <v>71000205</v>
      </c>
      <c r="G87" s="120" t="s">
        <v>1013</v>
      </c>
      <c r="H87" s="120" t="s">
        <v>812</v>
      </c>
      <c r="I87" s="120" t="s">
        <v>203</v>
      </c>
      <c r="J87" s="120"/>
      <c r="K87" s="120" t="s">
        <v>454</v>
      </c>
      <c r="L87" s="120" t="s">
        <v>338</v>
      </c>
      <c r="M87" s="120" t="s">
        <v>337</v>
      </c>
      <c r="N87" s="121"/>
      <c r="O87" s="124">
        <v>44858</v>
      </c>
      <c r="P87" s="120" t="s">
        <v>1340</v>
      </c>
      <c r="Q87" s="120" t="s">
        <v>414</v>
      </c>
      <c r="R87" s="120" t="s">
        <v>407</v>
      </c>
      <c r="S87" s="120" t="s">
        <v>1217</v>
      </c>
      <c r="T87" s="122">
        <v>5.05</v>
      </c>
      <c r="U87" s="120" t="s">
        <v>2560</v>
      </c>
      <c r="V87" s="123">
        <v>3.49E-2</v>
      </c>
      <c r="W87" s="120"/>
      <c r="X87" s="120"/>
      <c r="Y87" s="123"/>
      <c r="Z87" s="123">
        <v>4.36E-2</v>
      </c>
      <c r="AA87" s="124">
        <v>48667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45473</v>
      </c>
      <c r="AO87" s="120"/>
      <c r="AP87" s="123"/>
      <c r="AQ87" s="122">
        <v>1104190.93</v>
      </c>
      <c r="AR87" s="122">
        <v>102.67</v>
      </c>
      <c r="AS87" s="122">
        <v>1</v>
      </c>
      <c r="AT87" s="122">
        <v>1133.67283</v>
      </c>
      <c r="AU87" s="122">
        <v>1133.67283</v>
      </c>
      <c r="AV87" s="122"/>
      <c r="AW87" s="122"/>
      <c r="AX87" s="120"/>
      <c r="AY87" s="120"/>
      <c r="AZ87" s="123">
        <v>4.3199999999999998E-4</v>
      </c>
      <c r="BA87" s="123">
        <v>1.9000000000000001E-5</v>
      </c>
    </row>
    <row r="88" spans="1:53" ht="15" customHeight="1">
      <c r="A88" s="121">
        <v>313</v>
      </c>
      <c r="B88" s="121">
        <v>313</v>
      </c>
      <c r="C88" s="121"/>
      <c r="D88" s="120"/>
      <c r="E88" s="120"/>
      <c r="F88" s="121">
        <v>7005019</v>
      </c>
      <c r="G88" s="120" t="s">
        <v>1013</v>
      </c>
      <c r="H88" s="120" t="s">
        <v>812</v>
      </c>
      <c r="I88" s="120" t="s">
        <v>203</v>
      </c>
      <c r="J88" s="120"/>
      <c r="K88" s="120" t="s">
        <v>446</v>
      </c>
      <c r="L88" s="120" t="s">
        <v>338</v>
      </c>
      <c r="M88" s="120" t="s">
        <v>337</v>
      </c>
      <c r="N88" s="121"/>
      <c r="O88" s="124">
        <v>45434</v>
      </c>
      <c r="P88" s="120" t="s">
        <v>1315</v>
      </c>
      <c r="Q88" s="120" t="s">
        <v>414</v>
      </c>
      <c r="R88" s="120" t="s">
        <v>407</v>
      </c>
      <c r="S88" s="120" t="s">
        <v>1216</v>
      </c>
      <c r="T88" s="122">
        <v>2.96</v>
      </c>
      <c r="U88" s="120" t="s">
        <v>824</v>
      </c>
      <c r="V88" s="123">
        <v>5.9076999999999998E-2</v>
      </c>
      <c r="W88" s="120"/>
      <c r="X88" s="120"/>
      <c r="Y88" s="123"/>
      <c r="Z88" s="123">
        <v>6.59E-2</v>
      </c>
      <c r="AA88" s="124">
        <v>46655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45473</v>
      </c>
      <c r="AO88" s="120"/>
      <c r="AP88" s="123"/>
      <c r="AQ88" s="122">
        <v>960478</v>
      </c>
      <c r="AR88" s="122">
        <v>98.81</v>
      </c>
      <c r="AS88" s="122">
        <v>4.0202</v>
      </c>
      <c r="AT88" s="122">
        <v>3815.36402</v>
      </c>
      <c r="AU88" s="122">
        <v>949.04831000000001</v>
      </c>
      <c r="AV88" s="122"/>
      <c r="AW88" s="122"/>
      <c r="AX88" s="120"/>
      <c r="AY88" s="120"/>
      <c r="AZ88" s="123">
        <v>1.4549999999999999E-3</v>
      </c>
      <c r="BA88" s="123">
        <v>6.3999999999999997E-5</v>
      </c>
    </row>
    <row r="89" spans="1:53" ht="15" customHeight="1">
      <c r="A89" s="121">
        <v>313</v>
      </c>
      <c r="B89" s="121">
        <v>313</v>
      </c>
      <c r="C89" s="121"/>
      <c r="D89" s="120"/>
      <c r="E89" s="120"/>
      <c r="F89" s="121">
        <v>7400408</v>
      </c>
      <c r="G89" s="120" t="s">
        <v>1013</v>
      </c>
      <c r="H89" s="120" t="s">
        <v>812</v>
      </c>
      <c r="I89" s="120" t="s">
        <v>203</v>
      </c>
      <c r="J89" s="120"/>
      <c r="K89" s="120" t="s">
        <v>454</v>
      </c>
      <c r="L89" s="120" t="s">
        <v>338</v>
      </c>
      <c r="M89" s="120" t="s">
        <v>338</v>
      </c>
      <c r="N89" s="121"/>
      <c r="O89" s="124">
        <v>44439</v>
      </c>
      <c r="P89" s="120" t="s">
        <v>1334</v>
      </c>
      <c r="Q89" s="120" t="s">
        <v>414</v>
      </c>
      <c r="R89" s="120" t="s">
        <v>407</v>
      </c>
      <c r="S89" s="120" t="s">
        <v>1217</v>
      </c>
      <c r="T89" s="122">
        <v>8.44</v>
      </c>
      <c r="U89" s="120" t="s">
        <v>2560</v>
      </c>
      <c r="V89" s="123">
        <v>1.6E-2</v>
      </c>
      <c r="W89" s="120"/>
      <c r="X89" s="120"/>
      <c r="Y89" s="123"/>
      <c r="Z89" s="123">
        <v>4.19E-2</v>
      </c>
      <c r="AA89" s="124">
        <v>52596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45473</v>
      </c>
      <c r="AO89" s="120"/>
      <c r="AP89" s="123"/>
      <c r="AQ89" s="122">
        <v>1975967.78</v>
      </c>
      <c r="AR89" s="122">
        <v>89.25</v>
      </c>
      <c r="AS89" s="122">
        <v>1</v>
      </c>
      <c r="AT89" s="122">
        <v>1763.55124</v>
      </c>
      <c r="AU89" s="122">
        <v>1763.55124</v>
      </c>
      <c r="AV89" s="122"/>
      <c r="AW89" s="122"/>
      <c r="AX89" s="120"/>
      <c r="AY89" s="120"/>
      <c r="AZ89" s="123">
        <v>6.7199999999999996E-4</v>
      </c>
      <c r="BA89" s="123">
        <v>2.9E-5</v>
      </c>
    </row>
    <row r="90" spans="1:53" ht="15" customHeight="1">
      <c r="A90" s="121">
        <v>313</v>
      </c>
      <c r="B90" s="121">
        <v>313</v>
      </c>
      <c r="C90" s="121"/>
      <c r="D90" s="120"/>
      <c r="E90" s="120"/>
      <c r="F90" s="121">
        <v>7400409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338</v>
      </c>
      <c r="N90" s="121"/>
      <c r="O90" s="124">
        <v>44439</v>
      </c>
      <c r="P90" s="120" t="s">
        <v>1334</v>
      </c>
      <c r="Q90" s="120" t="s">
        <v>414</v>
      </c>
      <c r="R90" s="120" t="s">
        <v>407</v>
      </c>
      <c r="S90" s="120" t="s">
        <v>1217</v>
      </c>
      <c r="T90" s="122">
        <v>8.3800000000000008</v>
      </c>
      <c r="U90" s="120" t="s">
        <v>2560</v>
      </c>
      <c r="V90" s="123">
        <v>1.6E-2</v>
      </c>
      <c r="W90" s="120"/>
      <c r="X90" s="120"/>
      <c r="Y90" s="123"/>
      <c r="Z90" s="123">
        <v>4.19E-2</v>
      </c>
      <c r="AA90" s="124">
        <v>52596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45473</v>
      </c>
      <c r="AO90" s="120"/>
      <c r="AP90" s="123"/>
      <c r="AQ90" s="122">
        <v>2733959.7</v>
      </c>
      <c r="AR90" s="122">
        <v>89.47</v>
      </c>
      <c r="AS90" s="122">
        <v>1</v>
      </c>
      <c r="AT90" s="122">
        <v>2446.0737399999998</v>
      </c>
      <c r="AU90" s="122">
        <v>2446.0737399999998</v>
      </c>
      <c r="AV90" s="122"/>
      <c r="AW90" s="122"/>
      <c r="AX90" s="120"/>
      <c r="AY90" s="120"/>
      <c r="AZ90" s="123">
        <v>9.3199999999999999E-4</v>
      </c>
      <c r="BA90" s="123">
        <v>4.1E-5</v>
      </c>
    </row>
    <row r="91" spans="1:53" ht="15" customHeight="1">
      <c r="A91" s="121">
        <v>313</v>
      </c>
      <c r="B91" s="121">
        <v>313</v>
      </c>
      <c r="C91" s="121"/>
      <c r="D91" s="120"/>
      <c r="E91" s="120"/>
      <c r="F91" s="121">
        <v>7400410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338</v>
      </c>
      <c r="N91" s="121"/>
      <c r="O91" s="124">
        <v>44536</v>
      </c>
      <c r="P91" s="120" t="s">
        <v>1334</v>
      </c>
      <c r="Q91" s="120" t="s">
        <v>414</v>
      </c>
      <c r="R91" s="120" t="s">
        <v>407</v>
      </c>
      <c r="S91" s="120" t="s">
        <v>1217</v>
      </c>
      <c r="T91" s="122">
        <v>8.35</v>
      </c>
      <c r="U91" s="120" t="s">
        <v>2560</v>
      </c>
      <c r="V91" s="123">
        <v>1.6E-2</v>
      </c>
      <c r="W91" s="120"/>
      <c r="X91" s="120"/>
      <c r="Y91" s="123"/>
      <c r="Z91" s="123">
        <v>4.3999999999999997E-2</v>
      </c>
      <c r="AA91" s="124">
        <v>52596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45473</v>
      </c>
      <c r="AO91" s="120"/>
      <c r="AP91" s="123"/>
      <c r="AQ91" s="122">
        <v>3962789.63</v>
      </c>
      <c r="AR91" s="122">
        <v>87.29</v>
      </c>
      <c r="AS91" s="122">
        <v>1</v>
      </c>
      <c r="AT91" s="122">
        <v>3459.1190700000002</v>
      </c>
      <c r="AU91" s="122">
        <v>3459.1190700000002</v>
      </c>
      <c r="AV91" s="122"/>
      <c r="AW91" s="122"/>
      <c r="AX91" s="120"/>
      <c r="AY91" s="120"/>
      <c r="AZ91" s="123">
        <v>1.3190000000000001E-3</v>
      </c>
      <c r="BA91" s="123">
        <v>5.8E-5</v>
      </c>
    </row>
    <row r="92" spans="1:53" ht="15" customHeight="1">
      <c r="A92" s="121">
        <v>313</v>
      </c>
      <c r="B92" s="121">
        <v>313</v>
      </c>
      <c r="C92" s="121"/>
      <c r="D92" s="120"/>
      <c r="E92" s="120"/>
      <c r="F92" s="121">
        <v>74006137</v>
      </c>
      <c r="G92" s="120" t="s">
        <v>1013</v>
      </c>
      <c r="H92" s="120" t="s">
        <v>812</v>
      </c>
      <c r="I92" s="120" t="s">
        <v>203</v>
      </c>
      <c r="J92" s="120"/>
      <c r="K92" s="120" t="s">
        <v>454</v>
      </c>
      <c r="L92" s="120" t="s">
        <v>338</v>
      </c>
      <c r="M92" s="120" t="s">
        <v>337</v>
      </c>
      <c r="N92" s="121"/>
      <c r="O92" s="124">
        <v>44189</v>
      </c>
      <c r="P92" s="120" t="s">
        <v>1315</v>
      </c>
      <c r="Q92" s="120" t="s">
        <v>414</v>
      </c>
      <c r="R92" s="120" t="s">
        <v>407</v>
      </c>
      <c r="S92" s="120" t="s">
        <v>1217</v>
      </c>
      <c r="T92" s="122">
        <v>8.35</v>
      </c>
      <c r="U92" s="120" t="s">
        <v>2560</v>
      </c>
      <c r="V92" s="123">
        <v>2.47E-2</v>
      </c>
      <c r="W92" s="120"/>
      <c r="X92" s="120"/>
      <c r="Y92" s="123"/>
      <c r="Z92" s="123">
        <v>4.4699999999999997E-2</v>
      </c>
      <c r="AA92" s="124">
        <v>52135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45473</v>
      </c>
      <c r="AO92" s="120"/>
      <c r="AP92" s="123"/>
      <c r="AQ92" s="122">
        <v>2392605.33</v>
      </c>
      <c r="AR92" s="122">
        <v>93.82</v>
      </c>
      <c r="AS92" s="122">
        <v>1</v>
      </c>
      <c r="AT92" s="122">
        <v>2244.7423199999998</v>
      </c>
      <c r="AU92" s="122">
        <v>2244.7423199999998</v>
      </c>
      <c r="AV92" s="122"/>
      <c r="AW92" s="122"/>
      <c r="AX92" s="120"/>
      <c r="AY92" s="120"/>
      <c r="AZ92" s="123">
        <v>8.5599999999999999E-4</v>
      </c>
      <c r="BA92" s="123">
        <v>3.6999999999999998E-5</v>
      </c>
    </row>
    <row r="93" spans="1:53" ht="15" customHeight="1">
      <c r="A93" s="121">
        <v>313</v>
      </c>
      <c r="B93" s="121">
        <v>313</v>
      </c>
      <c r="C93" s="121"/>
      <c r="D93" s="120"/>
      <c r="E93" s="120"/>
      <c r="F93" s="121">
        <v>74006143</v>
      </c>
      <c r="G93" s="120" t="s">
        <v>1013</v>
      </c>
      <c r="H93" s="120" t="s">
        <v>812</v>
      </c>
      <c r="I93" s="120" t="s">
        <v>203</v>
      </c>
      <c r="J93" s="120"/>
      <c r="K93" s="120" t="s">
        <v>454</v>
      </c>
      <c r="L93" s="120" t="s">
        <v>338</v>
      </c>
      <c r="M93" s="120" t="s">
        <v>338</v>
      </c>
      <c r="N93" s="121"/>
      <c r="O93" s="124">
        <v>44215</v>
      </c>
      <c r="P93" s="120" t="s">
        <v>1334</v>
      </c>
      <c r="Q93" s="120" t="s">
        <v>414</v>
      </c>
      <c r="R93" s="120" t="s">
        <v>407</v>
      </c>
      <c r="S93" s="120" t="s">
        <v>1217</v>
      </c>
      <c r="T93" s="122">
        <v>7.23</v>
      </c>
      <c r="U93" s="120" t="s">
        <v>2560</v>
      </c>
      <c r="V93" s="123">
        <v>2.35E-2</v>
      </c>
      <c r="W93" s="120"/>
      <c r="X93" s="120"/>
      <c r="Y93" s="123"/>
      <c r="Z93" s="123">
        <v>4.2200000000000001E-2</v>
      </c>
      <c r="AA93" s="124">
        <v>51591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45473</v>
      </c>
      <c r="AO93" s="120"/>
      <c r="AP93" s="123"/>
      <c r="AQ93" s="122">
        <v>1902908.07</v>
      </c>
      <c r="AR93" s="122">
        <v>99.46</v>
      </c>
      <c r="AS93" s="122">
        <v>1</v>
      </c>
      <c r="AT93" s="122">
        <v>1892.63237</v>
      </c>
      <c r="AU93" s="122">
        <v>1892.63237</v>
      </c>
      <c r="AV93" s="122"/>
      <c r="AW93" s="122"/>
      <c r="AX93" s="120"/>
      <c r="AY93" s="120"/>
      <c r="AZ93" s="123">
        <v>7.2099999999999996E-4</v>
      </c>
      <c r="BA93" s="123">
        <v>3.1000000000000001E-5</v>
      </c>
    </row>
    <row r="94" spans="1:53" ht="15" customHeight="1">
      <c r="A94" s="121">
        <v>313</v>
      </c>
      <c r="B94" s="121">
        <v>313</v>
      </c>
      <c r="C94" s="121"/>
      <c r="D94" s="120"/>
      <c r="E94" s="120"/>
      <c r="F94" s="121">
        <v>74006144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337</v>
      </c>
      <c r="N94" s="121"/>
      <c r="O94" s="124">
        <v>44882</v>
      </c>
      <c r="P94" s="120" t="s">
        <v>1315</v>
      </c>
      <c r="Q94" s="120" t="s">
        <v>414</v>
      </c>
      <c r="R94" s="120" t="s">
        <v>407</v>
      </c>
      <c r="S94" s="120" t="s">
        <v>1217</v>
      </c>
      <c r="T94" s="122">
        <v>8.3800000000000008</v>
      </c>
      <c r="U94" s="120" t="s">
        <v>2560</v>
      </c>
      <c r="V94" s="123">
        <v>2.9100000000000001E-2</v>
      </c>
      <c r="W94" s="120"/>
      <c r="X94" s="120"/>
      <c r="Y94" s="123"/>
      <c r="Z94" s="123">
        <v>3.6900000000000002E-2</v>
      </c>
      <c r="AA94" s="124">
        <v>52315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45473</v>
      </c>
      <c r="AO94" s="120"/>
      <c r="AP94" s="123"/>
      <c r="AQ94" s="122">
        <v>2642722.7799999998</v>
      </c>
      <c r="AR94" s="122">
        <v>99.04</v>
      </c>
      <c r="AS94" s="122">
        <v>1</v>
      </c>
      <c r="AT94" s="122">
        <v>2617.3526400000001</v>
      </c>
      <c r="AU94" s="122">
        <v>2617.3526400000001</v>
      </c>
      <c r="AV94" s="122"/>
      <c r="AW94" s="122"/>
      <c r="AX94" s="120"/>
      <c r="AY94" s="120"/>
      <c r="AZ94" s="123">
        <v>9.9799999999999997E-4</v>
      </c>
      <c r="BA94" s="123">
        <v>4.3000000000000002E-5</v>
      </c>
    </row>
    <row r="95" spans="1:53" ht="15" customHeight="1">
      <c r="A95" s="121">
        <v>313</v>
      </c>
      <c r="B95" s="121">
        <v>313</v>
      </c>
      <c r="C95" s="121"/>
      <c r="D95" s="120"/>
      <c r="E95" s="120"/>
      <c r="F95" s="121">
        <v>74006145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337</v>
      </c>
      <c r="N95" s="121"/>
      <c r="O95" s="124">
        <v>44754</v>
      </c>
      <c r="P95" s="120" t="s">
        <v>1315</v>
      </c>
      <c r="Q95" s="120" t="s">
        <v>414</v>
      </c>
      <c r="R95" s="120" t="s">
        <v>407</v>
      </c>
      <c r="S95" s="120" t="s">
        <v>1217</v>
      </c>
      <c r="T95" s="122">
        <v>8.07</v>
      </c>
      <c r="U95" s="120" t="s">
        <v>2560</v>
      </c>
      <c r="V95" s="123">
        <v>2.53E-2</v>
      </c>
      <c r="W95" s="120"/>
      <c r="X95" s="120"/>
      <c r="Y95" s="123"/>
      <c r="Z95" s="123">
        <v>3.3300000000000003E-2</v>
      </c>
      <c r="AA95" s="124">
        <v>52315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45473</v>
      </c>
      <c r="AO95" s="120"/>
      <c r="AP95" s="123"/>
      <c r="AQ95" s="122">
        <v>23594431.050000001</v>
      </c>
      <c r="AR95" s="122">
        <v>97.89</v>
      </c>
      <c r="AS95" s="122">
        <v>1</v>
      </c>
      <c r="AT95" s="122">
        <v>23096.58855</v>
      </c>
      <c r="AU95" s="122">
        <v>23096.58855</v>
      </c>
      <c r="AV95" s="122"/>
      <c r="AW95" s="122"/>
      <c r="AX95" s="120"/>
      <c r="AY95" s="120"/>
      <c r="AZ95" s="123">
        <v>8.8079999999999999E-3</v>
      </c>
      <c r="BA95" s="123">
        <v>3.8699999999999997E-4</v>
      </c>
    </row>
    <row r="96" spans="1:53" ht="15" customHeight="1">
      <c r="A96" s="121">
        <v>313</v>
      </c>
      <c r="B96" s="121">
        <v>313</v>
      </c>
      <c r="C96" s="121"/>
      <c r="D96" s="120"/>
      <c r="E96" s="120"/>
      <c r="F96" s="121">
        <v>74006136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338</v>
      </c>
      <c r="N96" s="121"/>
      <c r="O96" s="124">
        <v>44398</v>
      </c>
      <c r="P96" s="120" t="s">
        <v>1334</v>
      </c>
      <c r="Q96" s="120" t="s">
        <v>414</v>
      </c>
      <c r="R96" s="120" t="s">
        <v>407</v>
      </c>
      <c r="S96" s="120" t="s">
        <v>1217</v>
      </c>
      <c r="T96" s="122">
        <v>7.95</v>
      </c>
      <c r="U96" s="120" t="s">
        <v>2560</v>
      </c>
      <c r="V96" s="123">
        <v>2.35E-2</v>
      </c>
      <c r="W96" s="120"/>
      <c r="X96" s="120"/>
      <c r="Y96" s="123"/>
      <c r="Z96" s="123">
        <v>4.41E-2</v>
      </c>
      <c r="AA96" s="124">
        <v>52290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45473</v>
      </c>
      <c r="AO96" s="120"/>
      <c r="AP96" s="123"/>
      <c r="AQ96" s="122">
        <v>2949991.24</v>
      </c>
      <c r="AR96" s="122">
        <v>95.1</v>
      </c>
      <c r="AS96" s="122">
        <v>1</v>
      </c>
      <c r="AT96" s="122">
        <v>2805.4416700000002</v>
      </c>
      <c r="AU96" s="122">
        <v>2805.4416700000002</v>
      </c>
      <c r="AV96" s="122"/>
      <c r="AW96" s="122"/>
      <c r="AX96" s="120"/>
      <c r="AY96" s="120"/>
      <c r="AZ96" s="123">
        <v>1.0690000000000001E-3</v>
      </c>
      <c r="BA96" s="123">
        <v>4.6999999999999997E-5</v>
      </c>
    </row>
    <row r="97" spans="1:53" ht="15" customHeight="1">
      <c r="A97" s="121">
        <v>313</v>
      </c>
      <c r="B97" s="121">
        <v>313</v>
      </c>
      <c r="C97" s="121"/>
      <c r="D97" s="120"/>
      <c r="E97" s="120"/>
      <c r="F97" s="121">
        <v>74006147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337</v>
      </c>
      <c r="N97" s="121"/>
      <c r="O97" s="124">
        <v>44322</v>
      </c>
      <c r="P97" s="120" t="s">
        <v>1315</v>
      </c>
      <c r="Q97" s="120" t="s">
        <v>414</v>
      </c>
      <c r="R97" s="120" t="s">
        <v>407</v>
      </c>
      <c r="S97" s="120" t="s">
        <v>1217</v>
      </c>
      <c r="T97" s="122">
        <v>8.31</v>
      </c>
      <c r="U97" s="120" t="s">
        <v>2560</v>
      </c>
      <c r="V97" s="123">
        <v>2.5614999999999999E-2</v>
      </c>
      <c r="W97" s="120"/>
      <c r="X97" s="120"/>
      <c r="Y97" s="123"/>
      <c r="Z97" s="123">
        <v>4.5400000000000003E-2</v>
      </c>
      <c r="AA97" s="124">
        <v>52135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45473</v>
      </c>
      <c r="AO97" s="120"/>
      <c r="AP97" s="123"/>
      <c r="AQ97" s="122">
        <v>11014093.140000001</v>
      </c>
      <c r="AR97" s="122">
        <v>93.41</v>
      </c>
      <c r="AS97" s="122">
        <v>1</v>
      </c>
      <c r="AT97" s="122">
        <v>10288.2644</v>
      </c>
      <c r="AU97" s="122">
        <v>10288.2644</v>
      </c>
      <c r="AV97" s="122"/>
      <c r="AW97" s="122"/>
      <c r="AX97" s="120"/>
      <c r="AY97" s="120"/>
      <c r="AZ97" s="123">
        <v>3.9230000000000003E-3</v>
      </c>
      <c r="BA97" s="123">
        <v>1.7200000000000001E-4</v>
      </c>
    </row>
    <row r="98" spans="1:53" ht="15" customHeight="1">
      <c r="A98" s="121">
        <v>313</v>
      </c>
      <c r="B98" s="121">
        <v>313</v>
      </c>
      <c r="C98" s="121"/>
      <c r="D98" s="120"/>
      <c r="E98" s="120"/>
      <c r="F98" s="121">
        <v>74006150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338</v>
      </c>
      <c r="N98" s="121"/>
      <c r="O98" s="124">
        <v>44516</v>
      </c>
      <c r="P98" s="120" t="s">
        <v>1334</v>
      </c>
      <c r="Q98" s="120" t="s">
        <v>414</v>
      </c>
      <c r="R98" s="120" t="s">
        <v>407</v>
      </c>
      <c r="S98" s="120" t="s">
        <v>1217</v>
      </c>
      <c r="T98" s="122">
        <v>7.92</v>
      </c>
      <c r="U98" s="120" t="s">
        <v>2560</v>
      </c>
      <c r="V98" s="123">
        <v>2.35E-2</v>
      </c>
      <c r="W98" s="120"/>
      <c r="X98" s="120"/>
      <c r="Y98" s="123"/>
      <c r="Z98" s="123">
        <v>4.3099999999999999E-2</v>
      </c>
      <c r="AA98" s="124">
        <v>52200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45473</v>
      </c>
      <c r="AO98" s="120"/>
      <c r="AP98" s="123"/>
      <c r="AQ98" s="122">
        <v>726067.67</v>
      </c>
      <c r="AR98" s="122">
        <v>94.97</v>
      </c>
      <c r="AS98" s="122">
        <v>1</v>
      </c>
      <c r="AT98" s="122">
        <v>689.54647</v>
      </c>
      <c r="AU98" s="122">
        <v>689.54647</v>
      </c>
      <c r="AV98" s="122"/>
      <c r="AW98" s="122"/>
      <c r="AX98" s="120"/>
      <c r="AY98" s="120"/>
      <c r="AZ98" s="123">
        <v>2.6200000000000003E-4</v>
      </c>
      <c r="BA98" s="123">
        <v>1.1E-5</v>
      </c>
    </row>
    <row r="99" spans="1:53" ht="15" customHeight="1">
      <c r="A99" s="121">
        <v>313</v>
      </c>
      <c r="B99" s="121">
        <v>313</v>
      </c>
      <c r="C99" s="121"/>
      <c r="D99" s="120"/>
      <c r="E99" s="120"/>
      <c r="F99" s="121">
        <v>74006151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338</v>
      </c>
      <c r="N99" s="121"/>
      <c r="O99" s="124">
        <v>44516</v>
      </c>
      <c r="P99" s="120" t="s">
        <v>1334</v>
      </c>
      <c r="Q99" s="120" t="s">
        <v>414</v>
      </c>
      <c r="R99" s="120" t="s">
        <v>407</v>
      </c>
      <c r="S99" s="120" t="s">
        <v>1217</v>
      </c>
      <c r="T99" s="122">
        <v>7.97</v>
      </c>
      <c r="U99" s="120" t="s">
        <v>2560</v>
      </c>
      <c r="V99" s="123">
        <v>2.35E-2</v>
      </c>
      <c r="W99" s="120"/>
      <c r="X99" s="120"/>
      <c r="Y99" s="123"/>
      <c r="Z99" s="123">
        <v>4.3400000000000001E-2</v>
      </c>
      <c r="AA99" s="124">
        <v>52290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45473</v>
      </c>
      <c r="AO99" s="120"/>
      <c r="AP99" s="123"/>
      <c r="AQ99" s="122">
        <v>2039106.23</v>
      </c>
      <c r="AR99" s="122">
        <v>94.64</v>
      </c>
      <c r="AS99" s="122">
        <v>1</v>
      </c>
      <c r="AT99" s="122">
        <v>1929.81014</v>
      </c>
      <c r="AU99" s="122">
        <v>1929.81014</v>
      </c>
      <c r="AV99" s="122"/>
      <c r="AW99" s="122"/>
      <c r="AX99" s="120"/>
      <c r="AY99" s="120"/>
      <c r="AZ99" s="123">
        <v>7.3499999999999998E-4</v>
      </c>
      <c r="BA99" s="123">
        <v>3.1999999999999999E-5</v>
      </c>
    </row>
    <row r="100" spans="1:53" ht="15" customHeight="1">
      <c r="A100" s="121">
        <v>313</v>
      </c>
      <c r="B100" s="121">
        <v>313</v>
      </c>
      <c r="C100" s="121"/>
      <c r="D100" s="120"/>
      <c r="E100" s="120"/>
      <c r="F100" s="121">
        <v>74006152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44815</v>
      </c>
      <c r="P100" s="120" t="s">
        <v>1334</v>
      </c>
      <c r="Q100" s="120" t="s">
        <v>414</v>
      </c>
      <c r="R100" s="120" t="s">
        <v>407</v>
      </c>
      <c r="S100" s="120" t="s">
        <v>1217</v>
      </c>
      <c r="T100" s="122">
        <v>9.4</v>
      </c>
      <c r="U100" s="120" t="s">
        <v>2560</v>
      </c>
      <c r="V100" s="123">
        <v>2.7651999999999999E-2</v>
      </c>
      <c r="W100" s="120"/>
      <c r="X100" s="120"/>
      <c r="Y100" s="123"/>
      <c r="Z100" s="123">
        <v>4.0399999999999998E-2</v>
      </c>
      <c r="AA100" s="124">
        <v>52351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45473</v>
      </c>
      <c r="AO100" s="120"/>
      <c r="AP100" s="123"/>
      <c r="AQ100" s="122">
        <v>344762.93</v>
      </c>
      <c r="AR100" s="122">
        <v>94.32</v>
      </c>
      <c r="AS100" s="122">
        <v>1</v>
      </c>
      <c r="AT100" s="122">
        <v>325.18040000000002</v>
      </c>
      <c r="AU100" s="122">
        <v>325.18040000000002</v>
      </c>
      <c r="AV100" s="122"/>
      <c r="AW100" s="122"/>
      <c r="AX100" s="120"/>
      <c r="AY100" s="120"/>
      <c r="AZ100" s="123">
        <v>1.2400000000000001E-4</v>
      </c>
      <c r="BA100" s="123">
        <v>5.0000000000000004E-6</v>
      </c>
    </row>
    <row r="101" spans="1:53" ht="15" customHeight="1">
      <c r="A101" s="121">
        <v>313</v>
      </c>
      <c r="B101" s="121">
        <v>313</v>
      </c>
      <c r="C101" s="121"/>
      <c r="D101" s="120"/>
      <c r="E101" s="120"/>
      <c r="F101" s="121">
        <v>74006153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338</v>
      </c>
      <c r="N101" s="121"/>
      <c r="O101" s="124">
        <v>44815</v>
      </c>
      <c r="P101" s="120" t="s">
        <v>1334</v>
      </c>
      <c r="Q101" s="120" t="s">
        <v>414</v>
      </c>
      <c r="R101" s="120" t="s">
        <v>407</v>
      </c>
      <c r="S101" s="120" t="s">
        <v>1217</v>
      </c>
      <c r="T101" s="122">
        <v>9.26</v>
      </c>
      <c r="U101" s="120" t="s">
        <v>2560</v>
      </c>
      <c r="V101" s="123">
        <v>2.7549000000000001E-2</v>
      </c>
      <c r="W101" s="120"/>
      <c r="X101" s="120"/>
      <c r="Y101" s="123"/>
      <c r="Z101" s="123">
        <v>4.0500000000000001E-2</v>
      </c>
      <c r="AA101" s="124">
        <v>52318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45473</v>
      </c>
      <c r="AO101" s="120"/>
      <c r="AP101" s="123"/>
      <c r="AQ101" s="122">
        <v>377460.31</v>
      </c>
      <c r="AR101" s="122">
        <v>94.24</v>
      </c>
      <c r="AS101" s="122">
        <v>1</v>
      </c>
      <c r="AT101" s="122">
        <v>355.71859999999998</v>
      </c>
      <c r="AU101" s="122">
        <v>355.71859999999998</v>
      </c>
      <c r="AV101" s="122"/>
      <c r="AW101" s="122"/>
      <c r="AX101" s="120"/>
      <c r="AY101" s="120"/>
      <c r="AZ101" s="123">
        <v>1.35E-4</v>
      </c>
      <c r="BA101" s="123">
        <v>5.0000000000000004E-6</v>
      </c>
    </row>
    <row r="102" spans="1:53" ht="15" customHeight="1">
      <c r="A102" s="121">
        <v>313</v>
      </c>
      <c r="B102" s="121">
        <v>313</v>
      </c>
      <c r="C102" s="121"/>
      <c r="D102" s="120"/>
      <c r="E102" s="120"/>
      <c r="F102" s="121">
        <v>74006148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337</v>
      </c>
      <c r="N102" s="121"/>
      <c r="O102" s="124">
        <v>45096</v>
      </c>
      <c r="P102" s="120" t="s">
        <v>1315</v>
      </c>
      <c r="Q102" s="120" t="s">
        <v>414</v>
      </c>
      <c r="R102" s="120" t="s">
        <v>407</v>
      </c>
      <c r="S102" s="120" t="s">
        <v>1217</v>
      </c>
      <c r="T102" s="122">
        <v>7.99</v>
      </c>
      <c r="U102" s="120" t="s">
        <v>2560</v>
      </c>
      <c r="V102" s="123">
        <v>3.5099999999999999E-2</v>
      </c>
      <c r="W102" s="120"/>
      <c r="X102" s="120"/>
      <c r="Y102" s="123"/>
      <c r="Z102" s="123">
        <v>4.0800000000000003E-2</v>
      </c>
      <c r="AA102" s="124">
        <v>52315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45473</v>
      </c>
      <c r="AO102" s="120"/>
      <c r="AP102" s="123"/>
      <c r="AQ102" s="122">
        <v>3737736.09</v>
      </c>
      <c r="AR102" s="122">
        <v>98.57</v>
      </c>
      <c r="AS102" s="122">
        <v>1</v>
      </c>
      <c r="AT102" s="122">
        <v>3684.2864599999998</v>
      </c>
      <c r="AU102" s="122">
        <v>3684.2864599999998</v>
      </c>
      <c r="AV102" s="122"/>
      <c r="AW102" s="122"/>
      <c r="AX102" s="120"/>
      <c r="AY102" s="120"/>
      <c r="AZ102" s="123">
        <v>1.405E-3</v>
      </c>
      <c r="BA102" s="123">
        <v>6.0999999999999999E-5</v>
      </c>
    </row>
    <row r="103" spans="1:53" ht="15" customHeight="1">
      <c r="A103" s="121">
        <v>313</v>
      </c>
      <c r="B103" s="121">
        <v>313</v>
      </c>
      <c r="C103" s="121"/>
      <c r="D103" s="120"/>
      <c r="E103" s="120"/>
      <c r="F103" s="121">
        <v>75002444</v>
      </c>
      <c r="G103" s="120" t="s">
        <v>1013</v>
      </c>
      <c r="H103" s="120" t="s">
        <v>785</v>
      </c>
      <c r="I103" s="120" t="s">
        <v>203</v>
      </c>
      <c r="J103" s="120"/>
      <c r="K103" s="120" t="s">
        <v>463</v>
      </c>
      <c r="L103" s="120" t="s">
        <v>338</v>
      </c>
      <c r="M103" s="120" t="s">
        <v>337</v>
      </c>
      <c r="N103" s="121"/>
      <c r="O103" s="124">
        <v>44195</v>
      </c>
      <c r="P103" s="120" t="s">
        <v>2563</v>
      </c>
      <c r="Q103" s="120" t="s">
        <v>311</v>
      </c>
      <c r="R103" s="120" t="s">
        <v>407</v>
      </c>
      <c r="S103" s="120" t="s">
        <v>1217</v>
      </c>
      <c r="T103" s="122">
        <v>10.32</v>
      </c>
      <c r="U103" s="120" t="s">
        <v>2560</v>
      </c>
      <c r="V103" s="123">
        <v>1.286E-2</v>
      </c>
      <c r="W103" s="120"/>
      <c r="X103" s="120"/>
      <c r="Y103" s="123"/>
      <c r="Z103" s="123">
        <v>3.6400000000000002E-2</v>
      </c>
      <c r="AA103" s="124">
        <v>49562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45473</v>
      </c>
      <c r="AO103" s="120"/>
      <c r="AP103" s="123"/>
      <c r="AQ103" s="122">
        <v>3608030.01</v>
      </c>
      <c r="AR103" s="122">
        <v>89.57</v>
      </c>
      <c r="AS103" s="122">
        <v>1</v>
      </c>
      <c r="AT103" s="122">
        <v>3231.7124800000001</v>
      </c>
      <c r="AU103" s="122">
        <v>3231.7124800000001</v>
      </c>
      <c r="AV103" s="122"/>
      <c r="AW103" s="122"/>
      <c r="AX103" s="120"/>
      <c r="AY103" s="120"/>
      <c r="AZ103" s="123">
        <v>1.232E-3</v>
      </c>
      <c r="BA103" s="123">
        <v>5.3999999999999998E-5</v>
      </c>
    </row>
    <row r="104" spans="1:53" ht="15" customHeight="1">
      <c r="A104" s="121">
        <v>313</v>
      </c>
      <c r="B104" s="121">
        <v>313</v>
      </c>
      <c r="C104" s="121"/>
      <c r="D104" s="120"/>
      <c r="E104" s="120"/>
      <c r="F104" s="121">
        <v>74006133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338</v>
      </c>
      <c r="N104" s="121"/>
      <c r="O104" s="124">
        <v>44269</v>
      </c>
      <c r="P104" s="120" t="s">
        <v>1334</v>
      </c>
      <c r="Q104" s="120" t="s">
        <v>414</v>
      </c>
      <c r="R104" s="120" t="s">
        <v>407</v>
      </c>
      <c r="S104" s="120" t="s">
        <v>1217</v>
      </c>
      <c r="T104" s="122">
        <v>7.69</v>
      </c>
      <c r="U104" s="120" t="s">
        <v>2560</v>
      </c>
      <c r="V104" s="123">
        <v>2.35E-2</v>
      </c>
      <c r="W104" s="120"/>
      <c r="X104" s="120"/>
      <c r="Y104" s="123"/>
      <c r="Z104" s="123">
        <v>5.1700000000000003E-2</v>
      </c>
      <c r="AA104" s="124">
        <v>52200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45473</v>
      </c>
      <c r="AO104" s="120"/>
      <c r="AP104" s="123"/>
      <c r="AQ104" s="122">
        <v>11737581.68</v>
      </c>
      <c r="AR104" s="122">
        <v>91.49</v>
      </c>
      <c r="AS104" s="122">
        <v>1</v>
      </c>
      <c r="AT104" s="122">
        <v>10738.71348</v>
      </c>
      <c r="AU104" s="122">
        <v>10738.71348</v>
      </c>
      <c r="AV104" s="122"/>
      <c r="AW104" s="122"/>
      <c r="AX104" s="120"/>
      <c r="AY104" s="120"/>
      <c r="AZ104" s="123">
        <v>4.0949999999999997E-3</v>
      </c>
      <c r="BA104" s="123">
        <v>1.8000000000000001E-4</v>
      </c>
    </row>
    <row r="105" spans="1:53" ht="15" customHeight="1">
      <c r="A105" s="121">
        <v>313</v>
      </c>
      <c r="B105" s="121">
        <v>313</v>
      </c>
      <c r="C105" s="121"/>
      <c r="D105" s="120"/>
      <c r="E105" s="120"/>
      <c r="F105" s="121">
        <v>74006121</v>
      </c>
      <c r="G105" s="120" t="s">
        <v>1013</v>
      </c>
      <c r="H105" s="120" t="s">
        <v>812</v>
      </c>
      <c r="I105" s="120" t="s">
        <v>203</v>
      </c>
      <c r="J105" s="120"/>
      <c r="K105" s="120" t="s">
        <v>446</v>
      </c>
      <c r="L105" s="120" t="s">
        <v>338</v>
      </c>
      <c r="M105" s="120" t="s">
        <v>337</v>
      </c>
      <c r="N105" s="121"/>
      <c r="O105" s="124">
        <v>44580</v>
      </c>
      <c r="P105" s="120" t="s">
        <v>1315</v>
      </c>
      <c r="Q105" s="120" t="s">
        <v>414</v>
      </c>
      <c r="R105" s="120" t="s">
        <v>407</v>
      </c>
      <c r="S105" s="120" t="s">
        <v>1217</v>
      </c>
      <c r="T105" s="122">
        <v>1.1299999999999999</v>
      </c>
      <c r="U105" s="120" t="s">
        <v>824</v>
      </c>
      <c r="V105" s="123">
        <v>6.6000000000000003E-2</v>
      </c>
      <c r="W105" s="120"/>
      <c r="X105" s="120"/>
      <c r="Y105" s="123"/>
      <c r="Z105" s="123">
        <v>6.25E-2</v>
      </c>
      <c r="AA105" s="124">
        <v>45925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45473</v>
      </c>
      <c r="AO105" s="120"/>
      <c r="AP105" s="123"/>
      <c r="AQ105" s="122">
        <v>874141</v>
      </c>
      <c r="AR105" s="122">
        <v>100.63</v>
      </c>
      <c r="AS105" s="122">
        <v>1</v>
      </c>
      <c r="AT105" s="122">
        <v>879.64809000000002</v>
      </c>
      <c r="AU105" s="122">
        <v>879.64809000000002</v>
      </c>
      <c r="AV105" s="122"/>
      <c r="AW105" s="122"/>
      <c r="AX105" s="120"/>
      <c r="AY105" s="120"/>
      <c r="AZ105" s="123">
        <v>3.3500000000000001E-4</v>
      </c>
      <c r="BA105" s="123">
        <v>1.4E-5</v>
      </c>
    </row>
    <row r="106" spans="1:53" ht="15" customHeight="1">
      <c r="A106" s="121">
        <v>313</v>
      </c>
      <c r="B106" s="121">
        <v>313</v>
      </c>
      <c r="C106" s="121"/>
      <c r="D106" s="120"/>
      <c r="E106" s="120"/>
      <c r="F106" s="121">
        <v>7400411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338</v>
      </c>
      <c r="N106" s="121"/>
      <c r="O106" s="124">
        <v>44612</v>
      </c>
      <c r="P106" s="120" t="s">
        <v>1334</v>
      </c>
      <c r="Q106" s="120" t="s">
        <v>414</v>
      </c>
      <c r="R106" s="120" t="s">
        <v>407</v>
      </c>
      <c r="S106" s="120" t="s">
        <v>1217</v>
      </c>
      <c r="T106" s="122">
        <v>8.4700000000000006</v>
      </c>
      <c r="U106" s="120" t="s">
        <v>2560</v>
      </c>
      <c r="V106" s="123">
        <v>1.6E-2</v>
      </c>
      <c r="W106" s="120"/>
      <c r="X106" s="120"/>
      <c r="Y106" s="123"/>
      <c r="Z106" s="123">
        <v>4.0899999999999999E-2</v>
      </c>
      <c r="AA106" s="124">
        <v>52596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45473</v>
      </c>
      <c r="AO106" s="120"/>
      <c r="AP106" s="123"/>
      <c r="AQ106" s="122">
        <v>2422339.84</v>
      </c>
      <c r="AR106" s="122">
        <v>89.11</v>
      </c>
      <c r="AS106" s="122">
        <v>1</v>
      </c>
      <c r="AT106" s="122">
        <v>2158.5470300000002</v>
      </c>
      <c r="AU106" s="122">
        <v>2158.5470300000002</v>
      </c>
      <c r="AV106" s="122"/>
      <c r="AW106" s="122"/>
      <c r="AX106" s="120"/>
      <c r="AY106" s="120"/>
      <c r="AZ106" s="123">
        <v>8.2299999999999995E-4</v>
      </c>
      <c r="BA106" s="123">
        <v>3.6000000000000001E-5</v>
      </c>
    </row>
    <row r="107" spans="1:53" ht="15" customHeight="1">
      <c r="A107" s="121">
        <v>313</v>
      </c>
      <c r="B107" s="121">
        <v>313</v>
      </c>
      <c r="C107" s="121"/>
      <c r="D107" s="120"/>
      <c r="E107" s="120"/>
      <c r="F107" s="121">
        <v>7400412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44612</v>
      </c>
      <c r="P107" s="120" t="s">
        <v>1334</v>
      </c>
      <c r="Q107" s="120" t="s">
        <v>414</v>
      </c>
      <c r="R107" s="120" t="s">
        <v>407</v>
      </c>
      <c r="S107" s="120" t="s">
        <v>1217</v>
      </c>
      <c r="T107" s="122">
        <v>8.3699999999999992</v>
      </c>
      <c r="U107" s="120" t="s">
        <v>2560</v>
      </c>
      <c r="V107" s="123">
        <v>1.6E-2</v>
      </c>
      <c r="W107" s="120"/>
      <c r="X107" s="120"/>
      <c r="Y107" s="123"/>
      <c r="Z107" s="123">
        <v>4.0800000000000003E-2</v>
      </c>
      <c r="AA107" s="124">
        <v>52504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45473</v>
      </c>
      <c r="AO107" s="120"/>
      <c r="AP107" s="123"/>
      <c r="AQ107" s="122">
        <v>3968419.98</v>
      </c>
      <c r="AR107" s="122">
        <v>89.42</v>
      </c>
      <c r="AS107" s="122">
        <v>1</v>
      </c>
      <c r="AT107" s="122">
        <v>3548.56115</v>
      </c>
      <c r="AU107" s="122">
        <v>3548.56115</v>
      </c>
      <c r="AV107" s="122"/>
      <c r="AW107" s="122"/>
      <c r="AX107" s="120"/>
      <c r="AY107" s="120"/>
      <c r="AZ107" s="123">
        <v>1.353E-3</v>
      </c>
      <c r="BA107" s="123">
        <v>5.8999999999999998E-5</v>
      </c>
    </row>
    <row r="108" spans="1:53" ht="15" customHeight="1">
      <c r="A108" s="121">
        <v>313</v>
      </c>
      <c r="B108" s="121">
        <v>313</v>
      </c>
      <c r="C108" s="121"/>
      <c r="D108" s="120"/>
      <c r="E108" s="120"/>
      <c r="F108" s="121">
        <v>7400413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44612</v>
      </c>
      <c r="P108" s="120" t="s">
        <v>1334</v>
      </c>
      <c r="Q108" s="120" t="s">
        <v>414</v>
      </c>
      <c r="R108" s="120" t="s">
        <v>407</v>
      </c>
      <c r="S108" s="120" t="s">
        <v>1217</v>
      </c>
      <c r="T108" s="122">
        <v>8.44</v>
      </c>
      <c r="U108" s="120" t="s">
        <v>2560</v>
      </c>
      <c r="V108" s="123">
        <v>1.6E-2</v>
      </c>
      <c r="W108" s="120"/>
      <c r="X108" s="120"/>
      <c r="Y108" s="123"/>
      <c r="Z108" s="123">
        <v>4.0899999999999999E-2</v>
      </c>
      <c r="AA108" s="124">
        <v>52596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45473</v>
      </c>
      <c r="AO108" s="120"/>
      <c r="AP108" s="123"/>
      <c r="AQ108" s="122">
        <v>4295144.96</v>
      </c>
      <c r="AR108" s="122">
        <v>89.21</v>
      </c>
      <c r="AS108" s="122">
        <v>1</v>
      </c>
      <c r="AT108" s="122">
        <v>3831.6988200000001</v>
      </c>
      <c r="AU108" s="122">
        <v>3831.6988200000001</v>
      </c>
      <c r="AV108" s="122"/>
      <c r="AW108" s="122"/>
      <c r="AX108" s="120"/>
      <c r="AY108" s="120"/>
      <c r="AZ108" s="123">
        <v>1.4610000000000001E-3</v>
      </c>
      <c r="BA108" s="123">
        <v>6.3999999999999997E-5</v>
      </c>
    </row>
    <row r="109" spans="1:53" ht="15" customHeight="1">
      <c r="A109" s="121">
        <v>313</v>
      </c>
      <c r="B109" s="121">
        <v>313</v>
      </c>
      <c r="C109" s="121"/>
      <c r="D109" s="120"/>
      <c r="E109" s="120"/>
      <c r="F109" s="121">
        <v>7400414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338</v>
      </c>
      <c r="N109" s="121"/>
      <c r="O109" s="124">
        <v>44665</v>
      </c>
      <c r="P109" s="120" t="s">
        <v>1334</v>
      </c>
      <c r="Q109" s="120" t="s">
        <v>414</v>
      </c>
      <c r="R109" s="120" t="s">
        <v>407</v>
      </c>
      <c r="S109" s="120" t="s">
        <v>1217</v>
      </c>
      <c r="T109" s="122">
        <v>8.52</v>
      </c>
      <c r="U109" s="120" t="s">
        <v>2560</v>
      </c>
      <c r="V109" s="123">
        <v>1.6639999999999999E-2</v>
      </c>
      <c r="W109" s="120"/>
      <c r="X109" s="120"/>
      <c r="Y109" s="123"/>
      <c r="Z109" s="123">
        <v>3.8300000000000001E-2</v>
      </c>
      <c r="AA109" s="124">
        <v>52596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45473</v>
      </c>
      <c r="AO109" s="120"/>
      <c r="AP109" s="123"/>
      <c r="AQ109" s="122">
        <v>2731833.47</v>
      </c>
      <c r="AR109" s="122">
        <v>91.01</v>
      </c>
      <c r="AS109" s="122">
        <v>1</v>
      </c>
      <c r="AT109" s="122">
        <v>2486.2416400000002</v>
      </c>
      <c r="AU109" s="122">
        <v>2486.2416400000002</v>
      </c>
      <c r="AV109" s="122"/>
      <c r="AW109" s="122"/>
      <c r="AX109" s="120"/>
      <c r="AY109" s="120"/>
      <c r="AZ109" s="123">
        <v>9.4799999999999995E-4</v>
      </c>
      <c r="BA109" s="123">
        <v>4.1E-5</v>
      </c>
    </row>
    <row r="110" spans="1:53" ht="15" customHeight="1">
      <c r="A110" s="121">
        <v>313</v>
      </c>
      <c r="B110" s="121">
        <v>313</v>
      </c>
      <c r="C110" s="121"/>
      <c r="D110" s="120"/>
      <c r="E110" s="120"/>
      <c r="F110" s="121">
        <v>74006127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337</v>
      </c>
      <c r="N110" s="121"/>
      <c r="O110" s="124">
        <v>44074</v>
      </c>
      <c r="P110" s="120" t="s">
        <v>1315</v>
      </c>
      <c r="Q110" s="120" t="s">
        <v>414</v>
      </c>
      <c r="R110" s="120" t="s">
        <v>407</v>
      </c>
      <c r="S110" s="120" t="s">
        <v>1217</v>
      </c>
      <c r="T110" s="122">
        <v>8.44</v>
      </c>
      <c r="U110" s="120" t="s">
        <v>2560</v>
      </c>
      <c r="V110" s="123">
        <v>2.3494000000000001E-2</v>
      </c>
      <c r="W110" s="120"/>
      <c r="X110" s="120"/>
      <c r="Y110" s="123"/>
      <c r="Z110" s="123">
        <v>4.2500000000000003E-2</v>
      </c>
      <c r="AA110" s="124">
        <v>52135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45473</v>
      </c>
      <c r="AO110" s="120"/>
      <c r="AP110" s="123"/>
      <c r="AQ110" s="122">
        <v>19124662.050000001</v>
      </c>
      <c r="AR110" s="122">
        <v>94.26</v>
      </c>
      <c r="AS110" s="122">
        <v>1</v>
      </c>
      <c r="AT110" s="122">
        <v>18026.906449999999</v>
      </c>
      <c r="AU110" s="122">
        <v>18026.906449999999</v>
      </c>
      <c r="AV110" s="122"/>
      <c r="AW110" s="122"/>
      <c r="AX110" s="120"/>
      <c r="AY110" s="120"/>
      <c r="AZ110" s="123">
        <v>6.875E-3</v>
      </c>
      <c r="BA110" s="123">
        <v>3.0200000000000002E-4</v>
      </c>
    </row>
    <row r="111" spans="1:53" ht="15" customHeight="1">
      <c r="A111" s="121">
        <v>313</v>
      </c>
      <c r="B111" s="121">
        <v>313</v>
      </c>
      <c r="C111" s="121"/>
      <c r="D111" s="120"/>
      <c r="E111" s="120"/>
      <c r="F111" s="121">
        <v>7400416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338</v>
      </c>
      <c r="N111" s="121"/>
      <c r="O111" s="124">
        <v>44665</v>
      </c>
      <c r="P111" s="120" t="s">
        <v>1334</v>
      </c>
      <c r="Q111" s="120" t="s">
        <v>414</v>
      </c>
      <c r="R111" s="120" t="s">
        <v>407</v>
      </c>
      <c r="S111" s="120" t="s">
        <v>1217</v>
      </c>
      <c r="T111" s="122">
        <v>8.51</v>
      </c>
      <c r="U111" s="120" t="s">
        <v>2560</v>
      </c>
      <c r="V111" s="123">
        <v>1.6639999999999999E-2</v>
      </c>
      <c r="W111" s="120"/>
      <c r="X111" s="120"/>
      <c r="Y111" s="123"/>
      <c r="Z111" s="123">
        <v>3.8300000000000001E-2</v>
      </c>
      <c r="AA111" s="124">
        <v>52596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45473</v>
      </c>
      <c r="AO111" s="120"/>
      <c r="AP111" s="123"/>
      <c r="AQ111" s="122">
        <v>1916355.22</v>
      </c>
      <c r="AR111" s="122">
        <v>91.03</v>
      </c>
      <c r="AS111" s="122">
        <v>1</v>
      </c>
      <c r="AT111" s="122">
        <v>1744.4581599999999</v>
      </c>
      <c r="AU111" s="122">
        <v>1744.4581599999999</v>
      </c>
      <c r="AV111" s="122"/>
      <c r="AW111" s="122"/>
      <c r="AX111" s="120"/>
      <c r="AY111" s="120"/>
      <c r="AZ111" s="123">
        <v>6.6500000000000001E-4</v>
      </c>
      <c r="BA111" s="123">
        <v>2.9E-5</v>
      </c>
    </row>
    <row r="112" spans="1:53" ht="15" customHeight="1">
      <c r="A112" s="121">
        <v>313</v>
      </c>
      <c r="B112" s="121">
        <v>313</v>
      </c>
      <c r="C112" s="121"/>
      <c r="D112" s="120"/>
      <c r="E112" s="120"/>
      <c r="F112" s="121">
        <v>7400418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338</v>
      </c>
      <c r="N112" s="121"/>
      <c r="O112" s="124">
        <v>44895</v>
      </c>
      <c r="P112" s="120" t="s">
        <v>1315</v>
      </c>
      <c r="Q112" s="120" t="s">
        <v>414</v>
      </c>
      <c r="R112" s="120" t="s">
        <v>407</v>
      </c>
      <c r="S112" s="120" t="s">
        <v>1217</v>
      </c>
      <c r="T112" s="122">
        <v>8.17</v>
      </c>
      <c r="U112" s="120" t="s">
        <v>2560</v>
      </c>
      <c r="V112" s="123">
        <v>2.7594E-2</v>
      </c>
      <c r="W112" s="120"/>
      <c r="X112" s="120"/>
      <c r="Y112" s="123"/>
      <c r="Z112" s="123">
        <v>4.2299999999999997E-2</v>
      </c>
      <c r="AA112" s="124">
        <v>52596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45473</v>
      </c>
      <c r="AO112" s="120"/>
      <c r="AP112" s="123"/>
      <c r="AQ112" s="122">
        <v>6717973.8099999996</v>
      </c>
      <c r="AR112" s="122">
        <v>93.81</v>
      </c>
      <c r="AS112" s="122">
        <v>1</v>
      </c>
      <c r="AT112" s="122">
        <v>6302.13123</v>
      </c>
      <c r="AU112" s="122">
        <v>6302.13123</v>
      </c>
      <c r="AV112" s="122"/>
      <c r="AW112" s="122"/>
      <c r="AX112" s="120"/>
      <c r="AY112" s="120"/>
      <c r="AZ112" s="123">
        <v>2.4030000000000002E-3</v>
      </c>
      <c r="BA112" s="123">
        <v>1.05E-4</v>
      </c>
    </row>
    <row r="113" spans="1:53" ht="15" customHeight="1">
      <c r="A113" s="121">
        <v>313</v>
      </c>
      <c r="B113" s="121">
        <v>313</v>
      </c>
      <c r="C113" s="121"/>
      <c r="D113" s="120"/>
      <c r="E113" s="120"/>
      <c r="F113" s="121">
        <v>7400419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45148</v>
      </c>
      <c r="P113" s="120" t="s">
        <v>1315</v>
      </c>
      <c r="Q113" s="120" t="s">
        <v>414</v>
      </c>
      <c r="R113" s="120" t="s">
        <v>407</v>
      </c>
      <c r="S113" s="120" t="s">
        <v>1217</v>
      </c>
      <c r="T113" s="122">
        <v>8.26</v>
      </c>
      <c r="U113" s="120" t="s">
        <v>2560</v>
      </c>
      <c r="V113" s="123">
        <v>3.2554E-2</v>
      </c>
      <c r="W113" s="120"/>
      <c r="X113" s="120"/>
      <c r="Y113" s="123"/>
      <c r="Z113" s="123">
        <v>4.1399999999999999E-2</v>
      </c>
      <c r="AA113" s="124">
        <v>52596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45473</v>
      </c>
      <c r="AO113" s="120"/>
      <c r="AP113" s="123"/>
      <c r="AQ113" s="122">
        <v>6858990.1200000001</v>
      </c>
      <c r="AR113" s="122">
        <v>96.02</v>
      </c>
      <c r="AS113" s="122">
        <v>1</v>
      </c>
      <c r="AT113" s="122">
        <v>6586.0023099999999</v>
      </c>
      <c r="AU113" s="122">
        <v>6586.0023099999999</v>
      </c>
      <c r="AV113" s="122"/>
      <c r="AW113" s="122"/>
      <c r="AX113" s="120"/>
      <c r="AY113" s="120"/>
      <c r="AZ113" s="123">
        <v>2.5110000000000002E-3</v>
      </c>
      <c r="BA113" s="123">
        <v>1.1E-4</v>
      </c>
    </row>
    <row r="114" spans="1:53" ht="15" customHeight="1">
      <c r="A114" s="121">
        <v>313</v>
      </c>
      <c r="B114" s="121">
        <v>313</v>
      </c>
      <c r="C114" s="121"/>
      <c r="D114" s="120"/>
      <c r="E114" s="120"/>
      <c r="F114" s="121">
        <v>74006091</v>
      </c>
      <c r="G114" s="120" t="s">
        <v>1013</v>
      </c>
      <c r="H114" s="120" t="s">
        <v>818</v>
      </c>
      <c r="I114" s="120" t="s">
        <v>203</v>
      </c>
      <c r="J114" s="120"/>
      <c r="K114" s="120" t="s">
        <v>454</v>
      </c>
      <c r="L114" s="120" t="s">
        <v>338</v>
      </c>
      <c r="M114" s="120" t="s">
        <v>338</v>
      </c>
      <c r="N114" s="121"/>
      <c r="O114" s="124">
        <v>44703</v>
      </c>
      <c r="P114" s="120" t="s">
        <v>409</v>
      </c>
      <c r="Q114" s="120" t="s">
        <v>409</v>
      </c>
      <c r="R114" s="120" t="s">
        <v>409</v>
      </c>
      <c r="S114" s="120" t="s">
        <v>1217</v>
      </c>
      <c r="T114" s="122">
        <v>4.51</v>
      </c>
      <c r="U114" s="120" t="s">
        <v>2560</v>
      </c>
      <c r="V114" s="123">
        <v>3.6299999999999999E-2</v>
      </c>
      <c r="W114" s="120"/>
      <c r="X114" s="120"/>
      <c r="Y114" s="123"/>
      <c r="Z114" s="123">
        <v>6.0299999999999999E-2</v>
      </c>
      <c r="AA114" s="124">
        <v>47260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45473</v>
      </c>
      <c r="AO114" s="120"/>
      <c r="AP114" s="123"/>
      <c r="AQ114" s="122">
        <v>27525195.210000001</v>
      </c>
      <c r="AR114" s="122">
        <v>97.66</v>
      </c>
      <c r="AS114" s="122">
        <v>1</v>
      </c>
      <c r="AT114" s="122">
        <v>26881.105640000002</v>
      </c>
      <c r="AU114" s="122">
        <v>26881.105640000002</v>
      </c>
      <c r="AV114" s="122"/>
      <c r="AW114" s="122"/>
      <c r="AX114" s="120"/>
      <c r="AY114" s="120"/>
      <c r="AZ114" s="123">
        <v>1.0251E-2</v>
      </c>
      <c r="BA114" s="123">
        <v>4.5100000000000001E-4</v>
      </c>
    </row>
    <row r="115" spans="1:53" ht="15" customHeight="1">
      <c r="A115" s="121">
        <v>313</v>
      </c>
      <c r="B115" s="121">
        <v>313</v>
      </c>
      <c r="C115" s="121"/>
      <c r="D115" s="120"/>
      <c r="E115" s="120"/>
      <c r="F115" s="121">
        <v>74006119</v>
      </c>
      <c r="G115" s="120" t="s">
        <v>1013</v>
      </c>
      <c r="H115" s="120" t="s">
        <v>812</v>
      </c>
      <c r="I115" s="120" t="s">
        <v>203</v>
      </c>
      <c r="J115" s="120"/>
      <c r="K115" s="120" t="s">
        <v>446</v>
      </c>
      <c r="L115" s="120" t="s">
        <v>338</v>
      </c>
      <c r="M115" s="120" t="s">
        <v>337</v>
      </c>
      <c r="N115" s="121"/>
      <c r="O115" s="124">
        <v>44606</v>
      </c>
      <c r="P115" s="120" t="s">
        <v>1315</v>
      </c>
      <c r="Q115" s="120" t="s">
        <v>414</v>
      </c>
      <c r="R115" s="120" t="s">
        <v>407</v>
      </c>
      <c r="S115" s="120" t="s">
        <v>1217</v>
      </c>
      <c r="T115" s="122">
        <v>1.1299999999999999</v>
      </c>
      <c r="U115" s="120" t="s">
        <v>824</v>
      </c>
      <c r="V115" s="123">
        <v>6.6000000000000003E-2</v>
      </c>
      <c r="W115" s="120"/>
      <c r="X115" s="120"/>
      <c r="Y115" s="123"/>
      <c r="Z115" s="123">
        <v>6.2399999999999997E-2</v>
      </c>
      <c r="AA115" s="124">
        <v>45925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45473</v>
      </c>
      <c r="AO115" s="120"/>
      <c r="AP115" s="123"/>
      <c r="AQ115" s="122">
        <v>1331634</v>
      </c>
      <c r="AR115" s="122">
        <v>100.64</v>
      </c>
      <c r="AS115" s="122">
        <v>1</v>
      </c>
      <c r="AT115" s="122">
        <v>1340.1564599999999</v>
      </c>
      <c r="AU115" s="122">
        <v>1340.1564599999999</v>
      </c>
      <c r="AV115" s="122"/>
      <c r="AW115" s="122"/>
      <c r="AX115" s="120"/>
      <c r="AY115" s="120"/>
      <c r="AZ115" s="123">
        <v>5.1099999999999995E-4</v>
      </c>
      <c r="BA115" s="123">
        <v>2.1999999999999999E-5</v>
      </c>
    </row>
    <row r="116" spans="1:53" ht="15" customHeight="1">
      <c r="A116" s="121">
        <v>313</v>
      </c>
      <c r="B116" s="121">
        <v>313</v>
      </c>
      <c r="C116" s="121"/>
      <c r="D116" s="120"/>
      <c r="E116" s="120"/>
      <c r="F116" s="121">
        <v>7400417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338</v>
      </c>
      <c r="N116" s="121"/>
      <c r="O116" s="124">
        <v>44895</v>
      </c>
      <c r="P116" s="120" t="s">
        <v>1315</v>
      </c>
      <c r="Q116" s="120" t="s">
        <v>414</v>
      </c>
      <c r="R116" s="120" t="s">
        <v>407</v>
      </c>
      <c r="S116" s="120" t="s">
        <v>1217</v>
      </c>
      <c r="T116" s="122">
        <v>8.17</v>
      </c>
      <c r="U116" s="120" t="s">
        <v>2560</v>
      </c>
      <c r="V116" s="123">
        <v>2.7594E-2</v>
      </c>
      <c r="W116" s="120"/>
      <c r="X116" s="120"/>
      <c r="Y116" s="123"/>
      <c r="Z116" s="123">
        <v>4.2299999999999997E-2</v>
      </c>
      <c r="AA116" s="124">
        <v>52596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45473</v>
      </c>
      <c r="AO116" s="120"/>
      <c r="AP116" s="123"/>
      <c r="AQ116" s="122">
        <v>3312557.24</v>
      </c>
      <c r="AR116" s="122">
        <v>93.78</v>
      </c>
      <c r="AS116" s="122">
        <v>1</v>
      </c>
      <c r="AT116" s="122">
        <v>3106.5161800000001</v>
      </c>
      <c r="AU116" s="122">
        <v>3106.5161800000001</v>
      </c>
      <c r="AV116" s="122"/>
      <c r="AW116" s="122"/>
      <c r="AX116" s="120"/>
      <c r="AY116" s="120"/>
      <c r="AZ116" s="123">
        <v>1.1839999999999999E-3</v>
      </c>
      <c r="BA116" s="123">
        <v>5.1999999999999997E-5</v>
      </c>
    </row>
    <row r="117" spans="1:53" ht="15" customHeight="1">
      <c r="A117" s="121">
        <v>313</v>
      </c>
      <c r="B117" s="121">
        <v>313</v>
      </c>
      <c r="C117" s="121"/>
      <c r="D117" s="120"/>
      <c r="E117" s="120"/>
      <c r="F117" s="121">
        <v>75002445</v>
      </c>
      <c r="G117" s="120" t="s">
        <v>1013</v>
      </c>
      <c r="H117" s="120" t="s">
        <v>812</v>
      </c>
      <c r="I117" s="120" t="s">
        <v>203</v>
      </c>
      <c r="J117" s="120"/>
      <c r="K117" s="120" t="s">
        <v>463</v>
      </c>
      <c r="L117" s="120" t="s">
        <v>338</v>
      </c>
      <c r="M117" s="120" t="s">
        <v>337</v>
      </c>
      <c r="N117" s="121"/>
      <c r="O117" s="124">
        <v>44195</v>
      </c>
      <c r="P117" s="120" t="s">
        <v>2563</v>
      </c>
      <c r="Q117" s="120" t="s">
        <v>311</v>
      </c>
      <c r="R117" s="120" t="s">
        <v>407</v>
      </c>
      <c r="S117" s="120" t="s">
        <v>1217</v>
      </c>
      <c r="T117" s="122">
        <v>10.32</v>
      </c>
      <c r="U117" s="120" t="s">
        <v>2560</v>
      </c>
      <c r="V117" s="123">
        <v>1.286E-2</v>
      </c>
      <c r="W117" s="120"/>
      <c r="X117" s="120"/>
      <c r="Y117" s="123"/>
      <c r="Z117" s="123">
        <v>3.6400000000000002E-2</v>
      </c>
      <c r="AA117" s="124">
        <v>49562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45473</v>
      </c>
      <c r="AO117" s="120"/>
      <c r="AP117" s="123"/>
      <c r="AQ117" s="122">
        <v>8428153.6999999993</v>
      </c>
      <c r="AR117" s="122">
        <v>89.57</v>
      </c>
      <c r="AS117" s="122">
        <v>1</v>
      </c>
      <c r="AT117" s="122">
        <v>7549.0972700000002</v>
      </c>
      <c r="AU117" s="122">
        <v>7549.0972700000002</v>
      </c>
      <c r="AV117" s="122"/>
      <c r="AW117" s="122"/>
      <c r="AX117" s="120"/>
      <c r="AY117" s="120"/>
      <c r="AZ117" s="123">
        <v>2.879E-3</v>
      </c>
      <c r="BA117" s="123">
        <v>1.26E-4</v>
      </c>
    </row>
    <row r="118" spans="1:53" ht="15" customHeight="1">
      <c r="A118" s="121">
        <v>313</v>
      </c>
      <c r="B118" s="121">
        <v>313</v>
      </c>
      <c r="C118" s="121"/>
      <c r="D118" s="120"/>
      <c r="E118" s="120"/>
      <c r="F118" s="121">
        <v>75002446</v>
      </c>
      <c r="G118" s="120" t="s">
        <v>1013</v>
      </c>
      <c r="H118" s="120" t="s">
        <v>785</v>
      </c>
      <c r="I118" s="120" t="s">
        <v>203</v>
      </c>
      <c r="J118" s="120"/>
      <c r="K118" s="120" t="s">
        <v>463</v>
      </c>
      <c r="L118" s="120" t="s">
        <v>338</v>
      </c>
      <c r="M118" s="120" t="s">
        <v>337</v>
      </c>
      <c r="N118" s="121"/>
      <c r="O118" s="124">
        <v>44195</v>
      </c>
      <c r="P118" s="120" t="s">
        <v>2563</v>
      </c>
      <c r="Q118" s="120" t="s">
        <v>311</v>
      </c>
      <c r="R118" s="120" t="s">
        <v>407</v>
      </c>
      <c r="S118" s="120" t="s">
        <v>1217</v>
      </c>
      <c r="T118" s="122">
        <v>10.32</v>
      </c>
      <c r="U118" s="120" t="s">
        <v>2560</v>
      </c>
      <c r="V118" s="123">
        <v>1.286E-2</v>
      </c>
      <c r="W118" s="120"/>
      <c r="X118" s="120"/>
      <c r="Y118" s="123"/>
      <c r="Z118" s="123">
        <v>3.6400000000000002E-2</v>
      </c>
      <c r="AA118" s="124">
        <v>49562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45473</v>
      </c>
      <c r="AO118" s="120"/>
      <c r="AP118" s="123"/>
      <c r="AQ118" s="122">
        <v>335922.02</v>
      </c>
      <c r="AR118" s="122">
        <v>89.57</v>
      </c>
      <c r="AS118" s="122">
        <v>1</v>
      </c>
      <c r="AT118" s="122">
        <v>300.88535000000002</v>
      </c>
      <c r="AU118" s="122">
        <v>300.88535000000002</v>
      </c>
      <c r="AV118" s="122"/>
      <c r="AW118" s="122"/>
      <c r="AX118" s="120"/>
      <c r="AY118" s="120"/>
      <c r="AZ118" s="123">
        <v>1.1400000000000001E-4</v>
      </c>
      <c r="BA118" s="123">
        <v>5.0000000000000004E-6</v>
      </c>
    </row>
    <row r="119" spans="1:53" ht="15" customHeight="1">
      <c r="A119" s="121">
        <v>313</v>
      </c>
      <c r="B119" s="121">
        <v>313</v>
      </c>
      <c r="C119" s="121"/>
      <c r="D119" s="120"/>
      <c r="E119" s="120"/>
      <c r="F119" s="121">
        <v>75002447</v>
      </c>
      <c r="G119" s="120" t="s">
        <v>1013</v>
      </c>
      <c r="H119" s="120" t="s">
        <v>785</v>
      </c>
      <c r="I119" s="120" t="s">
        <v>203</v>
      </c>
      <c r="J119" s="120"/>
      <c r="K119" s="120" t="s">
        <v>463</v>
      </c>
      <c r="L119" s="120" t="s">
        <v>338</v>
      </c>
      <c r="M119" s="120" t="s">
        <v>337</v>
      </c>
      <c r="N119" s="121"/>
      <c r="O119" s="124">
        <v>44195</v>
      </c>
      <c r="P119" s="120" t="s">
        <v>2563</v>
      </c>
      <c r="Q119" s="120" t="s">
        <v>311</v>
      </c>
      <c r="R119" s="120" t="s">
        <v>407</v>
      </c>
      <c r="S119" s="120" t="s">
        <v>1217</v>
      </c>
      <c r="T119" s="122">
        <v>10.32</v>
      </c>
      <c r="U119" s="120" t="s">
        <v>2560</v>
      </c>
      <c r="V119" s="123">
        <v>1.286E-2</v>
      </c>
      <c r="W119" s="120"/>
      <c r="X119" s="120"/>
      <c r="Y119" s="123"/>
      <c r="Z119" s="123">
        <v>3.6400000000000002E-2</v>
      </c>
      <c r="AA119" s="124">
        <v>49562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45473</v>
      </c>
      <c r="AO119" s="120"/>
      <c r="AP119" s="123"/>
      <c r="AQ119" s="122">
        <v>5651.09</v>
      </c>
      <c r="AR119" s="122">
        <v>89.57</v>
      </c>
      <c r="AS119" s="122">
        <v>1</v>
      </c>
      <c r="AT119" s="122">
        <v>5.06168</v>
      </c>
      <c r="AU119" s="122">
        <v>5.06168</v>
      </c>
      <c r="AV119" s="122"/>
      <c r="AW119" s="122"/>
      <c r="AX119" s="120"/>
      <c r="AY119" s="120"/>
      <c r="AZ119" s="123">
        <v>9.9999999999999995E-7</v>
      </c>
      <c r="BA119" s="123">
        <v>0</v>
      </c>
    </row>
    <row r="120" spans="1:53" ht="15" customHeight="1">
      <c r="A120" s="121">
        <v>313</v>
      </c>
      <c r="B120" s="121">
        <v>313</v>
      </c>
      <c r="C120" s="121"/>
      <c r="D120" s="120"/>
      <c r="E120" s="120"/>
      <c r="F120" s="121">
        <v>79100303</v>
      </c>
      <c r="G120" s="120" t="s">
        <v>1013</v>
      </c>
      <c r="H120" s="120" t="s">
        <v>818</v>
      </c>
      <c r="I120" s="120" t="s">
        <v>203</v>
      </c>
      <c r="J120" s="120"/>
      <c r="K120" s="120" t="s">
        <v>477</v>
      </c>
      <c r="L120" s="120" t="s">
        <v>338</v>
      </c>
      <c r="M120" s="120" t="s">
        <v>338</v>
      </c>
      <c r="N120" s="121"/>
      <c r="O120" s="124">
        <v>44539</v>
      </c>
      <c r="P120" s="120" t="s">
        <v>1297</v>
      </c>
      <c r="Q120" s="120" t="s">
        <v>414</v>
      </c>
      <c r="R120" s="120" t="s">
        <v>407</v>
      </c>
      <c r="S120" s="120" t="s">
        <v>1217</v>
      </c>
      <c r="T120" s="122">
        <v>0.25</v>
      </c>
      <c r="U120" s="120" t="s">
        <v>824</v>
      </c>
      <c r="V120" s="123">
        <v>0.06</v>
      </c>
      <c r="W120" s="120"/>
      <c r="X120" s="120"/>
      <c r="Y120" s="123"/>
      <c r="Z120" s="123">
        <v>6.0299999999999999E-2</v>
      </c>
      <c r="AA120" s="124">
        <v>45635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45473</v>
      </c>
      <c r="AO120" s="120"/>
      <c r="AP120" s="123"/>
      <c r="AQ120" s="122">
        <v>23000000</v>
      </c>
      <c r="AR120" s="122">
        <v>100.02</v>
      </c>
      <c r="AS120" s="122">
        <v>1</v>
      </c>
      <c r="AT120" s="122">
        <v>23004.6</v>
      </c>
      <c r="AU120" s="122">
        <v>23004.6</v>
      </c>
      <c r="AV120" s="122"/>
      <c r="AW120" s="122"/>
      <c r="AX120" s="120"/>
      <c r="AY120" s="120"/>
      <c r="AZ120" s="123">
        <v>8.7729999999999995E-3</v>
      </c>
      <c r="BA120" s="123">
        <v>3.86E-4</v>
      </c>
    </row>
    <row r="121" spans="1:53" ht="15" customHeight="1">
      <c r="A121" s="121">
        <v>313</v>
      </c>
      <c r="B121" s="121">
        <v>313</v>
      </c>
      <c r="C121" s="121"/>
      <c r="D121" s="120"/>
      <c r="E121" s="120"/>
      <c r="F121" s="121">
        <v>79200101</v>
      </c>
      <c r="G121" s="120" t="s">
        <v>1013</v>
      </c>
      <c r="H121" s="120" t="s">
        <v>2562</v>
      </c>
      <c r="I121" s="120" t="s">
        <v>203</v>
      </c>
      <c r="J121" s="120"/>
      <c r="K121" s="120" t="s">
        <v>463</v>
      </c>
      <c r="L121" s="120" t="s">
        <v>338</v>
      </c>
      <c r="M121" s="120" t="s">
        <v>338</v>
      </c>
      <c r="N121" s="121"/>
      <c r="O121" s="124">
        <v>44581</v>
      </c>
      <c r="P121" s="120" t="s">
        <v>409</v>
      </c>
      <c r="Q121" s="120" t="s">
        <v>409</v>
      </c>
      <c r="R121" s="120" t="s">
        <v>409</v>
      </c>
      <c r="S121" s="120" t="s">
        <v>1217</v>
      </c>
      <c r="T121" s="122">
        <v>8.26</v>
      </c>
      <c r="U121" s="120" t="s">
        <v>2560</v>
      </c>
      <c r="V121" s="123">
        <v>2.5000000000000001E-2</v>
      </c>
      <c r="W121" s="120"/>
      <c r="X121" s="120"/>
      <c r="Y121" s="123"/>
      <c r="Z121" s="123">
        <v>5.2999999999999999E-2</v>
      </c>
      <c r="AA121" s="124">
        <v>51956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45473</v>
      </c>
      <c r="AO121" s="120"/>
      <c r="AP121" s="123"/>
      <c r="AQ121" s="122">
        <v>23336732.5</v>
      </c>
      <c r="AR121" s="122">
        <v>87.61</v>
      </c>
      <c r="AS121" s="122">
        <v>1</v>
      </c>
      <c r="AT121" s="122">
        <v>20445.31134</v>
      </c>
      <c r="AU121" s="122">
        <v>20445.31134</v>
      </c>
      <c r="AV121" s="122"/>
      <c r="AW121" s="122"/>
      <c r="AX121" s="120"/>
      <c r="AY121" s="120"/>
      <c r="AZ121" s="123">
        <v>7.7970000000000001E-3</v>
      </c>
      <c r="BA121" s="123">
        <v>3.4299999999999999E-4</v>
      </c>
    </row>
    <row r="122" spans="1:53" ht="15" customHeight="1">
      <c r="A122" s="121">
        <v>313</v>
      </c>
      <c r="B122" s="121">
        <v>313</v>
      </c>
      <c r="C122" s="121"/>
      <c r="D122" s="120"/>
      <c r="E122" s="120"/>
      <c r="F122" s="121">
        <v>80309</v>
      </c>
      <c r="G122" s="120" t="s">
        <v>1013</v>
      </c>
      <c r="H122" s="120" t="s">
        <v>812</v>
      </c>
      <c r="I122" s="120" t="s">
        <v>203</v>
      </c>
      <c r="J122" s="120"/>
      <c r="K122" s="120" t="s">
        <v>439</v>
      </c>
      <c r="L122" s="120" t="s">
        <v>338</v>
      </c>
      <c r="M122" s="120" t="s">
        <v>337</v>
      </c>
      <c r="N122" s="121"/>
      <c r="O122" s="124">
        <v>43341</v>
      </c>
      <c r="P122" s="120" t="s">
        <v>409</v>
      </c>
      <c r="Q122" s="120" t="s">
        <v>409</v>
      </c>
      <c r="R122" s="120" t="s">
        <v>409</v>
      </c>
      <c r="S122" s="120" t="s">
        <v>1217</v>
      </c>
      <c r="T122" s="122">
        <v>5.72</v>
      </c>
      <c r="U122" s="120" t="s">
        <v>2560</v>
      </c>
      <c r="V122" s="123">
        <v>4.4999999999999998E-2</v>
      </c>
      <c r="W122" s="120"/>
      <c r="X122" s="120"/>
      <c r="Y122" s="123"/>
      <c r="Z122" s="123">
        <v>6.6799999999999998E-2</v>
      </c>
      <c r="AA122" s="124">
        <v>50399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45473</v>
      </c>
      <c r="AO122" s="120"/>
      <c r="AP122" s="123"/>
      <c r="AQ122" s="122">
        <v>1178596.68</v>
      </c>
      <c r="AR122" s="122">
        <v>100.94</v>
      </c>
      <c r="AS122" s="122">
        <v>1</v>
      </c>
      <c r="AT122" s="122">
        <v>1189.6754900000001</v>
      </c>
      <c r="AU122" s="122">
        <v>1189.6754900000001</v>
      </c>
      <c r="AV122" s="122"/>
      <c r="AW122" s="122"/>
      <c r="AX122" s="120"/>
      <c r="AY122" s="120"/>
      <c r="AZ122" s="123">
        <v>4.5300000000000001E-4</v>
      </c>
      <c r="BA122" s="123">
        <v>1.9000000000000001E-5</v>
      </c>
    </row>
    <row r="123" spans="1:53" ht="15" customHeight="1">
      <c r="A123" s="121">
        <v>313</v>
      </c>
      <c r="B123" s="121">
        <v>313</v>
      </c>
      <c r="C123" s="121"/>
      <c r="D123" s="120"/>
      <c r="E123" s="120"/>
      <c r="F123" s="121">
        <v>80507</v>
      </c>
      <c r="G123" s="120" t="s">
        <v>1013</v>
      </c>
      <c r="H123" s="120" t="s">
        <v>812</v>
      </c>
      <c r="I123" s="120" t="s">
        <v>203</v>
      </c>
      <c r="J123" s="120"/>
      <c r="K123" s="120" t="s">
        <v>439</v>
      </c>
      <c r="L123" s="120" t="s">
        <v>338</v>
      </c>
      <c r="M123" s="120" t="s">
        <v>337</v>
      </c>
      <c r="N123" s="121"/>
      <c r="O123" s="124">
        <v>42151</v>
      </c>
      <c r="P123" s="120" t="s">
        <v>409</v>
      </c>
      <c r="Q123" s="120" t="s">
        <v>409</v>
      </c>
      <c r="R123" s="120" t="s">
        <v>409</v>
      </c>
      <c r="S123" s="120" t="s">
        <v>1217</v>
      </c>
      <c r="T123" s="122">
        <v>5.68</v>
      </c>
      <c r="U123" s="120" t="s">
        <v>2560</v>
      </c>
      <c r="V123" s="123">
        <v>4.4999999999999998E-2</v>
      </c>
      <c r="W123" s="120"/>
      <c r="X123" s="120"/>
      <c r="Y123" s="123"/>
      <c r="Z123" s="123">
        <v>6.9400000000000003E-2</v>
      </c>
      <c r="AA123" s="124">
        <v>50399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45473</v>
      </c>
      <c r="AO123" s="120"/>
      <c r="AP123" s="123"/>
      <c r="AQ123" s="122">
        <v>4556625.99</v>
      </c>
      <c r="AR123" s="122">
        <v>100.34</v>
      </c>
      <c r="AS123" s="122">
        <v>1</v>
      </c>
      <c r="AT123" s="122">
        <v>4572.11852</v>
      </c>
      <c r="AU123" s="122">
        <v>4572.11852</v>
      </c>
      <c r="AV123" s="122"/>
      <c r="AW123" s="122"/>
      <c r="AX123" s="120"/>
      <c r="AY123" s="120"/>
      <c r="AZ123" s="123">
        <v>1.743E-3</v>
      </c>
      <c r="BA123" s="123">
        <v>7.6000000000000004E-5</v>
      </c>
    </row>
    <row r="124" spans="1:53" ht="15" customHeight="1">
      <c r="A124" s="121">
        <v>313</v>
      </c>
      <c r="B124" s="121">
        <v>313</v>
      </c>
      <c r="C124" s="121"/>
      <c r="D124" s="120"/>
      <c r="E124" s="120"/>
      <c r="F124" s="121">
        <v>80556</v>
      </c>
      <c r="G124" s="120" t="s">
        <v>1013</v>
      </c>
      <c r="H124" s="120" t="s">
        <v>812</v>
      </c>
      <c r="I124" s="120" t="s">
        <v>203</v>
      </c>
      <c r="J124" s="120"/>
      <c r="K124" s="120" t="s">
        <v>439</v>
      </c>
      <c r="L124" s="120" t="s">
        <v>338</v>
      </c>
      <c r="M124" s="120" t="s">
        <v>337</v>
      </c>
      <c r="N124" s="121"/>
      <c r="O124" s="124">
        <v>42166</v>
      </c>
      <c r="P124" s="120" t="s">
        <v>409</v>
      </c>
      <c r="Q124" s="120" t="s">
        <v>409</v>
      </c>
      <c r="R124" s="120" t="s">
        <v>409</v>
      </c>
      <c r="S124" s="120" t="s">
        <v>1217</v>
      </c>
      <c r="T124" s="122">
        <v>5.68</v>
      </c>
      <c r="U124" s="120" t="s">
        <v>2560</v>
      </c>
      <c r="V124" s="123">
        <v>4.4999999999999998E-2</v>
      </c>
      <c r="W124" s="120"/>
      <c r="X124" s="120"/>
      <c r="Y124" s="123"/>
      <c r="Z124" s="123">
        <v>6.9400000000000003E-2</v>
      </c>
      <c r="AA124" s="124">
        <v>50399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45473</v>
      </c>
      <c r="AO124" s="120"/>
      <c r="AP124" s="123"/>
      <c r="AQ124" s="122">
        <v>4287283.75</v>
      </c>
      <c r="AR124" s="122">
        <v>100.34</v>
      </c>
      <c r="AS124" s="122">
        <v>1</v>
      </c>
      <c r="AT124" s="122">
        <v>4301.8605100000004</v>
      </c>
      <c r="AU124" s="122">
        <v>4301.8605100000004</v>
      </c>
      <c r="AV124" s="122"/>
      <c r="AW124" s="122"/>
      <c r="AX124" s="120"/>
      <c r="AY124" s="120"/>
      <c r="AZ124" s="123">
        <v>1.64E-3</v>
      </c>
      <c r="BA124" s="123">
        <v>7.2000000000000002E-5</v>
      </c>
    </row>
    <row r="125" spans="1:53" ht="15" customHeight="1">
      <c r="A125" s="121">
        <v>313</v>
      </c>
      <c r="B125" s="121">
        <v>313</v>
      </c>
      <c r="C125" s="121"/>
      <c r="D125" s="120"/>
      <c r="E125" s="120"/>
      <c r="F125" s="121">
        <v>80572</v>
      </c>
      <c r="G125" s="120" t="s">
        <v>1013</v>
      </c>
      <c r="H125" s="120" t="s">
        <v>812</v>
      </c>
      <c r="I125" s="120" t="s">
        <v>203</v>
      </c>
      <c r="J125" s="120"/>
      <c r="K125" s="120" t="s">
        <v>439</v>
      </c>
      <c r="L125" s="120" t="s">
        <v>338</v>
      </c>
      <c r="M125" s="120" t="s">
        <v>337</v>
      </c>
      <c r="N125" s="121"/>
      <c r="O125" s="124">
        <v>42257</v>
      </c>
      <c r="P125" s="120" t="s">
        <v>409</v>
      </c>
      <c r="Q125" s="120" t="s">
        <v>409</v>
      </c>
      <c r="R125" s="120" t="s">
        <v>409</v>
      </c>
      <c r="S125" s="120" t="s">
        <v>1217</v>
      </c>
      <c r="T125" s="122">
        <v>5.68</v>
      </c>
      <c r="U125" s="120" t="s">
        <v>2560</v>
      </c>
      <c r="V125" s="123">
        <v>4.4999999999999998E-2</v>
      </c>
      <c r="W125" s="120"/>
      <c r="X125" s="120"/>
      <c r="Y125" s="123"/>
      <c r="Z125" s="123">
        <v>6.9400000000000003E-2</v>
      </c>
      <c r="AA125" s="124">
        <v>50399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45473</v>
      </c>
      <c r="AO125" s="120"/>
      <c r="AP125" s="123"/>
      <c r="AQ125" s="122">
        <v>2278279.58</v>
      </c>
      <c r="AR125" s="122">
        <v>99.63</v>
      </c>
      <c r="AS125" s="122">
        <v>1</v>
      </c>
      <c r="AT125" s="122">
        <v>2269.8499499999998</v>
      </c>
      <c r="AU125" s="122">
        <v>2269.8499499999998</v>
      </c>
      <c r="AV125" s="122"/>
      <c r="AW125" s="122"/>
      <c r="AX125" s="120"/>
      <c r="AY125" s="120"/>
      <c r="AZ125" s="123">
        <v>8.6499999999999999E-4</v>
      </c>
      <c r="BA125" s="123">
        <v>3.8000000000000002E-5</v>
      </c>
    </row>
    <row r="126" spans="1:53" ht="15" customHeight="1">
      <c r="A126" s="121">
        <v>313</v>
      </c>
      <c r="B126" s="121">
        <v>313</v>
      </c>
      <c r="C126" s="121"/>
      <c r="D126" s="120"/>
      <c r="E126" s="120"/>
      <c r="F126" s="121">
        <v>80630</v>
      </c>
      <c r="G126" s="120" t="s">
        <v>1013</v>
      </c>
      <c r="H126" s="120" t="s">
        <v>812</v>
      </c>
      <c r="I126" s="120" t="s">
        <v>203</v>
      </c>
      <c r="J126" s="120"/>
      <c r="K126" s="120" t="s">
        <v>439</v>
      </c>
      <c r="L126" s="120" t="s">
        <v>338</v>
      </c>
      <c r="M126" s="120" t="s">
        <v>337</v>
      </c>
      <c r="N126" s="121"/>
      <c r="O126" s="124">
        <v>42348</v>
      </c>
      <c r="P126" s="120" t="s">
        <v>409</v>
      </c>
      <c r="Q126" s="120" t="s">
        <v>409</v>
      </c>
      <c r="R126" s="120" t="s">
        <v>409</v>
      </c>
      <c r="S126" s="120" t="s">
        <v>1217</v>
      </c>
      <c r="T126" s="122">
        <v>5.68</v>
      </c>
      <c r="U126" s="120" t="s">
        <v>2560</v>
      </c>
      <c r="V126" s="123">
        <v>4.4999999999999998E-2</v>
      </c>
      <c r="W126" s="120"/>
      <c r="X126" s="120"/>
      <c r="Y126" s="123"/>
      <c r="Z126" s="123">
        <v>6.9400000000000003E-2</v>
      </c>
      <c r="AA126" s="124">
        <v>50399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45473</v>
      </c>
      <c r="AO126" s="120"/>
      <c r="AP126" s="123"/>
      <c r="AQ126" s="122">
        <v>3945272.52</v>
      </c>
      <c r="AR126" s="122">
        <v>100.13</v>
      </c>
      <c r="AS126" s="122">
        <v>1</v>
      </c>
      <c r="AT126" s="122">
        <v>3950.40137</v>
      </c>
      <c r="AU126" s="122">
        <v>3950.40137</v>
      </c>
      <c r="AV126" s="122"/>
      <c r="AW126" s="122"/>
      <c r="AX126" s="120"/>
      <c r="AY126" s="120"/>
      <c r="AZ126" s="123">
        <v>1.506E-3</v>
      </c>
      <c r="BA126" s="123">
        <v>6.6000000000000005E-5</v>
      </c>
    </row>
    <row r="127" spans="1:53" ht="15" customHeight="1">
      <c r="A127" s="121">
        <v>313</v>
      </c>
      <c r="B127" s="121">
        <v>313</v>
      </c>
      <c r="C127" s="121"/>
      <c r="D127" s="120"/>
      <c r="E127" s="120"/>
      <c r="F127" s="121">
        <v>80655</v>
      </c>
      <c r="G127" s="120" t="s">
        <v>1013</v>
      </c>
      <c r="H127" s="120" t="s">
        <v>812</v>
      </c>
      <c r="I127" s="120" t="s">
        <v>203</v>
      </c>
      <c r="J127" s="120"/>
      <c r="K127" s="120" t="s">
        <v>439</v>
      </c>
      <c r="L127" s="120" t="s">
        <v>338</v>
      </c>
      <c r="M127" s="120" t="s">
        <v>337</v>
      </c>
      <c r="N127" s="121"/>
      <c r="O127" s="124">
        <v>42439</v>
      </c>
      <c r="P127" s="120" t="s">
        <v>409</v>
      </c>
      <c r="Q127" s="120" t="s">
        <v>409</v>
      </c>
      <c r="R127" s="120" t="s">
        <v>409</v>
      </c>
      <c r="S127" s="120" t="s">
        <v>1217</v>
      </c>
      <c r="T127" s="122">
        <v>5.68</v>
      </c>
      <c r="U127" s="120" t="s">
        <v>2560</v>
      </c>
      <c r="V127" s="123">
        <v>4.4999999999999998E-2</v>
      </c>
      <c r="W127" s="120"/>
      <c r="X127" s="120"/>
      <c r="Y127" s="123"/>
      <c r="Z127" s="123">
        <v>6.9400000000000003E-2</v>
      </c>
      <c r="AA127" s="124">
        <v>50399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45473</v>
      </c>
      <c r="AO127" s="120"/>
      <c r="AP127" s="123"/>
      <c r="AQ127" s="122">
        <v>4685738.32</v>
      </c>
      <c r="AR127" s="122">
        <v>101.15</v>
      </c>
      <c r="AS127" s="122">
        <v>1</v>
      </c>
      <c r="AT127" s="122">
        <v>4739.6243100000002</v>
      </c>
      <c r="AU127" s="122">
        <v>4739.6243100000002</v>
      </c>
      <c r="AV127" s="122"/>
      <c r="AW127" s="122"/>
      <c r="AX127" s="120"/>
      <c r="AY127" s="120"/>
      <c r="AZ127" s="123">
        <v>1.807E-3</v>
      </c>
      <c r="BA127" s="123">
        <v>7.8999999999999996E-5</v>
      </c>
    </row>
    <row r="128" spans="1:53" ht="15" customHeight="1">
      <c r="A128" s="121">
        <v>313</v>
      </c>
      <c r="B128" s="121">
        <v>313</v>
      </c>
      <c r="C128" s="121"/>
      <c r="D128" s="120"/>
      <c r="E128" s="120"/>
      <c r="F128" s="121">
        <v>80689</v>
      </c>
      <c r="G128" s="120" t="s">
        <v>1013</v>
      </c>
      <c r="H128" s="120" t="s">
        <v>812</v>
      </c>
      <c r="I128" s="120" t="s">
        <v>203</v>
      </c>
      <c r="J128" s="120"/>
      <c r="K128" s="120" t="s">
        <v>439</v>
      </c>
      <c r="L128" s="120" t="s">
        <v>338</v>
      </c>
      <c r="M128" s="120" t="s">
        <v>337</v>
      </c>
      <c r="N128" s="121"/>
      <c r="O128" s="124">
        <v>42549</v>
      </c>
      <c r="P128" s="120" t="s">
        <v>409</v>
      </c>
      <c r="Q128" s="120" t="s">
        <v>409</v>
      </c>
      <c r="R128" s="120" t="s">
        <v>409</v>
      </c>
      <c r="S128" s="120" t="s">
        <v>1217</v>
      </c>
      <c r="T128" s="122">
        <v>5.69</v>
      </c>
      <c r="U128" s="120" t="s">
        <v>2560</v>
      </c>
      <c r="V128" s="123">
        <v>4.4999999999999998E-2</v>
      </c>
      <c r="W128" s="120"/>
      <c r="X128" s="120"/>
      <c r="Y128" s="123"/>
      <c r="Z128" s="123">
        <v>6.8599999999999994E-2</v>
      </c>
      <c r="AA128" s="124">
        <v>50399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45473</v>
      </c>
      <c r="AO128" s="120"/>
      <c r="AP128" s="123"/>
      <c r="AQ128" s="122">
        <v>3295894.67</v>
      </c>
      <c r="AR128" s="122">
        <v>101.37</v>
      </c>
      <c r="AS128" s="122">
        <v>1</v>
      </c>
      <c r="AT128" s="122">
        <v>3341.0484299999998</v>
      </c>
      <c r="AU128" s="122">
        <v>3341.0484299999998</v>
      </c>
      <c r="AV128" s="122"/>
      <c r="AW128" s="122"/>
      <c r="AX128" s="120"/>
      <c r="AY128" s="120"/>
      <c r="AZ128" s="123">
        <v>1.274E-3</v>
      </c>
      <c r="BA128" s="123">
        <v>5.5999999999999999E-5</v>
      </c>
    </row>
    <row r="129" spans="1:53" ht="15" customHeight="1">
      <c r="A129" s="121">
        <v>313</v>
      </c>
      <c r="B129" s="121">
        <v>313</v>
      </c>
      <c r="C129" s="121"/>
      <c r="D129" s="120"/>
      <c r="E129" s="120"/>
      <c r="F129" s="121">
        <v>79100302</v>
      </c>
      <c r="G129" s="120" t="s">
        <v>1013</v>
      </c>
      <c r="H129" s="120" t="s">
        <v>818</v>
      </c>
      <c r="I129" s="120" t="s">
        <v>203</v>
      </c>
      <c r="J129" s="120"/>
      <c r="K129" s="120" t="s">
        <v>477</v>
      </c>
      <c r="L129" s="120" t="s">
        <v>338</v>
      </c>
      <c r="M129" s="120" t="s">
        <v>338</v>
      </c>
      <c r="N129" s="121"/>
      <c r="O129" s="124">
        <v>44469</v>
      </c>
      <c r="P129" s="120" t="s">
        <v>1297</v>
      </c>
      <c r="Q129" s="120" t="s">
        <v>414</v>
      </c>
      <c r="R129" s="120" t="s">
        <v>407</v>
      </c>
      <c r="S129" s="120" t="s">
        <v>1217</v>
      </c>
      <c r="T129" s="122">
        <v>0.25</v>
      </c>
      <c r="U129" s="120" t="s">
        <v>824</v>
      </c>
      <c r="V129" s="123">
        <v>0.06</v>
      </c>
      <c r="W129" s="120"/>
      <c r="X129" s="120"/>
      <c r="Y129" s="123"/>
      <c r="Z129" s="123">
        <v>6.0299999999999999E-2</v>
      </c>
      <c r="AA129" s="124">
        <v>45565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45473</v>
      </c>
      <c r="AO129" s="120"/>
      <c r="AP129" s="123"/>
      <c r="AQ129" s="122">
        <v>23000000</v>
      </c>
      <c r="AR129" s="122">
        <v>100.02</v>
      </c>
      <c r="AS129" s="122">
        <v>1</v>
      </c>
      <c r="AT129" s="122">
        <v>23004.6</v>
      </c>
      <c r="AU129" s="122">
        <v>23004.6</v>
      </c>
      <c r="AV129" s="122"/>
      <c r="AW129" s="122"/>
      <c r="AX129" s="120"/>
      <c r="AY129" s="120"/>
      <c r="AZ129" s="123">
        <v>8.7729999999999995E-3</v>
      </c>
      <c r="BA129" s="123">
        <v>3.86E-4</v>
      </c>
    </row>
    <row r="130" spans="1:53" ht="15" customHeight="1">
      <c r="A130" s="121">
        <v>313</v>
      </c>
      <c r="B130" s="121">
        <v>313</v>
      </c>
      <c r="C130" s="121"/>
      <c r="D130" s="120"/>
      <c r="E130" s="120"/>
      <c r="F130" s="121">
        <v>79004002</v>
      </c>
      <c r="G130" s="120" t="s">
        <v>1013</v>
      </c>
      <c r="H130" s="120" t="s">
        <v>2567</v>
      </c>
      <c r="I130" s="120" t="s">
        <v>203</v>
      </c>
      <c r="J130" s="120"/>
      <c r="K130" s="120" t="s">
        <v>463</v>
      </c>
      <c r="L130" s="120" t="s">
        <v>338</v>
      </c>
      <c r="M130" s="120" t="s">
        <v>337</v>
      </c>
      <c r="N130" s="121"/>
      <c r="O130" s="124">
        <v>44441</v>
      </c>
      <c r="P130" s="120" t="s">
        <v>2564</v>
      </c>
      <c r="Q130" s="120" t="s">
        <v>311</v>
      </c>
      <c r="R130" s="120" t="s">
        <v>407</v>
      </c>
      <c r="S130" s="120" t="s">
        <v>1217</v>
      </c>
      <c r="T130" s="122">
        <v>6.33</v>
      </c>
      <c r="U130" s="120" t="s">
        <v>2560</v>
      </c>
      <c r="V130" s="123">
        <v>3.4959999999999998E-2</v>
      </c>
      <c r="W130" s="120"/>
      <c r="X130" s="120"/>
      <c r="Y130" s="123"/>
      <c r="Z130" s="123">
        <v>6.9800000000000001E-2</v>
      </c>
      <c r="AA130" s="124">
        <v>48121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45473</v>
      </c>
      <c r="AO130" s="120"/>
      <c r="AP130" s="123"/>
      <c r="AQ130" s="122">
        <v>13846000</v>
      </c>
      <c r="AR130" s="122">
        <v>81.16</v>
      </c>
      <c r="AS130" s="122">
        <v>1</v>
      </c>
      <c r="AT130" s="122">
        <v>11237.4136</v>
      </c>
      <c r="AU130" s="122">
        <v>11237.4136</v>
      </c>
      <c r="AV130" s="122"/>
      <c r="AW130" s="122"/>
      <c r="AX130" s="120"/>
      <c r="AY130" s="120"/>
      <c r="AZ130" s="123">
        <v>4.2849999999999997E-3</v>
      </c>
      <c r="BA130" s="123">
        <v>1.8799999999999999E-4</v>
      </c>
    </row>
    <row r="131" spans="1:53" ht="15" customHeight="1">
      <c r="A131" s="121">
        <v>313</v>
      </c>
      <c r="B131" s="121">
        <v>313</v>
      </c>
      <c r="C131" s="121"/>
      <c r="D131" s="120"/>
      <c r="E131" s="120"/>
      <c r="F131" s="121">
        <v>79004001</v>
      </c>
      <c r="G131" s="120" t="s">
        <v>1013</v>
      </c>
      <c r="H131" s="120" t="s">
        <v>2567</v>
      </c>
      <c r="I131" s="120" t="s">
        <v>203</v>
      </c>
      <c r="J131" s="120"/>
      <c r="K131" s="120" t="s">
        <v>463</v>
      </c>
      <c r="L131" s="120" t="s">
        <v>338</v>
      </c>
      <c r="M131" s="120" t="s">
        <v>337</v>
      </c>
      <c r="N131" s="121"/>
      <c r="O131" s="124">
        <v>44441</v>
      </c>
      <c r="P131" s="120" t="s">
        <v>2564</v>
      </c>
      <c r="Q131" s="120" t="s">
        <v>311</v>
      </c>
      <c r="R131" s="120" t="s">
        <v>407</v>
      </c>
      <c r="S131" s="120" t="s">
        <v>1217</v>
      </c>
      <c r="T131" s="122">
        <v>3.45</v>
      </c>
      <c r="U131" s="120" t="s">
        <v>2560</v>
      </c>
      <c r="V131" s="123">
        <v>3.4959999999999998E-2</v>
      </c>
      <c r="W131" s="120"/>
      <c r="X131" s="120"/>
      <c r="Y131" s="123"/>
      <c r="Z131" s="123">
        <v>7.1499999999999994E-2</v>
      </c>
      <c r="AA131" s="124">
        <v>48121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45473</v>
      </c>
      <c r="AO131" s="120"/>
      <c r="AP131" s="123"/>
      <c r="AQ131" s="122">
        <v>8243691.8700000001</v>
      </c>
      <c r="AR131" s="122">
        <v>88.62</v>
      </c>
      <c r="AS131" s="122">
        <v>1</v>
      </c>
      <c r="AT131" s="122">
        <v>7305.5597399999997</v>
      </c>
      <c r="AU131" s="122">
        <v>7305.5597399999997</v>
      </c>
      <c r="AV131" s="122"/>
      <c r="AW131" s="122"/>
      <c r="AX131" s="120"/>
      <c r="AY131" s="120"/>
      <c r="AZ131" s="123">
        <v>2.7859999999999998E-3</v>
      </c>
      <c r="BA131" s="123">
        <v>1.22E-4</v>
      </c>
    </row>
    <row r="132" spans="1:53" ht="15" customHeight="1">
      <c r="A132" s="121">
        <v>313</v>
      </c>
      <c r="B132" s="121">
        <v>313</v>
      </c>
      <c r="C132" s="121"/>
      <c r="D132" s="120"/>
      <c r="E132" s="120"/>
      <c r="F132" s="121">
        <v>78900003</v>
      </c>
      <c r="G132" s="120" t="s">
        <v>1013</v>
      </c>
      <c r="H132" s="120" t="s">
        <v>785</v>
      </c>
      <c r="I132" s="120" t="s">
        <v>203</v>
      </c>
      <c r="J132" s="120"/>
      <c r="K132" s="120" t="s">
        <v>446</v>
      </c>
      <c r="L132" s="120" t="s">
        <v>338</v>
      </c>
      <c r="M132" s="120" t="s">
        <v>337</v>
      </c>
      <c r="N132" s="121"/>
      <c r="O132" s="124">
        <v>45469</v>
      </c>
      <c r="P132" s="120" t="s">
        <v>1334</v>
      </c>
      <c r="Q132" s="120" t="s">
        <v>414</v>
      </c>
      <c r="R132" s="120" t="s">
        <v>407</v>
      </c>
      <c r="S132" s="120" t="s">
        <v>1217</v>
      </c>
      <c r="T132" s="122">
        <v>0.65</v>
      </c>
      <c r="U132" s="120" t="s">
        <v>824</v>
      </c>
      <c r="V132" s="123">
        <v>6.6000000000000003E-2</v>
      </c>
      <c r="W132" s="120"/>
      <c r="X132" s="120"/>
      <c r="Y132" s="123"/>
      <c r="Z132" s="123">
        <v>6.2E-2</v>
      </c>
      <c r="AA132" s="124">
        <v>45713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45473</v>
      </c>
      <c r="AO132" s="120"/>
      <c r="AP132" s="123"/>
      <c r="AQ132" s="122">
        <v>892975</v>
      </c>
      <c r="AR132" s="122">
        <v>100.41</v>
      </c>
      <c r="AS132" s="122">
        <v>1</v>
      </c>
      <c r="AT132" s="122">
        <v>896.63620000000003</v>
      </c>
      <c r="AU132" s="122">
        <v>896.63620000000003</v>
      </c>
      <c r="AV132" s="122"/>
      <c r="AW132" s="122"/>
      <c r="AX132" s="120"/>
      <c r="AY132" s="120"/>
      <c r="AZ132" s="123">
        <v>3.4099999999999999E-4</v>
      </c>
      <c r="BA132" s="123">
        <v>1.5E-5</v>
      </c>
    </row>
    <row r="133" spans="1:53" ht="15" customHeight="1">
      <c r="A133" s="121">
        <v>313</v>
      </c>
      <c r="B133" s="121">
        <v>313</v>
      </c>
      <c r="C133" s="121"/>
      <c r="D133" s="120"/>
      <c r="E133" s="120"/>
      <c r="F133" s="121">
        <v>78100005</v>
      </c>
      <c r="G133" s="120" t="s">
        <v>1013</v>
      </c>
      <c r="H133" s="120" t="s">
        <v>785</v>
      </c>
      <c r="I133" s="120" t="s">
        <v>203</v>
      </c>
      <c r="J133" s="120"/>
      <c r="K133" s="120" t="s">
        <v>463</v>
      </c>
      <c r="L133" s="120" t="s">
        <v>338</v>
      </c>
      <c r="M133" s="120" t="s">
        <v>337</v>
      </c>
      <c r="N133" s="121"/>
      <c r="O133" s="124">
        <v>44273</v>
      </c>
      <c r="P133" s="120" t="s">
        <v>2563</v>
      </c>
      <c r="Q133" s="120" t="s">
        <v>311</v>
      </c>
      <c r="R133" s="120" t="s">
        <v>407</v>
      </c>
      <c r="S133" s="120" t="s">
        <v>1217</v>
      </c>
      <c r="T133" s="122">
        <v>4.16</v>
      </c>
      <c r="U133" s="120" t="s">
        <v>824</v>
      </c>
      <c r="V133" s="123">
        <v>7.3499999999999996E-2</v>
      </c>
      <c r="W133" s="120"/>
      <c r="X133" s="120"/>
      <c r="Y133" s="123"/>
      <c r="Z133" s="123">
        <v>7.9699999999999993E-2</v>
      </c>
      <c r="AA133" s="124">
        <v>47849</v>
      </c>
      <c r="AB133" s="120" t="s">
        <v>411</v>
      </c>
      <c r="AC133" s="120"/>
      <c r="AD133" s="122"/>
      <c r="AE133" s="123"/>
      <c r="AF133" s="124"/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45473</v>
      </c>
      <c r="AO133" s="120"/>
      <c r="AP133" s="123"/>
      <c r="AQ133" s="122">
        <v>2831587.5</v>
      </c>
      <c r="AR133" s="122">
        <v>100.18</v>
      </c>
      <c r="AS133" s="122">
        <v>1</v>
      </c>
      <c r="AT133" s="122">
        <v>2836.6843600000002</v>
      </c>
      <c r="AU133" s="122">
        <v>2836.6843600000002</v>
      </c>
      <c r="AV133" s="122"/>
      <c r="AW133" s="122"/>
      <c r="AX133" s="120"/>
      <c r="AY133" s="120"/>
      <c r="AZ133" s="123">
        <v>1.0809999999999999E-3</v>
      </c>
      <c r="BA133" s="123">
        <v>4.6999999999999997E-5</v>
      </c>
    </row>
    <row r="134" spans="1:53" ht="15" customHeight="1">
      <c r="A134" s="121">
        <v>313</v>
      </c>
      <c r="B134" s="121">
        <v>313</v>
      </c>
      <c r="C134" s="121"/>
      <c r="D134" s="120"/>
      <c r="E134" s="120"/>
      <c r="F134" s="121">
        <v>78100008</v>
      </c>
      <c r="G134" s="120" t="s">
        <v>1013</v>
      </c>
      <c r="H134" s="120" t="s">
        <v>785</v>
      </c>
      <c r="I134" s="120" t="s">
        <v>203</v>
      </c>
      <c r="J134" s="120"/>
      <c r="K134" s="120" t="s">
        <v>463</v>
      </c>
      <c r="L134" s="120" t="s">
        <v>338</v>
      </c>
      <c r="M134" s="120" t="s">
        <v>337</v>
      </c>
      <c r="N134" s="121"/>
      <c r="O134" s="124">
        <v>44193</v>
      </c>
      <c r="P134" s="120" t="s">
        <v>2563</v>
      </c>
      <c r="Q134" s="120" t="s">
        <v>311</v>
      </c>
      <c r="R134" s="120" t="s">
        <v>407</v>
      </c>
      <c r="S134" s="120" t="s">
        <v>1217</v>
      </c>
      <c r="T134" s="122">
        <v>1.42</v>
      </c>
      <c r="U134" s="120" t="s">
        <v>2560</v>
      </c>
      <c r="V134" s="123">
        <v>3.0499999999999999E-2</v>
      </c>
      <c r="W134" s="120"/>
      <c r="X134" s="120"/>
      <c r="Y134" s="123"/>
      <c r="Z134" s="123">
        <v>5.8000000000000003E-2</v>
      </c>
      <c r="AA134" s="124">
        <v>46019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45473</v>
      </c>
      <c r="AO134" s="120"/>
      <c r="AP134" s="123"/>
      <c r="AQ134" s="122">
        <v>22292060</v>
      </c>
      <c r="AR134" s="122">
        <v>96.39</v>
      </c>
      <c r="AS134" s="122">
        <v>1</v>
      </c>
      <c r="AT134" s="122">
        <v>21487.316630000001</v>
      </c>
      <c r="AU134" s="122">
        <v>21487.316630000001</v>
      </c>
      <c r="AV134" s="122"/>
      <c r="AW134" s="122"/>
      <c r="AX134" s="120"/>
      <c r="AY134" s="120"/>
      <c r="AZ134" s="123">
        <v>8.1939999999999999E-3</v>
      </c>
      <c r="BA134" s="123">
        <v>3.6000000000000002E-4</v>
      </c>
    </row>
    <row r="135" spans="1:53" ht="15" customHeight="1">
      <c r="A135" s="121">
        <v>313</v>
      </c>
      <c r="B135" s="121">
        <v>313</v>
      </c>
      <c r="C135" s="121"/>
      <c r="D135" s="120"/>
      <c r="E135" s="120"/>
      <c r="F135" s="121">
        <v>78100009</v>
      </c>
      <c r="G135" s="120" t="s">
        <v>1013</v>
      </c>
      <c r="H135" s="120" t="s">
        <v>2568</v>
      </c>
      <c r="I135" s="120" t="s">
        <v>203</v>
      </c>
      <c r="J135" s="120"/>
      <c r="K135" s="120" t="s">
        <v>463</v>
      </c>
      <c r="L135" s="120" t="s">
        <v>338</v>
      </c>
      <c r="M135" s="120" t="s">
        <v>337</v>
      </c>
      <c r="N135" s="121"/>
      <c r="O135" s="124">
        <v>44285</v>
      </c>
      <c r="P135" s="120" t="s">
        <v>2569</v>
      </c>
      <c r="Q135" s="120" t="s">
        <v>311</v>
      </c>
      <c r="R135" s="120" t="s">
        <v>407</v>
      </c>
      <c r="S135" s="120" t="s">
        <v>1217</v>
      </c>
      <c r="T135" s="122">
        <v>1.58</v>
      </c>
      <c r="U135" s="120" t="s">
        <v>824</v>
      </c>
      <c r="V135" s="123">
        <v>7.2499999999999995E-2</v>
      </c>
      <c r="W135" s="120"/>
      <c r="X135" s="120"/>
      <c r="Y135" s="123"/>
      <c r="Z135" s="123">
        <v>8.8099999999999998E-2</v>
      </c>
      <c r="AA135" s="124">
        <v>46111</v>
      </c>
      <c r="AB135" s="120" t="s">
        <v>411</v>
      </c>
      <c r="AC135" s="120"/>
      <c r="AD135" s="122"/>
      <c r="AE135" s="123"/>
      <c r="AF135" s="124"/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45473</v>
      </c>
      <c r="AO135" s="120"/>
      <c r="AP135" s="123"/>
      <c r="AQ135" s="122">
        <v>9910556.25</v>
      </c>
      <c r="AR135" s="122">
        <v>98.02</v>
      </c>
      <c r="AS135" s="122">
        <v>1</v>
      </c>
      <c r="AT135" s="122">
        <v>9714.3272400000005</v>
      </c>
      <c r="AU135" s="122">
        <v>9714.3272400000005</v>
      </c>
      <c r="AV135" s="122"/>
      <c r="AW135" s="122"/>
      <c r="AX135" s="120"/>
      <c r="AY135" s="120"/>
      <c r="AZ135" s="123">
        <v>3.7039999999999998E-3</v>
      </c>
      <c r="BA135" s="123">
        <v>1.63E-4</v>
      </c>
    </row>
    <row r="136" spans="1:53" ht="15" customHeight="1">
      <c r="A136" s="121">
        <v>313</v>
      </c>
      <c r="B136" s="121">
        <v>313</v>
      </c>
      <c r="C136" s="121"/>
      <c r="D136" s="120"/>
      <c r="E136" s="120"/>
      <c r="F136" s="121">
        <v>78200103</v>
      </c>
      <c r="G136" s="120" t="s">
        <v>1013</v>
      </c>
      <c r="H136" s="120" t="s">
        <v>2570</v>
      </c>
      <c r="I136" s="120" t="s">
        <v>203</v>
      </c>
      <c r="J136" s="120"/>
      <c r="K136" s="120" t="s">
        <v>463</v>
      </c>
      <c r="L136" s="120" t="s">
        <v>338</v>
      </c>
      <c r="M136" s="120" t="s">
        <v>337</v>
      </c>
      <c r="N136" s="121"/>
      <c r="O136" s="124">
        <v>44579</v>
      </c>
      <c r="P136" s="120" t="s">
        <v>2563</v>
      </c>
      <c r="Q136" s="120" t="s">
        <v>311</v>
      </c>
      <c r="R136" s="120" t="s">
        <v>407</v>
      </c>
      <c r="S136" s="120" t="s">
        <v>1217</v>
      </c>
      <c r="T136" s="122">
        <v>2.81</v>
      </c>
      <c r="U136" s="120" t="s">
        <v>824</v>
      </c>
      <c r="V136" s="123">
        <v>6.1499999999999999E-2</v>
      </c>
      <c r="W136" s="120"/>
      <c r="X136" s="120"/>
      <c r="Y136" s="123"/>
      <c r="Z136" s="123">
        <v>6.0999999999999999E-2</v>
      </c>
      <c r="AA136" s="124">
        <v>47654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45473</v>
      </c>
      <c r="AO136" s="120"/>
      <c r="AP136" s="123"/>
      <c r="AQ136" s="122">
        <v>22116354.760000002</v>
      </c>
      <c r="AR136" s="122">
        <v>100.67</v>
      </c>
      <c r="AS136" s="122">
        <v>1</v>
      </c>
      <c r="AT136" s="122">
        <v>22264.534339999998</v>
      </c>
      <c r="AU136" s="122">
        <v>22264.534339999998</v>
      </c>
      <c r="AV136" s="122"/>
      <c r="AW136" s="122"/>
      <c r="AX136" s="120"/>
      <c r="AY136" s="120"/>
      <c r="AZ136" s="123">
        <v>8.4910000000000003E-3</v>
      </c>
      <c r="BA136" s="123">
        <v>3.7300000000000001E-4</v>
      </c>
    </row>
    <row r="137" spans="1:53" ht="15" customHeight="1">
      <c r="A137" s="121">
        <v>313</v>
      </c>
      <c r="B137" s="121">
        <v>313</v>
      </c>
      <c r="C137" s="121"/>
      <c r="D137" s="120"/>
      <c r="E137" s="120"/>
      <c r="F137" s="121">
        <v>80697</v>
      </c>
      <c r="G137" s="120" t="s">
        <v>1013</v>
      </c>
      <c r="H137" s="120" t="s">
        <v>812</v>
      </c>
      <c r="I137" s="120" t="s">
        <v>203</v>
      </c>
      <c r="J137" s="120"/>
      <c r="K137" s="120" t="s">
        <v>439</v>
      </c>
      <c r="L137" s="120" t="s">
        <v>338</v>
      </c>
      <c r="M137" s="120" t="s">
        <v>337</v>
      </c>
      <c r="N137" s="121"/>
      <c r="O137" s="124">
        <v>42604</v>
      </c>
      <c r="P137" s="120" t="s">
        <v>409</v>
      </c>
      <c r="Q137" s="120" t="s">
        <v>409</v>
      </c>
      <c r="R137" s="120" t="s">
        <v>409</v>
      </c>
      <c r="S137" s="120" t="s">
        <v>1217</v>
      </c>
      <c r="T137" s="122">
        <v>5.68</v>
      </c>
      <c r="U137" s="120" t="s">
        <v>2560</v>
      </c>
      <c r="V137" s="123">
        <v>4.4999999999999998E-2</v>
      </c>
      <c r="W137" s="120"/>
      <c r="X137" s="120"/>
      <c r="Y137" s="123"/>
      <c r="Z137" s="123">
        <v>6.9400000000000003E-2</v>
      </c>
      <c r="AA137" s="124">
        <v>50399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45473</v>
      </c>
      <c r="AO137" s="120"/>
      <c r="AP137" s="123"/>
      <c r="AQ137" s="122">
        <v>4309955.78</v>
      </c>
      <c r="AR137" s="122">
        <v>100.23</v>
      </c>
      <c r="AS137" s="122">
        <v>1</v>
      </c>
      <c r="AT137" s="122">
        <v>4319.8686799999996</v>
      </c>
      <c r="AU137" s="122">
        <v>4319.8686799999996</v>
      </c>
      <c r="AV137" s="122"/>
      <c r="AW137" s="122"/>
      <c r="AX137" s="120"/>
      <c r="AY137" s="120"/>
      <c r="AZ137" s="123">
        <v>1.647E-3</v>
      </c>
      <c r="BA137" s="123">
        <v>7.2000000000000002E-5</v>
      </c>
    </row>
    <row r="138" spans="1:53" ht="15" customHeight="1">
      <c r="A138" s="121">
        <v>313</v>
      </c>
      <c r="B138" s="121">
        <v>313</v>
      </c>
      <c r="C138" s="121"/>
      <c r="D138" s="120"/>
      <c r="E138" s="120"/>
      <c r="F138" s="121">
        <v>78200104</v>
      </c>
      <c r="G138" s="120" t="s">
        <v>1013</v>
      </c>
      <c r="H138" s="120" t="s">
        <v>2570</v>
      </c>
      <c r="I138" s="120" t="s">
        <v>203</v>
      </c>
      <c r="J138" s="120"/>
      <c r="K138" s="120" t="s">
        <v>463</v>
      </c>
      <c r="L138" s="120" t="s">
        <v>338</v>
      </c>
      <c r="M138" s="120" t="s">
        <v>337</v>
      </c>
      <c r="N138" s="121"/>
      <c r="O138" s="124">
        <v>44588</v>
      </c>
      <c r="P138" s="120" t="s">
        <v>2563</v>
      </c>
      <c r="Q138" s="120" t="s">
        <v>311</v>
      </c>
      <c r="R138" s="120" t="s">
        <v>407</v>
      </c>
      <c r="S138" s="120" t="s">
        <v>1217</v>
      </c>
      <c r="T138" s="122">
        <v>2.81</v>
      </c>
      <c r="U138" s="120" t="s">
        <v>824</v>
      </c>
      <c r="V138" s="123">
        <v>6.1499999999999999E-2</v>
      </c>
      <c r="W138" s="120"/>
      <c r="X138" s="120"/>
      <c r="Y138" s="123"/>
      <c r="Z138" s="123">
        <v>6.0600000000000001E-2</v>
      </c>
      <c r="AA138" s="124">
        <v>47654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45473</v>
      </c>
      <c r="AO138" s="120"/>
      <c r="AP138" s="123"/>
      <c r="AQ138" s="122">
        <v>10407696.359999999</v>
      </c>
      <c r="AR138" s="122">
        <v>100.77</v>
      </c>
      <c r="AS138" s="122">
        <v>1</v>
      </c>
      <c r="AT138" s="122">
        <v>10487.83562</v>
      </c>
      <c r="AU138" s="122">
        <v>10487.83562</v>
      </c>
      <c r="AV138" s="122"/>
      <c r="AW138" s="122"/>
      <c r="AX138" s="120"/>
      <c r="AY138" s="120"/>
      <c r="AZ138" s="123">
        <v>3.999E-3</v>
      </c>
      <c r="BA138" s="123">
        <v>1.75E-4</v>
      </c>
    </row>
    <row r="139" spans="1:53" ht="15" customHeight="1">
      <c r="A139" s="121">
        <v>313</v>
      </c>
      <c r="B139" s="121">
        <v>313</v>
      </c>
      <c r="C139" s="121"/>
      <c r="D139" s="120"/>
      <c r="E139" s="120"/>
      <c r="F139" s="121">
        <v>78200107</v>
      </c>
      <c r="G139" s="120" t="s">
        <v>1013</v>
      </c>
      <c r="H139" s="120" t="s">
        <v>2570</v>
      </c>
      <c r="I139" s="120" t="s">
        <v>203</v>
      </c>
      <c r="J139" s="120"/>
      <c r="K139" s="120" t="s">
        <v>463</v>
      </c>
      <c r="L139" s="120" t="s">
        <v>338</v>
      </c>
      <c r="M139" s="120" t="s">
        <v>337</v>
      </c>
      <c r="N139" s="121"/>
      <c r="O139" s="124">
        <v>45306</v>
      </c>
      <c r="P139" s="120" t="s">
        <v>1293</v>
      </c>
      <c r="Q139" s="120" t="s">
        <v>311</v>
      </c>
      <c r="R139" s="120" t="s">
        <v>407</v>
      </c>
      <c r="S139" s="120" t="s">
        <v>1217</v>
      </c>
      <c r="T139" s="122">
        <v>5.04</v>
      </c>
      <c r="U139" s="120" t="s">
        <v>824</v>
      </c>
      <c r="V139" s="123">
        <v>6.1499999999999999E-2</v>
      </c>
      <c r="W139" s="120"/>
      <c r="X139" s="120"/>
      <c r="Y139" s="123"/>
      <c r="Z139" s="123">
        <v>6.1400000000000003E-2</v>
      </c>
      <c r="AA139" s="124">
        <v>47654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45473</v>
      </c>
      <c r="AO139" s="120"/>
      <c r="AP139" s="123"/>
      <c r="AQ139" s="122">
        <v>1322500</v>
      </c>
      <c r="AR139" s="122">
        <v>100.87</v>
      </c>
      <c r="AS139" s="122">
        <v>1</v>
      </c>
      <c r="AT139" s="122">
        <v>1334.00575</v>
      </c>
      <c r="AU139" s="122">
        <v>1334.00575</v>
      </c>
      <c r="AV139" s="122"/>
      <c r="AW139" s="122"/>
      <c r="AX139" s="120"/>
      <c r="AY139" s="120"/>
      <c r="AZ139" s="123">
        <v>5.0799999999999999E-4</v>
      </c>
      <c r="BA139" s="123">
        <v>2.1999999999999999E-5</v>
      </c>
    </row>
    <row r="140" spans="1:53" ht="15" customHeight="1">
      <c r="A140" s="121">
        <v>313</v>
      </c>
      <c r="B140" s="121">
        <v>313</v>
      </c>
      <c r="C140" s="121"/>
      <c r="D140" s="120"/>
      <c r="E140" s="120"/>
      <c r="F140" s="121">
        <v>78400100</v>
      </c>
      <c r="G140" s="120" t="s">
        <v>1013</v>
      </c>
      <c r="H140" s="120" t="s">
        <v>818</v>
      </c>
      <c r="I140" s="120" t="s">
        <v>203</v>
      </c>
      <c r="J140" s="120"/>
      <c r="K140" s="120" t="s">
        <v>477</v>
      </c>
      <c r="L140" s="120" t="s">
        <v>338</v>
      </c>
      <c r="M140" s="120" t="s">
        <v>338</v>
      </c>
      <c r="N140" s="121"/>
      <c r="O140" s="124">
        <v>44588</v>
      </c>
      <c r="P140" s="120" t="s">
        <v>2571</v>
      </c>
      <c r="Q140" s="120" t="s">
        <v>412</v>
      </c>
      <c r="R140" s="120" t="s">
        <v>407</v>
      </c>
      <c r="S140" s="120" t="s">
        <v>1217</v>
      </c>
      <c r="T140" s="122">
        <v>5.52</v>
      </c>
      <c r="U140" s="120" t="s">
        <v>2560</v>
      </c>
      <c r="V140" s="123">
        <v>1.851E-3</v>
      </c>
      <c r="W140" s="120"/>
      <c r="X140" s="120"/>
      <c r="Y140" s="123"/>
      <c r="Z140" s="123">
        <v>3.9699999999999999E-2</v>
      </c>
      <c r="AA140" s="124">
        <v>47514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45473</v>
      </c>
      <c r="AO140" s="120"/>
      <c r="AP140" s="123"/>
      <c r="AQ140" s="122">
        <v>32200000</v>
      </c>
      <c r="AR140" s="122">
        <v>92.83</v>
      </c>
      <c r="AS140" s="122">
        <v>1</v>
      </c>
      <c r="AT140" s="122">
        <v>29891.26</v>
      </c>
      <c r="AU140" s="122">
        <v>29891.26</v>
      </c>
      <c r="AV140" s="122"/>
      <c r="AW140" s="122"/>
      <c r="AX140" s="120"/>
      <c r="AY140" s="120"/>
      <c r="AZ140" s="123">
        <v>1.14E-2</v>
      </c>
      <c r="BA140" s="123">
        <v>5.0100000000000003E-4</v>
      </c>
    </row>
    <row r="141" spans="1:53" ht="15" customHeight="1">
      <c r="A141" s="121">
        <v>313</v>
      </c>
      <c r="B141" s="121">
        <v>313</v>
      </c>
      <c r="C141" s="121"/>
      <c r="D141" s="120"/>
      <c r="E141" s="120"/>
      <c r="F141" s="121">
        <v>78900001</v>
      </c>
      <c r="G141" s="120" t="s">
        <v>1013</v>
      </c>
      <c r="H141" s="120" t="s">
        <v>785</v>
      </c>
      <c r="I141" s="120" t="s">
        <v>203</v>
      </c>
      <c r="J141" s="120"/>
      <c r="K141" s="120" t="s">
        <v>446</v>
      </c>
      <c r="L141" s="120" t="s">
        <v>338</v>
      </c>
      <c r="M141" s="120" t="s">
        <v>337</v>
      </c>
      <c r="N141" s="121"/>
      <c r="O141" s="124">
        <v>45330</v>
      </c>
      <c r="P141" s="120" t="s">
        <v>1334</v>
      </c>
      <c r="Q141" s="120" t="s">
        <v>414</v>
      </c>
      <c r="R141" s="120" t="s">
        <v>407</v>
      </c>
      <c r="S141" s="120" t="s">
        <v>1217</v>
      </c>
      <c r="T141" s="122">
        <v>0.65</v>
      </c>
      <c r="U141" s="120" t="s">
        <v>824</v>
      </c>
      <c r="V141" s="123">
        <v>6.6000000000000003E-2</v>
      </c>
      <c r="W141" s="120"/>
      <c r="X141" s="120"/>
      <c r="Y141" s="123"/>
      <c r="Z141" s="123">
        <v>5.79E-2</v>
      </c>
      <c r="AA141" s="124">
        <v>45713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45473</v>
      </c>
      <c r="AO141" s="120"/>
      <c r="AP141" s="123"/>
      <c r="AQ141" s="122">
        <v>29814744.420000002</v>
      </c>
      <c r="AR141" s="122">
        <v>100.68</v>
      </c>
      <c r="AS141" s="122">
        <v>1</v>
      </c>
      <c r="AT141" s="122">
        <v>30017.484680000001</v>
      </c>
      <c r="AU141" s="122">
        <v>30017.484680000001</v>
      </c>
      <c r="AV141" s="122"/>
      <c r="AW141" s="122"/>
      <c r="AX141" s="120"/>
      <c r="AY141" s="120"/>
      <c r="AZ141" s="123">
        <v>1.1448E-2</v>
      </c>
      <c r="BA141" s="123">
        <v>5.0299999999999997E-4</v>
      </c>
    </row>
    <row r="142" spans="1:53" ht="15" customHeight="1">
      <c r="A142" s="121">
        <v>313</v>
      </c>
      <c r="B142" s="121">
        <v>313</v>
      </c>
      <c r="C142" s="121"/>
      <c r="D142" s="120"/>
      <c r="E142" s="120"/>
      <c r="F142" s="121">
        <v>78900002</v>
      </c>
      <c r="G142" s="120" t="s">
        <v>1013</v>
      </c>
      <c r="H142" s="120" t="s">
        <v>785</v>
      </c>
      <c r="I142" s="120" t="s">
        <v>203</v>
      </c>
      <c r="J142" s="120"/>
      <c r="K142" s="120" t="s">
        <v>446</v>
      </c>
      <c r="L142" s="120" t="s">
        <v>338</v>
      </c>
      <c r="M142" s="120" t="s">
        <v>337</v>
      </c>
      <c r="N142" s="121"/>
      <c r="O142" s="124">
        <v>45441</v>
      </c>
      <c r="P142" s="120" t="s">
        <v>1334</v>
      </c>
      <c r="Q142" s="120" t="s">
        <v>414</v>
      </c>
      <c r="R142" s="120" t="s">
        <v>407</v>
      </c>
      <c r="S142" s="120" t="s">
        <v>1217</v>
      </c>
      <c r="T142" s="122">
        <v>0.65</v>
      </c>
      <c r="U142" s="120" t="s">
        <v>824</v>
      </c>
      <c r="V142" s="123">
        <v>6.6000000000000003E-2</v>
      </c>
      <c r="W142" s="120"/>
      <c r="X142" s="120"/>
      <c r="Y142" s="123"/>
      <c r="Z142" s="123">
        <v>8.4500000000000006E-2</v>
      </c>
      <c r="AA142" s="124">
        <v>45713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45473</v>
      </c>
      <c r="AO142" s="120"/>
      <c r="AP142" s="123"/>
      <c r="AQ142" s="122">
        <v>6205567.5999999996</v>
      </c>
      <c r="AR142" s="122">
        <v>99.07</v>
      </c>
      <c r="AS142" s="122">
        <v>1</v>
      </c>
      <c r="AT142" s="122">
        <v>6147.8558199999998</v>
      </c>
      <c r="AU142" s="122">
        <v>6147.8558199999998</v>
      </c>
      <c r="AV142" s="122"/>
      <c r="AW142" s="122"/>
      <c r="AX142" s="120"/>
      <c r="AY142" s="120"/>
      <c r="AZ142" s="123">
        <v>2.3440000000000002E-3</v>
      </c>
      <c r="BA142" s="123">
        <v>1.03E-4</v>
      </c>
    </row>
    <row r="143" spans="1:53" ht="15" customHeight="1">
      <c r="A143" s="121">
        <v>313</v>
      </c>
      <c r="B143" s="121">
        <v>313</v>
      </c>
      <c r="C143" s="121"/>
      <c r="D143" s="120"/>
      <c r="E143" s="120"/>
      <c r="F143" s="121">
        <v>78200105</v>
      </c>
      <c r="G143" s="120" t="s">
        <v>1013</v>
      </c>
      <c r="H143" s="120" t="s">
        <v>2570</v>
      </c>
      <c r="I143" s="120" t="s">
        <v>203</v>
      </c>
      <c r="J143" s="120"/>
      <c r="K143" s="120" t="s">
        <v>463</v>
      </c>
      <c r="L143" s="120" t="s">
        <v>338</v>
      </c>
      <c r="M143" s="120" t="s">
        <v>337</v>
      </c>
      <c r="N143" s="121"/>
      <c r="O143" s="124">
        <v>44710</v>
      </c>
      <c r="P143" s="120" t="s">
        <v>2563</v>
      </c>
      <c r="Q143" s="120" t="s">
        <v>311</v>
      </c>
      <c r="R143" s="120" t="s">
        <v>407</v>
      </c>
      <c r="S143" s="120" t="s">
        <v>1217</v>
      </c>
      <c r="T143" s="122">
        <v>5.04</v>
      </c>
      <c r="U143" s="120" t="s">
        <v>824</v>
      </c>
      <c r="V143" s="123">
        <v>6.1499999999999999E-2</v>
      </c>
      <c r="W143" s="120"/>
      <c r="X143" s="120"/>
      <c r="Y143" s="123"/>
      <c r="Z143" s="123">
        <v>6.0999999999999999E-2</v>
      </c>
      <c r="AA143" s="124">
        <v>47654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45473</v>
      </c>
      <c r="AO143" s="120"/>
      <c r="AP143" s="123"/>
      <c r="AQ143" s="122">
        <v>1587000</v>
      </c>
      <c r="AR143" s="122">
        <v>101.06</v>
      </c>
      <c r="AS143" s="122">
        <v>1</v>
      </c>
      <c r="AT143" s="122">
        <v>1603.8222000000001</v>
      </c>
      <c r="AU143" s="122">
        <v>1603.8222000000001</v>
      </c>
      <c r="AV143" s="122"/>
      <c r="AW143" s="122"/>
      <c r="AX143" s="120"/>
      <c r="AY143" s="120"/>
      <c r="AZ143" s="123">
        <v>6.11E-4</v>
      </c>
      <c r="BA143" s="123">
        <v>2.5999999999999998E-5</v>
      </c>
    </row>
    <row r="144" spans="1:53" ht="15" customHeight="1">
      <c r="A144" s="121">
        <v>313</v>
      </c>
      <c r="B144" s="121">
        <v>313</v>
      </c>
      <c r="C144" s="121"/>
      <c r="D144" s="120"/>
      <c r="E144" s="120"/>
      <c r="F144" s="121">
        <v>8070013</v>
      </c>
      <c r="G144" s="120" t="s">
        <v>1013</v>
      </c>
      <c r="H144" s="120" t="s">
        <v>812</v>
      </c>
      <c r="I144" s="120" t="s">
        <v>203</v>
      </c>
      <c r="J144" s="120"/>
      <c r="K144" s="120" t="s">
        <v>484</v>
      </c>
      <c r="L144" s="120" t="s">
        <v>338</v>
      </c>
      <c r="M144" s="120" t="s">
        <v>337</v>
      </c>
      <c r="N144" s="121"/>
      <c r="O144" s="124">
        <v>38258</v>
      </c>
      <c r="P144" s="120" t="s">
        <v>1328</v>
      </c>
      <c r="Q144" s="120" t="s">
        <v>414</v>
      </c>
      <c r="R144" s="120" t="s">
        <v>407</v>
      </c>
      <c r="S144" s="120" t="s">
        <v>1217</v>
      </c>
      <c r="T144" s="122">
        <v>1.7</v>
      </c>
      <c r="U144" s="120" t="s">
        <v>2560</v>
      </c>
      <c r="V144" s="123">
        <v>5.1694999999999998E-2</v>
      </c>
      <c r="W144" s="120"/>
      <c r="X144" s="120"/>
      <c r="Y144" s="123"/>
      <c r="Z144" s="123">
        <v>2.1700000000000001E-2</v>
      </c>
      <c r="AA144" s="124">
        <v>46568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45473</v>
      </c>
      <c r="AO144" s="120"/>
      <c r="AP144" s="123"/>
      <c r="AQ144" s="122">
        <v>1098748.3899999999</v>
      </c>
      <c r="AR144" s="122">
        <v>158.9</v>
      </c>
      <c r="AS144" s="122">
        <v>1</v>
      </c>
      <c r="AT144" s="122">
        <v>1745.91119</v>
      </c>
      <c r="AU144" s="122">
        <v>1745.91119</v>
      </c>
      <c r="AV144" s="122"/>
      <c r="AW144" s="122"/>
      <c r="AX144" s="120"/>
      <c r="AY144" s="120"/>
      <c r="AZ144" s="123">
        <v>6.6500000000000001E-4</v>
      </c>
      <c r="BA144" s="123">
        <v>2.9E-5</v>
      </c>
    </row>
    <row r="145" spans="1:53" ht="15" customHeight="1">
      <c r="A145" s="121">
        <v>313</v>
      </c>
      <c r="B145" s="121">
        <v>313</v>
      </c>
      <c r="C145" s="121"/>
      <c r="D145" s="120"/>
      <c r="E145" s="120"/>
      <c r="F145" s="121">
        <v>8070021</v>
      </c>
      <c r="G145" s="120" t="s">
        <v>1013</v>
      </c>
      <c r="H145" s="120" t="s">
        <v>812</v>
      </c>
      <c r="I145" s="120" t="s">
        <v>203</v>
      </c>
      <c r="J145" s="120"/>
      <c r="K145" s="120" t="s">
        <v>484</v>
      </c>
      <c r="L145" s="120" t="s">
        <v>338</v>
      </c>
      <c r="M145" s="120" t="s">
        <v>337</v>
      </c>
      <c r="N145" s="121"/>
      <c r="O145" s="124">
        <v>38258</v>
      </c>
      <c r="P145" s="120" t="s">
        <v>1328</v>
      </c>
      <c r="Q145" s="120" t="s">
        <v>414</v>
      </c>
      <c r="R145" s="120" t="s">
        <v>407</v>
      </c>
      <c r="S145" s="120" t="s">
        <v>1217</v>
      </c>
      <c r="T145" s="122">
        <v>1.7</v>
      </c>
      <c r="U145" s="120" t="s">
        <v>2560</v>
      </c>
      <c r="V145" s="123">
        <v>5.1694999999999998E-2</v>
      </c>
      <c r="W145" s="120"/>
      <c r="X145" s="120"/>
      <c r="Y145" s="123"/>
      <c r="Z145" s="123">
        <v>2.1700000000000001E-2</v>
      </c>
      <c r="AA145" s="124">
        <v>46568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45473</v>
      </c>
      <c r="AO145" s="120"/>
      <c r="AP145" s="123"/>
      <c r="AQ145" s="122">
        <v>42277.68</v>
      </c>
      <c r="AR145" s="122">
        <v>158.15</v>
      </c>
      <c r="AS145" s="122">
        <v>1</v>
      </c>
      <c r="AT145" s="122">
        <v>66.86215</v>
      </c>
      <c r="AU145" s="122">
        <v>66.86215</v>
      </c>
      <c r="AV145" s="122"/>
      <c r="AW145" s="122"/>
      <c r="AX145" s="120"/>
      <c r="AY145" s="120"/>
      <c r="AZ145" s="123">
        <v>2.5000000000000001E-5</v>
      </c>
      <c r="BA145" s="123">
        <v>9.9999999999999995E-7</v>
      </c>
    </row>
    <row r="146" spans="1:53" ht="15" customHeight="1">
      <c r="A146" s="121">
        <v>313</v>
      </c>
      <c r="B146" s="121">
        <v>313</v>
      </c>
      <c r="C146" s="121"/>
      <c r="D146" s="120"/>
      <c r="E146" s="120"/>
      <c r="F146" s="121">
        <v>8070039</v>
      </c>
      <c r="G146" s="120" t="s">
        <v>1013</v>
      </c>
      <c r="H146" s="120" t="s">
        <v>812</v>
      </c>
      <c r="I146" s="120" t="s">
        <v>203</v>
      </c>
      <c r="J146" s="120"/>
      <c r="K146" s="120" t="s">
        <v>484</v>
      </c>
      <c r="L146" s="120" t="s">
        <v>338</v>
      </c>
      <c r="M146" s="120" t="s">
        <v>337</v>
      </c>
      <c r="N146" s="121"/>
      <c r="O146" s="124">
        <v>38258</v>
      </c>
      <c r="P146" s="120" t="s">
        <v>1328</v>
      </c>
      <c r="Q146" s="120" t="s">
        <v>414</v>
      </c>
      <c r="R146" s="120" t="s">
        <v>407</v>
      </c>
      <c r="S146" s="120" t="s">
        <v>1217</v>
      </c>
      <c r="T146" s="122">
        <v>1.7</v>
      </c>
      <c r="U146" s="120" t="s">
        <v>2560</v>
      </c>
      <c r="V146" s="123">
        <v>5.1694999999999998E-2</v>
      </c>
      <c r="W146" s="120"/>
      <c r="X146" s="120"/>
      <c r="Y146" s="123"/>
      <c r="Z146" s="123">
        <v>2.1700000000000001E-2</v>
      </c>
      <c r="AA146" s="124">
        <v>46568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45473</v>
      </c>
      <c r="AO146" s="120"/>
      <c r="AP146" s="123"/>
      <c r="AQ146" s="122">
        <v>475694.6</v>
      </c>
      <c r="AR146" s="122">
        <v>159.65</v>
      </c>
      <c r="AS146" s="122">
        <v>1</v>
      </c>
      <c r="AT146" s="122">
        <v>759.44642999999996</v>
      </c>
      <c r="AU146" s="122">
        <v>759.44642999999996</v>
      </c>
      <c r="AV146" s="122"/>
      <c r="AW146" s="122"/>
      <c r="AX146" s="120"/>
      <c r="AY146" s="120"/>
      <c r="AZ146" s="123">
        <v>2.8899999999999998E-4</v>
      </c>
      <c r="BA146" s="123">
        <v>1.2E-5</v>
      </c>
    </row>
    <row r="147" spans="1:53" ht="15" customHeight="1">
      <c r="A147" s="121">
        <v>313</v>
      </c>
      <c r="B147" s="121">
        <v>313</v>
      </c>
      <c r="C147" s="121"/>
      <c r="D147" s="120"/>
      <c r="E147" s="120"/>
      <c r="F147" s="121">
        <v>8070187</v>
      </c>
      <c r="G147" s="120" t="s">
        <v>1013</v>
      </c>
      <c r="H147" s="120" t="s">
        <v>812</v>
      </c>
      <c r="I147" s="120" t="s">
        <v>203</v>
      </c>
      <c r="J147" s="120"/>
      <c r="K147" s="120" t="s">
        <v>484</v>
      </c>
      <c r="L147" s="120" t="s">
        <v>338</v>
      </c>
      <c r="M147" s="120" t="s">
        <v>337</v>
      </c>
      <c r="N147" s="121"/>
      <c r="O147" s="124">
        <v>38258</v>
      </c>
      <c r="P147" s="120" t="s">
        <v>1328</v>
      </c>
      <c r="Q147" s="120" t="s">
        <v>414</v>
      </c>
      <c r="R147" s="120" t="s">
        <v>407</v>
      </c>
      <c r="S147" s="120" t="s">
        <v>1217</v>
      </c>
      <c r="T147" s="122">
        <v>1.7</v>
      </c>
      <c r="U147" s="120" t="s">
        <v>2560</v>
      </c>
      <c r="V147" s="123">
        <v>5.1694999999999998E-2</v>
      </c>
      <c r="W147" s="120"/>
      <c r="X147" s="120"/>
      <c r="Y147" s="123"/>
      <c r="Z147" s="123">
        <v>2.1700000000000001E-2</v>
      </c>
      <c r="AA147" s="124">
        <v>46568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45473</v>
      </c>
      <c r="AO147" s="120"/>
      <c r="AP147" s="123"/>
      <c r="AQ147" s="122">
        <v>357459.75</v>
      </c>
      <c r="AR147" s="122">
        <v>148.94999999999999</v>
      </c>
      <c r="AS147" s="122">
        <v>1</v>
      </c>
      <c r="AT147" s="122">
        <v>532.43629999999996</v>
      </c>
      <c r="AU147" s="122">
        <v>532.43629999999996</v>
      </c>
      <c r="AV147" s="122"/>
      <c r="AW147" s="122"/>
      <c r="AX147" s="120"/>
      <c r="AY147" s="120"/>
      <c r="AZ147" s="123">
        <v>2.03E-4</v>
      </c>
      <c r="BA147" s="123">
        <v>7.9999999999999996E-6</v>
      </c>
    </row>
    <row r="148" spans="1:53" ht="15" customHeight="1">
      <c r="A148" s="121">
        <v>313</v>
      </c>
      <c r="B148" s="121">
        <v>313</v>
      </c>
      <c r="C148" s="121"/>
      <c r="D148" s="120"/>
      <c r="E148" s="120"/>
      <c r="F148" s="121">
        <v>8070195</v>
      </c>
      <c r="G148" s="120" t="s">
        <v>1013</v>
      </c>
      <c r="H148" s="120" t="s">
        <v>812</v>
      </c>
      <c r="I148" s="120" t="s">
        <v>203</v>
      </c>
      <c r="J148" s="120"/>
      <c r="K148" s="120" t="s">
        <v>484</v>
      </c>
      <c r="L148" s="120" t="s">
        <v>338</v>
      </c>
      <c r="M148" s="120" t="s">
        <v>337</v>
      </c>
      <c r="N148" s="121"/>
      <c r="O148" s="124">
        <v>38258</v>
      </c>
      <c r="P148" s="120" t="s">
        <v>1328</v>
      </c>
      <c r="Q148" s="120" t="s">
        <v>414</v>
      </c>
      <c r="R148" s="120" t="s">
        <v>407</v>
      </c>
      <c r="S148" s="120" t="s">
        <v>1217</v>
      </c>
      <c r="T148" s="122">
        <v>1.7</v>
      </c>
      <c r="U148" s="120" t="s">
        <v>2560</v>
      </c>
      <c r="V148" s="123">
        <v>5.1694999999999998E-2</v>
      </c>
      <c r="W148" s="120"/>
      <c r="X148" s="120"/>
      <c r="Y148" s="123"/>
      <c r="Z148" s="123">
        <v>2.1700000000000001E-2</v>
      </c>
      <c r="AA148" s="124">
        <v>46568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45473</v>
      </c>
      <c r="AO148" s="120"/>
      <c r="AP148" s="123"/>
      <c r="AQ148" s="122">
        <v>359442.77</v>
      </c>
      <c r="AR148" s="122">
        <v>149.4</v>
      </c>
      <c r="AS148" s="122">
        <v>1</v>
      </c>
      <c r="AT148" s="122">
        <v>537.00750000000005</v>
      </c>
      <c r="AU148" s="122">
        <v>537.00750000000005</v>
      </c>
      <c r="AV148" s="122"/>
      <c r="AW148" s="122"/>
      <c r="AX148" s="120"/>
      <c r="AY148" s="120"/>
      <c r="AZ148" s="123">
        <v>2.04E-4</v>
      </c>
      <c r="BA148" s="123">
        <v>9.0000000000000002E-6</v>
      </c>
    </row>
    <row r="149" spans="1:53" ht="15" customHeight="1">
      <c r="A149" s="121">
        <v>313</v>
      </c>
      <c r="B149" s="121">
        <v>313</v>
      </c>
      <c r="C149" s="121"/>
      <c r="D149" s="120"/>
      <c r="E149" s="120"/>
      <c r="F149" s="121">
        <v>80705</v>
      </c>
      <c r="G149" s="120" t="s">
        <v>1013</v>
      </c>
      <c r="H149" s="120" t="s">
        <v>812</v>
      </c>
      <c r="I149" s="120" t="s">
        <v>203</v>
      </c>
      <c r="J149" s="120"/>
      <c r="K149" s="120" t="s">
        <v>439</v>
      </c>
      <c r="L149" s="120" t="s">
        <v>338</v>
      </c>
      <c r="M149" s="120" t="s">
        <v>337</v>
      </c>
      <c r="N149" s="121"/>
      <c r="O149" s="124">
        <v>42625</v>
      </c>
      <c r="P149" s="120" t="s">
        <v>409</v>
      </c>
      <c r="Q149" s="120" t="s">
        <v>409</v>
      </c>
      <c r="R149" s="120" t="s">
        <v>409</v>
      </c>
      <c r="S149" s="120" t="s">
        <v>1217</v>
      </c>
      <c r="T149" s="122">
        <v>5.68</v>
      </c>
      <c r="U149" s="120" t="s">
        <v>2560</v>
      </c>
      <c r="V149" s="123">
        <v>4.4999999999999998E-2</v>
      </c>
      <c r="W149" s="120"/>
      <c r="X149" s="120"/>
      <c r="Y149" s="123"/>
      <c r="Z149" s="123">
        <v>6.9400000000000003E-2</v>
      </c>
      <c r="AA149" s="124">
        <v>50399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45473</v>
      </c>
      <c r="AO149" s="120"/>
      <c r="AP149" s="123"/>
      <c r="AQ149" s="122">
        <v>1765992.27</v>
      </c>
      <c r="AR149" s="122">
        <v>100.23</v>
      </c>
      <c r="AS149" s="122">
        <v>1</v>
      </c>
      <c r="AT149" s="122">
        <v>1770.05405</v>
      </c>
      <c r="AU149" s="122">
        <v>1770.05405</v>
      </c>
      <c r="AV149" s="122"/>
      <c r="AW149" s="122"/>
      <c r="AX149" s="120"/>
      <c r="AY149" s="120"/>
      <c r="AZ149" s="123">
        <v>6.7500000000000004E-4</v>
      </c>
      <c r="BA149" s="123">
        <v>2.9E-5</v>
      </c>
    </row>
    <row r="150" spans="1:53" ht="15" customHeight="1">
      <c r="A150" s="121">
        <v>313</v>
      </c>
      <c r="B150" s="121">
        <v>313</v>
      </c>
      <c r="C150" s="121"/>
      <c r="D150" s="120"/>
      <c r="E150" s="120"/>
      <c r="F150" s="121">
        <v>80739</v>
      </c>
      <c r="G150" s="120" t="s">
        <v>1013</v>
      </c>
      <c r="H150" s="120" t="s">
        <v>812</v>
      </c>
      <c r="I150" s="120" t="s">
        <v>203</v>
      </c>
      <c r="J150" s="120"/>
      <c r="K150" s="120" t="s">
        <v>439</v>
      </c>
      <c r="L150" s="120" t="s">
        <v>338</v>
      </c>
      <c r="M150" s="120" t="s">
        <v>337</v>
      </c>
      <c r="N150" s="121"/>
      <c r="O150" s="124">
        <v>42716</v>
      </c>
      <c r="P150" s="120" t="s">
        <v>409</v>
      </c>
      <c r="Q150" s="120" t="s">
        <v>409</v>
      </c>
      <c r="R150" s="120" t="s">
        <v>409</v>
      </c>
      <c r="S150" s="120" t="s">
        <v>1217</v>
      </c>
      <c r="T150" s="122">
        <v>5.68</v>
      </c>
      <c r="U150" s="120" t="s">
        <v>2560</v>
      </c>
      <c r="V150" s="123">
        <v>4.4999999999999998E-2</v>
      </c>
      <c r="W150" s="120"/>
      <c r="X150" s="120"/>
      <c r="Y150" s="123"/>
      <c r="Z150" s="123">
        <v>6.9400000000000003E-2</v>
      </c>
      <c r="AA150" s="124">
        <v>50399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45473</v>
      </c>
      <c r="AO150" s="120"/>
      <c r="AP150" s="123"/>
      <c r="AQ150" s="122">
        <v>1336077.73</v>
      </c>
      <c r="AR150" s="122">
        <v>100.43</v>
      </c>
      <c r="AS150" s="122">
        <v>1</v>
      </c>
      <c r="AT150" s="122">
        <v>1341.82286</v>
      </c>
      <c r="AU150" s="122">
        <v>1341.82286</v>
      </c>
      <c r="AV150" s="122"/>
      <c r="AW150" s="122"/>
      <c r="AX150" s="120"/>
      <c r="AY150" s="120"/>
      <c r="AZ150" s="123">
        <v>5.1099999999999995E-4</v>
      </c>
      <c r="BA150" s="123">
        <v>2.1999999999999999E-5</v>
      </c>
    </row>
    <row r="151" spans="1:53" ht="15" customHeight="1">
      <c r="A151" s="121">
        <v>313</v>
      </c>
      <c r="B151" s="121">
        <v>313</v>
      </c>
      <c r="C151" s="121"/>
      <c r="D151" s="120"/>
      <c r="E151" s="120"/>
      <c r="F151" s="121">
        <v>8070179</v>
      </c>
      <c r="G151" s="120" t="s">
        <v>1013</v>
      </c>
      <c r="H151" s="120" t="s">
        <v>812</v>
      </c>
      <c r="I151" s="120" t="s">
        <v>203</v>
      </c>
      <c r="J151" s="120"/>
      <c r="K151" s="120" t="s">
        <v>484</v>
      </c>
      <c r="L151" s="120" t="s">
        <v>338</v>
      </c>
      <c r="M151" s="120" t="s">
        <v>337</v>
      </c>
      <c r="N151" s="121"/>
      <c r="O151" s="124">
        <v>38258</v>
      </c>
      <c r="P151" s="120" t="s">
        <v>1328</v>
      </c>
      <c r="Q151" s="120" t="s">
        <v>414</v>
      </c>
      <c r="R151" s="120" t="s">
        <v>407</v>
      </c>
      <c r="S151" s="120" t="s">
        <v>1217</v>
      </c>
      <c r="T151" s="122">
        <v>1.7</v>
      </c>
      <c r="U151" s="120" t="s">
        <v>2560</v>
      </c>
      <c r="V151" s="123">
        <v>5.1694999999999998E-2</v>
      </c>
      <c r="W151" s="120"/>
      <c r="X151" s="120"/>
      <c r="Y151" s="123"/>
      <c r="Z151" s="123">
        <v>2.1700000000000001E-2</v>
      </c>
      <c r="AA151" s="124">
        <v>46568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45473</v>
      </c>
      <c r="AO151" s="120"/>
      <c r="AP151" s="123"/>
      <c r="AQ151" s="122">
        <v>593131.31000000006</v>
      </c>
      <c r="AR151" s="122">
        <v>147.91</v>
      </c>
      <c r="AS151" s="122">
        <v>1</v>
      </c>
      <c r="AT151" s="122">
        <v>877.30052000000001</v>
      </c>
      <c r="AU151" s="122">
        <v>877.30052000000001</v>
      </c>
      <c r="AV151" s="122"/>
      <c r="AW151" s="122"/>
      <c r="AX151" s="120"/>
      <c r="AY151" s="120"/>
      <c r="AZ151" s="123">
        <v>3.3399999999999999E-4</v>
      </c>
      <c r="BA151" s="123">
        <v>1.4E-5</v>
      </c>
    </row>
    <row r="152" spans="1:53" ht="15" customHeight="1">
      <c r="A152" s="121">
        <v>313</v>
      </c>
      <c r="B152" s="121">
        <v>313</v>
      </c>
      <c r="C152" s="121"/>
      <c r="D152" s="120"/>
      <c r="E152" s="120"/>
      <c r="F152" s="121">
        <v>80747</v>
      </c>
      <c r="G152" s="120" t="s">
        <v>1013</v>
      </c>
      <c r="H152" s="120" t="s">
        <v>812</v>
      </c>
      <c r="I152" s="120" t="s">
        <v>203</v>
      </c>
      <c r="J152" s="120"/>
      <c r="K152" s="120" t="s">
        <v>439</v>
      </c>
      <c r="L152" s="120" t="s">
        <v>338</v>
      </c>
      <c r="M152" s="120" t="s">
        <v>337</v>
      </c>
      <c r="N152" s="121"/>
      <c r="O152" s="124">
        <v>42803</v>
      </c>
      <c r="P152" s="120" t="s">
        <v>409</v>
      </c>
      <c r="Q152" s="120" t="s">
        <v>409</v>
      </c>
      <c r="R152" s="120" t="s">
        <v>409</v>
      </c>
      <c r="S152" s="120" t="s">
        <v>1217</v>
      </c>
      <c r="T152" s="122">
        <v>5.68</v>
      </c>
      <c r="U152" s="120" t="s">
        <v>2560</v>
      </c>
      <c r="V152" s="123">
        <v>4.4999999999999998E-2</v>
      </c>
      <c r="W152" s="120"/>
      <c r="X152" s="120"/>
      <c r="Y152" s="123"/>
      <c r="Z152" s="123">
        <v>6.9400000000000003E-2</v>
      </c>
      <c r="AA152" s="124">
        <v>50399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45473</v>
      </c>
      <c r="AO152" s="120"/>
      <c r="AP152" s="123"/>
      <c r="AQ152" s="122">
        <v>8562575.4800000004</v>
      </c>
      <c r="AR152" s="122">
        <v>101.05</v>
      </c>
      <c r="AS152" s="122">
        <v>1</v>
      </c>
      <c r="AT152" s="122">
        <v>8652.4825199999996</v>
      </c>
      <c r="AU152" s="122">
        <v>8652.4825199999996</v>
      </c>
      <c r="AV152" s="122"/>
      <c r="AW152" s="122"/>
      <c r="AX152" s="120"/>
      <c r="AY152" s="120"/>
      <c r="AZ152" s="123">
        <v>3.2989999999999998E-3</v>
      </c>
      <c r="BA152" s="123">
        <v>1.45E-4</v>
      </c>
    </row>
    <row r="153" spans="1:53" ht="15" customHeight="1">
      <c r="A153" s="121">
        <v>313</v>
      </c>
      <c r="B153" s="121">
        <v>313</v>
      </c>
      <c r="C153" s="121"/>
      <c r="D153" s="120"/>
      <c r="E153" s="120"/>
      <c r="F153" s="121">
        <v>80762</v>
      </c>
      <c r="G153" s="120" t="s">
        <v>1013</v>
      </c>
      <c r="H153" s="120" t="s">
        <v>812</v>
      </c>
      <c r="I153" s="120" t="s">
        <v>203</v>
      </c>
      <c r="J153" s="120"/>
      <c r="K153" s="120" t="s">
        <v>439</v>
      </c>
      <c r="L153" s="120" t="s">
        <v>338</v>
      </c>
      <c r="M153" s="120" t="s">
        <v>337</v>
      </c>
      <c r="N153" s="121"/>
      <c r="O153" s="124">
        <v>42989</v>
      </c>
      <c r="P153" s="120" t="s">
        <v>409</v>
      </c>
      <c r="Q153" s="120" t="s">
        <v>409</v>
      </c>
      <c r="R153" s="120" t="s">
        <v>409</v>
      </c>
      <c r="S153" s="120" t="s">
        <v>1217</v>
      </c>
      <c r="T153" s="122">
        <v>5.68</v>
      </c>
      <c r="U153" s="120" t="s">
        <v>2560</v>
      </c>
      <c r="V153" s="123">
        <v>4.4999999999999998E-2</v>
      </c>
      <c r="W153" s="120"/>
      <c r="X153" s="120"/>
      <c r="Y153" s="123"/>
      <c r="Z153" s="123">
        <v>6.9400000000000003E-2</v>
      </c>
      <c r="AA153" s="124">
        <v>50399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45473</v>
      </c>
      <c r="AO153" s="120"/>
      <c r="AP153" s="123"/>
      <c r="AQ153" s="122">
        <v>2029307.49</v>
      </c>
      <c r="AR153" s="122">
        <v>100.94</v>
      </c>
      <c r="AS153" s="122">
        <v>1</v>
      </c>
      <c r="AT153" s="122">
        <v>2048.3829799999999</v>
      </c>
      <c r="AU153" s="122">
        <v>2048.3829799999999</v>
      </c>
      <c r="AV153" s="122"/>
      <c r="AW153" s="122"/>
      <c r="AX153" s="120"/>
      <c r="AY153" s="120"/>
      <c r="AZ153" s="123">
        <v>7.8100000000000001E-4</v>
      </c>
      <c r="BA153" s="123">
        <v>3.4E-5</v>
      </c>
    </row>
    <row r="154" spans="1:53" ht="15" customHeight="1">
      <c r="A154" s="121">
        <v>313</v>
      </c>
      <c r="B154" s="121">
        <v>313</v>
      </c>
      <c r="C154" s="121"/>
      <c r="D154" s="120"/>
      <c r="E154" s="120"/>
      <c r="F154" s="121">
        <v>80770</v>
      </c>
      <c r="G154" s="120" t="s">
        <v>1013</v>
      </c>
      <c r="H154" s="120" t="s">
        <v>812</v>
      </c>
      <c r="I154" s="120" t="s">
        <v>203</v>
      </c>
      <c r="J154" s="120"/>
      <c r="K154" s="120" t="s">
        <v>439</v>
      </c>
      <c r="L154" s="120" t="s">
        <v>338</v>
      </c>
      <c r="M154" s="120" t="s">
        <v>337</v>
      </c>
      <c r="N154" s="121"/>
      <c r="O154" s="124">
        <v>43080</v>
      </c>
      <c r="P154" s="120" t="s">
        <v>409</v>
      </c>
      <c r="Q154" s="120" t="s">
        <v>409</v>
      </c>
      <c r="R154" s="120" t="s">
        <v>409</v>
      </c>
      <c r="S154" s="120" t="s">
        <v>1217</v>
      </c>
      <c r="T154" s="122">
        <v>5.68</v>
      </c>
      <c r="U154" s="120" t="s">
        <v>2560</v>
      </c>
      <c r="V154" s="123">
        <v>4.4999999999999998E-2</v>
      </c>
      <c r="W154" s="120"/>
      <c r="X154" s="120"/>
      <c r="Y154" s="123"/>
      <c r="Z154" s="123">
        <v>6.9400000000000003E-2</v>
      </c>
      <c r="AA154" s="124">
        <v>50399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45473</v>
      </c>
      <c r="AO154" s="120"/>
      <c r="AP154" s="123"/>
      <c r="AQ154" s="122">
        <v>628748.73</v>
      </c>
      <c r="AR154" s="122">
        <v>100.24</v>
      </c>
      <c r="AS154" s="122">
        <v>1</v>
      </c>
      <c r="AT154" s="122">
        <v>630.25773000000004</v>
      </c>
      <c r="AU154" s="122">
        <v>630.25773000000004</v>
      </c>
      <c r="AV154" s="122"/>
      <c r="AW154" s="122"/>
      <c r="AX154" s="120"/>
      <c r="AY154" s="120"/>
      <c r="AZ154" s="123">
        <v>2.4000000000000001E-4</v>
      </c>
      <c r="BA154" s="123">
        <v>1.0000000000000001E-5</v>
      </c>
    </row>
    <row r="155" spans="1:53" ht="15" customHeight="1">
      <c r="A155" s="121">
        <v>313</v>
      </c>
      <c r="B155" s="121">
        <v>313</v>
      </c>
      <c r="C155" s="121"/>
      <c r="D155" s="120"/>
      <c r="E155" s="120"/>
      <c r="F155" s="121">
        <v>80788</v>
      </c>
      <c r="G155" s="120" t="s">
        <v>1013</v>
      </c>
      <c r="H155" s="120" t="s">
        <v>812</v>
      </c>
      <c r="I155" s="120" t="s">
        <v>203</v>
      </c>
      <c r="J155" s="120"/>
      <c r="K155" s="120" t="s">
        <v>439</v>
      </c>
      <c r="L155" s="120" t="s">
        <v>338</v>
      </c>
      <c r="M155" s="120" t="s">
        <v>337</v>
      </c>
      <c r="N155" s="121"/>
      <c r="O155" s="124">
        <v>43171</v>
      </c>
      <c r="P155" s="120" t="s">
        <v>409</v>
      </c>
      <c r="Q155" s="120" t="s">
        <v>409</v>
      </c>
      <c r="R155" s="120" t="s">
        <v>409</v>
      </c>
      <c r="S155" s="120" t="s">
        <v>1217</v>
      </c>
      <c r="T155" s="122">
        <v>5.68</v>
      </c>
      <c r="U155" s="120" t="s">
        <v>2560</v>
      </c>
      <c r="V155" s="123">
        <v>4.4999999999999998E-2</v>
      </c>
      <c r="W155" s="120"/>
      <c r="X155" s="120"/>
      <c r="Y155" s="123"/>
      <c r="Z155" s="123">
        <v>6.9400000000000003E-2</v>
      </c>
      <c r="AA155" s="124">
        <v>50399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45473</v>
      </c>
      <c r="AO155" s="120"/>
      <c r="AP155" s="123"/>
      <c r="AQ155" s="122">
        <v>470910.65</v>
      </c>
      <c r="AR155" s="122">
        <v>100.94</v>
      </c>
      <c r="AS155" s="122">
        <v>1</v>
      </c>
      <c r="AT155" s="122">
        <v>475.33721000000003</v>
      </c>
      <c r="AU155" s="122">
        <v>475.33721000000003</v>
      </c>
      <c r="AV155" s="122"/>
      <c r="AW155" s="122"/>
      <c r="AX155" s="120"/>
      <c r="AY155" s="120"/>
      <c r="AZ155" s="123">
        <v>1.8100000000000001E-4</v>
      </c>
      <c r="BA155" s="123">
        <v>6.9999999999999999E-6</v>
      </c>
    </row>
    <row r="156" spans="1:53" ht="15" customHeight="1">
      <c r="A156" s="121">
        <v>313</v>
      </c>
      <c r="B156" s="121">
        <v>313</v>
      </c>
      <c r="C156" s="121"/>
      <c r="D156" s="120"/>
      <c r="E156" s="120"/>
      <c r="F156" s="121">
        <v>81000</v>
      </c>
      <c r="G156" s="120" t="s">
        <v>1013</v>
      </c>
      <c r="H156" s="120" t="s">
        <v>812</v>
      </c>
      <c r="I156" s="120" t="s">
        <v>203</v>
      </c>
      <c r="J156" s="120"/>
      <c r="K156" s="120" t="s">
        <v>454</v>
      </c>
      <c r="L156" s="120" t="s">
        <v>338</v>
      </c>
      <c r="M156" s="120" t="s">
        <v>338</v>
      </c>
      <c r="N156" s="121"/>
      <c r="O156" s="124">
        <v>43227</v>
      </c>
      <c r="P156" s="120" t="s">
        <v>1340</v>
      </c>
      <c r="Q156" s="120" t="s">
        <v>414</v>
      </c>
      <c r="R156" s="120" t="s">
        <v>407</v>
      </c>
      <c r="S156" s="120" t="s">
        <v>1217</v>
      </c>
      <c r="T156" s="122">
        <v>6.95</v>
      </c>
      <c r="U156" s="120" t="s">
        <v>2560</v>
      </c>
      <c r="V156" s="123">
        <v>3.1199999999999999E-2</v>
      </c>
      <c r="W156" s="120"/>
      <c r="X156" s="120"/>
      <c r="Y156" s="123"/>
      <c r="Z156" s="123">
        <v>3.6700000000000003E-2</v>
      </c>
      <c r="AA156" s="124">
        <v>51134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45473</v>
      </c>
      <c r="AO156" s="120"/>
      <c r="AP156" s="123"/>
      <c r="AQ156" s="122">
        <v>1299203.93</v>
      </c>
      <c r="AR156" s="122">
        <v>110.62</v>
      </c>
      <c r="AS156" s="122">
        <v>1</v>
      </c>
      <c r="AT156" s="122">
        <v>1437.17939</v>
      </c>
      <c r="AU156" s="122">
        <v>1437.17939</v>
      </c>
      <c r="AV156" s="122"/>
      <c r="AW156" s="122"/>
      <c r="AX156" s="120"/>
      <c r="AY156" s="120"/>
      <c r="AZ156" s="123">
        <v>5.4799999999999998E-4</v>
      </c>
      <c r="BA156" s="123">
        <v>2.4000000000000001E-5</v>
      </c>
    </row>
    <row r="157" spans="1:53" ht="15" customHeight="1">
      <c r="A157" s="121">
        <v>313</v>
      </c>
      <c r="B157" s="121">
        <v>313</v>
      </c>
      <c r="C157" s="121"/>
      <c r="D157" s="120"/>
      <c r="E157" s="120"/>
      <c r="F157" s="121">
        <v>80754</v>
      </c>
      <c r="G157" s="120" t="s">
        <v>1013</v>
      </c>
      <c r="H157" s="120" t="s">
        <v>812</v>
      </c>
      <c r="I157" s="120" t="s">
        <v>203</v>
      </c>
      <c r="J157" s="120"/>
      <c r="K157" s="120" t="s">
        <v>439</v>
      </c>
      <c r="L157" s="120" t="s">
        <v>338</v>
      </c>
      <c r="M157" s="120" t="s">
        <v>337</v>
      </c>
      <c r="N157" s="121"/>
      <c r="O157" s="124">
        <v>42898</v>
      </c>
      <c r="P157" s="120" t="s">
        <v>409</v>
      </c>
      <c r="Q157" s="120" t="s">
        <v>409</v>
      </c>
      <c r="R157" s="120" t="s">
        <v>409</v>
      </c>
      <c r="S157" s="120" t="s">
        <v>1217</v>
      </c>
      <c r="T157" s="122">
        <v>5.68</v>
      </c>
      <c r="U157" s="120" t="s">
        <v>2560</v>
      </c>
      <c r="V157" s="123">
        <v>4.4999999999999998E-2</v>
      </c>
      <c r="W157" s="120"/>
      <c r="X157" s="120"/>
      <c r="Y157" s="123"/>
      <c r="Z157" s="123">
        <v>6.9400000000000003E-2</v>
      </c>
      <c r="AA157" s="124">
        <v>50399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45473</v>
      </c>
      <c r="AO157" s="120"/>
      <c r="AP157" s="123"/>
      <c r="AQ157" s="122">
        <v>1610401.8</v>
      </c>
      <c r="AR157" s="122">
        <v>100.53</v>
      </c>
      <c r="AS157" s="122">
        <v>1</v>
      </c>
      <c r="AT157" s="122">
        <v>1618.9369300000001</v>
      </c>
      <c r="AU157" s="122">
        <v>1618.9369300000001</v>
      </c>
      <c r="AV157" s="122"/>
      <c r="AW157" s="122"/>
      <c r="AX157" s="120"/>
      <c r="AY157" s="120"/>
      <c r="AZ157" s="123">
        <v>6.1700000000000004E-4</v>
      </c>
      <c r="BA157" s="123">
        <v>2.6999999999999999E-5</v>
      </c>
    </row>
    <row r="158" spans="1:53" ht="15" customHeight="1">
      <c r="A158" s="121">
        <v>313</v>
      </c>
      <c r="B158" s="121">
        <v>313</v>
      </c>
      <c r="C158" s="121"/>
      <c r="D158" s="120"/>
      <c r="E158" s="120"/>
      <c r="F158" s="121">
        <v>78100004</v>
      </c>
      <c r="G158" s="120" t="s">
        <v>1013</v>
      </c>
      <c r="H158" s="120" t="s">
        <v>785</v>
      </c>
      <c r="I158" s="120" t="s">
        <v>203</v>
      </c>
      <c r="J158" s="120"/>
      <c r="K158" s="120" t="s">
        <v>463</v>
      </c>
      <c r="L158" s="120" t="s">
        <v>338</v>
      </c>
      <c r="M158" s="120" t="s">
        <v>337</v>
      </c>
      <c r="N158" s="121"/>
      <c r="O158" s="124">
        <v>44273</v>
      </c>
      <c r="P158" s="120" t="s">
        <v>2563</v>
      </c>
      <c r="Q158" s="120" t="s">
        <v>311</v>
      </c>
      <c r="R158" s="120" t="s">
        <v>407</v>
      </c>
      <c r="S158" s="120" t="s">
        <v>1217</v>
      </c>
      <c r="T158" s="122">
        <v>4.5</v>
      </c>
      <c r="U158" s="120" t="s">
        <v>2560</v>
      </c>
      <c r="V158" s="123">
        <v>3.7499999999999999E-2</v>
      </c>
      <c r="W158" s="120"/>
      <c r="X158" s="120"/>
      <c r="Y158" s="123"/>
      <c r="Z158" s="123">
        <v>6.5799999999999997E-2</v>
      </c>
      <c r="AA158" s="124">
        <v>47849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45473</v>
      </c>
      <c r="AO158" s="120"/>
      <c r="AP158" s="123"/>
      <c r="AQ158" s="122">
        <v>5663175</v>
      </c>
      <c r="AR158" s="122">
        <v>89.44</v>
      </c>
      <c r="AS158" s="122">
        <v>1</v>
      </c>
      <c r="AT158" s="122">
        <v>5065.14372</v>
      </c>
      <c r="AU158" s="122">
        <v>5065.14372</v>
      </c>
      <c r="AV158" s="122"/>
      <c r="AW158" s="122"/>
      <c r="AX158" s="120"/>
      <c r="AY158" s="120"/>
      <c r="AZ158" s="123">
        <v>1.931E-3</v>
      </c>
      <c r="BA158" s="123">
        <v>8.3999999999999995E-5</v>
      </c>
    </row>
    <row r="159" spans="1:53" ht="15" customHeight="1">
      <c r="A159" s="121">
        <v>313</v>
      </c>
      <c r="B159" s="121">
        <v>313</v>
      </c>
      <c r="C159" s="121"/>
      <c r="D159" s="120"/>
      <c r="E159" s="120"/>
      <c r="F159" s="121">
        <v>8070161</v>
      </c>
      <c r="G159" s="120" t="s">
        <v>1013</v>
      </c>
      <c r="H159" s="120" t="s">
        <v>812</v>
      </c>
      <c r="I159" s="120" t="s">
        <v>203</v>
      </c>
      <c r="J159" s="120"/>
      <c r="K159" s="120" t="s">
        <v>484</v>
      </c>
      <c r="L159" s="120" t="s">
        <v>338</v>
      </c>
      <c r="M159" s="120" t="s">
        <v>337</v>
      </c>
      <c r="N159" s="121"/>
      <c r="O159" s="124">
        <v>38258</v>
      </c>
      <c r="P159" s="120" t="s">
        <v>1328</v>
      </c>
      <c r="Q159" s="120" t="s">
        <v>414</v>
      </c>
      <c r="R159" s="120" t="s">
        <v>407</v>
      </c>
      <c r="S159" s="120" t="s">
        <v>1217</v>
      </c>
      <c r="T159" s="122">
        <v>1.7</v>
      </c>
      <c r="U159" s="120" t="s">
        <v>2560</v>
      </c>
      <c r="V159" s="123">
        <v>5.1694999999999998E-2</v>
      </c>
      <c r="W159" s="120"/>
      <c r="X159" s="120"/>
      <c r="Y159" s="123"/>
      <c r="Z159" s="123">
        <v>2.18E-2</v>
      </c>
      <c r="AA159" s="124">
        <v>46568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45473</v>
      </c>
      <c r="AO159" s="120"/>
      <c r="AP159" s="123"/>
      <c r="AQ159" s="122">
        <v>836148.23</v>
      </c>
      <c r="AR159" s="122">
        <v>146.30000000000001</v>
      </c>
      <c r="AS159" s="122">
        <v>1</v>
      </c>
      <c r="AT159" s="122">
        <v>1223.28486</v>
      </c>
      <c r="AU159" s="122">
        <v>1223.28486</v>
      </c>
      <c r="AV159" s="122"/>
      <c r="AW159" s="122"/>
      <c r="AX159" s="120"/>
      <c r="AY159" s="120"/>
      <c r="AZ159" s="123">
        <v>4.66E-4</v>
      </c>
      <c r="BA159" s="123">
        <v>2.0000000000000002E-5</v>
      </c>
    </row>
    <row r="160" spans="1:53" ht="15" customHeight="1">
      <c r="A160" s="121">
        <v>313</v>
      </c>
      <c r="B160" s="121">
        <v>313</v>
      </c>
      <c r="C160" s="121"/>
      <c r="D160" s="120"/>
      <c r="E160" s="120"/>
      <c r="F160" s="121">
        <v>8070146</v>
      </c>
      <c r="G160" s="120" t="s">
        <v>1013</v>
      </c>
      <c r="H160" s="120" t="s">
        <v>812</v>
      </c>
      <c r="I160" s="120" t="s">
        <v>203</v>
      </c>
      <c r="J160" s="120"/>
      <c r="K160" s="120" t="s">
        <v>484</v>
      </c>
      <c r="L160" s="120" t="s">
        <v>338</v>
      </c>
      <c r="M160" s="120" t="s">
        <v>337</v>
      </c>
      <c r="N160" s="121"/>
      <c r="O160" s="124">
        <v>38258</v>
      </c>
      <c r="P160" s="120" t="s">
        <v>1328</v>
      </c>
      <c r="Q160" s="120" t="s">
        <v>414</v>
      </c>
      <c r="R160" s="120" t="s">
        <v>407</v>
      </c>
      <c r="S160" s="120" t="s">
        <v>1217</v>
      </c>
      <c r="T160" s="122">
        <v>1.7</v>
      </c>
      <c r="U160" s="120" t="s">
        <v>2560</v>
      </c>
      <c r="V160" s="123">
        <v>5.1694999999999998E-2</v>
      </c>
      <c r="W160" s="120"/>
      <c r="X160" s="120"/>
      <c r="Y160" s="123"/>
      <c r="Z160" s="123">
        <v>2.18E-2</v>
      </c>
      <c r="AA160" s="124">
        <v>46568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45473</v>
      </c>
      <c r="AO160" s="120"/>
      <c r="AP160" s="123"/>
      <c r="AQ160" s="122">
        <v>915364.81</v>
      </c>
      <c r="AR160" s="122">
        <v>146.02000000000001</v>
      </c>
      <c r="AS160" s="122">
        <v>1</v>
      </c>
      <c r="AT160" s="122">
        <v>1336.6157000000001</v>
      </c>
      <c r="AU160" s="122">
        <v>1336.6157000000001</v>
      </c>
      <c r="AV160" s="122"/>
      <c r="AW160" s="122"/>
      <c r="AX160" s="120"/>
      <c r="AY160" s="120"/>
      <c r="AZ160" s="123">
        <v>5.0900000000000001E-4</v>
      </c>
      <c r="BA160" s="123">
        <v>2.1999999999999999E-5</v>
      </c>
    </row>
    <row r="161" spans="1:53" ht="15" customHeight="1">
      <c r="A161" s="121">
        <v>313</v>
      </c>
      <c r="B161" s="121">
        <v>313</v>
      </c>
      <c r="C161" s="121"/>
      <c r="D161" s="120"/>
      <c r="E161" s="120"/>
      <c r="F161" s="121">
        <v>8070047</v>
      </c>
      <c r="G161" s="120" t="s">
        <v>1013</v>
      </c>
      <c r="H161" s="120" t="s">
        <v>812</v>
      </c>
      <c r="I161" s="120" t="s">
        <v>203</v>
      </c>
      <c r="J161" s="120"/>
      <c r="K161" s="120" t="s">
        <v>484</v>
      </c>
      <c r="L161" s="120" t="s">
        <v>338</v>
      </c>
      <c r="M161" s="120" t="s">
        <v>337</v>
      </c>
      <c r="N161" s="121"/>
      <c r="O161" s="124">
        <v>38258</v>
      </c>
      <c r="P161" s="120" t="s">
        <v>1328</v>
      </c>
      <c r="Q161" s="120" t="s">
        <v>414</v>
      </c>
      <c r="R161" s="120" t="s">
        <v>407</v>
      </c>
      <c r="S161" s="120" t="s">
        <v>1217</v>
      </c>
      <c r="T161" s="122">
        <v>1.7</v>
      </c>
      <c r="U161" s="120" t="s">
        <v>2560</v>
      </c>
      <c r="V161" s="123">
        <v>5.1694999999999998E-2</v>
      </c>
      <c r="W161" s="120"/>
      <c r="X161" s="120"/>
      <c r="Y161" s="123"/>
      <c r="Z161" s="123">
        <v>2.1700000000000001E-2</v>
      </c>
      <c r="AA161" s="124">
        <v>46568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45473</v>
      </c>
      <c r="AO161" s="120"/>
      <c r="AP161" s="123"/>
      <c r="AQ161" s="122">
        <v>545127.82999999996</v>
      </c>
      <c r="AR161" s="122">
        <v>158</v>
      </c>
      <c r="AS161" s="122">
        <v>1</v>
      </c>
      <c r="AT161" s="122">
        <v>861.30196999999998</v>
      </c>
      <c r="AU161" s="122">
        <v>861.30196999999998</v>
      </c>
      <c r="AV161" s="122"/>
      <c r="AW161" s="122"/>
      <c r="AX161" s="120"/>
      <c r="AY161" s="120"/>
      <c r="AZ161" s="123">
        <v>3.28E-4</v>
      </c>
      <c r="BA161" s="123">
        <v>1.4E-5</v>
      </c>
    </row>
    <row r="162" spans="1:53" ht="15" customHeight="1">
      <c r="A162" s="121">
        <v>313</v>
      </c>
      <c r="B162" s="121">
        <v>313</v>
      </c>
      <c r="C162" s="121"/>
      <c r="D162" s="120"/>
      <c r="E162" s="120"/>
      <c r="F162" s="121">
        <v>8070054</v>
      </c>
      <c r="G162" s="120" t="s">
        <v>1013</v>
      </c>
      <c r="H162" s="120" t="s">
        <v>812</v>
      </c>
      <c r="I162" s="120" t="s">
        <v>203</v>
      </c>
      <c r="J162" s="120"/>
      <c r="K162" s="120" t="s">
        <v>484</v>
      </c>
      <c r="L162" s="120" t="s">
        <v>338</v>
      </c>
      <c r="M162" s="120" t="s">
        <v>337</v>
      </c>
      <c r="N162" s="121"/>
      <c r="O162" s="124">
        <v>38258</v>
      </c>
      <c r="P162" s="120" t="s">
        <v>1328</v>
      </c>
      <c r="Q162" s="120" t="s">
        <v>414</v>
      </c>
      <c r="R162" s="120" t="s">
        <v>407</v>
      </c>
      <c r="S162" s="120" t="s">
        <v>1217</v>
      </c>
      <c r="T162" s="122">
        <v>1.7</v>
      </c>
      <c r="U162" s="120" t="s">
        <v>2560</v>
      </c>
      <c r="V162" s="123">
        <v>5.1694999999999998E-2</v>
      </c>
      <c r="W162" s="120"/>
      <c r="X162" s="120"/>
      <c r="Y162" s="123"/>
      <c r="Z162" s="123">
        <v>2.1700000000000001E-2</v>
      </c>
      <c r="AA162" s="124">
        <v>46568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45473</v>
      </c>
      <c r="AO162" s="120"/>
      <c r="AP162" s="123"/>
      <c r="AQ162" s="122">
        <v>636166.86</v>
      </c>
      <c r="AR162" s="122">
        <v>158</v>
      </c>
      <c r="AS162" s="122">
        <v>1</v>
      </c>
      <c r="AT162" s="122">
        <v>1005.14364</v>
      </c>
      <c r="AU162" s="122">
        <v>1005.14364</v>
      </c>
      <c r="AV162" s="122"/>
      <c r="AW162" s="122"/>
      <c r="AX162" s="120"/>
      <c r="AY162" s="120"/>
      <c r="AZ162" s="123">
        <v>3.8299999999999999E-4</v>
      </c>
      <c r="BA162" s="123">
        <v>1.5999999999999999E-5</v>
      </c>
    </row>
    <row r="163" spans="1:53" ht="15" customHeight="1">
      <c r="A163" s="121">
        <v>313</v>
      </c>
      <c r="B163" s="121">
        <v>313</v>
      </c>
      <c r="C163" s="121"/>
      <c r="D163" s="120"/>
      <c r="E163" s="120"/>
      <c r="F163" s="121">
        <v>8070062</v>
      </c>
      <c r="G163" s="120" t="s">
        <v>1013</v>
      </c>
      <c r="H163" s="120" t="s">
        <v>812</v>
      </c>
      <c r="I163" s="120" t="s">
        <v>203</v>
      </c>
      <c r="J163" s="120"/>
      <c r="K163" s="120" t="s">
        <v>484</v>
      </c>
      <c r="L163" s="120" t="s">
        <v>338</v>
      </c>
      <c r="M163" s="120" t="s">
        <v>337</v>
      </c>
      <c r="N163" s="121"/>
      <c r="O163" s="124">
        <v>38258</v>
      </c>
      <c r="P163" s="120" t="s">
        <v>1328</v>
      </c>
      <c r="Q163" s="120" t="s">
        <v>414</v>
      </c>
      <c r="R163" s="120" t="s">
        <v>407</v>
      </c>
      <c r="S163" s="120" t="s">
        <v>1217</v>
      </c>
      <c r="T163" s="122">
        <v>1.7</v>
      </c>
      <c r="U163" s="120" t="s">
        <v>2560</v>
      </c>
      <c r="V163" s="123">
        <v>5.1694999999999998E-2</v>
      </c>
      <c r="W163" s="120"/>
      <c r="X163" s="120"/>
      <c r="Y163" s="123"/>
      <c r="Z163" s="123">
        <v>2.1700000000000001E-2</v>
      </c>
      <c r="AA163" s="124">
        <v>46568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45473</v>
      </c>
      <c r="AO163" s="120"/>
      <c r="AP163" s="123"/>
      <c r="AQ163" s="122">
        <v>644944.56000000006</v>
      </c>
      <c r="AR163" s="122">
        <v>158</v>
      </c>
      <c r="AS163" s="122">
        <v>1</v>
      </c>
      <c r="AT163" s="122">
        <v>1019.0124</v>
      </c>
      <c r="AU163" s="122">
        <v>1019.0124</v>
      </c>
      <c r="AV163" s="122"/>
      <c r="AW163" s="122"/>
      <c r="AX163" s="120"/>
      <c r="AY163" s="120"/>
      <c r="AZ163" s="123">
        <v>3.88E-4</v>
      </c>
      <c r="BA163" s="123">
        <v>1.7E-5</v>
      </c>
    </row>
    <row r="164" spans="1:53" ht="15" customHeight="1">
      <c r="A164" s="121">
        <v>313</v>
      </c>
      <c r="B164" s="121">
        <v>313</v>
      </c>
      <c r="C164" s="121"/>
      <c r="D164" s="120"/>
      <c r="E164" s="120"/>
      <c r="F164" s="121">
        <v>8070070</v>
      </c>
      <c r="G164" s="120" t="s">
        <v>1013</v>
      </c>
      <c r="H164" s="120" t="s">
        <v>812</v>
      </c>
      <c r="I164" s="120" t="s">
        <v>203</v>
      </c>
      <c r="J164" s="120"/>
      <c r="K164" s="120" t="s">
        <v>484</v>
      </c>
      <c r="L164" s="120" t="s">
        <v>338</v>
      </c>
      <c r="M164" s="120" t="s">
        <v>337</v>
      </c>
      <c r="N164" s="121"/>
      <c r="O164" s="124">
        <v>38258</v>
      </c>
      <c r="P164" s="120" t="s">
        <v>1328</v>
      </c>
      <c r="Q164" s="120" t="s">
        <v>414</v>
      </c>
      <c r="R164" s="120" t="s">
        <v>407</v>
      </c>
      <c r="S164" s="120" t="s">
        <v>1217</v>
      </c>
      <c r="T164" s="122">
        <v>1.7</v>
      </c>
      <c r="U164" s="120" t="s">
        <v>2560</v>
      </c>
      <c r="V164" s="123">
        <v>5.1694999999999998E-2</v>
      </c>
      <c r="W164" s="120"/>
      <c r="X164" s="120"/>
      <c r="Y164" s="123"/>
      <c r="Z164" s="123">
        <v>2.1700000000000001E-2</v>
      </c>
      <c r="AA164" s="124">
        <v>46568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45473</v>
      </c>
      <c r="AO164" s="120"/>
      <c r="AP164" s="123"/>
      <c r="AQ164" s="122">
        <v>605746.19999999995</v>
      </c>
      <c r="AR164" s="122">
        <v>159.24</v>
      </c>
      <c r="AS164" s="122">
        <v>1</v>
      </c>
      <c r="AT164" s="122">
        <v>964.59024999999997</v>
      </c>
      <c r="AU164" s="122">
        <v>964.59024999999997</v>
      </c>
      <c r="AV164" s="122"/>
      <c r="AW164" s="122"/>
      <c r="AX164" s="120"/>
      <c r="AY164" s="120"/>
      <c r="AZ164" s="123">
        <v>3.6699999999999998E-4</v>
      </c>
      <c r="BA164" s="123">
        <v>1.5999999999999999E-5</v>
      </c>
    </row>
    <row r="165" spans="1:53" ht="15" customHeight="1">
      <c r="A165" s="121">
        <v>313</v>
      </c>
      <c r="B165" s="121">
        <v>313</v>
      </c>
      <c r="C165" s="121"/>
      <c r="D165" s="120"/>
      <c r="E165" s="120"/>
      <c r="F165" s="121">
        <v>8070153</v>
      </c>
      <c r="G165" s="120" t="s">
        <v>1013</v>
      </c>
      <c r="H165" s="120" t="s">
        <v>812</v>
      </c>
      <c r="I165" s="120" t="s">
        <v>203</v>
      </c>
      <c r="J165" s="120"/>
      <c r="K165" s="120" t="s">
        <v>484</v>
      </c>
      <c r="L165" s="120" t="s">
        <v>338</v>
      </c>
      <c r="M165" s="120" t="s">
        <v>337</v>
      </c>
      <c r="N165" s="121"/>
      <c r="O165" s="124">
        <v>38258</v>
      </c>
      <c r="P165" s="120" t="s">
        <v>1328</v>
      </c>
      <c r="Q165" s="120" t="s">
        <v>414</v>
      </c>
      <c r="R165" s="120" t="s">
        <v>407</v>
      </c>
      <c r="S165" s="120" t="s">
        <v>1217</v>
      </c>
      <c r="T165" s="122">
        <v>1.7</v>
      </c>
      <c r="U165" s="120" t="s">
        <v>2560</v>
      </c>
      <c r="V165" s="123">
        <v>5.1694999999999998E-2</v>
      </c>
      <c r="W165" s="120"/>
      <c r="X165" s="120"/>
      <c r="Y165" s="123"/>
      <c r="Z165" s="123">
        <v>2.18E-2</v>
      </c>
      <c r="AA165" s="124">
        <v>46568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45473</v>
      </c>
      <c r="AO165" s="120"/>
      <c r="AP165" s="123"/>
      <c r="AQ165" s="122">
        <v>806507.88</v>
      </c>
      <c r="AR165" s="122">
        <v>145.58000000000001</v>
      </c>
      <c r="AS165" s="122">
        <v>1</v>
      </c>
      <c r="AT165" s="122">
        <v>1174.1141700000001</v>
      </c>
      <c r="AU165" s="122">
        <v>1174.1141700000001</v>
      </c>
      <c r="AV165" s="122"/>
      <c r="AW165" s="122"/>
      <c r="AX165" s="120"/>
      <c r="AY165" s="120"/>
      <c r="AZ165" s="123">
        <v>4.4700000000000002E-4</v>
      </c>
      <c r="BA165" s="123">
        <v>1.9000000000000001E-5</v>
      </c>
    </row>
    <row r="166" spans="1:53" ht="15" customHeight="1">
      <c r="A166" s="121">
        <v>313</v>
      </c>
      <c r="B166" s="121">
        <v>313</v>
      </c>
      <c r="C166" s="121"/>
      <c r="D166" s="120"/>
      <c r="E166" s="120"/>
      <c r="F166" s="121">
        <v>8070088</v>
      </c>
      <c r="G166" s="120" t="s">
        <v>1013</v>
      </c>
      <c r="H166" s="120" t="s">
        <v>812</v>
      </c>
      <c r="I166" s="120" t="s">
        <v>203</v>
      </c>
      <c r="J166" s="120"/>
      <c r="K166" s="120" t="s">
        <v>484</v>
      </c>
      <c r="L166" s="120" t="s">
        <v>338</v>
      </c>
      <c r="M166" s="120" t="s">
        <v>337</v>
      </c>
      <c r="N166" s="121"/>
      <c r="O166" s="124">
        <v>38258</v>
      </c>
      <c r="P166" s="120" t="s">
        <v>1328</v>
      </c>
      <c r="Q166" s="120" t="s">
        <v>414</v>
      </c>
      <c r="R166" s="120" t="s">
        <v>407</v>
      </c>
      <c r="S166" s="120" t="s">
        <v>1217</v>
      </c>
      <c r="T166" s="122">
        <v>1.7</v>
      </c>
      <c r="U166" s="120" t="s">
        <v>2560</v>
      </c>
      <c r="V166" s="123">
        <v>5.1694999999999998E-2</v>
      </c>
      <c r="W166" s="120"/>
      <c r="X166" s="120"/>
      <c r="Y166" s="123"/>
      <c r="Z166" s="123">
        <v>2.1700000000000001E-2</v>
      </c>
      <c r="AA166" s="124">
        <v>46568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45473</v>
      </c>
      <c r="AO166" s="120"/>
      <c r="AP166" s="123"/>
      <c r="AQ166" s="122">
        <v>153843.35</v>
      </c>
      <c r="AR166" s="122">
        <v>156.88</v>
      </c>
      <c r="AS166" s="122">
        <v>1</v>
      </c>
      <c r="AT166" s="122">
        <v>241.34944999999999</v>
      </c>
      <c r="AU166" s="122">
        <v>241.34944999999999</v>
      </c>
      <c r="AV166" s="122"/>
      <c r="AW166" s="122"/>
      <c r="AX166" s="120"/>
      <c r="AY166" s="120"/>
      <c r="AZ166" s="123">
        <v>9.2E-5</v>
      </c>
      <c r="BA166" s="123">
        <v>3.9999999999999998E-6</v>
      </c>
    </row>
    <row r="167" spans="1:53" ht="15" customHeight="1">
      <c r="A167" s="121">
        <v>313</v>
      </c>
      <c r="B167" s="121">
        <v>313</v>
      </c>
      <c r="C167" s="121"/>
      <c r="D167" s="120"/>
      <c r="E167" s="120"/>
      <c r="F167" s="121">
        <v>8070104</v>
      </c>
      <c r="G167" s="120" t="s">
        <v>1013</v>
      </c>
      <c r="H167" s="120" t="s">
        <v>812</v>
      </c>
      <c r="I167" s="120" t="s">
        <v>203</v>
      </c>
      <c r="J167" s="120"/>
      <c r="K167" s="120" t="s">
        <v>484</v>
      </c>
      <c r="L167" s="120" t="s">
        <v>338</v>
      </c>
      <c r="M167" s="120" t="s">
        <v>337</v>
      </c>
      <c r="N167" s="121"/>
      <c r="O167" s="124">
        <v>38258</v>
      </c>
      <c r="P167" s="120" t="s">
        <v>1328</v>
      </c>
      <c r="Q167" s="120" t="s">
        <v>414</v>
      </c>
      <c r="R167" s="120" t="s">
        <v>407</v>
      </c>
      <c r="S167" s="120" t="s">
        <v>1217</v>
      </c>
      <c r="T167" s="122">
        <v>1.7</v>
      </c>
      <c r="U167" s="120" t="s">
        <v>2560</v>
      </c>
      <c r="V167" s="123">
        <v>5.1694999999999998E-2</v>
      </c>
      <c r="W167" s="120"/>
      <c r="X167" s="120"/>
      <c r="Y167" s="123"/>
      <c r="Z167" s="123">
        <v>2.1700000000000001E-2</v>
      </c>
      <c r="AA167" s="124">
        <v>46568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45473</v>
      </c>
      <c r="AO167" s="120"/>
      <c r="AP167" s="123"/>
      <c r="AQ167" s="122">
        <v>1324309.17</v>
      </c>
      <c r="AR167" s="122">
        <v>155.80000000000001</v>
      </c>
      <c r="AS167" s="122">
        <v>1</v>
      </c>
      <c r="AT167" s="122">
        <v>2063.27369</v>
      </c>
      <c r="AU167" s="122">
        <v>2063.27369</v>
      </c>
      <c r="AV167" s="122"/>
      <c r="AW167" s="122"/>
      <c r="AX167" s="120"/>
      <c r="AY167" s="120"/>
      <c r="AZ167" s="123">
        <v>7.8600000000000002E-4</v>
      </c>
      <c r="BA167" s="123">
        <v>3.4E-5</v>
      </c>
    </row>
    <row r="168" spans="1:53" ht="15" customHeight="1">
      <c r="A168" s="121">
        <v>313</v>
      </c>
      <c r="B168" s="121">
        <v>313</v>
      </c>
      <c r="C168" s="121"/>
      <c r="D168" s="120"/>
      <c r="E168" s="120"/>
      <c r="F168" s="121">
        <v>8070112</v>
      </c>
      <c r="G168" s="120" t="s">
        <v>1013</v>
      </c>
      <c r="H168" s="120" t="s">
        <v>812</v>
      </c>
      <c r="I168" s="120" t="s">
        <v>203</v>
      </c>
      <c r="J168" s="120"/>
      <c r="K168" s="120" t="s">
        <v>484</v>
      </c>
      <c r="L168" s="120" t="s">
        <v>338</v>
      </c>
      <c r="M168" s="120" t="s">
        <v>337</v>
      </c>
      <c r="N168" s="121"/>
      <c r="O168" s="124">
        <v>38258</v>
      </c>
      <c r="P168" s="120" t="s">
        <v>1328</v>
      </c>
      <c r="Q168" s="120" t="s">
        <v>414</v>
      </c>
      <c r="R168" s="120" t="s">
        <v>407</v>
      </c>
      <c r="S168" s="120" t="s">
        <v>1217</v>
      </c>
      <c r="T168" s="122">
        <v>1.7</v>
      </c>
      <c r="U168" s="120" t="s">
        <v>2560</v>
      </c>
      <c r="V168" s="123">
        <v>5.1694999999999998E-2</v>
      </c>
      <c r="W168" s="120"/>
      <c r="X168" s="120"/>
      <c r="Y168" s="123"/>
      <c r="Z168" s="123">
        <v>2.18E-2</v>
      </c>
      <c r="AA168" s="124">
        <v>46568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45473</v>
      </c>
      <c r="AO168" s="120"/>
      <c r="AP168" s="123"/>
      <c r="AQ168" s="122">
        <v>981884.15</v>
      </c>
      <c r="AR168" s="122">
        <v>153.08000000000001</v>
      </c>
      <c r="AS168" s="122">
        <v>1</v>
      </c>
      <c r="AT168" s="122">
        <v>1503.06826</v>
      </c>
      <c r="AU168" s="122">
        <v>1503.06826</v>
      </c>
      <c r="AV168" s="122"/>
      <c r="AW168" s="122"/>
      <c r="AX168" s="120"/>
      <c r="AY168" s="120"/>
      <c r="AZ168" s="123">
        <v>5.7300000000000005E-4</v>
      </c>
      <c r="BA168" s="123">
        <v>2.5000000000000001E-5</v>
      </c>
    </row>
    <row r="169" spans="1:53" ht="15" customHeight="1">
      <c r="A169" s="121">
        <v>313</v>
      </c>
      <c r="B169" s="121">
        <v>313</v>
      </c>
      <c r="C169" s="121"/>
      <c r="D169" s="120"/>
      <c r="E169" s="120"/>
      <c r="F169" s="121">
        <v>8070120</v>
      </c>
      <c r="G169" s="120" t="s">
        <v>1013</v>
      </c>
      <c r="H169" s="120" t="s">
        <v>812</v>
      </c>
      <c r="I169" s="120" t="s">
        <v>203</v>
      </c>
      <c r="J169" s="120"/>
      <c r="K169" s="120" t="s">
        <v>484</v>
      </c>
      <c r="L169" s="120" t="s">
        <v>338</v>
      </c>
      <c r="M169" s="120" t="s">
        <v>337</v>
      </c>
      <c r="N169" s="121"/>
      <c r="O169" s="124">
        <v>38258</v>
      </c>
      <c r="P169" s="120" t="s">
        <v>1328</v>
      </c>
      <c r="Q169" s="120" t="s">
        <v>414</v>
      </c>
      <c r="R169" s="120" t="s">
        <v>407</v>
      </c>
      <c r="S169" s="120" t="s">
        <v>1217</v>
      </c>
      <c r="T169" s="122">
        <v>1.7</v>
      </c>
      <c r="U169" s="120" t="s">
        <v>2560</v>
      </c>
      <c r="V169" s="123">
        <v>5.1694999999999998E-2</v>
      </c>
      <c r="W169" s="120"/>
      <c r="X169" s="120"/>
      <c r="Y169" s="123"/>
      <c r="Z169" s="123">
        <v>2.1700000000000001E-2</v>
      </c>
      <c r="AA169" s="124">
        <v>46568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45473</v>
      </c>
      <c r="AO169" s="120"/>
      <c r="AP169" s="123"/>
      <c r="AQ169" s="122">
        <v>764041.92</v>
      </c>
      <c r="AR169" s="122">
        <v>148.63</v>
      </c>
      <c r="AS169" s="122">
        <v>1</v>
      </c>
      <c r="AT169" s="122">
        <v>1135.5955100000001</v>
      </c>
      <c r="AU169" s="122">
        <v>1135.5955100000001</v>
      </c>
      <c r="AV169" s="122"/>
      <c r="AW169" s="122"/>
      <c r="AX169" s="120"/>
      <c r="AY169" s="120"/>
      <c r="AZ169" s="123">
        <v>4.3300000000000001E-4</v>
      </c>
      <c r="BA169" s="123">
        <v>1.9000000000000001E-5</v>
      </c>
    </row>
    <row r="170" spans="1:53" ht="15" customHeight="1">
      <c r="A170" s="121">
        <v>313</v>
      </c>
      <c r="B170" s="121">
        <v>313</v>
      </c>
      <c r="C170" s="121"/>
      <c r="D170" s="120"/>
      <c r="E170" s="120"/>
      <c r="F170" s="121">
        <v>8070138</v>
      </c>
      <c r="G170" s="120" t="s">
        <v>1013</v>
      </c>
      <c r="H170" s="120" t="s">
        <v>812</v>
      </c>
      <c r="I170" s="120" t="s">
        <v>203</v>
      </c>
      <c r="J170" s="120"/>
      <c r="K170" s="120" t="s">
        <v>484</v>
      </c>
      <c r="L170" s="120" t="s">
        <v>338</v>
      </c>
      <c r="M170" s="120" t="s">
        <v>337</v>
      </c>
      <c r="N170" s="121"/>
      <c r="O170" s="124">
        <v>38258</v>
      </c>
      <c r="P170" s="120" t="s">
        <v>1328</v>
      </c>
      <c r="Q170" s="120" t="s">
        <v>414</v>
      </c>
      <c r="R170" s="120" t="s">
        <v>407</v>
      </c>
      <c r="S170" s="120" t="s">
        <v>1217</v>
      </c>
      <c r="T170" s="122">
        <v>1.7</v>
      </c>
      <c r="U170" s="120" t="s">
        <v>2560</v>
      </c>
      <c r="V170" s="123">
        <v>5.1694999999999998E-2</v>
      </c>
      <c r="W170" s="120"/>
      <c r="X170" s="120"/>
      <c r="Y170" s="123"/>
      <c r="Z170" s="123">
        <v>2.18E-2</v>
      </c>
      <c r="AA170" s="124">
        <v>46568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45473</v>
      </c>
      <c r="AO170" s="120"/>
      <c r="AP170" s="123"/>
      <c r="AQ170" s="122">
        <v>950557.97</v>
      </c>
      <c r="AR170" s="122">
        <v>146.29</v>
      </c>
      <c r="AS170" s="122">
        <v>1</v>
      </c>
      <c r="AT170" s="122">
        <v>1390.57125</v>
      </c>
      <c r="AU170" s="122">
        <v>1390.57125</v>
      </c>
      <c r="AV170" s="122"/>
      <c r="AW170" s="122"/>
      <c r="AX170" s="120"/>
      <c r="AY170" s="120"/>
      <c r="AZ170" s="123">
        <v>5.2999999999999998E-4</v>
      </c>
      <c r="BA170" s="123">
        <v>2.3E-5</v>
      </c>
    </row>
    <row r="171" spans="1:53" ht="15" customHeight="1">
      <c r="A171" s="121">
        <v>313</v>
      </c>
      <c r="B171" s="121">
        <v>313</v>
      </c>
      <c r="C171" s="121"/>
      <c r="D171" s="120"/>
      <c r="E171" s="120"/>
      <c r="F171" s="121">
        <v>8070096</v>
      </c>
      <c r="G171" s="120" t="s">
        <v>1013</v>
      </c>
      <c r="H171" s="120" t="s">
        <v>812</v>
      </c>
      <c r="I171" s="120" t="s">
        <v>203</v>
      </c>
      <c r="J171" s="120"/>
      <c r="K171" s="120" t="s">
        <v>484</v>
      </c>
      <c r="L171" s="120" t="s">
        <v>338</v>
      </c>
      <c r="M171" s="120" t="s">
        <v>337</v>
      </c>
      <c r="N171" s="121"/>
      <c r="O171" s="124">
        <v>38258</v>
      </c>
      <c r="P171" s="120" t="s">
        <v>1328</v>
      </c>
      <c r="Q171" s="120" t="s">
        <v>414</v>
      </c>
      <c r="R171" s="120" t="s">
        <v>407</v>
      </c>
      <c r="S171" s="120" t="s">
        <v>1217</v>
      </c>
      <c r="T171" s="122">
        <v>1.7</v>
      </c>
      <c r="U171" s="120" t="s">
        <v>2560</v>
      </c>
      <c r="V171" s="123">
        <v>5.1694999999999998E-2</v>
      </c>
      <c r="W171" s="120"/>
      <c r="X171" s="120"/>
      <c r="Y171" s="123"/>
      <c r="Z171" s="123">
        <v>2.1700000000000001E-2</v>
      </c>
      <c r="AA171" s="124">
        <v>46568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45473</v>
      </c>
      <c r="AO171" s="120"/>
      <c r="AP171" s="123"/>
      <c r="AQ171" s="122">
        <v>1993888.76</v>
      </c>
      <c r="AR171" s="122">
        <v>155.34</v>
      </c>
      <c r="AS171" s="122">
        <v>1</v>
      </c>
      <c r="AT171" s="122">
        <v>3097.3067999999998</v>
      </c>
      <c r="AU171" s="122">
        <v>3097.3067999999998</v>
      </c>
      <c r="AV171" s="122"/>
      <c r="AW171" s="122"/>
      <c r="AX171" s="120"/>
      <c r="AY171" s="120"/>
      <c r="AZ171" s="123">
        <v>1.181E-3</v>
      </c>
      <c r="BA171" s="123">
        <v>5.1E-5</v>
      </c>
    </row>
    <row r="172" spans="1:53" ht="15" customHeight="1">
      <c r="A172" s="121">
        <v>313</v>
      </c>
      <c r="B172" s="121">
        <v>313</v>
      </c>
      <c r="C172" s="121"/>
      <c r="D172" s="120"/>
      <c r="E172" s="120"/>
      <c r="F172" s="121">
        <v>7005013</v>
      </c>
      <c r="G172" s="120" t="s">
        <v>1013</v>
      </c>
      <c r="H172" s="120" t="s">
        <v>812</v>
      </c>
      <c r="I172" s="120" t="s">
        <v>203</v>
      </c>
      <c r="J172" s="120"/>
      <c r="K172" s="120" t="s">
        <v>446</v>
      </c>
      <c r="L172" s="120" t="s">
        <v>338</v>
      </c>
      <c r="M172" s="120" t="s">
        <v>337</v>
      </c>
      <c r="N172" s="121"/>
      <c r="O172" s="124">
        <v>45196</v>
      </c>
      <c r="P172" s="120" t="s">
        <v>1315</v>
      </c>
      <c r="Q172" s="120" t="s">
        <v>414</v>
      </c>
      <c r="R172" s="120" t="s">
        <v>407</v>
      </c>
      <c r="S172" s="120" t="s">
        <v>1216</v>
      </c>
      <c r="T172" s="122">
        <v>2.95</v>
      </c>
      <c r="U172" s="120" t="s">
        <v>2560</v>
      </c>
      <c r="V172" s="123">
        <v>6.0732000000000001E-2</v>
      </c>
      <c r="W172" s="120"/>
      <c r="X172" s="120"/>
      <c r="Y172" s="123"/>
      <c r="Z172" s="123">
        <v>8.3799999999999999E-2</v>
      </c>
      <c r="AA172" s="124">
        <v>46655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45473</v>
      </c>
      <c r="AO172" s="120"/>
      <c r="AP172" s="123"/>
      <c r="AQ172" s="122">
        <v>176814.34</v>
      </c>
      <c r="AR172" s="122">
        <v>94.53</v>
      </c>
      <c r="AS172" s="122">
        <v>4.0202</v>
      </c>
      <c r="AT172" s="122">
        <v>671.94665999999995</v>
      </c>
      <c r="AU172" s="122">
        <v>167.14259999999999</v>
      </c>
      <c r="AV172" s="122"/>
      <c r="AW172" s="122"/>
      <c r="AX172" s="120"/>
      <c r="AY172" s="120"/>
      <c r="AZ172" s="123">
        <v>2.5599999999999999E-4</v>
      </c>
      <c r="BA172" s="123">
        <v>1.1E-5</v>
      </c>
    </row>
    <row r="173" spans="1:53" ht="15" customHeight="1">
      <c r="A173" s="121">
        <v>313</v>
      </c>
      <c r="B173" s="121">
        <v>313</v>
      </c>
      <c r="C173" s="121"/>
      <c r="D173" s="120"/>
      <c r="E173" s="120"/>
      <c r="F173" s="121">
        <v>78100003</v>
      </c>
      <c r="G173" s="120" t="s">
        <v>1013</v>
      </c>
      <c r="H173" s="120" t="s">
        <v>785</v>
      </c>
      <c r="I173" s="120" t="s">
        <v>203</v>
      </c>
      <c r="J173" s="120"/>
      <c r="K173" s="120" t="s">
        <v>463</v>
      </c>
      <c r="L173" s="120" t="s">
        <v>338</v>
      </c>
      <c r="M173" s="120" t="s">
        <v>337</v>
      </c>
      <c r="N173" s="121"/>
      <c r="O173" s="124">
        <v>44273</v>
      </c>
      <c r="P173" s="120" t="s">
        <v>2563</v>
      </c>
      <c r="Q173" s="120" t="s">
        <v>311</v>
      </c>
      <c r="R173" s="120" t="s">
        <v>407</v>
      </c>
      <c r="S173" s="120" t="s">
        <v>1217</v>
      </c>
      <c r="T173" s="122">
        <v>4.79</v>
      </c>
      <c r="U173" s="120" t="s">
        <v>2560</v>
      </c>
      <c r="V173" s="123">
        <v>2.1999999999999999E-2</v>
      </c>
      <c r="W173" s="120"/>
      <c r="X173" s="120"/>
      <c r="Y173" s="123"/>
      <c r="Z173" s="123">
        <v>3.8100000000000002E-2</v>
      </c>
      <c r="AA173" s="124">
        <v>47849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45473</v>
      </c>
      <c r="AO173" s="120"/>
      <c r="AP173" s="123"/>
      <c r="AQ173" s="122">
        <v>3775450</v>
      </c>
      <c r="AR173" s="122">
        <v>105.84</v>
      </c>
      <c r="AS173" s="122">
        <v>1</v>
      </c>
      <c r="AT173" s="122">
        <v>3995.9362799999999</v>
      </c>
      <c r="AU173" s="122">
        <v>3995.9362799999999</v>
      </c>
      <c r="AV173" s="122"/>
      <c r="AW173" s="122"/>
      <c r="AX173" s="120"/>
      <c r="AY173" s="120"/>
      <c r="AZ173" s="123">
        <v>1.523E-3</v>
      </c>
      <c r="BA173" s="123">
        <v>6.7000000000000002E-5</v>
      </c>
    </row>
    <row r="174" spans="1:53" ht="15" customHeight="1">
      <c r="A174" s="121">
        <v>313</v>
      </c>
      <c r="B174" s="121">
        <v>313</v>
      </c>
      <c r="C174" s="121"/>
      <c r="D174" s="120"/>
      <c r="E174" s="120"/>
      <c r="F174" s="121">
        <v>78100001</v>
      </c>
      <c r="G174" s="120" t="s">
        <v>1013</v>
      </c>
      <c r="H174" s="120" t="s">
        <v>2568</v>
      </c>
      <c r="I174" s="120" t="s">
        <v>203</v>
      </c>
      <c r="J174" s="120"/>
      <c r="K174" s="120" t="s">
        <v>463</v>
      </c>
      <c r="L174" s="120" t="s">
        <v>338</v>
      </c>
      <c r="M174" s="120" t="s">
        <v>337</v>
      </c>
      <c r="N174" s="121"/>
      <c r="O174" s="124">
        <v>42088</v>
      </c>
      <c r="P174" s="120" t="s">
        <v>2563</v>
      </c>
      <c r="Q174" s="120" t="s">
        <v>311</v>
      </c>
      <c r="R174" s="120" t="s">
        <v>407</v>
      </c>
      <c r="S174" s="120" t="s">
        <v>1217</v>
      </c>
      <c r="T174" s="122">
        <v>3.41</v>
      </c>
      <c r="U174" s="120" t="s">
        <v>2560</v>
      </c>
      <c r="V174" s="123">
        <v>2.9499999999999998E-2</v>
      </c>
      <c r="W174" s="120"/>
      <c r="X174" s="120"/>
      <c r="Y174" s="123"/>
      <c r="Z174" s="123">
        <v>3.7199999999999997E-2</v>
      </c>
      <c r="AA174" s="124">
        <v>47207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45473</v>
      </c>
      <c r="AO174" s="120"/>
      <c r="AP174" s="123"/>
      <c r="AQ174" s="122">
        <v>8565200.3599999994</v>
      </c>
      <c r="AR174" s="122">
        <v>112.58</v>
      </c>
      <c r="AS174" s="122">
        <v>1</v>
      </c>
      <c r="AT174" s="122">
        <v>9642.7025699999995</v>
      </c>
      <c r="AU174" s="122">
        <v>9642.7025699999995</v>
      </c>
      <c r="AV174" s="122"/>
      <c r="AW174" s="122"/>
      <c r="AX174" s="120"/>
      <c r="AY174" s="120"/>
      <c r="AZ174" s="123">
        <v>3.6770000000000001E-3</v>
      </c>
      <c r="BA174" s="123">
        <v>1.6100000000000001E-4</v>
      </c>
    </row>
    <row r="175" spans="1:53" ht="15" customHeight="1">
      <c r="A175" s="121">
        <v>313</v>
      </c>
      <c r="B175" s="121">
        <v>313</v>
      </c>
      <c r="C175" s="121"/>
      <c r="D175" s="120"/>
      <c r="E175" s="120"/>
      <c r="F175" s="121">
        <v>76000304</v>
      </c>
      <c r="G175" s="120" t="s">
        <v>1013</v>
      </c>
      <c r="H175" s="120" t="s">
        <v>2562</v>
      </c>
      <c r="I175" s="120" t="s">
        <v>203</v>
      </c>
      <c r="J175" s="120"/>
      <c r="K175" s="120" t="s">
        <v>463</v>
      </c>
      <c r="L175" s="120" t="s">
        <v>338</v>
      </c>
      <c r="M175" s="120" t="s">
        <v>338</v>
      </c>
      <c r="N175" s="121"/>
      <c r="O175" s="124">
        <v>44892</v>
      </c>
      <c r="P175" s="120" t="s">
        <v>409</v>
      </c>
      <c r="Q175" s="120" t="s">
        <v>409</v>
      </c>
      <c r="R175" s="120" t="s">
        <v>409</v>
      </c>
      <c r="S175" s="120" t="s">
        <v>1217</v>
      </c>
      <c r="T175" s="122">
        <v>10.74</v>
      </c>
      <c r="U175" s="120" t="s">
        <v>2560</v>
      </c>
      <c r="V175" s="123">
        <v>0</v>
      </c>
      <c r="W175" s="120"/>
      <c r="X175" s="120"/>
      <c r="Y175" s="123"/>
      <c r="Z175" s="123">
        <v>-1.5599999999999999E-2</v>
      </c>
      <c r="AA175" s="124">
        <v>55243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45473</v>
      </c>
      <c r="AO175" s="120"/>
      <c r="AP175" s="123"/>
      <c r="AQ175" s="122">
        <v>13089719.76</v>
      </c>
      <c r="AR175" s="122">
        <v>117.83</v>
      </c>
      <c r="AS175" s="122">
        <v>1</v>
      </c>
      <c r="AT175" s="122">
        <v>15423.61679</v>
      </c>
      <c r="AU175" s="122">
        <v>15423.61679</v>
      </c>
      <c r="AV175" s="122"/>
      <c r="AW175" s="122"/>
      <c r="AX175" s="120"/>
      <c r="AY175" s="120"/>
      <c r="AZ175" s="123">
        <v>5.8820000000000001E-3</v>
      </c>
      <c r="BA175" s="123">
        <v>2.5799999999999998E-4</v>
      </c>
    </row>
    <row r="176" spans="1:53" ht="15" customHeight="1">
      <c r="A176" s="121">
        <v>313</v>
      </c>
      <c r="B176" s="121">
        <v>313</v>
      </c>
      <c r="C176" s="121"/>
      <c r="D176" s="120"/>
      <c r="E176" s="120"/>
      <c r="F176" s="121">
        <v>76000305</v>
      </c>
      <c r="G176" s="120" t="s">
        <v>1013</v>
      </c>
      <c r="H176" s="120" t="s">
        <v>2562</v>
      </c>
      <c r="I176" s="120" t="s">
        <v>203</v>
      </c>
      <c r="J176" s="120"/>
      <c r="K176" s="120" t="s">
        <v>463</v>
      </c>
      <c r="L176" s="120" t="s">
        <v>338</v>
      </c>
      <c r="M176" s="120" t="s">
        <v>338</v>
      </c>
      <c r="N176" s="121"/>
      <c r="O176" s="124">
        <v>44892</v>
      </c>
      <c r="P176" s="120" t="s">
        <v>409</v>
      </c>
      <c r="Q176" s="120" t="s">
        <v>409</v>
      </c>
      <c r="R176" s="120" t="s">
        <v>409</v>
      </c>
      <c r="S176" s="120" t="s">
        <v>1217</v>
      </c>
      <c r="T176" s="122">
        <v>10.66</v>
      </c>
      <c r="U176" s="120" t="s">
        <v>2560</v>
      </c>
      <c r="V176" s="123">
        <v>0</v>
      </c>
      <c r="W176" s="120"/>
      <c r="X176" s="120"/>
      <c r="Y176" s="123"/>
      <c r="Z176" s="123">
        <v>-8.6999999999999994E-3</v>
      </c>
      <c r="AA176" s="124">
        <v>55243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45473</v>
      </c>
      <c r="AO176" s="120"/>
      <c r="AP176" s="123"/>
      <c r="AQ176" s="122">
        <v>22943216.699999999</v>
      </c>
      <c r="AR176" s="122">
        <v>109.55</v>
      </c>
      <c r="AS176" s="122">
        <v>1</v>
      </c>
      <c r="AT176" s="122">
        <v>25134.293890000001</v>
      </c>
      <c r="AU176" s="122">
        <v>25134.293890000001</v>
      </c>
      <c r="AV176" s="122"/>
      <c r="AW176" s="122"/>
      <c r="AX176" s="120"/>
      <c r="AY176" s="120"/>
      <c r="AZ176" s="123">
        <v>9.5849999999999998E-3</v>
      </c>
      <c r="BA176" s="123">
        <v>4.2099999999999999E-4</v>
      </c>
    </row>
    <row r="177" spans="1:53" ht="15" customHeight="1">
      <c r="A177" s="121">
        <v>313</v>
      </c>
      <c r="B177" s="121">
        <v>313</v>
      </c>
      <c r="C177" s="121"/>
      <c r="D177" s="120"/>
      <c r="E177" s="120"/>
      <c r="F177" s="121">
        <v>76000307</v>
      </c>
      <c r="G177" s="120" t="s">
        <v>1013</v>
      </c>
      <c r="H177" s="120" t="s">
        <v>2562</v>
      </c>
      <c r="I177" s="120" t="s">
        <v>203</v>
      </c>
      <c r="J177" s="120"/>
      <c r="K177" s="120" t="s">
        <v>463</v>
      </c>
      <c r="L177" s="120" t="s">
        <v>338</v>
      </c>
      <c r="M177" s="120" t="s">
        <v>338</v>
      </c>
      <c r="N177" s="121"/>
      <c r="O177" s="124">
        <v>44900</v>
      </c>
      <c r="P177" s="120" t="s">
        <v>409</v>
      </c>
      <c r="Q177" s="120" t="s">
        <v>409</v>
      </c>
      <c r="R177" s="120" t="s">
        <v>409</v>
      </c>
      <c r="S177" s="120" t="s">
        <v>1217</v>
      </c>
      <c r="T177" s="122">
        <v>9.9999999999999995E-7</v>
      </c>
      <c r="U177" s="120" t="s">
        <v>2560</v>
      </c>
      <c r="V177" s="123">
        <v>0</v>
      </c>
      <c r="W177" s="120"/>
      <c r="X177" s="120"/>
      <c r="Y177" s="123"/>
      <c r="Z177" s="123">
        <v>0</v>
      </c>
      <c r="AA177" s="124">
        <v>55858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45473</v>
      </c>
      <c r="AO177" s="120"/>
      <c r="AP177" s="123"/>
      <c r="AQ177" s="122">
        <v>-80168.41</v>
      </c>
      <c r="AR177" s="122">
        <v>100</v>
      </c>
      <c r="AS177" s="122">
        <v>1</v>
      </c>
      <c r="AT177" s="122">
        <v>-80.168409999999994</v>
      </c>
      <c r="AU177" s="122">
        <v>-80.168409999999994</v>
      </c>
      <c r="AV177" s="122"/>
      <c r="AW177" s="122"/>
      <c r="AX177" s="120"/>
      <c r="AY177" s="120"/>
      <c r="AZ177" s="123">
        <v>-3.0000000000000001E-5</v>
      </c>
      <c r="BA177" s="123">
        <v>-9.9999999999999995E-7</v>
      </c>
    </row>
    <row r="178" spans="1:53" ht="15" customHeight="1">
      <c r="A178" s="121">
        <v>313</v>
      </c>
      <c r="B178" s="121">
        <v>313</v>
      </c>
      <c r="C178" s="121"/>
      <c r="D178" s="120"/>
      <c r="E178" s="120"/>
      <c r="F178" s="121">
        <v>76000308</v>
      </c>
      <c r="G178" s="120" t="s">
        <v>1013</v>
      </c>
      <c r="H178" s="120" t="s">
        <v>2562</v>
      </c>
      <c r="I178" s="120" t="s">
        <v>203</v>
      </c>
      <c r="J178" s="120"/>
      <c r="K178" s="120" t="s">
        <v>463</v>
      </c>
      <c r="L178" s="120" t="s">
        <v>338</v>
      </c>
      <c r="M178" s="120" t="s">
        <v>338</v>
      </c>
      <c r="N178" s="121"/>
      <c r="O178" s="124">
        <v>44900</v>
      </c>
      <c r="P178" s="120" t="s">
        <v>409</v>
      </c>
      <c r="Q178" s="120" t="s">
        <v>409</v>
      </c>
      <c r="R178" s="120" t="s">
        <v>409</v>
      </c>
      <c r="S178" s="120" t="s">
        <v>1217</v>
      </c>
      <c r="T178" s="122">
        <v>9.9999999999999995E-7</v>
      </c>
      <c r="U178" s="120" t="s">
        <v>2560</v>
      </c>
      <c r="V178" s="123">
        <v>0</v>
      </c>
      <c r="W178" s="120"/>
      <c r="X178" s="120"/>
      <c r="Y178" s="123"/>
      <c r="Z178" s="123">
        <v>0</v>
      </c>
      <c r="AA178" s="124">
        <v>55858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45473</v>
      </c>
      <c r="AO178" s="120"/>
      <c r="AP178" s="123"/>
      <c r="AQ178" s="122">
        <v>-69150.149999999994</v>
      </c>
      <c r="AR178" s="122">
        <v>100</v>
      </c>
      <c r="AS178" s="122">
        <v>1</v>
      </c>
      <c r="AT178" s="122">
        <v>-69.150149999999996</v>
      </c>
      <c r="AU178" s="122">
        <v>-69.150149999999996</v>
      </c>
      <c r="AV178" s="122"/>
      <c r="AW178" s="122"/>
      <c r="AX178" s="120"/>
      <c r="AY178" s="120"/>
      <c r="AZ178" s="123">
        <v>-2.5999999999999998E-5</v>
      </c>
      <c r="BA178" s="123">
        <v>-9.9999999999999995E-7</v>
      </c>
    </row>
    <row r="179" spans="1:53" ht="15" customHeight="1">
      <c r="A179" s="121">
        <v>313</v>
      </c>
      <c r="B179" s="121">
        <v>313</v>
      </c>
      <c r="C179" s="121"/>
      <c r="D179" s="120"/>
      <c r="E179" s="120"/>
      <c r="F179" s="121">
        <v>76000309</v>
      </c>
      <c r="G179" s="120" t="s">
        <v>1013</v>
      </c>
      <c r="H179" s="120" t="s">
        <v>2562</v>
      </c>
      <c r="I179" s="120" t="s">
        <v>203</v>
      </c>
      <c r="J179" s="120"/>
      <c r="K179" s="120" t="s">
        <v>463</v>
      </c>
      <c r="L179" s="120" t="s">
        <v>338</v>
      </c>
      <c r="M179" s="120" t="s">
        <v>338</v>
      </c>
      <c r="N179" s="121"/>
      <c r="O179" s="124">
        <v>44900</v>
      </c>
      <c r="P179" s="120" t="s">
        <v>409</v>
      </c>
      <c r="Q179" s="120" t="s">
        <v>409</v>
      </c>
      <c r="R179" s="120" t="s">
        <v>409</v>
      </c>
      <c r="S179" s="120" t="s">
        <v>1217</v>
      </c>
      <c r="T179" s="122">
        <v>9.9999999999999995E-7</v>
      </c>
      <c r="U179" s="120" t="s">
        <v>2560</v>
      </c>
      <c r="V179" s="123">
        <v>0</v>
      </c>
      <c r="W179" s="120"/>
      <c r="X179" s="120"/>
      <c r="Y179" s="123"/>
      <c r="Z179" s="123">
        <v>0</v>
      </c>
      <c r="AA179" s="124">
        <v>55858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45473</v>
      </c>
      <c r="AO179" s="120"/>
      <c r="AP179" s="123"/>
      <c r="AQ179" s="122">
        <v>-13702.79</v>
      </c>
      <c r="AR179" s="122">
        <v>100</v>
      </c>
      <c r="AS179" s="122">
        <v>1</v>
      </c>
      <c r="AT179" s="122">
        <v>-13.70279</v>
      </c>
      <c r="AU179" s="122">
        <v>-13.70279</v>
      </c>
      <c r="AV179" s="122"/>
      <c r="AW179" s="122"/>
      <c r="AX179" s="120"/>
      <c r="AY179" s="120"/>
      <c r="AZ179" s="123">
        <v>-5.0000000000000004E-6</v>
      </c>
      <c r="BA179" s="123">
        <v>0</v>
      </c>
    </row>
    <row r="180" spans="1:53" ht="15" customHeight="1">
      <c r="A180" s="121">
        <v>313</v>
      </c>
      <c r="B180" s="121">
        <v>313</v>
      </c>
      <c r="C180" s="121"/>
      <c r="D180" s="120"/>
      <c r="E180" s="120"/>
      <c r="F180" s="121">
        <v>76000310</v>
      </c>
      <c r="G180" s="120" t="s">
        <v>1013</v>
      </c>
      <c r="H180" s="120" t="s">
        <v>2562</v>
      </c>
      <c r="I180" s="120" t="s">
        <v>203</v>
      </c>
      <c r="J180" s="120"/>
      <c r="K180" s="120" t="s">
        <v>463</v>
      </c>
      <c r="L180" s="120" t="s">
        <v>338</v>
      </c>
      <c r="M180" s="120" t="s">
        <v>338</v>
      </c>
      <c r="N180" s="121"/>
      <c r="O180" s="124">
        <v>44900</v>
      </c>
      <c r="P180" s="120" t="s">
        <v>409</v>
      </c>
      <c r="Q180" s="120" t="s">
        <v>409</v>
      </c>
      <c r="R180" s="120" t="s">
        <v>409</v>
      </c>
      <c r="S180" s="120" t="s">
        <v>1217</v>
      </c>
      <c r="T180" s="122">
        <v>9.9999999999999995E-7</v>
      </c>
      <c r="U180" s="120" t="s">
        <v>2560</v>
      </c>
      <c r="V180" s="123">
        <v>0</v>
      </c>
      <c r="W180" s="120"/>
      <c r="X180" s="120"/>
      <c r="Y180" s="123"/>
      <c r="Z180" s="123">
        <v>0</v>
      </c>
      <c r="AA180" s="124">
        <v>55858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338</v>
      </c>
      <c r="AK180" s="120" t="s">
        <v>887</v>
      </c>
      <c r="AL180" s="120"/>
      <c r="AM180" s="120" t="s">
        <v>890</v>
      </c>
      <c r="AN180" s="124">
        <v>45473</v>
      </c>
      <c r="AO180" s="120"/>
      <c r="AP180" s="123"/>
      <c r="AQ180" s="122">
        <v>-8321.5</v>
      </c>
      <c r="AR180" s="122">
        <v>100</v>
      </c>
      <c r="AS180" s="122">
        <v>1</v>
      </c>
      <c r="AT180" s="122">
        <v>-8.3215000000000003</v>
      </c>
      <c r="AU180" s="122">
        <v>-8.3215000000000003</v>
      </c>
      <c r="AV180" s="122"/>
      <c r="AW180" s="122"/>
      <c r="AX180" s="120"/>
      <c r="AY180" s="120"/>
      <c r="AZ180" s="123">
        <v>-3.0000000000000001E-6</v>
      </c>
      <c r="BA180" s="123">
        <v>0</v>
      </c>
    </row>
    <row r="181" spans="1:53" ht="15" customHeight="1">
      <c r="A181" s="121">
        <v>313</v>
      </c>
      <c r="B181" s="121">
        <v>313</v>
      </c>
      <c r="C181" s="121"/>
      <c r="D181" s="120"/>
      <c r="E181" s="120"/>
      <c r="F181" s="121">
        <v>76000311</v>
      </c>
      <c r="G181" s="120" t="s">
        <v>1013</v>
      </c>
      <c r="H181" s="120" t="s">
        <v>2562</v>
      </c>
      <c r="I181" s="120" t="s">
        <v>203</v>
      </c>
      <c r="J181" s="120"/>
      <c r="K181" s="120" t="s">
        <v>463</v>
      </c>
      <c r="L181" s="120" t="s">
        <v>338</v>
      </c>
      <c r="M181" s="120" t="s">
        <v>338</v>
      </c>
      <c r="N181" s="121"/>
      <c r="O181" s="124">
        <v>44900</v>
      </c>
      <c r="P181" s="120" t="s">
        <v>409</v>
      </c>
      <c r="Q181" s="120" t="s">
        <v>409</v>
      </c>
      <c r="R181" s="120" t="s">
        <v>409</v>
      </c>
      <c r="S181" s="120" t="s">
        <v>1217</v>
      </c>
      <c r="T181" s="122">
        <v>9.9999999999999995E-7</v>
      </c>
      <c r="U181" s="120" t="s">
        <v>2560</v>
      </c>
      <c r="V181" s="123">
        <v>0</v>
      </c>
      <c r="W181" s="120"/>
      <c r="X181" s="120"/>
      <c r="Y181" s="123"/>
      <c r="Z181" s="123">
        <v>0</v>
      </c>
      <c r="AA181" s="124">
        <v>55858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45473</v>
      </c>
      <c r="AO181" s="120"/>
      <c r="AP181" s="123"/>
      <c r="AQ181" s="122">
        <v>-12010.15</v>
      </c>
      <c r="AR181" s="122">
        <v>100</v>
      </c>
      <c r="AS181" s="122">
        <v>1</v>
      </c>
      <c r="AT181" s="122">
        <v>-12.010149999999999</v>
      </c>
      <c r="AU181" s="122">
        <v>-12.010149999999999</v>
      </c>
      <c r="AV181" s="122"/>
      <c r="AW181" s="122"/>
      <c r="AX181" s="120"/>
      <c r="AY181" s="120"/>
      <c r="AZ181" s="123">
        <v>-3.9999999999999998E-6</v>
      </c>
      <c r="BA181" s="123">
        <v>0</v>
      </c>
    </row>
    <row r="182" spans="1:53" ht="15" customHeight="1">
      <c r="A182" s="121">
        <v>313</v>
      </c>
      <c r="B182" s="121">
        <v>313</v>
      </c>
      <c r="C182" s="121"/>
      <c r="D182" s="120"/>
      <c r="E182" s="120"/>
      <c r="F182" s="121">
        <v>76000312</v>
      </c>
      <c r="G182" s="120" t="s">
        <v>1013</v>
      </c>
      <c r="H182" s="120" t="s">
        <v>2562</v>
      </c>
      <c r="I182" s="120" t="s">
        <v>203</v>
      </c>
      <c r="J182" s="120"/>
      <c r="K182" s="120" t="s">
        <v>463</v>
      </c>
      <c r="L182" s="120" t="s">
        <v>338</v>
      </c>
      <c r="M182" s="120" t="s">
        <v>338</v>
      </c>
      <c r="N182" s="121"/>
      <c r="O182" s="124">
        <v>44900</v>
      </c>
      <c r="P182" s="120" t="s">
        <v>409</v>
      </c>
      <c r="Q182" s="120" t="s">
        <v>409</v>
      </c>
      <c r="R182" s="120" t="s">
        <v>409</v>
      </c>
      <c r="S182" s="120" t="s">
        <v>1217</v>
      </c>
      <c r="T182" s="122">
        <v>9.9999999999999995E-7</v>
      </c>
      <c r="U182" s="120" t="s">
        <v>2560</v>
      </c>
      <c r="V182" s="123">
        <v>0</v>
      </c>
      <c r="W182" s="120"/>
      <c r="X182" s="120"/>
      <c r="Y182" s="123"/>
      <c r="Z182" s="123">
        <v>0</v>
      </c>
      <c r="AA182" s="124">
        <v>55858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45473</v>
      </c>
      <c r="AO182" s="120"/>
      <c r="AP182" s="123"/>
      <c r="AQ182" s="122">
        <v>-65803.14</v>
      </c>
      <c r="AR182" s="122">
        <v>100</v>
      </c>
      <c r="AS182" s="122">
        <v>1</v>
      </c>
      <c r="AT182" s="122">
        <v>-65.803139999999999</v>
      </c>
      <c r="AU182" s="122">
        <v>-65.803139999999999</v>
      </c>
      <c r="AV182" s="122"/>
      <c r="AW182" s="122"/>
      <c r="AX182" s="120"/>
      <c r="AY182" s="120"/>
      <c r="AZ182" s="123">
        <v>-2.5000000000000001E-5</v>
      </c>
      <c r="BA182" s="123">
        <v>-9.9999999999999995E-7</v>
      </c>
    </row>
    <row r="183" spans="1:53" ht="15" customHeight="1">
      <c r="A183" s="121">
        <v>313</v>
      </c>
      <c r="B183" s="121">
        <v>313</v>
      </c>
      <c r="C183" s="121"/>
      <c r="D183" s="120"/>
      <c r="E183" s="120"/>
      <c r="F183" s="121">
        <v>76000313</v>
      </c>
      <c r="G183" s="120" t="s">
        <v>1013</v>
      </c>
      <c r="H183" s="120" t="s">
        <v>2562</v>
      </c>
      <c r="I183" s="120" t="s">
        <v>203</v>
      </c>
      <c r="J183" s="120"/>
      <c r="K183" s="120" t="s">
        <v>463</v>
      </c>
      <c r="L183" s="120" t="s">
        <v>338</v>
      </c>
      <c r="M183" s="120" t="s">
        <v>338</v>
      </c>
      <c r="N183" s="121"/>
      <c r="O183" s="124">
        <v>45371</v>
      </c>
      <c r="P183" s="120" t="s">
        <v>409</v>
      </c>
      <c r="Q183" s="120" t="s">
        <v>409</v>
      </c>
      <c r="R183" s="120" t="s">
        <v>409</v>
      </c>
      <c r="S183" s="120" t="s">
        <v>1217</v>
      </c>
      <c r="T183" s="122">
        <v>9.18</v>
      </c>
      <c r="U183" s="120" t="s">
        <v>2560</v>
      </c>
      <c r="V183" s="123">
        <v>0</v>
      </c>
      <c r="W183" s="120"/>
      <c r="X183" s="120"/>
      <c r="Y183" s="123"/>
      <c r="Z183" s="123">
        <v>-8.6999999999999994E-3</v>
      </c>
      <c r="AA183" s="124">
        <v>55243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45473</v>
      </c>
      <c r="AO183" s="120"/>
      <c r="AP183" s="123"/>
      <c r="AQ183" s="122">
        <v>5251713.49</v>
      </c>
      <c r="AR183" s="122">
        <v>110.09</v>
      </c>
      <c r="AS183" s="122">
        <v>1</v>
      </c>
      <c r="AT183" s="122">
        <v>5781.6113800000003</v>
      </c>
      <c r="AU183" s="122">
        <v>5781.6113800000003</v>
      </c>
      <c r="AV183" s="122"/>
      <c r="AW183" s="122"/>
      <c r="AX183" s="120"/>
      <c r="AY183" s="120"/>
      <c r="AZ183" s="123">
        <v>2.2049999999999999E-3</v>
      </c>
      <c r="BA183" s="123">
        <v>9.7E-5</v>
      </c>
    </row>
    <row r="184" spans="1:53" ht="15" customHeight="1">
      <c r="A184" s="121">
        <v>313</v>
      </c>
      <c r="B184" s="121">
        <v>313</v>
      </c>
      <c r="C184" s="121"/>
      <c r="D184" s="120"/>
      <c r="E184" s="120"/>
      <c r="F184" s="121">
        <v>76000303</v>
      </c>
      <c r="G184" s="120" t="s">
        <v>1013</v>
      </c>
      <c r="H184" s="120" t="s">
        <v>2562</v>
      </c>
      <c r="I184" s="120" t="s">
        <v>203</v>
      </c>
      <c r="J184" s="120"/>
      <c r="K184" s="120" t="s">
        <v>463</v>
      </c>
      <c r="L184" s="120" t="s">
        <v>338</v>
      </c>
      <c r="M184" s="120" t="s">
        <v>338</v>
      </c>
      <c r="N184" s="121"/>
      <c r="O184" s="124">
        <v>44892</v>
      </c>
      <c r="P184" s="120" t="s">
        <v>409</v>
      </c>
      <c r="Q184" s="120" t="s">
        <v>409</v>
      </c>
      <c r="R184" s="120" t="s">
        <v>409</v>
      </c>
      <c r="S184" s="120" t="s">
        <v>1217</v>
      </c>
      <c r="T184" s="122">
        <v>7.74</v>
      </c>
      <c r="U184" s="120" t="s">
        <v>2560</v>
      </c>
      <c r="V184" s="123">
        <v>0</v>
      </c>
      <c r="W184" s="120"/>
      <c r="X184" s="120"/>
      <c r="Y184" s="123"/>
      <c r="Z184" s="123">
        <v>-2.5999999999999999E-3</v>
      </c>
      <c r="AA184" s="124">
        <v>55243</v>
      </c>
      <c r="AB184" s="120" t="s">
        <v>411</v>
      </c>
      <c r="AC184" s="120"/>
      <c r="AD184" s="122"/>
      <c r="AE184" s="123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45473</v>
      </c>
      <c r="AO184" s="120"/>
      <c r="AP184" s="123"/>
      <c r="AQ184" s="122">
        <v>3399804.28</v>
      </c>
      <c r="AR184" s="122">
        <v>101.12</v>
      </c>
      <c r="AS184" s="122">
        <v>1</v>
      </c>
      <c r="AT184" s="122">
        <v>3437.8820900000001</v>
      </c>
      <c r="AU184" s="122">
        <v>3437.8820900000001</v>
      </c>
      <c r="AV184" s="122"/>
      <c r="AW184" s="122"/>
      <c r="AX184" s="120"/>
      <c r="AY184" s="120"/>
      <c r="AZ184" s="123">
        <v>1.3110000000000001E-3</v>
      </c>
      <c r="BA184" s="123">
        <v>5.7000000000000003E-5</v>
      </c>
    </row>
    <row r="185" spans="1:53" ht="15" customHeight="1">
      <c r="A185" s="121">
        <v>313</v>
      </c>
      <c r="B185" s="121">
        <v>313</v>
      </c>
      <c r="C185" s="121"/>
      <c r="D185" s="120"/>
      <c r="E185" s="120"/>
      <c r="F185" s="121">
        <v>76000302</v>
      </c>
      <c r="G185" s="120" t="s">
        <v>1013</v>
      </c>
      <c r="H185" s="120" t="s">
        <v>2562</v>
      </c>
      <c r="I185" s="120" t="s">
        <v>203</v>
      </c>
      <c r="J185" s="120"/>
      <c r="K185" s="120" t="s">
        <v>463</v>
      </c>
      <c r="L185" s="120" t="s">
        <v>338</v>
      </c>
      <c r="M185" s="120" t="s">
        <v>338</v>
      </c>
      <c r="N185" s="121"/>
      <c r="O185" s="124">
        <v>44892</v>
      </c>
      <c r="P185" s="120" t="s">
        <v>409</v>
      </c>
      <c r="Q185" s="120" t="s">
        <v>409</v>
      </c>
      <c r="R185" s="120" t="s">
        <v>409</v>
      </c>
      <c r="S185" s="120" t="s">
        <v>1217</v>
      </c>
      <c r="T185" s="122">
        <v>8.7799999999999994</v>
      </c>
      <c r="U185" s="120" t="s">
        <v>2560</v>
      </c>
      <c r="V185" s="123">
        <v>0</v>
      </c>
      <c r="W185" s="120"/>
      <c r="X185" s="120"/>
      <c r="Y185" s="123"/>
      <c r="Z185" s="123">
        <v>3.3E-3</v>
      </c>
      <c r="AA185" s="124">
        <v>55243</v>
      </c>
      <c r="AB185" s="120" t="s">
        <v>411</v>
      </c>
      <c r="AC185" s="120"/>
      <c r="AD185" s="122"/>
      <c r="AE185" s="123"/>
      <c r="AF185" s="124"/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45473</v>
      </c>
      <c r="AO185" s="120"/>
      <c r="AP185" s="123"/>
      <c r="AQ185" s="122">
        <v>13178255.43</v>
      </c>
      <c r="AR185" s="122">
        <v>94.75</v>
      </c>
      <c r="AS185" s="122">
        <v>1</v>
      </c>
      <c r="AT185" s="122">
        <v>12486.39702</v>
      </c>
      <c r="AU185" s="122">
        <v>12486.39702</v>
      </c>
      <c r="AV185" s="122"/>
      <c r="AW185" s="122"/>
      <c r="AX185" s="120"/>
      <c r="AY185" s="120"/>
      <c r="AZ185" s="123">
        <v>4.7619999999999997E-3</v>
      </c>
      <c r="BA185" s="123">
        <v>2.0900000000000001E-4</v>
      </c>
    </row>
    <row r="186" spans="1:53" ht="15" customHeight="1">
      <c r="A186" s="121">
        <v>313</v>
      </c>
      <c r="B186" s="121">
        <v>313</v>
      </c>
      <c r="C186" s="121"/>
      <c r="D186" s="120"/>
      <c r="E186" s="120"/>
      <c r="F186" s="121">
        <v>76000301</v>
      </c>
      <c r="G186" s="120" t="s">
        <v>1013</v>
      </c>
      <c r="H186" s="120" t="s">
        <v>2562</v>
      </c>
      <c r="I186" s="120" t="s">
        <v>203</v>
      </c>
      <c r="J186" s="120"/>
      <c r="K186" s="120" t="s">
        <v>463</v>
      </c>
      <c r="L186" s="120" t="s">
        <v>338</v>
      </c>
      <c r="M186" s="120" t="s">
        <v>338</v>
      </c>
      <c r="N186" s="121"/>
      <c r="O186" s="124">
        <v>44892</v>
      </c>
      <c r="P186" s="120" t="s">
        <v>409</v>
      </c>
      <c r="Q186" s="120" t="s">
        <v>409</v>
      </c>
      <c r="R186" s="120" t="s">
        <v>409</v>
      </c>
      <c r="S186" s="120" t="s">
        <v>1217</v>
      </c>
      <c r="T186" s="122">
        <v>7.84</v>
      </c>
      <c r="U186" s="120" t="s">
        <v>2560</v>
      </c>
      <c r="V186" s="123">
        <v>0</v>
      </c>
      <c r="W186" s="120"/>
      <c r="X186" s="120"/>
      <c r="Y186" s="123"/>
      <c r="Z186" s="123">
        <v>-1.6E-2</v>
      </c>
      <c r="AA186" s="124">
        <v>55243</v>
      </c>
      <c r="AB186" s="120" t="s">
        <v>411</v>
      </c>
      <c r="AC186" s="120"/>
      <c r="AD186" s="122"/>
      <c r="AE186" s="123"/>
      <c r="AF186" s="124"/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45473</v>
      </c>
      <c r="AO186" s="120"/>
      <c r="AP186" s="123"/>
      <c r="AQ186" s="122">
        <v>17174010.879999999</v>
      </c>
      <c r="AR186" s="122">
        <v>130.22</v>
      </c>
      <c r="AS186" s="122">
        <v>1</v>
      </c>
      <c r="AT186" s="122">
        <v>22363.99697</v>
      </c>
      <c r="AU186" s="122">
        <v>22363.99697</v>
      </c>
      <c r="AV186" s="122"/>
      <c r="AW186" s="122"/>
      <c r="AX186" s="120"/>
      <c r="AY186" s="120"/>
      <c r="AZ186" s="123">
        <v>8.5290000000000001E-3</v>
      </c>
      <c r="BA186" s="123">
        <v>3.7500000000000001E-4</v>
      </c>
    </row>
    <row r="187" spans="1:53" ht="15" customHeight="1">
      <c r="A187" s="121">
        <v>313</v>
      </c>
      <c r="B187" s="121">
        <v>313</v>
      </c>
      <c r="C187" s="121"/>
      <c r="D187" s="120"/>
      <c r="E187" s="120"/>
      <c r="F187" s="121">
        <v>76000300</v>
      </c>
      <c r="G187" s="120" t="s">
        <v>1013</v>
      </c>
      <c r="H187" s="120" t="s">
        <v>2562</v>
      </c>
      <c r="I187" s="120" t="s">
        <v>203</v>
      </c>
      <c r="J187" s="120"/>
      <c r="K187" s="120" t="s">
        <v>463</v>
      </c>
      <c r="L187" s="120" t="s">
        <v>338</v>
      </c>
      <c r="M187" s="120" t="s">
        <v>338</v>
      </c>
      <c r="N187" s="121"/>
      <c r="O187" s="124">
        <v>44892</v>
      </c>
      <c r="P187" s="120" t="s">
        <v>409</v>
      </c>
      <c r="Q187" s="120" t="s">
        <v>409</v>
      </c>
      <c r="R187" s="120" t="s">
        <v>409</v>
      </c>
      <c r="S187" s="120" t="s">
        <v>1217</v>
      </c>
      <c r="T187" s="122">
        <v>9.15</v>
      </c>
      <c r="U187" s="120" t="s">
        <v>2560</v>
      </c>
      <c r="V187" s="123">
        <v>0</v>
      </c>
      <c r="W187" s="120"/>
      <c r="X187" s="120"/>
      <c r="Y187" s="123"/>
      <c r="Z187" s="123">
        <v>-7.6E-3</v>
      </c>
      <c r="AA187" s="124">
        <v>55243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45473</v>
      </c>
      <c r="AO187" s="120"/>
      <c r="AP187" s="123"/>
      <c r="AQ187" s="122">
        <v>11639281.029999999</v>
      </c>
      <c r="AR187" s="122">
        <v>122.62</v>
      </c>
      <c r="AS187" s="122">
        <v>1</v>
      </c>
      <c r="AT187" s="122">
        <v>14272.0864</v>
      </c>
      <c r="AU187" s="122">
        <v>14272.0864</v>
      </c>
      <c r="AV187" s="122"/>
      <c r="AW187" s="122"/>
      <c r="AX187" s="120"/>
      <c r="AY187" s="120"/>
      <c r="AZ187" s="123">
        <v>5.4429999999999999E-3</v>
      </c>
      <c r="BA187" s="123">
        <v>2.3900000000000001E-4</v>
      </c>
    </row>
    <row r="188" spans="1:53" ht="15" customHeight="1">
      <c r="A188" s="121">
        <v>313</v>
      </c>
      <c r="B188" s="121">
        <v>313</v>
      </c>
      <c r="C188" s="121"/>
      <c r="D188" s="120"/>
      <c r="E188" s="120"/>
      <c r="F188" s="121">
        <v>75004442</v>
      </c>
      <c r="G188" s="120" t="s">
        <v>1013</v>
      </c>
      <c r="H188" s="120" t="s">
        <v>785</v>
      </c>
      <c r="I188" s="120" t="s">
        <v>203</v>
      </c>
      <c r="J188" s="120"/>
      <c r="K188" s="120" t="s">
        <v>463</v>
      </c>
      <c r="L188" s="120" t="s">
        <v>338</v>
      </c>
      <c r="M188" s="120" t="s">
        <v>337</v>
      </c>
      <c r="N188" s="121"/>
      <c r="O188" s="124">
        <v>44195</v>
      </c>
      <c r="P188" s="120" t="s">
        <v>2563</v>
      </c>
      <c r="Q188" s="120" t="s">
        <v>311</v>
      </c>
      <c r="R188" s="120" t="s">
        <v>407</v>
      </c>
      <c r="S188" s="120" t="s">
        <v>1217</v>
      </c>
      <c r="T188" s="122">
        <v>6.6</v>
      </c>
      <c r="U188" s="120" t="s">
        <v>824</v>
      </c>
      <c r="V188" s="123">
        <v>6.25E-2</v>
      </c>
      <c r="W188" s="120"/>
      <c r="X188" s="120"/>
      <c r="Y188" s="123"/>
      <c r="Z188" s="123">
        <v>6.3299999999999995E-2</v>
      </c>
      <c r="AA188" s="124">
        <v>49562</v>
      </c>
      <c r="AB188" s="120" t="s">
        <v>411</v>
      </c>
      <c r="AC188" s="120"/>
      <c r="AD188" s="122"/>
      <c r="AE188" s="123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45473</v>
      </c>
      <c r="AO188" s="120"/>
      <c r="AP188" s="123"/>
      <c r="AQ188" s="122">
        <v>1223059.9099999999</v>
      </c>
      <c r="AR188" s="122">
        <v>100.72</v>
      </c>
      <c r="AS188" s="122">
        <v>1</v>
      </c>
      <c r="AT188" s="122">
        <v>1231.8659399999999</v>
      </c>
      <c r="AU188" s="122">
        <v>1231.8659399999999</v>
      </c>
      <c r="AV188" s="122"/>
      <c r="AW188" s="122"/>
      <c r="AX188" s="120"/>
      <c r="AY188" s="120"/>
      <c r="AZ188" s="123">
        <v>4.6900000000000002E-4</v>
      </c>
      <c r="BA188" s="123">
        <v>2.0000000000000002E-5</v>
      </c>
    </row>
    <row r="189" spans="1:53" ht="15" customHeight="1">
      <c r="A189" s="121">
        <v>313</v>
      </c>
      <c r="B189" s="121">
        <v>313</v>
      </c>
      <c r="C189" s="121"/>
      <c r="D189" s="120"/>
      <c r="E189" s="120"/>
      <c r="F189" s="121">
        <v>75004443</v>
      </c>
      <c r="G189" s="120" t="s">
        <v>1013</v>
      </c>
      <c r="H189" s="120" t="s">
        <v>785</v>
      </c>
      <c r="I189" s="120" t="s">
        <v>203</v>
      </c>
      <c r="J189" s="120"/>
      <c r="K189" s="120" t="s">
        <v>463</v>
      </c>
      <c r="L189" s="120" t="s">
        <v>338</v>
      </c>
      <c r="M189" s="120" t="s">
        <v>337</v>
      </c>
      <c r="N189" s="121"/>
      <c r="O189" s="124">
        <v>44195</v>
      </c>
      <c r="P189" s="120" t="s">
        <v>2563</v>
      </c>
      <c r="Q189" s="120" t="s">
        <v>311</v>
      </c>
      <c r="R189" s="120" t="s">
        <v>407</v>
      </c>
      <c r="S189" s="120" t="s">
        <v>1217</v>
      </c>
      <c r="T189" s="122">
        <v>6.6</v>
      </c>
      <c r="U189" s="120" t="s">
        <v>824</v>
      </c>
      <c r="V189" s="123">
        <v>6.25E-2</v>
      </c>
      <c r="W189" s="120"/>
      <c r="X189" s="120"/>
      <c r="Y189" s="123"/>
      <c r="Z189" s="123">
        <v>6.3299999999999995E-2</v>
      </c>
      <c r="AA189" s="124">
        <v>49562</v>
      </c>
      <c r="AB189" s="120" t="s">
        <v>411</v>
      </c>
      <c r="AC189" s="120"/>
      <c r="AD189" s="122"/>
      <c r="AE189" s="123"/>
      <c r="AF189" s="124"/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45473</v>
      </c>
      <c r="AO189" s="120"/>
      <c r="AP189" s="123"/>
      <c r="AQ189" s="122">
        <v>1223059.8999999999</v>
      </c>
      <c r="AR189" s="122">
        <v>100.72</v>
      </c>
      <c r="AS189" s="122">
        <v>1</v>
      </c>
      <c r="AT189" s="122">
        <v>1231.8659299999999</v>
      </c>
      <c r="AU189" s="122">
        <v>1231.8659299999999</v>
      </c>
      <c r="AV189" s="122"/>
      <c r="AW189" s="122"/>
      <c r="AX189" s="120"/>
      <c r="AY189" s="120"/>
      <c r="AZ189" s="123">
        <v>4.6900000000000002E-4</v>
      </c>
      <c r="BA189" s="123">
        <v>2.0000000000000002E-5</v>
      </c>
    </row>
    <row r="190" spans="1:53" ht="15" customHeight="1">
      <c r="A190" s="121">
        <v>313</v>
      </c>
      <c r="B190" s="121">
        <v>313</v>
      </c>
      <c r="C190" s="121"/>
      <c r="D190" s="120"/>
      <c r="E190" s="120"/>
      <c r="F190" s="121">
        <v>75004444</v>
      </c>
      <c r="G190" s="120" t="s">
        <v>1013</v>
      </c>
      <c r="H190" s="120" t="s">
        <v>785</v>
      </c>
      <c r="I190" s="120" t="s">
        <v>203</v>
      </c>
      <c r="J190" s="120"/>
      <c r="K190" s="120" t="s">
        <v>463</v>
      </c>
      <c r="L190" s="120" t="s">
        <v>338</v>
      </c>
      <c r="M190" s="120" t="s">
        <v>337</v>
      </c>
      <c r="N190" s="121"/>
      <c r="O190" s="124">
        <v>44195</v>
      </c>
      <c r="P190" s="120" t="s">
        <v>2563</v>
      </c>
      <c r="Q190" s="120" t="s">
        <v>311</v>
      </c>
      <c r="R190" s="120" t="s">
        <v>407</v>
      </c>
      <c r="S190" s="120" t="s">
        <v>1217</v>
      </c>
      <c r="T190" s="122">
        <v>6.6</v>
      </c>
      <c r="U190" s="120" t="s">
        <v>824</v>
      </c>
      <c r="V190" s="123">
        <v>6.25E-2</v>
      </c>
      <c r="W190" s="120"/>
      <c r="X190" s="120"/>
      <c r="Y190" s="123"/>
      <c r="Z190" s="123">
        <v>6.3299999999999995E-2</v>
      </c>
      <c r="AA190" s="124">
        <v>49562</v>
      </c>
      <c r="AB190" s="120" t="s">
        <v>411</v>
      </c>
      <c r="AC190" s="120"/>
      <c r="AD190" s="122"/>
      <c r="AE190" s="123"/>
      <c r="AF190" s="124"/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45473</v>
      </c>
      <c r="AO190" s="120"/>
      <c r="AP190" s="123"/>
      <c r="AQ190" s="122">
        <v>407686.97</v>
      </c>
      <c r="AR190" s="122">
        <v>100.72</v>
      </c>
      <c r="AS190" s="122">
        <v>1</v>
      </c>
      <c r="AT190" s="122">
        <v>410.62232</v>
      </c>
      <c r="AU190" s="122">
        <v>410.62232</v>
      </c>
      <c r="AV190" s="122"/>
      <c r="AW190" s="122"/>
      <c r="AX190" s="120"/>
      <c r="AY190" s="120"/>
      <c r="AZ190" s="123">
        <v>1.56E-4</v>
      </c>
      <c r="BA190" s="123">
        <v>6.0000000000000002E-6</v>
      </c>
    </row>
    <row r="191" spans="1:53" ht="15" customHeight="1">
      <c r="A191" s="121">
        <v>313</v>
      </c>
      <c r="B191" s="121">
        <v>313</v>
      </c>
      <c r="C191" s="121"/>
      <c r="D191" s="120"/>
      <c r="E191" s="120"/>
      <c r="F191" s="121">
        <v>75004445</v>
      </c>
      <c r="G191" s="120" t="s">
        <v>1013</v>
      </c>
      <c r="H191" s="120" t="s">
        <v>812</v>
      </c>
      <c r="I191" s="120" t="s">
        <v>203</v>
      </c>
      <c r="J191" s="120"/>
      <c r="K191" s="120" t="s">
        <v>463</v>
      </c>
      <c r="L191" s="120" t="s">
        <v>338</v>
      </c>
      <c r="M191" s="120" t="s">
        <v>337</v>
      </c>
      <c r="N191" s="121"/>
      <c r="O191" s="124">
        <v>44195</v>
      </c>
      <c r="P191" s="120" t="s">
        <v>2563</v>
      </c>
      <c r="Q191" s="120" t="s">
        <v>311</v>
      </c>
      <c r="R191" s="120" t="s">
        <v>407</v>
      </c>
      <c r="S191" s="120" t="s">
        <v>1217</v>
      </c>
      <c r="T191" s="122">
        <v>6.6</v>
      </c>
      <c r="U191" s="120" t="s">
        <v>824</v>
      </c>
      <c r="V191" s="123">
        <v>6.25E-2</v>
      </c>
      <c r="W191" s="120"/>
      <c r="X191" s="120"/>
      <c r="Y191" s="123"/>
      <c r="Z191" s="123">
        <v>6.3299999999999995E-2</v>
      </c>
      <c r="AA191" s="124">
        <v>49562</v>
      </c>
      <c r="AB191" s="120" t="s">
        <v>411</v>
      </c>
      <c r="AC191" s="120"/>
      <c r="AD191" s="122"/>
      <c r="AE191" s="123"/>
      <c r="AF191" s="124"/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45473</v>
      </c>
      <c r="AO191" s="120"/>
      <c r="AP191" s="123"/>
      <c r="AQ191" s="122">
        <v>952333.68</v>
      </c>
      <c r="AR191" s="122">
        <v>100.72</v>
      </c>
      <c r="AS191" s="122">
        <v>1</v>
      </c>
      <c r="AT191" s="122">
        <v>959.19047999999998</v>
      </c>
      <c r="AU191" s="122">
        <v>959.19047999999998</v>
      </c>
      <c r="AV191" s="122"/>
      <c r="AW191" s="122"/>
      <c r="AX191" s="120"/>
      <c r="AY191" s="120"/>
      <c r="AZ191" s="123">
        <v>3.6499999999999998E-4</v>
      </c>
      <c r="BA191" s="123">
        <v>1.5999999999999999E-5</v>
      </c>
    </row>
    <row r="192" spans="1:53" ht="15" customHeight="1">
      <c r="A192" s="121">
        <v>313</v>
      </c>
      <c r="B192" s="121">
        <v>313</v>
      </c>
      <c r="C192" s="121"/>
      <c r="D192" s="120"/>
      <c r="E192" s="120"/>
      <c r="F192" s="121">
        <v>76000315</v>
      </c>
      <c r="G192" s="120" t="s">
        <v>1013</v>
      </c>
      <c r="H192" s="120" t="s">
        <v>2562</v>
      </c>
      <c r="I192" s="120" t="s">
        <v>203</v>
      </c>
      <c r="J192" s="120"/>
      <c r="K192" s="120" t="s">
        <v>463</v>
      </c>
      <c r="L192" s="120" t="s">
        <v>338</v>
      </c>
      <c r="M192" s="120" t="s">
        <v>338</v>
      </c>
      <c r="N192" s="121"/>
      <c r="O192" s="124">
        <v>45371</v>
      </c>
      <c r="P192" s="120" t="s">
        <v>409</v>
      </c>
      <c r="Q192" s="120" t="s">
        <v>409</v>
      </c>
      <c r="R192" s="120" t="s">
        <v>409</v>
      </c>
      <c r="S192" s="120" t="s">
        <v>1217</v>
      </c>
      <c r="T192" s="122">
        <v>9.1999999999999993</v>
      </c>
      <c r="U192" s="120" t="s">
        <v>2560</v>
      </c>
      <c r="V192" s="123">
        <v>0</v>
      </c>
      <c r="W192" s="120"/>
      <c r="X192" s="120"/>
      <c r="Y192" s="123"/>
      <c r="Z192" s="123">
        <v>-9.1000000000000004E-3</v>
      </c>
      <c r="AA192" s="124">
        <v>55243</v>
      </c>
      <c r="AB192" s="120" t="s">
        <v>411</v>
      </c>
      <c r="AC192" s="120"/>
      <c r="AD192" s="122"/>
      <c r="AE192" s="123"/>
      <c r="AF192" s="124"/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45473</v>
      </c>
      <c r="AO192" s="120"/>
      <c r="AP192" s="123"/>
      <c r="AQ192" s="122">
        <v>6838572.4000000004</v>
      </c>
      <c r="AR192" s="122">
        <v>110.53</v>
      </c>
      <c r="AS192" s="122">
        <v>1</v>
      </c>
      <c r="AT192" s="122">
        <v>7558.67407</v>
      </c>
      <c r="AU192" s="122">
        <v>7558.67407</v>
      </c>
      <c r="AV192" s="122"/>
      <c r="AW192" s="122"/>
      <c r="AX192" s="120"/>
      <c r="AY192" s="120"/>
      <c r="AZ192" s="123">
        <v>2.882E-3</v>
      </c>
      <c r="BA192" s="123">
        <v>1.26E-4</v>
      </c>
    </row>
    <row r="193" spans="1:53" ht="15" customHeight="1">
      <c r="A193" s="121">
        <v>313</v>
      </c>
      <c r="B193" s="121">
        <v>313</v>
      </c>
      <c r="C193" s="121"/>
      <c r="D193" s="120"/>
      <c r="E193" s="120"/>
      <c r="F193" s="121">
        <v>75004446</v>
      </c>
      <c r="G193" s="120" t="s">
        <v>1013</v>
      </c>
      <c r="H193" s="120" t="s">
        <v>785</v>
      </c>
      <c r="I193" s="120" t="s">
        <v>203</v>
      </c>
      <c r="J193" s="120"/>
      <c r="K193" s="120" t="s">
        <v>463</v>
      </c>
      <c r="L193" s="120" t="s">
        <v>338</v>
      </c>
      <c r="M193" s="120" t="s">
        <v>337</v>
      </c>
      <c r="N193" s="121"/>
      <c r="O193" s="124">
        <v>44195</v>
      </c>
      <c r="P193" s="120" t="s">
        <v>2563</v>
      </c>
      <c r="Q193" s="120" t="s">
        <v>311</v>
      </c>
      <c r="R193" s="120" t="s">
        <v>407</v>
      </c>
      <c r="S193" s="120" t="s">
        <v>1217</v>
      </c>
      <c r="T193" s="122">
        <v>6.6</v>
      </c>
      <c r="U193" s="120" t="s">
        <v>824</v>
      </c>
      <c r="V193" s="123">
        <v>6.25E-2</v>
      </c>
      <c r="W193" s="120"/>
      <c r="X193" s="120"/>
      <c r="Y193" s="123"/>
      <c r="Z193" s="123">
        <v>6.3299999999999995E-2</v>
      </c>
      <c r="AA193" s="124">
        <v>49562</v>
      </c>
      <c r="AB193" s="120" t="s">
        <v>411</v>
      </c>
      <c r="AC193" s="120"/>
      <c r="AD193" s="122"/>
      <c r="AE193" s="123"/>
      <c r="AF193" s="124"/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45473</v>
      </c>
      <c r="AO193" s="120"/>
      <c r="AP193" s="123"/>
      <c r="AQ193" s="122">
        <v>37957.339999999997</v>
      </c>
      <c r="AR193" s="122">
        <v>100.72</v>
      </c>
      <c r="AS193" s="122">
        <v>1</v>
      </c>
      <c r="AT193" s="122">
        <v>38.230629999999998</v>
      </c>
      <c r="AU193" s="122">
        <v>38.230629999999998</v>
      </c>
      <c r="AV193" s="122"/>
      <c r="AW193" s="122"/>
      <c r="AX193" s="120"/>
      <c r="AY193" s="120"/>
      <c r="AZ193" s="123">
        <v>1.4E-5</v>
      </c>
      <c r="BA193" s="123">
        <v>0</v>
      </c>
    </row>
    <row r="194" spans="1:53" ht="15" customHeight="1">
      <c r="A194" s="121">
        <v>313</v>
      </c>
      <c r="B194" s="121">
        <v>313</v>
      </c>
      <c r="C194" s="121"/>
      <c r="D194" s="120"/>
      <c r="E194" s="120"/>
      <c r="F194" s="121">
        <v>75009600</v>
      </c>
      <c r="G194" s="120" t="s">
        <v>1013</v>
      </c>
      <c r="H194" s="120" t="s">
        <v>2568</v>
      </c>
      <c r="I194" s="120" t="s">
        <v>203</v>
      </c>
      <c r="J194" s="120"/>
      <c r="K194" s="120" t="s">
        <v>463</v>
      </c>
      <c r="L194" s="120" t="s">
        <v>338</v>
      </c>
      <c r="M194" s="120" t="s">
        <v>337</v>
      </c>
      <c r="N194" s="121"/>
      <c r="O194" s="124">
        <v>45328</v>
      </c>
      <c r="P194" s="120" t="s">
        <v>1282</v>
      </c>
      <c r="Q194" s="120" t="s">
        <v>311</v>
      </c>
      <c r="R194" s="120" t="s">
        <v>407</v>
      </c>
      <c r="S194" s="120" t="s">
        <v>1217</v>
      </c>
      <c r="T194" s="122">
        <v>4.7</v>
      </c>
      <c r="U194" s="120" t="s">
        <v>2560</v>
      </c>
      <c r="V194" s="123">
        <v>2.9049999999999999E-2</v>
      </c>
      <c r="W194" s="120"/>
      <c r="X194" s="120"/>
      <c r="Y194" s="123"/>
      <c r="Z194" s="123">
        <v>3.4099999999999998E-2</v>
      </c>
      <c r="AA194" s="124">
        <v>47520</v>
      </c>
      <c r="AB194" s="120" t="s">
        <v>411</v>
      </c>
      <c r="AC194" s="120"/>
      <c r="AD194" s="122"/>
      <c r="AE194" s="123"/>
      <c r="AF194" s="124"/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45473</v>
      </c>
      <c r="AO194" s="120"/>
      <c r="AP194" s="123"/>
      <c r="AQ194" s="122">
        <v>22885000</v>
      </c>
      <c r="AR194" s="122">
        <v>100.89</v>
      </c>
      <c r="AS194" s="122">
        <v>1</v>
      </c>
      <c r="AT194" s="122">
        <v>23088.676500000001</v>
      </c>
      <c r="AU194" s="122">
        <v>23088.676500000001</v>
      </c>
      <c r="AV194" s="122"/>
      <c r="AW194" s="122"/>
      <c r="AX194" s="120"/>
      <c r="AY194" s="120"/>
      <c r="AZ194" s="123">
        <v>8.8050000000000003E-3</v>
      </c>
      <c r="BA194" s="123">
        <v>3.8699999999999997E-4</v>
      </c>
    </row>
    <row r="195" spans="1:53" ht="15" customHeight="1">
      <c r="A195" s="121">
        <v>313</v>
      </c>
      <c r="B195" s="121">
        <v>313</v>
      </c>
      <c r="C195" s="121"/>
      <c r="D195" s="120"/>
      <c r="E195" s="120"/>
      <c r="F195" s="121">
        <v>75009601</v>
      </c>
      <c r="G195" s="120" t="s">
        <v>1013</v>
      </c>
      <c r="H195" s="120" t="s">
        <v>2568</v>
      </c>
      <c r="I195" s="120" t="s">
        <v>203</v>
      </c>
      <c r="J195" s="120"/>
      <c r="K195" s="120" t="s">
        <v>463</v>
      </c>
      <c r="L195" s="120" t="s">
        <v>338</v>
      </c>
      <c r="M195" s="120" t="s">
        <v>337</v>
      </c>
      <c r="N195" s="121"/>
      <c r="O195" s="124">
        <v>45328</v>
      </c>
      <c r="P195" s="120" t="s">
        <v>1282</v>
      </c>
      <c r="Q195" s="120" t="s">
        <v>311</v>
      </c>
      <c r="R195" s="120" t="s">
        <v>407</v>
      </c>
      <c r="S195" s="120" t="s">
        <v>1217</v>
      </c>
      <c r="T195" s="122">
        <v>4.7</v>
      </c>
      <c r="U195" s="120" t="s">
        <v>2560</v>
      </c>
      <c r="V195" s="123">
        <v>2.9049999999999999E-2</v>
      </c>
      <c r="W195" s="120"/>
      <c r="X195" s="120"/>
      <c r="Y195" s="123"/>
      <c r="Z195" s="123">
        <v>3.4299999999999997E-2</v>
      </c>
      <c r="AA195" s="124">
        <v>47520</v>
      </c>
      <c r="AB195" s="120" t="s">
        <v>411</v>
      </c>
      <c r="AC195" s="120"/>
      <c r="AD195" s="122"/>
      <c r="AE195" s="123"/>
      <c r="AF195" s="124"/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45473</v>
      </c>
      <c r="AO195" s="120"/>
      <c r="AP195" s="123"/>
      <c r="AQ195" s="122">
        <v>22885000</v>
      </c>
      <c r="AR195" s="122">
        <v>100.82</v>
      </c>
      <c r="AS195" s="122">
        <v>1</v>
      </c>
      <c r="AT195" s="122">
        <v>23072.656999999999</v>
      </c>
      <c r="AU195" s="122">
        <v>23072.656999999999</v>
      </c>
      <c r="AV195" s="122"/>
      <c r="AW195" s="122"/>
      <c r="AX195" s="120"/>
      <c r="AY195" s="120"/>
      <c r="AZ195" s="123">
        <v>8.7989999999999995E-3</v>
      </c>
      <c r="BA195" s="123">
        <v>3.8699999999999997E-4</v>
      </c>
    </row>
    <row r="196" spans="1:53" ht="15" customHeight="1">
      <c r="A196" s="121">
        <v>313</v>
      </c>
      <c r="B196" s="121">
        <v>313</v>
      </c>
      <c r="C196" s="121"/>
      <c r="D196" s="120"/>
      <c r="E196" s="120"/>
      <c r="F196" s="121">
        <v>76000113</v>
      </c>
      <c r="G196" s="120" t="s">
        <v>1013</v>
      </c>
      <c r="H196" s="120" t="s">
        <v>812</v>
      </c>
      <c r="I196" s="120" t="s">
        <v>203</v>
      </c>
      <c r="J196" s="120"/>
      <c r="K196" s="120" t="s">
        <v>454</v>
      </c>
      <c r="L196" s="120" t="s">
        <v>338</v>
      </c>
      <c r="M196" s="120" t="s">
        <v>337</v>
      </c>
      <c r="N196" s="121"/>
      <c r="O196" s="124">
        <v>44878</v>
      </c>
      <c r="P196" s="120" t="s">
        <v>2571</v>
      </c>
      <c r="Q196" s="120" t="s">
        <v>412</v>
      </c>
      <c r="R196" s="120" t="s">
        <v>407</v>
      </c>
      <c r="S196" s="120" t="s">
        <v>1217</v>
      </c>
      <c r="T196" s="122">
        <v>6.37</v>
      </c>
      <c r="U196" s="120" t="s">
        <v>2560</v>
      </c>
      <c r="V196" s="123">
        <v>3.0700000000000002E-2</v>
      </c>
      <c r="W196" s="120"/>
      <c r="X196" s="120"/>
      <c r="Y196" s="123"/>
      <c r="Z196" s="123">
        <v>4.3099999999999999E-2</v>
      </c>
      <c r="AA196" s="124">
        <v>51038</v>
      </c>
      <c r="AB196" s="120" t="s">
        <v>411</v>
      </c>
      <c r="AC196" s="120"/>
      <c r="AD196" s="122"/>
      <c r="AE196" s="123"/>
      <c r="AF196" s="124"/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45473</v>
      </c>
      <c r="AO196" s="120"/>
      <c r="AP196" s="123"/>
      <c r="AQ196" s="122">
        <v>32212527.440000001</v>
      </c>
      <c r="AR196" s="122">
        <v>98.29</v>
      </c>
      <c r="AS196" s="122">
        <v>1</v>
      </c>
      <c r="AT196" s="122">
        <v>31661.693220000001</v>
      </c>
      <c r="AU196" s="122">
        <v>31661.693220000001</v>
      </c>
      <c r="AV196" s="122"/>
      <c r="AW196" s="122"/>
      <c r="AX196" s="120"/>
      <c r="AY196" s="120"/>
      <c r="AZ196" s="123">
        <v>1.2075000000000001E-2</v>
      </c>
      <c r="BA196" s="123">
        <v>5.31E-4</v>
      </c>
    </row>
    <row r="197" spans="1:53" ht="15" customHeight="1">
      <c r="A197" s="121">
        <v>313</v>
      </c>
      <c r="B197" s="121">
        <v>313</v>
      </c>
      <c r="C197" s="121"/>
      <c r="D197" s="120"/>
      <c r="E197" s="120"/>
      <c r="F197" s="121">
        <v>76000114</v>
      </c>
      <c r="G197" s="120" t="s">
        <v>1013</v>
      </c>
      <c r="H197" s="120" t="s">
        <v>812</v>
      </c>
      <c r="I197" s="120" t="s">
        <v>203</v>
      </c>
      <c r="J197" s="120"/>
      <c r="K197" s="120" t="s">
        <v>454</v>
      </c>
      <c r="L197" s="120" t="s">
        <v>338</v>
      </c>
      <c r="M197" s="120" t="s">
        <v>337</v>
      </c>
      <c r="N197" s="121"/>
      <c r="O197" s="124">
        <v>44878</v>
      </c>
      <c r="P197" s="120" t="s">
        <v>2571</v>
      </c>
      <c r="Q197" s="120" t="s">
        <v>412</v>
      </c>
      <c r="R197" s="120" t="s">
        <v>407</v>
      </c>
      <c r="S197" s="120" t="s">
        <v>1217</v>
      </c>
      <c r="T197" s="122">
        <v>6.41</v>
      </c>
      <c r="U197" s="120" t="s">
        <v>2560</v>
      </c>
      <c r="V197" s="123">
        <v>3.0700000000000002E-2</v>
      </c>
      <c r="W197" s="120"/>
      <c r="X197" s="120"/>
      <c r="Y197" s="123"/>
      <c r="Z197" s="123">
        <v>4.2999999999999997E-2</v>
      </c>
      <c r="AA197" s="124">
        <v>51038</v>
      </c>
      <c r="AB197" s="120" t="s">
        <v>411</v>
      </c>
      <c r="AC197" s="120"/>
      <c r="AD197" s="122"/>
      <c r="AE197" s="123"/>
      <c r="AF197" s="124"/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45473</v>
      </c>
      <c r="AO197" s="120"/>
      <c r="AP197" s="123"/>
      <c r="AQ197" s="122">
        <v>33074472.48</v>
      </c>
      <c r="AR197" s="122">
        <v>98.34</v>
      </c>
      <c r="AS197" s="122">
        <v>1</v>
      </c>
      <c r="AT197" s="122">
        <v>32525.436239999999</v>
      </c>
      <c r="AU197" s="122">
        <v>32525.436239999999</v>
      </c>
      <c r="AV197" s="122"/>
      <c r="AW197" s="122"/>
      <c r="AX197" s="120"/>
      <c r="AY197" s="120"/>
      <c r="AZ197" s="123">
        <v>1.2404E-2</v>
      </c>
      <c r="BA197" s="123">
        <v>5.4500000000000002E-4</v>
      </c>
    </row>
    <row r="198" spans="1:53" ht="15" customHeight="1">
      <c r="A198" s="121">
        <v>313</v>
      </c>
      <c r="B198" s="121">
        <v>313</v>
      </c>
      <c r="C198" s="121"/>
      <c r="D198" s="120"/>
      <c r="E198" s="120"/>
      <c r="F198" s="121">
        <v>75004447</v>
      </c>
      <c r="G198" s="120" t="s">
        <v>1013</v>
      </c>
      <c r="H198" s="120" t="s">
        <v>785</v>
      </c>
      <c r="I198" s="120" t="s">
        <v>203</v>
      </c>
      <c r="J198" s="120"/>
      <c r="K198" s="120" t="s">
        <v>463</v>
      </c>
      <c r="L198" s="120" t="s">
        <v>338</v>
      </c>
      <c r="M198" s="120" t="s">
        <v>337</v>
      </c>
      <c r="N198" s="121"/>
      <c r="O198" s="124">
        <v>44195</v>
      </c>
      <c r="P198" s="120" t="s">
        <v>2563</v>
      </c>
      <c r="Q198" s="120" t="s">
        <v>311</v>
      </c>
      <c r="R198" s="120" t="s">
        <v>407</v>
      </c>
      <c r="S198" s="120" t="s">
        <v>1217</v>
      </c>
      <c r="T198" s="122">
        <v>6.6</v>
      </c>
      <c r="U198" s="120" t="s">
        <v>824</v>
      </c>
      <c r="V198" s="123">
        <v>6.25E-2</v>
      </c>
      <c r="W198" s="120"/>
      <c r="X198" s="120"/>
      <c r="Y198" s="123"/>
      <c r="Z198" s="123">
        <v>6.3299999999999995E-2</v>
      </c>
      <c r="AA198" s="124">
        <v>49562</v>
      </c>
      <c r="AB198" s="120" t="s">
        <v>411</v>
      </c>
      <c r="AC198" s="120"/>
      <c r="AD198" s="122"/>
      <c r="AE198" s="123"/>
      <c r="AF198" s="124"/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45473</v>
      </c>
      <c r="AO198" s="120"/>
      <c r="AP198" s="123"/>
      <c r="AQ198" s="122">
        <v>638.54999999999995</v>
      </c>
      <c r="AR198" s="122">
        <v>100.72</v>
      </c>
      <c r="AS198" s="122">
        <v>1</v>
      </c>
      <c r="AT198" s="122">
        <v>0.64315</v>
      </c>
      <c r="AU198" s="122">
        <v>0.64315</v>
      </c>
      <c r="AV198" s="122"/>
      <c r="AW198" s="122"/>
      <c r="AX198" s="120"/>
      <c r="AY198" s="120"/>
      <c r="AZ198" s="123">
        <v>0</v>
      </c>
      <c r="BA198" s="123">
        <v>0</v>
      </c>
    </row>
    <row r="199" spans="1:53" ht="15" customHeight="1">
      <c r="A199" s="121">
        <v>313</v>
      </c>
      <c r="B199" s="121">
        <v>313</v>
      </c>
      <c r="C199" s="121"/>
      <c r="D199" s="120"/>
      <c r="E199" s="120"/>
      <c r="F199" s="121">
        <v>76000316</v>
      </c>
      <c r="G199" s="120" t="s">
        <v>1013</v>
      </c>
      <c r="H199" s="120" t="s">
        <v>2562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45371</v>
      </c>
      <c r="P199" s="120" t="s">
        <v>409</v>
      </c>
      <c r="Q199" s="120" t="s">
        <v>409</v>
      </c>
      <c r="R199" s="120" t="s">
        <v>409</v>
      </c>
      <c r="S199" s="120" t="s">
        <v>1217</v>
      </c>
      <c r="T199" s="122">
        <v>9.3000000000000007</v>
      </c>
      <c r="U199" s="120" t="s">
        <v>2560</v>
      </c>
      <c r="V199" s="123">
        <v>0</v>
      </c>
      <c r="W199" s="120"/>
      <c r="X199" s="120"/>
      <c r="Y199" s="123"/>
      <c r="Z199" s="123">
        <v>-1.2E-2</v>
      </c>
      <c r="AA199" s="124">
        <v>55243</v>
      </c>
      <c r="AB199" s="120" t="s">
        <v>411</v>
      </c>
      <c r="AC199" s="120"/>
      <c r="AD199" s="122"/>
      <c r="AE199" s="123"/>
      <c r="AF199" s="124"/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45473</v>
      </c>
      <c r="AO199" s="120"/>
      <c r="AP199" s="123"/>
      <c r="AQ199" s="122">
        <v>5465577.9000000004</v>
      </c>
      <c r="AR199" s="122">
        <v>113.56</v>
      </c>
      <c r="AS199" s="122">
        <v>1</v>
      </c>
      <c r="AT199" s="122">
        <v>6206.7102599999998</v>
      </c>
      <c r="AU199" s="122">
        <v>6206.7102599999998</v>
      </c>
      <c r="AV199" s="122"/>
      <c r="AW199" s="122"/>
      <c r="AX199" s="120"/>
      <c r="AY199" s="120"/>
      <c r="AZ199" s="123">
        <v>2.3670000000000002E-3</v>
      </c>
      <c r="BA199" s="123">
        <v>1.0399999999999999E-4</v>
      </c>
    </row>
    <row r="200" spans="1:53" ht="15" customHeight="1">
      <c r="A200" s="121">
        <v>313</v>
      </c>
      <c r="B200" s="121">
        <v>313</v>
      </c>
      <c r="C200" s="121"/>
      <c r="D200" s="120"/>
      <c r="E200" s="120"/>
      <c r="F200" s="121">
        <v>76000317</v>
      </c>
      <c r="G200" s="120" t="s">
        <v>1013</v>
      </c>
      <c r="H200" s="120" t="s">
        <v>2562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45371</v>
      </c>
      <c r="P200" s="120" t="s">
        <v>409</v>
      </c>
      <c r="Q200" s="120" t="s">
        <v>409</v>
      </c>
      <c r="R200" s="120" t="s">
        <v>409</v>
      </c>
      <c r="S200" s="120" t="s">
        <v>1217</v>
      </c>
      <c r="T200" s="122">
        <v>9.3699999999999992</v>
      </c>
      <c r="U200" s="120" t="s">
        <v>2560</v>
      </c>
      <c r="V200" s="123">
        <v>0</v>
      </c>
      <c r="W200" s="120"/>
      <c r="X200" s="120"/>
      <c r="Y200" s="123"/>
      <c r="Z200" s="123">
        <v>-1.38E-2</v>
      </c>
      <c r="AA200" s="124">
        <v>55243</v>
      </c>
      <c r="AB200" s="120" t="s">
        <v>411</v>
      </c>
      <c r="AC200" s="120"/>
      <c r="AD200" s="122"/>
      <c r="AE200" s="123"/>
      <c r="AF200" s="124"/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45473</v>
      </c>
      <c r="AO200" s="120"/>
      <c r="AP200" s="123"/>
      <c r="AQ200" s="122">
        <v>19010481.629999999</v>
      </c>
      <c r="AR200" s="122">
        <v>115.52</v>
      </c>
      <c r="AS200" s="122">
        <v>1</v>
      </c>
      <c r="AT200" s="122">
        <v>21960.908380000001</v>
      </c>
      <c r="AU200" s="122">
        <v>21960.908380000001</v>
      </c>
      <c r="AV200" s="122"/>
      <c r="AW200" s="122"/>
      <c r="AX200" s="120"/>
      <c r="AY200" s="120"/>
      <c r="AZ200" s="123">
        <v>8.3750000000000005E-3</v>
      </c>
      <c r="BA200" s="123">
        <v>3.68E-4</v>
      </c>
    </row>
    <row r="201" spans="1:53" ht="15" customHeight="1">
      <c r="A201" s="121">
        <v>313</v>
      </c>
      <c r="B201" s="121">
        <v>313</v>
      </c>
      <c r="C201" s="121"/>
      <c r="D201" s="120"/>
      <c r="E201" s="120"/>
      <c r="F201" s="121">
        <v>76000320</v>
      </c>
      <c r="G201" s="120" t="s">
        <v>1013</v>
      </c>
      <c r="H201" s="120" t="s">
        <v>2562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45371</v>
      </c>
      <c r="P201" s="120" t="s">
        <v>409</v>
      </c>
      <c r="Q201" s="120" t="s">
        <v>409</v>
      </c>
      <c r="R201" s="120" t="s">
        <v>409</v>
      </c>
      <c r="S201" s="120" t="s">
        <v>1217</v>
      </c>
      <c r="T201" s="122">
        <v>13.5</v>
      </c>
      <c r="U201" s="120" t="s">
        <v>2560</v>
      </c>
      <c r="V201" s="123">
        <v>0</v>
      </c>
      <c r="W201" s="120"/>
      <c r="X201" s="120"/>
      <c r="Y201" s="123"/>
      <c r="Z201" s="123">
        <v>-2.5999999999999999E-3</v>
      </c>
      <c r="AA201" s="124">
        <v>55243</v>
      </c>
      <c r="AB201" s="120" t="s">
        <v>411</v>
      </c>
      <c r="AC201" s="120"/>
      <c r="AD201" s="122"/>
      <c r="AE201" s="123"/>
      <c r="AF201" s="124"/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45473</v>
      </c>
      <c r="AO201" s="120"/>
      <c r="AP201" s="123"/>
      <c r="AQ201" s="122">
        <v>19044435.949999999</v>
      </c>
      <c r="AR201" s="122">
        <v>103.5</v>
      </c>
      <c r="AS201" s="122">
        <v>1</v>
      </c>
      <c r="AT201" s="122">
        <v>19710.99121</v>
      </c>
      <c r="AU201" s="122">
        <v>19710.99121</v>
      </c>
      <c r="AV201" s="122"/>
      <c r="AW201" s="122"/>
      <c r="AX201" s="120"/>
      <c r="AY201" s="120"/>
      <c r="AZ201" s="123">
        <v>7.5170000000000002E-3</v>
      </c>
      <c r="BA201" s="123">
        <v>3.3E-4</v>
      </c>
    </row>
    <row r="202" spans="1:53" ht="15" customHeight="1">
      <c r="A202" s="121">
        <v>313</v>
      </c>
      <c r="B202" s="121">
        <v>313</v>
      </c>
      <c r="C202" s="121"/>
      <c r="D202" s="120"/>
      <c r="E202" s="120"/>
      <c r="F202" s="121">
        <v>78000114</v>
      </c>
      <c r="G202" s="120" t="s">
        <v>1013</v>
      </c>
      <c r="H202" s="120" t="s">
        <v>812</v>
      </c>
      <c r="I202" s="120" t="s">
        <v>203</v>
      </c>
      <c r="J202" s="120"/>
      <c r="K202" s="120" t="s">
        <v>454</v>
      </c>
      <c r="L202" s="120" t="s">
        <v>338</v>
      </c>
      <c r="M202" s="120" t="s">
        <v>337</v>
      </c>
      <c r="N202" s="121"/>
      <c r="O202" s="124">
        <v>44230</v>
      </c>
      <c r="P202" s="120" t="s">
        <v>1334</v>
      </c>
      <c r="Q202" s="120" t="s">
        <v>414</v>
      </c>
      <c r="R202" s="120" t="s">
        <v>407</v>
      </c>
      <c r="S202" s="120" t="s">
        <v>1217</v>
      </c>
      <c r="T202" s="122">
        <v>4.34</v>
      </c>
      <c r="U202" s="120" t="s">
        <v>2560</v>
      </c>
      <c r="V202" s="123">
        <v>8.1700000000000002E-3</v>
      </c>
      <c r="W202" s="120"/>
      <c r="X202" s="120"/>
      <c r="Y202" s="123"/>
      <c r="Z202" s="123">
        <v>3.7100000000000001E-2</v>
      </c>
      <c r="AA202" s="124">
        <v>48852</v>
      </c>
      <c r="AB202" s="120" t="s">
        <v>411</v>
      </c>
      <c r="AC202" s="120"/>
      <c r="AD202" s="122"/>
      <c r="AE202" s="123"/>
      <c r="AF202" s="124"/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45473</v>
      </c>
      <c r="AO202" s="120"/>
      <c r="AP202" s="123"/>
      <c r="AQ202" s="122">
        <v>717043.3</v>
      </c>
      <c r="AR202" s="122">
        <v>100.44</v>
      </c>
      <c r="AS202" s="122">
        <v>1</v>
      </c>
      <c r="AT202" s="122">
        <v>720.19829000000004</v>
      </c>
      <c r="AU202" s="122">
        <v>720.19829000000004</v>
      </c>
      <c r="AV202" s="122"/>
      <c r="AW202" s="122"/>
      <c r="AX202" s="120"/>
      <c r="AY202" s="120"/>
      <c r="AZ202" s="123">
        <v>2.7399999999999999E-4</v>
      </c>
      <c r="BA202" s="123">
        <v>1.2E-5</v>
      </c>
    </row>
    <row r="203" spans="1:53" ht="15" customHeight="1">
      <c r="A203" s="121">
        <v>313</v>
      </c>
      <c r="B203" s="121">
        <v>313</v>
      </c>
      <c r="C203" s="121"/>
      <c r="D203" s="120"/>
      <c r="E203" s="120"/>
      <c r="F203" s="121">
        <v>78000115</v>
      </c>
      <c r="G203" s="120" t="s">
        <v>1013</v>
      </c>
      <c r="H203" s="120" t="s">
        <v>812</v>
      </c>
      <c r="I203" s="120" t="s">
        <v>203</v>
      </c>
      <c r="J203" s="120"/>
      <c r="K203" s="120" t="s">
        <v>454</v>
      </c>
      <c r="L203" s="120" t="s">
        <v>338</v>
      </c>
      <c r="M203" s="120" t="s">
        <v>337</v>
      </c>
      <c r="N203" s="121"/>
      <c r="O203" s="124">
        <v>44230</v>
      </c>
      <c r="P203" s="120" t="s">
        <v>1334</v>
      </c>
      <c r="Q203" s="120" t="s">
        <v>414</v>
      </c>
      <c r="R203" s="120" t="s">
        <v>407</v>
      </c>
      <c r="S203" s="120" t="s">
        <v>1217</v>
      </c>
      <c r="T203" s="122">
        <v>4.45</v>
      </c>
      <c r="U203" s="120" t="s">
        <v>2560</v>
      </c>
      <c r="V203" s="123">
        <v>8.2660000000000008E-3</v>
      </c>
      <c r="W203" s="120"/>
      <c r="X203" s="120"/>
      <c r="Y203" s="123"/>
      <c r="Z203" s="123">
        <v>3.7100000000000001E-2</v>
      </c>
      <c r="AA203" s="124">
        <v>48944</v>
      </c>
      <c r="AB203" s="120" t="s">
        <v>411</v>
      </c>
      <c r="AC203" s="120"/>
      <c r="AD203" s="122"/>
      <c r="AE203" s="123"/>
      <c r="AF203" s="124"/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45473</v>
      </c>
      <c r="AO203" s="120"/>
      <c r="AP203" s="123"/>
      <c r="AQ203" s="122">
        <v>1255753.31</v>
      </c>
      <c r="AR203" s="122">
        <v>100.14</v>
      </c>
      <c r="AS203" s="122">
        <v>1</v>
      </c>
      <c r="AT203" s="122">
        <v>1257.51136</v>
      </c>
      <c r="AU203" s="122">
        <v>1257.51136</v>
      </c>
      <c r="AV203" s="122"/>
      <c r="AW203" s="122"/>
      <c r="AX203" s="120"/>
      <c r="AY203" s="120"/>
      <c r="AZ203" s="123">
        <v>4.7899999999999999E-4</v>
      </c>
      <c r="BA203" s="123">
        <v>2.0999999999999999E-5</v>
      </c>
    </row>
    <row r="204" spans="1:53" ht="15" customHeight="1">
      <c r="A204" s="121">
        <v>313</v>
      </c>
      <c r="B204" s="121">
        <v>313</v>
      </c>
      <c r="C204" s="121"/>
      <c r="D204" s="120"/>
      <c r="E204" s="120"/>
      <c r="F204" s="121">
        <v>78000116</v>
      </c>
      <c r="G204" s="120" t="s">
        <v>1013</v>
      </c>
      <c r="H204" s="120" t="s">
        <v>812</v>
      </c>
      <c r="I204" s="120" t="s">
        <v>203</v>
      </c>
      <c r="J204" s="120"/>
      <c r="K204" s="120" t="s">
        <v>454</v>
      </c>
      <c r="L204" s="120" t="s">
        <v>338</v>
      </c>
      <c r="M204" s="120" t="s">
        <v>337</v>
      </c>
      <c r="N204" s="121"/>
      <c r="O204" s="124">
        <v>44230</v>
      </c>
      <c r="P204" s="120" t="s">
        <v>1334</v>
      </c>
      <c r="Q204" s="120" t="s">
        <v>414</v>
      </c>
      <c r="R204" s="120" t="s">
        <v>407</v>
      </c>
      <c r="S204" s="120" t="s">
        <v>1217</v>
      </c>
      <c r="T204" s="122">
        <v>4.18</v>
      </c>
      <c r="U204" s="120" t="s">
        <v>2560</v>
      </c>
      <c r="V204" s="123">
        <v>7.9399999999999991E-3</v>
      </c>
      <c r="W204" s="120"/>
      <c r="X204" s="120"/>
      <c r="Y204" s="123"/>
      <c r="Z204" s="123">
        <v>3.6700000000000003E-2</v>
      </c>
      <c r="AA204" s="124">
        <v>48760</v>
      </c>
      <c r="AB204" s="120" t="s">
        <v>411</v>
      </c>
      <c r="AC204" s="120"/>
      <c r="AD204" s="122"/>
      <c r="AE204" s="123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45473</v>
      </c>
      <c r="AO204" s="120"/>
      <c r="AP204" s="123"/>
      <c r="AQ204" s="122">
        <v>5910331.4100000001</v>
      </c>
      <c r="AR204" s="122">
        <v>100.94</v>
      </c>
      <c r="AS204" s="122">
        <v>1</v>
      </c>
      <c r="AT204" s="122">
        <v>5965.8885300000002</v>
      </c>
      <c r="AU204" s="122">
        <v>5965.8885300000002</v>
      </c>
      <c r="AV204" s="122"/>
      <c r="AW204" s="122"/>
      <c r="AX204" s="120"/>
      <c r="AY204" s="120"/>
      <c r="AZ204" s="123">
        <v>2.2750000000000001E-3</v>
      </c>
      <c r="BA204" s="123">
        <v>1E-4</v>
      </c>
    </row>
    <row r="205" spans="1:53" ht="15" customHeight="1">
      <c r="A205" s="121">
        <v>313</v>
      </c>
      <c r="B205" s="121">
        <v>313</v>
      </c>
      <c r="C205" s="121"/>
      <c r="D205" s="120"/>
      <c r="E205" s="120"/>
      <c r="F205" s="121">
        <v>78000117</v>
      </c>
      <c r="G205" s="120" t="s">
        <v>1013</v>
      </c>
      <c r="H205" s="120" t="s">
        <v>812</v>
      </c>
      <c r="I205" s="120" t="s">
        <v>203</v>
      </c>
      <c r="J205" s="120"/>
      <c r="K205" s="120" t="s">
        <v>454</v>
      </c>
      <c r="L205" s="120" t="s">
        <v>338</v>
      </c>
      <c r="M205" s="120" t="s">
        <v>337</v>
      </c>
      <c r="N205" s="121"/>
      <c r="O205" s="124">
        <v>44230</v>
      </c>
      <c r="P205" s="120" t="s">
        <v>1334</v>
      </c>
      <c r="Q205" s="120" t="s">
        <v>414</v>
      </c>
      <c r="R205" s="120" t="s">
        <v>407</v>
      </c>
      <c r="S205" s="120" t="s">
        <v>1217</v>
      </c>
      <c r="T205" s="122">
        <v>4.04</v>
      </c>
      <c r="U205" s="120" t="s">
        <v>2560</v>
      </c>
      <c r="V205" s="123">
        <v>7.9209999999999992E-3</v>
      </c>
      <c r="W205" s="120"/>
      <c r="X205" s="120"/>
      <c r="Y205" s="123"/>
      <c r="Z205" s="123">
        <v>3.5099999999999999E-2</v>
      </c>
      <c r="AA205" s="124">
        <v>48852</v>
      </c>
      <c r="AB205" s="120" t="s">
        <v>411</v>
      </c>
      <c r="AC205" s="120"/>
      <c r="AD205" s="122"/>
      <c r="AE205" s="123"/>
      <c r="AF205" s="124"/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45473</v>
      </c>
      <c r="AO205" s="120"/>
      <c r="AP205" s="123"/>
      <c r="AQ205" s="122">
        <v>1965680.75</v>
      </c>
      <c r="AR205" s="122">
        <v>101.98</v>
      </c>
      <c r="AS205" s="122">
        <v>1</v>
      </c>
      <c r="AT205" s="122">
        <v>2004.60123</v>
      </c>
      <c r="AU205" s="122">
        <v>2004.60123</v>
      </c>
      <c r="AV205" s="122"/>
      <c r="AW205" s="122"/>
      <c r="AX205" s="120"/>
      <c r="AY205" s="120"/>
      <c r="AZ205" s="123">
        <v>7.6400000000000003E-4</v>
      </c>
      <c r="BA205" s="123">
        <v>3.3000000000000003E-5</v>
      </c>
    </row>
    <row r="206" spans="1:53" ht="15" customHeight="1">
      <c r="A206" s="121">
        <v>313</v>
      </c>
      <c r="B206" s="121">
        <v>313</v>
      </c>
      <c r="C206" s="121"/>
      <c r="D206" s="120"/>
      <c r="E206" s="120"/>
      <c r="F206" s="121">
        <v>78000113</v>
      </c>
      <c r="G206" s="120" t="s">
        <v>1013</v>
      </c>
      <c r="H206" s="120" t="s">
        <v>812</v>
      </c>
      <c r="I206" s="120" t="s">
        <v>203</v>
      </c>
      <c r="J206" s="120"/>
      <c r="K206" s="120" t="s">
        <v>454</v>
      </c>
      <c r="L206" s="120" t="s">
        <v>338</v>
      </c>
      <c r="M206" s="120" t="s">
        <v>337</v>
      </c>
      <c r="N206" s="121"/>
      <c r="O206" s="124">
        <v>44230</v>
      </c>
      <c r="P206" s="120" t="s">
        <v>1334</v>
      </c>
      <c r="Q206" s="120" t="s">
        <v>414</v>
      </c>
      <c r="R206" s="120" t="s">
        <v>407</v>
      </c>
      <c r="S206" s="120" t="s">
        <v>1217</v>
      </c>
      <c r="T206" s="122">
        <v>5.22</v>
      </c>
      <c r="U206" s="120" t="s">
        <v>2560</v>
      </c>
      <c r="V206" s="123">
        <v>8.9820000000000004E-3</v>
      </c>
      <c r="W206" s="120"/>
      <c r="X206" s="120"/>
      <c r="Y206" s="123"/>
      <c r="Z206" s="123">
        <v>2.8899999999999999E-2</v>
      </c>
      <c r="AA206" s="124">
        <v>49582</v>
      </c>
      <c r="AB206" s="120" t="s">
        <v>411</v>
      </c>
      <c r="AC206" s="120"/>
      <c r="AD206" s="122"/>
      <c r="AE206" s="123"/>
      <c r="AF206" s="124"/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45473</v>
      </c>
      <c r="AO206" s="120"/>
      <c r="AP206" s="123"/>
      <c r="AQ206" s="122">
        <v>14189997.779999999</v>
      </c>
      <c r="AR206" s="122">
        <v>102.68</v>
      </c>
      <c r="AS206" s="122">
        <v>1</v>
      </c>
      <c r="AT206" s="122">
        <v>14570.289720000001</v>
      </c>
      <c r="AU206" s="122">
        <v>14570.289720000001</v>
      </c>
      <c r="AV206" s="122"/>
      <c r="AW206" s="122"/>
      <c r="AX206" s="120"/>
      <c r="AY206" s="120"/>
      <c r="AZ206" s="123">
        <v>5.5560000000000002E-3</v>
      </c>
      <c r="BA206" s="123">
        <v>2.4399999999999999E-4</v>
      </c>
    </row>
    <row r="207" spans="1:53" ht="15" customHeight="1">
      <c r="A207" s="121">
        <v>313</v>
      </c>
      <c r="B207" s="121">
        <v>313</v>
      </c>
      <c r="C207" s="121"/>
      <c r="D207" s="120"/>
      <c r="E207" s="120"/>
      <c r="F207" s="121">
        <v>78002001</v>
      </c>
      <c r="G207" s="120" t="s">
        <v>1013</v>
      </c>
      <c r="H207" s="120" t="s">
        <v>812</v>
      </c>
      <c r="I207" s="120" t="s">
        <v>203</v>
      </c>
      <c r="J207" s="120"/>
      <c r="K207" s="120" t="s">
        <v>454</v>
      </c>
      <c r="L207" s="120" t="s">
        <v>338</v>
      </c>
      <c r="M207" s="120" t="s">
        <v>337</v>
      </c>
      <c r="N207" s="121"/>
      <c r="O207" s="124">
        <v>44985</v>
      </c>
      <c r="P207" s="120" t="s">
        <v>1334</v>
      </c>
      <c r="Q207" s="120" t="s">
        <v>414</v>
      </c>
      <c r="R207" s="120" t="s">
        <v>407</v>
      </c>
      <c r="S207" s="120" t="s">
        <v>1217</v>
      </c>
      <c r="T207" s="122">
        <v>5.17</v>
      </c>
      <c r="U207" s="120" t="s">
        <v>2560</v>
      </c>
      <c r="V207" s="123">
        <v>3.1889000000000001E-2</v>
      </c>
      <c r="W207" s="120"/>
      <c r="X207" s="120"/>
      <c r="Y207" s="123"/>
      <c r="Z207" s="123">
        <v>3.5299999999999998E-2</v>
      </c>
      <c r="AA207" s="124">
        <v>49583</v>
      </c>
      <c r="AB207" s="120" t="s">
        <v>411</v>
      </c>
      <c r="AC207" s="120"/>
      <c r="AD207" s="122"/>
      <c r="AE207" s="123"/>
      <c r="AF207" s="124"/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45473</v>
      </c>
      <c r="AO207" s="120"/>
      <c r="AP207" s="123"/>
      <c r="AQ207" s="122">
        <v>4352246.9000000004</v>
      </c>
      <c r="AR207" s="122">
        <v>103.9</v>
      </c>
      <c r="AS207" s="122">
        <v>1</v>
      </c>
      <c r="AT207" s="122">
        <v>4521.9845299999997</v>
      </c>
      <c r="AU207" s="122">
        <v>4521.9845299999997</v>
      </c>
      <c r="AV207" s="122"/>
      <c r="AW207" s="122"/>
      <c r="AX207" s="120"/>
      <c r="AY207" s="120"/>
      <c r="AZ207" s="123">
        <v>1.7240000000000001E-3</v>
      </c>
      <c r="BA207" s="123">
        <v>7.4999999999999993E-5</v>
      </c>
    </row>
    <row r="208" spans="1:53" ht="15" customHeight="1">
      <c r="A208" s="121">
        <v>313</v>
      </c>
      <c r="B208" s="121">
        <v>313</v>
      </c>
      <c r="C208" s="121"/>
      <c r="D208" s="120"/>
      <c r="E208" s="120"/>
      <c r="F208" s="121">
        <v>78003001</v>
      </c>
      <c r="G208" s="120" t="s">
        <v>1013</v>
      </c>
      <c r="H208" s="120" t="s">
        <v>812</v>
      </c>
      <c r="I208" s="120" t="s">
        <v>203</v>
      </c>
      <c r="J208" s="120"/>
      <c r="K208" s="120" t="s">
        <v>454</v>
      </c>
      <c r="L208" s="120" t="s">
        <v>338</v>
      </c>
      <c r="M208" s="120" t="s">
        <v>337</v>
      </c>
      <c r="N208" s="121"/>
      <c r="O208" s="124">
        <v>44985</v>
      </c>
      <c r="P208" s="120" t="s">
        <v>1334</v>
      </c>
      <c r="Q208" s="120" t="s">
        <v>414</v>
      </c>
      <c r="R208" s="120" t="s">
        <v>407</v>
      </c>
      <c r="S208" s="120" t="s">
        <v>1217</v>
      </c>
      <c r="T208" s="122">
        <v>7.32</v>
      </c>
      <c r="U208" s="120" t="s">
        <v>2560</v>
      </c>
      <c r="V208" s="123">
        <v>3.2051000000000003E-2</v>
      </c>
      <c r="W208" s="120"/>
      <c r="X208" s="120"/>
      <c r="Y208" s="123"/>
      <c r="Z208" s="123">
        <v>3.7499999999999999E-2</v>
      </c>
      <c r="AA208" s="124">
        <v>49582</v>
      </c>
      <c r="AB208" s="120" t="s">
        <v>411</v>
      </c>
      <c r="AC208" s="120"/>
      <c r="AD208" s="122"/>
      <c r="AE208" s="123"/>
      <c r="AF208" s="124"/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45473</v>
      </c>
      <c r="AO208" s="120"/>
      <c r="AP208" s="123"/>
      <c r="AQ208" s="122">
        <v>5359444.37</v>
      </c>
      <c r="AR208" s="122">
        <v>103.29</v>
      </c>
      <c r="AS208" s="122">
        <v>1</v>
      </c>
      <c r="AT208" s="122">
        <v>5535.77009</v>
      </c>
      <c r="AU208" s="122">
        <v>5535.77009</v>
      </c>
      <c r="AV208" s="122"/>
      <c r="AW208" s="122"/>
      <c r="AX208" s="120"/>
      <c r="AY208" s="120"/>
      <c r="AZ208" s="123">
        <v>2.111E-3</v>
      </c>
      <c r="BA208" s="123">
        <v>9.2E-5</v>
      </c>
    </row>
    <row r="209" spans="1:53" ht="15" customHeight="1">
      <c r="A209" s="121">
        <v>313</v>
      </c>
      <c r="B209" s="121">
        <v>313</v>
      </c>
      <c r="C209" s="121"/>
      <c r="D209" s="120"/>
      <c r="E209" s="120"/>
      <c r="F209" s="121">
        <v>78003002</v>
      </c>
      <c r="G209" s="120" t="s">
        <v>1013</v>
      </c>
      <c r="H209" s="120" t="s">
        <v>812</v>
      </c>
      <c r="I209" s="120" t="s">
        <v>203</v>
      </c>
      <c r="J209" s="120"/>
      <c r="K209" s="120" t="s">
        <v>454</v>
      </c>
      <c r="L209" s="120" t="s">
        <v>338</v>
      </c>
      <c r="M209" s="120" t="s">
        <v>337</v>
      </c>
      <c r="N209" s="121"/>
      <c r="O209" s="124">
        <v>45036</v>
      </c>
      <c r="P209" s="120" t="s">
        <v>1334</v>
      </c>
      <c r="Q209" s="120" t="s">
        <v>414</v>
      </c>
      <c r="R209" s="120" t="s">
        <v>407</v>
      </c>
      <c r="S209" s="120" t="s">
        <v>1217</v>
      </c>
      <c r="T209" s="122">
        <v>7.26</v>
      </c>
      <c r="U209" s="120" t="s">
        <v>2560</v>
      </c>
      <c r="V209" s="123">
        <v>3.3956E-2</v>
      </c>
      <c r="W209" s="120"/>
      <c r="X209" s="120"/>
      <c r="Y209" s="123"/>
      <c r="Z209" s="123">
        <v>3.9100000000000003E-2</v>
      </c>
      <c r="AA209" s="124">
        <v>49582</v>
      </c>
      <c r="AB209" s="120" t="s">
        <v>411</v>
      </c>
      <c r="AC209" s="120"/>
      <c r="AD209" s="122"/>
      <c r="AE209" s="123"/>
      <c r="AF209" s="124"/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45473</v>
      </c>
      <c r="AO209" s="120"/>
      <c r="AP209" s="123"/>
      <c r="AQ209" s="122">
        <v>1894167.1</v>
      </c>
      <c r="AR209" s="122">
        <v>102.7</v>
      </c>
      <c r="AS209" s="122">
        <v>1</v>
      </c>
      <c r="AT209" s="122">
        <v>1945.30961</v>
      </c>
      <c r="AU209" s="122">
        <v>1945.30961</v>
      </c>
      <c r="AV209" s="122"/>
      <c r="AW209" s="122"/>
      <c r="AX209" s="120"/>
      <c r="AY209" s="120"/>
      <c r="AZ209" s="123">
        <v>7.4100000000000001E-4</v>
      </c>
      <c r="BA209" s="123">
        <v>3.1999999999999999E-5</v>
      </c>
    </row>
    <row r="210" spans="1:53" ht="15" customHeight="1">
      <c r="A210" s="121">
        <v>313</v>
      </c>
      <c r="B210" s="121">
        <v>313</v>
      </c>
      <c r="C210" s="121"/>
      <c r="D210" s="120"/>
      <c r="E210" s="120"/>
      <c r="F210" s="121">
        <v>78003003</v>
      </c>
      <c r="G210" s="120" t="s">
        <v>1013</v>
      </c>
      <c r="H210" s="120" t="s">
        <v>812</v>
      </c>
      <c r="I210" s="120" t="s">
        <v>203</v>
      </c>
      <c r="J210" s="120"/>
      <c r="K210" s="120" t="s">
        <v>454</v>
      </c>
      <c r="L210" s="120" t="s">
        <v>338</v>
      </c>
      <c r="M210" s="120" t="s">
        <v>337</v>
      </c>
      <c r="N210" s="121"/>
      <c r="O210" s="124">
        <v>45146</v>
      </c>
      <c r="P210" s="120" t="s">
        <v>1334</v>
      </c>
      <c r="Q210" s="120" t="s">
        <v>414</v>
      </c>
      <c r="R210" s="120" t="s">
        <v>407</v>
      </c>
      <c r="S210" s="120" t="s">
        <v>1217</v>
      </c>
      <c r="T210" s="122">
        <v>7.23</v>
      </c>
      <c r="U210" s="120" t="s">
        <v>2560</v>
      </c>
      <c r="V210" s="123">
        <v>3.3236000000000002E-2</v>
      </c>
      <c r="W210" s="120"/>
      <c r="X210" s="120"/>
      <c r="Y210" s="123"/>
      <c r="Z210" s="123">
        <v>4.1599999999999998E-2</v>
      </c>
      <c r="AA210" s="124">
        <v>49582</v>
      </c>
      <c r="AB210" s="120" t="s">
        <v>411</v>
      </c>
      <c r="AC210" s="120"/>
      <c r="AD210" s="122"/>
      <c r="AE210" s="123"/>
      <c r="AF210" s="124"/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45473</v>
      </c>
      <c r="AO210" s="120"/>
      <c r="AP210" s="123"/>
      <c r="AQ210" s="122">
        <v>844254.09</v>
      </c>
      <c r="AR210" s="122">
        <v>99.43</v>
      </c>
      <c r="AS210" s="122">
        <v>1</v>
      </c>
      <c r="AT210" s="122">
        <v>839.44183999999996</v>
      </c>
      <c r="AU210" s="122">
        <v>839.44183999999996</v>
      </c>
      <c r="AV210" s="122"/>
      <c r="AW210" s="122"/>
      <c r="AX210" s="120"/>
      <c r="AY210" s="120"/>
      <c r="AZ210" s="123">
        <v>3.2000000000000003E-4</v>
      </c>
      <c r="BA210" s="123">
        <v>1.4E-5</v>
      </c>
    </row>
    <row r="211" spans="1:53" ht="15" customHeight="1">
      <c r="A211" s="121">
        <v>313</v>
      </c>
      <c r="B211" s="121">
        <v>313</v>
      </c>
      <c r="C211" s="121"/>
      <c r="D211" s="120"/>
      <c r="E211" s="120"/>
      <c r="F211" s="121">
        <v>78003004</v>
      </c>
      <c r="G211" s="120" t="s">
        <v>1013</v>
      </c>
      <c r="H211" s="120" t="s">
        <v>812</v>
      </c>
      <c r="I211" s="120" t="s">
        <v>203</v>
      </c>
      <c r="J211" s="120"/>
      <c r="K211" s="120" t="s">
        <v>454</v>
      </c>
      <c r="L211" s="120" t="s">
        <v>338</v>
      </c>
      <c r="M211" s="120" t="s">
        <v>337</v>
      </c>
      <c r="N211" s="121"/>
      <c r="O211" s="124">
        <v>45278</v>
      </c>
      <c r="P211" s="120" t="s">
        <v>1334</v>
      </c>
      <c r="Q211" s="120" t="s">
        <v>414</v>
      </c>
      <c r="R211" s="120" t="s">
        <v>407</v>
      </c>
      <c r="S211" s="120" t="s">
        <v>1217</v>
      </c>
      <c r="T211" s="122">
        <v>7.1</v>
      </c>
      <c r="U211" s="120" t="s">
        <v>2560</v>
      </c>
      <c r="V211" s="123">
        <v>3.8157000000000003E-2</v>
      </c>
      <c r="W211" s="120"/>
      <c r="X211" s="120"/>
      <c r="Y211" s="123"/>
      <c r="Z211" s="123">
        <v>4.41E-2</v>
      </c>
      <c r="AA211" s="124">
        <v>49582</v>
      </c>
      <c r="AB211" s="120" t="s">
        <v>411</v>
      </c>
      <c r="AC211" s="120"/>
      <c r="AD211" s="122"/>
      <c r="AE211" s="123"/>
      <c r="AF211" s="124"/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45473</v>
      </c>
      <c r="AO211" s="120"/>
      <c r="AP211" s="123"/>
      <c r="AQ211" s="122">
        <v>929854.24</v>
      </c>
      <c r="AR211" s="122">
        <v>100.51</v>
      </c>
      <c r="AS211" s="122">
        <v>1</v>
      </c>
      <c r="AT211" s="122">
        <v>934.59649999999999</v>
      </c>
      <c r="AU211" s="122">
        <v>934.59649999999999</v>
      </c>
      <c r="AV211" s="122"/>
      <c r="AW211" s="122"/>
      <c r="AX211" s="120"/>
      <c r="AY211" s="120"/>
      <c r="AZ211" s="123">
        <v>3.5599999999999998E-4</v>
      </c>
      <c r="BA211" s="123">
        <v>1.5E-5</v>
      </c>
    </row>
    <row r="212" spans="1:53" ht="15" customHeight="1">
      <c r="A212" s="121">
        <v>313</v>
      </c>
      <c r="B212" s="121">
        <v>313</v>
      </c>
      <c r="C212" s="121"/>
      <c r="D212" s="120"/>
      <c r="E212" s="120"/>
      <c r="F212" s="121">
        <v>78002002</v>
      </c>
      <c r="G212" s="120" t="s">
        <v>1013</v>
      </c>
      <c r="H212" s="120" t="s">
        <v>812</v>
      </c>
      <c r="I212" s="120" t="s">
        <v>203</v>
      </c>
      <c r="J212" s="120"/>
      <c r="K212" s="120" t="s">
        <v>454</v>
      </c>
      <c r="L212" s="120" t="s">
        <v>338</v>
      </c>
      <c r="M212" s="120" t="s">
        <v>337</v>
      </c>
      <c r="N212" s="121"/>
      <c r="O212" s="124">
        <v>45036</v>
      </c>
      <c r="P212" s="120" t="s">
        <v>1334</v>
      </c>
      <c r="Q212" s="120" t="s">
        <v>414</v>
      </c>
      <c r="R212" s="120" t="s">
        <v>407</v>
      </c>
      <c r="S212" s="120" t="s">
        <v>1217</v>
      </c>
      <c r="T212" s="122">
        <v>5.13</v>
      </c>
      <c r="U212" s="120" t="s">
        <v>2560</v>
      </c>
      <c r="V212" s="123">
        <v>3.3447999999999999E-2</v>
      </c>
      <c r="W212" s="120"/>
      <c r="X212" s="120"/>
      <c r="Y212" s="123"/>
      <c r="Z212" s="123">
        <v>3.7999999999999999E-2</v>
      </c>
      <c r="AA212" s="124">
        <v>49583</v>
      </c>
      <c r="AB212" s="120" t="s">
        <v>411</v>
      </c>
      <c r="AC212" s="120"/>
      <c r="AD212" s="122"/>
      <c r="AE212" s="123"/>
      <c r="AF212" s="124"/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45473</v>
      </c>
      <c r="AO212" s="120"/>
      <c r="AP212" s="123"/>
      <c r="AQ212" s="122">
        <v>1059818.68</v>
      </c>
      <c r="AR212" s="122">
        <v>102.51</v>
      </c>
      <c r="AS212" s="122">
        <v>1</v>
      </c>
      <c r="AT212" s="122">
        <v>1086.42013</v>
      </c>
      <c r="AU212" s="122">
        <v>1086.42013</v>
      </c>
      <c r="AV212" s="122"/>
      <c r="AW212" s="122"/>
      <c r="AX212" s="120"/>
      <c r="AY212" s="120"/>
      <c r="AZ212" s="123">
        <v>4.1399999999999998E-4</v>
      </c>
      <c r="BA212" s="123">
        <v>1.8E-5</v>
      </c>
    </row>
    <row r="213" spans="1:53" ht="15" customHeight="1">
      <c r="A213" s="121">
        <v>313</v>
      </c>
      <c r="B213" s="121">
        <v>313</v>
      </c>
      <c r="C213" s="121"/>
      <c r="D213" s="120"/>
      <c r="E213" s="120"/>
      <c r="F213" s="121">
        <v>78100002</v>
      </c>
      <c r="G213" s="120" t="s">
        <v>1013</v>
      </c>
      <c r="H213" s="120" t="s">
        <v>2570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1"/>
      <c r="O213" s="124">
        <v>44263</v>
      </c>
      <c r="P213" s="120" t="s">
        <v>2569</v>
      </c>
      <c r="Q213" s="120" t="s">
        <v>311</v>
      </c>
      <c r="R213" s="120" t="s">
        <v>407</v>
      </c>
      <c r="S213" s="120" t="s">
        <v>1217</v>
      </c>
      <c r="T213" s="122">
        <v>5.71</v>
      </c>
      <c r="U213" s="120" t="s">
        <v>2560</v>
      </c>
      <c r="V213" s="123">
        <v>2.5000000000000001E-2</v>
      </c>
      <c r="W213" s="120"/>
      <c r="X213" s="120"/>
      <c r="Y213" s="123"/>
      <c r="Z213" s="123">
        <v>4.0599999999999997E-2</v>
      </c>
      <c r="AA213" s="124">
        <v>47917</v>
      </c>
      <c r="AB213" s="120" t="s">
        <v>411</v>
      </c>
      <c r="AC213" s="120"/>
      <c r="AD213" s="122"/>
      <c r="AE213" s="123"/>
      <c r="AF213" s="124"/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45473</v>
      </c>
      <c r="AO213" s="120"/>
      <c r="AP213" s="123"/>
      <c r="AQ213" s="122">
        <v>9483705</v>
      </c>
      <c r="AR213" s="122">
        <v>104.62</v>
      </c>
      <c r="AS213" s="122">
        <v>1</v>
      </c>
      <c r="AT213" s="122">
        <v>9921.8521700000001</v>
      </c>
      <c r="AU213" s="122">
        <v>9921.8521700000001</v>
      </c>
      <c r="AV213" s="122"/>
      <c r="AW213" s="122"/>
      <c r="AX213" s="120"/>
      <c r="AY213" s="120"/>
      <c r="AZ213" s="123">
        <v>3.784E-3</v>
      </c>
      <c r="BA213" s="123">
        <v>1.66E-4</v>
      </c>
    </row>
    <row r="214" spans="1:53" ht="15" customHeight="1">
      <c r="A214" s="121">
        <v>313</v>
      </c>
      <c r="B214" s="121">
        <v>313</v>
      </c>
      <c r="C214" s="121"/>
      <c r="D214" s="120"/>
      <c r="E214" s="120"/>
      <c r="F214" s="121">
        <v>78000112</v>
      </c>
      <c r="G214" s="120" t="s">
        <v>1013</v>
      </c>
      <c r="H214" s="120" t="s">
        <v>812</v>
      </c>
      <c r="I214" s="120" t="s">
        <v>203</v>
      </c>
      <c r="J214" s="120"/>
      <c r="K214" s="120" t="s">
        <v>454</v>
      </c>
      <c r="L214" s="120" t="s">
        <v>338</v>
      </c>
      <c r="M214" s="120" t="s">
        <v>337</v>
      </c>
      <c r="N214" s="121"/>
      <c r="O214" s="124">
        <v>44227</v>
      </c>
      <c r="P214" s="120" t="s">
        <v>1334</v>
      </c>
      <c r="Q214" s="120" t="s">
        <v>414</v>
      </c>
      <c r="R214" s="120" t="s">
        <v>407</v>
      </c>
      <c r="S214" s="120" t="s">
        <v>1217</v>
      </c>
      <c r="T214" s="122">
        <v>4.05</v>
      </c>
      <c r="U214" s="120" t="s">
        <v>2560</v>
      </c>
      <c r="V214" s="123">
        <v>7.6249999999999998E-3</v>
      </c>
      <c r="W214" s="120"/>
      <c r="X214" s="120"/>
      <c r="Y214" s="123"/>
      <c r="Z214" s="123">
        <v>3.3799999999999997E-2</v>
      </c>
      <c r="AA214" s="124">
        <v>48852</v>
      </c>
      <c r="AB214" s="120" t="s">
        <v>411</v>
      </c>
      <c r="AC214" s="120"/>
      <c r="AD214" s="122"/>
      <c r="AE214" s="123"/>
      <c r="AF214" s="124"/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45473</v>
      </c>
      <c r="AO214" s="120"/>
      <c r="AP214" s="123"/>
      <c r="AQ214" s="122">
        <v>8077313.4199999999</v>
      </c>
      <c r="AR214" s="122">
        <v>102.37</v>
      </c>
      <c r="AS214" s="122">
        <v>1</v>
      </c>
      <c r="AT214" s="122">
        <v>8268.74575</v>
      </c>
      <c r="AU214" s="122">
        <v>8268.74575</v>
      </c>
      <c r="AV214" s="122"/>
      <c r="AW214" s="122"/>
      <c r="AX214" s="120"/>
      <c r="AY214" s="120"/>
      <c r="AZ214" s="123">
        <v>3.153E-3</v>
      </c>
      <c r="BA214" s="123">
        <v>1.3799999999999999E-4</v>
      </c>
    </row>
    <row r="215" spans="1:53" ht="15" customHeight="1">
      <c r="A215" s="121">
        <v>313</v>
      </c>
      <c r="B215" s="121">
        <v>313</v>
      </c>
      <c r="C215" s="121"/>
      <c r="D215" s="120"/>
      <c r="E215" s="120"/>
      <c r="F215" s="121">
        <v>78000110</v>
      </c>
      <c r="G215" s="120" t="s">
        <v>1013</v>
      </c>
      <c r="H215" s="120" t="s">
        <v>812</v>
      </c>
      <c r="I215" s="120" t="s">
        <v>203</v>
      </c>
      <c r="J215" s="120"/>
      <c r="K215" s="120" t="s">
        <v>454</v>
      </c>
      <c r="L215" s="120" t="s">
        <v>338</v>
      </c>
      <c r="M215" s="120" t="s">
        <v>337</v>
      </c>
      <c r="N215" s="121"/>
      <c r="O215" s="124">
        <v>44227</v>
      </c>
      <c r="P215" s="120" t="s">
        <v>1334</v>
      </c>
      <c r="Q215" s="120" t="s">
        <v>414</v>
      </c>
      <c r="R215" s="120" t="s">
        <v>407</v>
      </c>
      <c r="S215" s="120" t="s">
        <v>1217</v>
      </c>
      <c r="T215" s="122">
        <v>4.46</v>
      </c>
      <c r="U215" s="120" t="s">
        <v>2560</v>
      </c>
      <c r="V215" s="123">
        <v>8.0000000000000002E-3</v>
      </c>
      <c r="W215" s="120"/>
      <c r="X215" s="120"/>
      <c r="Y215" s="123"/>
      <c r="Z215" s="123">
        <v>3.5999999999999997E-2</v>
      </c>
      <c r="AA215" s="124">
        <v>48944</v>
      </c>
      <c r="AB215" s="120" t="s">
        <v>411</v>
      </c>
      <c r="AC215" s="120"/>
      <c r="AD215" s="122"/>
      <c r="AE215" s="123"/>
      <c r="AF215" s="124"/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45473</v>
      </c>
      <c r="AO215" s="120"/>
      <c r="AP215" s="123"/>
      <c r="AQ215" s="122">
        <v>3124556.5</v>
      </c>
      <c r="AR215" s="122">
        <v>100.48</v>
      </c>
      <c r="AS215" s="122">
        <v>1</v>
      </c>
      <c r="AT215" s="122">
        <v>3139.5543699999998</v>
      </c>
      <c r="AU215" s="122">
        <v>3139.5543699999998</v>
      </c>
      <c r="AV215" s="122"/>
      <c r="AW215" s="122"/>
      <c r="AX215" s="120"/>
      <c r="AY215" s="120"/>
      <c r="AZ215" s="123">
        <v>1.1969999999999999E-3</v>
      </c>
      <c r="BA215" s="123">
        <v>5.1999999999999997E-5</v>
      </c>
    </row>
    <row r="216" spans="1:53" ht="15" customHeight="1">
      <c r="A216" s="121">
        <v>313</v>
      </c>
      <c r="B216" s="121">
        <v>313</v>
      </c>
      <c r="C216" s="121"/>
      <c r="D216" s="120"/>
      <c r="E216" s="120"/>
      <c r="F216" s="121">
        <v>76000321</v>
      </c>
      <c r="G216" s="120" t="s">
        <v>1013</v>
      </c>
      <c r="H216" s="120" t="s">
        <v>2562</v>
      </c>
      <c r="I216" s="120" t="s">
        <v>203</v>
      </c>
      <c r="J216" s="120"/>
      <c r="K216" s="120" t="s">
        <v>463</v>
      </c>
      <c r="L216" s="120" t="s">
        <v>338</v>
      </c>
      <c r="M216" s="120" t="s">
        <v>338</v>
      </c>
      <c r="N216" s="121"/>
      <c r="O216" s="124">
        <v>45371</v>
      </c>
      <c r="P216" s="120" t="s">
        <v>409</v>
      </c>
      <c r="Q216" s="120" t="s">
        <v>409</v>
      </c>
      <c r="R216" s="120" t="s">
        <v>409</v>
      </c>
      <c r="S216" s="120" t="s">
        <v>1217</v>
      </c>
      <c r="T216" s="122">
        <v>13.49</v>
      </c>
      <c r="U216" s="120" t="s">
        <v>2560</v>
      </c>
      <c r="V216" s="123">
        <v>0</v>
      </c>
      <c r="W216" s="120"/>
      <c r="X216" s="120"/>
      <c r="Y216" s="123"/>
      <c r="Z216" s="123">
        <v>-2.3E-3</v>
      </c>
      <c r="AA216" s="124">
        <v>55243</v>
      </c>
      <c r="AB216" s="120" t="s">
        <v>411</v>
      </c>
      <c r="AC216" s="120"/>
      <c r="AD216" s="122"/>
      <c r="AE216" s="123"/>
      <c r="AF216" s="124"/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45473</v>
      </c>
      <c r="AO216" s="120"/>
      <c r="AP216" s="123"/>
      <c r="AQ216" s="122">
        <v>6895520.7699999996</v>
      </c>
      <c r="AR216" s="122">
        <v>103.17</v>
      </c>
      <c r="AS216" s="122">
        <v>1</v>
      </c>
      <c r="AT216" s="122">
        <v>7114.1087799999996</v>
      </c>
      <c r="AU216" s="122">
        <v>7114.1087799999996</v>
      </c>
      <c r="AV216" s="122"/>
      <c r="AW216" s="122"/>
      <c r="AX216" s="120"/>
      <c r="AY216" s="120"/>
      <c r="AZ216" s="123">
        <v>2.7130000000000001E-3</v>
      </c>
      <c r="BA216" s="123">
        <v>1.1900000000000001E-4</v>
      </c>
    </row>
    <row r="217" spans="1:53" ht="15" customHeight="1">
      <c r="A217" s="121">
        <v>313</v>
      </c>
      <c r="B217" s="121">
        <v>313</v>
      </c>
      <c r="C217" s="121"/>
      <c r="D217" s="120"/>
      <c r="E217" s="120"/>
      <c r="F217" s="121">
        <v>76000323</v>
      </c>
      <c r="G217" s="120" t="s">
        <v>1013</v>
      </c>
      <c r="H217" s="120" t="s">
        <v>2562</v>
      </c>
      <c r="I217" s="120" t="s">
        <v>203</v>
      </c>
      <c r="J217" s="120"/>
      <c r="K217" s="120" t="s">
        <v>463</v>
      </c>
      <c r="L217" s="120" t="s">
        <v>338</v>
      </c>
      <c r="M217" s="120" t="s">
        <v>338</v>
      </c>
      <c r="N217" s="121"/>
      <c r="O217" s="124">
        <v>45371</v>
      </c>
      <c r="P217" s="120" t="s">
        <v>409</v>
      </c>
      <c r="Q217" s="120" t="s">
        <v>409</v>
      </c>
      <c r="R217" s="120" t="s">
        <v>409</v>
      </c>
      <c r="S217" s="120" t="s">
        <v>1217</v>
      </c>
      <c r="T217" s="122">
        <v>13.51</v>
      </c>
      <c r="U217" s="120" t="s">
        <v>2560</v>
      </c>
      <c r="V217" s="123">
        <v>0</v>
      </c>
      <c r="W217" s="120"/>
      <c r="X217" s="120"/>
      <c r="Y217" s="123"/>
      <c r="Z217" s="123">
        <v>-2.8E-3</v>
      </c>
      <c r="AA217" s="124">
        <v>55243</v>
      </c>
      <c r="AB217" s="120" t="s">
        <v>411</v>
      </c>
      <c r="AC217" s="120"/>
      <c r="AD217" s="122"/>
      <c r="AE217" s="123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45473</v>
      </c>
      <c r="AO217" s="120"/>
      <c r="AP217" s="123"/>
      <c r="AQ217" s="122">
        <v>3287863.85</v>
      </c>
      <c r="AR217" s="122">
        <v>103.81</v>
      </c>
      <c r="AS217" s="122">
        <v>1</v>
      </c>
      <c r="AT217" s="122">
        <v>3413.1314600000001</v>
      </c>
      <c r="AU217" s="122">
        <v>3413.1314600000001</v>
      </c>
      <c r="AV217" s="122"/>
      <c r="AW217" s="122"/>
      <c r="AX217" s="120"/>
      <c r="AY217" s="120"/>
      <c r="AZ217" s="123">
        <v>1.3010000000000001E-3</v>
      </c>
      <c r="BA217" s="123">
        <v>5.7000000000000003E-5</v>
      </c>
    </row>
    <row r="218" spans="1:53" ht="15" customHeight="1">
      <c r="A218" s="121">
        <v>313</v>
      </c>
      <c r="B218" s="121">
        <v>313</v>
      </c>
      <c r="C218" s="121"/>
      <c r="D218" s="120"/>
      <c r="E218" s="120"/>
      <c r="F218" s="121">
        <v>76000324</v>
      </c>
      <c r="G218" s="120" t="s">
        <v>1013</v>
      </c>
      <c r="H218" s="120" t="s">
        <v>2562</v>
      </c>
      <c r="I218" s="120" t="s">
        <v>203</v>
      </c>
      <c r="J218" s="120"/>
      <c r="K218" s="120" t="s">
        <v>463</v>
      </c>
      <c r="L218" s="120" t="s">
        <v>338</v>
      </c>
      <c r="M218" s="120" t="s">
        <v>338</v>
      </c>
      <c r="N218" s="121"/>
      <c r="O218" s="124">
        <v>45371</v>
      </c>
      <c r="P218" s="120" t="s">
        <v>409</v>
      </c>
      <c r="Q218" s="120" t="s">
        <v>409</v>
      </c>
      <c r="R218" s="120" t="s">
        <v>409</v>
      </c>
      <c r="S218" s="120" t="s">
        <v>1217</v>
      </c>
      <c r="T218" s="122">
        <v>13.26</v>
      </c>
      <c r="U218" s="120" t="s">
        <v>2560</v>
      </c>
      <c r="V218" s="123">
        <v>0</v>
      </c>
      <c r="W218" s="120"/>
      <c r="X218" s="120"/>
      <c r="Y218" s="123"/>
      <c r="Z218" s="123">
        <v>1.4E-3</v>
      </c>
      <c r="AA218" s="124">
        <v>55243</v>
      </c>
      <c r="AB218" s="120" t="s">
        <v>411</v>
      </c>
      <c r="AC218" s="120"/>
      <c r="AD218" s="122"/>
      <c r="AE218" s="123"/>
      <c r="AF218" s="124"/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45473</v>
      </c>
      <c r="AO218" s="120"/>
      <c r="AP218" s="123"/>
      <c r="AQ218" s="122">
        <v>9784612.0500000007</v>
      </c>
      <c r="AR218" s="122">
        <v>98.15</v>
      </c>
      <c r="AS218" s="122">
        <v>1</v>
      </c>
      <c r="AT218" s="122">
        <v>9603.5967299999993</v>
      </c>
      <c r="AU218" s="122">
        <v>9603.5967299999993</v>
      </c>
      <c r="AV218" s="122"/>
      <c r="AW218" s="122"/>
      <c r="AX218" s="120"/>
      <c r="AY218" s="120"/>
      <c r="AZ218" s="123">
        <v>3.6619999999999999E-3</v>
      </c>
      <c r="BA218" s="123">
        <v>1.6100000000000001E-4</v>
      </c>
    </row>
    <row r="219" spans="1:53" ht="15" customHeight="1">
      <c r="A219" s="121">
        <v>313</v>
      </c>
      <c r="B219" s="121">
        <v>313</v>
      </c>
      <c r="C219" s="121"/>
      <c r="D219" s="120"/>
      <c r="E219" s="120"/>
      <c r="F219" s="121">
        <v>76056001</v>
      </c>
      <c r="G219" s="120" t="s">
        <v>1013</v>
      </c>
      <c r="H219" s="120" t="s">
        <v>812</v>
      </c>
      <c r="I219" s="120" t="s">
        <v>203</v>
      </c>
      <c r="J219" s="120"/>
      <c r="K219" s="120" t="s">
        <v>313</v>
      </c>
      <c r="L219" s="120" t="s">
        <v>338</v>
      </c>
      <c r="M219" s="120" t="s">
        <v>337</v>
      </c>
      <c r="N219" s="121"/>
      <c r="O219" s="124">
        <v>45470</v>
      </c>
      <c r="P219" s="120" t="s">
        <v>1948</v>
      </c>
      <c r="Q219" s="120" t="s">
        <v>412</v>
      </c>
      <c r="R219" s="120" t="s">
        <v>407</v>
      </c>
      <c r="S219" s="120" t="s">
        <v>1217</v>
      </c>
      <c r="T219" s="122">
        <v>11.86</v>
      </c>
      <c r="U219" s="120" t="s">
        <v>2560</v>
      </c>
      <c r="V219" s="123">
        <v>4.0514000000000001E-2</v>
      </c>
      <c r="W219" s="120"/>
      <c r="X219" s="120"/>
      <c r="Y219" s="123"/>
      <c r="Z219" s="123">
        <v>4.1799999999999997E-2</v>
      </c>
      <c r="AA219" s="124">
        <v>55512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45473</v>
      </c>
      <c r="AO219" s="120"/>
      <c r="AP219" s="123"/>
      <c r="AQ219" s="122">
        <v>17764521</v>
      </c>
      <c r="AR219" s="122">
        <v>99.28</v>
      </c>
      <c r="AS219" s="122">
        <v>1</v>
      </c>
      <c r="AT219" s="122">
        <v>17636.616450000001</v>
      </c>
      <c r="AU219" s="122">
        <v>17636.616450000001</v>
      </c>
      <c r="AV219" s="122"/>
      <c r="AW219" s="122"/>
      <c r="AX219" s="120"/>
      <c r="AY219" s="120"/>
      <c r="AZ219" s="123">
        <v>6.7260000000000002E-3</v>
      </c>
      <c r="BA219" s="123">
        <v>2.9500000000000001E-4</v>
      </c>
    </row>
    <row r="220" spans="1:53" ht="15" customHeight="1">
      <c r="A220" s="121">
        <v>313</v>
      </c>
      <c r="B220" s="121">
        <v>313</v>
      </c>
      <c r="C220" s="121"/>
      <c r="D220" s="120"/>
      <c r="E220" s="120"/>
      <c r="F220" s="121">
        <v>78000111</v>
      </c>
      <c r="G220" s="120" t="s">
        <v>1013</v>
      </c>
      <c r="H220" s="120" t="s">
        <v>812</v>
      </c>
      <c r="I220" s="120" t="s">
        <v>203</v>
      </c>
      <c r="J220" s="120"/>
      <c r="K220" s="120" t="s">
        <v>454</v>
      </c>
      <c r="L220" s="120" t="s">
        <v>338</v>
      </c>
      <c r="M220" s="120" t="s">
        <v>337</v>
      </c>
      <c r="N220" s="121"/>
      <c r="O220" s="124">
        <v>44227</v>
      </c>
      <c r="P220" s="120" t="s">
        <v>1334</v>
      </c>
      <c r="Q220" s="120" t="s">
        <v>414</v>
      </c>
      <c r="R220" s="120" t="s">
        <v>407</v>
      </c>
      <c r="S220" s="120" t="s">
        <v>1217</v>
      </c>
      <c r="T220" s="122">
        <v>4.1900000000000004</v>
      </c>
      <c r="U220" s="120" t="s">
        <v>2560</v>
      </c>
      <c r="V220" s="123">
        <v>7.6629999999999997E-3</v>
      </c>
      <c r="W220" s="120"/>
      <c r="X220" s="120"/>
      <c r="Y220" s="123"/>
      <c r="Z220" s="123">
        <v>3.5400000000000001E-2</v>
      </c>
      <c r="AA220" s="124">
        <v>48760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45473</v>
      </c>
      <c r="AO220" s="120"/>
      <c r="AP220" s="123"/>
      <c r="AQ220" s="122">
        <v>6089651.2300000004</v>
      </c>
      <c r="AR220" s="122">
        <v>101.34</v>
      </c>
      <c r="AS220" s="122">
        <v>1</v>
      </c>
      <c r="AT220" s="122">
        <v>6171.2525599999999</v>
      </c>
      <c r="AU220" s="122">
        <v>6171.2525599999999</v>
      </c>
      <c r="AV220" s="122"/>
      <c r="AW220" s="122"/>
      <c r="AX220" s="120"/>
      <c r="AY220" s="120"/>
      <c r="AZ220" s="123">
        <v>2.3530000000000001E-3</v>
      </c>
      <c r="BA220" s="123">
        <v>1.03E-4</v>
      </c>
    </row>
    <row r="221" spans="1:53" ht="15" customHeight="1">
      <c r="A221" s="121">
        <v>313</v>
      </c>
      <c r="B221" s="121">
        <v>313</v>
      </c>
      <c r="C221" s="121"/>
      <c r="D221" s="120"/>
      <c r="E221" s="120"/>
      <c r="F221" s="121">
        <v>76500102</v>
      </c>
      <c r="G221" s="120" t="s">
        <v>1013</v>
      </c>
      <c r="H221" s="120" t="s">
        <v>2562</v>
      </c>
      <c r="I221" s="120" t="s">
        <v>203</v>
      </c>
      <c r="J221" s="120"/>
      <c r="K221" s="120" t="s">
        <v>463</v>
      </c>
      <c r="L221" s="120" t="s">
        <v>338</v>
      </c>
      <c r="M221" s="120" t="s">
        <v>338</v>
      </c>
      <c r="N221" s="121"/>
      <c r="O221" s="124">
        <v>44311</v>
      </c>
      <c r="P221" s="120" t="s">
        <v>1340</v>
      </c>
      <c r="Q221" s="120" t="s">
        <v>414</v>
      </c>
      <c r="R221" s="120" t="s">
        <v>407</v>
      </c>
      <c r="S221" s="120" t="s">
        <v>1217</v>
      </c>
      <c r="T221" s="122">
        <v>13.4</v>
      </c>
      <c r="U221" s="120" t="s">
        <v>2560</v>
      </c>
      <c r="V221" s="123">
        <v>2.7202E-2</v>
      </c>
      <c r="W221" s="120"/>
      <c r="X221" s="120"/>
      <c r="Y221" s="123"/>
      <c r="Z221" s="123">
        <v>4.6899999999999997E-2</v>
      </c>
      <c r="AA221" s="124">
        <v>51597</v>
      </c>
      <c r="AB221" s="120" t="s">
        <v>411</v>
      </c>
      <c r="AC221" s="120"/>
      <c r="AD221" s="122"/>
      <c r="AE221" s="123"/>
      <c r="AF221" s="124"/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45473</v>
      </c>
      <c r="AO221" s="120"/>
      <c r="AP221" s="123"/>
      <c r="AQ221" s="122">
        <v>18447302.399999999</v>
      </c>
      <c r="AR221" s="122">
        <v>84.91</v>
      </c>
      <c r="AS221" s="122">
        <v>1</v>
      </c>
      <c r="AT221" s="122">
        <v>15663.60447</v>
      </c>
      <c r="AU221" s="122">
        <v>15663.60447</v>
      </c>
      <c r="AV221" s="122"/>
      <c r="AW221" s="122"/>
      <c r="AX221" s="120"/>
      <c r="AY221" s="120"/>
      <c r="AZ221" s="123">
        <v>5.973E-3</v>
      </c>
      <c r="BA221" s="123">
        <v>2.6200000000000003E-4</v>
      </c>
    </row>
    <row r="222" spans="1:53" ht="15" customHeight="1">
      <c r="A222" s="121">
        <v>313</v>
      </c>
      <c r="B222" s="121">
        <v>313</v>
      </c>
      <c r="C222" s="121"/>
      <c r="D222" s="120"/>
      <c r="E222" s="120"/>
      <c r="F222" s="121">
        <v>77000103</v>
      </c>
      <c r="G222" s="120" t="s">
        <v>1013</v>
      </c>
      <c r="H222" s="120" t="s">
        <v>812</v>
      </c>
      <c r="I222" s="120" t="s">
        <v>203</v>
      </c>
      <c r="J222" s="120"/>
      <c r="K222" s="120" t="s">
        <v>313</v>
      </c>
      <c r="L222" s="120" t="s">
        <v>338</v>
      </c>
      <c r="M222" s="120" t="s">
        <v>337</v>
      </c>
      <c r="N222" s="121"/>
      <c r="O222" s="124">
        <v>44559</v>
      </c>
      <c r="P222" s="120" t="s">
        <v>1293</v>
      </c>
      <c r="Q222" s="120" t="s">
        <v>311</v>
      </c>
      <c r="R222" s="120" t="s">
        <v>407</v>
      </c>
      <c r="S222" s="120" t="s">
        <v>1217</v>
      </c>
      <c r="T222" s="122">
        <v>7.58</v>
      </c>
      <c r="U222" s="120" t="s">
        <v>2560</v>
      </c>
      <c r="V222" s="123">
        <v>1.52E-2</v>
      </c>
      <c r="W222" s="120"/>
      <c r="X222" s="120"/>
      <c r="Y222" s="123"/>
      <c r="Z222" s="123">
        <v>3.8899999999999997E-2</v>
      </c>
      <c r="AA222" s="124">
        <v>51864</v>
      </c>
      <c r="AB222" s="120" t="s">
        <v>411</v>
      </c>
      <c r="AC222" s="120"/>
      <c r="AD222" s="122"/>
      <c r="AE222" s="123"/>
      <c r="AF222" s="124"/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45473</v>
      </c>
      <c r="AO222" s="120"/>
      <c r="AP222" s="123"/>
      <c r="AQ222" s="122">
        <v>8050000</v>
      </c>
      <c r="AR222" s="122">
        <v>92.52</v>
      </c>
      <c r="AS222" s="122">
        <v>1</v>
      </c>
      <c r="AT222" s="122">
        <v>7447.86</v>
      </c>
      <c r="AU222" s="122">
        <v>7447.86</v>
      </c>
      <c r="AV222" s="122"/>
      <c r="AW222" s="122"/>
      <c r="AX222" s="120"/>
      <c r="AY222" s="120"/>
      <c r="AZ222" s="123">
        <v>2.8400000000000001E-3</v>
      </c>
      <c r="BA222" s="123">
        <v>1.2400000000000001E-4</v>
      </c>
    </row>
    <row r="223" spans="1:53" ht="15" customHeight="1">
      <c r="A223" s="121">
        <v>313</v>
      </c>
      <c r="B223" s="121">
        <v>313</v>
      </c>
      <c r="C223" s="121"/>
      <c r="D223" s="120"/>
      <c r="E223" s="120"/>
      <c r="F223" s="121">
        <v>77000104</v>
      </c>
      <c r="G223" s="120" t="s">
        <v>1013</v>
      </c>
      <c r="H223" s="120" t="s">
        <v>812</v>
      </c>
      <c r="I223" s="120" t="s">
        <v>203</v>
      </c>
      <c r="J223" s="120"/>
      <c r="K223" s="120" t="s">
        <v>313</v>
      </c>
      <c r="L223" s="120" t="s">
        <v>338</v>
      </c>
      <c r="M223" s="120" t="s">
        <v>337</v>
      </c>
      <c r="N223" s="121"/>
      <c r="O223" s="124">
        <v>45302</v>
      </c>
      <c r="P223" s="120" t="s">
        <v>1293</v>
      </c>
      <c r="Q223" s="120" t="s">
        <v>311</v>
      </c>
      <c r="R223" s="120" t="s">
        <v>407</v>
      </c>
      <c r="S223" s="120" t="s">
        <v>1217</v>
      </c>
      <c r="T223" s="122">
        <v>7.7</v>
      </c>
      <c r="U223" s="120" t="s">
        <v>2560</v>
      </c>
      <c r="V223" s="123">
        <v>3.6700000000000003E-2</v>
      </c>
      <c r="W223" s="120"/>
      <c r="X223" s="120"/>
      <c r="Y223" s="123"/>
      <c r="Z223" s="123">
        <v>0.04</v>
      </c>
      <c r="AA223" s="124">
        <v>52607</v>
      </c>
      <c r="AB223" s="120" t="s">
        <v>411</v>
      </c>
      <c r="AC223" s="120"/>
      <c r="AD223" s="122"/>
      <c r="AE223" s="123"/>
      <c r="AF223" s="124"/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45473</v>
      </c>
      <c r="AO223" s="120"/>
      <c r="AP223" s="123"/>
      <c r="AQ223" s="122">
        <v>5678125</v>
      </c>
      <c r="AR223" s="122">
        <v>100.59</v>
      </c>
      <c r="AS223" s="122">
        <v>1</v>
      </c>
      <c r="AT223" s="122">
        <v>5711.6259399999999</v>
      </c>
      <c r="AU223" s="122">
        <v>5711.6259399999999</v>
      </c>
      <c r="AV223" s="122"/>
      <c r="AW223" s="122"/>
      <c r="AX223" s="120"/>
      <c r="AY223" s="120"/>
      <c r="AZ223" s="123">
        <v>2.1779999999999998E-3</v>
      </c>
      <c r="BA223" s="123">
        <v>9.5000000000000005E-5</v>
      </c>
    </row>
    <row r="224" spans="1:53" ht="15" customHeight="1">
      <c r="A224" s="121">
        <v>313</v>
      </c>
      <c r="B224" s="121">
        <v>313</v>
      </c>
      <c r="C224" s="121"/>
      <c r="D224" s="120"/>
      <c r="E224" s="120"/>
      <c r="F224" s="121">
        <v>78000108</v>
      </c>
      <c r="G224" s="120" t="s">
        <v>1013</v>
      </c>
      <c r="H224" s="120" t="s">
        <v>812</v>
      </c>
      <c r="I224" s="120" t="s">
        <v>203</v>
      </c>
      <c r="J224" s="120"/>
      <c r="K224" s="120" t="s">
        <v>454</v>
      </c>
      <c r="L224" s="120" t="s">
        <v>338</v>
      </c>
      <c r="M224" s="120" t="s">
        <v>337</v>
      </c>
      <c r="N224" s="121"/>
      <c r="O224" s="124">
        <v>44227</v>
      </c>
      <c r="P224" s="120" t="s">
        <v>1334</v>
      </c>
      <c r="Q224" s="120" t="s">
        <v>414</v>
      </c>
      <c r="R224" s="120" t="s">
        <v>407</v>
      </c>
      <c r="S224" s="120" t="s">
        <v>1217</v>
      </c>
      <c r="T224" s="122">
        <v>5.22</v>
      </c>
      <c r="U224" s="120" t="s">
        <v>2560</v>
      </c>
      <c r="V224" s="123">
        <v>8.6840000000000007E-3</v>
      </c>
      <c r="W224" s="120"/>
      <c r="X224" s="120"/>
      <c r="Y224" s="123"/>
      <c r="Z224" s="123">
        <v>2.87E-2</v>
      </c>
      <c r="AA224" s="124">
        <v>49582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45473</v>
      </c>
      <c r="AO224" s="120"/>
      <c r="AP224" s="123"/>
      <c r="AQ224" s="122">
        <v>26780202.600000001</v>
      </c>
      <c r="AR224" s="122">
        <v>102.58</v>
      </c>
      <c r="AS224" s="122">
        <v>1</v>
      </c>
      <c r="AT224" s="122">
        <v>27471.131829999998</v>
      </c>
      <c r="AU224" s="122">
        <v>27471.131829999998</v>
      </c>
      <c r="AV224" s="122"/>
      <c r="AW224" s="122"/>
      <c r="AX224" s="120"/>
      <c r="AY224" s="120"/>
      <c r="AZ224" s="123">
        <v>1.0477E-2</v>
      </c>
      <c r="BA224" s="123">
        <v>4.6000000000000001E-4</v>
      </c>
    </row>
    <row r="225" spans="1:53" ht="15" customHeight="1">
      <c r="A225" s="121">
        <v>313</v>
      </c>
      <c r="B225" s="121">
        <v>313</v>
      </c>
      <c r="C225" s="121"/>
      <c r="D225" s="120"/>
      <c r="E225" s="120"/>
      <c r="F225" s="121">
        <v>78000109</v>
      </c>
      <c r="G225" s="120" t="s">
        <v>1013</v>
      </c>
      <c r="H225" s="120" t="s">
        <v>812</v>
      </c>
      <c r="I225" s="120" t="s">
        <v>203</v>
      </c>
      <c r="J225" s="120"/>
      <c r="K225" s="120" t="s">
        <v>454</v>
      </c>
      <c r="L225" s="120" t="s">
        <v>338</v>
      </c>
      <c r="M225" s="120" t="s">
        <v>337</v>
      </c>
      <c r="N225" s="121"/>
      <c r="O225" s="124">
        <v>44227</v>
      </c>
      <c r="P225" s="120" t="s">
        <v>1334</v>
      </c>
      <c r="Q225" s="120" t="s">
        <v>414</v>
      </c>
      <c r="R225" s="120" t="s">
        <v>407</v>
      </c>
      <c r="S225" s="120" t="s">
        <v>1217</v>
      </c>
      <c r="T225" s="122">
        <v>4.3499999999999996</v>
      </c>
      <c r="U225" s="120" t="s">
        <v>2560</v>
      </c>
      <c r="V225" s="123">
        <v>7.9089999999999994E-3</v>
      </c>
      <c r="W225" s="120"/>
      <c r="X225" s="120"/>
      <c r="Y225" s="123"/>
      <c r="Z225" s="123">
        <v>3.5900000000000001E-2</v>
      </c>
      <c r="AA225" s="124">
        <v>48852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45473</v>
      </c>
      <c r="AO225" s="120"/>
      <c r="AP225" s="123"/>
      <c r="AQ225" s="122">
        <v>1785687.03</v>
      </c>
      <c r="AR225" s="122">
        <v>100.79</v>
      </c>
      <c r="AS225" s="122">
        <v>1</v>
      </c>
      <c r="AT225" s="122">
        <v>1799.79396</v>
      </c>
      <c r="AU225" s="122">
        <v>1799.79396</v>
      </c>
      <c r="AV225" s="122"/>
      <c r="AW225" s="122"/>
      <c r="AX225" s="120"/>
      <c r="AY225" s="120"/>
      <c r="AZ225" s="123">
        <v>6.8599999999999998E-4</v>
      </c>
      <c r="BA225" s="123">
        <v>3.0000000000000001E-5</v>
      </c>
    </row>
    <row r="226" spans="1:53" ht="15" customHeight="1">
      <c r="A226" s="121">
        <v>313</v>
      </c>
      <c r="B226" s="121">
        <v>313</v>
      </c>
      <c r="C226" s="121"/>
      <c r="D226" s="120"/>
      <c r="E226" s="120"/>
      <c r="F226" s="121">
        <v>76500103</v>
      </c>
      <c r="G226" s="120" t="s">
        <v>1013</v>
      </c>
      <c r="H226" s="120" t="s">
        <v>2562</v>
      </c>
      <c r="I226" s="120" t="s">
        <v>203</v>
      </c>
      <c r="J226" s="120"/>
      <c r="K226" s="120" t="s">
        <v>463</v>
      </c>
      <c r="L226" s="120" t="s">
        <v>338</v>
      </c>
      <c r="M226" s="120" t="s">
        <v>338</v>
      </c>
      <c r="N226" s="121"/>
      <c r="O226" s="124">
        <v>44822</v>
      </c>
      <c r="P226" s="120" t="s">
        <v>1340</v>
      </c>
      <c r="Q226" s="120" t="s">
        <v>414</v>
      </c>
      <c r="R226" s="120" t="s">
        <v>407</v>
      </c>
      <c r="S226" s="120" t="s">
        <v>1217</v>
      </c>
      <c r="T226" s="122">
        <v>12.89</v>
      </c>
      <c r="U226" s="120" t="s">
        <v>2560</v>
      </c>
      <c r="V226" s="123">
        <v>3.4250000000000003E-2</v>
      </c>
      <c r="W226" s="120"/>
      <c r="X226" s="120"/>
      <c r="Y226" s="123"/>
      <c r="Z226" s="123">
        <v>4.4400000000000002E-2</v>
      </c>
      <c r="AA226" s="124">
        <v>51597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45473</v>
      </c>
      <c r="AO226" s="120"/>
      <c r="AP226" s="123"/>
      <c r="AQ226" s="122">
        <v>4505323.47</v>
      </c>
      <c r="AR226" s="122">
        <v>91.53</v>
      </c>
      <c r="AS226" s="122">
        <v>1</v>
      </c>
      <c r="AT226" s="122">
        <v>4123.7225699999999</v>
      </c>
      <c r="AU226" s="122">
        <v>4123.7225699999999</v>
      </c>
      <c r="AV226" s="122"/>
      <c r="AW226" s="122"/>
      <c r="AX226" s="120"/>
      <c r="AY226" s="120"/>
      <c r="AZ226" s="123">
        <v>1.572E-3</v>
      </c>
      <c r="BA226" s="123">
        <v>6.8999999999999997E-5</v>
      </c>
    </row>
    <row r="227" spans="1:53" ht="15" customHeight="1">
      <c r="A227" s="121">
        <v>313</v>
      </c>
      <c r="B227" s="121">
        <v>313</v>
      </c>
      <c r="C227" s="121"/>
      <c r="D227" s="120"/>
      <c r="E227" s="120"/>
      <c r="F227" s="121">
        <v>81018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338</v>
      </c>
      <c r="N227" s="121"/>
      <c r="O227" s="124">
        <v>43227</v>
      </c>
      <c r="P227" s="120" t="s">
        <v>2561</v>
      </c>
      <c r="Q227" s="120" t="s">
        <v>414</v>
      </c>
      <c r="R227" s="120" t="s">
        <v>407</v>
      </c>
      <c r="S227" s="120" t="s">
        <v>1217</v>
      </c>
      <c r="T227" s="122">
        <v>6.96</v>
      </c>
      <c r="U227" s="120" t="s">
        <v>2560</v>
      </c>
      <c r="V227" s="123">
        <v>3.1199999999999999E-2</v>
      </c>
      <c r="W227" s="120"/>
      <c r="X227" s="120"/>
      <c r="Y227" s="123"/>
      <c r="Z227" s="123">
        <v>3.6700000000000003E-2</v>
      </c>
      <c r="AA227" s="124">
        <v>51134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45473</v>
      </c>
      <c r="AO227" s="120"/>
      <c r="AP227" s="123"/>
      <c r="AQ227" s="122">
        <v>804101.43</v>
      </c>
      <c r="AR227" s="122">
        <v>110.62</v>
      </c>
      <c r="AS227" s="122">
        <v>1</v>
      </c>
      <c r="AT227" s="122">
        <v>889.49699999999996</v>
      </c>
      <c r="AU227" s="122">
        <v>889.49699999999996</v>
      </c>
      <c r="AV227" s="122"/>
      <c r="AW227" s="122"/>
      <c r="AX227" s="120"/>
      <c r="AY227" s="120"/>
      <c r="AZ227" s="123">
        <v>3.39E-4</v>
      </c>
      <c r="BA227" s="123">
        <v>1.4E-5</v>
      </c>
    </row>
    <row r="228" spans="1:53" ht="15" customHeight="1">
      <c r="A228" s="121">
        <v>313</v>
      </c>
      <c r="B228" s="121">
        <v>313</v>
      </c>
      <c r="C228" s="121"/>
      <c r="D228" s="120"/>
      <c r="E228" s="120"/>
      <c r="F228" s="121">
        <v>70009002</v>
      </c>
      <c r="G228" s="120" t="s">
        <v>1013</v>
      </c>
      <c r="H228" s="120" t="s">
        <v>818</v>
      </c>
      <c r="I228" s="120" t="s">
        <v>203</v>
      </c>
      <c r="J228" s="120"/>
      <c r="K228" s="120" t="s">
        <v>462</v>
      </c>
      <c r="L228" s="120" t="s">
        <v>338</v>
      </c>
      <c r="M228" s="120" t="s">
        <v>338</v>
      </c>
      <c r="N228" s="121"/>
      <c r="O228" s="124">
        <v>44926</v>
      </c>
      <c r="P228" s="120" t="s">
        <v>2572</v>
      </c>
      <c r="Q228" s="120" t="s">
        <v>412</v>
      </c>
      <c r="R228" s="120" t="s">
        <v>407</v>
      </c>
      <c r="S228" s="120" t="s">
        <v>1217</v>
      </c>
      <c r="T228" s="122">
        <v>0.78</v>
      </c>
      <c r="U228" s="120" t="s">
        <v>2560</v>
      </c>
      <c r="V228" s="123">
        <v>4.5823000000000003E-2</v>
      </c>
      <c r="W228" s="120"/>
      <c r="X228" s="120"/>
      <c r="Y228" s="123"/>
      <c r="Z228" s="123">
        <v>4.8500000000000001E-2</v>
      </c>
      <c r="AA228" s="124">
        <v>45761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45473</v>
      </c>
      <c r="AO228" s="120"/>
      <c r="AP228" s="123"/>
      <c r="AQ228" s="122">
        <v>46000000</v>
      </c>
      <c r="AR228" s="122">
        <v>99.84</v>
      </c>
      <c r="AS228" s="122">
        <v>1</v>
      </c>
      <c r="AT228" s="122">
        <v>45926.400000000001</v>
      </c>
      <c r="AU228" s="122">
        <v>45926.400000000001</v>
      </c>
      <c r="AV228" s="122"/>
      <c r="AW228" s="122"/>
      <c r="AX228" s="120"/>
      <c r="AY228" s="120"/>
      <c r="AZ228" s="123">
        <v>1.7514999999999999E-2</v>
      </c>
      <c r="BA228" s="123">
        <v>7.6999999999999996E-4</v>
      </c>
    </row>
    <row r="229" spans="1:53" ht="15" customHeight="1">
      <c r="A229" s="121">
        <v>313</v>
      </c>
      <c r="B229" s="121">
        <v>313</v>
      </c>
      <c r="C229" s="121"/>
      <c r="D229" s="120"/>
      <c r="E229" s="120"/>
      <c r="F229" s="121">
        <v>70007707</v>
      </c>
      <c r="G229" s="120" t="s">
        <v>1013</v>
      </c>
      <c r="H229" s="120" t="s">
        <v>812</v>
      </c>
      <c r="I229" s="120" t="s">
        <v>203</v>
      </c>
      <c r="J229" s="120"/>
      <c r="K229" s="120" t="s">
        <v>446</v>
      </c>
      <c r="L229" s="120" t="s">
        <v>338</v>
      </c>
      <c r="M229" s="120" t="s">
        <v>337</v>
      </c>
      <c r="N229" s="121"/>
      <c r="O229" s="124">
        <v>45427</v>
      </c>
      <c r="P229" s="120" t="s">
        <v>1315</v>
      </c>
      <c r="Q229" s="120" t="s">
        <v>414</v>
      </c>
      <c r="R229" s="120" t="s">
        <v>407</v>
      </c>
      <c r="S229" s="120" t="s">
        <v>1217</v>
      </c>
      <c r="T229" s="122">
        <v>2.0299999999999998</v>
      </c>
      <c r="U229" s="120" t="s">
        <v>824</v>
      </c>
      <c r="V229" s="123">
        <v>6.6000000000000003E-2</v>
      </c>
      <c r="W229" s="120"/>
      <c r="X229" s="120"/>
      <c r="Y229" s="123"/>
      <c r="Z229" s="123">
        <v>6.9800000000000001E-2</v>
      </c>
      <c r="AA229" s="124">
        <v>46262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45473</v>
      </c>
      <c r="AO229" s="120"/>
      <c r="AP229" s="123"/>
      <c r="AQ229" s="122">
        <v>1741551.18</v>
      </c>
      <c r="AR229" s="122">
        <v>99.62</v>
      </c>
      <c r="AS229" s="122">
        <v>1</v>
      </c>
      <c r="AT229" s="122">
        <v>1734.9332899999999</v>
      </c>
      <c r="AU229" s="122">
        <v>1734.9332899999999</v>
      </c>
      <c r="AV229" s="122"/>
      <c r="AW229" s="122"/>
      <c r="AX229" s="120"/>
      <c r="AY229" s="120"/>
      <c r="AZ229" s="123">
        <v>6.6100000000000002E-4</v>
      </c>
      <c r="BA229" s="123">
        <v>2.9E-5</v>
      </c>
    </row>
    <row r="230" spans="1:53" ht="15" customHeight="1">
      <c r="A230" s="121">
        <v>313</v>
      </c>
      <c r="B230" s="121">
        <v>313</v>
      </c>
      <c r="C230" s="121"/>
      <c r="D230" s="120"/>
      <c r="E230" s="120"/>
      <c r="F230" s="121">
        <v>50000871</v>
      </c>
      <c r="G230" s="120" t="s">
        <v>1013</v>
      </c>
      <c r="H230" s="120" t="s">
        <v>812</v>
      </c>
      <c r="I230" s="120" t="s">
        <v>203</v>
      </c>
      <c r="J230" s="120"/>
      <c r="K230" s="120" t="s">
        <v>454</v>
      </c>
      <c r="L230" s="120" t="s">
        <v>338</v>
      </c>
      <c r="M230" s="120" t="s">
        <v>338</v>
      </c>
      <c r="N230" s="121"/>
      <c r="O230" s="124">
        <v>44138</v>
      </c>
      <c r="P230" s="120" t="s">
        <v>1334</v>
      </c>
      <c r="Q230" s="120" t="s">
        <v>414</v>
      </c>
      <c r="R230" s="120" t="s">
        <v>407</v>
      </c>
      <c r="S230" s="120" t="s">
        <v>1217</v>
      </c>
      <c r="T230" s="122">
        <v>8.4700000000000006</v>
      </c>
      <c r="U230" s="120" t="s">
        <v>2560</v>
      </c>
      <c r="V230" s="123">
        <v>2.6499999999999999E-2</v>
      </c>
      <c r="W230" s="120"/>
      <c r="X230" s="120"/>
      <c r="Y230" s="123"/>
      <c r="Z230" s="123">
        <v>3.5400000000000001E-2</v>
      </c>
      <c r="AA230" s="124">
        <v>52412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45473</v>
      </c>
      <c r="AO230" s="120"/>
      <c r="AP230" s="123"/>
      <c r="AQ230" s="122">
        <v>2293657.84</v>
      </c>
      <c r="AR230" s="122">
        <v>101.24</v>
      </c>
      <c r="AS230" s="122">
        <v>1</v>
      </c>
      <c r="AT230" s="122">
        <v>2322.0992000000001</v>
      </c>
      <c r="AU230" s="122">
        <v>2322.0992000000001</v>
      </c>
      <c r="AV230" s="122"/>
      <c r="AW230" s="122"/>
      <c r="AX230" s="120"/>
      <c r="AY230" s="120"/>
      <c r="AZ230" s="123">
        <v>8.8500000000000004E-4</v>
      </c>
      <c r="BA230" s="123">
        <v>3.8000000000000002E-5</v>
      </c>
    </row>
    <row r="231" spans="1:53" ht="15" customHeight="1">
      <c r="A231" s="121">
        <v>313</v>
      </c>
      <c r="B231" s="121">
        <v>313</v>
      </c>
      <c r="C231" s="121"/>
      <c r="D231" s="120"/>
      <c r="E231" s="120"/>
      <c r="F231" s="121">
        <v>50000873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338</v>
      </c>
      <c r="N231" s="121"/>
      <c r="O231" s="124">
        <v>44138</v>
      </c>
      <c r="P231" s="120" t="s">
        <v>1334</v>
      </c>
      <c r="Q231" s="120" t="s">
        <v>414</v>
      </c>
      <c r="R231" s="120" t="s">
        <v>407</v>
      </c>
      <c r="S231" s="120" t="s">
        <v>1217</v>
      </c>
      <c r="T231" s="122">
        <v>8.4600000000000009</v>
      </c>
      <c r="U231" s="120" t="s">
        <v>2560</v>
      </c>
      <c r="V231" s="123">
        <v>2.6499999999999999E-2</v>
      </c>
      <c r="W231" s="120"/>
      <c r="X231" s="120"/>
      <c r="Y231" s="123"/>
      <c r="Z231" s="123">
        <v>3.5799999999999998E-2</v>
      </c>
      <c r="AA231" s="124">
        <v>52412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45473</v>
      </c>
      <c r="AO231" s="120"/>
      <c r="AP231" s="123"/>
      <c r="AQ231" s="122">
        <v>2391846.0299999998</v>
      </c>
      <c r="AR231" s="122">
        <v>100.89</v>
      </c>
      <c r="AS231" s="122">
        <v>1</v>
      </c>
      <c r="AT231" s="122">
        <v>2413.13346</v>
      </c>
      <c r="AU231" s="122">
        <v>2413.13346</v>
      </c>
      <c r="AV231" s="122"/>
      <c r="AW231" s="122"/>
      <c r="AX231" s="120"/>
      <c r="AY231" s="120"/>
      <c r="AZ231" s="123">
        <v>9.2000000000000003E-4</v>
      </c>
      <c r="BA231" s="123">
        <v>4.0000000000000003E-5</v>
      </c>
    </row>
    <row r="232" spans="1:53" ht="15" customHeight="1">
      <c r="A232" s="121">
        <v>313</v>
      </c>
      <c r="B232" s="121">
        <v>313</v>
      </c>
      <c r="C232" s="121"/>
      <c r="D232" s="120"/>
      <c r="E232" s="120"/>
      <c r="F232" s="121">
        <v>50000875</v>
      </c>
      <c r="G232" s="120" t="s">
        <v>1013</v>
      </c>
      <c r="H232" s="120" t="s">
        <v>812</v>
      </c>
      <c r="I232" s="120" t="s">
        <v>203</v>
      </c>
      <c r="J232" s="120"/>
      <c r="K232" s="120" t="s">
        <v>454</v>
      </c>
      <c r="L232" s="120" t="s">
        <v>338</v>
      </c>
      <c r="M232" s="120" t="s">
        <v>338</v>
      </c>
      <c r="N232" s="121"/>
      <c r="O232" s="124">
        <v>44180</v>
      </c>
      <c r="P232" s="120" t="s">
        <v>1315</v>
      </c>
      <c r="Q232" s="120" t="s">
        <v>414</v>
      </c>
      <c r="R232" s="120" t="s">
        <v>407</v>
      </c>
      <c r="S232" s="120" t="s">
        <v>1217</v>
      </c>
      <c r="T232" s="122">
        <v>8.39</v>
      </c>
      <c r="U232" s="120" t="s">
        <v>2560</v>
      </c>
      <c r="V232" s="123">
        <v>2.6499999999999999E-2</v>
      </c>
      <c r="W232" s="120"/>
      <c r="X232" s="120"/>
      <c r="Y232" s="123"/>
      <c r="Z232" s="123">
        <v>3.9E-2</v>
      </c>
      <c r="AA232" s="124">
        <v>52412</v>
      </c>
      <c r="AB232" s="120" t="s">
        <v>411</v>
      </c>
      <c r="AC232" s="120"/>
      <c r="AD232" s="122"/>
      <c r="AE232" s="123"/>
      <c r="AF232" s="124"/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45473</v>
      </c>
      <c r="AO232" s="120"/>
      <c r="AP232" s="123"/>
      <c r="AQ232" s="122">
        <v>4692617.51</v>
      </c>
      <c r="AR232" s="122">
        <v>97.99</v>
      </c>
      <c r="AS232" s="122">
        <v>1</v>
      </c>
      <c r="AT232" s="122">
        <v>4598.2959000000001</v>
      </c>
      <c r="AU232" s="122">
        <v>4598.2959000000001</v>
      </c>
      <c r="AV232" s="122"/>
      <c r="AW232" s="122"/>
      <c r="AX232" s="120"/>
      <c r="AY232" s="120"/>
      <c r="AZ232" s="123">
        <v>1.753E-3</v>
      </c>
      <c r="BA232" s="123">
        <v>7.7000000000000001E-5</v>
      </c>
    </row>
    <row r="233" spans="1:53" ht="15" customHeight="1">
      <c r="A233" s="121">
        <v>313</v>
      </c>
      <c r="B233" s="121">
        <v>313</v>
      </c>
      <c r="C233" s="121"/>
      <c r="D233" s="120"/>
      <c r="E233" s="120"/>
      <c r="F233" s="121">
        <v>50000877</v>
      </c>
      <c r="G233" s="120" t="s">
        <v>1013</v>
      </c>
      <c r="H233" s="120" t="s">
        <v>812</v>
      </c>
      <c r="I233" s="120" t="s">
        <v>203</v>
      </c>
      <c r="J233" s="120"/>
      <c r="K233" s="120" t="s">
        <v>454</v>
      </c>
      <c r="L233" s="120" t="s">
        <v>338</v>
      </c>
      <c r="M233" s="120" t="s">
        <v>338</v>
      </c>
      <c r="N233" s="121"/>
      <c r="O233" s="124">
        <v>44270</v>
      </c>
      <c r="P233" s="120" t="s">
        <v>1334</v>
      </c>
      <c r="Q233" s="120" t="s">
        <v>414</v>
      </c>
      <c r="R233" s="120" t="s">
        <v>407</v>
      </c>
      <c r="S233" s="120" t="s">
        <v>1217</v>
      </c>
      <c r="T233" s="122">
        <v>8.39</v>
      </c>
      <c r="U233" s="120" t="s">
        <v>2560</v>
      </c>
      <c r="V233" s="123">
        <v>2.6499999999999999E-2</v>
      </c>
      <c r="W233" s="120"/>
      <c r="X233" s="120"/>
      <c r="Y233" s="123"/>
      <c r="Z233" s="123">
        <v>3.8300000000000001E-2</v>
      </c>
      <c r="AA233" s="124">
        <v>52412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45473</v>
      </c>
      <c r="AO233" s="120"/>
      <c r="AP233" s="123"/>
      <c r="AQ233" s="122">
        <v>1074929.07</v>
      </c>
      <c r="AR233" s="122">
        <v>98.92</v>
      </c>
      <c r="AS233" s="122">
        <v>1</v>
      </c>
      <c r="AT233" s="122">
        <v>1063.3198400000001</v>
      </c>
      <c r="AU233" s="122">
        <v>1063.3198400000001</v>
      </c>
      <c r="AV233" s="122"/>
      <c r="AW233" s="122"/>
      <c r="AX233" s="120"/>
      <c r="AY233" s="120"/>
      <c r="AZ233" s="123">
        <v>4.0499999999999998E-4</v>
      </c>
      <c r="BA233" s="123">
        <v>1.7E-5</v>
      </c>
    </row>
    <row r="234" spans="1:53" ht="15" customHeight="1">
      <c r="A234" s="121">
        <v>313</v>
      </c>
      <c r="B234" s="121">
        <v>313</v>
      </c>
      <c r="C234" s="121"/>
      <c r="D234" s="120"/>
      <c r="E234" s="120"/>
      <c r="F234" s="121">
        <v>50000879</v>
      </c>
      <c r="G234" s="120" t="s">
        <v>1013</v>
      </c>
      <c r="H234" s="120" t="s">
        <v>812</v>
      </c>
      <c r="I234" s="120" t="s">
        <v>203</v>
      </c>
      <c r="J234" s="120"/>
      <c r="K234" s="120" t="s">
        <v>454</v>
      </c>
      <c r="L234" s="120" t="s">
        <v>338</v>
      </c>
      <c r="M234" s="120" t="s">
        <v>338</v>
      </c>
      <c r="N234" s="121"/>
      <c r="O234" s="124">
        <v>44270</v>
      </c>
      <c r="P234" s="120" t="s">
        <v>1334</v>
      </c>
      <c r="Q234" s="120" t="s">
        <v>414</v>
      </c>
      <c r="R234" s="120" t="s">
        <v>407</v>
      </c>
      <c r="S234" s="120" t="s">
        <v>1217</v>
      </c>
      <c r="T234" s="122">
        <v>8.39</v>
      </c>
      <c r="U234" s="120" t="s">
        <v>2560</v>
      </c>
      <c r="V234" s="123">
        <v>2.6499999999999999E-2</v>
      </c>
      <c r="W234" s="120"/>
      <c r="X234" s="120"/>
      <c r="Y234" s="123"/>
      <c r="Z234" s="123">
        <v>3.8300000000000001E-2</v>
      </c>
      <c r="AA234" s="124">
        <v>52412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45473</v>
      </c>
      <c r="AO234" s="120"/>
      <c r="AP234" s="123"/>
      <c r="AQ234" s="122">
        <v>1054497.77</v>
      </c>
      <c r="AR234" s="122">
        <v>98.92</v>
      </c>
      <c r="AS234" s="122">
        <v>1</v>
      </c>
      <c r="AT234" s="122">
        <v>1043.1091899999999</v>
      </c>
      <c r="AU234" s="122">
        <v>1043.1091899999999</v>
      </c>
      <c r="AV234" s="122"/>
      <c r="AW234" s="122"/>
      <c r="AX234" s="120"/>
      <c r="AY234" s="120"/>
      <c r="AZ234" s="123">
        <v>3.97E-4</v>
      </c>
      <c r="BA234" s="123">
        <v>1.7E-5</v>
      </c>
    </row>
    <row r="235" spans="1:53" ht="15" customHeight="1">
      <c r="A235" s="121">
        <v>313</v>
      </c>
      <c r="B235" s="121">
        <v>313</v>
      </c>
      <c r="C235" s="121"/>
      <c r="D235" s="120"/>
      <c r="E235" s="120"/>
      <c r="F235" s="121">
        <v>50000887</v>
      </c>
      <c r="G235" s="120" t="s">
        <v>1013</v>
      </c>
      <c r="H235" s="120" t="s">
        <v>812</v>
      </c>
      <c r="I235" s="120" t="s">
        <v>203</v>
      </c>
      <c r="J235" s="120"/>
      <c r="K235" s="120" t="s">
        <v>454</v>
      </c>
      <c r="L235" s="120" t="s">
        <v>338</v>
      </c>
      <c r="M235" s="120" t="s">
        <v>338</v>
      </c>
      <c r="N235" s="121"/>
      <c r="O235" s="124">
        <v>44270</v>
      </c>
      <c r="P235" s="120" t="s">
        <v>1315</v>
      </c>
      <c r="Q235" s="120" t="s">
        <v>414</v>
      </c>
      <c r="R235" s="120" t="s">
        <v>407</v>
      </c>
      <c r="S235" s="120" t="s">
        <v>1217</v>
      </c>
      <c r="T235" s="122">
        <v>8.3800000000000008</v>
      </c>
      <c r="U235" s="120" t="s">
        <v>2560</v>
      </c>
      <c r="V235" s="123">
        <v>2.6499999999999999E-2</v>
      </c>
      <c r="W235" s="120"/>
      <c r="X235" s="120"/>
      <c r="Y235" s="123"/>
      <c r="Z235" s="123">
        <v>3.95E-2</v>
      </c>
      <c r="AA235" s="124">
        <v>52412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45473</v>
      </c>
      <c r="AO235" s="120"/>
      <c r="AP235" s="123"/>
      <c r="AQ235" s="122">
        <v>1786783.4</v>
      </c>
      <c r="AR235" s="122">
        <v>97.97</v>
      </c>
      <c r="AS235" s="122">
        <v>1</v>
      </c>
      <c r="AT235" s="122">
        <v>1750.5117</v>
      </c>
      <c r="AU235" s="122">
        <v>1750.5117</v>
      </c>
      <c r="AV235" s="122"/>
      <c r="AW235" s="122"/>
      <c r="AX235" s="120"/>
      <c r="AY235" s="120"/>
      <c r="AZ235" s="123">
        <v>6.6699999999999995E-4</v>
      </c>
      <c r="BA235" s="123">
        <v>2.9E-5</v>
      </c>
    </row>
    <row r="236" spans="1:53" ht="15" customHeight="1">
      <c r="A236" s="121">
        <v>313</v>
      </c>
      <c r="B236" s="121">
        <v>313</v>
      </c>
      <c r="C236" s="121"/>
      <c r="D236" s="120"/>
      <c r="E236" s="120"/>
      <c r="F236" s="121">
        <v>50000890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338</v>
      </c>
      <c r="N236" s="121"/>
      <c r="O236" s="124">
        <v>44497</v>
      </c>
      <c r="P236" s="120" t="s">
        <v>1334</v>
      </c>
      <c r="Q236" s="120" t="s">
        <v>414</v>
      </c>
      <c r="R236" s="120" t="s">
        <v>407</v>
      </c>
      <c r="S236" s="120" t="s">
        <v>1217</v>
      </c>
      <c r="T236" s="122">
        <v>8.08</v>
      </c>
      <c r="U236" s="120" t="s">
        <v>2560</v>
      </c>
      <c r="V236" s="123">
        <v>2.6499999999999999E-2</v>
      </c>
      <c r="W236" s="120"/>
      <c r="X236" s="120"/>
      <c r="Y236" s="123"/>
      <c r="Z236" s="123">
        <v>4.9500000000000002E-2</v>
      </c>
      <c r="AA236" s="124">
        <v>52412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45473</v>
      </c>
      <c r="AO236" s="120"/>
      <c r="AP236" s="123"/>
      <c r="AQ236" s="122">
        <v>547145.68999999994</v>
      </c>
      <c r="AR236" s="122">
        <v>88.3</v>
      </c>
      <c r="AS236" s="122">
        <v>1</v>
      </c>
      <c r="AT236" s="122">
        <v>483.12963999999999</v>
      </c>
      <c r="AU236" s="122">
        <v>483.12963999999999</v>
      </c>
      <c r="AV236" s="122"/>
      <c r="AW236" s="122"/>
      <c r="AX236" s="120"/>
      <c r="AY236" s="120"/>
      <c r="AZ236" s="123">
        <v>1.84E-4</v>
      </c>
      <c r="BA236" s="123">
        <v>7.9999999999999996E-6</v>
      </c>
    </row>
    <row r="237" spans="1:53" ht="15" customHeight="1">
      <c r="A237" s="121">
        <v>313</v>
      </c>
      <c r="B237" s="121">
        <v>313</v>
      </c>
      <c r="C237" s="121"/>
      <c r="D237" s="120"/>
      <c r="E237" s="120"/>
      <c r="F237" s="121">
        <v>50000894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338</v>
      </c>
      <c r="N237" s="121"/>
      <c r="O237" s="124">
        <v>44497</v>
      </c>
      <c r="P237" s="120" t="s">
        <v>1315</v>
      </c>
      <c r="Q237" s="120" t="s">
        <v>414</v>
      </c>
      <c r="R237" s="120" t="s">
        <v>407</v>
      </c>
      <c r="S237" s="120" t="s">
        <v>1217</v>
      </c>
      <c r="T237" s="122">
        <v>7.96</v>
      </c>
      <c r="U237" s="120" t="s">
        <v>2560</v>
      </c>
      <c r="V237" s="123">
        <v>2.6499999999999999E-2</v>
      </c>
      <c r="W237" s="120"/>
      <c r="X237" s="120"/>
      <c r="Y237" s="123"/>
      <c r="Z237" s="123">
        <v>5.3900000000000003E-2</v>
      </c>
      <c r="AA237" s="124">
        <v>52412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45473</v>
      </c>
      <c r="AO237" s="120"/>
      <c r="AP237" s="123"/>
      <c r="AQ237" s="122">
        <v>1038085.03</v>
      </c>
      <c r="AR237" s="122">
        <v>85.34</v>
      </c>
      <c r="AS237" s="122">
        <v>1</v>
      </c>
      <c r="AT237" s="122">
        <v>885.90175999999997</v>
      </c>
      <c r="AU237" s="122">
        <v>885.90175999999997</v>
      </c>
      <c r="AV237" s="122"/>
      <c r="AW237" s="122"/>
      <c r="AX237" s="120"/>
      <c r="AY237" s="120"/>
      <c r="AZ237" s="123">
        <v>3.3700000000000001E-4</v>
      </c>
      <c r="BA237" s="123">
        <v>1.4E-5</v>
      </c>
    </row>
    <row r="238" spans="1:53" ht="15" customHeight="1">
      <c r="A238" s="121">
        <v>313</v>
      </c>
      <c r="B238" s="121">
        <v>313</v>
      </c>
      <c r="C238" s="121"/>
      <c r="D238" s="120"/>
      <c r="E238" s="120"/>
      <c r="F238" s="121">
        <v>50000897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338</v>
      </c>
      <c r="N238" s="121"/>
      <c r="O238" s="124">
        <v>44497</v>
      </c>
      <c r="P238" s="120" t="s">
        <v>1334</v>
      </c>
      <c r="Q238" s="120" t="s">
        <v>414</v>
      </c>
      <c r="R238" s="120" t="s">
        <v>407</v>
      </c>
      <c r="S238" s="120" t="s">
        <v>1217</v>
      </c>
      <c r="T238" s="122">
        <v>8.1300000000000008</v>
      </c>
      <c r="U238" s="120" t="s">
        <v>2560</v>
      </c>
      <c r="V238" s="123">
        <v>2.6499999999999999E-2</v>
      </c>
      <c r="W238" s="120"/>
      <c r="X238" s="120"/>
      <c r="Y238" s="123"/>
      <c r="Z238" s="123">
        <v>4.7699999999999999E-2</v>
      </c>
      <c r="AA238" s="124">
        <v>52412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45473</v>
      </c>
      <c r="AO238" s="120"/>
      <c r="AP238" s="123"/>
      <c r="AQ238" s="122">
        <v>637284.87</v>
      </c>
      <c r="AR238" s="122">
        <v>89.51</v>
      </c>
      <c r="AS238" s="122">
        <v>1</v>
      </c>
      <c r="AT238" s="122">
        <v>570.43368999999996</v>
      </c>
      <c r="AU238" s="122">
        <v>570.43368999999996</v>
      </c>
      <c r="AV238" s="122"/>
      <c r="AW238" s="122"/>
      <c r="AX238" s="120"/>
      <c r="AY238" s="120"/>
      <c r="AZ238" s="123">
        <v>2.1699999999999999E-4</v>
      </c>
      <c r="BA238" s="123">
        <v>9.0000000000000002E-6</v>
      </c>
    </row>
    <row r="239" spans="1:53" ht="15" customHeight="1">
      <c r="A239" s="121">
        <v>313</v>
      </c>
      <c r="B239" s="121">
        <v>313</v>
      </c>
      <c r="C239" s="121"/>
      <c r="D239" s="120"/>
      <c r="E239" s="120"/>
      <c r="F239" s="121">
        <v>50000870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338</v>
      </c>
      <c r="N239" s="121"/>
      <c r="O239" s="124">
        <v>45007</v>
      </c>
      <c r="P239" s="120" t="s">
        <v>1334</v>
      </c>
      <c r="Q239" s="120" t="s">
        <v>414</v>
      </c>
      <c r="R239" s="120" t="s">
        <v>407</v>
      </c>
      <c r="S239" s="120" t="s">
        <v>1217</v>
      </c>
      <c r="T239" s="122">
        <v>8.19</v>
      </c>
      <c r="U239" s="120" t="s">
        <v>2560</v>
      </c>
      <c r="V239" s="123">
        <v>3.3309999999999999E-2</v>
      </c>
      <c r="W239" s="120"/>
      <c r="X239" s="120"/>
      <c r="Y239" s="123"/>
      <c r="Z239" s="123">
        <v>3.6999999999999998E-2</v>
      </c>
      <c r="AA239" s="124">
        <v>52412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45473</v>
      </c>
      <c r="AO239" s="120"/>
      <c r="AP239" s="123"/>
      <c r="AQ239" s="122">
        <v>255058.73</v>
      </c>
      <c r="AR239" s="122">
        <v>101.52</v>
      </c>
      <c r="AS239" s="122">
        <v>1</v>
      </c>
      <c r="AT239" s="122">
        <v>258.93561999999997</v>
      </c>
      <c r="AU239" s="122">
        <v>258.93561999999997</v>
      </c>
      <c r="AV239" s="122"/>
      <c r="AW239" s="122"/>
      <c r="AX239" s="120"/>
      <c r="AY239" s="120"/>
      <c r="AZ239" s="123">
        <v>9.7999999999999997E-5</v>
      </c>
      <c r="BA239" s="123">
        <v>3.9999999999999998E-6</v>
      </c>
    </row>
    <row r="240" spans="1:53" ht="15" customHeight="1">
      <c r="A240" s="121">
        <v>313</v>
      </c>
      <c r="B240" s="121">
        <v>313</v>
      </c>
      <c r="C240" s="121"/>
      <c r="D240" s="120"/>
      <c r="E240" s="120"/>
      <c r="F240" s="121">
        <v>50000834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337</v>
      </c>
      <c r="N240" s="121"/>
      <c r="O240" s="124">
        <v>43801</v>
      </c>
      <c r="P240" s="120" t="s">
        <v>1932</v>
      </c>
      <c r="Q240" s="120" t="s">
        <v>412</v>
      </c>
      <c r="R240" s="120" t="s">
        <v>407</v>
      </c>
      <c r="S240" s="120" t="s">
        <v>1216</v>
      </c>
      <c r="T240" s="122">
        <v>4.37</v>
      </c>
      <c r="U240" s="120" t="s">
        <v>2560</v>
      </c>
      <c r="V240" s="123">
        <v>2.3630000000000002E-2</v>
      </c>
      <c r="W240" s="120"/>
      <c r="X240" s="120"/>
      <c r="Y240" s="123"/>
      <c r="Z240" s="123">
        <v>5.6800000000000003E-2</v>
      </c>
      <c r="AA240" s="124">
        <v>49034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45473</v>
      </c>
      <c r="AO240" s="120"/>
      <c r="AP240" s="123"/>
      <c r="AQ240" s="122">
        <v>19270431.18</v>
      </c>
      <c r="AR240" s="122">
        <v>86.88</v>
      </c>
      <c r="AS240" s="122">
        <v>4.0202</v>
      </c>
      <c r="AT240" s="122">
        <v>67306.793879999997</v>
      </c>
      <c r="AU240" s="122">
        <v>16742.150610000001</v>
      </c>
      <c r="AV240" s="122"/>
      <c r="AW240" s="122"/>
      <c r="AX240" s="120"/>
      <c r="AY240" s="120"/>
      <c r="AZ240" s="123">
        <v>2.5669000000000001E-2</v>
      </c>
      <c r="BA240" s="123">
        <v>1.129E-3</v>
      </c>
    </row>
    <row r="241" spans="1:53" ht="15" customHeight="1">
      <c r="A241" s="121">
        <v>313</v>
      </c>
      <c r="B241" s="121">
        <v>313</v>
      </c>
      <c r="C241" s="121"/>
      <c r="D241" s="120"/>
      <c r="E241" s="120"/>
      <c r="F241" s="121">
        <v>50000824</v>
      </c>
      <c r="G241" s="120" t="s">
        <v>1013</v>
      </c>
      <c r="H241" s="120" t="s">
        <v>818</v>
      </c>
      <c r="I241" s="120" t="s">
        <v>203</v>
      </c>
      <c r="J241" s="120"/>
      <c r="K241" s="120" t="s">
        <v>444</v>
      </c>
      <c r="L241" s="120" t="s">
        <v>338</v>
      </c>
      <c r="M241" s="120" t="s">
        <v>338</v>
      </c>
      <c r="N241" s="121"/>
      <c r="O241" s="124">
        <v>43795</v>
      </c>
      <c r="P241" s="120" t="s">
        <v>1297</v>
      </c>
      <c r="Q241" s="120" t="s">
        <v>414</v>
      </c>
      <c r="R241" s="120" t="s">
        <v>407</v>
      </c>
      <c r="S241" s="120" t="s">
        <v>1217</v>
      </c>
      <c r="T241" s="122">
        <v>6.6</v>
      </c>
      <c r="U241" s="120" t="s">
        <v>2560</v>
      </c>
      <c r="V241" s="123">
        <v>1.3434E-2</v>
      </c>
      <c r="W241" s="120"/>
      <c r="X241" s="120"/>
      <c r="Y241" s="123"/>
      <c r="Z241" s="123">
        <v>4.02E-2</v>
      </c>
      <c r="AA241" s="124">
        <v>48030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45473</v>
      </c>
      <c r="AO241" s="120"/>
      <c r="AP241" s="123"/>
      <c r="AQ241" s="122">
        <v>34500000</v>
      </c>
      <c r="AR241" s="122">
        <v>95.88</v>
      </c>
      <c r="AS241" s="122">
        <v>1</v>
      </c>
      <c r="AT241" s="122">
        <v>33078.6</v>
      </c>
      <c r="AU241" s="122">
        <v>33078.6</v>
      </c>
      <c r="AV241" s="122"/>
      <c r="AW241" s="122"/>
      <c r="AX241" s="120"/>
      <c r="AY241" s="120"/>
      <c r="AZ241" s="123">
        <v>1.2614999999999999E-2</v>
      </c>
      <c r="BA241" s="123">
        <v>5.5500000000000005E-4</v>
      </c>
    </row>
    <row r="242" spans="1:53" ht="15" customHeight="1">
      <c r="A242" s="121">
        <v>313</v>
      </c>
      <c r="B242" s="121">
        <v>313</v>
      </c>
      <c r="C242" s="121"/>
      <c r="D242" s="120"/>
      <c r="E242" s="120"/>
      <c r="F242" s="121">
        <v>50000766</v>
      </c>
      <c r="G242" s="120" t="s">
        <v>1013</v>
      </c>
      <c r="H242" s="120" t="s">
        <v>2568</v>
      </c>
      <c r="I242" s="120" t="s">
        <v>203</v>
      </c>
      <c r="J242" s="120"/>
      <c r="K242" s="120" t="s">
        <v>463</v>
      </c>
      <c r="L242" s="120" t="s">
        <v>338</v>
      </c>
      <c r="M242" s="120" t="s">
        <v>337</v>
      </c>
      <c r="N242" s="121"/>
      <c r="O242" s="124">
        <v>43832</v>
      </c>
      <c r="P242" s="120" t="s">
        <v>2569</v>
      </c>
      <c r="Q242" s="120" t="s">
        <v>311</v>
      </c>
      <c r="R242" s="120" t="s">
        <v>407</v>
      </c>
      <c r="S242" s="120" t="s">
        <v>1217</v>
      </c>
      <c r="T242" s="122">
        <v>2.29</v>
      </c>
      <c r="U242" s="120" t="s">
        <v>2560</v>
      </c>
      <c r="V242" s="123">
        <v>2.9000000000000001E-2</v>
      </c>
      <c r="W242" s="120"/>
      <c r="X242" s="120"/>
      <c r="Y242" s="123"/>
      <c r="Z242" s="123">
        <v>6.5299999999999997E-2</v>
      </c>
      <c r="AA242" s="124">
        <v>46387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45473</v>
      </c>
      <c r="AO242" s="120"/>
      <c r="AP242" s="123"/>
      <c r="AQ242" s="122">
        <v>15752877.51</v>
      </c>
      <c r="AR242" s="122">
        <v>92.43</v>
      </c>
      <c r="AS242" s="122">
        <v>1</v>
      </c>
      <c r="AT242" s="122">
        <v>14560.384679999999</v>
      </c>
      <c r="AU242" s="122">
        <v>14560.384679999999</v>
      </c>
      <c r="AV242" s="122"/>
      <c r="AW242" s="122"/>
      <c r="AX242" s="120"/>
      <c r="AY242" s="120"/>
      <c r="AZ242" s="123">
        <v>5.5529999999999998E-3</v>
      </c>
      <c r="BA242" s="123">
        <v>2.4399999999999999E-4</v>
      </c>
    </row>
    <row r="243" spans="1:53" ht="15" customHeight="1">
      <c r="A243" s="121">
        <v>313</v>
      </c>
      <c r="B243" s="121">
        <v>313</v>
      </c>
      <c r="C243" s="121"/>
      <c r="D243" s="120"/>
      <c r="E243" s="120"/>
      <c r="F243" s="121">
        <v>50000306</v>
      </c>
      <c r="G243" s="120" t="s">
        <v>1013</v>
      </c>
      <c r="H243" s="120" t="s">
        <v>812</v>
      </c>
      <c r="I243" s="120" t="s">
        <v>203</v>
      </c>
      <c r="J243" s="120"/>
      <c r="K243" s="120" t="s">
        <v>454</v>
      </c>
      <c r="L243" s="120" t="s">
        <v>338</v>
      </c>
      <c r="M243" s="120" t="s">
        <v>338</v>
      </c>
      <c r="N243" s="121"/>
      <c r="O243" s="124">
        <v>43422</v>
      </c>
      <c r="P243" s="120" t="s">
        <v>1340</v>
      </c>
      <c r="Q243" s="120" t="s">
        <v>414</v>
      </c>
      <c r="R243" s="120" t="s">
        <v>407</v>
      </c>
      <c r="S243" s="120" t="s">
        <v>1217</v>
      </c>
      <c r="T243" s="122">
        <v>6.92</v>
      </c>
      <c r="U243" s="120" t="s">
        <v>2560</v>
      </c>
      <c r="V243" s="123">
        <v>3.4500000000000003E-2</v>
      </c>
      <c r="W243" s="120"/>
      <c r="X243" s="120"/>
      <c r="Y243" s="123"/>
      <c r="Z243" s="123">
        <v>3.61E-2</v>
      </c>
      <c r="AA243" s="124">
        <v>51134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45473</v>
      </c>
      <c r="AO243" s="120"/>
      <c r="AP243" s="123"/>
      <c r="AQ243" s="122">
        <v>665719.73</v>
      </c>
      <c r="AR243" s="122">
        <v>111.98</v>
      </c>
      <c r="AS243" s="122">
        <v>1</v>
      </c>
      <c r="AT243" s="122">
        <v>745.47294999999997</v>
      </c>
      <c r="AU243" s="122">
        <v>745.47294999999997</v>
      </c>
      <c r="AV243" s="122"/>
      <c r="AW243" s="122"/>
      <c r="AX243" s="120"/>
      <c r="AY243" s="120"/>
      <c r="AZ243" s="123">
        <v>2.8400000000000002E-4</v>
      </c>
      <c r="BA243" s="123">
        <v>1.2E-5</v>
      </c>
    </row>
    <row r="244" spans="1:53" ht="15" customHeight="1">
      <c r="A244" s="121">
        <v>313</v>
      </c>
      <c r="B244" s="121">
        <v>313</v>
      </c>
      <c r="C244" s="121"/>
      <c r="D244" s="120"/>
      <c r="E244" s="120"/>
      <c r="F244" s="121">
        <v>50000324</v>
      </c>
      <c r="G244" s="120" t="s">
        <v>1013</v>
      </c>
      <c r="H244" s="120" t="s">
        <v>812</v>
      </c>
      <c r="I244" s="120" t="s">
        <v>203</v>
      </c>
      <c r="J244" s="120"/>
      <c r="K244" s="120" t="s">
        <v>446</v>
      </c>
      <c r="L244" s="120" t="s">
        <v>338</v>
      </c>
      <c r="M244" s="120" t="s">
        <v>337</v>
      </c>
      <c r="N244" s="121"/>
      <c r="O244" s="124">
        <v>43675</v>
      </c>
      <c r="P244" s="120" t="s">
        <v>1315</v>
      </c>
      <c r="Q244" s="120" t="s">
        <v>414</v>
      </c>
      <c r="R244" s="120" t="s">
        <v>407</v>
      </c>
      <c r="S244" s="120" t="s">
        <v>1217</v>
      </c>
      <c r="T244" s="122">
        <v>2.41</v>
      </c>
      <c r="U244" s="120" t="s">
        <v>2560</v>
      </c>
      <c r="V244" s="123">
        <v>2.1111000000000001E-2</v>
      </c>
      <c r="W244" s="120"/>
      <c r="X244" s="120"/>
      <c r="Y244" s="123"/>
      <c r="Z244" s="123">
        <v>3.5000000000000003E-2</v>
      </c>
      <c r="AA244" s="124">
        <v>47118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45473</v>
      </c>
      <c r="AO244" s="120"/>
      <c r="AP244" s="123"/>
      <c r="AQ244" s="122">
        <v>3963806.2</v>
      </c>
      <c r="AR244" s="122">
        <v>108.95</v>
      </c>
      <c r="AS244" s="122">
        <v>1</v>
      </c>
      <c r="AT244" s="122">
        <v>4318.5668500000002</v>
      </c>
      <c r="AU244" s="122">
        <v>4318.5668500000002</v>
      </c>
      <c r="AV244" s="122"/>
      <c r="AW244" s="122"/>
      <c r="AX244" s="120"/>
      <c r="AY244" s="120"/>
      <c r="AZ244" s="123">
        <v>1.647E-3</v>
      </c>
      <c r="BA244" s="123">
        <v>7.2000000000000002E-5</v>
      </c>
    </row>
    <row r="245" spans="1:53" ht="15" customHeight="1">
      <c r="A245" s="121">
        <v>313</v>
      </c>
      <c r="B245" s="121">
        <v>313</v>
      </c>
      <c r="C245" s="121"/>
      <c r="D245" s="120"/>
      <c r="E245" s="120"/>
      <c r="F245" s="121">
        <v>50000327</v>
      </c>
      <c r="G245" s="120" t="s">
        <v>1013</v>
      </c>
      <c r="H245" s="120" t="s">
        <v>812</v>
      </c>
      <c r="I245" s="120" t="s">
        <v>203</v>
      </c>
      <c r="J245" s="120"/>
      <c r="K245" s="120" t="s">
        <v>446</v>
      </c>
      <c r="L245" s="120" t="s">
        <v>338</v>
      </c>
      <c r="M245" s="120" t="s">
        <v>337</v>
      </c>
      <c r="N245" s="121"/>
      <c r="O245" s="124">
        <v>43675</v>
      </c>
      <c r="P245" s="120" t="s">
        <v>1297</v>
      </c>
      <c r="Q245" s="120" t="s">
        <v>414</v>
      </c>
      <c r="R245" s="120" t="s">
        <v>407</v>
      </c>
      <c r="S245" s="120" t="s">
        <v>1217</v>
      </c>
      <c r="T245" s="122">
        <v>7.54</v>
      </c>
      <c r="U245" s="120" t="s">
        <v>2560</v>
      </c>
      <c r="V245" s="123">
        <v>2.9756999999999999E-2</v>
      </c>
      <c r="W245" s="120"/>
      <c r="X245" s="120"/>
      <c r="Y245" s="123"/>
      <c r="Z245" s="123">
        <v>3.8100000000000002E-2</v>
      </c>
      <c r="AA245" s="124">
        <v>50770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45473</v>
      </c>
      <c r="AO245" s="120"/>
      <c r="AP245" s="123"/>
      <c r="AQ245" s="122">
        <v>35507497.600000001</v>
      </c>
      <c r="AR245" s="122">
        <v>106.06</v>
      </c>
      <c r="AS245" s="122">
        <v>1</v>
      </c>
      <c r="AT245" s="122">
        <v>37659.251949999998</v>
      </c>
      <c r="AU245" s="122">
        <v>37659.251949999998</v>
      </c>
      <c r="AV245" s="122"/>
      <c r="AW245" s="122"/>
      <c r="AX245" s="120"/>
      <c r="AY245" s="120"/>
      <c r="AZ245" s="123">
        <v>1.4362E-2</v>
      </c>
      <c r="BA245" s="123">
        <v>6.3100000000000005E-4</v>
      </c>
    </row>
    <row r="246" spans="1:53" ht="15" customHeight="1">
      <c r="A246" s="121">
        <v>313</v>
      </c>
      <c r="B246" s="121">
        <v>313</v>
      </c>
      <c r="C246" s="121"/>
      <c r="D246" s="120"/>
      <c r="E246" s="120"/>
      <c r="F246" s="121">
        <v>50000348</v>
      </c>
      <c r="G246" s="120" t="s">
        <v>1013</v>
      </c>
      <c r="H246" s="120" t="s">
        <v>818</v>
      </c>
      <c r="I246" s="120" t="s">
        <v>203</v>
      </c>
      <c r="J246" s="120"/>
      <c r="K246" s="120" t="s">
        <v>450</v>
      </c>
      <c r="L246" s="120" t="s">
        <v>338</v>
      </c>
      <c r="M246" s="120" t="s">
        <v>338</v>
      </c>
      <c r="N246" s="121"/>
      <c r="O246" s="124">
        <v>43692</v>
      </c>
      <c r="P246" s="120" t="s">
        <v>1932</v>
      </c>
      <c r="Q246" s="120" t="s">
        <v>412</v>
      </c>
      <c r="R246" s="120" t="s">
        <v>407</v>
      </c>
      <c r="S246" s="120" t="s">
        <v>1217</v>
      </c>
      <c r="T246" s="122">
        <v>3.25</v>
      </c>
      <c r="U246" s="120" t="s">
        <v>2560</v>
      </c>
      <c r="V246" s="123">
        <v>3.0099999999999998E-2</v>
      </c>
      <c r="W246" s="120"/>
      <c r="X246" s="120"/>
      <c r="Y246" s="123"/>
      <c r="Z246" s="123">
        <v>6.0699999999999997E-2</v>
      </c>
      <c r="AA246" s="124">
        <v>48075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45473</v>
      </c>
      <c r="AO246" s="120"/>
      <c r="AP246" s="123"/>
      <c r="AQ246" s="122">
        <v>31515750</v>
      </c>
      <c r="AR246" s="122">
        <v>91.19</v>
      </c>
      <c r="AS246" s="122">
        <v>1</v>
      </c>
      <c r="AT246" s="122">
        <v>28739.21243</v>
      </c>
      <c r="AU246" s="122">
        <v>28739.21243</v>
      </c>
      <c r="AV246" s="122"/>
      <c r="AW246" s="122"/>
      <c r="AX246" s="120"/>
      <c r="AY246" s="120"/>
      <c r="AZ246" s="123">
        <v>1.0959999999999999E-2</v>
      </c>
      <c r="BA246" s="123">
        <v>4.8200000000000001E-4</v>
      </c>
    </row>
    <row r="247" spans="1:53" ht="15" customHeight="1">
      <c r="A247" s="121">
        <v>313</v>
      </c>
      <c r="B247" s="121">
        <v>313</v>
      </c>
      <c r="C247" s="121"/>
      <c r="D247" s="120"/>
      <c r="E247" s="120"/>
      <c r="F247" s="121">
        <v>50000910</v>
      </c>
      <c r="G247" s="120" t="s">
        <v>1013</v>
      </c>
      <c r="H247" s="120" t="s">
        <v>818</v>
      </c>
      <c r="I247" s="120" t="s">
        <v>203</v>
      </c>
      <c r="J247" s="120"/>
      <c r="K247" s="120" t="s">
        <v>446</v>
      </c>
      <c r="L247" s="120" t="s">
        <v>338</v>
      </c>
      <c r="M247" s="120" t="s">
        <v>338</v>
      </c>
      <c r="N247" s="121"/>
      <c r="O247" s="124">
        <v>45098</v>
      </c>
      <c r="P247" s="120" t="s">
        <v>1340</v>
      </c>
      <c r="Q247" s="120" t="s">
        <v>414</v>
      </c>
      <c r="R247" s="120" t="s">
        <v>407</v>
      </c>
      <c r="S247" s="120" t="s">
        <v>1217</v>
      </c>
      <c r="T247" s="122">
        <v>3</v>
      </c>
      <c r="U247" s="120" t="s">
        <v>2560</v>
      </c>
      <c r="V247" s="123">
        <v>5.1737999999999999E-2</v>
      </c>
      <c r="W247" s="120"/>
      <c r="X247" s="120"/>
      <c r="Y247" s="123"/>
      <c r="Z247" s="123">
        <v>5.7000000000000002E-2</v>
      </c>
      <c r="AA247" s="124">
        <v>47382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45473</v>
      </c>
      <c r="AO247" s="120"/>
      <c r="AP247" s="123"/>
      <c r="AQ247" s="122">
        <v>11500000</v>
      </c>
      <c r="AR247" s="122">
        <v>101.55</v>
      </c>
      <c r="AS247" s="122">
        <v>1</v>
      </c>
      <c r="AT247" s="122">
        <v>11678.25</v>
      </c>
      <c r="AU247" s="122">
        <v>11678.25</v>
      </c>
      <c r="AV247" s="122"/>
      <c r="AW247" s="122"/>
      <c r="AX247" s="120"/>
      <c r="AY247" s="120"/>
      <c r="AZ247" s="123">
        <v>4.4530000000000004E-3</v>
      </c>
      <c r="BA247" s="123">
        <v>1.95E-4</v>
      </c>
    </row>
    <row r="248" spans="1:53" ht="15" customHeight="1">
      <c r="A248" s="121">
        <v>313</v>
      </c>
      <c r="B248" s="121">
        <v>313</v>
      </c>
      <c r="C248" s="121"/>
      <c r="D248" s="120"/>
      <c r="E248" s="120"/>
      <c r="F248" s="121">
        <v>50000398</v>
      </c>
      <c r="G248" s="120" t="s">
        <v>1013</v>
      </c>
      <c r="H248" s="120" t="s">
        <v>812</v>
      </c>
      <c r="I248" s="120" t="s">
        <v>203</v>
      </c>
      <c r="J248" s="120"/>
      <c r="K248" s="120" t="s">
        <v>446</v>
      </c>
      <c r="L248" s="120" t="s">
        <v>338</v>
      </c>
      <c r="M248" s="120" t="s">
        <v>337</v>
      </c>
      <c r="N248" s="121"/>
      <c r="O248" s="124">
        <v>44280</v>
      </c>
      <c r="P248" s="120" t="s">
        <v>1297</v>
      </c>
      <c r="Q248" s="120" t="s">
        <v>414</v>
      </c>
      <c r="R248" s="120" t="s">
        <v>407</v>
      </c>
      <c r="S248" s="120" t="s">
        <v>1217</v>
      </c>
      <c r="T248" s="122">
        <v>10.09</v>
      </c>
      <c r="U248" s="120" t="s">
        <v>2560</v>
      </c>
      <c r="V248" s="123">
        <v>0.03</v>
      </c>
      <c r="W248" s="120"/>
      <c r="X248" s="120"/>
      <c r="Y248" s="123"/>
      <c r="Z248" s="123">
        <v>4.1599999999999998E-2</v>
      </c>
      <c r="AA248" s="124">
        <v>54239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45473</v>
      </c>
      <c r="AO248" s="120"/>
      <c r="AP248" s="123"/>
      <c r="AQ248" s="122">
        <v>80006055.719999999</v>
      </c>
      <c r="AR248" s="122">
        <v>101.34</v>
      </c>
      <c r="AS248" s="122">
        <v>1</v>
      </c>
      <c r="AT248" s="122">
        <v>81078.136870000002</v>
      </c>
      <c r="AU248" s="122">
        <v>81078.136870000002</v>
      </c>
      <c r="AV248" s="122"/>
      <c r="AW248" s="122"/>
      <c r="AX248" s="120"/>
      <c r="AY248" s="120"/>
      <c r="AZ248" s="123">
        <v>3.0921000000000001E-2</v>
      </c>
      <c r="BA248" s="123">
        <v>1.3600000000000001E-3</v>
      </c>
    </row>
    <row r="249" spans="1:53" ht="15" customHeight="1">
      <c r="A249" s="121">
        <v>313</v>
      </c>
      <c r="B249" s="121">
        <v>313</v>
      </c>
      <c r="C249" s="121"/>
      <c r="D249" s="120"/>
      <c r="E249" s="120"/>
      <c r="F249" s="121">
        <v>50000405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338</v>
      </c>
      <c r="N249" s="121"/>
      <c r="O249" s="124">
        <v>43422</v>
      </c>
      <c r="P249" s="120" t="s">
        <v>2561</v>
      </c>
      <c r="Q249" s="120" t="s">
        <v>414</v>
      </c>
      <c r="R249" s="120" t="s">
        <v>407</v>
      </c>
      <c r="S249" s="120" t="s">
        <v>1217</v>
      </c>
      <c r="T249" s="122">
        <v>6.92</v>
      </c>
      <c r="U249" s="120" t="s">
        <v>2560</v>
      </c>
      <c r="V249" s="123">
        <v>3.4500000000000003E-2</v>
      </c>
      <c r="W249" s="120"/>
      <c r="X249" s="120"/>
      <c r="Y249" s="123"/>
      <c r="Z249" s="123">
        <v>3.61E-2</v>
      </c>
      <c r="AA249" s="124">
        <v>51134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45473</v>
      </c>
      <c r="AO249" s="120"/>
      <c r="AP249" s="123"/>
      <c r="AQ249" s="122">
        <v>271070.19</v>
      </c>
      <c r="AR249" s="122">
        <v>111.98</v>
      </c>
      <c r="AS249" s="122">
        <v>1</v>
      </c>
      <c r="AT249" s="122">
        <v>303.5444</v>
      </c>
      <c r="AU249" s="122">
        <v>303.5444</v>
      </c>
      <c r="AV249" s="122"/>
      <c r="AW249" s="122"/>
      <c r="AX249" s="120"/>
      <c r="AY249" s="120"/>
      <c r="AZ249" s="123">
        <v>1.15E-4</v>
      </c>
      <c r="BA249" s="123">
        <v>5.0000000000000004E-6</v>
      </c>
    </row>
    <row r="250" spans="1:53" ht="15" customHeight="1">
      <c r="A250" s="121">
        <v>313</v>
      </c>
      <c r="B250" s="121">
        <v>313</v>
      </c>
      <c r="C250" s="121"/>
      <c r="D250" s="120"/>
      <c r="E250" s="120"/>
      <c r="F250" s="121">
        <v>50000504</v>
      </c>
      <c r="G250" s="120" t="s">
        <v>1013</v>
      </c>
      <c r="H250" s="120" t="s">
        <v>812</v>
      </c>
      <c r="I250" s="120" t="s">
        <v>203</v>
      </c>
      <c r="J250" s="120"/>
      <c r="K250" s="120" t="s">
        <v>454</v>
      </c>
      <c r="L250" s="120" t="s">
        <v>338</v>
      </c>
      <c r="M250" s="120" t="s">
        <v>338</v>
      </c>
      <c r="N250" s="121"/>
      <c r="O250" s="124">
        <v>43422</v>
      </c>
      <c r="P250" s="120" t="s">
        <v>1340</v>
      </c>
      <c r="Q250" s="120" t="s">
        <v>414</v>
      </c>
      <c r="R250" s="120" t="s">
        <v>407</v>
      </c>
      <c r="S250" s="120" t="s">
        <v>1217</v>
      </c>
      <c r="T250" s="122">
        <v>6.92</v>
      </c>
      <c r="U250" s="120" t="s">
        <v>2560</v>
      </c>
      <c r="V250" s="123">
        <v>3.4500000000000003E-2</v>
      </c>
      <c r="W250" s="120"/>
      <c r="X250" s="120"/>
      <c r="Y250" s="123"/>
      <c r="Z250" s="123">
        <v>3.61E-2</v>
      </c>
      <c r="AA250" s="124">
        <v>51134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45473</v>
      </c>
      <c r="AO250" s="120"/>
      <c r="AP250" s="123"/>
      <c r="AQ250" s="122">
        <v>718406.37</v>
      </c>
      <c r="AR250" s="122">
        <v>111.98</v>
      </c>
      <c r="AS250" s="122">
        <v>1</v>
      </c>
      <c r="AT250" s="122">
        <v>804.47145</v>
      </c>
      <c r="AU250" s="122">
        <v>804.47145</v>
      </c>
      <c r="AV250" s="122"/>
      <c r="AW250" s="122"/>
      <c r="AX250" s="120"/>
      <c r="AY250" s="120"/>
      <c r="AZ250" s="123">
        <v>3.0600000000000001E-4</v>
      </c>
      <c r="BA250" s="123">
        <v>1.2999999999999999E-5</v>
      </c>
    </row>
    <row r="251" spans="1:53" ht="15" customHeight="1">
      <c r="A251" s="121">
        <v>313</v>
      </c>
      <c r="B251" s="121">
        <v>313</v>
      </c>
      <c r="C251" s="121"/>
      <c r="D251" s="120"/>
      <c r="E251" s="120"/>
      <c r="F251" s="121">
        <v>50000603</v>
      </c>
      <c r="G251" s="120" t="s">
        <v>1013</v>
      </c>
      <c r="H251" s="120" t="s">
        <v>812</v>
      </c>
      <c r="I251" s="120" t="s">
        <v>203</v>
      </c>
      <c r="J251" s="120"/>
      <c r="K251" s="120" t="s">
        <v>454</v>
      </c>
      <c r="L251" s="120" t="s">
        <v>338</v>
      </c>
      <c r="M251" s="120" t="s">
        <v>338</v>
      </c>
      <c r="N251" s="121"/>
      <c r="O251" s="124">
        <v>43422</v>
      </c>
      <c r="P251" s="120" t="s">
        <v>1340</v>
      </c>
      <c r="Q251" s="120" t="s">
        <v>414</v>
      </c>
      <c r="R251" s="120" t="s">
        <v>407</v>
      </c>
      <c r="S251" s="120" t="s">
        <v>1217</v>
      </c>
      <c r="T251" s="122">
        <v>6.93</v>
      </c>
      <c r="U251" s="120" t="s">
        <v>2560</v>
      </c>
      <c r="V251" s="123">
        <v>3.4500000000000003E-2</v>
      </c>
      <c r="W251" s="120"/>
      <c r="X251" s="120"/>
      <c r="Y251" s="123"/>
      <c r="Z251" s="123">
        <v>3.61E-2</v>
      </c>
      <c r="AA251" s="124">
        <v>51134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45473</v>
      </c>
      <c r="AO251" s="120"/>
      <c r="AP251" s="123"/>
      <c r="AQ251" s="122">
        <v>788096.77</v>
      </c>
      <c r="AR251" s="122">
        <v>111.98</v>
      </c>
      <c r="AS251" s="122">
        <v>1</v>
      </c>
      <c r="AT251" s="122">
        <v>882.51076</v>
      </c>
      <c r="AU251" s="122">
        <v>882.51076</v>
      </c>
      <c r="AV251" s="122"/>
      <c r="AW251" s="122"/>
      <c r="AX251" s="120"/>
      <c r="AY251" s="120"/>
      <c r="AZ251" s="123">
        <v>3.3599999999999998E-4</v>
      </c>
      <c r="BA251" s="123">
        <v>1.4E-5</v>
      </c>
    </row>
    <row r="252" spans="1:53" ht="15" customHeight="1">
      <c r="A252" s="121">
        <v>313</v>
      </c>
      <c r="B252" s="121">
        <v>313</v>
      </c>
      <c r="C252" s="121"/>
      <c r="D252" s="120"/>
      <c r="E252" s="120"/>
      <c r="F252" s="121">
        <v>50000700</v>
      </c>
      <c r="G252" s="120" t="s">
        <v>1013</v>
      </c>
      <c r="H252" s="120" t="s">
        <v>812</v>
      </c>
      <c r="I252" s="120" t="s">
        <v>203</v>
      </c>
      <c r="J252" s="120"/>
      <c r="K252" s="120" t="s">
        <v>439</v>
      </c>
      <c r="L252" s="120" t="s">
        <v>338</v>
      </c>
      <c r="M252" s="120" t="s">
        <v>337</v>
      </c>
      <c r="N252" s="121"/>
      <c r="O252" s="124">
        <v>43990</v>
      </c>
      <c r="P252" s="120" t="s">
        <v>409</v>
      </c>
      <c r="Q252" s="120" t="s">
        <v>409</v>
      </c>
      <c r="R252" s="120" t="s">
        <v>409</v>
      </c>
      <c r="S252" s="120" t="s">
        <v>1217</v>
      </c>
      <c r="T252" s="122">
        <v>5.68</v>
      </c>
      <c r="U252" s="120" t="s">
        <v>2560</v>
      </c>
      <c r="V252" s="123">
        <v>4.4999999999999998E-2</v>
      </c>
      <c r="W252" s="120"/>
      <c r="X252" s="120"/>
      <c r="Y252" s="123"/>
      <c r="Z252" s="123">
        <v>6.9400000000000003E-2</v>
      </c>
      <c r="AA252" s="124">
        <v>50399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45473</v>
      </c>
      <c r="AO252" s="120"/>
      <c r="AP252" s="123"/>
      <c r="AQ252" s="122">
        <v>1215447.7</v>
      </c>
      <c r="AR252" s="122">
        <v>99.44</v>
      </c>
      <c r="AS252" s="122">
        <v>1</v>
      </c>
      <c r="AT252" s="122">
        <v>1208.6411900000001</v>
      </c>
      <c r="AU252" s="122">
        <v>1208.6411900000001</v>
      </c>
      <c r="AV252" s="122"/>
      <c r="AW252" s="122"/>
      <c r="AX252" s="120"/>
      <c r="AY252" s="120"/>
      <c r="AZ252" s="123">
        <v>4.6000000000000001E-4</v>
      </c>
      <c r="BA252" s="123">
        <v>2.0000000000000002E-5</v>
      </c>
    </row>
    <row r="253" spans="1:53" ht="15" customHeight="1">
      <c r="A253" s="121">
        <v>313</v>
      </c>
      <c r="B253" s="121">
        <v>313</v>
      </c>
      <c r="C253" s="121"/>
      <c r="D253" s="120"/>
      <c r="E253" s="120"/>
      <c r="F253" s="121">
        <v>50000399</v>
      </c>
      <c r="G253" s="120" t="s">
        <v>1013</v>
      </c>
      <c r="H253" s="120" t="s">
        <v>812</v>
      </c>
      <c r="I253" s="120" t="s">
        <v>203</v>
      </c>
      <c r="J253" s="120"/>
      <c r="K253" s="120" t="s">
        <v>446</v>
      </c>
      <c r="L253" s="120" t="s">
        <v>338</v>
      </c>
      <c r="M253" s="120" t="s">
        <v>337</v>
      </c>
      <c r="N253" s="121"/>
      <c r="O253" s="124">
        <v>44280</v>
      </c>
      <c r="P253" s="120" t="s">
        <v>1297</v>
      </c>
      <c r="Q253" s="120" t="s">
        <v>414</v>
      </c>
      <c r="R253" s="120" t="s">
        <v>407</v>
      </c>
      <c r="S253" s="120" t="s">
        <v>1217</v>
      </c>
      <c r="T253" s="122">
        <v>10.09</v>
      </c>
      <c r="U253" s="120" t="s">
        <v>2560</v>
      </c>
      <c r="V253" s="123">
        <v>0.03</v>
      </c>
      <c r="W253" s="120"/>
      <c r="X253" s="120"/>
      <c r="Y253" s="123"/>
      <c r="Z253" s="123">
        <v>4.1599999999999998E-2</v>
      </c>
      <c r="AA253" s="124">
        <v>54239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45473</v>
      </c>
      <c r="AO253" s="120"/>
      <c r="AP253" s="123"/>
      <c r="AQ253" s="122">
        <v>5181901.0999999996</v>
      </c>
      <c r="AR253" s="122">
        <v>101.34</v>
      </c>
      <c r="AS253" s="122">
        <v>1</v>
      </c>
      <c r="AT253" s="122">
        <v>5251.3385699999999</v>
      </c>
      <c r="AU253" s="122">
        <v>5251.3385699999999</v>
      </c>
      <c r="AV253" s="122"/>
      <c r="AW253" s="122"/>
      <c r="AX253" s="120"/>
      <c r="AY253" s="120"/>
      <c r="AZ253" s="123">
        <v>2.0019999999999999E-3</v>
      </c>
      <c r="BA253" s="123">
        <v>8.7999999999999998E-5</v>
      </c>
    </row>
    <row r="254" spans="1:53" ht="15" customHeight="1">
      <c r="A254" s="121">
        <v>313</v>
      </c>
      <c r="B254" s="121">
        <v>313</v>
      </c>
      <c r="C254" s="121"/>
      <c r="D254" s="120"/>
      <c r="E254" s="120"/>
      <c r="F254" s="121">
        <v>46003</v>
      </c>
      <c r="G254" s="120" t="s">
        <v>1013</v>
      </c>
      <c r="H254" s="120" t="s">
        <v>812</v>
      </c>
      <c r="I254" s="120" t="s">
        <v>203</v>
      </c>
      <c r="J254" s="120"/>
      <c r="K254" s="120" t="s">
        <v>439</v>
      </c>
      <c r="L254" s="120" t="s">
        <v>338</v>
      </c>
      <c r="M254" s="120" t="s">
        <v>338</v>
      </c>
      <c r="N254" s="121"/>
      <c r="O254" s="124">
        <v>42241</v>
      </c>
      <c r="P254" s="120" t="s">
        <v>409</v>
      </c>
      <c r="Q254" s="120" t="s">
        <v>409</v>
      </c>
      <c r="R254" s="120" t="s">
        <v>409</v>
      </c>
      <c r="S254" s="120" t="s">
        <v>1217</v>
      </c>
      <c r="T254" s="122">
        <v>4.3899999999999997</v>
      </c>
      <c r="U254" s="120" t="s">
        <v>2560</v>
      </c>
      <c r="V254" s="123">
        <v>3.8138999999999999E-2</v>
      </c>
      <c r="W254" s="120"/>
      <c r="X254" s="120"/>
      <c r="Y254" s="123"/>
      <c r="Z254" s="123">
        <v>2.92E-2</v>
      </c>
      <c r="AA254" s="124">
        <v>48944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45473</v>
      </c>
      <c r="AO254" s="120"/>
      <c r="AP254" s="123"/>
      <c r="AQ254" s="122">
        <v>3537491.94</v>
      </c>
      <c r="AR254" s="122">
        <v>118.06</v>
      </c>
      <c r="AS254" s="122">
        <v>1</v>
      </c>
      <c r="AT254" s="122">
        <v>4176.3629799999999</v>
      </c>
      <c r="AU254" s="122">
        <v>4176.3629799999999</v>
      </c>
      <c r="AV254" s="122"/>
      <c r="AW254" s="122"/>
      <c r="AX254" s="120"/>
      <c r="AY254" s="120"/>
      <c r="AZ254" s="123">
        <v>1.5920000000000001E-3</v>
      </c>
      <c r="BA254" s="123">
        <v>6.9999999999999994E-5</v>
      </c>
    </row>
    <row r="255" spans="1:53" ht="15" customHeight="1">
      <c r="A255" s="121">
        <v>313</v>
      </c>
      <c r="B255" s="121">
        <v>313</v>
      </c>
      <c r="C255" s="121"/>
      <c r="D255" s="120"/>
      <c r="E255" s="120"/>
      <c r="F255" s="121">
        <v>50000970</v>
      </c>
      <c r="G255" s="120" t="s">
        <v>1013</v>
      </c>
      <c r="H255" s="120" t="s">
        <v>812</v>
      </c>
      <c r="I255" s="120" t="s">
        <v>203</v>
      </c>
      <c r="J255" s="120"/>
      <c r="K255" s="120" t="s">
        <v>454</v>
      </c>
      <c r="L255" s="120" t="s">
        <v>338</v>
      </c>
      <c r="M255" s="120" t="s">
        <v>338</v>
      </c>
      <c r="N255" s="121"/>
      <c r="O255" s="124">
        <v>45007</v>
      </c>
      <c r="P255" s="120" t="s">
        <v>1334</v>
      </c>
      <c r="Q255" s="120" t="s">
        <v>414</v>
      </c>
      <c r="R255" s="120" t="s">
        <v>407</v>
      </c>
      <c r="S255" s="120" t="s">
        <v>1217</v>
      </c>
      <c r="T255" s="122">
        <v>8.19</v>
      </c>
      <c r="U255" s="120" t="s">
        <v>2560</v>
      </c>
      <c r="V255" s="123">
        <v>3.3309999999999999E-2</v>
      </c>
      <c r="W255" s="120"/>
      <c r="X255" s="120"/>
      <c r="Y255" s="123"/>
      <c r="Z255" s="123">
        <v>3.6900000000000002E-2</v>
      </c>
      <c r="AA255" s="124">
        <v>52412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45473</v>
      </c>
      <c r="AO255" s="120"/>
      <c r="AP255" s="123"/>
      <c r="AQ255" s="122">
        <v>247659.66</v>
      </c>
      <c r="AR255" s="122">
        <v>101.54</v>
      </c>
      <c r="AS255" s="122">
        <v>1</v>
      </c>
      <c r="AT255" s="122">
        <v>251.47362000000001</v>
      </c>
      <c r="AU255" s="122">
        <v>251.47362000000001</v>
      </c>
      <c r="AV255" s="122"/>
      <c r="AW255" s="122"/>
      <c r="AX255" s="120"/>
      <c r="AY255" s="120"/>
      <c r="AZ255" s="123">
        <v>9.5000000000000005E-5</v>
      </c>
      <c r="BA255" s="123">
        <v>3.9999999999999998E-6</v>
      </c>
    </row>
    <row r="256" spans="1:53" ht="15" customHeight="1">
      <c r="A256" s="121">
        <v>313</v>
      </c>
      <c r="B256" s="121">
        <v>313</v>
      </c>
      <c r="C256" s="121"/>
      <c r="D256" s="120"/>
      <c r="E256" s="120"/>
      <c r="F256" s="121">
        <v>50000974</v>
      </c>
      <c r="G256" s="120" t="s">
        <v>1013</v>
      </c>
      <c r="H256" s="120" t="s">
        <v>2562</v>
      </c>
      <c r="I256" s="120" t="s">
        <v>203</v>
      </c>
      <c r="J256" s="120"/>
      <c r="K256" s="120" t="s">
        <v>446</v>
      </c>
      <c r="L256" s="120" t="s">
        <v>338</v>
      </c>
      <c r="M256" s="120" t="s">
        <v>337</v>
      </c>
      <c r="N256" s="121"/>
      <c r="O256" s="124">
        <v>43926</v>
      </c>
      <c r="P256" s="120" t="s">
        <v>2561</v>
      </c>
      <c r="Q256" s="120" t="s">
        <v>414</v>
      </c>
      <c r="R256" s="120" t="s">
        <v>407</v>
      </c>
      <c r="S256" s="120" t="s">
        <v>1217</v>
      </c>
      <c r="T256" s="122">
        <v>8.33</v>
      </c>
      <c r="U256" s="120" t="s">
        <v>2560</v>
      </c>
      <c r="V256" s="123">
        <v>2.6499999999999999E-2</v>
      </c>
      <c r="W256" s="120"/>
      <c r="X256" s="120"/>
      <c r="Y256" s="123"/>
      <c r="Z256" s="123">
        <v>4.3099999999999999E-2</v>
      </c>
      <c r="AA256" s="124">
        <v>51940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45473</v>
      </c>
      <c r="AO256" s="120"/>
      <c r="AP256" s="123"/>
      <c r="AQ256" s="122">
        <v>10242728.619999999</v>
      </c>
      <c r="AR256" s="122">
        <v>99.22</v>
      </c>
      <c r="AS256" s="122">
        <v>1</v>
      </c>
      <c r="AT256" s="122">
        <v>10162.83534</v>
      </c>
      <c r="AU256" s="122">
        <v>10162.83534</v>
      </c>
      <c r="AV256" s="122"/>
      <c r="AW256" s="122"/>
      <c r="AX256" s="120"/>
      <c r="AY256" s="120"/>
      <c r="AZ256" s="123">
        <v>3.875E-3</v>
      </c>
      <c r="BA256" s="123">
        <v>1.7000000000000001E-4</v>
      </c>
    </row>
    <row r="257" spans="1:53" ht="15" customHeight="1">
      <c r="A257" s="121">
        <v>313</v>
      </c>
      <c r="B257" s="121">
        <v>313</v>
      </c>
      <c r="C257" s="121"/>
      <c r="D257" s="120"/>
      <c r="E257" s="120"/>
      <c r="F257" s="121">
        <v>50001006</v>
      </c>
      <c r="G257" s="120" t="s">
        <v>1013</v>
      </c>
      <c r="H257" s="120" t="s">
        <v>2562</v>
      </c>
      <c r="I257" s="120" t="s">
        <v>203</v>
      </c>
      <c r="J257" s="120"/>
      <c r="K257" s="120" t="s">
        <v>446</v>
      </c>
      <c r="L257" s="120" t="s">
        <v>338</v>
      </c>
      <c r="M257" s="120" t="s">
        <v>337</v>
      </c>
      <c r="N257" s="121"/>
      <c r="O257" s="124">
        <v>44312</v>
      </c>
      <c r="P257" s="120" t="s">
        <v>2561</v>
      </c>
      <c r="Q257" s="120" t="s">
        <v>414</v>
      </c>
      <c r="R257" s="120" t="s">
        <v>407</v>
      </c>
      <c r="S257" s="120" t="s">
        <v>1217</v>
      </c>
      <c r="T257" s="122">
        <v>18.72</v>
      </c>
      <c r="U257" s="120" t="s">
        <v>2560</v>
      </c>
      <c r="V257" s="123">
        <v>2.8784000000000001E-2</v>
      </c>
      <c r="W257" s="120"/>
      <c r="X257" s="120"/>
      <c r="Y257" s="123"/>
      <c r="Z257" s="123">
        <v>4.82E-2</v>
      </c>
      <c r="AA257" s="124">
        <v>52305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45473</v>
      </c>
      <c r="AO257" s="120"/>
      <c r="AP257" s="123"/>
      <c r="AQ257" s="122">
        <v>74929.05</v>
      </c>
      <c r="AR257" s="122">
        <v>79.89</v>
      </c>
      <c r="AS257" s="122">
        <v>1</v>
      </c>
      <c r="AT257" s="122">
        <v>59.860819999999997</v>
      </c>
      <c r="AU257" s="122">
        <v>59.860819999999997</v>
      </c>
      <c r="AV257" s="122"/>
      <c r="AW257" s="122"/>
      <c r="AX257" s="120"/>
      <c r="AY257" s="120"/>
      <c r="AZ257" s="123">
        <v>2.1999999999999999E-5</v>
      </c>
      <c r="BA257" s="123">
        <v>9.9999999999999995E-7</v>
      </c>
    </row>
    <row r="258" spans="1:53" ht="15" customHeight="1">
      <c r="A258" s="121">
        <v>313</v>
      </c>
      <c r="B258" s="121">
        <v>313</v>
      </c>
      <c r="C258" s="121"/>
      <c r="D258" s="120"/>
      <c r="E258" s="120"/>
      <c r="F258" s="121">
        <v>50001008</v>
      </c>
      <c r="G258" s="120" t="s">
        <v>1013</v>
      </c>
      <c r="H258" s="120" t="s">
        <v>2562</v>
      </c>
      <c r="I258" s="120" t="s">
        <v>203</v>
      </c>
      <c r="J258" s="120"/>
      <c r="K258" s="120" t="s">
        <v>446</v>
      </c>
      <c r="L258" s="120" t="s">
        <v>338</v>
      </c>
      <c r="M258" s="120" t="s">
        <v>337</v>
      </c>
      <c r="N258" s="121"/>
      <c r="O258" s="124">
        <v>44336</v>
      </c>
      <c r="P258" s="120" t="s">
        <v>2561</v>
      </c>
      <c r="Q258" s="120" t="s">
        <v>414</v>
      </c>
      <c r="R258" s="120" t="s">
        <v>407</v>
      </c>
      <c r="S258" s="120" t="s">
        <v>1217</v>
      </c>
      <c r="T258" s="122">
        <v>8.3800000000000008</v>
      </c>
      <c r="U258" s="120" t="s">
        <v>2560</v>
      </c>
      <c r="V258" s="123">
        <v>2.1857999999999999E-2</v>
      </c>
      <c r="W258" s="120"/>
      <c r="X258" s="120"/>
      <c r="Y258" s="123"/>
      <c r="Z258" s="123">
        <v>4.5400000000000003E-2</v>
      </c>
      <c r="AA258" s="124">
        <v>51940</v>
      </c>
      <c r="AB258" s="120" t="s">
        <v>411</v>
      </c>
      <c r="AC258" s="120"/>
      <c r="AD258" s="122"/>
      <c r="AE258" s="123"/>
      <c r="AF258" s="124"/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45473</v>
      </c>
      <c r="AO258" s="120"/>
      <c r="AP258" s="123"/>
      <c r="AQ258" s="122">
        <v>222058.05</v>
      </c>
      <c r="AR258" s="122">
        <v>92.42</v>
      </c>
      <c r="AS258" s="122">
        <v>1</v>
      </c>
      <c r="AT258" s="122">
        <v>205.22604999999999</v>
      </c>
      <c r="AU258" s="122">
        <v>205.22604999999999</v>
      </c>
      <c r="AV258" s="122"/>
      <c r="AW258" s="122"/>
      <c r="AX258" s="120"/>
      <c r="AY258" s="120"/>
      <c r="AZ258" s="123">
        <v>7.7999999999999999E-5</v>
      </c>
      <c r="BA258" s="123">
        <v>3.0000000000000001E-6</v>
      </c>
    </row>
    <row r="259" spans="1:53" ht="15" customHeight="1">
      <c r="A259" s="121">
        <v>313</v>
      </c>
      <c r="B259" s="121">
        <v>313</v>
      </c>
      <c r="C259" s="121"/>
      <c r="D259" s="120"/>
      <c r="E259" s="120"/>
      <c r="F259" s="121">
        <v>50001009</v>
      </c>
      <c r="G259" s="120" t="s">
        <v>1013</v>
      </c>
      <c r="H259" s="120" t="s">
        <v>2562</v>
      </c>
      <c r="I259" s="120" t="s">
        <v>203</v>
      </c>
      <c r="J259" s="120"/>
      <c r="K259" s="120" t="s">
        <v>446</v>
      </c>
      <c r="L259" s="120" t="s">
        <v>338</v>
      </c>
      <c r="M259" s="120" t="s">
        <v>337</v>
      </c>
      <c r="N259" s="121"/>
      <c r="O259" s="124">
        <v>44336</v>
      </c>
      <c r="P259" s="120" t="s">
        <v>2561</v>
      </c>
      <c r="Q259" s="120" t="s">
        <v>414</v>
      </c>
      <c r="R259" s="120" t="s">
        <v>407</v>
      </c>
      <c r="S259" s="120" t="s">
        <v>1217</v>
      </c>
      <c r="T259" s="122">
        <v>18.72</v>
      </c>
      <c r="U259" s="120" t="s">
        <v>2560</v>
      </c>
      <c r="V259" s="123">
        <v>2.9763000000000001E-2</v>
      </c>
      <c r="W259" s="120"/>
      <c r="X259" s="120"/>
      <c r="Y259" s="123"/>
      <c r="Z259" s="123">
        <v>4.8500000000000001E-2</v>
      </c>
      <c r="AA259" s="124">
        <v>52305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45473</v>
      </c>
      <c r="AO259" s="120"/>
      <c r="AP259" s="123"/>
      <c r="AQ259" s="122">
        <v>202197.12</v>
      </c>
      <c r="AR259" s="122">
        <v>80.8</v>
      </c>
      <c r="AS259" s="122">
        <v>1</v>
      </c>
      <c r="AT259" s="122">
        <v>163.37527</v>
      </c>
      <c r="AU259" s="122">
        <v>163.37527</v>
      </c>
      <c r="AV259" s="122"/>
      <c r="AW259" s="122"/>
      <c r="AX259" s="120"/>
      <c r="AY259" s="120"/>
      <c r="AZ259" s="123">
        <v>6.2000000000000003E-5</v>
      </c>
      <c r="BA259" s="123">
        <v>1.9999999999999999E-6</v>
      </c>
    </row>
    <row r="260" spans="1:53" ht="15" customHeight="1">
      <c r="A260" s="121">
        <v>313</v>
      </c>
      <c r="B260" s="121">
        <v>313</v>
      </c>
      <c r="C260" s="121"/>
      <c r="D260" s="120"/>
      <c r="E260" s="120"/>
      <c r="F260" s="121">
        <v>50001011</v>
      </c>
      <c r="G260" s="120" t="s">
        <v>1013</v>
      </c>
      <c r="H260" s="120" t="s">
        <v>2562</v>
      </c>
      <c r="I260" s="120" t="s">
        <v>203</v>
      </c>
      <c r="J260" s="120"/>
      <c r="K260" s="120" t="s">
        <v>446</v>
      </c>
      <c r="L260" s="120" t="s">
        <v>338</v>
      </c>
      <c r="M260" s="120" t="s">
        <v>337</v>
      </c>
      <c r="N260" s="121"/>
      <c r="O260" s="124">
        <v>44357</v>
      </c>
      <c r="P260" s="120" t="s">
        <v>2561</v>
      </c>
      <c r="Q260" s="120" t="s">
        <v>414</v>
      </c>
      <c r="R260" s="120" t="s">
        <v>407</v>
      </c>
      <c r="S260" s="120" t="s">
        <v>1217</v>
      </c>
      <c r="T260" s="122">
        <v>8.41</v>
      </c>
      <c r="U260" s="120" t="s">
        <v>2560</v>
      </c>
      <c r="V260" s="123">
        <v>2.1097999999999999E-2</v>
      </c>
      <c r="W260" s="120"/>
      <c r="X260" s="120"/>
      <c r="Y260" s="123"/>
      <c r="Z260" s="123">
        <v>4.53E-2</v>
      </c>
      <c r="AA260" s="124">
        <v>51940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45473</v>
      </c>
      <c r="AO260" s="120"/>
      <c r="AP260" s="123"/>
      <c r="AQ260" s="122">
        <v>148035.22</v>
      </c>
      <c r="AR260" s="122">
        <v>91.85</v>
      </c>
      <c r="AS260" s="122">
        <v>1</v>
      </c>
      <c r="AT260" s="122">
        <v>135.97035</v>
      </c>
      <c r="AU260" s="122">
        <v>135.97035</v>
      </c>
      <c r="AV260" s="122"/>
      <c r="AW260" s="122"/>
      <c r="AX260" s="120"/>
      <c r="AY260" s="120"/>
      <c r="AZ260" s="123">
        <v>5.1E-5</v>
      </c>
      <c r="BA260" s="123">
        <v>1.9999999999999999E-6</v>
      </c>
    </row>
    <row r="261" spans="1:53" ht="15" customHeight="1">
      <c r="A261" s="121">
        <v>313</v>
      </c>
      <c r="B261" s="121">
        <v>313</v>
      </c>
      <c r="C261" s="121"/>
      <c r="D261" s="120"/>
      <c r="E261" s="120"/>
      <c r="F261" s="121">
        <v>50001012</v>
      </c>
      <c r="G261" s="120" t="s">
        <v>1013</v>
      </c>
      <c r="H261" s="120" t="s">
        <v>2568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44357</v>
      </c>
      <c r="P261" s="120" t="s">
        <v>2561</v>
      </c>
      <c r="Q261" s="120" t="s">
        <v>414</v>
      </c>
      <c r="R261" s="120" t="s">
        <v>407</v>
      </c>
      <c r="S261" s="120" t="s">
        <v>1217</v>
      </c>
      <c r="T261" s="122">
        <v>18.72</v>
      </c>
      <c r="U261" s="120" t="s">
        <v>2560</v>
      </c>
      <c r="V261" s="123">
        <v>2.9551000000000001E-2</v>
      </c>
      <c r="W261" s="120"/>
      <c r="X261" s="120"/>
      <c r="Y261" s="123"/>
      <c r="Z261" s="123">
        <v>4.8500000000000001E-2</v>
      </c>
      <c r="AA261" s="124">
        <v>52305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45473</v>
      </c>
      <c r="AO261" s="120"/>
      <c r="AP261" s="123"/>
      <c r="AQ261" s="122">
        <v>134803.64000000001</v>
      </c>
      <c r="AR261" s="122">
        <v>80.48</v>
      </c>
      <c r="AS261" s="122">
        <v>1</v>
      </c>
      <c r="AT261" s="122">
        <v>108.48997</v>
      </c>
      <c r="AU261" s="122">
        <v>108.48997</v>
      </c>
      <c r="AV261" s="122"/>
      <c r="AW261" s="122"/>
      <c r="AX261" s="120"/>
      <c r="AY261" s="120"/>
      <c r="AZ261" s="123">
        <v>4.1E-5</v>
      </c>
      <c r="BA261" s="123">
        <v>9.9999999999999995E-7</v>
      </c>
    </row>
    <row r="262" spans="1:53" ht="15" customHeight="1">
      <c r="A262" s="121">
        <v>313</v>
      </c>
      <c r="B262" s="121">
        <v>313</v>
      </c>
      <c r="C262" s="121"/>
      <c r="D262" s="120"/>
      <c r="E262" s="120"/>
      <c r="F262" s="121">
        <v>50001014</v>
      </c>
      <c r="G262" s="120" t="s">
        <v>1013</v>
      </c>
      <c r="H262" s="120" t="s">
        <v>2562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44402</v>
      </c>
      <c r="P262" s="120" t="s">
        <v>2561</v>
      </c>
      <c r="Q262" s="120" t="s">
        <v>414</v>
      </c>
      <c r="R262" s="120" t="s">
        <v>407</v>
      </c>
      <c r="S262" s="120" t="s">
        <v>1217</v>
      </c>
      <c r="T262" s="122">
        <v>8.4</v>
      </c>
      <c r="U262" s="120" t="s">
        <v>2560</v>
      </c>
      <c r="V262" s="123">
        <v>2.1395000000000001E-2</v>
      </c>
      <c r="W262" s="120"/>
      <c r="X262" s="120"/>
      <c r="Y262" s="123"/>
      <c r="Z262" s="123">
        <v>4.4999999999999998E-2</v>
      </c>
      <c r="AA262" s="124">
        <v>51940</v>
      </c>
      <c r="AB262" s="120" t="s">
        <v>411</v>
      </c>
      <c r="AC262" s="120"/>
      <c r="AD262" s="122"/>
      <c r="AE262" s="123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45473</v>
      </c>
      <c r="AO262" s="120"/>
      <c r="AP262" s="123"/>
      <c r="AQ262" s="122">
        <v>412483.97</v>
      </c>
      <c r="AR262" s="122">
        <v>91.83</v>
      </c>
      <c r="AS262" s="122">
        <v>1</v>
      </c>
      <c r="AT262" s="122">
        <v>378.78402999999997</v>
      </c>
      <c r="AU262" s="122">
        <v>378.78402999999997</v>
      </c>
      <c r="AV262" s="122"/>
      <c r="AW262" s="122"/>
      <c r="AX262" s="120"/>
      <c r="AY262" s="120"/>
      <c r="AZ262" s="123">
        <v>1.44E-4</v>
      </c>
      <c r="BA262" s="123">
        <v>6.0000000000000002E-6</v>
      </c>
    </row>
    <row r="263" spans="1:53" ht="15" customHeight="1">
      <c r="A263" s="121">
        <v>313</v>
      </c>
      <c r="B263" s="121">
        <v>313</v>
      </c>
      <c r="C263" s="121"/>
      <c r="D263" s="120"/>
      <c r="E263" s="120"/>
      <c r="F263" s="121">
        <v>50001015</v>
      </c>
      <c r="G263" s="120" t="s">
        <v>1013</v>
      </c>
      <c r="H263" s="120" t="s">
        <v>2568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44402</v>
      </c>
      <c r="P263" s="120" t="s">
        <v>2561</v>
      </c>
      <c r="Q263" s="120" t="s">
        <v>414</v>
      </c>
      <c r="R263" s="120" t="s">
        <v>407</v>
      </c>
      <c r="S263" s="120" t="s">
        <v>1217</v>
      </c>
      <c r="T263" s="122">
        <v>18.72</v>
      </c>
      <c r="U263" s="120" t="s">
        <v>2560</v>
      </c>
      <c r="V263" s="123">
        <v>2.8568E-2</v>
      </c>
      <c r="W263" s="120"/>
      <c r="X263" s="120"/>
      <c r="Y263" s="123"/>
      <c r="Z263" s="123">
        <v>4.8399999999999999E-2</v>
      </c>
      <c r="AA263" s="124">
        <v>52305</v>
      </c>
      <c r="AB263" s="120" t="s">
        <v>411</v>
      </c>
      <c r="AC263" s="120"/>
      <c r="AD263" s="122"/>
      <c r="AE263" s="123"/>
      <c r="AF263" s="124"/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45473</v>
      </c>
      <c r="AO263" s="120"/>
      <c r="AP263" s="123"/>
      <c r="AQ263" s="122">
        <v>374009.59999999998</v>
      </c>
      <c r="AR263" s="122">
        <v>78.73</v>
      </c>
      <c r="AS263" s="122">
        <v>1</v>
      </c>
      <c r="AT263" s="122">
        <v>294.45776000000001</v>
      </c>
      <c r="AU263" s="122">
        <v>294.45776000000001</v>
      </c>
      <c r="AV263" s="122"/>
      <c r="AW263" s="122"/>
      <c r="AX263" s="120"/>
      <c r="AY263" s="120"/>
      <c r="AZ263" s="123">
        <v>1.12E-4</v>
      </c>
      <c r="BA263" s="123">
        <v>3.9999999999999998E-6</v>
      </c>
    </row>
    <row r="264" spans="1:53" ht="15" customHeight="1">
      <c r="A264" s="121">
        <v>313</v>
      </c>
      <c r="B264" s="121">
        <v>313</v>
      </c>
      <c r="C264" s="121"/>
      <c r="D264" s="120"/>
      <c r="E264" s="120"/>
      <c r="F264" s="121">
        <v>50001017</v>
      </c>
      <c r="G264" s="120" t="s">
        <v>1013</v>
      </c>
      <c r="H264" s="120" t="s">
        <v>2562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44426</v>
      </c>
      <c r="P264" s="120" t="s">
        <v>2561</v>
      </c>
      <c r="Q264" s="120" t="s">
        <v>414</v>
      </c>
      <c r="R264" s="120" t="s">
        <v>407</v>
      </c>
      <c r="S264" s="120" t="s">
        <v>1217</v>
      </c>
      <c r="T264" s="122">
        <v>8.43</v>
      </c>
      <c r="U264" s="120" t="s">
        <v>2560</v>
      </c>
      <c r="V264" s="123">
        <v>2.0329E-2</v>
      </c>
      <c r="W264" s="120"/>
      <c r="X264" s="120"/>
      <c r="Y264" s="123"/>
      <c r="Z264" s="123">
        <v>4.5100000000000001E-2</v>
      </c>
      <c r="AA264" s="124">
        <v>51940</v>
      </c>
      <c r="AB264" s="120" t="s">
        <v>411</v>
      </c>
      <c r="AC264" s="120"/>
      <c r="AD264" s="122"/>
      <c r="AE264" s="123"/>
      <c r="AF264" s="124"/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45473</v>
      </c>
      <c r="AO264" s="120"/>
      <c r="AP264" s="123"/>
      <c r="AQ264" s="122">
        <v>232222.51</v>
      </c>
      <c r="AR264" s="122">
        <v>90.47</v>
      </c>
      <c r="AS264" s="122">
        <v>1</v>
      </c>
      <c r="AT264" s="122">
        <v>210.0917</v>
      </c>
      <c r="AU264" s="122">
        <v>210.0917</v>
      </c>
      <c r="AV264" s="122"/>
      <c r="AW264" s="122"/>
      <c r="AX264" s="120"/>
      <c r="AY264" s="120"/>
      <c r="AZ264" s="123">
        <v>8.0000000000000007E-5</v>
      </c>
      <c r="BA264" s="123">
        <v>3.0000000000000001E-6</v>
      </c>
    </row>
    <row r="265" spans="1:53" ht="15" customHeight="1">
      <c r="A265" s="121">
        <v>313</v>
      </c>
      <c r="B265" s="121">
        <v>313</v>
      </c>
      <c r="C265" s="121"/>
      <c r="D265" s="120"/>
      <c r="E265" s="120"/>
      <c r="F265" s="121">
        <v>50001018</v>
      </c>
      <c r="G265" s="120" t="s">
        <v>1013</v>
      </c>
      <c r="H265" s="120" t="s">
        <v>2568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44426</v>
      </c>
      <c r="P265" s="120" t="s">
        <v>2561</v>
      </c>
      <c r="Q265" s="120" t="s">
        <v>414</v>
      </c>
      <c r="R265" s="120" t="s">
        <v>407</v>
      </c>
      <c r="S265" s="120" t="s">
        <v>1217</v>
      </c>
      <c r="T265" s="122">
        <v>18.72</v>
      </c>
      <c r="U265" s="120" t="s">
        <v>2560</v>
      </c>
      <c r="V265" s="123">
        <v>2.8376999999999999E-2</v>
      </c>
      <c r="W265" s="120"/>
      <c r="X265" s="120"/>
      <c r="Y265" s="123"/>
      <c r="Z265" s="123">
        <v>4.8300000000000003E-2</v>
      </c>
      <c r="AA265" s="124">
        <v>52305</v>
      </c>
      <c r="AB265" s="120" t="s">
        <v>411</v>
      </c>
      <c r="AC265" s="120"/>
      <c r="AD265" s="122"/>
      <c r="AE265" s="123"/>
      <c r="AF265" s="124"/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45473</v>
      </c>
      <c r="AO265" s="120"/>
      <c r="AP265" s="123"/>
      <c r="AQ265" s="122">
        <v>210649.11</v>
      </c>
      <c r="AR265" s="122">
        <v>78.260000000000005</v>
      </c>
      <c r="AS265" s="122">
        <v>1</v>
      </c>
      <c r="AT265" s="122">
        <v>164.85399000000001</v>
      </c>
      <c r="AU265" s="122">
        <v>164.85399000000001</v>
      </c>
      <c r="AV265" s="122"/>
      <c r="AW265" s="122"/>
      <c r="AX265" s="120"/>
      <c r="AY265" s="120"/>
      <c r="AZ265" s="123">
        <v>6.2000000000000003E-5</v>
      </c>
      <c r="BA265" s="123">
        <v>1.9999999999999999E-6</v>
      </c>
    </row>
    <row r="266" spans="1:53" ht="15" customHeight="1">
      <c r="A266" s="121">
        <v>313</v>
      </c>
      <c r="B266" s="121">
        <v>313</v>
      </c>
      <c r="C266" s="121"/>
      <c r="D266" s="120"/>
      <c r="E266" s="120"/>
      <c r="F266" s="121">
        <v>50001005</v>
      </c>
      <c r="G266" s="120" t="s">
        <v>1013</v>
      </c>
      <c r="H266" s="120" t="s">
        <v>2562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44312</v>
      </c>
      <c r="P266" s="120" t="s">
        <v>2561</v>
      </c>
      <c r="Q266" s="120" t="s">
        <v>414</v>
      </c>
      <c r="R266" s="120" t="s">
        <v>407</v>
      </c>
      <c r="S266" s="120" t="s">
        <v>1217</v>
      </c>
      <c r="T266" s="122">
        <v>8.35</v>
      </c>
      <c r="U266" s="120" t="s">
        <v>2560</v>
      </c>
      <c r="V266" s="123">
        <v>2.3333E-2</v>
      </c>
      <c r="W266" s="120"/>
      <c r="X266" s="120"/>
      <c r="Y266" s="123"/>
      <c r="Z266" s="123">
        <v>4.5199999999999997E-2</v>
      </c>
      <c r="AA266" s="124">
        <v>51940</v>
      </c>
      <c r="AB266" s="120" t="s">
        <v>411</v>
      </c>
      <c r="AC266" s="120"/>
      <c r="AD266" s="122"/>
      <c r="AE266" s="123"/>
      <c r="AF266" s="124"/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45473</v>
      </c>
      <c r="AO266" s="120"/>
      <c r="AP266" s="123"/>
      <c r="AQ266" s="122">
        <v>82699.06</v>
      </c>
      <c r="AR266" s="122">
        <v>94.17</v>
      </c>
      <c r="AS266" s="122">
        <v>1</v>
      </c>
      <c r="AT266" s="122">
        <v>77.877700000000004</v>
      </c>
      <c r="AU266" s="122">
        <v>77.877700000000004</v>
      </c>
      <c r="AV266" s="122"/>
      <c r="AW266" s="122"/>
      <c r="AX266" s="120"/>
      <c r="AY266" s="120"/>
      <c r="AZ266" s="123">
        <v>2.9E-5</v>
      </c>
      <c r="BA266" s="123">
        <v>9.9999999999999995E-7</v>
      </c>
    </row>
    <row r="267" spans="1:53" ht="15" customHeight="1">
      <c r="A267" s="121">
        <v>313</v>
      </c>
      <c r="B267" s="121">
        <v>313</v>
      </c>
      <c r="C267" s="121"/>
      <c r="D267" s="120"/>
      <c r="E267" s="120"/>
      <c r="F267" s="121">
        <v>50001003</v>
      </c>
      <c r="G267" s="120" t="s">
        <v>1013</v>
      </c>
      <c r="H267" s="120" t="s">
        <v>2562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44249</v>
      </c>
      <c r="P267" s="120" t="s">
        <v>2561</v>
      </c>
      <c r="Q267" s="120" t="s">
        <v>414</v>
      </c>
      <c r="R267" s="120" t="s">
        <v>407</v>
      </c>
      <c r="S267" s="120" t="s">
        <v>1217</v>
      </c>
      <c r="T267" s="122">
        <v>18.72</v>
      </c>
      <c r="U267" s="120" t="s">
        <v>2560</v>
      </c>
      <c r="V267" s="123">
        <v>2.8549999999999999E-2</v>
      </c>
      <c r="W267" s="120"/>
      <c r="X267" s="120"/>
      <c r="Y267" s="123"/>
      <c r="Z267" s="123">
        <v>4.7600000000000003E-2</v>
      </c>
      <c r="AA267" s="124">
        <v>52305</v>
      </c>
      <c r="AB267" s="120" t="s">
        <v>411</v>
      </c>
      <c r="AC267" s="120"/>
      <c r="AD267" s="122"/>
      <c r="AE267" s="123"/>
      <c r="AF267" s="124"/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45473</v>
      </c>
      <c r="AO267" s="120"/>
      <c r="AP267" s="123"/>
      <c r="AQ267" s="122">
        <v>120501.01</v>
      </c>
      <c r="AR267" s="122">
        <v>81.14</v>
      </c>
      <c r="AS267" s="122">
        <v>1</v>
      </c>
      <c r="AT267" s="122">
        <v>97.774519999999995</v>
      </c>
      <c r="AU267" s="122">
        <v>97.774519999999995</v>
      </c>
      <c r="AV267" s="122"/>
      <c r="AW267" s="122"/>
      <c r="AX267" s="120"/>
      <c r="AY267" s="120"/>
      <c r="AZ267" s="123">
        <v>3.6999999999999998E-5</v>
      </c>
      <c r="BA267" s="123">
        <v>9.9999999999999995E-7</v>
      </c>
    </row>
    <row r="268" spans="1:53" ht="15" customHeight="1">
      <c r="A268" s="121">
        <v>313</v>
      </c>
      <c r="B268" s="121">
        <v>313</v>
      </c>
      <c r="C268" s="121"/>
      <c r="D268" s="120"/>
      <c r="E268" s="120"/>
      <c r="F268" s="121">
        <v>50001002</v>
      </c>
      <c r="G268" s="120" t="s">
        <v>1013</v>
      </c>
      <c r="H268" s="120" t="s">
        <v>2562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44249</v>
      </c>
      <c r="P268" s="120" t="s">
        <v>2561</v>
      </c>
      <c r="Q268" s="120" t="s">
        <v>414</v>
      </c>
      <c r="R268" s="120" t="s">
        <v>407</v>
      </c>
      <c r="S268" s="120" t="s">
        <v>1217</v>
      </c>
      <c r="T268" s="122">
        <v>8.3800000000000008</v>
      </c>
      <c r="U268" s="120" t="s">
        <v>2560</v>
      </c>
      <c r="V268" s="123">
        <v>2.2970000000000001E-2</v>
      </c>
      <c r="W268" s="120"/>
      <c r="X268" s="120"/>
      <c r="Y268" s="123"/>
      <c r="Z268" s="123">
        <v>4.4499999999999998E-2</v>
      </c>
      <c r="AA268" s="124">
        <v>51940</v>
      </c>
      <c r="AB268" s="120" t="s">
        <v>411</v>
      </c>
      <c r="AC268" s="120"/>
      <c r="AD268" s="122"/>
      <c r="AE268" s="123"/>
      <c r="AF268" s="124"/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45473</v>
      </c>
      <c r="AO268" s="120"/>
      <c r="AP268" s="123"/>
      <c r="AQ268" s="122">
        <v>133364.13</v>
      </c>
      <c r="AR268" s="122">
        <v>95.18</v>
      </c>
      <c r="AS268" s="122">
        <v>1</v>
      </c>
      <c r="AT268" s="122">
        <v>126.93598</v>
      </c>
      <c r="AU268" s="122">
        <v>126.93598</v>
      </c>
      <c r="AV268" s="122"/>
      <c r="AW268" s="122"/>
      <c r="AX268" s="120"/>
      <c r="AY268" s="120"/>
      <c r="AZ268" s="123">
        <v>4.8000000000000001E-5</v>
      </c>
      <c r="BA268" s="123">
        <v>1.9999999999999999E-6</v>
      </c>
    </row>
    <row r="269" spans="1:53" ht="15" customHeight="1">
      <c r="A269" s="121">
        <v>313</v>
      </c>
      <c r="B269" s="121">
        <v>313</v>
      </c>
      <c r="C269" s="121"/>
      <c r="D269" s="120"/>
      <c r="E269" s="120"/>
      <c r="F269" s="121">
        <v>50001000</v>
      </c>
      <c r="G269" s="120" t="s">
        <v>1013</v>
      </c>
      <c r="H269" s="120" t="s">
        <v>2562</v>
      </c>
      <c r="I269" s="120" t="s">
        <v>203</v>
      </c>
      <c r="J269" s="120"/>
      <c r="K269" s="120" t="s">
        <v>446</v>
      </c>
      <c r="L269" s="120" t="s">
        <v>338</v>
      </c>
      <c r="M269" s="120" t="s">
        <v>337</v>
      </c>
      <c r="N269" s="121"/>
      <c r="O269" s="124">
        <v>44221</v>
      </c>
      <c r="P269" s="120" t="s">
        <v>2561</v>
      </c>
      <c r="Q269" s="120" t="s">
        <v>414</v>
      </c>
      <c r="R269" s="120" t="s">
        <v>407</v>
      </c>
      <c r="S269" s="120" t="s">
        <v>1217</v>
      </c>
      <c r="T269" s="122">
        <v>18.72</v>
      </c>
      <c r="U269" s="120" t="s">
        <v>2560</v>
      </c>
      <c r="V269" s="123">
        <v>2.7025E-2</v>
      </c>
      <c r="W269" s="120"/>
      <c r="X269" s="120"/>
      <c r="Y269" s="123"/>
      <c r="Z269" s="123">
        <v>4.8000000000000001E-2</v>
      </c>
      <c r="AA269" s="124">
        <v>52305</v>
      </c>
      <c r="AB269" s="120" t="s">
        <v>411</v>
      </c>
      <c r="AC269" s="120"/>
      <c r="AD269" s="122"/>
      <c r="AE269" s="123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45473</v>
      </c>
      <c r="AO269" s="120"/>
      <c r="AP269" s="123"/>
      <c r="AQ269" s="122">
        <v>264780.12</v>
      </c>
      <c r="AR269" s="122">
        <v>78.239999999999995</v>
      </c>
      <c r="AS269" s="122">
        <v>1</v>
      </c>
      <c r="AT269" s="122">
        <v>207.16397000000001</v>
      </c>
      <c r="AU269" s="122">
        <v>207.16397000000001</v>
      </c>
      <c r="AV269" s="122"/>
      <c r="AW269" s="122"/>
      <c r="AX269" s="120"/>
      <c r="AY269" s="120"/>
      <c r="AZ269" s="123">
        <v>7.8999999999999996E-5</v>
      </c>
      <c r="BA269" s="123">
        <v>3.0000000000000001E-6</v>
      </c>
    </row>
    <row r="270" spans="1:53" ht="15" customHeight="1">
      <c r="A270" s="121">
        <v>313</v>
      </c>
      <c r="B270" s="121">
        <v>313</v>
      </c>
      <c r="C270" s="121"/>
      <c r="D270" s="120"/>
      <c r="E270" s="120"/>
      <c r="F270" s="121">
        <v>50000975</v>
      </c>
      <c r="G270" s="120" t="s">
        <v>1013</v>
      </c>
      <c r="H270" s="120" t="s">
        <v>2568</v>
      </c>
      <c r="I270" s="120" t="s">
        <v>203</v>
      </c>
      <c r="J270" s="120"/>
      <c r="K270" s="120" t="s">
        <v>446</v>
      </c>
      <c r="L270" s="120" t="s">
        <v>338</v>
      </c>
      <c r="M270" s="120" t="s">
        <v>337</v>
      </c>
      <c r="N270" s="121"/>
      <c r="O270" s="124">
        <v>45275</v>
      </c>
      <c r="P270" s="120" t="s">
        <v>2569</v>
      </c>
      <c r="Q270" s="120" t="s">
        <v>311</v>
      </c>
      <c r="R270" s="120" t="s">
        <v>407</v>
      </c>
      <c r="S270" s="120" t="s">
        <v>1217</v>
      </c>
      <c r="T270" s="122">
        <v>0.45</v>
      </c>
      <c r="U270" s="120" t="s">
        <v>824</v>
      </c>
      <c r="V270" s="123">
        <v>7.4999999999999997E-2</v>
      </c>
      <c r="W270" s="120"/>
      <c r="X270" s="120"/>
      <c r="Y270" s="123"/>
      <c r="Z270" s="123">
        <v>6.5699999999999995E-2</v>
      </c>
      <c r="AA270" s="124">
        <v>45641</v>
      </c>
      <c r="AB270" s="120" t="s">
        <v>411</v>
      </c>
      <c r="AC270" s="120"/>
      <c r="AD270" s="122"/>
      <c r="AE270" s="123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45473</v>
      </c>
      <c r="AO270" s="120"/>
      <c r="AP270" s="123"/>
      <c r="AQ270" s="122">
        <v>5245910.1399999997</v>
      </c>
      <c r="AR270" s="122">
        <v>100.78</v>
      </c>
      <c r="AS270" s="122">
        <v>1</v>
      </c>
      <c r="AT270" s="122">
        <v>5286.8282399999998</v>
      </c>
      <c r="AU270" s="122">
        <v>5286.8282399999998</v>
      </c>
      <c r="AV270" s="122"/>
      <c r="AW270" s="122"/>
      <c r="AX270" s="120"/>
      <c r="AY270" s="120"/>
      <c r="AZ270" s="123">
        <v>2.016E-3</v>
      </c>
      <c r="BA270" s="123">
        <v>8.7999999999999998E-5</v>
      </c>
    </row>
    <row r="271" spans="1:53" ht="15" customHeight="1">
      <c r="A271" s="121">
        <v>313</v>
      </c>
      <c r="B271" s="121">
        <v>313</v>
      </c>
      <c r="C271" s="121"/>
      <c r="D271" s="120"/>
      <c r="E271" s="120"/>
      <c r="F271" s="121">
        <v>50000986</v>
      </c>
      <c r="G271" s="120" t="s">
        <v>1013</v>
      </c>
      <c r="H271" s="120" t="s">
        <v>2562</v>
      </c>
      <c r="I271" s="120" t="s">
        <v>203</v>
      </c>
      <c r="J271" s="120"/>
      <c r="K271" s="120" t="s">
        <v>446</v>
      </c>
      <c r="L271" s="120" t="s">
        <v>338</v>
      </c>
      <c r="M271" s="120" t="s">
        <v>337</v>
      </c>
      <c r="N271" s="121"/>
      <c r="O271" s="124">
        <v>43958</v>
      </c>
      <c r="P271" s="120" t="s">
        <v>2561</v>
      </c>
      <c r="Q271" s="120" t="s">
        <v>414</v>
      </c>
      <c r="R271" s="120" t="s">
        <v>407</v>
      </c>
      <c r="S271" s="120" t="s">
        <v>1217</v>
      </c>
      <c r="T271" s="122">
        <v>18.72</v>
      </c>
      <c r="U271" s="120" t="s">
        <v>2560</v>
      </c>
      <c r="V271" s="123">
        <v>2.9579999999999999E-2</v>
      </c>
      <c r="W271" s="120"/>
      <c r="X271" s="120"/>
      <c r="Y271" s="123"/>
      <c r="Z271" s="123">
        <v>4.2700000000000002E-2</v>
      </c>
      <c r="AA271" s="124">
        <v>52305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45473</v>
      </c>
      <c r="AO271" s="120"/>
      <c r="AP271" s="123"/>
      <c r="AQ271" s="122">
        <v>389338.95</v>
      </c>
      <c r="AR271" s="122">
        <v>89.71</v>
      </c>
      <c r="AS271" s="122">
        <v>1</v>
      </c>
      <c r="AT271" s="122">
        <v>349.27596999999997</v>
      </c>
      <c r="AU271" s="122">
        <v>349.27596999999997</v>
      </c>
      <c r="AV271" s="122"/>
      <c r="AW271" s="122"/>
      <c r="AX271" s="120"/>
      <c r="AY271" s="120"/>
      <c r="AZ271" s="123">
        <v>1.3300000000000001E-4</v>
      </c>
      <c r="BA271" s="123">
        <v>5.0000000000000004E-6</v>
      </c>
    </row>
    <row r="272" spans="1:53" ht="15" customHeight="1">
      <c r="A272" s="121">
        <v>313</v>
      </c>
      <c r="B272" s="121">
        <v>313</v>
      </c>
      <c r="C272" s="121"/>
      <c r="D272" s="120"/>
      <c r="E272" s="120"/>
      <c r="F272" s="121">
        <v>50000987</v>
      </c>
      <c r="G272" s="120" t="s">
        <v>1013</v>
      </c>
      <c r="H272" s="120" t="s">
        <v>2562</v>
      </c>
      <c r="I272" s="120" t="s">
        <v>203</v>
      </c>
      <c r="J272" s="120"/>
      <c r="K272" s="120" t="s">
        <v>446</v>
      </c>
      <c r="L272" s="120" t="s">
        <v>338</v>
      </c>
      <c r="M272" s="120" t="s">
        <v>337</v>
      </c>
      <c r="N272" s="121"/>
      <c r="O272" s="124">
        <v>43958</v>
      </c>
      <c r="P272" s="120" t="s">
        <v>2561</v>
      </c>
      <c r="Q272" s="120" t="s">
        <v>414</v>
      </c>
      <c r="R272" s="120" t="s">
        <v>407</v>
      </c>
      <c r="S272" s="120" t="s">
        <v>1217</v>
      </c>
      <c r="T272" s="122">
        <v>8.4700000000000006</v>
      </c>
      <c r="U272" s="120" t="s">
        <v>2560</v>
      </c>
      <c r="V272" s="123">
        <v>2.4176E-2</v>
      </c>
      <c r="W272" s="120"/>
      <c r="X272" s="120"/>
      <c r="Y272" s="123"/>
      <c r="Z272" s="123">
        <v>3.9399999999999998E-2</v>
      </c>
      <c r="AA272" s="124">
        <v>51940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45473</v>
      </c>
      <c r="AO272" s="120"/>
      <c r="AP272" s="123"/>
      <c r="AQ272" s="122">
        <v>427012.09</v>
      </c>
      <c r="AR272" s="122">
        <v>99.62</v>
      </c>
      <c r="AS272" s="122">
        <v>1</v>
      </c>
      <c r="AT272" s="122">
        <v>425.38943999999998</v>
      </c>
      <c r="AU272" s="122">
        <v>425.38943999999998</v>
      </c>
      <c r="AV272" s="122"/>
      <c r="AW272" s="122"/>
      <c r="AX272" s="120"/>
      <c r="AY272" s="120"/>
      <c r="AZ272" s="123">
        <v>1.6200000000000001E-4</v>
      </c>
      <c r="BA272" s="123">
        <v>6.9999999999999999E-6</v>
      </c>
    </row>
    <row r="273" spans="1:53" ht="15" customHeight="1">
      <c r="A273" s="121">
        <v>313</v>
      </c>
      <c r="B273" s="121">
        <v>313</v>
      </c>
      <c r="C273" s="121"/>
      <c r="D273" s="120"/>
      <c r="E273" s="120"/>
      <c r="F273" s="121">
        <v>50000990</v>
      </c>
      <c r="G273" s="120" t="s">
        <v>1013</v>
      </c>
      <c r="H273" s="120" t="s">
        <v>2562</v>
      </c>
      <c r="I273" s="120" t="s">
        <v>203</v>
      </c>
      <c r="J273" s="120"/>
      <c r="K273" s="120" t="s">
        <v>446</v>
      </c>
      <c r="L273" s="120" t="s">
        <v>338</v>
      </c>
      <c r="M273" s="120" t="s">
        <v>337</v>
      </c>
      <c r="N273" s="121"/>
      <c r="O273" s="124">
        <v>44054</v>
      </c>
      <c r="P273" s="120" t="s">
        <v>2561</v>
      </c>
      <c r="Q273" s="120" t="s">
        <v>414</v>
      </c>
      <c r="R273" s="120" t="s">
        <v>407</v>
      </c>
      <c r="S273" s="120" t="s">
        <v>1217</v>
      </c>
      <c r="T273" s="122">
        <v>18.72</v>
      </c>
      <c r="U273" s="120" t="s">
        <v>2560</v>
      </c>
      <c r="V273" s="123">
        <v>2.8264999999999998E-2</v>
      </c>
      <c r="W273" s="120"/>
      <c r="X273" s="120"/>
      <c r="Y273" s="123"/>
      <c r="Z273" s="123">
        <v>4.3999999999999997E-2</v>
      </c>
      <c r="AA273" s="124">
        <v>52305</v>
      </c>
      <c r="AB273" s="120" t="s">
        <v>411</v>
      </c>
      <c r="AC273" s="120"/>
      <c r="AD273" s="122"/>
      <c r="AE273" s="123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45473</v>
      </c>
      <c r="AO273" s="120"/>
      <c r="AP273" s="123"/>
      <c r="AQ273" s="122">
        <v>101885.52</v>
      </c>
      <c r="AR273" s="122">
        <v>86.18</v>
      </c>
      <c r="AS273" s="122">
        <v>1</v>
      </c>
      <c r="AT273" s="122">
        <v>87.804940000000002</v>
      </c>
      <c r="AU273" s="122">
        <v>87.804940000000002</v>
      </c>
      <c r="AV273" s="122"/>
      <c r="AW273" s="122"/>
      <c r="AX273" s="120"/>
      <c r="AY273" s="120"/>
      <c r="AZ273" s="123">
        <v>3.3000000000000003E-5</v>
      </c>
      <c r="BA273" s="123">
        <v>9.9999999999999995E-7</v>
      </c>
    </row>
    <row r="274" spans="1:53" ht="15" customHeight="1">
      <c r="A274" s="121">
        <v>313</v>
      </c>
      <c r="B274" s="121">
        <v>313</v>
      </c>
      <c r="C274" s="121"/>
      <c r="D274" s="120"/>
      <c r="E274" s="120"/>
      <c r="F274" s="121">
        <v>50000973</v>
      </c>
      <c r="G274" s="120" t="s">
        <v>1013</v>
      </c>
      <c r="H274" s="120" t="s">
        <v>2562</v>
      </c>
      <c r="I274" s="120" t="s">
        <v>203</v>
      </c>
      <c r="J274" s="120"/>
      <c r="K274" s="120" t="s">
        <v>446</v>
      </c>
      <c r="L274" s="120" t="s">
        <v>338</v>
      </c>
      <c r="M274" s="120" t="s">
        <v>337</v>
      </c>
      <c r="N274" s="121"/>
      <c r="O274" s="124">
        <v>43926</v>
      </c>
      <c r="P274" s="120" t="s">
        <v>2561</v>
      </c>
      <c r="Q274" s="120" t="s">
        <v>414</v>
      </c>
      <c r="R274" s="120" t="s">
        <v>407</v>
      </c>
      <c r="S274" s="120" t="s">
        <v>1217</v>
      </c>
      <c r="T274" s="122">
        <v>18.72</v>
      </c>
      <c r="U274" s="120" t="s">
        <v>2560</v>
      </c>
      <c r="V274" s="123">
        <v>3.1800000000000002E-2</v>
      </c>
      <c r="W274" s="120"/>
      <c r="X274" s="120"/>
      <c r="Y274" s="123"/>
      <c r="Z274" s="123">
        <v>4.36E-2</v>
      </c>
      <c r="AA274" s="124">
        <v>52305</v>
      </c>
      <c r="AB274" s="120" t="s">
        <v>411</v>
      </c>
      <c r="AC274" s="120"/>
      <c r="AD274" s="122"/>
      <c r="AE274" s="123"/>
      <c r="AF274" s="124"/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45473</v>
      </c>
      <c r="AO274" s="120"/>
      <c r="AP274" s="123"/>
      <c r="AQ274" s="122">
        <v>9371657.8599999994</v>
      </c>
      <c r="AR274" s="122">
        <v>92.29</v>
      </c>
      <c r="AS274" s="122">
        <v>1</v>
      </c>
      <c r="AT274" s="122">
        <v>8649.10304</v>
      </c>
      <c r="AU274" s="122">
        <v>8649.10304</v>
      </c>
      <c r="AV274" s="122"/>
      <c r="AW274" s="122"/>
      <c r="AX274" s="120"/>
      <c r="AY274" s="120"/>
      <c r="AZ274" s="123">
        <v>3.2980000000000002E-3</v>
      </c>
      <c r="BA274" s="123">
        <v>1.45E-4</v>
      </c>
    </row>
    <row r="275" spans="1:53" ht="15" customHeight="1">
      <c r="A275" s="121">
        <v>313</v>
      </c>
      <c r="B275" s="121">
        <v>313</v>
      </c>
      <c r="C275" s="121"/>
      <c r="D275" s="120"/>
      <c r="E275" s="120"/>
      <c r="F275" s="121">
        <v>50000991</v>
      </c>
      <c r="G275" s="120" t="s">
        <v>1013</v>
      </c>
      <c r="H275" s="120" t="s">
        <v>2562</v>
      </c>
      <c r="I275" s="120" t="s">
        <v>203</v>
      </c>
      <c r="J275" s="120"/>
      <c r="K275" s="120" t="s">
        <v>446</v>
      </c>
      <c r="L275" s="120" t="s">
        <v>338</v>
      </c>
      <c r="M275" s="120" t="s">
        <v>337</v>
      </c>
      <c r="N275" s="121"/>
      <c r="O275" s="124">
        <v>44054</v>
      </c>
      <c r="P275" s="120" t="s">
        <v>2561</v>
      </c>
      <c r="Q275" s="120" t="s">
        <v>414</v>
      </c>
      <c r="R275" s="120" t="s">
        <v>407</v>
      </c>
      <c r="S275" s="120" t="s">
        <v>1217</v>
      </c>
      <c r="T275" s="122">
        <v>8.4700000000000006</v>
      </c>
      <c r="U275" s="120" t="s">
        <v>2560</v>
      </c>
      <c r="V275" s="123">
        <v>2.2419000000000001E-2</v>
      </c>
      <c r="W275" s="120"/>
      <c r="X275" s="120"/>
      <c r="Y275" s="123"/>
      <c r="Z275" s="123">
        <v>4.1200000000000001E-2</v>
      </c>
      <c r="AA275" s="124">
        <v>51940</v>
      </c>
      <c r="AB275" s="120" t="s">
        <v>411</v>
      </c>
      <c r="AC275" s="120"/>
      <c r="AD275" s="122"/>
      <c r="AE275" s="123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45473</v>
      </c>
      <c r="AO275" s="120"/>
      <c r="AP275" s="123"/>
      <c r="AQ275" s="122">
        <v>112004.5</v>
      </c>
      <c r="AR275" s="122">
        <v>97.26</v>
      </c>
      <c r="AS275" s="122">
        <v>1</v>
      </c>
      <c r="AT275" s="122">
        <v>108.93558</v>
      </c>
      <c r="AU275" s="122">
        <v>108.93558</v>
      </c>
      <c r="AV275" s="122"/>
      <c r="AW275" s="122"/>
      <c r="AX275" s="120"/>
      <c r="AY275" s="120"/>
      <c r="AZ275" s="123">
        <v>4.1E-5</v>
      </c>
      <c r="BA275" s="123">
        <v>9.9999999999999995E-7</v>
      </c>
    </row>
    <row r="276" spans="1:53" ht="15" customHeight="1">
      <c r="A276" s="121">
        <v>313</v>
      </c>
      <c r="B276" s="121">
        <v>313</v>
      </c>
      <c r="C276" s="121"/>
      <c r="D276" s="120"/>
      <c r="E276" s="120"/>
      <c r="F276" s="121">
        <v>50000994</v>
      </c>
      <c r="G276" s="120" t="s">
        <v>1013</v>
      </c>
      <c r="H276" s="120" t="s">
        <v>2562</v>
      </c>
      <c r="I276" s="120" t="s">
        <v>203</v>
      </c>
      <c r="J276" s="120"/>
      <c r="K276" s="120" t="s">
        <v>446</v>
      </c>
      <c r="L276" s="120" t="s">
        <v>338</v>
      </c>
      <c r="M276" s="120" t="s">
        <v>337</v>
      </c>
      <c r="N276" s="121"/>
      <c r="O276" s="124">
        <v>44088</v>
      </c>
      <c r="P276" s="120" t="s">
        <v>2561</v>
      </c>
      <c r="Q276" s="120" t="s">
        <v>414</v>
      </c>
      <c r="R276" s="120" t="s">
        <v>407</v>
      </c>
      <c r="S276" s="120" t="s">
        <v>1217</v>
      </c>
      <c r="T276" s="122">
        <v>18.72</v>
      </c>
      <c r="U276" s="120" t="s">
        <v>2560</v>
      </c>
      <c r="V276" s="123">
        <v>2.7421999999999998E-2</v>
      </c>
      <c r="W276" s="120"/>
      <c r="X276" s="120"/>
      <c r="Y276" s="123"/>
      <c r="Z276" s="123">
        <v>4.3799999999999999E-2</v>
      </c>
      <c r="AA276" s="124">
        <v>52305</v>
      </c>
      <c r="AB276" s="120" t="s">
        <v>411</v>
      </c>
      <c r="AC276" s="120"/>
      <c r="AD276" s="122"/>
      <c r="AE276" s="123"/>
      <c r="AF276" s="124"/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45473</v>
      </c>
      <c r="AO276" s="120"/>
      <c r="AP276" s="123"/>
      <c r="AQ276" s="122">
        <v>55107.09</v>
      </c>
      <c r="AR276" s="122">
        <v>84.84</v>
      </c>
      <c r="AS276" s="122">
        <v>1</v>
      </c>
      <c r="AT276" s="122">
        <v>46.752859999999998</v>
      </c>
      <c r="AU276" s="122">
        <v>46.752859999999998</v>
      </c>
      <c r="AV276" s="122"/>
      <c r="AW276" s="122"/>
      <c r="AX276" s="120"/>
      <c r="AY276" s="120"/>
      <c r="AZ276" s="123">
        <v>1.7E-5</v>
      </c>
      <c r="BA276" s="123">
        <v>0</v>
      </c>
    </row>
    <row r="277" spans="1:53" ht="15" customHeight="1">
      <c r="A277" s="121">
        <v>313</v>
      </c>
      <c r="B277" s="121">
        <v>313</v>
      </c>
      <c r="C277" s="121"/>
      <c r="D277" s="120"/>
      <c r="E277" s="120"/>
      <c r="F277" s="121">
        <v>50000996</v>
      </c>
      <c r="G277" s="120" t="s">
        <v>1013</v>
      </c>
      <c r="H277" s="120" t="s">
        <v>2562</v>
      </c>
      <c r="I277" s="120" t="s">
        <v>203</v>
      </c>
      <c r="J277" s="120"/>
      <c r="K277" s="120" t="s">
        <v>446</v>
      </c>
      <c r="L277" s="120" t="s">
        <v>338</v>
      </c>
      <c r="M277" s="120" t="s">
        <v>337</v>
      </c>
      <c r="N277" s="121"/>
      <c r="O277" s="124">
        <v>44187</v>
      </c>
      <c r="P277" s="120" t="s">
        <v>2561</v>
      </c>
      <c r="Q277" s="120" t="s">
        <v>414</v>
      </c>
      <c r="R277" s="120" t="s">
        <v>407</v>
      </c>
      <c r="S277" s="120" t="s">
        <v>1217</v>
      </c>
      <c r="T277" s="122">
        <v>8.36</v>
      </c>
      <c r="U277" s="120" t="s">
        <v>2560</v>
      </c>
      <c r="V277" s="123">
        <v>2.3164000000000001E-2</v>
      </c>
      <c r="W277" s="120"/>
      <c r="X277" s="120"/>
      <c r="Y277" s="123"/>
      <c r="Z277" s="123">
        <v>4.4999999999999998E-2</v>
      </c>
      <c r="AA277" s="124">
        <v>51940</v>
      </c>
      <c r="AB277" s="120" t="s">
        <v>411</v>
      </c>
      <c r="AC277" s="120"/>
      <c r="AD277" s="122"/>
      <c r="AE277" s="123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45473</v>
      </c>
      <c r="AO277" s="120"/>
      <c r="AP277" s="123"/>
      <c r="AQ277" s="122">
        <v>65122.73</v>
      </c>
      <c r="AR277" s="122">
        <v>94.79</v>
      </c>
      <c r="AS277" s="122">
        <v>1</v>
      </c>
      <c r="AT277" s="122">
        <v>61.729840000000003</v>
      </c>
      <c r="AU277" s="122">
        <v>61.729840000000003</v>
      </c>
      <c r="AV277" s="122"/>
      <c r="AW277" s="122"/>
      <c r="AX277" s="120"/>
      <c r="AY277" s="120"/>
      <c r="AZ277" s="123">
        <v>2.3E-5</v>
      </c>
      <c r="BA277" s="123">
        <v>9.9999999999999995E-7</v>
      </c>
    </row>
    <row r="278" spans="1:53" ht="15" customHeight="1">
      <c r="A278" s="121">
        <v>313</v>
      </c>
      <c r="B278" s="121">
        <v>313</v>
      </c>
      <c r="C278" s="121"/>
      <c r="D278" s="120"/>
      <c r="E278" s="120"/>
      <c r="F278" s="121">
        <v>50000997</v>
      </c>
      <c r="G278" s="120" t="s">
        <v>1013</v>
      </c>
      <c r="H278" s="120" t="s">
        <v>2562</v>
      </c>
      <c r="I278" s="120" t="s">
        <v>203</v>
      </c>
      <c r="J278" s="120"/>
      <c r="K278" s="120" t="s">
        <v>446</v>
      </c>
      <c r="L278" s="120" t="s">
        <v>338</v>
      </c>
      <c r="M278" s="120" t="s">
        <v>337</v>
      </c>
      <c r="N278" s="121"/>
      <c r="O278" s="124">
        <v>44187</v>
      </c>
      <c r="P278" s="120" t="s">
        <v>2561</v>
      </c>
      <c r="Q278" s="120" t="s">
        <v>414</v>
      </c>
      <c r="R278" s="120" t="s">
        <v>407</v>
      </c>
      <c r="S278" s="120" t="s">
        <v>1217</v>
      </c>
      <c r="T278" s="122">
        <v>18.72</v>
      </c>
      <c r="U278" s="120" t="s">
        <v>2560</v>
      </c>
      <c r="V278" s="123">
        <v>2.8882999999999999E-2</v>
      </c>
      <c r="W278" s="120"/>
      <c r="X278" s="120"/>
      <c r="Y278" s="123"/>
      <c r="Z278" s="123">
        <v>4.8099999999999997E-2</v>
      </c>
      <c r="AA278" s="124">
        <v>52305</v>
      </c>
      <c r="AB278" s="120" t="s">
        <v>411</v>
      </c>
      <c r="AC278" s="120"/>
      <c r="AD278" s="122"/>
      <c r="AE278" s="123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45473</v>
      </c>
      <c r="AO278" s="120"/>
      <c r="AP278" s="123"/>
      <c r="AQ278" s="122">
        <v>59150.58</v>
      </c>
      <c r="AR278" s="122">
        <v>80.78</v>
      </c>
      <c r="AS278" s="122">
        <v>1</v>
      </c>
      <c r="AT278" s="122">
        <v>47.781840000000003</v>
      </c>
      <c r="AU278" s="122">
        <v>47.781840000000003</v>
      </c>
      <c r="AV278" s="122"/>
      <c r="AW278" s="122"/>
      <c r="AX278" s="120"/>
      <c r="AY278" s="120"/>
      <c r="AZ278" s="123">
        <v>1.8E-5</v>
      </c>
      <c r="BA278" s="123">
        <v>0</v>
      </c>
    </row>
    <row r="279" spans="1:53" ht="15" customHeight="1">
      <c r="A279" s="121">
        <v>313</v>
      </c>
      <c r="B279" s="121">
        <v>313</v>
      </c>
      <c r="C279" s="121"/>
      <c r="D279" s="120"/>
      <c r="E279" s="120"/>
      <c r="F279" s="121">
        <v>50000999</v>
      </c>
      <c r="G279" s="120" t="s">
        <v>1013</v>
      </c>
      <c r="H279" s="120" t="s">
        <v>2562</v>
      </c>
      <c r="I279" s="120" t="s">
        <v>203</v>
      </c>
      <c r="J279" s="120"/>
      <c r="K279" s="120" t="s">
        <v>446</v>
      </c>
      <c r="L279" s="120" t="s">
        <v>338</v>
      </c>
      <c r="M279" s="120" t="s">
        <v>337</v>
      </c>
      <c r="N279" s="121"/>
      <c r="O279" s="124">
        <v>44221</v>
      </c>
      <c r="P279" s="120" t="s">
        <v>2561</v>
      </c>
      <c r="Q279" s="120" t="s">
        <v>414</v>
      </c>
      <c r="R279" s="120" t="s">
        <v>407</v>
      </c>
      <c r="S279" s="120" t="s">
        <v>1217</v>
      </c>
      <c r="T279" s="122">
        <v>8.41</v>
      </c>
      <c r="U279" s="120" t="s">
        <v>2560</v>
      </c>
      <c r="V279" s="123">
        <v>2.1346E-2</v>
      </c>
      <c r="W279" s="120"/>
      <c r="X279" s="120"/>
      <c r="Y279" s="123"/>
      <c r="Z279" s="123">
        <v>4.48E-2</v>
      </c>
      <c r="AA279" s="124">
        <v>51940</v>
      </c>
      <c r="AB279" s="120" t="s">
        <v>411</v>
      </c>
      <c r="AC279" s="120"/>
      <c r="AD279" s="122"/>
      <c r="AE279" s="123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45473</v>
      </c>
      <c r="AO279" s="120"/>
      <c r="AP279" s="123"/>
      <c r="AQ279" s="122">
        <v>292481.32</v>
      </c>
      <c r="AR279" s="122">
        <v>93.42</v>
      </c>
      <c r="AS279" s="122">
        <v>1</v>
      </c>
      <c r="AT279" s="122">
        <v>273.23604999999998</v>
      </c>
      <c r="AU279" s="122">
        <v>273.23604999999998</v>
      </c>
      <c r="AV279" s="122"/>
      <c r="AW279" s="122"/>
      <c r="AX279" s="120"/>
      <c r="AY279" s="120"/>
      <c r="AZ279" s="123">
        <v>1.0399999999999999E-4</v>
      </c>
      <c r="BA279" s="123">
        <v>3.9999999999999998E-6</v>
      </c>
    </row>
    <row r="280" spans="1:53" ht="15" customHeight="1">
      <c r="A280" s="121">
        <v>313</v>
      </c>
      <c r="B280" s="121">
        <v>313</v>
      </c>
      <c r="C280" s="121"/>
      <c r="D280" s="120"/>
      <c r="E280" s="120"/>
      <c r="F280" s="121">
        <v>50000993</v>
      </c>
      <c r="G280" s="120" t="s">
        <v>1013</v>
      </c>
      <c r="H280" s="120" t="s">
        <v>2562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44088</v>
      </c>
      <c r="P280" s="120" t="s">
        <v>2561</v>
      </c>
      <c r="Q280" s="120" t="s">
        <v>414</v>
      </c>
      <c r="R280" s="120" t="s">
        <v>407</v>
      </c>
      <c r="S280" s="120" t="s">
        <v>1217</v>
      </c>
      <c r="T280" s="122">
        <v>8.49</v>
      </c>
      <c r="U280" s="120" t="s">
        <v>2560</v>
      </c>
      <c r="V280" s="123">
        <v>2.1756000000000001E-2</v>
      </c>
      <c r="W280" s="120"/>
      <c r="X280" s="120"/>
      <c r="Y280" s="123"/>
      <c r="Z280" s="123">
        <v>4.1300000000000003E-2</v>
      </c>
      <c r="AA280" s="124">
        <v>51940</v>
      </c>
      <c r="AB280" s="120" t="s">
        <v>411</v>
      </c>
      <c r="AC280" s="120"/>
      <c r="AD280" s="122"/>
      <c r="AE280" s="123"/>
      <c r="AF280" s="124"/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45473</v>
      </c>
      <c r="AO280" s="120"/>
      <c r="AP280" s="123"/>
      <c r="AQ280" s="122">
        <v>60713.599999999999</v>
      </c>
      <c r="AR280" s="122">
        <v>96.38</v>
      </c>
      <c r="AS280" s="122">
        <v>1</v>
      </c>
      <c r="AT280" s="122">
        <v>58.515770000000003</v>
      </c>
      <c r="AU280" s="122">
        <v>58.515770000000003</v>
      </c>
      <c r="AV280" s="122"/>
      <c r="AW280" s="122"/>
      <c r="AX280" s="120"/>
      <c r="AY280" s="120"/>
      <c r="AZ280" s="123">
        <v>2.1999999999999999E-5</v>
      </c>
      <c r="BA280" s="123">
        <v>0</v>
      </c>
    </row>
    <row r="281" spans="1:53" ht="15" customHeight="1">
      <c r="A281" s="121">
        <v>313</v>
      </c>
      <c r="B281" s="121">
        <v>313</v>
      </c>
      <c r="C281" s="121"/>
      <c r="D281" s="120"/>
      <c r="E281" s="120"/>
      <c r="F281" s="121">
        <v>44800</v>
      </c>
      <c r="G281" s="120" t="s">
        <v>1013</v>
      </c>
      <c r="H281" s="120" t="s">
        <v>812</v>
      </c>
      <c r="I281" s="120" t="s">
        <v>203</v>
      </c>
      <c r="J281" s="120"/>
      <c r="K281" s="120" t="s">
        <v>439</v>
      </c>
      <c r="L281" s="120" t="s">
        <v>338</v>
      </c>
      <c r="M281" s="120" t="s">
        <v>337</v>
      </c>
      <c r="N281" s="121"/>
      <c r="O281" s="124">
        <v>42004</v>
      </c>
      <c r="P281" s="120" t="s">
        <v>1315</v>
      </c>
      <c r="Q281" s="120" t="s">
        <v>414</v>
      </c>
      <c r="R281" s="120" t="s">
        <v>407</v>
      </c>
      <c r="S281" s="120" t="s">
        <v>1217</v>
      </c>
      <c r="T281" s="122">
        <v>3.81</v>
      </c>
      <c r="U281" s="120" t="s">
        <v>2560</v>
      </c>
      <c r="V281" s="123">
        <v>3.9899999999999998E-2</v>
      </c>
      <c r="W281" s="120"/>
      <c r="X281" s="120"/>
      <c r="Y281" s="123"/>
      <c r="Z281" s="123">
        <v>2.8500000000000001E-2</v>
      </c>
      <c r="AA281" s="124">
        <v>48213</v>
      </c>
      <c r="AB281" s="120" t="s">
        <v>411</v>
      </c>
      <c r="AC281" s="120"/>
      <c r="AD281" s="122"/>
      <c r="AE281" s="123"/>
      <c r="AF281" s="124"/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45473</v>
      </c>
      <c r="AO281" s="120"/>
      <c r="AP281" s="123"/>
      <c r="AQ281" s="122">
        <v>2341065.61</v>
      </c>
      <c r="AR281" s="122">
        <v>118.53</v>
      </c>
      <c r="AS281" s="122">
        <v>1</v>
      </c>
      <c r="AT281" s="122">
        <v>2774.8650699999998</v>
      </c>
      <c r="AU281" s="122">
        <v>2774.8650699999998</v>
      </c>
      <c r="AV281" s="122"/>
      <c r="AW281" s="122"/>
      <c r="AX281" s="120"/>
      <c r="AY281" s="120"/>
      <c r="AZ281" s="123">
        <v>1.0579999999999999E-3</v>
      </c>
      <c r="BA281" s="123">
        <v>4.6E-5</v>
      </c>
    </row>
    <row r="282" spans="1:53" ht="15" customHeight="1">
      <c r="A282" s="121">
        <v>313</v>
      </c>
      <c r="B282" s="121">
        <v>313</v>
      </c>
      <c r="C282" s="121"/>
      <c r="D282" s="120"/>
      <c r="E282" s="120"/>
      <c r="F282" s="121">
        <v>44784</v>
      </c>
      <c r="G282" s="120" t="s">
        <v>1013</v>
      </c>
      <c r="H282" s="120" t="s">
        <v>812</v>
      </c>
      <c r="I282" s="120" t="s">
        <v>203</v>
      </c>
      <c r="J282" s="120"/>
      <c r="K282" s="120" t="s">
        <v>439</v>
      </c>
      <c r="L282" s="120" t="s">
        <v>338</v>
      </c>
      <c r="M282" s="120" t="s">
        <v>337</v>
      </c>
      <c r="N282" s="121"/>
      <c r="O282" s="124">
        <v>42004</v>
      </c>
      <c r="P282" s="120" t="s">
        <v>1315</v>
      </c>
      <c r="Q282" s="120" t="s">
        <v>414</v>
      </c>
      <c r="R282" s="120" t="s">
        <v>407</v>
      </c>
      <c r="S282" s="120" t="s">
        <v>1217</v>
      </c>
      <c r="T282" s="122">
        <v>3.74</v>
      </c>
      <c r="U282" s="120" t="s">
        <v>2560</v>
      </c>
      <c r="V282" s="123">
        <v>3.9899999999999998E-2</v>
      </c>
      <c r="W282" s="120"/>
      <c r="X282" s="120"/>
      <c r="Y282" s="123"/>
      <c r="Z282" s="123">
        <v>2.8400000000000002E-2</v>
      </c>
      <c r="AA282" s="124">
        <v>48213</v>
      </c>
      <c r="AB282" s="120" t="s">
        <v>411</v>
      </c>
      <c r="AC282" s="120"/>
      <c r="AD282" s="122"/>
      <c r="AE282" s="123"/>
      <c r="AF282" s="124"/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45473</v>
      </c>
      <c r="AO282" s="120"/>
      <c r="AP282" s="123"/>
      <c r="AQ282" s="122">
        <v>2078237.58</v>
      </c>
      <c r="AR282" s="122">
        <v>118.47</v>
      </c>
      <c r="AS282" s="122">
        <v>1</v>
      </c>
      <c r="AT282" s="122">
        <v>2462.08806</v>
      </c>
      <c r="AU282" s="122">
        <v>2462.08806</v>
      </c>
      <c r="AV282" s="122"/>
      <c r="AW282" s="122"/>
      <c r="AX282" s="120"/>
      <c r="AY282" s="120"/>
      <c r="AZ282" s="123">
        <v>9.3800000000000003E-4</v>
      </c>
      <c r="BA282" s="123">
        <v>4.1E-5</v>
      </c>
    </row>
    <row r="283" spans="1:53" ht="15" customHeight="1">
      <c r="A283" s="121">
        <v>313</v>
      </c>
      <c r="B283" s="121">
        <v>313</v>
      </c>
      <c r="C283" s="121"/>
      <c r="D283" s="120"/>
      <c r="E283" s="120"/>
      <c r="F283" s="121">
        <v>44768</v>
      </c>
      <c r="G283" s="120" t="s">
        <v>1013</v>
      </c>
      <c r="H283" s="120" t="s">
        <v>812</v>
      </c>
      <c r="I283" s="120" t="s">
        <v>203</v>
      </c>
      <c r="J283" s="120"/>
      <c r="K283" s="120" t="s">
        <v>439</v>
      </c>
      <c r="L283" s="120" t="s">
        <v>338</v>
      </c>
      <c r="M283" s="120" t="s">
        <v>337</v>
      </c>
      <c r="N283" s="121"/>
      <c r="O283" s="124">
        <v>42218</v>
      </c>
      <c r="P283" s="120" t="s">
        <v>1315</v>
      </c>
      <c r="Q283" s="120" t="s">
        <v>414</v>
      </c>
      <c r="R283" s="120" t="s">
        <v>407</v>
      </c>
      <c r="S283" s="120" t="s">
        <v>1217</v>
      </c>
      <c r="T283" s="122">
        <v>3.85</v>
      </c>
      <c r="U283" s="120" t="s">
        <v>2560</v>
      </c>
      <c r="V283" s="123">
        <v>3.4848999999999998E-2</v>
      </c>
      <c r="W283" s="120"/>
      <c r="X283" s="120"/>
      <c r="Y283" s="123"/>
      <c r="Z283" s="123">
        <v>2.8799999999999999E-2</v>
      </c>
      <c r="AA283" s="124">
        <v>48213</v>
      </c>
      <c r="AB283" s="120" t="s">
        <v>411</v>
      </c>
      <c r="AC283" s="120"/>
      <c r="AD283" s="122"/>
      <c r="AE283" s="123"/>
      <c r="AF283" s="124"/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45473</v>
      </c>
      <c r="AO283" s="120"/>
      <c r="AP283" s="123"/>
      <c r="AQ283" s="122">
        <v>7117561.3899999997</v>
      </c>
      <c r="AR283" s="122">
        <v>116.52</v>
      </c>
      <c r="AS283" s="122">
        <v>1</v>
      </c>
      <c r="AT283" s="122">
        <v>8293.3825300000008</v>
      </c>
      <c r="AU283" s="122">
        <v>8293.3825300000008</v>
      </c>
      <c r="AV283" s="122"/>
      <c r="AW283" s="122"/>
      <c r="AX283" s="120"/>
      <c r="AY283" s="120"/>
      <c r="AZ283" s="123">
        <v>3.1619999999999999E-3</v>
      </c>
      <c r="BA283" s="123">
        <v>1.3899999999999999E-4</v>
      </c>
    </row>
    <row r="284" spans="1:53" ht="15" customHeight="1">
      <c r="A284" s="121">
        <v>313</v>
      </c>
      <c r="B284" s="121">
        <v>313</v>
      </c>
      <c r="C284" s="121"/>
      <c r="D284" s="120"/>
      <c r="E284" s="120"/>
      <c r="F284" s="121">
        <v>29090</v>
      </c>
      <c r="G284" s="120" t="s">
        <v>1013</v>
      </c>
      <c r="H284" s="120" t="s">
        <v>812</v>
      </c>
      <c r="I284" s="120" t="s">
        <v>203</v>
      </c>
      <c r="J284" s="120"/>
      <c r="K284" s="120" t="s">
        <v>484</v>
      </c>
      <c r="L284" s="120" t="s">
        <v>338</v>
      </c>
      <c r="M284" s="120" t="s">
        <v>337</v>
      </c>
      <c r="N284" s="121"/>
      <c r="O284" s="124">
        <v>40883</v>
      </c>
      <c r="P284" s="120" t="s">
        <v>1359</v>
      </c>
      <c r="Q284" s="120" t="s">
        <v>412</v>
      </c>
      <c r="R284" s="120" t="s">
        <v>407</v>
      </c>
      <c r="S284" s="120" t="s">
        <v>1217</v>
      </c>
      <c r="T284" s="122">
        <v>3.48</v>
      </c>
      <c r="U284" s="120" t="s">
        <v>2560</v>
      </c>
      <c r="V284" s="123">
        <v>5.6809999999999999E-2</v>
      </c>
      <c r="W284" s="120"/>
      <c r="X284" s="120"/>
      <c r="Y284" s="123"/>
      <c r="Z284" s="123">
        <v>2.9100000000000001E-2</v>
      </c>
      <c r="AA284" s="124">
        <v>47994</v>
      </c>
      <c r="AB284" s="120" t="s">
        <v>411</v>
      </c>
      <c r="AC284" s="120"/>
      <c r="AD284" s="122"/>
      <c r="AE284" s="123"/>
      <c r="AF284" s="124"/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45473</v>
      </c>
      <c r="AO284" s="120"/>
      <c r="AP284" s="123"/>
      <c r="AQ284" s="122">
        <v>78160.5</v>
      </c>
      <c r="AR284" s="122">
        <v>127.57</v>
      </c>
      <c r="AS284" s="122">
        <v>1</v>
      </c>
      <c r="AT284" s="122">
        <v>99.709350000000001</v>
      </c>
      <c r="AU284" s="122">
        <v>99.709350000000001</v>
      </c>
      <c r="AV284" s="122"/>
      <c r="AW284" s="122"/>
      <c r="AX284" s="120"/>
      <c r="AY284" s="120"/>
      <c r="AZ284" s="123">
        <v>3.8000000000000002E-5</v>
      </c>
      <c r="BA284" s="123">
        <v>9.9999999999999995E-7</v>
      </c>
    </row>
    <row r="285" spans="1:53" ht="15" customHeight="1">
      <c r="A285" s="121">
        <v>313</v>
      </c>
      <c r="B285" s="121">
        <v>313</v>
      </c>
      <c r="C285" s="121"/>
      <c r="D285" s="120"/>
      <c r="E285" s="120"/>
      <c r="F285" s="121">
        <v>29108</v>
      </c>
      <c r="G285" s="120" t="s">
        <v>1013</v>
      </c>
      <c r="H285" s="120" t="s">
        <v>812</v>
      </c>
      <c r="I285" s="120" t="s">
        <v>203</v>
      </c>
      <c r="J285" s="120"/>
      <c r="K285" s="120" t="s">
        <v>484</v>
      </c>
      <c r="L285" s="120" t="s">
        <v>338</v>
      </c>
      <c r="M285" s="120" t="s">
        <v>337</v>
      </c>
      <c r="N285" s="121"/>
      <c r="O285" s="124">
        <v>40891</v>
      </c>
      <c r="P285" s="120" t="s">
        <v>1359</v>
      </c>
      <c r="Q285" s="120" t="s">
        <v>412</v>
      </c>
      <c r="R285" s="120" t="s">
        <v>407</v>
      </c>
      <c r="S285" s="120" t="s">
        <v>1217</v>
      </c>
      <c r="T285" s="122">
        <v>3.48</v>
      </c>
      <c r="U285" s="120" t="s">
        <v>2560</v>
      </c>
      <c r="V285" s="123">
        <v>5.6691999999999999E-2</v>
      </c>
      <c r="W285" s="120"/>
      <c r="X285" s="120"/>
      <c r="Y285" s="123"/>
      <c r="Z285" s="123">
        <v>2.9899999999999999E-2</v>
      </c>
      <c r="AA285" s="124">
        <v>47994</v>
      </c>
      <c r="AB285" s="120" t="s">
        <v>411</v>
      </c>
      <c r="AC285" s="120"/>
      <c r="AD285" s="122"/>
      <c r="AE285" s="123"/>
      <c r="AF285" s="124"/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45473</v>
      </c>
      <c r="AO285" s="120"/>
      <c r="AP285" s="123"/>
      <c r="AQ285" s="122">
        <v>844638.86</v>
      </c>
      <c r="AR285" s="122">
        <v>127.17</v>
      </c>
      <c r="AS285" s="122">
        <v>1</v>
      </c>
      <c r="AT285" s="122">
        <v>1074.12724</v>
      </c>
      <c r="AU285" s="122">
        <v>1074.12724</v>
      </c>
      <c r="AV285" s="122"/>
      <c r="AW285" s="122"/>
      <c r="AX285" s="120"/>
      <c r="AY285" s="120"/>
      <c r="AZ285" s="123">
        <v>4.0900000000000002E-4</v>
      </c>
      <c r="BA285" s="123">
        <v>1.8E-5</v>
      </c>
    </row>
    <row r="286" spans="1:53" ht="15" customHeight="1">
      <c r="A286" s="121">
        <v>313</v>
      </c>
      <c r="B286" s="121">
        <v>313</v>
      </c>
      <c r="C286" s="121"/>
      <c r="D286" s="120"/>
      <c r="E286" s="120"/>
      <c r="F286" s="121">
        <v>29116</v>
      </c>
      <c r="G286" s="120" t="s">
        <v>1013</v>
      </c>
      <c r="H286" s="120" t="s">
        <v>812</v>
      </c>
      <c r="I286" s="120" t="s">
        <v>203</v>
      </c>
      <c r="J286" s="120"/>
      <c r="K286" s="120" t="s">
        <v>484</v>
      </c>
      <c r="L286" s="120" t="s">
        <v>338</v>
      </c>
      <c r="M286" s="120" t="s">
        <v>337</v>
      </c>
      <c r="N286" s="121"/>
      <c r="O286" s="124">
        <v>40917</v>
      </c>
      <c r="P286" s="120" t="s">
        <v>1359</v>
      </c>
      <c r="Q286" s="120" t="s">
        <v>412</v>
      </c>
      <c r="R286" s="120" t="s">
        <v>407</v>
      </c>
      <c r="S286" s="120" t="s">
        <v>1217</v>
      </c>
      <c r="T286" s="122">
        <v>3.49</v>
      </c>
      <c r="U286" s="120" t="s">
        <v>2560</v>
      </c>
      <c r="V286" s="123">
        <v>5.6415E-2</v>
      </c>
      <c r="W286" s="120"/>
      <c r="X286" s="120"/>
      <c r="Y286" s="123"/>
      <c r="Z286" s="123">
        <v>2.9100000000000001E-2</v>
      </c>
      <c r="AA286" s="124">
        <v>47994</v>
      </c>
      <c r="AB286" s="120" t="s">
        <v>411</v>
      </c>
      <c r="AC286" s="120"/>
      <c r="AD286" s="122"/>
      <c r="AE286" s="123"/>
      <c r="AF286" s="124"/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45473</v>
      </c>
      <c r="AO286" s="120"/>
      <c r="AP286" s="123"/>
      <c r="AQ286" s="122">
        <v>46901.49</v>
      </c>
      <c r="AR286" s="122">
        <v>127.53</v>
      </c>
      <c r="AS286" s="122">
        <v>1</v>
      </c>
      <c r="AT286" s="122">
        <v>59.813470000000002</v>
      </c>
      <c r="AU286" s="122">
        <v>59.813470000000002</v>
      </c>
      <c r="AV286" s="122"/>
      <c r="AW286" s="122"/>
      <c r="AX286" s="120"/>
      <c r="AY286" s="120"/>
      <c r="AZ286" s="123">
        <v>2.1999999999999999E-5</v>
      </c>
      <c r="BA286" s="123">
        <v>9.9999999999999995E-7</v>
      </c>
    </row>
    <row r="287" spans="1:53" ht="15" customHeight="1">
      <c r="A287" s="121">
        <v>313</v>
      </c>
      <c r="B287" s="121">
        <v>313</v>
      </c>
      <c r="C287" s="121"/>
      <c r="D287" s="120"/>
      <c r="E287" s="120"/>
      <c r="F287" s="121">
        <v>29124</v>
      </c>
      <c r="G287" s="120" t="s">
        <v>1013</v>
      </c>
      <c r="H287" s="120" t="s">
        <v>812</v>
      </c>
      <c r="I287" s="120" t="s">
        <v>203</v>
      </c>
      <c r="J287" s="120"/>
      <c r="K287" s="120" t="s">
        <v>484</v>
      </c>
      <c r="L287" s="120" t="s">
        <v>338</v>
      </c>
      <c r="M287" s="120" t="s">
        <v>337</v>
      </c>
      <c r="N287" s="121"/>
      <c r="O287" s="124">
        <v>40938</v>
      </c>
      <c r="P287" s="120" t="s">
        <v>1359</v>
      </c>
      <c r="Q287" s="120" t="s">
        <v>412</v>
      </c>
      <c r="R287" s="120" t="s">
        <v>407</v>
      </c>
      <c r="S287" s="120" t="s">
        <v>1217</v>
      </c>
      <c r="T287" s="122">
        <v>3.49</v>
      </c>
      <c r="U287" s="120" t="s">
        <v>2560</v>
      </c>
      <c r="V287" s="123">
        <v>5.5E-2</v>
      </c>
      <c r="W287" s="120"/>
      <c r="X287" s="120"/>
      <c r="Y287" s="123"/>
      <c r="Z287" s="123">
        <v>0.03</v>
      </c>
      <c r="AA287" s="124">
        <v>47994</v>
      </c>
      <c r="AB287" s="120" t="s">
        <v>411</v>
      </c>
      <c r="AC287" s="120"/>
      <c r="AD287" s="122"/>
      <c r="AE287" s="123"/>
      <c r="AF287" s="124"/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45473</v>
      </c>
      <c r="AO287" s="120"/>
      <c r="AP287" s="123"/>
      <c r="AQ287" s="122">
        <v>867418.63</v>
      </c>
      <c r="AR287" s="122">
        <v>126.56</v>
      </c>
      <c r="AS287" s="122">
        <v>1</v>
      </c>
      <c r="AT287" s="122">
        <v>1097.80502</v>
      </c>
      <c r="AU287" s="122">
        <v>1097.80502</v>
      </c>
      <c r="AV287" s="122"/>
      <c r="AW287" s="122"/>
      <c r="AX287" s="120"/>
      <c r="AY287" s="120"/>
      <c r="AZ287" s="123">
        <v>4.1800000000000002E-4</v>
      </c>
      <c r="BA287" s="123">
        <v>1.8E-5</v>
      </c>
    </row>
    <row r="288" spans="1:53" ht="15" customHeight="1">
      <c r="A288" s="121">
        <v>313</v>
      </c>
      <c r="B288" s="121">
        <v>313</v>
      </c>
      <c r="C288" s="121"/>
      <c r="D288" s="120"/>
      <c r="E288" s="120"/>
      <c r="F288" s="121">
        <v>29132</v>
      </c>
      <c r="G288" s="120" t="s">
        <v>1013</v>
      </c>
      <c r="H288" s="120" t="s">
        <v>812</v>
      </c>
      <c r="I288" s="120" t="s">
        <v>203</v>
      </c>
      <c r="J288" s="120"/>
      <c r="K288" s="120" t="s">
        <v>484</v>
      </c>
      <c r="L288" s="120" t="s">
        <v>338</v>
      </c>
      <c r="M288" s="120" t="s">
        <v>337</v>
      </c>
      <c r="N288" s="121"/>
      <c r="O288" s="124">
        <v>40952</v>
      </c>
      <c r="P288" s="120" t="s">
        <v>1359</v>
      </c>
      <c r="Q288" s="120" t="s">
        <v>412</v>
      </c>
      <c r="R288" s="120" t="s">
        <v>407</v>
      </c>
      <c r="S288" s="120" t="s">
        <v>1217</v>
      </c>
      <c r="T288" s="122">
        <v>3.49</v>
      </c>
      <c r="U288" s="120" t="s">
        <v>2560</v>
      </c>
      <c r="V288" s="123">
        <v>5.5E-2</v>
      </c>
      <c r="W288" s="120"/>
      <c r="X288" s="120"/>
      <c r="Y288" s="123"/>
      <c r="Z288" s="123">
        <v>0.03</v>
      </c>
      <c r="AA288" s="124">
        <v>47994</v>
      </c>
      <c r="AB288" s="120" t="s">
        <v>411</v>
      </c>
      <c r="AC288" s="120"/>
      <c r="AD288" s="122"/>
      <c r="AE288" s="123"/>
      <c r="AF288" s="124"/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45473</v>
      </c>
      <c r="AO288" s="120"/>
      <c r="AP288" s="123"/>
      <c r="AQ288" s="122">
        <v>832209.87</v>
      </c>
      <c r="AR288" s="122">
        <v>126.56</v>
      </c>
      <c r="AS288" s="122">
        <v>1</v>
      </c>
      <c r="AT288" s="122">
        <v>1053.2448099999999</v>
      </c>
      <c r="AU288" s="122">
        <v>1053.2448099999999</v>
      </c>
      <c r="AV288" s="122"/>
      <c r="AW288" s="122"/>
      <c r="AX288" s="120"/>
      <c r="AY288" s="120"/>
      <c r="AZ288" s="123">
        <v>4.0099999999999999E-4</v>
      </c>
      <c r="BA288" s="123">
        <v>1.7E-5</v>
      </c>
    </row>
    <row r="289" spans="1:53" ht="15" customHeight="1">
      <c r="A289" s="121">
        <v>313</v>
      </c>
      <c r="B289" s="121">
        <v>313</v>
      </c>
      <c r="C289" s="121"/>
      <c r="D289" s="120"/>
      <c r="E289" s="120"/>
      <c r="F289" s="121">
        <v>29140</v>
      </c>
      <c r="G289" s="120" t="s">
        <v>1013</v>
      </c>
      <c r="H289" s="120" t="s">
        <v>812</v>
      </c>
      <c r="I289" s="120" t="s">
        <v>203</v>
      </c>
      <c r="J289" s="120"/>
      <c r="K289" s="120" t="s">
        <v>484</v>
      </c>
      <c r="L289" s="120" t="s">
        <v>338</v>
      </c>
      <c r="M289" s="120" t="s">
        <v>337</v>
      </c>
      <c r="N289" s="121"/>
      <c r="O289" s="124">
        <v>41018</v>
      </c>
      <c r="P289" s="120" t="s">
        <v>1359</v>
      </c>
      <c r="Q289" s="120" t="s">
        <v>412</v>
      </c>
      <c r="R289" s="120" t="s">
        <v>407</v>
      </c>
      <c r="S289" s="120" t="s">
        <v>1217</v>
      </c>
      <c r="T289" s="122">
        <v>3.49</v>
      </c>
      <c r="U289" s="120" t="s">
        <v>2560</v>
      </c>
      <c r="V289" s="123">
        <v>5.5094999999999998E-2</v>
      </c>
      <c r="W289" s="120"/>
      <c r="X289" s="120"/>
      <c r="Y289" s="123"/>
      <c r="Z289" s="123">
        <v>2.9100000000000001E-2</v>
      </c>
      <c r="AA289" s="124">
        <v>47994</v>
      </c>
      <c r="AB289" s="120" t="s">
        <v>411</v>
      </c>
      <c r="AC289" s="120"/>
      <c r="AD289" s="122"/>
      <c r="AE289" s="123"/>
      <c r="AF289" s="124"/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45473</v>
      </c>
      <c r="AO289" s="120"/>
      <c r="AP289" s="123"/>
      <c r="AQ289" s="122">
        <v>183126.88</v>
      </c>
      <c r="AR289" s="122">
        <v>126.48</v>
      </c>
      <c r="AS289" s="122">
        <v>1</v>
      </c>
      <c r="AT289" s="122">
        <v>231.61887999999999</v>
      </c>
      <c r="AU289" s="122">
        <v>231.61887999999999</v>
      </c>
      <c r="AV289" s="122"/>
      <c r="AW289" s="122"/>
      <c r="AX289" s="120"/>
      <c r="AY289" s="120"/>
      <c r="AZ289" s="123">
        <v>8.7999999999999998E-5</v>
      </c>
      <c r="BA289" s="123">
        <v>3.0000000000000001E-6</v>
      </c>
    </row>
    <row r="290" spans="1:53" ht="15" customHeight="1">
      <c r="A290" s="121">
        <v>313</v>
      </c>
      <c r="B290" s="121">
        <v>313</v>
      </c>
      <c r="C290" s="121"/>
      <c r="D290" s="120"/>
      <c r="E290" s="120"/>
      <c r="F290" s="121">
        <v>29157</v>
      </c>
      <c r="G290" s="120" t="s">
        <v>1013</v>
      </c>
      <c r="H290" s="120" t="s">
        <v>812</v>
      </c>
      <c r="I290" s="120" t="s">
        <v>203</v>
      </c>
      <c r="J290" s="120"/>
      <c r="K290" s="120" t="s">
        <v>484</v>
      </c>
      <c r="L290" s="120" t="s">
        <v>338</v>
      </c>
      <c r="M290" s="120" t="s">
        <v>337</v>
      </c>
      <c r="N290" s="121"/>
      <c r="O290" s="124">
        <v>41032</v>
      </c>
      <c r="P290" s="120" t="s">
        <v>1359</v>
      </c>
      <c r="Q290" s="120" t="s">
        <v>412</v>
      </c>
      <c r="R290" s="120" t="s">
        <v>407</v>
      </c>
      <c r="S290" s="120" t="s">
        <v>1217</v>
      </c>
      <c r="T290" s="122">
        <v>3.49</v>
      </c>
      <c r="U290" s="120" t="s">
        <v>2560</v>
      </c>
      <c r="V290" s="123">
        <v>5.5062E-2</v>
      </c>
      <c r="W290" s="120"/>
      <c r="X290" s="120"/>
      <c r="Y290" s="123"/>
      <c r="Z290" s="123">
        <v>0.03</v>
      </c>
      <c r="AA290" s="124">
        <v>47994</v>
      </c>
      <c r="AB290" s="120" t="s">
        <v>411</v>
      </c>
      <c r="AC290" s="120"/>
      <c r="AD290" s="122"/>
      <c r="AE290" s="123"/>
      <c r="AF290" s="124"/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45473</v>
      </c>
      <c r="AO290" s="120"/>
      <c r="AP290" s="123"/>
      <c r="AQ290" s="122">
        <v>858675.33</v>
      </c>
      <c r="AR290" s="122">
        <v>126.1</v>
      </c>
      <c r="AS290" s="122">
        <v>1</v>
      </c>
      <c r="AT290" s="122">
        <v>1082.7895900000001</v>
      </c>
      <c r="AU290" s="122">
        <v>1082.7895900000001</v>
      </c>
      <c r="AV290" s="122"/>
      <c r="AW290" s="122"/>
      <c r="AX290" s="120"/>
      <c r="AY290" s="120"/>
      <c r="AZ290" s="123">
        <v>4.1199999999999999E-4</v>
      </c>
      <c r="BA290" s="123">
        <v>1.8E-5</v>
      </c>
    </row>
    <row r="291" spans="1:53" ht="15" customHeight="1">
      <c r="A291" s="121">
        <v>313</v>
      </c>
      <c r="B291" s="121">
        <v>313</v>
      </c>
      <c r="C291" s="121"/>
      <c r="D291" s="120"/>
      <c r="E291" s="120"/>
      <c r="F291" s="121">
        <v>29165</v>
      </c>
      <c r="G291" s="120" t="s">
        <v>1013</v>
      </c>
      <c r="H291" s="120" t="s">
        <v>812</v>
      </c>
      <c r="I291" s="120" t="s">
        <v>203</v>
      </c>
      <c r="J291" s="120"/>
      <c r="K291" s="120" t="s">
        <v>484</v>
      </c>
      <c r="L291" s="120" t="s">
        <v>338</v>
      </c>
      <c r="M291" s="120" t="s">
        <v>337</v>
      </c>
      <c r="N291" s="121"/>
      <c r="O291" s="124">
        <v>41057</v>
      </c>
      <c r="P291" s="120" t="s">
        <v>1359</v>
      </c>
      <c r="Q291" s="120" t="s">
        <v>412</v>
      </c>
      <c r="R291" s="120" t="s">
        <v>407</v>
      </c>
      <c r="S291" s="120" t="s">
        <v>1217</v>
      </c>
      <c r="T291" s="122">
        <v>3.49</v>
      </c>
      <c r="U291" s="120" t="s">
        <v>2560</v>
      </c>
      <c r="V291" s="123">
        <v>5.5E-2</v>
      </c>
      <c r="W291" s="120"/>
      <c r="X291" s="120"/>
      <c r="Y291" s="123"/>
      <c r="Z291" s="123">
        <v>0.03</v>
      </c>
      <c r="AA291" s="124">
        <v>47994</v>
      </c>
      <c r="AB291" s="120" t="s">
        <v>411</v>
      </c>
      <c r="AC291" s="120"/>
      <c r="AD291" s="122"/>
      <c r="AE291" s="123"/>
      <c r="AF291" s="124"/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45473</v>
      </c>
      <c r="AO291" s="120"/>
      <c r="AP291" s="123"/>
      <c r="AQ291" s="122">
        <v>836954.04</v>
      </c>
      <c r="AR291" s="122">
        <v>124.99</v>
      </c>
      <c r="AS291" s="122">
        <v>1</v>
      </c>
      <c r="AT291" s="122">
        <v>1046.1088500000001</v>
      </c>
      <c r="AU291" s="122">
        <v>1046.1088500000001</v>
      </c>
      <c r="AV291" s="122"/>
      <c r="AW291" s="122"/>
      <c r="AX291" s="120"/>
      <c r="AY291" s="120"/>
      <c r="AZ291" s="123">
        <v>3.9800000000000002E-4</v>
      </c>
      <c r="BA291" s="123">
        <v>1.7E-5</v>
      </c>
    </row>
    <row r="292" spans="1:53" ht="15" customHeight="1">
      <c r="A292" s="121">
        <v>313</v>
      </c>
      <c r="B292" s="121">
        <v>313</v>
      </c>
      <c r="C292" s="121"/>
      <c r="D292" s="120"/>
      <c r="E292" s="120"/>
      <c r="F292" s="121">
        <v>31021</v>
      </c>
      <c r="G292" s="120" t="s">
        <v>1013</v>
      </c>
      <c r="H292" s="120" t="s">
        <v>785</v>
      </c>
      <c r="I292" s="120" t="s">
        <v>203</v>
      </c>
      <c r="J292" s="120"/>
      <c r="K292" s="120" t="s">
        <v>463</v>
      </c>
      <c r="L292" s="120" t="s">
        <v>338</v>
      </c>
      <c r="M292" s="120" t="s">
        <v>338</v>
      </c>
      <c r="N292" s="121"/>
      <c r="O292" s="124">
        <v>42165</v>
      </c>
      <c r="P292" s="120" t="s">
        <v>1293</v>
      </c>
      <c r="Q292" s="120" t="s">
        <v>311</v>
      </c>
      <c r="R292" s="120" t="s">
        <v>407</v>
      </c>
      <c r="S292" s="120" t="s">
        <v>1217</v>
      </c>
      <c r="T292" s="122">
        <v>4.43</v>
      </c>
      <c r="U292" s="120" t="s">
        <v>2560</v>
      </c>
      <c r="V292" s="123">
        <v>2.8500000000000001E-2</v>
      </c>
      <c r="W292" s="120"/>
      <c r="X292" s="120"/>
      <c r="Y292" s="123"/>
      <c r="Z292" s="123">
        <v>2.5899999999999999E-2</v>
      </c>
      <c r="AA292" s="124">
        <v>47664</v>
      </c>
      <c r="AB292" s="120" t="s">
        <v>411</v>
      </c>
      <c r="AC292" s="120"/>
      <c r="AD292" s="122"/>
      <c r="AE292" s="123"/>
      <c r="AF292" s="124"/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45473</v>
      </c>
      <c r="AO292" s="120"/>
      <c r="AP292" s="123"/>
      <c r="AQ292" s="122">
        <v>53279999.390000001</v>
      </c>
      <c r="AR292" s="122">
        <v>115.72</v>
      </c>
      <c r="AS292" s="122">
        <v>1</v>
      </c>
      <c r="AT292" s="122">
        <v>61655.615290000002</v>
      </c>
      <c r="AU292" s="122">
        <v>61655.615290000002</v>
      </c>
      <c r="AV292" s="122"/>
      <c r="AW292" s="122"/>
      <c r="AX292" s="120"/>
      <c r="AY292" s="120"/>
      <c r="AZ292" s="123">
        <v>2.3514E-2</v>
      </c>
      <c r="BA292" s="123">
        <v>1.034E-3</v>
      </c>
    </row>
    <row r="293" spans="1:53" ht="15" customHeight="1">
      <c r="A293" s="121">
        <v>313</v>
      </c>
      <c r="B293" s="121">
        <v>313</v>
      </c>
      <c r="C293" s="121"/>
      <c r="D293" s="120"/>
      <c r="E293" s="120"/>
      <c r="F293" s="121">
        <v>29082</v>
      </c>
      <c r="G293" s="120" t="s">
        <v>1013</v>
      </c>
      <c r="H293" s="120" t="s">
        <v>812</v>
      </c>
      <c r="I293" s="120" t="s">
        <v>203</v>
      </c>
      <c r="J293" s="120"/>
      <c r="K293" s="120" t="s">
        <v>484</v>
      </c>
      <c r="L293" s="120" t="s">
        <v>338</v>
      </c>
      <c r="M293" s="120" t="s">
        <v>337</v>
      </c>
      <c r="N293" s="121"/>
      <c r="O293" s="124">
        <v>40864</v>
      </c>
      <c r="P293" s="120" t="s">
        <v>1359</v>
      </c>
      <c r="Q293" s="120" t="s">
        <v>412</v>
      </c>
      <c r="R293" s="120" t="s">
        <v>407</v>
      </c>
      <c r="S293" s="120" t="s">
        <v>1217</v>
      </c>
      <c r="T293" s="122">
        <v>3.49</v>
      </c>
      <c r="U293" s="120" t="s">
        <v>2560</v>
      </c>
      <c r="V293" s="123">
        <v>5.5827000000000002E-2</v>
      </c>
      <c r="W293" s="120"/>
      <c r="X293" s="120"/>
      <c r="Y293" s="123"/>
      <c r="Z293" s="123">
        <v>2.9100000000000001E-2</v>
      </c>
      <c r="AA293" s="124">
        <v>47994</v>
      </c>
      <c r="AB293" s="120" t="s">
        <v>411</v>
      </c>
      <c r="AC293" s="120"/>
      <c r="AD293" s="122"/>
      <c r="AE293" s="123"/>
      <c r="AF293" s="124"/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45473</v>
      </c>
      <c r="AO293" s="120"/>
      <c r="AP293" s="123"/>
      <c r="AQ293" s="122">
        <v>38817.019999999997</v>
      </c>
      <c r="AR293" s="122">
        <v>127.15</v>
      </c>
      <c r="AS293" s="122">
        <v>1</v>
      </c>
      <c r="AT293" s="122">
        <v>49.355840000000001</v>
      </c>
      <c r="AU293" s="122">
        <v>49.355840000000001</v>
      </c>
      <c r="AV293" s="122"/>
      <c r="AW293" s="122"/>
      <c r="AX293" s="120"/>
      <c r="AY293" s="120"/>
      <c r="AZ293" s="123">
        <v>1.8E-5</v>
      </c>
      <c r="BA293" s="123">
        <v>0</v>
      </c>
    </row>
    <row r="294" spans="1:53" ht="15" customHeight="1">
      <c r="A294" s="121">
        <v>313</v>
      </c>
      <c r="B294" s="121">
        <v>313</v>
      </c>
      <c r="C294" s="121"/>
      <c r="D294" s="120"/>
      <c r="E294" s="120"/>
      <c r="F294" s="121">
        <v>29074</v>
      </c>
      <c r="G294" s="120" t="s">
        <v>1013</v>
      </c>
      <c r="H294" s="120" t="s">
        <v>812</v>
      </c>
      <c r="I294" s="120" t="s">
        <v>203</v>
      </c>
      <c r="J294" s="120"/>
      <c r="K294" s="120" t="s">
        <v>484</v>
      </c>
      <c r="L294" s="120" t="s">
        <v>338</v>
      </c>
      <c r="M294" s="120" t="s">
        <v>337</v>
      </c>
      <c r="N294" s="121"/>
      <c r="O294" s="124">
        <v>40841</v>
      </c>
      <c r="P294" s="120" t="s">
        <v>1359</v>
      </c>
      <c r="Q294" s="120" t="s">
        <v>412</v>
      </c>
      <c r="R294" s="120" t="s">
        <v>407</v>
      </c>
      <c r="S294" s="120" t="s">
        <v>1217</v>
      </c>
      <c r="T294" s="122">
        <v>3.48</v>
      </c>
      <c r="U294" s="120" t="s">
        <v>2560</v>
      </c>
      <c r="V294" s="123">
        <v>5.6919999999999998E-2</v>
      </c>
      <c r="W294" s="120"/>
      <c r="X294" s="120"/>
      <c r="Y294" s="123"/>
      <c r="Z294" s="123">
        <v>2.9899999999999999E-2</v>
      </c>
      <c r="AA294" s="124">
        <v>47994</v>
      </c>
      <c r="AB294" s="120" t="s">
        <v>411</v>
      </c>
      <c r="AC294" s="120"/>
      <c r="AD294" s="122"/>
      <c r="AE294" s="123"/>
      <c r="AF294" s="124"/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45473</v>
      </c>
      <c r="AO294" s="120"/>
      <c r="AP294" s="123"/>
      <c r="AQ294" s="122">
        <v>848304.13</v>
      </c>
      <c r="AR294" s="122">
        <v>127.39</v>
      </c>
      <c r="AS294" s="122">
        <v>1</v>
      </c>
      <c r="AT294" s="122">
        <v>1080.65463</v>
      </c>
      <c r="AU294" s="122">
        <v>1080.65463</v>
      </c>
      <c r="AV294" s="122"/>
      <c r="AW294" s="122"/>
      <c r="AX294" s="120"/>
      <c r="AY294" s="120"/>
      <c r="AZ294" s="123">
        <v>4.1199999999999999E-4</v>
      </c>
      <c r="BA294" s="123">
        <v>1.8E-5</v>
      </c>
    </row>
    <row r="295" spans="1:53" ht="15" customHeight="1">
      <c r="A295" s="121">
        <v>313</v>
      </c>
      <c r="B295" s="121">
        <v>313</v>
      </c>
      <c r="C295" s="121"/>
      <c r="D295" s="120"/>
      <c r="E295" s="120"/>
      <c r="F295" s="121">
        <v>29066</v>
      </c>
      <c r="G295" s="120" t="s">
        <v>1013</v>
      </c>
      <c r="H295" s="120" t="s">
        <v>812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1"/>
      <c r="O295" s="124">
        <v>40840</v>
      </c>
      <c r="P295" s="120" t="s">
        <v>1359</v>
      </c>
      <c r="Q295" s="120" t="s">
        <v>412</v>
      </c>
      <c r="R295" s="120" t="s">
        <v>407</v>
      </c>
      <c r="S295" s="120" t="s">
        <v>1217</v>
      </c>
      <c r="T295" s="122">
        <v>3.48</v>
      </c>
      <c r="U295" s="120" t="s">
        <v>2560</v>
      </c>
      <c r="V295" s="123">
        <v>5.6934999999999999E-2</v>
      </c>
      <c r="W295" s="120"/>
      <c r="X295" s="120"/>
      <c r="Y295" s="123"/>
      <c r="Z295" s="123">
        <v>2.8899999999999999E-2</v>
      </c>
      <c r="AA295" s="124">
        <v>47994</v>
      </c>
      <c r="AB295" s="120" t="s">
        <v>411</v>
      </c>
      <c r="AC295" s="120"/>
      <c r="AD295" s="122"/>
      <c r="AE295" s="123"/>
      <c r="AF295" s="124"/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45473</v>
      </c>
      <c r="AO295" s="120"/>
      <c r="AP295" s="123"/>
      <c r="AQ295" s="122">
        <v>179797.56</v>
      </c>
      <c r="AR295" s="122">
        <v>127.86</v>
      </c>
      <c r="AS295" s="122">
        <v>1</v>
      </c>
      <c r="AT295" s="122">
        <v>229.88916</v>
      </c>
      <c r="AU295" s="122">
        <v>229.88916</v>
      </c>
      <c r="AV295" s="122"/>
      <c r="AW295" s="122"/>
      <c r="AX295" s="120"/>
      <c r="AY295" s="120"/>
      <c r="AZ295" s="123">
        <v>8.7000000000000001E-5</v>
      </c>
      <c r="BA295" s="123">
        <v>3.0000000000000001E-6</v>
      </c>
    </row>
    <row r="296" spans="1:53" ht="15" customHeight="1">
      <c r="A296" s="121">
        <v>313</v>
      </c>
      <c r="B296" s="121">
        <v>313</v>
      </c>
      <c r="C296" s="121"/>
      <c r="D296" s="120"/>
      <c r="E296" s="120"/>
      <c r="F296" s="121">
        <v>28498</v>
      </c>
      <c r="G296" s="120" t="s">
        <v>1013</v>
      </c>
      <c r="H296" s="120" t="s">
        <v>812</v>
      </c>
      <c r="I296" s="120" t="s">
        <v>203</v>
      </c>
      <c r="J296" s="120"/>
      <c r="K296" s="120" t="s">
        <v>484</v>
      </c>
      <c r="L296" s="120" t="s">
        <v>338</v>
      </c>
      <c r="M296" s="120" t="s">
        <v>337</v>
      </c>
      <c r="N296" s="121"/>
      <c r="O296" s="124">
        <v>41512</v>
      </c>
      <c r="P296" s="120" t="s">
        <v>1359</v>
      </c>
      <c r="Q296" s="120" t="s">
        <v>412</v>
      </c>
      <c r="R296" s="120" t="s">
        <v>407</v>
      </c>
      <c r="S296" s="120" t="s">
        <v>1217</v>
      </c>
      <c r="T296" s="122">
        <v>3.47</v>
      </c>
      <c r="U296" s="120" t="s">
        <v>2560</v>
      </c>
      <c r="V296" s="123">
        <v>5.5E-2</v>
      </c>
      <c r="W296" s="120"/>
      <c r="X296" s="120"/>
      <c r="Y296" s="123"/>
      <c r="Z296" s="123">
        <v>3.49E-2</v>
      </c>
      <c r="AA296" s="124">
        <v>47986</v>
      </c>
      <c r="AB296" s="120" t="s">
        <v>411</v>
      </c>
      <c r="AC296" s="120"/>
      <c r="AD296" s="122"/>
      <c r="AE296" s="123"/>
      <c r="AF296" s="124"/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45473</v>
      </c>
      <c r="AO296" s="120"/>
      <c r="AP296" s="123"/>
      <c r="AQ296" s="122">
        <v>1606010.47</v>
      </c>
      <c r="AR296" s="122">
        <v>120.53</v>
      </c>
      <c r="AS296" s="122">
        <v>1</v>
      </c>
      <c r="AT296" s="122">
        <v>1935.72442</v>
      </c>
      <c r="AU296" s="122">
        <v>1935.72442</v>
      </c>
      <c r="AV296" s="122"/>
      <c r="AW296" s="122"/>
      <c r="AX296" s="120"/>
      <c r="AY296" s="120"/>
      <c r="AZ296" s="123">
        <v>7.3800000000000005E-4</v>
      </c>
      <c r="BA296" s="123">
        <v>3.1999999999999999E-5</v>
      </c>
    </row>
    <row r="297" spans="1:53" ht="15" customHeight="1">
      <c r="A297" s="121">
        <v>313</v>
      </c>
      <c r="B297" s="121">
        <v>313</v>
      </c>
      <c r="C297" s="121"/>
      <c r="D297" s="120"/>
      <c r="E297" s="120"/>
      <c r="F297" s="121">
        <v>24554</v>
      </c>
      <c r="G297" s="120" t="s">
        <v>1013</v>
      </c>
      <c r="H297" s="120" t="s">
        <v>812</v>
      </c>
      <c r="I297" s="120" t="s">
        <v>203</v>
      </c>
      <c r="J297" s="120"/>
      <c r="K297" s="120" t="s">
        <v>484</v>
      </c>
      <c r="L297" s="120" t="s">
        <v>338</v>
      </c>
      <c r="M297" s="120" t="s">
        <v>337</v>
      </c>
      <c r="N297" s="121"/>
      <c r="O297" s="124">
        <v>40570</v>
      </c>
      <c r="P297" s="120" t="s">
        <v>1359</v>
      </c>
      <c r="Q297" s="120" t="s">
        <v>412</v>
      </c>
      <c r="R297" s="120" t="s">
        <v>407</v>
      </c>
      <c r="S297" s="120" t="s">
        <v>1217</v>
      </c>
      <c r="T297" s="122">
        <v>3.49</v>
      </c>
      <c r="U297" s="120" t="s">
        <v>2560</v>
      </c>
      <c r="V297" s="123">
        <v>5.5E-2</v>
      </c>
      <c r="W297" s="120"/>
      <c r="X297" s="120"/>
      <c r="Y297" s="123"/>
      <c r="Z297" s="123">
        <v>2.8899999999999999E-2</v>
      </c>
      <c r="AA297" s="124">
        <v>47986</v>
      </c>
      <c r="AB297" s="120" t="s">
        <v>411</v>
      </c>
      <c r="AC297" s="120"/>
      <c r="AD297" s="122"/>
      <c r="AE297" s="123"/>
      <c r="AF297" s="124"/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45473</v>
      </c>
      <c r="AO297" s="120"/>
      <c r="AP297" s="123"/>
      <c r="AQ297" s="122">
        <v>15095720.52</v>
      </c>
      <c r="AR297" s="122">
        <v>129.79</v>
      </c>
      <c r="AS297" s="122">
        <v>1</v>
      </c>
      <c r="AT297" s="122">
        <v>19592.735659999998</v>
      </c>
      <c r="AU297" s="122">
        <v>19592.735659999998</v>
      </c>
      <c r="AV297" s="122"/>
      <c r="AW297" s="122"/>
      <c r="AX297" s="120"/>
      <c r="AY297" s="120"/>
      <c r="AZ297" s="123">
        <v>7.4720000000000003E-3</v>
      </c>
      <c r="BA297" s="123">
        <v>3.28E-4</v>
      </c>
    </row>
    <row r="298" spans="1:53" ht="15" customHeight="1">
      <c r="A298" s="121">
        <v>313</v>
      </c>
      <c r="B298" s="121">
        <v>313</v>
      </c>
      <c r="C298" s="121"/>
      <c r="D298" s="120"/>
      <c r="E298" s="120"/>
      <c r="F298" s="121">
        <v>24794</v>
      </c>
      <c r="G298" s="120" t="s">
        <v>1013</v>
      </c>
      <c r="H298" s="120" t="s">
        <v>812</v>
      </c>
      <c r="I298" s="120" t="s">
        <v>203</v>
      </c>
      <c r="J298" s="120"/>
      <c r="K298" s="120" t="s">
        <v>484</v>
      </c>
      <c r="L298" s="120" t="s">
        <v>338</v>
      </c>
      <c r="M298" s="120" t="s">
        <v>337</v>
      </c>
      <c r="N298" s="121"/>
      <c r="O298" s="124">
        <v>41085</v>
      </c>
      <c r="P298" s="120" t="s">
        <v>1359</v>
      </c>
      <c r="Q298" s="120" t="s">
        <v>412</v>
      </c>
      <c r="R298" s="120" t="s">
        <v>407</v>
      </c>
      <c r="S298" s="120" t="s">
        <v>1217</v>
      </c>
      <c r="T298" s="122">
        <v>3.49</v>
      </c>
      <c r="U298" s="120" t="s">
        <v>2560</v>
      </c>
      <c r="V298" s="123">
        <v>5.5E-2</v>
      </c>
      <c r="W298" s="120"/>
      <c r="X298" s="120"/>
      <c r="Y298" s="123"/>
      <c r="Z298" s="123">
        <v>0.03</v>
      </c>
      <c r="AA298" s="124">
        <v>47986</v>
      </c>
      <c r="AB298" s="120" t="s">
        <v>411</v>
      </c>
      <c r="AC298" s="120"/>
      <c r="AD298" s="122"/>
      <c r="AE298" s="123"/>
      <c r="AF298" s="124"/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45473</v>
      </c>
      <c r="AO298" s="120"/>
      <c r="AP298" s="123"/>
      <c r="AQ298" s="122">
        <v>2378039.7000000002</v>
      </c>
      <c r="AR298" s="122">
        <v>124.99</v>
      </c>
      <c r="AS298" s="122">
        <v>1</v>
      </c>
      <c r="AT298" s="122">
        <v>2972.3118199999999</v>
      </c>
      <c r="AU298" s="122">
        <v>2972.3118199999999</v>
      </c>
      <c r="AV298" s="122"/>
      <c r="AW298" s="122"/>
      <c r="AX298" s="120"/>
      <c r="AY298" s="120"/>
      <c r="AZ298" s="123">
        <v>1.1329999999999999E-3</v>
      </c>
      <c r="BA298" s="123">
        <v>4.8999999999999998E-5</v>
      </c>
    </row>
    <row r="299" spans="1:53" ht="15" customHeight="1">
      <c r="A299" s="121">
        <v>313</v>
      </c>
      <c r="B299" s="121">
        <v>313</v>
      </c>
      <c r="C299" s="121"/>
      <c r="D299" s="120"/>
      <c r="E299" s="120"/>
      <c r="F299" s="121">
        <v>24828</v>
      </c>
      <c r="G299" s="120" t="s">
        <v>1013</v>
      </c>
      <c r="H299" s="120" t="s">
        <v>812</v>
      </c>
      <c r="I299" s="120" t="s">
        <v>203</v>
      </c>
      <c r="J299" s="120"/>
      <c r="K299" s="120" t="s">
        <v>484</v>
      </c>
      <c r="L299" s="120" t="s">
        <v>338</v>
      </c>
      <c r="M299" s="120" t="s">
        <v>337</v>
      </c>
      <c r="N299" s="121"/>
      <c r="O299" s="124">
        <v>41115</v>
      </c>
      <c r="P299" s="120" t="s">
        <v>1359</v>
      </c>
      <c r="Q299" s="120" t="s">
        <v>412</v>
      </c>
      <c r="R299" s="120" t="s">
        <v>407</v>
      </c>
      <c r="S299" s="120" t="s">
        <v>1217</v>
      </c>
      <c r="T299" s="122">
        <v>3.49</v>
      </c>
      <c r="U299" s="120" t="s">
        <v>2560</v>
      </c>
      <c r="V299" s="123">
        <v>5.5E-2</v>
      </c>
      <c r="W299" s="120"/>
      <c r="X299" s="120"/>
      <c r="Y299" s="123"/>
      <c r="Z299" s="123">
        <v>3.0099999999999998E-2</v>
      </c>
      <c r="AA299" s="124">
        <v>47986</v>
      </c>
      <c r="AB299" s="120" t="s">
        <v>411</v>
      </c>
      <c r="AC299" s="120"/>
      <c r="AD299" s="122"/>
      <c r="AE299" s="123"/>
      <c r="AF299" s="124"/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45473</v>
      </c>
      <c r="AO299" s="120"/>
      <c r="AP299" s="123"/>
      <c r="AQ299" s="122">
        <v>1020362.35</v>
      </c>
      <c r="AR299" s="122">
        <v>125.3</v>
      </c>
      <c r="AS299" s="122">
        <v>1</v>
      </c>
      <c r="AT299" s="122">
        <v>1278.5140200000001</v>
      </c>
      <c r="AU299" s="122">
        <v>1278.5140200000001</v>
      </c>
      <c r="AV299" s="122"/>
      <c r="AW299" s="122"/>
      <c r="AX299" s="120"/>
      <c r="AY299" s="120"/>
      <c r="AZ299" s="123">
        <v>4.8700000000000002E-4</v>
      </c>
      <c r="BA299" s="123">
        <v>2.0999999999999999E-5</v>
      </c>
    </row>
    <row r="300" spans="1:53" ht="15" customHeight="1">
      <c r="A300" s="121">
        <v>313</v>
      </c>
      <c r="B300" s="121">
        <v>313</v>
      </c>
      <c r="C300" s="121"/>
      <c r="D300" s="120"/>
      <c r="E300" s="120"/>
      <c r="F300" s="121">
        <v>24851</v>
      </c>
      <c r="G300" s="120" t="s">
        <v>1013</v>
      </c>
      <c r="H300" s="120" t="s">
        <v>812</v>
      </c>
      <c r="I300" s="120" t="s">
        <v>203</v>
      </c>
      <c r="J300" s="120"/>
      <c r="K300" s="120" t="s">
        <v>484</v>
      </c>
      <c r="L300" s="120" t="s">
        <v>338</v>
      </c>
      <c r="M300" s="120" t="s">
        <v>337</v>
      </c>
      <c r="N300" s="121"/>
      <c r="O300" s="124">
        <v>41207</v>
      </c>
      <c r="P300" s="120" t="s">
        <v>1359</v>
      </c>
      <c r="Q300" s="120" t="s">
        <v>412</v>
      </c>
      <c r="R300" s="120" t="s">
        <v>407</v>
      </c>
      <c r="S300" s="120" t="s">
        <v>1217</v>
      </c>
      <c r="T300" s="122">
        <v>3.49</v>
      </c>
      <c r="U300" s="120" t="s">
        <v>2560</v>
      </c>
      <c r="V300" s="123">
        <v>5.5E-2</v>
      </c>
      <c r="W300" s="120"/>
      <c r="X300" s="120"/>
      <c r="Y300" s="123"/>
      <c r="Z300" s="123">
        <v>2.8899999999999999E-2</v>
      </c>
      <c r="AA300" s="124">
        <v>47986</v>
      </c>
      <c r="AB300" s="120" t="s">
        <v>411</v>
      </c>
      <c r="AC300" s="120"/>
      <c r="AD300" s="122"/>
      <c r="AE300" s="123"/>
      <c r="AF300" s="124"/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45473</v>
      </c>
      <c r="AO300" s="120"/>
      <c r="AP300" s="123"/>
      <c r="AQ300" s="122">
        <v>294718.24</v>
      </c>
      <c r="AR300" s="122">
        <v>124.4</v>
      </c>
      <c r="AS300" s="122">
        <v>1</v>
      </c>
      <c r="AT300" s="122">
        <v>366.62948999999998</v>
      </c>
      <c r="AU300" s="122">
        <v>366.62948999999998</v>
      </c>
      <c r="AV300" s="122"/>
      <c r="AW300" s="122"/>
      <c r="AX300" s="120"/>
      <c r="AY300" s="120"/>
      <c r="AZ300" s="123">
        <v>1.3899999999999999E-4</v>
      </c>
      <c r="BA300" s="123">
        <v>6.0000000000000002E-6</v>
      </c>
    </row>
    <row r="301" spans="1:53" ht="15" customHeight="1">
      <c r="A301" s="121">
        <v>313</v>
      </c>
      <c r="B301" s="121">
        <v>313</v>
      </c>
      <c r="C301" s="121"/>
      <c r="D301" s="120"/>
      <c r="E301" s="120"/>
      <c r="F301" s="121">
        <v>33084</v>
      </c>
      <c r="G301" s="120" t="s">
        <v>1013</v>
      </c>
      <c r="H301" s="120" t="s">
        <v>812</v>
      </c>
      <c r="I301" s="120" t="s">
        <v>203</v>
      </c>
      <c r="J301" s="120"/>
      <c r="K301" s="120" t="s">
        <v>484</v>
      </c>
      <c r="L301" s="120" t="s">
        <v>338</v>
      </c>
      <c r="M301" s="120" t="s">
        <v>337</v>
      </c>
      <c r="N301" s="121"/>
      <c r="O301" s="124">
        <v>40871</v>
      </c>
      <c r="P301" s="120" t="s">
        <v>1359</v>
      </c>
      <c r="Q301" s="120" t="s">
        <v>412</v>
      </c>
      <c r="R301" s="120" t="s">
        <v>407</v>
      </c>
      <c r="S301" s="120" t="s">
        <v>1217</v>
      </c>
      <c r="T301" s="122">
        <v>3.48</v>
      </c>
      <c r="U301" s="120" t="s">
        <v>2560</v>
      </c>
      <c r="V301" s="123">
        <v>5.5888E-2</v>
      </c>
      <c r="W301" s="120"/>
      <c r="X301" s="120"/>
      <c r="Y301" s="123"/>
      <c r="Z301" s="123">
        <v>2.9899999999999999E-2</v>
      </c>
      <c r="AA301" s="124">
        <v>47986</v>
      </c>
      <c r="AB301" s="120" t="s">
        <v>411</v>
      </c>
      <c r="AC301" s="120"/>
      <c r="AD301" s="122"/>
      <c r="AE301" s="123"/>
      <c r="AF301" s="124"/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45473</v>
      </c>
      <c r="AO301" s="120"/>
      <c r="AP301" s="123"/>
      <c r="AQ301" s="122">
        <v>840818.01</v>
      </c>
      <c r="AR301" s="122">
        <v>126.83</v>
      </c>
      <c r="AS301" s="122">
        <v>1</v>
      </c>
      <c r="AT301" s="122">
        <v>1066.40948</v>
      </c>
      <c r="AU301" s="122">
        <v>1066.40948</v>
      </c>
      <c r="AV301" s="122"/>
      <c r="AW301" s="122"/>
      <c r="AX301" s="120"/>
      <c r="AY301" s="120"/>
      <c r="AZ301" s="123">
        <v>4.06E-4</v>
      </c>
      <c r="BA301" s="123">
        <v>1.7E-5</v>
      </c>
    </row>
    <row r="302" spans="1:53" ht="15" customHeight="1">
      <c r="A302" s="121">
        <v>313</v>
      </c>
      <c r="B302" s="121">
        <v>313</v>
      </c>
      <c r="C302" s="121"/>
      <c r="D302" s="120"/>
      <c r="E302" s="120"/>
      <c r="F302" s="121">
        <v>24869</v>
      </c>
      <c r="G302" s="120" t="s">
        <v>1013</v>
      </c>
      <c r="H302" s="120" t="s">
        <v>812</v>
      </c>
      <c r="I302" s="120" t="s">
        <v>203</v>
      </c>
      <c r="J302" s="120"/>
      <c r="K302" s="120" t="s">
        <v>484</v>
      </c>
      <c r="L302" s="120" t="s">
        <v>338</v>
      </c>
      <c r="M302" s="120" t="s">
        <v>337</v>
      </c>
      <c r="N302" s="121"/>
      <c r="O302" s="124">
        <v>41239</v>
      </c>
      <c r="P302" s="120" t="s">
        <v>1359</v>
      </c>
      <c r="Q302" s="120" t="s">
        <v>412</v>
      </c>
      <c r="R302" s="120" t="s">
        <v>407</v>
      </c>
      <c r="S302" s="120" t="s">
        <v>1217</v>
      </c>
      <c r="T302" s="122">
        <v>3.49</v>
      </c>
      <c r="U302" s="120" t="s">
        <v>2560</v>
      </c>
      <c r="V302" s="123">
        <v>5.5E-2</v>
      </c>
      <c r="W302" s="120"/>
      <c r="X302" s="120"/>
      <c r="Y302" s="123"/>
      <c r="Z302" s="123">
        <v>2.9899999999999999E-2</v>
      </c>
      <c r="AA302" s="124">
        <v>47986</v>
      </c>
      <c r="AB302" s="120" t="s">
        <v>411</v>
      </c>
      <c r="AC302" s="120"/>
      <c r="AD302" s="122"/>
      <c r="AE302" s="123"/>
      <c r="AF302" s="124"/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45473</v>
      </c>
      <c r="AO302" s="120"/>
      <c r="AP302" s="123"/>
      <c r="AQ302" s="122">
        <v>2598955.9300000002</v>
      </c>
      <c r="AR302" s="122">
        <v>124.18</v>
      </c>
      <c r="AS302" s="122">
        <v>1</v>
      </c>
      <c r="AT302" s="122">
        <v>3227.3834700000002</v>
      </c>
      <c r="AU302" s="122">
        <v>3227.3834700000002</v>
      </c>
      <c r="AV302" s="122"/>
      <c r="AW302" s="122"/>
      <c r="AX302" s="120"/>
      <c r="AY302" s="120"/>
      <c r="AZ302" s="123">
        <v>1.23E-3</v>
      </c>
      <c r="BA302" s="123">
        <v>5.3999999999999998E-5</v>
      </c>
    </row>
    <row r="303" spans="1:53" ht="15" customHeight="1">
      <c r="A303" s="121">
        <v>313</v>
      </c>
      <c r="B303" s="121">
        <v>313</v>
      </c>
      <c r="C303" s="121"/>
      <c r="D303" s="120"/>
      <c r="E303" s="120"/>
      <c r="F303" s="121">
        <v>28134</v>
      </c>
      <c r="G303" s="120" t="s">
        <v>1013</v>
      </c>
      <c r="H303" s="120" t="s">
        <v>812</v>
      </c>
      <c r="I303" s="120" t="s">
        <v>203</v>
      </c>
      <c r="J303" s="120"/>
      <c r="K303" s="120" t="s">
        <v>484</v>
      </c>
      <c r="L303" s="120" t="s">
        <v>338</v>
      </c>
      <c r="M303" s="120" t="s">
        <v>337</v>
      </c>
      <c r="N303" s="121"/>
      <c r="O303" s="124">
        <v>42565</v>
      </c>
      <c r="P303" s="120" t="s">
        <v>1359</v>
      </c>
      <c r="Q303" s="120" t="s">
        <v>412</v>
      </c>
      <c r="R303" s="120" t="s">
        <v>407</v>
      </c>
      <c r="S303" s="120" t="s">
        <v>1217</v>
      </c>
      <c r="T303" s="122">
        <v>3.49</v>
      </c>
      <c r="U303" s="120" t="s">
        <v>2560</v>
      </c>
      <c r="V303" s="123">
        <v>5.5E-2</v>
      </c>
      <c r="W303" s="120"/>
      <c r="X303" s="120"/>
      <c r="Y303" s="123"/>
      <c r="Z303" s="123">
        <v>0.03</v>
      </c>
      <c r="AA303" s="124">
        <v>47986</v>
      </c>
      <c r="AB303" s="120" t="s">
        <v>411</v>
      </c>
      <c r="AC303" s="120"/>
      <c r="AD303" s="122"/>
      <c r="AE303" s="123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45473</v>
      </c>
      <c r="AO303" s="120"/>
      <c r="AP303" s="123"/>
      <c r="AQ303" s="122">
        <v>4091880.87</v>
      </c>
      <c r="AR303" s="122">
        <v>124.15</v>
      </c>
      <c r="AS303" s="122">
        <v>1</v>
      </c>
      <c r="AT303" s="122">
        <v>5080.0700999999999</v>
      </c>
      <c r="AU303" s="122">
        <v>5080.0700999999999</v>
      </c>
      <c r="AV303" s="122"/>
      <c r="AW303" s="122"/>
      <c r="AX303" s="120"/>
      <c r="AY303" s="120"/>
      <c r="AZ303" s="123">
        <v>1.9369999999999999E-3</v>
      </c>
      <c r="BA303" s="123">
        <v>8.5000000000000006E-5</v>
      </c>
    </row>
    <row r="304" spans="1:53" ht="15" customHeight="1">
      <c r="A304" s="121">
        <v>313</v>
      </c>
      <c r="B304" s="121">
        <v>313</v>
      </c>
      <c r="C304" s="121"/>
      <c r="D304" s="120"/>
      <c r="E304" s="120"/>
      <c r="F304" s="121">
        <v>28415</v>
      </c>
      <c r="G304" s="120" t="s">
        <v>1013</v>
      </c>
      <c r="H304" s="120" t="s">
        <v>812</v>
      </c>
      <c r="I304" s="120" t="s">
        <v>203</v>
      </c>
      <c r="J304" s="120"/>
      <c r="K304" s="120" t="s">
        <v>484</v>
      </c>
      <c r="L304" s="120" t="s">
        <v>338</v>
      </c>
      <c r="M304" s="120" t="s">
        <v>337</v>
      </c>
      <c r="N304" s="121"/>
      <c r="O304" s="124">
        <v>41422</v>
      </c>
      <c r="P304" s="120" t="s">
        <v>1359</v>
      </c>
      <c r="Q304" s="120" t="s">
        <v>412</v>
      </c>
      <c r="R304" s="120" t="s">
        <v>407</v>
      </c>
      <c r="S304" s="120" t="s">
        <v>1217</v>
      </c>
      <c r="T304" s="122">
        <v>3.49</v>
      </c>
      <c r="U304" s="120" t="s">
        <v>2560</v>
      </c>
      <c r="V304" s="123">
        <v>5.5E-2</v>
      </c>
      <c r="W304" s="120"/>
      <c r="X304" s="120"/>
      <c r="Y304" s="123"/>
      <c r="Z304" s="123">
        <v>2.8899999999999999E-2</v>
      </c>
      <c r="AA304" s="124">
        <v>47986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45473</v>
      </c>
      <c r="AO304" s="120"/>
      <c r="AP304" s="123"/>
      <c r="AQ304" s="122">
        <v>355799.12</v>
      </c>
      <c r="AR304" s="122">
        <v>124.46</v>
      </c>
      <c r="AS304" s="122">
        <v>1</v>
      </c>
      <c r="AT304" s="122">
        <v>442.82758000000001</v>
      </c>
      <c r="AU304" s="122">
        <v>442.82758000000001</v>
      </c>
      <c r="AV304" s="122"/>
      <c r="AW304" s="122"/>
      <c r="AX304" s="120"/>
      <c r="AY304" s="120"/>
      <c r="AZ304" s="123">
        <v>1.6799999999999999E-4</v>
      </c>
      <c r="BA304" s="123">
        <v>6.9999999999999999E-6</v>
      </c>
    </row>
    <row r="305" spans="1:53" ht="15" customHeight="1">
      <c r="A305" s="121">
        <v>313</v>
      </c>
      <c r="B305" s="121">
        <v>313</v>
      </c>
      <c r="C305" s="121"/>
      <c r="D305" s="120"/>
      <c r="E305" s="120"/>
      <c r="F305" s="121">
        <v>28449</v>
      </c>
      <c r="G305" s="120" t="s">
        <v>1013</v>
      </c>
      <c r="H305" s="120" t="s">
        <v>812</v>
      </c>
      <c r="I305" s="120" t="s">
        <v>203</v>
      </c>
      <c r="J305" s="120"/>
      <c r="K305" s="120" t="s">
        <v>484</v>
      </c>
      <c r="L305" s="120" t="s">
        <v>338</v>
      </c>
      <c r="M305" s="120" t="s">
        <v>337</v>
      </c>
      <c r="N305" s="121"/>
      <c r="O305" s="124">
        <v>41450</v>
      </c>
      <c r="P305" s="120" t="s">
        <v>1359</v>
      </c>
      <c r="Q305" s="120" t="s">
        <v>412</v>
      </c>
      <c r="R305" s="120" t="s">
        <v>407</v>
      </c>
      <c r="S305" s="120" t="s">
        <v>1217</v>
      </c>
      <c r="T305" s="122">
        <v>3.49</v>
      </c>
      <c r="U305" s="120" t="s">
        <v>2560</v>
      </c>
      <c r="V305" s="123">
        <v>5.5E-2</v>
      </c>
      <c r="W305" s="120"/>
      <c r="X305" s="120"/>
      <c r="Y305" s="123"/>
      <c r="Z305" s="123">
        <v>2.8899999999999999E-2</v>
      </c>
      <c r="AA305" s="124">
        <v>47986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45473</v>
      </c>
      <c r="AO305" s="120"/>
      <c r="AP305" s="123"/>
      <c r="AQ305" s="122">
        <v>586435.96</v>
      </c>
      <c r="AR305" s="122">
        <v>124.33</v>
      </c>
      <c r="AS305" s="122">
        <v>1</v>
      </c>
      <c r="AT305" s="122">
        <v>729.11582999999996</v>
      </c>
      <c r="AU305" s="122">
        <v>729.11582999999996</v>
      </c>
      <c r="AV305" s="122"/>
      <c r="AW305" s="122"/>
      <c r="AX305" s="120"/>
      <c r="AY305" s="120"/>
      <c r="AZ305" s="123">
        <v>2.7799999999999998E-4</v>
      </c>
      <c r="BA305" s="123">
        <v>1.2E-5</v>
      </c>
    </row>
    <row r="306" spans="1:53" ht="15" customHeight="1">
      <c r="A306" s="121">
        <v>313</v>
      </c>
      <c r="B306" s="121">
        <v>313</v>
      </c>
      <c r="C306" s="121"/>
      <c r="D306" s="120"/>
      <c r="E306" s="120"/>
      <c r="F306" s="121">
        <v>28464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41480</v>
      </c>
      <c r="P306" s="120" t="s">
        <v>1359</v>
      </c>
      <c r="Q306" s="120" t="s">
        <v>412</v>
      </c>
      <c r="R306" s="120" t="s">
        <v>407</v>
      </c>
      <c r="S306" s="120" t="s">
        <v>1217</v>
      </c>
      <c r="T306" s="122">
        <v>3.49</v>
      </c>
      <c r="U306" s="120" t="s">
        <v>2560</v>
      </c>
      <c r="V306" s="123">
        <v>5.5E-2</v>
      </c>
      <c r="W306" s="120"/>
      <c r="X306" s="120"/>
      <c r="Y306" s="123"/>
      <c r="Z306" s="123">
        <v>2.9000000000000001E-2</v>
      </c>
      <c r="AA306" s="124">
        <v>47986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45473</v>
      </c>
      <c r="AO306" s="120"/>
      <c r="AP306" s="123"/>
      <c r="AQ306" s="122">
        <v>514933.82</v>
      </c>
      <c r="AR306" s="122">
        <v>123.32</v>
      </c>
      <c r="AS306" s="122">
        <v>1</v>
      </c>
      <c r="AT306" s="122">
        <v>635.01639</v>
      </c>
      <c r="AU306" s="122">
        <v>635.01639</v>
      </c>
      <c r="AV306" s="122"/>
      <c r="AW306" s="122"/>
      <c r="AX306" s="120"/>
      <c r="AY306" s="120"/>
      <c r="AZ306" s="123">
        <v>2.42E-4</v>
      </c>
      <c r="BA306" s="123">
        <v>1.0000000000000001E-5</v>
      </c>
    </row>
    <row r="307" spans="1:53" ht="15" customHeight="1">
      <c r="A307" s="121">
        <v>313</v>
      </c>
      <c r="B307" s="121">
        <v>313</v>
      </c>
      <c r="C307" s="121"/>
      <c r="D307" s="120"/>
      <c r="E307" s="120"/>
      <c r="F307" s="121">
        <v>27276</v>
      </c>
      <c r="G307" s="120" t="s">
        <v>1013</v>
      </c>
      <c r="H307" s="120" t="s">
        <v>818</v>
      </c>
      <c r="I307" s="120" t="s">
        <v>203</v>
      </c>
      <c r="J307" s="120"/>
      <c r="K307" s="120" t="s">
        <v>444</v>
      </c>
      <c r="L307" s="120" t="s">
        <v>338</v>
      </c>
      <c r="M307" s="120" t="s">
        <v>338</v>
      </c>
      <c r="N307" s="121"/>
      <c r="O307" s="124">
        <v>42703</v>
      </c>
      <c r="P307" s="120" t="s">
        <v>1297</v>
      </c>
      <c r="Q307" s="120" t="s">
        <v>414</v>
      </c>
      <c r="R307" s="120" t="s">
        <v>407</v>
      </c>
      <c r="S307" s="120" t="s">
        <v>1217</v>
      </c>
      <c r="T307" s="122">
        <v>6.25</v>
      </c>
      <c r="U307" s="120" t="s">
        <v>2560</v>
      </c>
      <c r="V307" s="123">
        <v>2.784E-2</v>
      </c>
      <c r="W307" s="120"/>
      <c r="X307" s="120"/>
      <c r="Y307" s="123"/>
      <c r="Z307" s="123">
        <v>3.7999999999999999E-2</v>
      </c>
      <c r="AA307" s="124">
        <v>48030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45473</v>
      </c>
      <c r="AO307" s="120"/>
      <c r="AP307" s="123"/>
      <c r="AQ307" s="122">
        <v>25000000</v>
      </c>
      <c r="AR307" s="122">
        <v>110.56</v>
      </c>
      <c r="AS307" s="122">
        <v>1</v>
      </c>
      <c r="AT307" s="122">
        <v>27640</v>
      </c>
      <c r="AU307" s="122">
        <v>27640</v>
      </c>
      <c r="AV307" s="122"/>
      <c r="AW307" s="122"/>
      <c r="AX307" s="120"/>
      <c r="AY307" s="120"/>
      <c r="AZ307" s="123">
        <v>1.0541E-2</v>
      </c>
      <c r="BA307" s="123">
        <v>4.6299999999999998E-4</v>
      </c>
    </row>
    <row r="308" spans="1:53" ht="15" customHeight="1">
      <c r="A308" s="121">
        <v>313</v>
      </c>
      <c r="B308" s="121">
        <v>313</v>
      </c>
      <c r="C308" s="121"/>
      <c r="D308" s="120"/>
      <c r="E308" s="120"/>
      <c r="F308" s="121">
        <v>33241</v>
      </c>
      <c r="G308" s="120" t="s">
        <v>1013</v>
      </c>
      <c r="H308" s="120" t="s">
        <v>812</v>
      </c>
      <c r="I308" s="120" t="s">
        <v>203</v>
      </c>
      <c r="J308" s="120"/>
      <c r="K308" s="120" t="s">
        <v>484</v>
      </c>
      <c r="L308" s="120" t="s">
        <v>338</v>
      </c>
      <c r="M308" s="120" t="s">
        <v>337</v>
      </c>
      <c r="N308" s="121"/>
      <c r="O308" s="124">
        <v>40993</v>
      </c>
      <c r="P308" s="120" t="s">
        <v>1359</v>
      </c>
      <c r="Q308" s="120" t="s">
        <v>412</v>
      </c>
      <c r="R308" s="120" t="s">
        <v>407</v>
      </c>
      <c r="S308" s="120" t="s">
        <v>1217</v>
      </c>
      <c r="T308" s="122">
        <v>3.49</v>
      </c>
      <c r="U308" s="120" t="s">
        <v>2560</v>
      </c>
      <c r="V308" s="123">
        <v>5.5452000000000001E-2</v>
      </c>
      <c r="W308" s="120"/>
      <c r="X308" s="120"/>
      <c r="Y308" s="123"/>
      <c r="Z308" s="123">
        <v>2.9899999999999999E-2</v>
      </c>
      <c r="AA308" s="124">
        <v>47986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45473</v>
      </c>
      <c r="AO308" s="120"/>
      <c r="AP308" s="123"/>
      <c r="AQ308" s="122">
        <v>1968832.49</v>
      </c>
      <c r="AR308" s="122">
        <v>126.77</v>
      </c>
      <c r="AS308" s="122">
        <v>1</v>
      </c>
      <c r="AT308" s="122">
        <v>2495.88895</v>
      </c>
      <c r="AU308" s="122">
        <v>2495.88895</v>
      </c>
      <c r="AV308" s="122"/>
      <c r="AW308" s="122"/>
      <c r="AX308" s="120"/>
      <c r="AY308" s="120"/>
      <c r="AZ308" s="123">
        <v>9.5100000000000002E-4</v>
      </c>
      <c r="BA308" s="123">
        <v>4.1E-5</v>
      </c>
    </row>
    <row r="309" spans="1:53" ht="15" customHeight="1">
      <c r="A309" s="121">
        <v>313</v>
      </c>
      <c r="B309" s="121">
        <v>313</v>
      </c>
      <c r="C309" s="121"/>
      <c r="D309" s="120"/>
      <c r="E309" s="120"/>
      <c r="F309" s="121">
        <v>33266</v>
      </c>
      <c r="G309" s="120" t="s">
        <v>1013</v>
      </c>
      <c r="H309" s="120" t="s">
        <v>812</v>
      </c>
      <c r="I309" s="120" t="s">
        <v>203</v>
      </c>
      <c r="J309" s="120"/>
      <c r="K309" s="120" t="s">
        <v>484</v>
      </c>
      <c r="L309" s="120" t="s">
        <v>338</v>
      </c>
      <c r="M309" s="120" t="s">
        <v>337</v>
      </c>
      <c r="N309" s="121"/>
      <c r="O309" s="124">
        <v>40903</v>
      </c>
      <c r="P309" s="120" t="s">
        <v>1359</v>
      </c>
      <c r="Q309" s="120" t="s">
        <v>412</v>
      </c>
      <c r="R309" s="120" t="s">
        <v>407</v>
      </c>
      <c r="S309" s="120" t="s">
        <v>1217</v>
      </c>
      <c r="T309" s="122">
        <v>3.46</v>
      </c>
      <c r="U309" s="120" t="s">
        <v>2560</v>
      </c>
      <c r="V309" s="123">
        <v>5.6619999999999997E-2</v>
      </c>
      <c r="W309" s="120"/>
      <c r="X309" s="120"/>
      <c r="Y309" s="123"/>
      <c r="Z309" s="123">
        <v>3.4799999999999998E-2</v>
      </c>
      <c r="AA309" s="124">
        <v>47986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45473</v>
      </c>
      <c r="AO309" s="120"/>
      <c r="AP309" s="123"/>
      <c r="AQ309" s="122">
        <v>794243.53</v>
      </c>
      <c r="AR309" s="122">
        <v>125.19</v>
      </c>
      <c r="AS309" s="122">
        <v>1</v>
      </c>
      <c r="AT309" s="122">
        <v>994.31348000000003</v>
      </c>
      <c r="AU309" s="122">
        <v>994.31348000000003</v>
      </c>
      <c r="AV309" s="122"/>
      <c r="AW309" s="122"/>
      <c r="AX309" s="120"/>
      <c r="AY309" s="120"/>
      <c r="AZ309" s="123">
        <v>3.79E-4</v>
      </c>
      <c r="BA309" s="123">
        <v>1.5999999999999999E-5</v>
      </c>
    </row>
    <row r="310" spans="1:53" ht="15" customHeight="1">
      <c r="A310" s="121">
        <v>313</v>
      </c>
      <c r="B310" s="121">
        <v>313</v>
      </c>
      <c r="C310" s="121"/>
      <c r="D310" s="120"/>
      <c r="E310" s="120"/>
      <c r="F310" s="121">
        <v>33290</v>
      </c>
      <c r="G310" s="120" t="s">
        <v>1013</v>
      </c>
      <c r="H310" s="120" t="s">
        <v>812</v>
      </c>
      <c r="I310" s="120" t="s">
        <v>203</v>
      </c>
      <c r="J310" s="120"/>
      <c r="K310" s="120" t="s">
        <v>484</v>
      </c>
      <c r="L310" s="120" t="s">
        <v>338</v>
      </c>
      <c r="M310" s="120" t="s">
        <v>337</v>
      </c>
      <c r="N310" s="121"/>
      <c r="O310" s="124">
        <v>40933</v>
      </c>
      <c r="P310" s="120" t="s">
        <v>1359</v>
      </c>
      <c r="Q310" s="120" t="s">
        <v>412</v>
      </c>
      <c r="R310" s="120" t="s">
        <v>407</v>
      </c>
      <c r="S310" s="120" t="s">
        <v>1217</v>
      </c>
      <c r="T310" s="122">
        <v>3.49</v>
      </c>
      <c r="U310" s="120" t="s">
        <v>2560</v>
      </c>
      <c r="V310" s="123">
        <v>5.5309999999999998E-2</v>
      </c>
      <c r="W310" s="120"/>
      <c r="X310" s="120"/>
      <c r="Y310" s="123"/>
      <c r="Z310" s="123">
        <v>2.9899999999999999E-2</v>
      </c>
      <c r="AA310" s="124">
        <v>47986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45473</v>
      </c>
      <c r="AO310" s="120"/>
      <c r="AP310" s="123"/>
      <c r="AQ310" s="122">
        <v>3033371.14</v>
      </c>
      <c r="AR310" s="122">
        <v>126.7</v>
      </c>
      <c r="AS310" s="122">
        <v>1</v>
      </c>
      <c r="AT310" s="122">
        <v>3843.2812300000001</v>
      </c>
      <c r="AU310" s="122">
        <v>3843.2812300000001</v>
      </c>
      <c r="AV310" s="122"/>
      <c r="AW310" s="122"/>
      <c r="AX310" s="120"/>
      <c r="AY310" s="120"/>
      <c r="AZ310" s="123">
        <v>1.4649999999999999E-3</v>
      </c>
      <c r="BA310" s="123">
        <v>6.3999999999999997E-5</v>
      </c>
    </row>
    <row r="311" spans="1:53" ht="15" customHeight="1">
      <c r="A311" s="121">
        <v>313</v>
      </c>
      <c r="B311" s="121">
        <v>313</v>
      </c>
      <c r="C311" s="121"/>
      <c r="D311" s="120"/>
      <c r="E311" s="120"/>
      <c r="F311" s="121">
        <v>36640</v>
      </c>
      <c r="G311" s="120" t="s">
        <v>1013</v>
      </c>
      <c r="H311" s="120" t="s">
        <v>812</v>
      </c>
      <c r="I311" s="120" t="s">
        <v>203</v>
      </c>
      <c r="J311" s="120"/>
      <c r="K311" s="120" t="s">
        <v>439</v>
      </c>
      <c r="L311" s="120" t="s">
        <v>338</v>
      </c>
      <c r="M311" s="120" t="s">
        <v>337</v>
      </c>
      <c r="N311" s="121"/>
      <c r="O311" s="124">
        <v>41767</v>
      </c>
      <c r="P311" s="120" t="s">
        <v>1297</v>
      </c>
      <c r="Q311" s="120" t="s">
        <v>414</v>
      </c>
      <c r="R311" s="120" t="s">
        <v>407</v>
      </c>
      <c r="S311" s="120" t="s">
        <v>1217</v>
      </c>
      <c r="T311" s="122">
        <v>3.99</v>
      </c>
      <c r="U311" s="120" t="s">
        <v>2560</v>
      </c>
      <c r="V311" s="123">
        <v>5.3499999999999999E-2</v>
      </c>
      <c r="W311" s="120"/>
      <c r="X311" s="120"/>
      <c r="Y311" s="123"/>
      <c r="Z311" s="123">
        <v>2.98E-2</v>
      </c>
      <c r="AA311" s="124">
        <v>48479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45473</v>
      </c>
      <c r="AO311" s="120"/>
      <c r="AP311" s="123"/>
      <c r="AQ311" s="122">
        <v>341479.34</v>
      </c>
      <c r="AR311" s="122">
        <v>126.6</v>
      </c>
      <c r="AS311" s="122">
        <v>1</v>
      </c>
      <c r="AT311" s="122">
        <v>432.31283999999999</v>
      </c>
      <c r="AU311" s="122">
        <v>432.31283999999999</v>
      </c>
      <c r="AV311" s="122"/>
      <c r="AW311" s="122"/>
      <c r="AX311" s="120"/>
      <c r="AY311" s="120"/>
      <c r="AZ311" s="123">
        <v>1.64E-4</v>
      </c>
      <c r="BA311" s="123">
        <v>6.9999999999999999E-6</v>
      </c>
    </row>
    <row r="312" spans="1:53" ht="15" customHeight="1">
      <c r="A312" s="121">
        <v>313</v>
      </c>
      <c r="B312" s="121">
        <v>313</v>
      </c>
      <c r="C312" s="121"/>
      <c r="D312" s="120"/>
      <c r="E312" s="120"/>
      <c r="F312" s="121">
        <v>36723</v>
      </c>
      <c r="G312" s="120" t="s">
        <v>1013</v>
      </c>
      <c r="H312" s="120" t="s">
        <v>812</v>
      </c>
      <c r="I312" s="120" t="s">
        <v>203</v>
      </c>
      <c r="J312" s="120"/>
      <c r="K312" s="120" t="s">
        <v>439</v>
      </c>
      <c r="L312" s="120" t="s">
        <v>338</v>
      </c>
      <c r="M312" s="120" t="s">
        <v>338</v>
      </c>
      <c r="N312" s="121"/>
      <c r="O312" s="124">
        <v>41966</v>
      </c>
      <c r="P312" s="120" t="s">
        <v>1941</v>
      </c>
      <c r="Q312" s="120" t="s">
        <v>414</v>
      </c>
      <c r="R312" s="120" t="s">
        <v>407</v>
      </c>
      <c r="S312" s="120" t="s">
        <v>1217</v>
      </c>
      <c r="T312" s="122">
        <v>3.75</v>
      </c>
      <c r="U312" s="120" t="s">
        <v>2560</v>
      </c>
      <c r="V312" s="123">
        <v>3.5000000000000003E-2</v>
      </c>
      <c r="W312" s="120"/>
      <c r="X312" s="120"/>
      <c r="Y312" s="123"/>
      <c r="Z312" s="123">
        <v>2.6700000000000002E-2</v>
      </c>
      <c r="AA312" s="124">
        <v>48304</v>
      </c>
      <c r="AB312" s="120" t="s">
        <v>411</v>
      </c>
      <c r="AC312" s="120"/>
      <c r="AD312" s="122"/>
      <c r="AE312" s="123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45473</v>
      </c>
      <c r="AO312" s="120"/>
      <c r="AP312" s="123"/>
      <c r="AQ312" s="122">
        <v>10588992.720000001</v>
      </c>
      <c r="AR312" s="122">
        <v>117.89</v>
      </c>
      <c r="AS312" s="122">
        <v>1</v>
      </c>
      <c r="AT312" s="122">
        <v>12483.363520000001</v>
      </c>
      <c r="AU312" s="122">
        <v>12483.363520000001</v>
      </c>
      <c r="AV312" s="122"/>
      <c r="AW312" s="122"/>
      <c r="AX312" s="120"/>
      <c r="AY312" s="120"/>
      <c r="AZ312" s="123">
        <v>4.7600000000000003E-3</v>
      </c>
      <c r="BA312" s="123">
        <v>2.0900000000000001E-4</v>
      </c>
    </row>
    <row r="313" spans="1:53" ht="15" customHeight="1">
      <c r="A313" s="121">
        <v>313</v>
      </c>
      <c r="B313" s="121">
        <v>313</v>
      </c>
      <c r="C313" s="121"/>
      <c r="D313" s="120"/>
      <c r="E313" s="120"/>
      <c r="F313" s="121">
        <v>44115</v>
      </c>
      <c r="G313" s="120" t="s">
        <v>1013</v>
      </c>
      <c r="H313" s="120" t="s">
        <v>812</v>
      </c>
      <c r="I313" s="120" t="s">
        <v>203</v>
      </c>
      <c r="J313" s="120"/>
      <c r="K313" s="120" t="s">
        <v>439</v>
      </c>
      <c r="L313" s="120" t="s">
        <v>338</v>
      </c>
      <c r="M313" s="120" t="s">
        <v>337</v>
      </c>
      <c r="N313" s="121"/>
      <c r="O313" s="124">
        <v>41269</v>
      </c>
      <c r="P313" s="120" t="s">
        <v>1297</v>
      </c>
      <c r="Q313" s="120" t="s">
        <v>414</v>
      </c>
      <c r="R313" s="120" t="s">
        <v>407</v>
      </c>
      <c r="S313" s="120" t="s">
        <v>1217</v>
      </c>
      <c r="T313" s="122">
        <v>4.0199999999999996</v>
      </c>
      <c r="U313" s="120" t="s">
        <v>2560</v>
      </c>
      <c r="V313" s="123">
        <v>5.3499999999999999E-2</v>
      </c>
      <c r="W313" s="120"/>
      <c r="X313" s="120"/>
      <c r="Y313" s="123"/>
      <c r="Z313" s="123">
        <v>2.53E-2</v>
      </c>
      <c r="AA313" s="124">
        <v>48479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45473</v>
      </c>
      <c r="AO313" s="120"/>
      <c r="AP313" s="123"/>
      <c r="AQ313" s="122">
        <v>1836717.9</v>
      </c>
      <c r="AR313" s="122">
        <v>130.80000000000001</v>
      </c>
      <c r="AS313" s="122">
        <v>1</v>
      </c>
      <c r="AT313" s="122">
        <v>2402.4270099999999</v>
      </c>
      <c r="AU313" s="122">
        <v>2402.4270099999999</v>
      </c>
      <c r="AV313" s="122"/>
      <c r="AW313" s="122"/>
      <c r="AX313" s="120"/>
      <c r="AY313" s="120"/>
      <c r="AZ313" s="123">
        <v>9.1600000000000004E-4</v>
      </c>
      <c r="BA313" s="123">
        <v>4.0000000000000003E-5</v>
      </c>
    </row>
    <row r="314" spans="1:53" ht="15" customHeight="1">
      <c r="A314" s="121">
        <v>313</v>
      </c>
      <c r="B314" s="121">
        <v>313</v>
      </c>
      <c r="C314" s="121"/>
      <c r="D314" s="120"/>
      <c r="E314" s="120"/>
      <c r="F314" s="121">
        <v>44123</v>
      </c>
      <c r="G314" s="120" t="s">
        <v>1013</v>
      </c>
      <c r="H314" s="120" t="s">
        <v>812</v>
      </c>
      <c r="I314" s="120" t="s">
        <v>203</v>
      </c>
      <c r="J314" s="120"/>
      <c r="K314" s="120" t="s">
        <v>439</v>
      </c>
      <c r="L314" s="120" t="s">
        <v>338</v>
      </c>
      <c r="M314" s="120" t="s">
        <v>337</v>
      </c>
      <c r="N314" s="121"/>
      <c r="O314" s="124">
        <v>41269</v>
      </c>
      <c r="P314" s="120" t="s">
        <v>1297</v>
      </c>
      <c r="Q314" s="120" t="s">
        <v>414</v>
      </c>
      <c r="R314" s="120" t="s">
        <v>407</v>
      </c>
      <c r="S314" s="120" t="s">
        <v>1217</v>
      </c>
      <c r="T314" s="122">
        <v>4.0199999999999996</v>
      </c>
      <c r="U314" s="120" t="s">
        <v>2560</v>
      </c>
      <c r="V314" s="123">
        <v>5.3499999999999999E-2</v>
      </c>
      <c r="W314" s="120"/>
      <c r="X314" s="120"/>
      <c r="Y314" s="123"/>
      <c r="Z314" s="123">
        <v>2.53E-2</v>
      </c>
      <c r="AA314" s="124">
        <v>48479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45473</v>
      </c>
      <c r="AO314" s="120"/>
      <c r="AP314" s="123"/>
      <c r="AQ314" s="122">
        <v>1728673.99</v>
      </c>
      <c r="AR314" s="122">
        <v>130.80000000000001</v>
      </c>
      <c r="AS314" s="122">
        <v>1</v>
      </c>
      <c r="AT314" s="122">
        <v>2261.1055799999999</v>
      </c>
      <c r="AU314" s="122">
        <v>2261.1055799999999</v>
      </c>
      <c r="AV314" s="122"/>
      <c r="AW314" s="122"/>
      <c r="AX314" s="120"/>
      <c r="AY314" s="120"/>
      <c r="AZ314" s="123">
        <v>8.6200000000000003E-4</v>
      </c>
      <c r="BA314" s="123">
        <v>3.6999999999999998E-5</v>
      </c>
    </row>
    <row r="315" spans="1:53" ht="15" customHeight="1">
      <c r="A315" s="121">
        <v>313</v>
      </c>
      <c r="B315" s="121">
        <v>313</v>
      </c>
      <c r="C315" s="121"/>
      <c r="D315" s="120"/>
      <c r="E315" s="120"/>
      <c r="F315" s="121">
        <v>36632</v>
      </c>
      <c r="G315" s="120" t="s">
        <v>1013</v>
      </c>
      <c r="H315" s="120" t="s">
        <v>812</v>
      </c>
      <c r="I315" s="120" t="s">
        <v>203</v>
      </c>
      <c r="J315" s="120"/>
      <c r="K315" s="120" t="s">
        <v>439</v>
      </c>
      <c r="L315" s="120" t="s">
        <v>338</v>
      </c>
      <c r="M315" s="120" t="s">
        <v>337</v>
      </c>
      <c r="N315" s="121"/>
      <c r="O315" s="124">
        <v>41767</v>
      </c>
      <c r="P315" s="120" t="s">
        <v>1297</v>
      </c>
      <c r="Q315" s="120" t="s">
        <v>414</v>
      </c>
      <c r="R315" s="120" t="s">
        <v>407</v>
      </c>
      <c r="S315" s="120" t="s">
        <v>1217</v>
      </c>
      <c r="T315" s="122">
        <v>3.99</v>
      </c>
      <c r="U315" s="120" t="s">
        <v>2560</v>
      </c>
      <c r="V315" s="123">
        <v>5.3499999999999999E-2</v>
      </c>
      <c r="W315" s="120"/>
      <c r="X315" s="120"/>
      <c r="Y315" s="123"/>
      <c r="Z315" s="123">
        <v>2.98E-2</v>
      </c>
      <c r="AA315" s="124">
        <v>48479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45473</v>
      </c>
      <c r="AO315" s="120"/>
      <c r="AP315" s="123"/>
      <c r="AQ315" s="122">
        <v>419305.13</v>
      </c>
      <c r="AR315" s="122">
        <v>126.6</v>
      </c>
      <c r="AS315" s="122">
        <v>1</v>
      </c>
      <c r="AT315" s="122">
        <v>530.84028999999998</v>
      </c>
      <c r="AU315" s="122">
        <v>530.84028999999998</v>
      </c>
      <c r="AV315" s="122"/>
      <c r="AW315" s="122"/>
      <c r="AX315" s="120"/>
      <c r="AY315" s="120"/>
      <c r="AZ315" s="123">
        <v>2.02E-4</v>
      </c>
      <c r="BA315" s="123">
        <v>7.9999999999999996E-6</v>
      </c>
    </row>
    <row r="316" spans="1:53" ht="15" customHeight="1">
      <c r="A316" s="121">
        <v>313</v>
      </c>
      <c r="B316" s="121">
        <v>313</v>
      </c>
      <c r="C316" s="121"/>
      <c r="D316" s="120"/>
      <c r="E316" s="120"/>
      <c r="F316" s="121">
        <v>44131</v>
      </c>
      <c r="G316" s="120" t="s">
        <v>1013</v>
      </c>
      <c r="H316" s="120" t="s">
        <v>812</v>
      </c>
      <c r="I316" s="120" t="s">
        <v>203</v>
      </c>
      <c r="J316" s="120"/>
      <c r="K316" s="120" t="s">
        <v>484</v>
      </c>
      <c r="L316" s="120" t="s">
        <v>338</v>
      </c>
      <c r="M316" s="120" t="s">
        <v>337</v>
      </c>
      <c r="N316" s="121"/>
      <c r="O316" s="124">
        <v>41269</v>
      </c>
      <c r="P316" s="120" t="s">
        <v>1359</v>
      </c>
      <c r="Q316" s="120" t="s">
        <v>412</v>
      </c>
      <c r="R316" s="120" t="s">
        <v>407</v>
      </c>
      <c r="S316" s="120" t="s">
        <v>1217</v>
      </c>
      <c r="T316" s="122">
        <v>3.49</v>
      </c>
      <c r="U316" s="120" t="s">
        <v>2560</v>
      </c>
      <c r="V316" s="123">
        <v>5.5E-2</v>
      </c>
      <c r="W316" s="120"/>
      <c r="X316" s="120"/>
      <c r="Y316" s="123"/>
      <c r="Z316" s="123">
        <v>2.8899999999999999E-2</v>
      </c>
      <c r="AA316" s="124">
        <v>47986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45473</v>
      </c>
      <c r="AO316" s="120"/>
      <c r="AP316" s="123"/>
      <c r="AQ316" s="122">
        <v>707961.78</v>
      </c>
      <c r="AR316" s="122">
        <v>125.22</v>
      </c>
      <c r="AS316" s="122">
        <v>1</v>
      </c>
      <c r="AT316" s="122">
        <v>886.50973999999997</v>
      </c>
      <c r="AU316" s="122">
        <v>886.50973999999997</v>
      </c>
      <c r="AV316" s="122"/>
      <c r="AW316" s="122"/>
      <c r="AX316" s="120"/>
      <c r="AY316" s="120"/>
      <c r="AZ316" s="123">
        <v>3.3799999999999998E-4</v>
      </c>
      <c r="BA316" s="123">
        <v>1.4E-5</v>
      </c>
    </row>
    <row r="317" spans="1:53" ht="15" customHeight="1">
      <c r="A317" s="121">
        <v>313</v>
      </c>
      <c r="B317" s="121">
        <v>313</v>
      </c>
      <c r="C317" s="121"/>
      <c r="D317" s="120"/>
      <c r="E317" s="120"/>
      <c r="F317" s="121">
        <v>44636</v>
      </c>
      <c r="G317" s="120" t="s">
        <v>1013</v>
      </c>
      <c r="H317" s="120" t="s">
        <v>818</v>
      </c>
      <c r="I317" s="120" t="s">
        <v>203</v>
      </c>
      <c r="J317" s="120"/>
      <c r="K317" s="120" t="s">
        <v>447</v>
      </c>
      <c r="L317" s="120" t="s">
        <v>338</v>
      </c>
      <c r="M317" s="120" t="s">
        <v>338</v>
      </c>
      <c r="N317" s="121"/>
      <c r="O317" s="124">
        <v>42505</v>
      </c>
      <c r="P317" s="120" t="s">
        <v>1215</v>
      </c>
      <c r="Q317" s="120" t="s">
        <v>412</v>
      </c>
      <c r="R317" s="120" t="s">
        <v>407</v>
      </c>
      <c r="S317" s="120" t="s">
        <v>1217</v>
      </c>
      <c r="T317" s="122">
        <v>9.9999999999999995E-7</v>
      </c>
      <c r="U317" s="120" t="s">
        <v>824</v>
      </c>
      <c r="V317" s="123">
        <v>5.0000000000000001E-4</v>
      </c>
      <c r="W317" s="120"/>
      <c r="X317" s="120"/>
      <c r="Y317" s="123"/>
      <c r="Z317" s="123">
        <v>0</v>
      </c>
      <c r="AA317" s="124">
        <v>45427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45473</v>
      </c>
      <c r="AO317" s="120"/>
      <c r="AP317" s="123"/>
      <c r="AQ317" s="122">
        <v>4064546.24</v>
      </c>
      <c r="AR317" s="122">
        <v>101.10980000000001</v>
      </c>
      <c r="AS317" s="122">
        <v>1</v>
      </c>
      <c r="AT317" s="122">
        <v>4109.6547799999998</v>
      </c>
      <c r="AU317" s="122">
        <v>4109.6547799999998</v>
      </c>
      <c r="AV317" s="122"/>
      <c r="AW317" s="122"/>
      <c r="AX317" s="120"/>
      <c r="AY317" s="120"/>
      <c r="AZ317" s="123">
        <v>1.567E-3</v>
      </c>
      <c r="BA317" s="123">
        <v>6.7999999999999999E-5</v>
      </c>
    </row>
    <row r="318" spans="1:53" ht="15" customHeight="1">
      <c r="A318" s="121">
        <v>313</v>
      </c>
      <c r="B318" s="121">
        <v>313</v>
      </c>
      <c r="C318" s="121"/>
      <c r="D318" s="120"/>
      <c r="E318" s="120"/>
      <c r="F318" s="121">
        <v>44644</v>
      </c>
      <c r="G318" s="120" t="s">
        <v>1013</v>
      </c>
      <c r="H318" s="120" t="s">
        <v>818</v>
      </c>
      <c r="I318" s="120" t="s">
        <v>203</v>
      </c>
      <c r="J318" s="120"/>
      <c r="K318" s="120" t="s">
        <v>313</v>
      </c>
      <c r="L318" s="120" t="s">
        <v>338</v>
      </c>
      <c r="M318" s="120" t="s">
        <v>338</v>
      </c>
      <c r="N318" s="121"/>
      <c r="O318" s="124">
        <v>42505</v>
      </c>
      <c r="P318" s="120" t="s">
        <v>409</v>
      </c>
      <c r="Q318" s="120" t="s">
        <v>409</v>
      </c>
      <c r="R318" s="120" t="s">
        <v>409</v>
      </c>
      <c r="S318" s="120" t="s">
        <v>1217</v>
      </c>
      <c r="T318" s="122">
        <v>3.9</v>
      </c>
      <c r="U318" s="120" t="s">
        <v>824</v>
      </c>
      <c r="V318" s="123">
        <v>1.6E-2</v>
      </c>
      <c r="W318" s="120"/>
      <c r="X318" s="120"/>
      <c r="Y318" s="123"/>
      <c r="Z318" s="123">
        <v>-3.32E-2</v>
      </c>
      <c r="AA318" s="124">
        <v>48228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45473</v>
      </c>
      <c r="AO318" s="120"/>
      <c r="AP318" s="123"/>
      <c r="AQ318" s="122">
        <v>31400770.030000001</v>
      </c>
      <c r="AR318" s="122">
        <v>120.7115</v>
      </c>
      <c r="AS318" s="122">
        <v>1</v>
      </c>
      <c r="AT318" s="122">
        <v>37904.350879999998</v>
      </c>
      <c r="AU318" s="122">
        <v>37904.350879999998</v>
      </c>
      <c r="AV318" s="122"/>
      <c r="AW318" s="122"/>
      <c r="AX318" s="120"/>
      <c r="AY318" s="120"/>
      <c r="AZ318" s="123">
        <v>1.4456E-2</v>
      </c>
      <c r="BA318" s="123">
        <v>6.3599999999999996E-4</v>
      </c>
    </row>
    <row r="319" spans="1:53" ht="15" customHeight="1">
      <c r="A319" s="121">
        <v>313</v>
      </c>
      <c r="B319" s="121">
        <v>313</v>
      </c>
      <c r="C319" s="121"/>
      <c r="D319" s="120"/>
      <c r="E319" s="120"/>
      <c r="F319" s="121">
        <v>44727</v>
      </c>
      <c r="G319" s="120" t="s">
        <v>1013</v>
      </c>
      <c r="H319" s="120" t="s">
        <v>812</v>
      </c>
      <c r="I319" s="120" t="s">
        <v>203</v>
      </c>
      <c r="J319" s="120"/>
      <c r="K319" s="120" t="s">
        <v>439</v>
      </c>
      <c r="L319" s="120" t="s">
        <v>338</v>
      </c>
      <c r="M319" s="120" t="s">
        <v>338</v>
      </c>
      <c r="N319" s="121"/>
      <c r="O319" s="124">
        <v>42218</v>
      </c>
      <c r="P319" s="120" t="s">
        <v>1315</v>
      </c>
      <c r="Q319" s="120" t="s">
        <v>414</v>
      </c>
      <c r="R319" s="120" t="s">
        <v>407</v>
      </c>
      <c r="S319" s="120" t="s">
        <v>1217</v>
      </c>
      <c r="T319" s="122">
        <v>3.84</v>
      </c>
      <c r="U319" s="120" t="s">
        <v>2560</v>
      </c>
      <c r="V319" s="123">
        <v>3.4845000000000001E-2</v>
      </c>
      <c r="W319" s="120"/>
      <c r="X319" s="120"/>
      <c r="Y319" s="123"/>
      <c r="Z319" s="123">
        <v>2.8799999999999999E-2</v>
      </c>
      <c r="AA319" s="124">
        <v>48213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45473</v>
      </c>
      <c r="AO319" s="120"/>
      <c r="AP319" s="123"/>
      <c r="AQ319" s="122">
        <v>6281234.2199999997</v>
      </c>
      <c r="AR319" s="122">
        <v>116.51</v>
      </c>
      <c r="AS319" s="122">
        <v>1</v>
      </c>
      <c r="AT319" s="122">
        <v>7318.2659899999999</v>
      </c>
      <c r="AU319" s="122">
        <v>7318.2659899999999</v>
      </c>
      <c r="AV319" s="122"/>
      <c r="AW319" s="122"/>
      <c r="AX319" s="120"/>
      <c r="AY319" s="120"/>
      <c r="AZ319" s="123">
        <v>2.7910000000000001E-3</v>
      </c>
      <c r="BA319" s="123">
        <v>1.22E-4</v>
      </c>
    </row>
    <row r="320" spans="1:53" ht="15" customHeight="1">
      <c r="A320" s="121">
        <v>313</v>
      </c>
      <c r="B320" s="121">
        <v>313</v>
      </c>
      <c r="C320" s="121"/>
      <c r="D320" s="120"/>
      <c r="E320" s="120"/>
      <c r="F320" s="121">
        <v>44743</v>
      </c>
      <c r="G320" s="120" t="s">
        <v>1013</v>
      </c>
      <c r="H320" s="120" t="s">
        <v>812</v>
      </c>
      <c r="I320" s="120" t="s">
        <v>203</v>
      </c>
      <c r="J320" s="120"/>
      <c r="K320" s="120" t="s">
        <v>439</v>
      </c>
      <c r="L320" s="120" t="s">
        <v>338</v>
      </c>
      <c r="M320" s="120" t="s">
        <v>337</v>
      </c>
      <c r="N320" s="121"/>
      <c r="O320" s="124">
        <v>42218</v>
      </c>
      <c r="P320" s="120" t="s">
        <v>1315</v>
      </c>
      <c r="Q320" s="120" t="s">
        <v>414</v>
      </c>
      <c r="R320" s="120" t="s">
        <v>407</v>
      </c>
      <c r="S320" s="120" t="s">
        <v>1217</v>
      </c>
      <c r="T320" s="122">
        <v>4.3</v>
      </c>
      <c r="U320" s="120" t="s">
        <v>2560</v>
      </c>
      <c r="V320" s="123">
        <v>3.5522999999999999E-2</v>
      </c>
      <c r="W320" s="120"/>
      <c r="X320" s="120"/>
      <c r="Y320" s="123"/>
      <c r="Z320" s="123">
        <v>2.92E-2</v>
      </c>
      <c r="AA320" s="124">
        <v>48579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45473</v>
      </c>
      <c r="AO320" s="120"/>
      <c r="AP320" s="123"/>
      <c r="AQ320" s="122">
        <v>4729400.78</v>
      </c>
      <c r="AR320" s="122">
        <v>116.96</v>
      </c>
      <c r="AS320" s="122">
        <v>1</v>
      </c>
      <c r="AT320" s="122">
        <v>5531.5071500000004</v>
      </c>
      <c r="AU320" s="122">
        <v>5531.5071500000004</v>
      </c>
      <c r="AV320" s="122"/>
      <c r="AW320" s="122"/>
      <c r="AX320" s="120"/>
      <c r="AY320" s="120"/>
      <c r="AZ320" s="123">
        <v>2.1090000000000002E-3</v>
      </c>
      <c r="BA320" s="123">
        <v>9.2E-5</v>
      </c>
    </row>
    <row r="321" spans="1:53" ht="15" customHeight="1">
      <c r="A321" s="121">
        <v>313</v>
      </c>
      <c r="B321" s="121">
        <v>313</v>
      </c>
      <c r="C321" s="121"/>
      <c r="D321" s="120"/>
      <c r="E321" s="120"/>
      <c r="F321" s="121">
        <v>44164</v>
      </c>
      <c r="G321" s="120" t="s">
        <v>1013</v>
      </c>
      <c r="H321" s="120" t="s">
        <v>812</v>
      </c>
      <c r="I321" s="120" t="s">
        <v>203</v>
      </c>
      <c r="J321" s="120"/>
      <c r="K321" s="120" t="s">
        <v>484</v>
      </c>
      <c r="L321" s="120" t="s">
        <v>338</v>
      </c>
      <c r="M321" s="120" t="s">
        <v>337</v>
      </c>
      <c r="N321" s="121"/>
      <c r="O321" s="124">
        <v>41330</v>
      </c>
      <c r="P321" s="120" t="s">
        <v>1359</v>
      </c>
      <c r="Q321" s="120" t="s">
        <v>412</v>
      </c>
      <c r="R321" s="120" t="s">
        <v>407</v>
      </c>
      <c r="S321" s="120" t="s">
        <v>1217</v>
      </c>
      <c r="T321" s="122">
        <v>3.49</v>
      </c>
      <c r="U321" s="120" t="s">
        <v>2560</v>
      </c>
      <c r="V321" s="123">
        <v>5.5E-2</v>
      </c>
      <c r="W321" s="120"/>
      <c r="X321" s="120"/>
      <c r="Y321" s="123"/>
      <c r="Z321" s="123">
        <v>0.03</v>
      </c>
      <c r="AA321" s="124">
        <v>47986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45473</v>
      </c>
      <c r="AO321" s="120"/>
      <c r="AP321" s="123"/>
      <c r="AQ321" s="122">
        <v>2221130.4900000002</v>
      </c>
      <c r="AR321" s="122">
        <v>124.74</v>
      </c>
      <c r="AS321" s="122">
        <v>1</v>
      </c>
      <c r="AT321" s="122">
        <v>2770.6381700000002</v>
      </c>
      <c r="AU321" s="122">
        <v>2770.6381700000002</v>
      </c>
      <c r="AV321" s="122"/>
      <c r="AW321" s="122"/>
      <c r="AX321" s="120"/>
      <c r="AY321" s="120"/>
      <c r="AZ321" s="123">
        <v>1.0560000000000001E-3</v>
      </c>
      <c r="BA321" s="123">
        <v>4.6E-5</v>
      </c>
    </row>
    <row r="322" spans="1:53" ht="15" customHeight="1">
      <c r="A322" s="121">
        <v>313</v>
      </c>
      <c r="B322" s="121">
        <v>313</v>
      </c>
      <c r="C322" s="121"/>
      <c r="D322" s="120"/>
      <c r="E322" s="120"/>
      <c r="F322" s="121">
        <v>50001019</v>
      </c>
      <c r="G322" s="120" t="s">
        <v>1013</v>
      </c>
      <c r="H322" s="120" t="s">
        <v>2562</v>
      </c>
      <c r="I322" s="120" t="s">
        <v>203</v>
      </c>
      <c r="J322" s="120"/>
      <c r="K322" s="120" t="s">
        <v>446</v>
      </c>
      <c r="L322" s="120" t="s">
        <v>338</v>
      </c>
      <c r="M322" s="120" t="s">
        <v>337</v>
      </c>
      <c r="N322" s="121"/>
      <c r="O322" s="124">
        <v>44452</v>
      </c>
      <c r="P322" s="120" t="s">
        <v>2561</v>
      </c>
      <c r="Q322" s="120" t="s">
        <v>414</v>
      </c>
      <c r="R322" s="120" t="s">
        <v>407</v>
      </c>
      <c r="S322" s="120" t="s">
        <v>1217</v>
      </c>
      <c r="T322" s="122">
        <v>8.4700000000000006</v>
      </c>
      <c r="U322" s="120" t="s">
        <v>2560</v>
      </c>
      <c r="V322" s="123">
        <v>1.9311999999999999E-2</v>
      </c>
      <c r="W322" s="120"/>
      <c r="X322" s="120"/>
      <c r="Y322" s="123"/>
      <c r="Z322" s="123">
        <v>4.4699999999999997E-2</v>
      </c>
      <c r="AA322" s="124">
        <v>51940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45473</v>
      </c>
      <c r="AO322" s="120"/>
      <c r="AP322" s="123"/>
      <c r="AQ322" s="122">
        <v>101982.29</v>
      </c>
      <c r="AR322" s="122">
        <v>89.91</v>
      </c>
      <c r="AS322" s="122">
        <v>1</v>
      </c>
      <c r="AT322" s="122">
        <v>91.692279999999997</v>
      </c>
      <c r="AU322" s="122">
        <v>91.692279999999997</v>
      </c>
      <c r="AV322" s="122"/>
      <c r="AW322" s="122"/>
      <c r="AX322" s="120"/>
      <c r="AY322" s="120"/>
      <c r="AZ322" s="123">
        <v>3.4E-5</v>
      </c>
      <c r="BA322" s="123">
        <v>9.9999999999999995E-7</v>
      </c>
    </row>
    <row r="323" spans="1:53" ht="15" customHeight="1">
      <c r="A323" s="121">
        <v>313</v>
      </c>
      <c r="B323" s="121">
        <v>313</v>
      </c>
      <c r="C323" s="121"/>
      <c r="D323" s="120"/>
      <c r="E323" s="120"/>
      <c r="F323" s="121">
        <v>36624</v>
      </c>
      <c r="G323" s="120" t="s">
        <v>1013</v>
      </c>
      <c r="H323" s="120" t="s">
        <v>812</v>
      </c>
      <c r="I323" s="120" t="s">
        <v>203</v>
      </c>
      <c r="J323" s="120"/>
      <c r="K323" s="120" t="s">
        <v>439</v>
      </c>
      <c r="L323" s="120" t="s">
        <v>338</v>
      </c>
      <c r="M323" s="120" t="s">
        <v>337</v>
      </c>
      <c r="N323" s="121"/>
      <c r="O323" s="124">
        <v>41767</v>
      </c>
      <c r="P323" s="120" t="s">
        <v>1297</v>
      </c>
      <c r="Q323" s="120" t="s">
        <v>414</v>
      </c>
      <c r="R323" s="120" t="s">
        <v>407</v>
      </c>
      <c r="S323" s="120" t="s">
        <v>1217</v>
      </c>
      <c r="T323" s="122">
        <v>3.99</v>
      </c>
      <c r="U323" s="120" t="s">
        <v>2560</v>
      </c>
      <c r="V323" s="123">
        <v>5.3499999999999999E-2</v>
      </c>
      <c r="W323" s="120"/>
      <c r="X323" s="120"/>
      <c r="Y323" s="123"/>
      <c r="Z323" s="123">
        <v>2.98E-2</v>
      </c>
      <c r="AA323" s="124">
        <v>48479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45473</v>
      </c>
      <c r="AO323" s="120"/>
      <c r="AP323" s="123"/>
      <c r="AQ323" s="122">
        <v>279392.05</v>
      </c>
      <c r="AR323" s="122">
        <v>126.6</v>
      </c>
      <c r="AS323" s="122">
        <v>1</v>
      </c>
      <c r="AT323" s="122">
        <v>353.71033999999997</v>
      </c>
      <c r="AU323" s="122">
        <v>353.71033999999997</v>
      </c>
      <c r="AV323" s="122"/>
      <c r="AW323" s="122"/>
      <c r="AX323" s="120"/>
      <c r="AY323" s="120"/>
      <c r="AZ323" s="123">
        <v>1.34E-4</v>
      </c>
      <c r="BA323" s="123">
        <v>5.0000000000000004E-6</v>
      </c>
    </row>
    <row r="324" spans="1:53" ht="15" customHeight="1">
      <c r="A324" s="121">
        <v>313</v>
      </c>
      <c r="B324" s="121">
        <v>313</v>
      </c>
      <c r="C324" s="121"/>
      <c r="D324" s="120"/>
      <c r="E324" s="120"/>
      <c r="F324" s="121">
        <v>36608</v>
      </c>
      <c r="G324" s="120" t="s">
        <v>1013</v>
      </c>
      <c r="H324" s="120" t="s">
        <v>812</v>
      </c>
      <c r="I324" s="120" t="s">
        <v>203</v>
      </c>
      <c r="J324" s="120"/>
      <c r="K324" s="120" t="s">
        <v>439</v>
      </c>
      <c r="L324" s="120" t="s">
        <v>338</v>
      </c>
      <c r="M324" s="120" t="s">
        <v>337</v>
      </c>
      <c r="N324" s="121"/>
      <c r="O324" s="124">
        <v>41767</v>
      </c>
      <c r="P324" s="120" t="s">
        <v>1297</v>
      </c>
      <c r="Q324" s="120" t="s">
        <v>414</v>
      </c>
      <c r="R324" s="120" t="s">
        <v>407</v>
      </c>
      <c r="S324" s="120" t="s">
        <v>1217</v>
      </c>
      <c r="T324" s="122">
        <v>3.99</v>
      </c>
      <c r="U324" s="120" t="s">
        <v>2560</v>
      </c>
      <c r="V324" s="123">
        <v>5.3499999999999999E-2</v>
      </c>
      <c r="W324" s="120"/>
      <c r="X324" s="120"/>
      <c r="Y324" s="123"/>
      <c r="Z324" s="123">
        <v>2.98E-2</v>
      </c>
      <c r="AA324" s="124">
        <v>48479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45473</v>
      </c>
      <c r="AO324" s="120"/>
      <c r="AP324" s="123"/>
      <c r="AQ324" s="122">
        <v>357001.12</v>
      </c>
      <c r="AR324" s="122">
        <v>126.6</v>
      </c>
      <c r="AS324" s="122">
        <v>1</v>
      </c>
      <c r="AT324" s="122">
        <v>451.96341999999999</v>
      </c>
      <c r="AU324" s="122">
        <v>451.96341999999999</v>
      </c>
      <c r="AV324" s="122"/>
      <c r="AW324" s="122"/>
      <c r="AX324" s="120"/>
      <c r="AY324" s="120"/>
      <c r="AZ324" s="123">
        <v>1.7200000000000001E-4</v>
      </c>
      <c r="BA324" s="123">
        <v>6.9999999999999999E-6</v>
      </c>
    </row>
    <row r="325" spans="1:53" ht="15" customHeight="1">
      <c r="A325" s="121">
        <v>313</v>
      </c>
      <c r="B325" s="121">
        <v>313</v>
      </c>
      <c r="C325" s="121"/>
      <c r="D325" s="120"/>
      <c r="E325" s="120"/>
      <c r="F325" s="121">
        <v>33357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41053</v>
      </c>
      <c r="P325" s="120" t="s">
        <v>1359</v>
      </c>
      <c r="Q325" s="120" t="s">
        <v>412</v>
      </c>
      <c r="R325" s="120" t="s">
        <v>407</v>
      </c>
      <c r="S325" s="120" t="s">
        <v>1217</v>
      </c>
      <c r="T325" s="122">
        <v>3.49</v>
      </c>
      <c r="U325" s="120" t="s">
        <v>2560</v>
      </c>
      <c r="V325" s="123">
        <v>5.5E-2</v>
      </c>
      <c r="W325" s="120"/>
      <c r="X325" s="120"/>
      <c r="Y325" s="123"/>
      <c r="Z325" s="123">
        <v>0.03</v>
      </c>
      <c r="AA325" s="124">
        <v>47986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45473</v>
      </c>
      <c r="AO325" s="120"/>
      <c r="AP325" s="123"/>
      <c r="AQ325" s="122">
        <v>1207872.6599999999</v>
      </c>
      <c r="AR325" s="122">
        <v>124.99</v>
      </c>
      <c r="AS325" s="122">
        <v>1</v>
      </c>
      <c r="AT325" s="122">
        <v>1509.7200399999999</v>
      </c>
      <c r="AU325" s="122">
        <v>1509.7200399999999</v>
      </c>
      <c r="AV325" s="122"/>
      <c r="AW325" s="122"/>
      <c r="AX325" s="120"/>
      <c r="AY325" s="120"/>
      <c r="AZ325" s="123">
        <v>5.7499999999999999E-4</v>
      </c>
      <c r="BA325" s="123">
        <v>2.5000000000000001E-5</v>
      </c>
    </row>
    <row r="326" spans="1:53" ht="15" customHeight="1">
      <c r="A326" s="121">
        <v>313</v>
      </c>
      <c r="B326" s="121">
        <v>313</v>
      </c>
      <c r="C326" s="121"/>
      <c r="D326" s="120"/>
      <c r="E326" s="120"/>
      <c r="F326" s="121">
        <v>34488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41179</v>
      </c>
      <c r="P326" s="120" t="s">
        <v>1359</v>
      </c>
      <c r="Q326" s="120" t="s">
        <v>412</v>
      </c>
      <c r="R326" s="120" t="s">
        <v>407</v>
      </c>
      <c r="S326" s="120" t="s">
        <v>1217</v>
      </c>
      <c r="T326" s="122">
        <v>3.49</v>
      </c>
      <c r="U326" s="120" t="s">
        <v>2560</v>
      </c>
      <c r="V326" s="123">
        <v>5.5E-2</v>
      </c>
      <c r="W326" s="120"/>
      <c r="X326" s="120"/>
      <c r="Y326" s="123"/>
      <c r="Z326" s="123">
        <v>0.03</v>
      </c>
      <c r="AA326" s="124">
        <v>47986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45473</v>
      </c>
      <c r="AO326" s="120"/>
      <c r="AP326" s="123"/>
      <c r="AQ326" s="122">
        <v>1291975.29</v>
      </c>
      <c r="AR326" s="122">
        <v>123.93</v>
      </c>
      <c r="AS326" s="122">
        <v>1</v>
      </c>
      <c r="AT326" s="122">
        <v>1601.14498</v>
      </c>
      <c r="AU326" s="122">
        <v>1601.14498</v>
      </c>
      <c r="AV326" s="122"/>
      <c r="AW326" s="122"/>
      <c r="AX326" s="120"/>
      <c r="AY326" s="120"/>
      <c r="AZ326" s="123">
        <v>6.0999999999999997E-4</v>
      </c>
      <c r="BA326" s="123">
        <v>2.5999999999999998E-5</v>
      </c>
    </row>
    <row r="327" spans="1:53" ht="15" customHeight="1">
      <c r="A327" s="121">
        <v>313</v>
      </c>
      <c r="B327" s="121">
        <v>313</v>
      </c>
      <c r="C327" s="121"/>
      <c r="D327" s="120"/>
      <c r="E327" s="120"/>
      <c r="F327" s="121">
        <v>34777</v>
      </c>
      <c r="G327" s="120" t="s">
        <v>1013</v>
      </c>
      <c r="H327" s="120" t="s">
        <v>812</v>
      </c>
      <c r="I327" s="120" t="s">
        <v>203</v>
      </c>
      <c r="J327" s="120"/>
      <c r="K327" s="120" t="s">
        <v>439</v>
      </c>
      <c r="L327" s="120" t="s">
        <v>338</v>
      </c>
      <c r="M327" s="120" t="s">
        <v>337</v>
      </c>
      <c r="N327" s="121"/>
      <c r="O327" s="124">
        <v>41281</v>
      </c>
      <c r="P327" s="120" t="s">
        <v>1297</v>
      </c>
      <c r="Q327" s="120" t="s">
        <v>414</v>
      </c>
      <c r="R327" s="120" t="s">
        <v>407</v>
      </c>
      <c r="S327" s="120" t="s">
        <v>1217</v>
      </c>
      <c r="T327" s="122">
        <v>4.0199999999999996</v>
      </c>
      <c r="U327" s="120" t="s">
        <v>2560</v>
      </c>
      <c r="V327" s="123">
        <v>5.3499999999999999E-2</v>
      </c>
      <c r="W327" s="120"/>
      <c r="X327" s="120"/>
      <c r="Y327" s="123"/>
      <c r="Z327" s="123">
        <v>2.5399999999999999E-2</v>
      </c>
      <c r="AA327" s="124">
        <v>48479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45473</v>
      </c>
      <c r="AO327" s="120"/>
      <c r="AP327" s="123"/>
      <c r="AQ327" s="122">
        <v>2313998.9900000002</v>
      </c>
      <c r="AR327" s="122">
        <v>130.77000000000001</v>
      </c>
      <c r="AS327" s="122">
        <v>1</v>
      </c>
      <c r="AT327" s="122">
        <v>3026.0164799999998</v>
      </c>
      <c r="AU327" s="122">
        <v>3026.0164799999998</v>
      </c>
      <c r="AV327" s="122"/>
      <c r="AW327" s="122"/>
      <c r="AX327" s="120"/>
      <c r="AY327" s="120"/>
      <c r="AZ327" s="123">
        <v>1.1540000000000001E-3</v>
      </c>
      <c r="BA327" s="123">
        <v>5.0000000000000002E-5</v>
      </c>
    </row>
    <row r="328" spans="1:53" ht="15" customHeight="1">
      <c r="A328" s="121">
        <v>313</v>
      </c>
      <c r="B328" s="121">
        <v>313</v>
      </c>
      <c r="C328" s="121"/>
      <c r="D328" s="120"/>
      <c r="E328" s="120"/>
      <c r="F328" s="121">
        <v>34835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41298</v>
      </c>
      <c r="P328" s="120" t="s">
        <v>1359</v>
      </c>
      <c r="Q328" s="120" t="s">
        <v>412</v>
      </c>
      <c r="R328" s="120" t="s">
        <v>407</v>
      </c>
      <c r="S328" s="120" t="s">
        <v>1217</v>
      </c>
      <c r="T328" s="122">
        <v>3.49</v>
      </c>
      <c r="U328" s="120" t="s">
        <v>2560</v>
      </c>
      <c r="V328" s="123">
        <v>5.5E-2</v>
      </c>
      <c r="W328" s="120"/>
      <c r="X328" s="120"/>
      <c r="Y328" s="123"/>
      <c r="Z328" s="123">
        <v>0.03</v>
      </c>
      <c r="AA328" s="124">
        <v>47986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45473</v>
      </c>
      <c r="AO328" s="120"/>
      <c r="AP328" s="123"/>
      <c r="AQ328" s="122">
        <v>1432726.51</v>
      </c>
      <c r="AR328" s="122">
        <v>124.51</v>
      </c>
      <c r="AS328" s="122">
        <v>1</v>
      </c>
      <c r="AT328" s="122">
        <v>1783.88778</v>
      </c>
      <c r="AU328" s="122">
        <v>1783.88778</v>
      </c>
      <c r="AV328" s="122"/>
      <c r="AW328" s="122"/>
      <c r="AX328" s="120"/>
      <c r="AY328" s="120"/>
      <c r="AZ328" s="123">
        <v>6.8000000000000005E-4</v>
      </c>
      <c r="BA328" s="123">
        <v>2.9E-5</v>
      </c>
    </row>
    <row r="329" spans="1:53" ht="15" customHeight="1">
      <c r="A329" s="121">
        <v>313</v>
      </c>
      <c r="B329" s="121">
        <v>313</v>
      </c>
      <c r="C329" s="121"/>
      <c r="D329" s="120"/>
      <c r="E329" s="120"/>
      <c r="F329" s="121">
        <v>36616</v>
      </c>
      <c r="G329" s="120" t="s">
        <v>1013</v>
      </c>
      <c r="H329" s="120" t="s">
        <v>812</v>
      </c>
      <c r="I329" s="120" t="s">
        <v>203</v>
      </c>
      <c r="J329" s="120"/>
      <c r="K329" s="120" t="s">
        <v>439</v>
      </c>
      <c r="L329" s="120" t="s">
        <v>338</v>
      </c>
      <c r="M329" s="120" t="s">
        <v>337</v>
      </c>
      <c r="N329" s="121"/>
      <c r="O329" s="124">
        <v>41767</v>
      </c>
      <c r="P329" s="120" t="s">
        <v>1297</v>
      </c>
      <c r="Q329" s="120" t="s">
        <v>414</v>
      </c>
      <c r="R329" s="120" t="s">
        <v>407</v>
      </c>
      <c r="S329" s="120" t="s">
        <v>1217</v>
      </c>
      <c r="T329" s="122">
        <v>3.99</v>
      </c>
      <c r="U329" s="120" t="s">
        <v>2560</v>
      </c>
      <c r="V329" s="123">
        <v>5.3499999999999999E-2</v>
      </c>
      <c r="W329" s="120"/>
      <c r="X329" s="120"/>
      <c r="Y329" s="123"/>
      <c r="Z329" s="123">
        <v>2.98E-2</v>
      </c>
      <c r="AA329" s="124">
        <v>48479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45473</v>
      </c>
      <c r="AO329" s="120"/>
      <c r="AP329" s="123"/>
      <c r="AQ329" s="122">
        <v>357001.12</v>
      </c>
      <c r="AR329" s="122">
        <v>126.6</v>
      </c>
      <c r="AS329" s="122">
        <v>1</v>
      </c>
      <c r="AT329" s="122">
        <v>451.96341999999999</v>
      </c>
      <c r="AU329" s="122">
        <v>451.96341999999999</v>
      </c>
      <c r="AV329" s="122"/>
      <c r="AW329" s="122"/>
      <c r="AX329" s="120"/>
      <c r="AY329" s="120"/>
      <c r="AZ329" s="123">
        <v>1.7200000000000001E-4</v>
      </c>
      <c r="BA329" s="123">
        <v>6.9999999999999999E-6</v>
      </c>
    </row>
    <row r="330" spans="1:53" ht="15" customHeight="1">
      <c r="A330" s="121">
        <v>313</v>
      </c>
      <c r="B330" s="121">
        <v>313</v>
      </c>
      <c r="C330" s="121"/>
      <c r="D330" s="120"/>
      <c r="E330" s="120"/>
      <c r="F330" s="121">
        <v>34850</v>
      </c>
      <c r="G330" s="120" t="s">
        <v>1013</v>
      </c>
      <c r="H330" s="120" t="s">
        <v>812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1"/>
      <c r="O330" s="124">
        <v>41389</v>
      </c>
      <c r="P330" s="120" t="s">
        <v>1359</v>
      </c>
      <c r="Q330" s="120" t="s">
        <v>412</v>
      </c>
      <c r="R330" s="120" t="s">
        <v>407</v>
      </c>
      <c r="S330" s="120" t="s">
        <v>1217</v>
      </c>
      <c r="T330" s="122">
        <v>3.49</v>
      </c>
      <c r="U330" s="120" t="s">
        <v>2560</v>
      </c>
      <c r="V330" s="123">
        <v>5.5E-2</v>
      </c>
      <c r="W330" s="120"/>
      <c r="X330" s="120"/>
      <c r="Y330" s="123"/>
      <c r="Z330" s="123">
        <v>2.8899999999999999E-2</v>
      </c>
      <c r="AA330" s="124">
        <v>47986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45473</v>
      </c>
      <c r="AO330" s="120"/>
      <c r="AP330" s="123"/>
      <c r="AQ330" s="122">
        <v>971747.11</v>
      </c>
      <c r="AR330" s="122">
        <v>124.96</v>
      </c>
      <c r="AS330" s="122">
        <v>1</v>
      </c>
      <c r="AT330" s="122">
        <v>1214.29519</v>
      </c>
      <c r="AU330" s="122">
        <v>1214.29519</v>
      </c>
      <c r="AV330" s="122"/>
      <c r="AW330" s="122"/>
      <c r="AX330" s="120"/>
      <c r="AY330" s="120"/>
      <c r="AZ330" s="123">
        <v>4.6299999999999998E-4</v>
      </c>
      <c r="BA330" s="123">
        <v>2.0000000000000002E-5</v>
      </c>
    </row>
    <row r="331" spans="1:53" ht="15" customHeight="1">
      <c r="A331" s="121">
        <v>313</v>
      </c>
      <c r="B331" s="121">
        <v>313</v>
      </c>
      <c r="C331" s="121"/>
      <c r="D331" s="120"/>
      <c r="E331" s="120"/>
      <c r="F331" s="121">
        <v>34918</v>
      </c>
      <c r="G331" s="120" t="s">
        <v>1013</v>
      </c>
      <c r="H331" s="120" t="s">
        <v>812</v>
      </c>
      <c r="I331" s="120" t="s">
        <v>203</v>
      </c>
      <c r="J331" s="120"/>
      <c r="K331" s="120" t="s">
        <v>439</v>
      </c>
      <c r="L331" s="120" t="s">
        <v>338</v>
      </c>
      <c r="M331" s="120" t="s">
        <v>337</v>
      </c>
      <c r="N331" s="121"/>
      <c r="O331" s="124">
        <v>41281</v>
      </c>
      <c r="P331" s="120" t="s">
        <v>1297</v>
      </c>
      <c r="Q331" s="120" t="s">
        <v>414</v>
      </c>
      <c r="R331" s="120" t="s">
        <v>407</v>
      </c>
      <c r="S331" s="120" t="s">
        <v>1217</v>
      </c>
      <c r="T331" s="122">
        <v>4.0199999999999996</v>
      </c>
      <c r="U331" s="120" t="s">
        <v>2560</v>
      </c>
      <c r="V331" s="123">
        <v>5.3499999999999999E-2</v>
      </c>
      <c r="W331" s="120"/>
      <c r="X331" s="120"/>
      <c r="Y331" s="123"/>
      <c r="Z331" s="123">
        <v>2.5399999999999999E-2</v>
      </c>
      <c r="AA331" s="124">
        <v>48479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45473</v>
      </c>
      <c r="AO331" s="120"/>
      <c r="AP331" s="123"/>
      <c r="AQ331" s="122">
        <v>1666863.64</v>
      </c>
      <c r="AR331" s="122">
        <v>130.77000000000001</v>
      </c>
      <c r="AS331" s="122">
        <v>1</v>
      </c>
      <c r="AT331" s="122">
        <v>2179.75758</v>
      </c>
      <c r="AU331" s="122">
        <v>2179.75758</v>
      </c>
      <c r="AV331" s="122"/>
      <c r="AW331" s="122"/>
      <c r="AX331" s="120"/>
      <c r="AY331" s="120"/>
      <c r="AZ331" s="123">
        <v>8.3100000000000003E-4</v>
      </c>
      <c r="BA331" s="123">
        <v>3.6000000000000001E-5</v>
      </c>
    </row>
    <row r="332" spans="1:53" ht="15" customHeight="1">
      <c r="A332" s="121">
        <v>313</v>
      </c>
      <c r="B332" s="121">
        <v>313</v>
      </c>
      <c r="C332" s="121"/>
      <c r="D332" s="120"/>
      <c r="E332" s="120"/>
      <c r="F332" s="121">
        <v>35683</v>
      </c>
      <c r="G332" s="120" t="s">
        <v>1013</v>
      </c>
      <c r="H332" s="120" t="s">
        <v>812</v>
      </c>
      <c r="I332" s="120" t="s">
        <v>203</v>
      </c>
      <c r="J332" s="120"/>
      <c r="K332" s="120" t="s">
        <v>470</v>
      </c>
      <c r="L332" s="120" t="s">
        <v>338</v>
      </c>
      <c r="M332" s="120" t="s">
        <v>337</v>
      </c>
      <c r="N332" s="121"/>
      <c r="O332" s="124">
        <v>41681</v>
      </c>
      <c r="P332" s="120" t="s">
        <v>1340</v>
      </c>
      <c r="Q332" s="120" t="s">
        <v>414</v>
      </c>
      <c r="R332" s="120" t="s">
        <v>407</v>
      </c>
      <c r="S332" s="120" t="s">
        <v>1217</v>
      </c>
      <c r="T332" s="122">
        <v>2.19</v>
      </c>
      <c r="U332" s="120" t="s">
        <v>2560</v>
      </c>
      <c r="V332" s="123">
        <v>4.5999999999999999E-2</v>
      </c>
      <c r="W332" s="120"/>
      <c r="X332" s="120"/>
      <c r="Y332" s="123"/>
      <c r="Z332" s="123">
        <v>2.4500000000000001E-2</v>
      </c>
      <c r="AA332" s="124">
        <v>46934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45473</v>
      </c>
      <c r="AO332" s="120"/>
      <c r="AP332" s="123"/>
      <c r="AQ332" s="122">
        <v>1273560.07</v>
      </c>
      <c r="AR332" s="122">
        <v>118.68</v>
      </c>
      <c r="AS332" s="122">
        <v>1</v>
      </c>
      <c r="AT332" s="122">
        <v>1511.46109</v>
      </c>
      <c r="AU332" s="122">
        <v>1511.46109</v>
      </c>
      <c r="AV332" s="122"/>
      <c r="AW332" s="122"/>
      <c r="AX332" s="120"/>
      <c r="AY332" s="120"/>
      <c r="AZ332" s="123">
        <v>5.7600000000000001E-4</v>
      </c>
      <c r="BA332" s="123">
        <v>2.5000000000000001E-5</v>
      </c>
    </row>
    <row r="333" spans="1:53" ht="15" customHeight="1">
      <c r="A333" s="121">
        <v>313</v>
      </c>
      <c r="B333" s="121">
        <v>313</v>
      </c>
      <c r="C333" s="121"/>
      <c r="D333" s="120"/>
      <c r="E333" s="120"/>
      <c r="F333" s="121">
        <v>36228</v>
      </c>
      <c r="G333" s="120" t="s">
        <v>1013</v>
      </c>
      <c r="H333" s="120" t="s">
        <v>812</v>
      </c>
      <c r="I333" s="120" t="s">
        <v>203</v>
      </c>
      <c r="J333" s="120"/>
      <c r="K333" s="120" t="s">
        <v>439</v>
      </c>
      <c r="L333" s="120" t="s">
        <v>338</v>
      </c>
      <c r="M333" s="120" t="s">
        <v>337</v>
      </c>
      <c r="N333" s="121"/>
      <c r="O333" s="124">
        <v>41816</v>
      </c>
      <c r="P333" s="120" t="s">
        <v>409</v>
      </c>
      <c r="Q333" s="120" t="s">
        <v>409</v>
      </c>
      <c r="R333" s="120" t="s">
        <v>409</v>
      </c>
      <c r="S333" s="120" t="s">
        <v>1217</v>
      </c>
      <c r="T333" s="122">
        <v>5.68</v>
      </c>
      <c r="U333" s="120" t="s">
        <v>2560</v>
      </c>
      <c r="V333" s="123">
        <v>4.4999999999999998E-2</v>
      </c>
      <c r="W333" s="120"/>
      <c r="X333" s="120"/>
      <c r="Y333" s="123"/>
      <c r="Z333" s="123">
        <v>6.9400000000000003E-2</v>
      </c>
      <c r="AA333" s="124">
        <v>50399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45473</v>
      </c>
      <c r="AO333" s="120"/>
      <c r="AP333" s="123"/>
      <c r="AQ333" s="122">
        <v>6342025</v>
      </c>
      <c r="AR333" s="122">
        <v>99.73</v>
      </c>
      <c r="AS333" s="122">
        <v>1</v>
      </c>
      <c r="AT333" s="122">
        <v>6324.9015300000001</v>
      </c>
      <c r="AU333" s="122">
        <v>6324.9015300000001</v>
      </c>
      <c r="AV333" s="122"/>
      <c r="AW333" s="122"/>
      <c r="AX333" s="120"/>
      <c r="AY333" s="120"/>
      <c r="AZ333" s="123">
        <v>2.4120000000000001E-3</v>
      </c>
      <c r="BA333" s="123">
        <v>1.06E-4</v>
      </c>
    </row>
    <row r="334" spans="1:53" ht="15" customHeight="1">
      <c r="A334" s="121">
        <v>313</v>
      </c>
      <c r="B334" s="121">
        <v>313</v>
      </c>
      <c r="C334" s="121"/>
      <c r="D334" s="120"/>
      <c r="E334" s="120"/>
      <c r="F334" s="121">
        <v>36251</v>
      </c>
      <c r="G334" s="120" t="s">
        <v>1013</v>
      </c>
      <c r="H334" s="120" t="s">
        <v>812</v>
      </c>
      <c r="I334" s="120" t="s">
        <v>203</v>
      </c>
      <c r="J334" s="120"/>
      <c r="K334" s="120" t="s">
        <v>439</v>
      </c>
      <c r="L334" s="120" t="s">
        <v>338</v>
      </c>
      <c r="M334" s="120" t="s">
        <v>337</v>
      </c>
      <c r="N334" s="121"/>
      <c r="O334" s="124">
        <v>41893</v>
      </c>
      <c r="P334" s="120" t="s">
        <v>409</v>
      </c>
      <c r="Q334" s="120" t="s">
        <v>409</v>
      </c>
      <c r="R334" s="120" t="s">
        <v>409</v>
      </c>
      <c r="S334" s="120" t="s">
        <v>1217</v>
      </c>
      <c r="T334" s="122">
        <v>5.68</v>
      </c>
      <c r="U334" s="120" t="s">
        <v>2560</v>
      </c>
      <c r="V334" s="123">
        <v>4.4999999999999998E-2</v>
      </c>
      <c r="W334" s="120"/>
      <c r="X334" s="120"/>
      <c r="Y334" s="123"/>
      <c r="Z334" s="123">
        <v>6.9400000000000003E-2</v>
      </c>
      <c r="AA334" s="124">
        <v>50399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45473</v>
      </c>
      <c r="AO334" s="120"/>
      <c r="AP334" s="123"/>
      <c r="AQ334" s="122">
        <v>1244237.23</v>
      </c>
      <c r="AR334" s="122">
        <v>99.34</v>
      </c>
      <c r="AS334" s="122">
        <v>1</v>
      </c>
      <c r="AT334" s="122">
        <v>1236.0252599999999</v>
      </c>
      <c r="AU334" s="122">
        <v>1236.0252599999999</v>
      </c>
      <c r="AV334" s="122"/>
      <c r="AW334" s="122"/>
      <c r="AX334" s="120"/>
      <c r="AY334" s="120"/>
      <c r="AZ334" s="123">
        <v>4.7100000000000001E-4</v>
      </c>
      <c r="BA334" s="123">
        <v>2.0000000000000002E-5</v>
      </c>
    </row>
    <row r="335" spans="1:53" ht="15" customHeight="1">
      <c r="A335" s="121">
        <v>313</v>
      </c>
      <c r="B335" s="121">
        <v>313</v>
      </c>
      <c r="C335" s="121"/>
      <c r="D335" s="120"/>
      <c r="E335" s="120"/>
      <c r="F335" s="121">
        <v>34900</v>
      </c>
      <c r="G335" s="120" t="s">
        <v>1013</v>
      </c>
      <c r="H335" s="120" t="s">
        <v>812</v>
      </c>
      <c r="I335" s="120" t="s">
        <v>203</v>
      </c>
      <c r="J335" s="120"/>
      <c r="K335" s="120" t="s">
        <v>439</v>
      </c>
      <c r="L335" s="120" t="s">
        <v>338</v>
      </c>
      <c r="M335" s="120" t="s">
        <v>337</v>
      </c>
      <c r="N335" s="121"/>
      <c r="O335" s="124">
        <v>41281</v>
      </c>
      <c r="P335" s="120" t="s">
        <v>1297</v>
      </c>
      <c r="Q335" s="120" t="s">
        <v>414</v>
      </c>
      <c r="R335" s="120" t="s">
        <v>407</v>
      </c>
      <c r="S335" s="120" t="s">
        <v>1217</v>
      </c>
      <c r="T335" s="122">
        <v>4.0199999999999996</v>
      </c>
      <c r="U335" s="120" t="s">
        <v>2560</v>
      </c>
      <c r="V335" s="123">
        <v>5.3499999999999999E-2</v>
      </c>
      <c r="W335" s="120"/>
      <c r="X335" s="120"/>
      <c r="Y335" s="123"/>
      <c r="Z335" s="123">
        <v>2.5399999999999999E-2</v>
      </c>
      <c r="AA335" s="124">
        <v>48479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45473</v>
      </c>
      <c r="AO335" s="120"/>
      <c r="AP335" s="123"/>
      <c r="AQ335" s="122">
        <v>2001870.63</v>
      </c>
      <c r="AR335" s="122">
        <v>130.77000000000001</v>
      </c>
      <c r="AS335" s="122">
        <v>1</v>
      </c>
      <c r="AT335" s="122">
        <v>2617.8462199999999</v>
      </c>
      <c r="AU335" s="122">
        <v>2617.8462199999999</v>
      </c>
      <c r="AV335" s="122"/>
      <c r="AW335" s="122"/>
      <c r="AX335" s="120"/>
      <c r="AY335" s="120"/>
      <c r="AZ335" s="123">
        <v>9.9799999999999997E-4</v>
      </c>
      <c r="BA335" s="123">
        <v>4.3000000000000002E-5</v>
      </c>
    </row>
    <row r="336" spans="1:53" ht="15" customHeight="1">
      <c r="A336" s="121">
        <v>313</v>
      </c>
      <c r="B336" s="121">
        <v>313</v>
      </c>
      <c r="C336" s="121"/>
      <c r="D336" s="120"/>
      <c r="E336" s="120"/>
      <c r="F336" s="121">
        <v>50001020</v>
      </c>
      <c r="G336" s="120" t="s">
        <v>1013</v>
      </c>
      <c r="H336" s="120" t="s">
        <v>2562</v>
      </c>
      <c r="I336" s="120" t="s">
        <v>203</v>
      </c>
      <c r="J336" s="120"/>
      <c r="K336" s="120" t="s">
        <v>446</v>
      </c>
      <c r="L336" s="120" t="s">
        <v>338</v>
      </c>
      <c r="M336" s="120" t="s">
        <v>337</v>
      </c>
      <c r="N336" s="121"/>
      <c r="O336" s="124">
        <v>44452</v>
      </c>
      <c r="P336" s="120" t="s">
        <v>2561</v>
      </c>
      <c r="Q336" s="120" t="s">
        <v>414</v>
      </c>
      <c r="R336" s="120" t="s">
        <v>407</v>
      </c>
      <c r="S336" s="120" t="s">
        <v>1217</v>
      </c>
      <c r="T336" s="122">
        <v>18.72</v>
      </c>
      <c r="U336" s="120" t="s">
        <v>2560</v>
      </c>
      <c r="V336" s="123">
        <v>2.7560999999999999E-2</v>
      </c>
      <c r="W336" s="120"/>
      <c r="X336" s="120"/>
      <c r="Y336" s="123"/>
      <c r="Z336" s="123">
        <v>4.7399999999999998E-2</v>
      </c>
      <c r="AA336" s="124">
        <v>52305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45473</v>
      </c>
      <c r="AO336" s="120"/>
      <c r="AP336" s="123"/>
      <c r="AQ336" s="122">
        <v>92366.56</v>
      </c>
      <c r="AR336" s="122">
        <v>78.28</v>
      </c>
      <c r="AS336" s="122">
        <v>1</v>
      </c>
      <c r="AT336" s="122">
        <v>72.304540000000003</v>
      </c>
      <c r="AU336" s="122">
        <v>72.304540000000003</v>
      </c>
      <c r="AV336" s="122"/>
      <c r="AW336" s="122"/>
      <c r="AX336" s="120"/>
      <c r="AY336" s="120"/>
      <c r="AZ336" s="123">
        <v>2.6999999999999999E-5</v>
      </c>
      <c r="BA336" s="123">
        <v>9.9999999999999995E-7</v>
      </c>
    </row>
    <row r="337" spans="1:53" ht="15" customHeight="1">
      <c r="A337" s="121">
        <v>313</v>
      </c>
      <c r="B337" s="121">
        <v>313</v>
      </c>
      <c r="C337" s="121"/>
      <c r="D337" s="120"/>
      <c r="E337" s="120"/>
      <c r="F337" s="121">
        <v>50001021</v>
      </c>
      <c r="G337" s="120" t="s">
        <v>1013</v>
      </c>
      <c r="H337" s="120" t="s">
        <v>2562</v>
      </c>
      <c r="I337" s="120" t="s">
        <v>203</v>
      </c>
      <c r="J337" s="120"/>
      <c r="K337" s="120" t="s">
        <v>446</v>
      </c>
      <c r="L337" s="120" t="s">
        <v>338</v>
      </c>
      <c r="M337" s="120" t="s">
        <v>337</v>
      </c>
      <c r="N337" s="121"/>
      <c r="O337" s="124">
        <v>44487</v>
      </c>
      <c r="P337" s="120" t="s">
        <v>2561</v>
      </c>
      <c r="Q337" s="120" t="s">
        <v>414</v>
      </c>
      <c r="R337" s="120" t="s">
        <v>407</v>
      </c>
      <c r="S337" s="120" t="s">
        <v>1217</v>
      </c>
      <c r="T337" s="122">
        <v>8.4600000000000009</v>
      </c>
      <c r="U337" s="120" t="s">
        <v>2560</v>
      </c>
      <c r="V337" s="123">
        <v>1.8280999999999999E-2</v>
      </c>
      <c r="W337" s="120"/>
      <c r="X337" s="120"/>
      <c r="Y337" s="123"/>
      <c r="Z337" s="123">
        <v>4.6100000000000002E-2</v>
      </c>
      <c r="AA337" s="124">
        <v>51940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45473</v>
      </c>
      <c r="AO337" s="120"/>
      <c r="AP337" s="123"/>
      <c r="AQ337" s="122">
        <v>568823.97</v>
      </c>
      <c r="AR337" s="122">
        <v>87.56</v>
      </c>
      <c r="AS337" s="122">
        <v>1</v>
      </c>
      <c r="AT337" s="122">
        <v>498.06227000000001</v>
      </c>
      <c r="AU337" s="122">
        <v>498.06227000000001</v>
      </c>
      <c r="AV337" s="122"/>
      <c r="AW337" s="122"/>
      <c r="AX337" s="120"/>
      <c r="AY337" s="120"/>
      <c r="AZ337" s="123">
        <v>1.8900000000000001E-4</v>
      </c>
      <c r="BA337" s="123">
        <v>7.9999999999999996E-6</v>
      </c>
    </row>
    <row r="338" spans="1:53" ht="15" customHeight="1">
      <c r="A338" s="121">
        <v>313</v>
      </c>
      <c r="B338" s="121">
        <v>313</v>
      </c>
      <c r="C338" s="121"/>
      <c r="D338" s="120"/>
      <c r="E338" s="120"/>
      <c r="F338" s="121">
        <v>50001022</v>
      </c>
      <c r="G338" s="120" t="s">
        <v>1013</v>
      </c>
      <c r="H338" s="120" t="s">
        <v>2562</v>
      </c>
      <c r="I338" s="120" t="s">
        <v>203</v>
      </c>
      <c r="J338" s="120"/>
      <c r="K338" s="120" t="s">
        <v>446</v>
      </c>
      <c r="L338" s="120" t="s">
        <v>338</v>
      </c>
      <c r="M338" s="120" t="s">
        <v>337</v>
      </c>
      <c r="N338" s="121"/>
      <c r="O338" s="124">
        <v>44487</v>
      </c>
      <c r="P338" s="120" t="s">
        <v>2561</v>
      </c>
      <c r="Q338" s="120" t="s">
        <v>414</v>
      </c>
      <c r="R338" s="120" t="s">
        <v>407</v>
      </c>
      <c r="S338" s="120" t="s">
        <v>1217</v>
      </c>
      <c r="T338" s="122">
        <v>18.72</v>
      </c>
      <c r="U338" s="120" t="s">
        <v>2560</v>
      </c>
      <c r="V338" s="123">
        <v>2.7651999999999999E-2</v>
      </c>
      <c r="W338" s="120"/>
      <c r="X338" s="120"/>
      <c r="Y338" s="123"/>
      <c r="Z338" s="123">
        <v>4.9500000000000002E-2</v>
      </c>
      <c r="AA338" s="124">
        <v>52305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45473</v>
      </c>
      <c r="AO338" s="120"/>
      <c r="AP338" s="123"/>
      <c r="AQ338" s="122">
        <v>515531.05</v>
      </c>
      <c r="AR338" s="122">
        <v>75.19</v>
      </c>
      <c r="AS338" s="122">
        <v>1</v>
      </c>
      <c r="AT338" s="122">
        <v>387.62779999999998</v>
      </c>
      <c r="AU338" s="122">
        <v>387.62779999999998</v>
      </c>
      <c r="AV338" s="122"/>
      <c r="AW338" s="122"/>
      <c r="AX338" s="120"/>
      <c r="AY338" s="120"/>
      <c r="AZ338" s="123">
        <v>1.47E-4</v>
      </c>
      <c r="BA338" s="123">
        <v>6.0000000000000002E-6</v>
      </c>
    </row>
    <row r="339" spans="1:53" ht="15" customHeight="1">
      <c r="A339" s="121">
        <v>313</v>
      </c>
      <c r="B339" s="121">
        <v>313</v>
      </c>
      <c r="C339" s="121"/>
      <c r="D339" s="120"/>
      <c r="E339" s="120"/>
      <c r="F339" s="121">
        <v>70003001</v>
      </c>
      <c r="G339" s="120" t="s">
        <v>1013</v>
      </c>
      <c r="H339" s="120" t="s">
        <v>2562</v>
      </c>
      <c r="I339" s="120" t="s">
        <v>203</v>
      </c>
      <c r="J339" s="120"/>
      <c r="K339" s="120" t="s">
        <v>463</v>
      </c>
      <c r="L339" s="120" t="s">
        <v>338</v>
      </c>
      <c r="M339" s="120" t="s">
        <v>337</v>
      </c>
      <c r="N339" s="121"/>
      <c r="O339" s="124">
        <v>44543</v>
      </c>
      <c r="P339" s="120" t="s">
        <v>1334</v>
      </c>
      <c r="Q339" s="120" t="s">
        <v>414</v>
      </c>
      <c r="R339" s="120" t="s">
        <v>407</v>
      </c>
      <c r="S339" s="120" t="s">
        <v>1217</v>
      </c>
      <c r="T339" s="122">
        <v>5.19</v>
      </c>
      <c r="U339" s="120" t="s">
        <v>2560</v>
      </c>
      <c r="V339" s="123">
        <v>3.5460000000000001E-3</v>
      </c>
      <c r="W339" s="120"/>
      <c r="X339" s="120"/>
      <c r="Y339" s="123"/>
      <c r="Z339" s="123">
        <v>3.6900000000000002E-2</v>
      </c>
      <c r="AA339" s="124">
        <v>47479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45473</v>
      </c>
      <c r="AO339" s="120"/>
      <c r="AP339" s="123"/>
      <c r="AQ339" s="122">
        <v>24666594.350000001</v>
      </c>
      <c r="AR339" s="122">
        <v>93.43</v>
      </c>
      <c r="AS339" s="122">
        <v>1</v>
      </c>
      <c r="AT339" s="122">
        <v>23045.999100000001</v>
      </c>
      <c r="AU339" s="122">
        <v>23045.999100000001</v>
      </c>
      <c r="AV339" s="122"/>
      <c r="AW339" s="122"/>
      <c r="AX339" s="120"/>
      <c r="AY339" s="120"/>
      <c r="AZ339" s="123">
        <v>8.7889999999999999E-3</v>
      </c>
      <c r="BA339" s="123">
        <v>3.86E-4</v>
      </c>
    </row>
    <row r="340" spans="1:53" ht="15" customHeight="1">
      <c r="A340" s="121">
        <v>313</v>
      </c>
      <c r="B340" s="121">
        <v>313</v>
      </c>
      <c r="C340" s="121"/>
      <c r="D340" s="120"/>
      <c r="E340" s="120"/>
      <c r="F340" s="121">
        <v>70004201</v>
      </c>
      <c r="G340" s="120" t="s">
        <v>1013</v>
      </c>
      <c r="H340" s="120" t="s">
        <v>812</v>
      </c>
      <c r="I340" s="120" t="s">
        <v>203</v>
      </c>
      <c r="J340" s="120"/>
      <c r="K340" s="120" t="s">
        <v>454</v>
      </c>
      <c r="L340" s="120" t="s">
        <v>338</v>
      </c>
      <c r="M340" s="120" t="s">
        <v>337</v>
      </c>
      <c r="N340" s="121"/>
      <c r="O340" s="124">
        <v>44886</v>
      </c>
      <c r="P340" s="120" t="s">
        <v>2572</v>
      </c>
      <c r="Q340" s="120" t="s">
        <v>412</v>
      </c>
      <c r="R340" s="120" t="s">
        <v>407</v>
      </c>
      <c r="S340" s="120" t="s">
        <v>1217</v>
      </c>
      <c r="T340" s="122">
        <v>7.96</v>
      </c>
      <c r="U340" s="120" t="s">
        <v>2560</v>
      </c>
      <c r="V340" s="123">
        <v>3.0550999999999998E-2</v>
      </c>
      <c r="W340" s="120"/>
      <c r="X340" s="120"/>
      <c r="Y340" s="123"/>
      <c r="Z340" s="123">
        <v>4.3299999999999998E-2</v>
      </c>
      <c r="AA340" s="124">
        <v>52139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45473</v>
      </c>
      <c r="AO340" s="120"/>
      <c r="AP340" s="123"/>
      <c r="AQ340" s="122">
        <v>2006069.91</v>
      </c>
      <c r="AR340" s="122">
        <v>95.65</v>
      </c>
      <c r="AS340" s="122">
        <v>1</v>
      </c>
      <c r="AT340" s="122">
        <v>1918.8058699999999</v>
      </c>
      <c r="AU340" s="122">
        <v>1918.8058699999999</v>
      </c>
      <c r="AV340" s="122"/>
      <c r="AW340" s="122"/>
      <c r="AX340" s="120"/>
      <c r="AY340" s="120"/>
      <c r="AZ340" s="123">
        <v>7.3099999999999999E-4</v>
      </c>
      <c r="BA340" s="123">
        <v>3.1999999999999999E-5</v>
      </c>
    </row>
    <row r="341" spans="1:53" ht="15" customHeight="1">
      <c r="A341" s="121">
        <v>313</v>
      </c>
      <c r="B341" s="121">
        <v>313</v>
      </c>
      <c r="C341" s="121"/>
      <c r="D341" s="120"/>
      <c r="E341" s="120"/>
      <c r="F341" s="121">
        <v>70005003</v>
      </c>
      <c r="G341" s="120" t="s">
        <v>1013</v>
      </c>
      <c r="H341" s="120" t="s">
        <v>812</v>
      </c>
      <c r="I341" s="120" t="s">
        <v>203</v>
      </c>
      <c r="J341" s="120"/>
      <c r="K341" s="120" t="s">
        <v>455</v>
      </c>
      <c r="L341" s="120" t="s">
        <v>338</v>
      </c>
      <c r="M341" s="120" t="s">
        <v>338</v>
      </c>
      <c r="N341" s="121"/>
      <c r="O341" s="124">
        <v>45183</v>
      </c>
      <c r="P341" s="120" t="s">
        <v>409</v>
      </c>
      <c r="Q341" s="120" t="s">
        <v>409</v>
      </c>
      <c r="R341" s="120" t="s">
        <v>409</v>
      </c>
      <c r="S341" s="120" t="s">
        <v>1217</v>
      </c>
      <c r="T341" s="122">
        <v>1.85</v>
      </c>
      <c r="U341" s="120" t="s">
        <v>824</v>
      </c>
      <c r="V341" s="123">
        <v>7.5999999999999998E-2</v>
      </c>
      <c r="W341" s="120"/>
      <c r="X341" s="120"/>
      <c r="Y341" s="123"/>
      <c r="Z341" s="123">
        <v>6.9099999999999995E-2</v>
      </c>
      <c r="AA341" s="124">
        <v>46173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45473</v>
      </c>
      <c r="AO341" s="120"/>
      <c r="AP341" s="123"/>
      <c r="AQ341" s="122">
        <v>68028.320000000007</v>
      </c>
      <c r="AR341" s="122">
        <v>102.09</v>
      </c>
      <c r="AS341" s="122">
        <v>1</v>
      </c>
      <c r="AT341" s="122">
        <v>69.450109999999995</v>
      </c>
      <c r="AU341" s="122">
        <v>69.450109999999995</v>
      </c>
      <c r="AV341" s="122"/>
      <c r="AW341" s="122"/>
      <c r="AX341" s="120"/>
      <c r="AY341" s="120"/>
      <c r="AZ341" s="123">
        <v>2.5999999999999998E-5</v>
      </c>
      <c r="BA341" s="123">
        <v>9.9999999999999995E-7</v>
      </c>
    </row>
    <row r="342" spans="1:53" ht="15" customHeight="1">
      <c r="A342" s="121">
        <v>313</v>
      </c>
      <c r="B342" s="121">
        <v>313</v>
      </c>
      <c r="C342" s="121"/>
      <c r="D342" s="120"/>
      <c r="E342" s="120"/>
      <c r="F342" s="121">
        <v>70005004</v>
      </c>
      <c r="G342" s="120" t="s">
        <v>1013</v>
      </c>
      <c r="H342" s="120" t="s">
        <v>812</v>
      </c>
      <c r="I342" s="120" t="s">
        <v>203</v>
      </c>
      <c r="J342" s="120"/>
      <c r="K342" s="120" t="s">
        <v>455</v>
      </c>
      <c r="L342" s="120" t="s">
        <v>338</v>
      </c>
      <c r="M342" s="120" t="s">
        <v>337</v>
      </c>
      <c r="N342" s="121"/>
      <c r="O342" s="124">
        <v>45291</v>
      </c>
      <c r="P342" s="120" t="s">
        <v>1340</v>
      </c>
      <c r="Q342" s="120" t="s">
        <v>414</v>
      </c>
      <c r="R342" s="120" t="s">
        <v>407</v>
      </c>
      <c r="S342" s="120" t="s">
        <v>1217</v>
      </c>
      <c r="T342" s="122">
        <v>1.85</v>
      </c>
      <c r="U342" s="120" t="s">
        <v>824</v>
      </c>
      <c r="V342" s="123">
        <v>7.5999999999999998E-2</v>
      </c>
      <c r="W342" s="120"/>
      <c r="X342" s="120"/>
      <c r="Y342" s="123"/>
      <c r="Z342" s="123">
        <v>7.0300000000000001E-2</v>
      </c>
      <c r="AA342" s="124">
        <v>46173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45473</v>
      </c>
      <c r="AO342" s="120"/>
      <c r="AP342" s="123"/>
      <c r="AQ342" s="122">
        <v>565167.71</v>
      </c>
      <c r="AR342" s="122">
        <v>101.87</v>
      </c>
      <c r="AS342" s="122">
        <v>1</v>
      </c>
      <c r="AT342" s="122">
        <v>575.73635000000002</v>
      </c>
      <c r="AU342" s="122">
        <v>575.73635000000002</v>
      </c>
      <c r="AV342" s="122"/>
      <c r="AW342" s="122"/>
      <c r="AX342" s="120"/>
      <c r="AY342" s="120"/>
      <c r="AZ342" s="123">
        <v>2.1900000000000001E-4</v>
      </c>
      <c r="BA342" s="123">
        <v>9.0000000000000002E-6</v>
      </c>
    </row>
    <row r="343" spans="1:53" ht="15" customHeight="1">
      <c r="A343" s="121">
        <v>313</v>
      </c>
      <c r="B343" s="121">
        <v>313</v>
      </c>
      <c r="C343" s="121"/>
      <c r="D343" s="120"/>
      <c r="E343" s="120"/>
      <c r="F343" s="121">
        <v>70005005</v>
      </c>
      <c r="G343" s="120" t="s">
        <v>1013</v>
      </c>
      <c r="H343" s="120" t="s">
        <v>812</v>
      </c>
      <c r="I343" s="120" t="s">
        <v>203</v>
      </c>
      <c r="J343" s="120"/>
      <c r="K343" s="120" t="s">
        <v>455</v>
      </c>
      <c r="L343" s="120" t="s">
        <v>338</v>
      </c>
      <c r="M343" s="120" t="s">
        <v>337</v>
      </c>
      <c r="N343" s="121"/>
      <c r="O343" s="124">
        <v>45319</v>
      </c>
      <c r="P343" s="120" t="s">
        <v>1340</v>
      </c>
      <c r="Q343" s="120" t="s">
        <v>414</v>
      </c>
      <c r="R343" s="120" t="s">
        <v>407</v>
      </c>
      <c r="S343" s="120" t="s">
        <v>1217</v>
      </c>
      <c r="T343" s="122">
        <v>1.85</v>
      </c>
      <c r="U343" s="120" t="s">
        <v>824</v>
      </c>
      <c r="V343" s="123">
        <v>7.5999999999999998E-2</v>
      </c>
      <c r="W343" s="120"/>
      <c r="X343" s="120"/>
      <c r="Y343" s="123"/>
      <c r="Z343" s="123">
        <v>7.1199999999999999E-2</v>
      </c>
      <c r="AA343" s="124">
        <v>46172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45473</v>
      </c>
      <c r="AO343" s="120"/>
      <c r="AP343" s="123"/>
      <c r="AQ343" s="122">
        <v>2314971.1</v>
      </c>
      <c r="AR343" s="122">
        <v>101.72</v>
      </c>
      <c r="AS343" s="122">
        <v>1</v>
      </c>
      <c r="AT343" s="122">
        <v>2354.7885999999999</v>
      </c>
      <c r="AU343" s="122">
        <v>2354.7885999999999</v>
      </c>
      <c r="AV343" s="122"/>
      <c r="AW343" s="122"/>
      <c r="AX343" s="120"/>
      <c r="AY343" s="120"/>
      <c r="AZ343" s="123">
        <v>8.9800000000000004E-4</v>
      </c>
      <c r="BA343" s="123">
        <v>3.8999999999999999E-5</v>
      </c>
    </row>
    <row r="344" spans="1:53" ht="15" customHeight="1">
      <c r="A344" s="121">
        <v>313</v>
      </c>
      <c r="B344" s="121">
        <v>313</v>
      </c>
      <c r="C344" s="121"/>
      <c r="D344" s="120"/>
      <c r="E344" s="120"/>
      <c r="F344" s="121">
        <v>70005006</v>
      </c>
      <c r="G344" s="120" t="s">
        <v>1013</v>
      </c>
      <c r="H344" s="120" t="s">
        <v>812</v>
      </c>
      <c r="I344" s="120" t="s">
        <v>203</v>
      </c>
      <c r="J344" s="120"/>
      <c r="K344" s="120" t="s">
        <v>455</v>
      </c>
      <c r="L344" s="120" t="s">
        <v>338</v>
      </c>
      <c r="M344" s="120" t="s">
        <v>337</v>
      </c>
      <c r="N344" s="121"/>
      <c r="O344" s="124">
        <v>45351</v>
      </c>
      <c r="P344" s="120" t="s">
        <v>1340</v>
      </c>
      <c r="Q344" s="120" t="s">
        <v>414</v>
      </c>
      <c r="R344" s="120" t="s">
        <v>407</v>
      </c>
      <c r="S344" s="120" t="s">
        <v>1217</v>
      </c>
      <c r="T344" s="122">
        <v>1.85</v>
      </c>
      <c r="U344" s="120" t="s">
        <v>824</v>
      </c>
      <c r="V344" s="123">
        <v>7.5999999999999998E-2</v>
      </c>
      <c r="W344" s="120"/>
      <c r="X344" s="120"/>
      <c r="Y344" s="123"/>
      <c r="Z344" s="123">
        <v>7.3499999999999996E-2</v>
      </c>
      <c r="AA344" s="124">
        <v>46172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45473</v>
      </c>
      <c r="AO344" s="120"/>
      <c r="AP344" s="123"/>
      <c r="AQ344" s="122">
        <v>197055.54</v>
      </c>
      <c r="AR344" s="122">
        <v>101.3</v>
      </c>
      <c r="AS344" s="122">
        <v>1</v>
      </c>
      <c r="AT344" s="122">
        <v>199.61725999999999</v>
      </c>
      <c r="AU344" s="122">
        <v>199.61725999999999</v>
      </c>
      <c r="AV344" s="122"/>
      <c r="AW344" s="122"/>
      <c r="AX344" s="120"/>
      <c r="AY344" s="120"/>
      <c r="AZ344" s="123">
        <v>7.6000000000000004E-5</v>
      </c>
      <c r="BA344" s="123">
        <v>3.0000000000000001E-6</v>
      </c>
    </row>
    <row r="345" spans="1:53" ht="15" customHeight="1">
      <c r="A345" s="121">
        <v>313</v>
      </c>
      <c r="B345" s="121">
        <v>313</v>
      </c>
      <c r="C345" s="121"/>
      <c r="D345" s="120"/>
      <c r="E345" s="120"/>
      <c r="F345" s="121">
        <v>70005007</v>
      </c>
      <c r="G345" s="120" t="s">
        <v>1013</v>
      </c>
      <c r="H345" s="120" t="s">
        <v>812</v>
      </c>
      <c r="I345" s="120" t="s">
        <v>203</v>
      </c>
      <c r="J345" s="120"/>
      <c r="K345" s="120" t="s">
        <v>455</v>
      </c>
      <c r="L345" s="120" t="s">
        <v>338</v>
      </c>
      <c r="M345" s="120" t="s">
        <v>337</v>
      </c>
      <c r="N345" s="121"/>
      <c r="O345" s="124">
        <v>45382</v>
      </c>
      <c r="P345" s="120" t="s">
        <v>1340</v>
      </c>
      <c r="Q345" s="120" t="s">
        <v>414</v>
      </c>
      <c r="R345" s="120" t="s">
        <v>407</v>
      </c>
      <c r="S345" s="120" t="s">
        <v>1217</v>
      </c>
      <c r="T345" s="122">
        <v>1.85</v>
      </c>
      <c r="U345" s="120" t="s">
        <v>824</v>
      </c>
      <c r="V345" s="123">
        <v>7.5999999999999998E-2</v>
      </c>
      <c r="W345" s="120"/>
      <c r="X345" s="120"/>
      <c r="Y345" s="123"/>
      <c r="Z345" s="123">
        <v>7.8600000000000003E-2</v>
      </c>
      <c r="AA345" s="124">
        <v>46172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45473</v>
      </c>
      <c r="AO345" s="120"/>
      <c r="AP345" s="123"/>
      <c r="AQ345" s="122">
        <v>280727.55</v>
      </c>
      <c r="AR345" s="122">
        <v>100.42</v>
      </c>
      <c r="AS345" s="122">
        <v>1</v>
      </c>
      <c r="AT345" s="122">
        <v>281.90661</v>
      </c>
      <c r="AU345" s="122">
        <v>281.90661</v>
      </c>
      <c r="AV345" s="122"/>
      <c r="AW345" s="122"/>
      <c r="AX345" s="120"/>
      <c r="AY345" s="120"/>
      <c r="AZ345" s="123">
        <v>1.07E-4</v>
      </c>
      <c r="BA345" s="123">
        <v>3.9999999999999998E-6</v>
      </c>
    </row>
    <row r="346" spans="1:53" ht="15" customHeight="1">
      <c r="A346" s="121">
        <v>313</v>
      </c>
      <c r="B346" s="121">
        <v>313</v>
      </c>
      <c r="C346" s="121"/>
      <c r="D346" s="120"/>
      <c r="E346" s="120"/>
      <c r="F346" s="121">
        <v>70005008</v>
      </c>
      <c r="G346" s="120" t="s">
        <v>1013</v>
      </c>
      <c r="H346" s="120" t="s">
        <v>812</v>
      </c>
      <c r="I346" s="120" t="s">
        <v>203</v>
      </c>
      <c r="J346" s="120"/>
      <c r="K346" s="120" t="s">
        <v>455</v>
      </c>
      <c r="L346" s="120" t="s">
        <v>338</v>
      </c>
      <c r="M346" s="120" t="s">
        <v>337</v>
      </c>
      <c r="N346" s="121"/>
      <c r="O346" s="124">
        <v>45442</v>
      </c>
      <c r="P346" s="120" t="s">
        <v>1340</v>
      </c>
      <c r="Q346" s="120" t="s">
        <v>414</v>
      </c>
      <c r="R346" s="120" t="s">
        <v>407</v>
      </c>
      <c r="S346" s="120" t="s">
        <v>1217</v>
      </c>
      <c r="T346" s="122">
        <v>1.85</v>
      </c>
      <c r="U346" s="120" t="s">
        <v>824</v>
      </c>
      <c r="V346" s="123">
        <v>7.5999999999999998E-2</v>
      </c>
      <c r="W346" s="120"/>
      <c r="X346" s="120"/>
      <c r="Y346" s="123"/>
      <c r="Z346" s="123">
        <v>8.1199999999999994E-2</v>
      </c>
      <c r="AA346" s="124">
        <v>46172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45473</v>
      </c>
      <c r="AO346" s="120"/>
      <c r="AP346" s="123"/>
      <c r="AQ346" s="122">
        <v>19340</v>
      </c>
      <c r="AR346" s="122">
        <v>99.97</v>
      </c>
      <c r="AS346" s="122">
        <v>1</v>
      </c>
      <c r="AT346" s="122">
        <v>19.334199999999999</v>
      </c>
      <c r="AU346" s="122">
        <v>19.334199999999999</v>
      </c>
      <c r="AV346" s="122"/>
      <c r="AW346" s="122"/>
      <c r="AX346" s="120"/>
      <c r="AY346" s="120"/>
      <c r="AZ346" s="123">
        <v>6.9999999999999999E-6</v>
      </c>
      <c r="BA346" s="123">
        <v>0</v>
      </c>
    </row>
    <row r="347" spans="1:53" ht="15" customHeight="1">
      <c r="A347" s="121">
        <v>313</v>
      </c>
      <c r="B347" s="121">
        <v>313</v>
      </c>
      <c r="C347" s="121"/>
      <c r="D347" s="120"/>
      <c r="E347" s="120"/>
      <c r="F347" s="121">
        <v>70005009</v>
      </c>
      <c r="G347" s="120" t="s">
        <v>1013</v>
      </c>
      <c r="H347" s="120" t="s">
        <v>812</v>
      </c>
      <c r="I347" s="120" t="s">
        <v>203</v>
      </c>
      <c r="J347" s="120"/>
      <c r="K347" s="120" t="s">
        <v>455</v>
      </c>
      <c r="L347" s="120" t="s">
        <v>338</v>
      </c>
      <c r="M347" s="120" t="s">
        <v>338</v>
      </c>
      <c r="N347" s="121"/>
      <c r="O347" s="124">
        <v>45473</v>
      </c>
      <c r="P347" s="120" t="s">
        <v>1340</v>
      </c>
      <c r="Q347" s="120" t="s">
        <v>414</v>
      </c>
      <c r="R347" s="120" t="s">
        <v>407</v>
      </c>
      <c r="S347" s="120" t="s">
        <v>1217</v>
      </c>
      <c r="T347" s="122">
        <v>1.86</v>
      </c>
      <c r="U347" s="120" t="s">
        <v>824</v>
      </c>
      <c r="V347" s="123">
        <v>7.5999999999999998E-2</v>
      </c>
      <c r="W347" s="120"/>
      <c r="X347" s="120"/>
      <c r="Y347" s="123"/>
      <c r="Z347" s="123">
        <v>7.7399999999999997E-2</v>
      </c>
      <c r="AA347" s="124">
        <v>46172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338</v>
      </c>
      <c r="AK347" s="120" t="s">
        <v>887</v>
      </c>
      <c r="AL347" s="120"/>
      <c r="AM347" s="120" t="s">
        <v>890</v>
      </c>
      <c r="AN347" s="124">
        <v>45473</v>
      </c>
      <c r="AO347" s="120"/>
      <c r="AP347" s="123"/>
      <c r="AQ347" s="122">
        <v>161168</v>
      </c>
      <c r="AR347" s="122">
        <v>100</v>
      </c>
      <c r="AS347" s="122">
        <v>1</v>
      </c>
      <c r="AT347" s="122">
        <v>161.16800000000001</v>
      </c>
      <c r="AU347" s="122">
        <v>161.16800000000001</v>
      </c>
      <c r="AV347" s="122"/>
      <c r="AW347" s="122"/>
      <c r="AX347" s="120"/>
      <c r="AY347" s="120"/>
      <c r="AZ347" s="123">
        <v>6.0999999999999999E-5</v>
      </c>
      <c r="BA347" s="123">
        <v>1.9999999999999999E-6</v>
      </c>
    </row>
    <row r="348" spans="1:53" ht="15" customHeight="1">
      <c r="A348" s="121">
        <v>313</v>
      </c>
      <c r="B348" s="121">
        <v>313</v>
      </c>
      <c r="C348" s="121"/>
      <c r="D348" s="120"/>
      <c r="E348" s="120"/>
      <c r="F348" s="121">
        <v>63941</v>
      </c>
      <c r="G348" s="120" t="s">
        <v>1013</v>
      </c>
      <c r="H348" s="120" t="s">
        <v>812</v>
      </c>
      <c r="I348" s="120" t="s">
        <v>203</v>
      </c>
      <c r="J348" s="120"/>
      <c r="K348" s="120" t="s">
        <v>446</v>
      </c>
      <c r="L348" s="120" t="s">
        <v>338</v>
      </c>
      <c r="M348" s="120" t="s">
        <v>337</v>
      </c>
      <c r="N348" s="121"/>
      <c r="O348" s="124">
        <v>43222</v>
      </c>
      <c r="P348" s="120" t="s">
        <v>1948</v>
      </c>
      <c r="Q348" s="120" t="s">
        <v>412</v>
      </c>
      <c r="R348" s="120" t="s">
        <v>407</v>
      </c>
      <c r="S348" s="120" t="s">
        <v>1217</v>
      </c>
      <c r="T348" s="122">
        <v>5.89</v>
      </c>
      <c r="U348" s="120" t="s">
        <v>2560</v>
      </c>
      <c r="V348" s="123">
        <v>3.3099999999999997E-2</v>
      </c>
      <c r="W348" s="120"/>
      <c r="X348" s="120"/>
      <c r="Y348" s="123"/>
      <c r="Z348" s="123">
        <v>3.44E-2</v>
      </c>
      <c r="AA348" s="124">
        <v>50040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45473</v>
      </c>
      <c r="AO348" s="120"/>
      <c r="AP348" s="123"/>
      <c r="AQ348" s="122">
        <v>799355.04</v>
      </c>
      <c r="AR348" s="122">
        <v>114.02</v>
      </c>
      <c r="AS348" s="122">
        <v>1</v>
      </c>
      <c r="AT348" s="122">
        <v>911.42462</v>
      </c>
      <c r="AU348" s="122">
        <v>911.42462</v>
      </c>
      <c r="AV348" s="122"/>
      <c r="AW348" s="122"/>
      <c r="AX348" s="120"/>
      <c r="AY348" s="120"/>
      <c r="AZ348" s="123">
        <v>3.4699999999999998E-4</v>
      </c>
      <c r="BA348" s="123">
        <v>1.5E-5</v>
      </c>
    </row>
    <row r="349" spans="1:53" ht="15" customHeight="1">
      <c r="A349" s="121">
        <v>313</v>
      </c>
      <c r="B349" s="121">
        <v>313</v>
      </c>
      <c r="C349" s="121"/>
      <c r="D349" s="120"/>
      <c r="E349" s="120"/>
      <c r="F349" s="121">
        <v>63883</v>
      </c>
      <c r="G349" s="120" t="s">
        <v>1013</v>
      </c>
      <c r="H349" s="120" t="s">
        <v>812</v>
      </c>
      <c r="I349" s="120" t="s">
        <v>203</v>
      </c>
      <c r="J349" s="120"/>
      <c r="K349" s="120" t="s">
        <v>446</v>
      </c>
      <c r="L349" s="120" t="s">
        <v>338</v>
      </c>
      <c r="M349" s="120" t="s">
        <v>337</v>
      </c>
      <c r="N349" s="121"/>
      <c r="O349" s="124">
        <v>42942</v>
      </c>
      <c r="P349" s="120" t="s">
        <v>1948</v>
      </c>
      <c r="Q349" s="120" t="s">
        <v>412</v>
      </c>
      <c r="R349" s="120" t="s">
        <v>407</v>
      </c>
      <c r="S349" s="120" t="s">
        <v>1217</v>
      </c>
      <c r="T349" s="122">
        <v>5.89</v>
      </c>
      <c r="U349" s="120" t="s">
        <v>2560</v>
      </c>
      <c r="V349" s="123">
        <v>3.4099999999999998E-2</v>
      </c>
      <c r="W349" s="120"/>
      <c r="X349" s="120"/>
      <c r="Y349" s="123"/>
      <c r="Z349" s="123">
        <v>3.4500000000000003E-2</v>
      </c>
      <c r="AA349" s="124">
        <v>50040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45473</v>
      </c>
      <c r="AO349" s="120"/>
      <c r="AP349" s="123"/>
      <c r="AQ349" s="122">
        <v>78859539.439999998</v>
      </c>
      <c r="AR349" s="122">
        <v>114.29</v>
      </c>
      <c r="AS349" s="122">
        <v>1</v>
      </c>
      <c r="AT349" s="122">
        <v>90128.567630000005</v>
      </c>
      <c r="AU349" s="122">
        <v>90128.567630000005</v>
      </c>
      <c r="AV349" s="122"/>
      <c r="AW349" s="122"/>
      <c r="AX349" s="120"/>
      <c r="AY349" s="120"/>
      <c r="AZ349" s="123">
        <v>3.4373000000000001E-2</v>
      </c>
      <c r="BA349" s="123">
        <v>1.5120000000000001E-3</v>
      </c>
    </row>
    <row r="350" spans="1:53" ht="15" customHeight="1">
      <c r="A350" s="121">
        <v>313</v>
      </c>
      <c r="B350" s="121">
        <v>313</v>
      </c>
      <c r="C350" s="121"/>
      <c r="D350" s="120"/>
      <c r="E350" s="120"/>
      <c r="F350" s="121">
        <v>63289</v>
      </c>
      <c r="G350" s="120" t="s">
        <v>1013</v>
      </c>
      <c r="H350" s="120" t="s">
        <v>812</v>
      </c>
      <c r="I350" s="120" t="s">
        <v>203</v>
      </c>
      <c r="J350" s="120"/>
      <c r="K350" s="120" t="s">
        <v>446</v>
      </c>
      <c r="L350" s="120" t="s">
        <v>338</v>
      </c>
      <c r="M350" s="120" t="s">
        <v>337</v>
      </c>
      <c r="N350" s="121"/>
      <c r="O350" s="124">
        <v>43067</v>
      </c>
      <c r="P350" s="120" t="s">
        <v>1948</v>
      </c>
      <c r="Q350" s="120" t="s">
        <v>412</v>
      </c>
      <c r="R350" s="120" t="s">
        <v>407</v>
      </c>
      <c r="S350" s="120" t="s">
        <v>1217</v>
      </c>
      <c r="T350" s="122">
        <v>5.89</v>
      </c>
      <c r="U350" s="120" t="s">
        <v>2560</v>
      </c>
      <c r="V350" s="123">
        <v>3.3099999999999997E-2</v>
      </c>
      <c r="W350" s="120"/>
      <c r="X350" s="120"/>
      <c r="Y350" s="123"/>
      <c r="Z350" s="123">
        <v>3.44E-2</v>
      </c>
      <c r="AA350" s="124">
        <v>50040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45473</v>
      </c>
      <c r="AO350" s="120"/>
      <c r="AP350" s="123"/>
      <c r="AQ350" s="122">
        <v>3231249.89</v>
      </c>
      <c r="AR350" s="122">
        <v>113.67</v>
      </c>
      <c r="AS350" s="122">
        <v>1</v>
      </c>
      <c r="AT350" s="122">
        <v>3672.9617499999999</v>
      </c>
      <c r="AU350" s="122">
        <v>3672.9617499999999</v>
      </c>
      <c r="AV350" s="122"/>
      <c r="AW350" s="122"/>
      <c r="AX350" s="120"/>
      <c r="AY350" s="120"/>
      <c r="AZ350" s="123">
        <v>1.4E-3</v>
      </c>
      <c r="BA350" s="123">
        <v>6.0999999999999999E-5</v>
      </c>
    </row>
    <row r="351" spans="1:53" ht="15" customHeight="1">
      <c r="A351" s="121">
        <v>313</v>
      </c>
      <c r="B351" s="121">
        <v>313</v>
      </c>
      <c r="C351" s="121"/>
      <c r="D351" s="120"/>
      <c r="E351" s="120"/>
      <c r="F351" s="121">
        <v>6189</v>
      </c>
      <c r="G351" s="120" t="s">
        <v>1013</v>
      </c>
      <c r="H351" s="120" t="s">
        <v>812</v>
      </c>
      <c r="I351" s="120" t="s">
        <v>203</v>
      </c>
      <c r="J351" s="120"/>
      <c r="K351" s="120" t="s">
        <v>484</v>
      </c>
      <c r="L351" s="120" t="s">
        <v>338</v>
      </c>
      <c r="M351" s="120" t="s">
        <v>337</v>
      </c>
      <c r="N351" s="121"/>
      <c r="O351" s="124">
        <v>39261</v>
      </c>
      <c r="P351" s="120" t="s">
        <v>1941</v>
      </c>
      <c r="Q351" s="120" t="s">
        <v>414</v>
      </c>
      <c r="R351" s="120" t="s">
        <v>407</v>
      </c>
      <c r="S351" s="120" t="s">
        <v>1217</v>
      </c>
      <c r="T351" s="122">
        <v>1.7</v>
      </c>
      <c r="U351" s="120" t="s">
        <v>2560</v>
      </c>
      <c r="V351" s="123">
        <v>4.7039999999999998E-2</v>
      </c>
      <c r="W351" s="120"/>
      <c r="X351" s="120"/>
      <c r="Y351" s="123"/>
      <c r="Z351" s="123">
        <v>3.9100000000000003E-2</v>
      </c>
      <c r="AA351" s="124">
        <v>46568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45473</v>
      </c>
      <c r="AO351" s="120"/>
      <c r="AP351" s="123"/>
      <c r="AQ351" s="122">
        <v>4714096.9400000004</v>
      </c>
      <c r="AR351" s="122">
        <v>138.68</v>
      </c>
      <c r="AS351" s="122">
        <v>1</v>
      </c>
      <c r="AT351" s="122">
        <v>6537.5096400000002</v>
      </c>
      <c r="AU351" s="122">
        <v>6537.5096400000002</v>
      </c>
      <c r="AV351" s="122"/>
      <c r="AW351" s="122"/>
      <c r="AX351" s="120"/>
      <c r="AY351" s="120"/>
      <c r="AZ351" s="123">
        <v>2.493E-3</v>
      </c>
      <c r="BA351" s="123">
        <v>1.0900000000000001E-4</v>
      </c>
    </row>
    <row r="352" spans="1:53" ht="15" customHeight="1">
      <c r="A352" s="121">
        <v>313</v>
      </c>
      <c r="B352" s="121">
        <v>313</v>
      </c>
      <c r="C352" s="121"/>
      <c r="D352" s="120"/>
      <c r="E352" s="120"/>
      <c r="F352" s="121">
        <v>5670003</v>
      </c>
      <c r="G352" s="120" t="s">
        <v>1013</v>
      </c>
      <c r="H352" s="120" t="s">
        <v>2562</v>
      </c>
      <c r="I352" s="120" t="s">
        <v>203</v>
      </c>
      <c r="J352" s="120"/>
      <c r="K352" s="120" t="s">
        <v>463</v>
      </c>
      <c r="L352" s="120" t="s">
        <v>338</v>
      </c>
      <c r="M352" s="120" t="s">
        <v>338</v>
      </c>
      <c r="N352" s="121"/>
      <c r="O352" s="124">
        <v>45259</v>
      </c>
      <c r="P352" s="120" t="s">
        <v>1315</v>
      </c>
      <c r="Q352" s="120" t="s">
        <v>414</v>
      </c>
      <c r="R352" s="120" t="s">
        <v>407</v>
      </c>
      <c r="S352" s="120" t="s">
        <v>1217</v>
      </c>
      <c r="T352" s="122">
        <v>6.03</v>
      </c>
      <c r="U352" s="120" t="s">
        <v>2560</v>
      </c>
      <c r="V352" s="123">
        <v>4.2900000000000001E-2</v>
      </c>
      <c r="W352" s="120"/>
      <c r="X352" s="120"/>
      <c r="Y352" s="123"/>
      <c r="Z352" s="123">
        <v>3.9699999999999999E-2</v>
      </c>
      <c r="AA352" s="124">
        <v>47996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45473</v>
      </c>
      <c r="AO352" s="120"/>
      <c r="AP352" s="123"/>
      <c r="AQ352" s="122">
        <v>21160000</v>
      </c>
      <c r="AR352" s="122">
        <v>104</v>
      </c>
      <c r="AS352" s="122">
        <v>1</v>
      </c>
      <c r="AT352" s="122">
        <v>22006.400000000001</v>
      </c>
      <c r="AU352" s="122">
        <v>22006.400000000001</v>
      </c>
      <c r="AV352" s="122"/>
      <c r="AW352" s="122"/>
      <c r="AX352" s="120"/>
      <c r="AY352" s="120"/>
      <c r="AZ352" s="123">
        <v>8.3920000000000002E-3</v>
      </c>
      <c r="BA352" s="123">
        <v>3.6900000000000002E-4</v>
      </c>
    </row>
    <row r="353" spans="1:53" ht="15" customHeight="1">
      <c r="A353" s="121">
        <v>313</v>
      </c>
      <c r="B353" s="121">
        <v>313</v>
      </c>
      <c r="C353" s="121"/>
      <c r="D353" s="120"/>
      <c r="E353" s="120"/>
      <c r="F353" s="121">
        <v>5670004</v>
      </c>
      <c r="G353" s="120" t="s">
        <v>1013</v>
      </c>
      <c r="H353" s="120" t="s">
        <v>2562</v>
      </c>
      <c r="I353" s="120" t="s">
        <v>203</v>
      </c>
      <c r="J353" s="120"/>
      <c r="K353" s="120" t="s">
        <v>463</v>
      </c>
      <c r="L353" s="120" t="s">
        <v>338</v>
      </c>
      <c r="M353" s="120" t="s">
        <v>338</v>
      </c>
      <c r="N353" s="121"/>
      <c r="O353" s="124">
        <v>45382</v>
      </c>
      <c r="P353" s="120" t="s">
        <v>1315</v>
      </c>
      <c r="Q353" s="120" t="s">
        <v>414</v>
      </c>
      <c r="R353" s="120" t="s">
        <v>407</v>
      </c>
      <c r="S353" s="120" t="s">
        <v>1217</v>
      </c>
      <c r="T353" s="122">
        <v>6.28</v>
      </c>
      <c r="U353" s="120" t="s">
        <v>2560</v>
      </c>
      <c r="V353" s="123">
        <v>4.1452000000000003E-2</v>
      </c>
      <c r="W353" s="120"/>
      <c r="X353" s="120"/>
      <c r="Y353" s="123"/>
      <c r="Z353" s="123">
        <v>4.8000000000000001E-2</v>
      </c>
      <c r="AA353" s="124">
        <v>48120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45473</v>
      </c>
      <c r="AO353" s="120"/>
      <c r="AP353" s="123"/>
      <c r="AQ353" s="122">
        <v>5060000</v>
      </c>
      <c r="AR353" s="122">
        <v>98.03</v>
      </c>
      <c r="AS353" s="122">
        <v>1</v>
      </c>
      <c r="AT353" s="122">
        <v>4960.3180000000002</v>
      </c>
      <c r="AU353" s="122">
        <v>4960.3180000000002</v>
      </c>
      <c r="AV353" s="122"/>
      <c r="AW353" s="122"/>
      <c r="AX353" s="120"/>
      <c r="AY353" s="120"/>
      <c r="AZ353" s="123">
        <v>1.8910000000000001E-3</v>
      </c>
      <c r="BA353" s="123">
        <v>8.2999999999999998E-5</v>
      </c>
    </row>
    <row r="354" spans="1:53" ht="15" customHeight="1">
      <c r="A354" s="121">
        <v>313</v>
      </c>
      <c r="B354" s="121">
        <v>313</v>
      </c>
      <c r="C354" s="121"/>
      <c r="D354" s="120"/>
      <c r="E354" s="120"/>
      <c r="F354" s="121">
        <v>5670005</v>
      </c>
      <c r="G354" s="120" t="s">
        <v>1013</v>
      </c>
      <c r="H354" s="120" t="s">
        <v>2562</v>
      </c>
      <c r="I354" s="120" t="s">
        <v>203</v>
      </c>
      <c r="J354" s="120"/>
      <c r="K354" s="120" t="s">
        <v>463</v>
      </c>
      <c r="L354" s="120" t="s">
        <v>338</v>
      </c>
      <c r="M354" s="120" t="s">
        <v>338</v>
      </c>
      <c r="N354" s="121"/>
      <c r="O354" s="124">
        <v>45382</v>
      </c>
      <c r="P354" s="120" t="s">
        <v>1315</v>
      </c>
      <c r="Q354" s="120" t="s">
        <v>414</v>
      </c>
      <c r="R354" s="120" t="s">
        <v>407</v>
      </c>
      <c r="S354" s="120" t="s">
        <v>1217</v>
      </c>
      <c r="T354" s="122">
        <v>6.28</v>
      </c>
      <c r="U354" s="120" t="s">
        <v>2560</v>
      </c>
      <c r="V354" s="123">
        <v>4.1452000000000003E-2</v>
      </c>
      <c r="W354" s="120"/>
      <c r="X354" s="120"/>
      <c r="Y354" s="123"/>
      <c r="Z354" s="123">
        <v>4.8000000000000001E-2</v>
      </c>
      <c r="AA354" s="124">
        <v>48120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45473</v>
      </c>
      <c r="AO354" s="120"/>
      <c r="AP354" s="123"/>
      <c r="AQ354" s="122">
        <v>11672500</v>
      </c>
      <c r="AR354" s="122">
        <v>98.03</v>
      </c>
      <c r="AS354" s="122">
        <v>1</v>
      </c>
      <c r="AT354" s="122">
        <v>11442.551750000001</v>
      </c>
      <c r="AU354" s="122">
        <v>11442.551750000001</v>
      </c>
      <c r="AV354" s="122"/>
      <c r="AW354" s="122"/>
      <c r="AX354" s="120"/>
      <c r="AY354" s="120"/>
      <c r="AZ354" s="123">
        <v>4.3629999999999997E-3</v>
      </c>
      <c r="BA354" s="123">
        <v>1.92E-4</v>
      </c>
    </row>
    <row r="355" spans="1:53" ht="15" customHeight="1">
      <c r="A355" s="121">
        <v>313</v>
      </c>
      <c r="B355" s="121">
        <v>313</v>
      </c>
      <c r="C355" s="121"/>
      <c r="D355" s="120"/>
      <c r="E355" s="120"/>
      <c r="F355" s="121">
        <v>5678001</v>
      </c>
      <c r="G355" s="120" t="s">
        <v>1013</v>
      </c>
      <c r="H355" s="120" t="s">
        <v>818</v>
      </c>
      <c r="I355" s="120" t="s">
        <v>203</v>
      </c>
      <c r="J355" s="120"/>
      <c r="K355" s="120" t="s">
        <v>442</v>
      </c>
      <c r="L355" s="120" t="s">
        <v>338</v>
      </c>
      <c r="M355" s="120" t="s">
        <v>337</v>
      </c>
      <c r="N355" s="121"/>
      <c r="O355" s="124">
        <v>45435</v>
      </c>
      <c r="P355" s="120" t="s">
        <v>1334</v>
      </c>
      <c r="Q355" s="120" t="s">
        <v>414</v>
      </c>
      <c r="R355" s="120" t="s">
        <v>407</v>
      </c>
      <c r="S355" s="120" t="s">
        <v>1217</v>
      </c>
      <c r="T355" s="122">
        <v>2.62</v>
      </c>
      <c r="U355" s="120" t="s">
        <v>2560</v>
      </c>
      <c r="V355" s="123">
        <v>4.9700000000000001E-2</v>
      </c>
      <c r="W355" s="120"/>
      <c r="X355" s="120"/>
      <c r="Y355" s="123"/>
      <c r="Z355" s="123">
        <v>5.8799999999999998E-2</v>
      </c>
      <c r="AA355" s="124">
        <v>46490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45473</v>
      </c>
      <c r="AO355" s="120"/>
      <c r="AP355" s="123"/>
      <c r="AQ355" s="122">
        <v>1356401</v>
      </c>
      <c r="AR355" s="122">
        <v>98.18</v>
      </c>
      <c r="AS355" s="122">
        <v>1</v>
      </c>
      <c r="AT355" s="122">
        <v>1331.7145</v>
      </c>
      <c r="AU355" s="122">
        <v>1331.7145</v>
      </c>
      <c r="AV355" s="122"/>
      <c r="AW355" s="122"/>
      <c r="AX355" s="120"/>
      <c r="AY355" s="120"/>
      <c r="AZ355" s="123">
        <v>5.0699999999999996E-4</v>
      </c>
      <c r="BA355" s="123">
        <v>2.1999999999999999E-5</v>
      </c>
    </row>
    <row r="356" spans="1:53" ht="15" customHeight="1">
      <c r="A356" s="121">
        <v>313</v>
      </c>
      <c r="B356" s="121">
        <v>313</v>
      </c>
      <c r="C356" s="121"/>
      <c r="D356" s="120"/>
      <c r="E356" s="120"/>
      <c r="F356" s="121">
        <v>70005252</v>
      </c>
      <c r="G356" s="120" t="s">
        <v>1013</v>
      </c>
      <c r="H356" s="120" t="s">
        <v>794</v>
      </c>
      <c r="I356" s="120" t="s">
        <v>203</v>
      </c>
      <c r="J356" s="120"/>
      <c r="K356" s="120" t="s">
        <v>463</v>
      </c>
      <c r="L356" s="120" t="s">
        <v>338</v>
      </c>
      <c r="M356" s="120" t="s">
        <v>338</v>
      </c>
      <c r="N356" s="121"/>
      <c r="O356" s="124">
        <v>44098</v>
      </c>
      <c r="P356" s="120" t="s">
        <v>1334</v>
      </c>
      <c r="Q356" s="120" t="s">
        <v>414</v>
      </c>
      <c r="R356" s="120" t="s">
        <v>407</v>
      </c>
      <c r="S356" s="120" t="s">
        <v>1217</v>
      </c>
      <c r="T356" s="122">
        <v>1.22</v>
      </c>
      <c r="U356" s="120" t="s">
        <v>824</v>
      </c>
      <c r="V356" s="123">
        <v>6.0999999999999999E-2</v>
      </c>
      <c r="W356" s="120"/>
      <c r="X356" s="120"/>
      <c r="Y356" s="123"/>
      <c r="Z356" s="123">
        <v>-1.72E-2</v>
      </c>
      <c r="AA356" s="124">
        <v>45930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45473</v>
      </c>
      <c r="AO356" s="120"/>
      <c r="AP356" s="123"/>
      <c r="AQ356" s="122">
        <v>3155458.02</v>
      </c>
      <c r="AR356" s="122">
        <v>100.41</v>
      </c>
      <c r="AS356" s="122">
        <v>1</v>
      </c>
      <c r="AT356" s="122">
        <v>3168.3953999999999</v>
      </c>
      <c r="AU356" s="122">
        <v>3168.3953999999999</v>
      </c>
      <c r="AV356" s="122"/>
      <c r="AW356" s="122"/>
      <c r="AX356" s="120"/>
      <c r="AY356" s="120"/>
      <c r="AZ356" s="123">
        <v>1.2080000000000001E-3</v>
      </c>
      <c r="BA356" s="123">
        <v>5.3000000000000001E-5</v>
      </c>
    </row>
    <row r="357" spans="1:53" ht="15" customHeight="1">
      <c r="A357" s="121">
        <v>313</v>
      </c>
      <c r="B357" s="121">
        <v>313</v>
      </c>
      <c r="C357" s="121"/>
      <c r="D357" s="120"/>
      <c r="E357" s="120"/>
      <c r="F357" s="121">
        <v>5678002</v>
      </c>
      <c r="G357" s="120" t="s">
        <v>1013</v>
      </c>
      <c r="H357" s="120" t="s">
        <v>818</v>
      </c>
      <c r="I357" s="120" t="s">
        <v>203</v>
      </c>
      <c r="J357" s="120"/>
      <c r="K357" s="120" t="s">
        <v>442</v>
      </c>
      <c r="L357" s="120" t="s">
        <v>338</v>
      </c>
      <c r="M357" s="120" t="s">
        <v>337</v>
      </c>
      <c r="N357" s="121"/>
      <c r="O357" s="124">
        <v>45448</v>
      </c>
      <c r="P357" s="120" t="s">
        <v>1334</v>
      </c>
      <c r="Q357" s="120" t="s">
        <v>414</v>
      </c>
      <c r="R357" s="120" t="s">
        <v>407</v>
      </c>
      <c r="S357" s="120" t="s">
        <v>1217</v>
      </c>
      <c r="T357" s="122">
        <v>2.61</v>
      </c>
      <c r="U357" s="120" t="s">
        <v>2560</v>
      </c>
      <c r="V357" s="123">
        <v>5.1551E-2</v>
      </c>
      <c r="W357" s="120"/>
      <c r="X357" s="120"/>
      <c r="Y357" s="123"/>
      <c r="Z357" s="123">
        <v>5.79E-2</v>
      </c>
      <c r="AA357" s="124">
        <v>46490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45473</v>
      </c>
      <c r="AO357" s="120"/>
      <c r="AP357" s="123"/>
      <c r="AQ357" s="122">
        <v>1074132</v>
      </c>
      <c r="AR357" s="122">
        <v>98.87</v>
      </c>
      <c r="AS357" s="122">
        <v>1</v>
      </c>
      <c r="AT357" s="122">
        <v>1061.99431</v>
      </c>
      <c r="AU357" s="122">
        <v>1061.99431</v>
      </c>
      <c r="AV357" s="122"/>
      <c r="AW357" s="122"/>
      <c r="AX357" s="120"/>
      <c r="AY357" s="120"/>
      <c r="AZ357" s="123">
        <v>4.0499999999999998E-4</v>
      </c>
      <c r="BA357" s="123">
        <v>1.7E-5</v>
      </c>
    </row>
    <row r="358" spans="1:53" ht="15" customHeight="1">
      <c r="A358" s="121">
        <v>313</v>
      </c>
      <c r="B358" s="121">
        <v>313</v>
      </c>
      <c r="C358" s="121"/>
      <c r="D358" s="120"/>
      <c r="E358" s="120"/>
      <c r="F358" s="121">
        <v>59007001</v>
      </c>
      <c r="G358" s="120" t="s">
        <v>1013</v>
      </c>
      <c r="H358" s="120" t="s">
        <v>785</v>
      </c>
      <c r="I358" s="120" t="s">
        <v>203</v>
      </c>
      <c r="J358" s="120"/>
      <c r="K358" s="120" t="s">
        <v>463</v>
      </c>
      <c r="L358" s="120" t="s">
        <v>338</v>
      </c>
      <c r="M358" s="120" t="s">
        <v>337</v>
      </c>
      <c r="N358" s="121"/>
      <c r="O358" s="124">
        <v>45449</v>
      </c>
      <c r="P358" s="120" t="s">
        <v>2563</v>
      </c>
      <c r="Q358" s="120" t="s">
        <v>311</v>
      </c>
      <c r="R358" s="120" t="s">
        <v>407</v>
      </c>
      <c r="S358" s="120" t="s">
        <v>1217</v>
      </c>
      <c r="T358" s="122">
        <v>5.05</v>
      </c>
      <c r="U358" s="120" t="s">
        <v>824</v>
      </c>
      <c r="V358" s="123">
        <v>7.3499999999999996E-2</v>
      </c>
      <c r="W358" s="120"/>
      <c r="X358" s="120"/>
      <c r="Y358" s="123"/>
      <c r="Z358" s="123">
        <v>7.8700000000000006E-2</v>
      </c>
      <c r="AA358" s="124">
        <v>47849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45473</v>
      </c>
      <c r="AO358" s="120"/>
      <c r="AP358" s="123"/>
      <c r="AQ358" s="122">
        <v>563500</v>
      </c>
      <c r="AR358" s="122">
        <v>99</v>
      </c>
      <c r="AS358" s="122">
        <v>1</v>
      </c>
      <c r="AT358" s="122">
        <v>557.86500000000001</v>
      </c>
      <c r="AU358" s="122">
        <v>557.86500000000001</v>
      </c>
      <c r="AV358" s="122"/>
      <c r="AW358" s="122"/>
      <c r="AX358" s="120"/>
      <c r="AY358" s="120"/>
      <c r="AZ358" s="123">
        <v>2.12E-4</v>
      </c>
      <c r="BA358" s="123">
        <v>9.0000000000000002E-6</v>
      </c>
    </row>
    <row r="359" spans="1:53" ht="15" customHeight="1">
      <c r="A359" s="121">
        <v>313</v>
      </c>
      <c r="B359" s="121">
        <v>313</v>
      </c>
      <c r="C359" s="121"/>
      <c r="D359" s="120"/>
      <c r="E359" s="120"/>
      <c r="F359" s="121">
        <v>60362134</v>
      </c>
      <c r="G359" s="120" t="s">
        <v>1013</v>
      </c>
      <c r="H359" s="120" t="s">
        <v>818</v>
      </c>
      <c r="I359" s="120" t="s">
        <v>203</v>
      </c>
      <c r="J359" s="120"/>
      <c r="K359" s="120" t="s">
        <v>464</v>
      </c>
      <c r="L359" s="120" t="s">
        <v>338</v>
      </c>
      <c r="M359" s="120" t="s">
        <v>338</v>
      </c>
      <c r="N359" s="121"/>
      <c r="O359" s="124">
        <v>41816</v>
      </c>
      <c r="P359" s="120" t="s">
        <v>1340</v>
      </c>
      <c r="Q359" s="120" t="s">
        <v>414</v>
      </c>
      <c r="R359" s="120" t="s">
        <v>407</v>
      </c>
      <c r="S359" s="120" t="s">
        <v>1212</v>
      </c>
      <c r="T359" s="122">
        <v>2.29</v>
      </c>
      <c r="U359" s="120" t="s">
        <v>2560</v>
      </c>
      <c r="V359" s="123">
        <v>0.06</v>
      </c>
      <c r="W359" s="120"/>
      <c r="X359" s="120"/>
      <c r="Y359" s="123"/>
      <c r="Z359" s="123">
        <v>0.1246</v>
      </c>
      <c r="AA359" s="124">
        <v>46660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45473</v>
      </c>
      <c r="AO359" s="120"/>
      <c r="AP359" s="123"/>
      <c r="AQ359" s="122">
        <v>12375000</v>
      </c>
      <c r="AR359" s="122">
        <v>88.77</v>
      </c>
      <c r="AS359" s="122">
        <v>3.7589999999999999</v>
      </c>
      <c r="AT359" s="122">
        <v>41293.69571</v>
      </c>
      <c r="AU359" s="122">
        <v>10985.2875</v>
      </c>
      <c r="AV359" s="122"/>
      <c r="AW359" s="122"/>
      <c r="AX359" s="120"/>
      <c r="AY359" s="120"/>
      <c r="AZ359" s="123">
        <v>1.5748000000000002E-2</v>
      </c>
      <c r="BA359" s="123">
        <v>6.9200000000000002E-4</v>
      </c>
    </row>
    <row r="360" spans="1:53" ht="15" customHeight="1">
      <c r="A360" s="121">
        <v>313</v>
      </c>
      <c r="B360" s="121">
        <v>313</v>
      </c>
      <c r="C360" s="121"/>
      <c r="D360" s="120"/>
      <c r="E360" s="120"/>
      <c r="F360" s="121">
        <v>60362142</v>
      </c>
      <c r="G360" s="120" t="s">
        <v>1013</v>
      </c>
      <c r="H360" s="120" t="s">
        <v>818</v>
      </c>
      <c r="I360" s="120" t="s">
        <v>203</v>
      </c>
      <c r="J360" s="120"/>
      <c r="K360" s="120" t="s">
        <v>464</v>
      </c>
      <c r="L360" s="120" t="s">
        <v>338</v>
      </c>
      <c r="M360" s="120" t="s">
        <v>338</v>
      </c>
      <c r="N360" s="121"/>
      <c r="O360" s="124">
        <v>41816</v>
      </c>
      <c r="P360" s="120" t="s">
        <v>1340</v>
      </c>
      <c r="Q360" s="120" t="s">
        <v>414</v>
      </c>
      <c r="R360" s="120" t="s">
        <v>407</v>
      </c>
      <c r="S360" s="120" t="s">
        <v>1212</v>
      </c>
      <c r="T360" s="122">
        <v>2.29</v>
      </c>
      <c r="U360" s="120" t="s">
        <v>2560</v>
      </c>
      <c r="V360" s="123">
        <v>0.06</v>
      </c>
      <c r="W360" s="120"/>
      <c r="X360" s="120"/>
      <c r="Y360" s="123"/>
      <c r="Z360" s="123">
        <v>0.1246</v>
      </c>
      <c r="AA360" s="124">
        <v>46660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45473</v>
      </c>
      <c r="AO360" s="120"/>
      <c r="AP360" s="123"/>
      <c r="AQ360" s="122">
        <v>10125000</v>
      </c>
      <c r="AR360" s="122">
        <v>88.77</v>
      </c>
      <c r="AS360" s="122">
        <v>3.7589999999999999</v>
      </c>
      <c r="AT360" s="122">
        <v>33785.751040000003</v>
      </c>
      <c r="AU360" s="122">
        <v>8987.9624999999996</v>
      </c>
      <c r="AV360" s="122"/>
      <c r="AW360" s="122"/>
      <c r="AX360" s="120"/>
      <c r="AY360" s="120"/>
      <c r="AZ360" s="123">
        <v>1.2885000000000001E-2</v>
      </c>
      <c r="BA360" s="123">
        <v>5.6599999999999999E-4</v>
      </c>
    </row>
    <row r="361" spans="1:53" ht="15" customHeight="1">
      <c r="A361" s="121">
        <v>313</v>
      </c>
      <c r="B361" s="121">
        <v>313</v>
      </c>
      <c r="C361" s="121"/>
      <c r="D361" s="120"/>
      <c r="E361" s="120"/>
      <c r="F361" s="121">
        <v>60615184</v>
      </c>
      <c r="G361" s="120" t="s">
        <v>1013</v>
      </c>
      <c r="H361" s="120" t="s">
        <v>812</v>
      </c>
      <c r="I361" s="120" t="s">
        <v>203</v>
      </c>
      <c r="J361" s="120"/>
      <c r="K361" s="120" t="s">
        <v>439</v>
      </c>
      <c r="L361" s="120" t="s">
        <v>338</v>
      </c>
      <c r="M361" s="120" t="s">
        <v>337</v>
      </c>
      <c r="N361" s="121"/>
      <c r="O361" s="124">
        <v>41792</v>
      </c>
      <c r="P361" s="120" t="s">
        <v>1297</v>
      </c>
      <c r="Q361" s="120" t="s">
        <v>414</v>
      </c>
      <c r="R361" s="120" t="s">
        <v>407</v>
      </c>
      <c r="S361" s="120" t="s">
        <v>1212</v>
      </c>
      <c r="T361" s="122">
        <v>1.31</v>
      </c>
      <c r="U361" s="120" t="s">
        <v>824</v>
      </c>
      <c r="V361" s="123">
        <v>4.1509999999999998E-2</v>
      </c>
      <c r="W361" s="120"/>
      <c r="X361" s="120"/>
      <c r="Y361" s="123"/>
      <c r="Z361" s="123">
        <v>4.4400000000000002E-2</v>
      </c>
      <c r="AA361" s="124">
        <v>46387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45473</v>
      </c>
      <c r="AO361" s="120"/>
      <c r="AP361" s="123"/>
      <c r="AQ361" s="122">
        <v>5215374.97</v>
      </c>
      <c r="AR361" s="122">
        <v>101.25</v>
      </c>
      <c r="AS361" s="122">
        <v>3.7589999999999999</v>
      </c>
      <c r="AT361" s="122">
        <v>19849.65194</v>
      </c>
      <c r="AU361" s="122">
        <v>5280.5671599999996</v>
      </c>
      <c r="AV361" s="122"/>
      <c r="AW361" s="122"/>
      <c r="AX361" s="120"/>
      <c r="AY361" s="120"/>
      <c r="AZ361" s="123">
        <v>7.5700000000000003E-3</v>
      </c>
      <c r="BA361" s="123">
        <v>3.3300000000000002E-4</v>
      </c>
    </row>
    <row r="362" spans="1:53" ht="15" customHeight="1">
      <c r="A362" s="121">
        <v>313</v>
      </c>
      <c r="B362" s="121">
        <v>313</v>
      </c>
      <c r="C362" s="121"/>
      <c r="D362" s="120"/>
      <c r="E362" s="120"/>
      <c r="F362" s="121">
        <v>5678102</v>
      </c>
      <c r="G362" s="120" t="s">
        <v>1013</v>
      </c>
      <c r="H362" s="120" t="s">
        <v>812</v>
      </c>
      <c r="I362" s="120" t="s">
        <v>203</v>
      </c>
      <c r="J362" s="120"/>
      <c r="K362" s="120" t="s">
        <v>454</v>
      </c>
      <c r="L362" s="120" t="s">
        <v>338</v>
      </c>
      <c r="M362" s="120" t="s">
        <v>337</v>
      </c>
      <c r="N362" s="121"/>
      <c r="O362" s="124">
        <v>45442</v>
      </c>
      <c r="P362" s="120" t="s">
        <v>1334</v>
      </c>
      <c r="Q362" s="120" t="s">
        <v>414</v>
      </c>
      <c r="R362" s="120" t="s">
        <v>407</v>
      </c>
      <c r="S362" s="120" t="s">
        <v>1217</v>
      </c>
      <c r="T362" s="122">
        <v>8</v>
      </c>
      <c r="U362" s="120" t="s">
        <v>2560</v>
      </c>
      <c r="V362" s="123">
        <v>4.4484999999999997E-2</v>
      </c>
      <c r="W362" s="120"/>
      <c r="X362" s="120"/>
      <c r="Y362" s="123"/>
      <c r="Z362" s="123">
        <v>4.7899999999999998E-2</v>
      </c>
      <c r="AA362" s="124">
        <v>52568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45473</v>
      </c>
      <c r="AO362" s="120"/>
      <c r="AP362" s="123"/>
      <c r="AQ362" s="122">
        <v>165600000</v>
      </c>
      <c r="AR362" s="122">
        <v>98.51</v>
      </c>
      <c r="AS362" s="122">
        <v>1</v>
      </c>
      <c r="AT362" s="122">
        <v>163132.56</v>
      </c>
      <c r="AU362" s="122">
        <v>163132.56</v>
      </c>
      <c r="AV362" s="122"/>
      <c r="AW362" s="122"/>
      <c r="AX362" s="120"/>
      <c r="AY362" s="120"/>
      <c r="AZ362" s="123">
        <v>6.2216E-2</v>
      </c>
      <c r="BA362" s="123">
        <v>2.7369999999999998E-3</v>
      </c>
    </row>
    <row r="363" spans="1:53" ht="15" customHeight="1">
      <c r="A363" s="121">
        <v>313</v>
      </c>
      <c r="B363" s="121">
        <v>313</v>
      </c>
      <c r="C363" s="121"/>
      <c r="D363" s="120"/>
      <c r="E363" s="120"/>
      <c r="F363" s="121">
        <v>70005253</v>
      </c>
      <c r="G363" s="120" t="s">
        <v>1013</v>
      </c>
      <c r="H363" s="120" t="s">
        <v>794</v>
      </c>
      <c r="I363" s="120" t="s">
        <v>203</v>
      </c>
      <c r="J363" s="120"/>
      <c r="K363" s="120" t="s">
        <v>463</v>
      </c>
      <c r="L363" s="120" t="s">
        <v>338</v>
      </c>
      <c r="M363" s="120" t="s">
        <v>338</v>
      </c>
      <c r="N363" s="121"/>
      <c r="O363" s="124">
        <v>44192</v>
      </c>
      <c r="P363" s="120" t="s">
        <v>1334</v>
      </c>
      <c r="Q363" s="120" t="s">
        <v>414</v>
      </c>
      <c r="R363" s="120" t="s">
        <v>407</v>
      </c>
      <c r="S363" s="120" t="s">
        <v>1217</v>
      </c>
      <c r="T363" s="122">
        <v>1.22</v>
      </c>
      <c r="U363" s="120" t="s">
        <v>824</v>
      </c>
      <c r="V363" s="123">
        <v>6.0999999999999999E-2</v>
      </c>
      <c r="W363" s="120"/>
      <c r="X363" s="120"/>
      <c r="Y363" s="123"/>
      <c r="Z363" s="123">
        <v>-1.8700000000000001E-2</v>
      </c>
      <c r="AA363" s="124">
        <v>45930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45473</v>
      </c>
      <c r="AO363" s="120"/>
      <c r="AP363" s="123"/>
      <c r="AQ363" s="122">
        <v>828684.5</v>
      </c>
      <c r="AR363" s="122">
        <v>100.62</v>
      </c>
      <c r="AS363" s="122">
        <v>1</v>
      </c>
      <c r="AT363" s="122">
        <v>833.82234000000005</v>
      </c>
      <c r="AU363" s="122">
        <v>833.82234000000005</v>
      </c>
      <c r="AV363" s="122"/>
      <c r="AW363" s="122"/>
      <c r="AX363" s="120"/>
      <c r="AY363" s="120"/>
      <c r="AZ363" s="123">
        <v>3.1799999999999998E-4</v>
      </c>
      <c r="BA363" s="123">
        <v>1.2999999999999999E-5</v>
      </c>
    </row>
    <row r="364" spans="1:53" ht="15" customHeight="1">
      <c r="A364" s="121">
        <v>313</v>
      </c>
      <c r="B364" s="121">
        <v>313</v>
      </c>
      <c r="C364" s="121"/>
      <c r="D364" s="120"/>
      <c r="E364" s="120"/>
      <c r="F364" s="121">
        <v>70005254</v>
      </c>
      <c r="G364" s="120" t="s">
        <v>1013</v>
      </c>
      <c r="H364" s="120" t="s">
        <v>794</v>
      </c>
      <c r="I364" s="120" t="s">
        <v>203</v>
      </c>
      <c r="J364" s="120"/>
      <c r="K364" s="120" t="s">
        <v>463</v>
      </c>
      <c r="L364" s="120" t="s">
        <v>338</v>
      </c>
      <c r="M364" s="120" t="s">
        <v>338</v>
      </c>
      <c r="N364" s="121"/>
      <c r="O364" s="124">
        <v>44375</v>
      </c>
      <c r="P364" s="120" t="s">
        <v>1334</v>
      </c>
      <c r="Q364" s="120" t="s">
        <v>414</v>
      </c>
      <c r="R364" s="120" t="s">
        <v>407</v>
      </c>
      <c r="S364" s="120" t="s">
        <v>1217</v>
      </c>
      <c r="T364" s="122">
        <v>1.22</v>
      </c>
      <c r="U364" s="120" t="s">
        <v>824</v>
      </c>
      <c r="V364" s="123">
        <v>6.0999999999999999E-2</v>
      </c>
      <c r="W364" s="120"/>
      <c r="X364" s="120"/>
      <c r="Y364" s="123"/>
      <c r="Z364" s="123">
        <v>9.9000000000000008E-3</v>
      </c>
      <c r="AA364" s="124">
        <v>45930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45473</v>
      </c>
      <c r="AO364" s="120"/>
      <c r="AP364" s="123"/>
      <c r="AQ364" s="122">
        <v>1552406.1</v>
      </c>
      <c r="AR364" s="122">
        <v>97.19</v>
      </c>
      <c r="AS364" s="122">
        <v>1</v>
      </c>
      <c r="AT364" s="122">
        <v>1508.78349</v>
      </c>
      <c r="AU364" s="122">
        <v>1508.78349</v>
      </c>
      <c r="AV364" s="122"/>
      <c r="AW364" s="122"/>
      <c r="AX364" s="120"/>
      <c r="AY364" s="120"/>
      <c r="AZ364" s="123">
        <v>5.7499999999999999E-4</v>
      </c>
      <c r="BA364" s="123">
        <v>2.5000000000000001E-5</v>
      </c>
    </row>
    <row r="365" spans="1:53" ht="15" customHeight="1">
      <c r="A365" s="121">
        <v>313</v>
      </c>
      <c r="B365" s="121">
        <v>313</v>
      </c>
      <c r="C365" s="121"/>
      <c r="D365" s="120"/>
      <c r="E365" s="120"/>
      <c r="F365" s="121">
        <v>70005255</v>
      </c>
      <c r="G365" s="120" t="s">
        <v>1013</v>
      </c>
      <c r="H365" s="120" t="s">
        <v>794</v>
      </c>
      <c r="I365" s="120" t="s">
        <v>203</v>
      </c>
      <c r="J365" s="120"/>
      <c r="K365" s="120" t="s">
        <v>463</v>
      </c>
      <c r="L365" s="120" t="s">
        <v>338</v>
      </c>
      <c r="M365" s="120" t="s">
        <v>338</v>
      </c>
      <c r="N365" s="121"/>
      <c r="O365" s="124">
        <v>44451</v>
      </c>
      <c r="P365" s="120" t="s">
        <v>1334</v>
      </c>
      <c r="Q365" s="120" t="s">
        <v>414</v>
      </c>
      <c r="R365" s="120" t="s">
        <v>407</v>
      </c>
      <c r="S365" s="120" t="s">
        <v>1217</v>
      </c>
      <c r="T365" s="122">
        <v>1.23</v>
      </c>
      <c r="U365" s="120" t="s">
        <v>824</v>
      </c>
      <c r="V365" s="123">
        <v>6.0999999999999999E-2</v>
      </c>
      <c r="W365" s="120"/>
      <c r="X365" s="120"/>
      <c r="Y365" s="123"/>
      <c r="Z365" s="123">
        <v>6.0900000000000003E-2</v>
      </c>
      <c r="AA365" s="124">
        <v>45930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45473</v>
      </c>
      <c r="AO365" s="120"/>
      <c r="AP365" s="123"/>
      <c r="AQ365" s="122">
        <v>756372.02</v>
      </c>
      <c r="AR365" s="122">
        <v>100.17</v>
      </c>
      <c r="AS365" s="122">
        <v>1</v>
      </c>
      <c r="AT365" s="122">
        <v>757.65785000000005</v>
      </c>
      <c r="AU365" s="122">
        <v>757.65785000000005</v>
      </c>
      <c r="AV365" s="122"/>
      <c r="AW365" s="122"/>
      <c r="AX365" s="120"/>
      <c r="AY365" s="120"/>
      <c r="AZ365" s="123">
        <v>2.8800000000000001E-4</v>
      </c>
      <c r="BA365" s="123">
        <v>1.2E-5</v>
      </c>
    </row>
    <row r="366" spans="1:53" ht="15" customHeight="1">
      <c r="A366" s="121">
        <v>313</v>
      </c>
      <c r="B366" s="121">
        <v>313</v>
      </c>
      <c r="C366" s="121"/>
      <c r="D366" s="120"/>
      <c r="E366" s="120"/>
      <c r="F366" s="121">
        <v>70006906</v>
      </c>
      <c r="G366" s="120" t="s">
        <v>1013</v>
      </c>
      <c r="H366" s="120" t="s">
        <v>2570</v>
      </c>
      <c r="I366" s="120" t="s">
        <v>203</v>
      </c>
      <c r="J366" s="120"/>
      <c r="K366" s="120" t="s">
        <v>463</v>
      </c>
      <c r="L366" s="120" t="s">
        <v>338</v>
      </c>
      <c r="M366" s="120" t="s">
        <v>337</v>
      </c>
      <c r="N366" s="121"/>
      <c r="O366" s="124">
        <v>45152</v>
      </c>
      <c r="P366" s="120" t="s">
        <v>2563</v>
      </c>
      <c r="Q366" s="120" t="s">
        <v>311</v>
      </c>
      <c r="R366" s="120" t="s">
        <v>407</v>
      </c>
      <c r="S366" s="120" t="s">
        <v>1217</v>
      </c>
      <c r="T366" s="122">
        <v>4.2</v>
      </c>
      <c r="U366" s="120" t="s">
        <v>2560</v>
      </c>
      <c r="V366" s="123">
        <v>6.0699999999999997E-2</v>
      </c>
      <c r="W366" s="120"/>
      <c r="X366" s="120"/>
      <c r="Y366" s="123"/>
      <c r="Z366" s="123">
        <v>6.2399999999999997E-2</v>
      </c>
      <c r="AA366" s="124">
        <v>47480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45473</v>
      </c>
      <c r="AO366" s="120"/>
      <c r="AP366" s="123"/>
      <c r="AQ366" s="122">
        <v>506000</v>
      </c>
      <c r="AR366" s="122">
        <v>99.36</v>
      </c>
      <c r="AS366" s="122">
        <v>1</v>
      </c>
      <c r="AT366" s="122">
        <v>502.76159999999999</v>
      </c>
      <c r="AU366" s="122">
        <v>502.76159999999999</v>
      </c>
      <c r="AV366" s="122"/>
      <c r="AW366" s="122"/>
      <c r="AX366" s="120"/>
      <c r="AY366" s="120"/>
      <c r="AZ366" s="123">
        <v>1.9100000000000001E-4</v>
      </c>
      <c r="BA366" s="123">
        <v>7.9999999999999996E-6</v>
      </c>
    </row>
    <row r="367" spans="1:53" ht="15" customHeight="1">
      <c r="A367" s="121">
        <v>313</v>
      </c>
      <c r="B367" s="121">
        <v>313</v>
      </c>
      <c r="C367" s="121"/>
      <c r="D367" s="120"/>
      <c r="E367" s="120"/>
      <c r="F367" s="121">
        <v>70006907</v>
      </c>
      <c r="G367" s="120" t="s">
        <v>1013</v>
      </c>
      <c r="H367" s="120" t="s">
        <v>2570</v>
      </c>
      <c r="I367" s="120" t="s">
        <v>203</v>
      </c>
      <c r="J367" s="120"/>
      <c r="K367" s="120" t="s">
        <v>463</v>
      </c>
      <c r="L367" s="120" t="s">
        <v>338</v>
      </c>
      <c r="M367" s="120" t="s">
        <v>337</v>
      </c>
      <c r="N367" s="121"/>
      <c r="O367" s="124">
        <v>45214</v>
      </c>
      <c r="P367" s="120" t="s">
        <v>2563</v>
      </c>
      <c r="Q367" s="120" t="s">
        <v>311</v>
      </c>
      <c r="R367" s="120" t="s">
        <v>407</v>
      </c>
      <c r="S367" s="120" t="s">
        <v>1217</v>
      </c>
      <c r="T367" s="122">
        <v>4.17</v>
      </c>
      <c r="U367" s="120" t="s">
        <v>2560</v>
      </c>
      <c r="V367" s="123">
        <v>6.54E-2</v>
      </c>
      <c r="W367" s="120"/>
      <c r="X367" s="120"/>
      <c r="Y367" s="123"/>
      <c r="Z367" s="123">
        <v>6.2600000000000003E-2</v>
      </c>
      <c r="AA367" s="124">
        <v>47480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45473</v>
      </c>
      <c r="AO367" s="120"/>
      <c r="AP367" s="123"/>
      <c r="AQ367" s="122">
        <v>1503050</v>
      </c>
      <c r="AR367" s="122">
        <v>101.2</v>
      </c>
      <c r="AS367" s="122">
        <v>1</v>
      </c>
      <c r="AT367" s="122">
        <v>1521.0866000000001</v>
      </c>
      <c r="AU367" s="122">
        <v>1521.0866000000001</v>
      </c>
      <c r="AV367" s="122"/>
      <c r="AW367" s="122"/>
      <c r="AX367" s="120"/>
      <c r="AY367" s="120"/>
      <c r="AZ367" s="123">
        <v>5.8E-4</v>
      </c>
      <c r="BA367" s="123">
        <v>2.5000000000000001E-5</v>
      </c>
    </row>
    <row r="368" spans="1:53" ht="15" customHeight="1">
      <c r="A368" s="121">
        <v>313</v>
      </c>
      <c r="B368" s="121">
        <v>313</v>
      </c>
      <c r="C368" s="121"/>
      <c r="D368" s="120"/>
      <c r="E368" s="120"/>
      <c r="F368" s="121">
        <v>70006908</v>
      </c>
      <c r="G368" s="120" t="s">
        <v>1013</v>
      </c>
      <c r="H368" s="120" t="s">
        <v>2570</v>
      </c>
      <c r="I368" s="120" t="s">
        <v>203</v>
      </c>
      <c r="J368" s="120"/>
      <c r="K368" s="120" t="s">
        <v>463</v>
      </c>
      <c r="L368" s="120" t="s">
        <v>338</v>
      </c>
      <c r="M368" s="120" t="s">
        <v>337</v>
      </c>
      <c r="N368" s="121"/>
      <c r="O368" s="124">
        <v>45398</v>
      </c>
      <c r="P368" s="120" t="s">
        <v>2563</v>
      </c>
      <c r="Q368" s="120" t="s">
        <v>311</v>
      </c>
      <c r="R368" s="120" t="s">
        <v>407</v>
      </c>
      <c r="S368" s="120" t="s">
        <v>1217</v>
      </c>
      <c r="T368" s="122">
        <v>4.1500000000000004</v>
      </c>
      <c r="U368" s="120" t="s">
        <v>2560</v>
      </c>
      <c r="V368" s="123">
        <v>6.5100000000000005E-2</v>
      </c>
      <c r="W368" s="120"/>
      <c r="X368" s="120"/>
      <c r="Y368" s="123"/>
      <c r="Z368" s="123">
        <v>6.7699999999999996E-2</v>
      </c>
      <c r="AA368" s="124">
        <v>47480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45473</v>
      </c>
      <c r="AO368" s="120"/>
      <c r="AP368" s="123"/>
      <c r="AQ368" s="122">
        <v>230000</v>
      </c>
      <c r="AR368" s="122">
        <v>99.48</v>
      </c>
      <c r="AS368" s="122">
        <v>1</v>
      </c>
      <c r="AT368" s="122">
        <v>228.804</v>
      </c>
      <c r="AU368" s="122">
        <v>228.804</v>
      </c>
      <c r="AV368" s="122"/>
      <c r="AW368" s="122"/>
      <c r="AX368" s="120"/>
      <c r="AY368" s="120"/>
      <c r="AZ368" s="123">
        <v>8.7000000000000001E-5</v>
      </c>
      <c r="BA368" s="123">
        <v>3.0000000000000001E-6</v>
      </c>
    </row>
    <row r="369" spans="1:53" ht="15" customHeight="1">
      <c r="A369" s="121">
        <v>313</v>
      </c>
      <c r="B369" s="121">
        <v>313</v>
      </c>
      <c r="C369" s="121"/>
      <c r="D369" s="120"/>
      <c r="E369" s="120"/>
      <c r="F369" s="121">
        <v>70006909</v>
      </c>
      <c r="G369" s="120" t="s">
        <v>1013</v>
      </c>
      <c r="H369" s="120" t="s">
        <v>2570</v>
      </c>
      <c r="I369" s="120" t="s">
        <v>203</v>
      </c>
      <c r="J369" s="120"/>
      <c r="K369" s="120" t="s">
        <v>463</v>
      </c>
      <c r="L369" s="120" t="s">
        <v>338</v>
      </c>
      <c r="M369" s="120" t="s">
        <v>337</v>
      </c>
      <c r="N369" s="121"/>
      <c r="O369" s="124">
        <v>45447</v>
      </c>
      <c r="P369" s="120" t="s">
        <v>2563</v>
      </c>
      <c r="Q369" s="120" t="s">
        <v>311</v>
      </c>
      <c r="R369" s="120" t="s">
        <v>407</v>
      </c>
      <c r="S369" s="120" t="s">
        <v>1217</v>
      </c>
      <c r="T369" s="122">
        <v>4.1100000000000003</v>
      </c>
      <c r="U369" s="120" t="s">
        <v>2560</v>
      </c>
      <c r="V369" s="123">
        <v>6.9699999999999998E-2</v>
      </c>
      <c r="W369" s="120"/>
      <c r="X369" s="120"/>
      <c r="Y369" s="123"/>
      <c r="Z369" s="123">
        <v>7.3400000000000007E-2</v>
      </c>
      <c r="AA369" s="124">
        <v>47480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45473</v>
      </c>
      <c r="AO369" s="120"/>
      <c r="AP369" s="123"/>
      <c r="AQ369" s="122">
        <v>8395000</v>
      </c>
      <c r="AR369" s="122">
        <v>98.72</v>
      </c>
      <c r="AS369" s="122">
        <v>1</v>
      </c>
      <c r="AT369" s="122">
        <v>8287.5439999999999</v>
      </c>
      <c r="AU369" s="122">
        <v>8287.5439999999999</v>
      </c>
      <c r="AV369" s="122"/>
      <c r="AW369" s="122"/>
      <c r="AX369" s="120"/>
      <c r="AY369" s="120"/>
      <c r="AZ369" s="123">
        <v>3.16E-3</v>
      </c>
      <c r="BA369" s="123">
        <v>1.3899999999999999E-4</v>
      </c>
    </row>
    <row r="370" spans="1:53" ht="15" customHeight="1">
      <c r="A370" s="121">
        <v>313</v>
      </c>
      <c r="B370" s="121">
        <v>313</v>
      </c>
      <c r="C370" s="121"/>
      <c r="D370" s="120"/>
      <c r="E370" s="120"/>
      <c r="F370" s="121">
        <v>70006905</v>
      </c>
      <c r="G370" s="120" t="s">
        <v>1013</v>
      </c>
      <c r="H370" s="120" t="s">
        <v>2570</v>
      </c>
      <c r="I370" s="120" t="s">
        <v>203</v>
      </c>
      <c r="J370" s="120"/>
      <c r="K370" s="120" t="s">
        <v>463</v>
      </c>
      <c r="L370" s="120" t="s">
        <v>338</v>
      </c>
      <c r="M370" s="120" t="s">
        <v>337</v>
      </c>
      <c r="N370" s="121"/>
      <c r="O370" s="124">
        <v>45060</v>
      </c>
      <c r="P370" s="120" t="s">
        <v>2563</v>
      </c>
      <c r="Q370" s="120" t="s">
        <v>311</v>
      </c>
      <c r="R370" s="120" t="s">
        <v>407</v>
      </c>
      <c r="S370" s="120" t="s">
        <v>1217</v>
      </c>
      <c r="T370" s="122">
        <v>4.21</v>
      </c>
      <c r="U370" s="120" t="s">
        <v>2560</v>
      </c>
      <c r="V370" s="123">
        <v>5.8700000000000002E-2</v>
      </c>
      <c r="W370" s="120"/>
      <c r="X370" s="120"/>
      <c r="Y370" s="123"/>
      <c r="Z370" s="123">
        <v>6.1600000000000002E-2</v>
      </c>
      <c r="AA370" s="124">
        <v>47480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45473</v>
      </c>
      <c r="AO370" s="120"/>
      <c r="AP370" s="123"/>
      <c r="AQ370" s="122">
        <v>621000</v>
      </c>
      <c r="AR370" s="122">
        <v>98.85</v>
      </c>
      <c r="AS370" s="122">
        <v>1</v>
      </c>
      <c r="AT370" s="122">
        <v>613.85850000000005</v>
      </c>
      <c r="AU370" s="122">
        <v>613.85850000000005</v>
      </c>
      <c r="AV370" s="122"/>
      <c r="AW370" s="122"/>
      <c r="AX370" s="120"/>
      <c r="AY370" s="120"/>
      <c r="AZ370" s="123">
        <v>2.34E-4</v>
      </c>
      <c r="BA370" s="123">
        <v>1.0000000000000001E-5</v>
      </c>
    </row>
    <row r="371" spans="1:53" ht="15" customHeight="1">
      <c r="A371" s="121">
        <v>313</v>
      </c>
      <c r="B371" s="121">
        <v>313</v>
      </c>
      <c r="C371" s="121"/>
      <c r="D371" s="120"/>
      <c r="E371" s="120"/>
      <c r="F371" s="121">
        <v>70007701</v>
      </c>
      <c r="G371" s="120" t="s">
        <v>1013</v>
      </c>
      <c r="H371" s="120" t="s">
        <v>812</v>
      </c>
      <c r="I371" s="120" t="s">
        <v>203</v>
      </c>
      <c r="J371" s="120"/>
      <c r="K371" s="120" t="s">
        <v>446</v>
      </c>
      <c r="L371" s="120" t="s">
        <v>338</v>
      </c>
      <c r="M371" s="120" t="s">
        <v>337</v>
      </c>
      <c r="N371" s="121"/>
      <c r="O371" s="124">
        <v>45155</v>
      </c>
      <c r="P371" s="120" t="s">
        <v>1315</v>
      </c>
      <c r="Q371" s="120" t="s">
        <v>414</v>
      </c>
      <c r="R371" s="120" t="s">
        <v>407</v>
      </c>
      <c r="S371" s="120" t="s">
        <v>1217</v>
      </c>
      <c r="T371" s="122">
        <v>1.59</v>
      </c>
      <c r="U371" s="120" t="s">
        <v>824</v>
      </c>
      <c r="V371" s="123">
        <v>6.6000000000000003E-2</v>
      </c>
      <c r="W371" s="120"/>
      <c r="X371" s="120"/>
      <c r="Y371" s="123"/>
      <c r="Z371" s="123">
        <v>6.2300000000000001E-2</v>
      </c>
      <c r="AA371" s="124">
        <v>46081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45473</v>
      </c>
      <c r="AO371" s="120"/>
      <c r="AP371" s="123"/>
      <c r="AQ371" s="122">
        <v>1741551.18</v>
      </c>
      <c r="AR371" s="122">
        <v>100.83</v>
      </c>
      <c r="AS371" s="122">
        <v>1</v>
      </c>
      <c r="AT371" s="122">
        <v>1756.00605</v>
      </c>
      <c r="AU371" s="122">
        <v>1756.00605</v>
      </c>
      <c r="AV371" s="122"/>
      <c r="AW371" s="122"/>
      <c r="AX371" s="120"/>
      <c r="AY371" s="120"/>
      <c r="AZ371" s="123">
        <v>6.69E-4</v>
      </c>
      <c r="BA371" s="123">
        <v>2.9E-5</v>
      </c>
    </row>
    <row r="372" spans="1:53" ht="15" customHeight="1">
      <c r="A372" s="121">
        <v>313</v>
      </c>
      <c r="B372" s="121">
        <v>313</v>
      </c>
      <c r="C372" s="121"/>
      <c r="D372" s="120"/>
      <c r="E372" s="120"/>
      <c r="F372" s="121">
        <v>70007703</v>
      </c>
      <c r="G372" s="120" t="s">
        <v>1013</v>
      </c>
      <c r="H372" s="120" t="s">
        <v>812</v>
      </c>
      <c r="I372" s="120" t="s">
        <v>203</v>
      </c>
      <c r="J372" s="120"/>
      <c r="K372" s="120" t="s">
        <v>446</v>
      </c>
      <c r="L372" s="120" t="s">
        <v>338</v>
      </c>
      <c r="M372" s="120" t="s">
        <v>337</v>
      </c>
      <c r="N372" s="121"/>
      <c r="O372" s="124">
        <v>45258</v>
      </c>
      <c r="P372" s="120" t="s">
        <v>1315</v>
      </c>
      <c r="Q372" s="120" t="s">
        <v>414</v>
      </c>
      <c r="R372" s="120" t="s">
        <v>407</v>
      </c>
      <c r="S372" s="120" t="s">
        <v>1217</v>
      </c>
      <c r="T372" s="122">
        <v>2.0299999999999998</v>
      </c>
      <c r="U372" s="120" t="s">
        <v>824</v>
      </c>
      <c r="V372" s="123">
        <v>6.6000000000000003E-2</v>
      </c>
      <c r="W372" s="120"/>
      <c r="X372" s="120"/>
      <c r="Y372" s="123"/>
      <c r="Z372" s="123">
        <v>6.1499999999999999E-2</v>
      </c>
      <c r="AA372" s="124">
        <v>46262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45473</v>
      </c>
      <c r="AO372" s="120"/>
      <c r="AP372" s="123"/>
      <c r="AQ372" s="122">
        <v>2612326.77</v>
      </c>
      <c r="AR372" s="122">
        <v>101.21</v>
      </c>
      <c r="AS372" s="122">
        <v>1</v>
      </c>
      <c r="AT372" s="122">
        <v>2643.9359199999999</v>
      </c>
      <c r="AU372" s="122">
        <v>2643.9359199999999</v>
      </c>
      <c r="AV372" s="122"/>
      <c r="AW372" s="122"/>
      <c r="AX372" s="120"/>
      <c r="AY372" s="120"/>
      <c r="AZ372" s="123">
        <v>1.008E-3</v>
      </c>
      <c r="BA372" s="123">
        <v>4.3999999999999999E-5</v>
      </c>
    </row>
    <row r="373" spans="1:53" ht="15" customHeight="1">
      <c r="A373" s="121">
        <v>313</v>
      </c>
      <c r="B373" s="121">
        <v>313</v>
      </c>
      <c r="C373" s="121"/>
      <c r="D373" s="120"/>
      <c r="E373" s="120"/>
      <c r="F373" s="121">
        <v>70007704</v>
      </c>
      <c r="G373" s="120" t="s">
        <v>1013</v>
      </c>
      <c r="H373" s="120" t="s">
        <v>812</v>
      </c>
      <c r="I373" s="120" t="s">
        <v>203</v>
      </c>
      <c r="J373" s="120"/>
      <c r="K373" s="120" t="s">
        <v>446</v>
      </c>
      <c r="L373" s="120" t="s">
        <v>338</v>
      </c>
      <c r="M373" s="120" t="s">
        <v>337</v>
      </c>
      <c r="N373" s="121"/>
      <c r="O373" s="124">
        <v>45306</v>
      </c>
      <c r="P373" s="120" t="s">
        <v>1315</v>
      </c>
      <c r="Q373" s="120" t="s">
        <v>414</v>
      </c>
      <c r="R373" s="120" t="s">
        <v>407</v>
      </c>
      <c r="S373" s="120" t="s">
        <v>1217</v>
      </c>
      <c r="T373" s="122">
        <v>2.0299999999999998</v>
      </c>
      <c r="U373" s="120" t="s">
        <v>824</v>
      </c>
      <c r="V373" s="123">
        <v>6.6000000000000003E-2</v>
      </c>
      <c r="W373" s="120"/>
      <c r="X373" s="120"/>
      <c r="Y373" s="123"/>
      <c r="Z373" s="123">
        <v>6.3700000000000007E-2</v>
      </c>
      <c r="AA373" s="124">
        <v>46262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45473</v>
      </c>
      <c r="AO373" s="120"/>
      <c r="AP373" s="123"/>
      <c r="AQ373" s="122">
        <v>1741551.18</v>
      </c>
      <c r="AR373" s="122">
        <v>100.78</v>
      </c>
      <c r="AS373" s="122">
        <v>1</v>
      </c>
      <c r="AT373" s="122">
        <v>1755.13528</v>
      </c>
      <c r="AU373" s="122">
        <v>1755.13528</v>
      </c>
      <c r="AV373" s="122"/>
      <c r="AW373" s="122"/>
      <c r="AX373" s="120"/>
      <c r="AY373" s="120"/>
      <c r="AZ373" s="123">
        <v>6.69E-4</v>
      </c>
      <c r="BA373" s="123">
        <v>2.9E-5</v>
      </c>
    </row>
    <row r="374" spans="1:53" ht="15" customHeight="1">
      <c r="A374" s="121">
        <v>313</v>
      </c>
      <c r="B374" s="121">
        <v>313</v>
      </c>
      <c r="C374" s="121"/>
      <c r="D374" s="120"/>
      <c r="E374" s="120"/>
      <c r="F374" s="121">
        <v>70007705</v>
      </c>
      <c r="G374" s="120" t="s">
        <v>1013</v>
      </c>
      <c r="H374" s="120" t="s">
        <v>812</v>
      </c>
      <c r="I374" s="120" t="s">
        <v>203</v>
      </c>
      <c r="J374" s="120"/>
      <c r="K374" s="120" t="s">
        <v>446</v>
      </c>
      <c r="L374" s="120" t="s">
        <v>338</v>
      </c>
      <c r="M374" s="120" t="s">
        <v>337</v>
      </c>
      <c r="N374" s="121"/>
      <c r="O374" s="124">
        <v>45369</v>
      </c>
      <c r="P374" s="120" t="s">
        <v>1315</v>
      </c>
      <c r="Q374" s="120" t="s">
        <v>414</v>
      </c>
      <c r="R374" s="120" t="s">
        <v>407</v>
      </c>
      <c r="S374" s="120" t="s">
        <v>1217</v>
      </c>
      <c r="T374" s="122">
        <v>2.0299999999999998</v>
      </c>
      <c r="U374" s="120" t="s">
        <v>824</v>
      </c>
      <c r="V374" s="123">
        <v>6.6000000000000003E-2</v>
      </c>
      <c r="W374" s="120"/>
      <c r="X374" s="120"/>
      <c r="Y374" s="123"/>
      <c r="Z374" s="123">
        <v>6.6500000000000004E-2</v>
      </c>
      <c r="AA374" s="124">
        <v>46262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45473</v>
      </c>
      <c r="AO374" s="120"/>
      <c r="AP374" s="123"/>
      <c r="AQ374" s="122">
        <v>1138555.98</v>
      </c>
      <c r="AR374" s="122">
        <v>100.24</v>
      </c>
      <c r="AS374" s="122">
        <v>1</v>
      </c>
      <c r="AT374" s="122">
        <v>1141.2885100000001</v>
      </c>
      <c r="AU374" s="122">
        <v>1141.2885100000001</v>
      </c>
      <c r="AV374" s="122"/>
      <c r="AW374" s="122"/>
      <c r="AX374" s="120"/>
      <c r="AY374" s="120"/>
      <c r="AZ374" s="123">
        <v>4.35E-4</v>
      </c>
      <c r="BA374" s="123">
        <v>1.9000000000000001E-5</v>
      </c>
    </row>
    <row r="375" spans="1:53" ht="15" customHeight="1">
      <c r="A375" s="121">
        <v>313</v>
      </c>
      <c r="B375" s="121">
        <v>313</v>
      </c>
      <c r="C375" s="121"/>
      <c r="D375" s="120"/>
      <c r="E375" s="120"/>
      <c r="F375" s="121">
        <v>70007706</v>
      </c>
      <c r="G375" s="120" t="s">
        <v>1013</v>
      </c>
      <c r="H375" s="120" t="s">
        <v>812</v>
      </c>
      <c r="I375" s="120" t="s">
        <v>203</v>
      </c>
      <c r="J375" s="120"/>
      <c r="K375" s="120" t="s">
        <v>446</v>
      </c>
      <c r="L375" s="120" t="s">
        <v>338</v>
      </c>
      <c r="M375" s="120" t="s">
        <v>337</v>
      </c>
      <c r="N375" s="121"/>
      <c r="O375" s="124">
        <v>45369</v>
      </c>
      <c r="P375" s="120" t="s">
        <v>1315</v>
      </c>
      <c r="Q375" s="120" t="s">
        <v>414</v>
      </c>
      <c r="R375" s="120" t="s">
        <v>407</v>
      </c>
      <c r="S375" s="120" t="s">
        <v>1217</v>
      </c>
      <c r="T375" s="122">
        <v>2.0299999999999998</v>
      </c>
      <c r="U375" s="120" t="s">
        <v>824</v>
      </c>
      <c r="V375" s="123">
        <v>6.6000000000000003E-2</v>
      </c>
      <c r="W375" s="120"/>
      <c r="X375" s="120"/>
      <c r="Y375" s="123"/>
      <c r="Z375" s="123">
        <v>6.6500000000000004E-2</v>
      </c>
      <c r="AA375" s="124">
        <v>46262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45473</v>
      </c>
      <c r="AO375" s="120"/>
      <c r="AP375" s="123"/>
      <c r="AQ375" s="122">
        <v>1081921.78</v>
      </c>
      <c r="AR375" s="122">
        <v>100.24</v>
      </c>
      <c r="AS375" s="122">
        <v>1</v>
      </c>
      <c r="AT375" s="122">
        <v>1084.51839</v>
      </c>
      <c r="AU375" s="122">
        <v>1084.51839</v>
      </c>
      <c r="AV375" s="122"/>
      <c r="AW375" s="122"/>
      <c r="AX375" s="120"/>
      <c r="AY375" s="120"/>
      <c r="AZ375" s="123">
        <v>4.1300000000000001E-4</v>
      </c>
      <c r="BA375" s="123">
        <v>1.8E-5</v>
      </c>
    </row>
    <row r="376" spans="1:53" ht="15" customHeight="1">
      <c r="A376" s="121">
        <v>313</v>
      </c>
      <c r="B376" s="121">
        <v>313</v>
      </c>
      <c r="C376" s="121"/>
      <c r="D376" s="120"/>
      <c r="E376" s="120"/>
      <c r="F376" s="121">
        <v>70007702</v>
      </c>
      <c r="G376" s="120" t="s">
        <v>1013</v>
      </c>
      <c r="H376" s="120" t="s">
        <v>812</v>
      </c>
      <c r="I376" s="120" t="s">
        <v>203</v>
      </c>
      <c r="J376" s="120"/>
      <c r="K376" s="120" t="s">
        <v>446</v>
      </c>
      <c r="L376" s="120" t="s">
        <v>338</v>
      </c>
      <c r="M376" s="120" t="s">
        <v>337</v>
      </c>
      <c r="N376" s="121"/>
      <c r="O376" s="124">
        <v>45232</v>
      </c>
      <c r="P376" s="120" t="s">
        <v>1315</v>
      </c>
      <c r="Q376" s="120" t="s">
        <v>414</v>
      </c>
      <c r="R376" s="120" t="s">
        <v>407</v>
      </c>
      <c r="S376" s="120" t="s">
        <v>1217</v>
      </c>
      <c r="T376" s="122">
        <v>1.59</v>
      </c>
      <c r="U376" s="120" t="s">
        <v>824</v>
      </c>
      <c r="V376" s="123">
        <v>6.6000000000000003E-2</v>
      </c>
      <c r="W376" s="120"/>
      <c r="X376" s="120"/>
      <c r="Y376" s="123"/>
      <c r="Z376" s="123">
        <v>5.8799999999999998E-2</v>
      </c>
      <c r="AA376" s="124">
        <v>46081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45473</v>
      </c>
      <c r="AO376" s="120"/>
      <c r="AP376" s="123"/>
      <c r="AQ376" s="122">
        <v>2981602.81</v>
      </c>
      <c r="AR376" s="122">
        <v>101.36</v>
      </c>
      <c r="AS376" s="122">
        <v>1</v>
      </c>
      <c r="AT376" s="122">
        <v>3022.1526100000001</v>
      </c>
      <c r="AU376" s="122">
        <v>3022.1526100000001</v>
      </c>
      <c r="AV376" s="122"/>
      <c r="AW376" s="122"/>
      <c r="AX376" s="120"/>
      <c r="AY376" s="120"/>
      <c r="AZ376" s="123">
        <v>1.152E-3</v>
      </c>
      <c r="BA376" s="123">
        <v>5.0000000000000002E-5</v>
      </c>
    </row>
    <row r="377" spans="1:53" ht="15" customHeight="1">
      <c r="A377" s="121">
        <v>313</v>
      </c>
      <c r="B377" s="121">
        <v>313</v>
      </c>
      <c r="C377" s="121"/>
      <c r="D377" s="120"/>
      <c r="E377" s="120"/>
      <c r="F377" s="121">
        <v>54312</v>
      </c>
      <c r="G377" s="120" t="s">
        <v>1013</v>
      </c>
      <c r="H377" s="120" t="s">
        <v>818</v>
      </c>
      <c r="I377" s="120" t="s">
        <v>203</v>
      </c>
      <c r="J377" s="120"/>
      <c r="K377" s="120" t="s">
        <v>461</v>
      </c>
      <c r="L377" s="120" t="s">
        <v>338</v>
      </c>
      <c r="M377" s="120" t="s">
        <v>338</v>
      </c>
      <c r="N377" s="121"/>
      <c r="O377" s="124">
        <v>42451</v>
      </c>
      <c r="P377" s="120" t="s">
        <v>1436</v>
      </c>
      <c r="Q377" s="120" t="s">
        <v>311</v>
      </c>
      <c r="R377" s="120" t="s">
        <v>407</v>
      </c>
      <c r="S377" s="120" t="s">
        <v>1217</v>
      </c>
      <c r="T377" s="122">
        <v>0.25</v>
      </c>
      <c r="U377" s="120" t="s">
        <v>2560</v>
      </c>
      <c r="V377" s="123">
        <v>0.05</v>
      </c>
      <c r="W377" s="120"/>
      <c r="X377" s="120"/>
      <c r="Y377" s="123"/>
      <c r="Z377" s="123">
        <v>0.11609999999999999</v>
      </c>
      <c r="AA377" s="124">
        <v>45657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45473</v>
      </c>
      <c r="AO377" s="120"/>
      <c r="AP377" s="123"/>
      <c r="AQ377" s="122">
        <v>2510926.56</v>
      </c>
      <c r="AR377" s="122">
        <v>115.28</v>
      </c>
      <c r="AS377" s="122">
        <v>1</v>
      </c>
      <c r="AT377" s="122">
        <v>2894.5961400000001</v>
      </c>
      <c r="AU377" s="122">
        <v>2894.5961400000001</v>
      </c>
      <c r="AV377" s="122"/>
      <c r="AW377" s="122"/>
      <c r="AX377" s="120"/>
      <c r="AY377" s="120"/>
      <c r="AZ377" s="123">
        <v>1.103E-3</v>
      </c>
      <c r="BA377" s="123">
        <v>4.8000000000000001E-5</v>
      </c>
    </row>
    <row r="378" spans="1:53" ht="15" customHeight="1">
      <c r="A378" s="121">
        <v>313</v>
      </c>
      <c r="B378" s="121">
        <v>313</v>
      </c>
      <c r="C378" s="121"/>
      <c r="D378" s="120"/>
      <c r="E378" s="120"/>
      <c r="F378" s="121">
        <v>70006904</v>
      </c>
      <c r="G378" s="120" t="s">
        <v>1013</v>
      </c>
      <c r="H378" s="120" t="s">
        <v>2570</v>
      </c>
      <c r="I378" s="120" t="s">
        <v>203</v>
      </c>
      <c r="J378" s="120"/>
      <c r="K378" s="120" t="s">
        <v>463</v>
      </c>
      <c r="L378" s="120" t="s">
        <v>338</v>
      </c>
      <c r="M378" s="120" t="s">
        <v>337</v>
      </c>
      <c r="N378" s="121"/>
      <c r="O378" s="124">
        <v>45032</v>
      </c>
      <c r="P378" s="120" t="s">
        <v>2563</v>
      </c>
      <c r="Q378" s="120" t="s">
        <v>311</v>
      </c>
      <c r="R378" s="120" t="s">
        <v>407</v>
      </c>
      <c r="S378" s="120" t="s">
        <v>1217</v>
      </c>
      <c r="T378" s="122">
        <v>4.21</v>
      </c>
      <c r="U378" s="120" t="s">
        <v>2560</v>
      </c>
      <c r="V378" s="123">
        <v>5.9400000000000001E-2</v>
      </c>
      <c r="W378" s="120"/>
      <c r="X378" s="120"/>
      <c r="Y378" s="123"/>
      <c r="Z378" s="123">
        <v>5.9799999999999999E-2</v>
      </c>
      <c r="AA378" s="124">
        <v>47480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45473</v>
      </c>
      <c r="AO378" s="120"/>
      <c r="AP378" s="123"/>
      <c r="AQ378" s="122">
        <v>690000</v>
      </c>
      <c r="AR378" s="122">
        <v>99.86</v>
      </c>
      <c r="AS378" s="122">
        <v>1</v>
      </c>
      <c r="AT378" s="122">
        <v>689.03399999999999</v>
      </c>
      <c r="AU378" s="122">
        <v>689.03399999999999</v>
      </c>
      <c r="AV378" s="122"/>
      <c r="AW378" s="122"/>
      <c r="AX378" s="120"/>
      <c r="AY378" s="120"/>
      <c r="AZ378" s="123">
        <v>2.6200000000000003E-4</v>
      </c>
      <c r="BA378" s="123">
        <v>1.1E-5</v>
      </c>
    </row>
    <row r="379" spans="1:53" ht="15" customHeight="1">
      <c r="A379" s="121">
        <v>313</v>
      </c>
      <c r="B379" s="121">
        <v>313</v>
      </c>
      <c r="C379" s="121"/>
      <c r="D379" s="120"/>
      <c r="E379" s="120"/>
      <c r="F379" s="121">
        <v>70006902</v>
      </c>
      <c r="G379" s="120" t="s">
        <v>1013</v>
      </c>
      <c r="H379" s="120" t="s">
        <v>2570</v>
      </c>
      <c r="I379" s="120" t="s">
        <v>203</v>
      </c>
      <c r="J379" s="120"/>
      <c r="K379" s="120" t="s">
        <v>463</v>
      </c>
      <c r="L379" s="120" t="s">
        <v>338</v>
      </c>
      <c r="M379" s="120" t="s">
        <v>338</v>
      </c>
      <c r="N379" s="121"/>
      <c r="O379" s="124">
        <v>44910</v>
      </c>
      <c r="P379" s="120" t="s">
        <v>2563</v>
      </c>
      <c r="Q379" s="120" t="s">
        <v>311</v>
      </c>
      <c r="R379" s="120" t="s">
        <v>407</v>
      </c>
      <c r="S379" s="120" t="s">
        <v>1217</v>
      </c>
      <c r="T379" s="122">
        <v>4.2300000000000004</v>
      </c>
      <c r="U379" s="120" t="s">
        <v>2560</v>
      </c>
      <c r="V379" s="123">
        <v>5.57E-2</v>
      </c>
      <c r="W379" s="120"/>
      <c r="X379" s="120"/>
      <c r="Y379" s="123"/>
      <c r="Z379" s="123">
        <v>6.2199999999999998E-2</v>
      </c>
      <c r="AA379" s="124">
        <v>47480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45473</v>
      </c>
      <c r="AO379" s="120"/>
      <c r="AP379" s="123"/>
      <c r="AQ379" s="122">
        <v>2713310</v>
      </c>
      <c r="AR379" s="122">
        <v>97.41</v>
      </c>
      <c r="AS379" s="122">
        <v>1</v>
      </c>
      <c r="AT379" s="122">
        <v>2643.0352699999999</v>
      </c>
      <c r="AU379" s="122">
        <v>2643.0352699999999</v>
      </c>
      <c r="AV379" s="122"/>
      <c r="AW379" s="122"/>
      <c r="AX379" s="120"/>
      <c r="AY379" s="120"/>
      <c r="AZ379" s="123">
        <v>1.008E-3</v>
      </c>
      <c r="BA379" s="123">
        <v>4.3999999999999999E-5</v>
      </c>
    </row>
    <row r="380" spans="1:53" ht="15" customHeight="1">
      <c r="A380" s="121">
        <v>313</v>
      </c>
      <c r="B380" s="121">
        <v>313</v>
      </c>
      <c r="C380" s="121"/>
      <c r="D380" s="120"/>
      <c r="E380" s="120"/>
      <c r="F380" s="121">
        <v>70005256</v>
      </c>
      <c r="G380" s="120" t="s">
        <v>1013</v>
      </c>
      <c r="H380" s="120" t="s">
        <v>794</v>
      </c>
      <c r="I380" s="120" t="s">
        <v>203</v>
      </c>
      <c r="J380" s="120"/>
      <c r="K380" s="120" t="s">
        <v>463</v>
      </c>
      <c r="L380" s="120" t="s">
        <v>338</v>
      </c>
      <c r="M380" s="120" t="s">
        <v>338</v>
      </c>
      <c r="N380" s="121"/>
      <c r="O380" s="124">
        <v>44553</v>
      </c>
      <c r="P380" s="120" t="s">
        <v>1334</v>
      </c>
      <c r="Q380" s="120" t="s">
        <v>414</v>
      </c>
      <c r="R380" s="120" t="s">
        <v>407</v>
      </c>
      <c r="S380" s="120" t="s">
        <v>1217</v>
      </c>
      <c r="T380" s="122">
        <v>1.23</v>
      </c>
      <c r="U380" s="120" t="s">
        <v>824</v>
      </c>
      <c r="V380" s="123">
        <v>6.0999999999999999E-2</v>
      </c>
      <c r="W380" s="120"/>
      <c r="X380" s="120"/>
      <c r="Y380" s="123"/>
      <c r="Z380" s="123">
        <v>6.1699999999999998E-2</v>
      </c>
      <c r="AA380" s="124">
        <v>45930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45473</v>
      </c>
      <c r="AO380" s="120"/>
      <c r="AP380" s="123"/>
      <c r="AQ380" s="122">
        <v>932932.42</v>
      </c>
      <c r="AR380" s="122">
        <v>100.07</v>
      </c>
      <c r="AS380" s="122">
        <v>1</v>
      </c>
      <c r="AT380" s="122">
        <v>933.58546999999999</v>
      </c>
      <c r="AU380" s="122">
        <v>933.58546999999999</v>
      </c>
      <c r="AV380" s="122"/>
      <c r="AW380" s="122"/>
      <c r="AX380" s="120"/>
      <c r="AY380" s="120"/>
      <c r="AZ380" s="123">
        <v>3.5599999999999998E-4</v>
      </c>
      <c r="BA380" s="123">
        <v>1.5E-5</v>
      </c>
    </row>
    <row r="381" spans="1:53" ht="15" customHeight="1">
      <c r="A381" s="121">
        <v>313</v>
      </c>
      <c r="B381" s="121">
        <v>313</v>
      </c>
      <c r="C381" s="121"/>
      <c r="D381" s="120"/>
      <c r="E381" s="120"/>
      <c r="F381" s="121">
        <v>70005257</v>
      </c>
      <c r="G381" s="120" t="s">
        <v>1013</v>
      </c>
      <c r="H381" s="120" t="s">
        <v>794</v>
      </c>
      <c r="I381" s="120" t="s">
        <v>203</v>
      </c>
      <c r="J381" s="120"/>
      <c r="K381" s="120" t="s">
        <v>463</v>
      </c>
      <c r="L381" s="120" t="s">
        <v>338</v>
      </c>
      <c r="M381" s="120" t="s">
        <v>338</v>
      </c>
      <c r="N381" s="121"/>
      <c r="O381" s="124">
        <v>44553</v>
      </c>
      <c r="P381" s="120" t="s">
        <v>1334</v>
      </c>
      <c r="Q381" s="120" t="s">
        <v>414</v>
      </c>
      <c r="R381" s="120" t="s">
        <v>407</v>
      </c>
      <c r="S381" s="120" t="s">
        <v>1217</v>
      </c>
      <c r="T381" s="122">
        <v>9.52</v>
      </c>
      <c r="U381" s="120" t="s">
        <v>2560</v>
      </c>
      <c r="V381" s="123">
        <v>1.5677E-2</v>
      </c>
      <c r="W381" s="120"/>
      <c r="X381" s="120"/>
      <c r="Y381" s="123"/>
      <c r="Z381" s="123">
        <v>4.8399999999999999E-2</v>
      </c>
      <c r="AA381" s="124">
        <v>53600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45473</v>
      </c>
      <c r="AO381" s="120"/>
      <c r="AP381" s="123"/>
      <c r="AQ381" s="122">
        <v>4288976.6100000003</v>
      </c>
      <c r="AR381" s="122">
        <v>80.42</v>
      </c>
      <c r="AS381" s="122">
        <v>1</v>
      </c>
      <c r="AT381" s="122">
        <v>3449.19499</v>
      </c>
      <c r="AU381" s="122">
        <v>3449.19499</v>
      </c>
      <c r="AV381" s="122"/>
      <c r="AW381" s="122"/>
      <c r="AX381" s="120"/>
      <c r="AY381" s="120"/>
      <c r="AZ381" s="123">
        <v>1.315E-3</v>
      </c>
      <c r="BA381" s="123">
        <v>5.7000000000000003E-5</v>
      </c>
    </row>
    <row r="382" spans="1:53" ht="15" customHeight="1">
      <c r="A382" s="121">
        <v>313</v>
      </c>
      <c r="B382" s="121">
        <v>313</v>
      </c>
      <c r="C382" s="121"/>
      <c r="D382" s="120"/>
      <c r="E382" s="120"/>
      <c r="F382" s="121">
        <v>70005258</v>
      </c>
      <c r="G382" s="120" t="s">
        <v>1013</v>
      </c>
      <c r="H382" s="120" t="s">
        <v>794</v>
      </c>
      <c r="I382" s="120" t="s">
        <v>203</v>
      </c>
      <c r="J382" s="120"/>
      <c r="K382" s="120" t="s">
        <v>463</v>
      </c>
      <c r="L382" s="120" t="s">
        <v>338</v>
      </c>
      <c r="M382" s="120" t="s">
        <v>338</v>
      </c>
      <c r="N382" s="121"/>
      <c r="O382" s="124">
        <v>44644</v>
      </c>
      <c r="P382" s="120" t="s">
        <v>1334</v>
      </c>
      <c r="Q382" s="120" t="s">
        <v>414</v>
      </c>
      <c r="R382" s="120" t="s">
        <v>407</v>
      </c>
      <c r="S382" s="120" t="s">
        <v>1217</v>
      </c>
      <c r="T382" s="122">
        <v>9.41</v>
      </c>
      <c r="U382" s="120" t="s">
        <v>2560</v>
      </c>
      <c r="V382" s="123">
        <v>2.1054E-2</v>
      </c>
      <c r="W382" s="120"/>
      <c r="X382" s="120"/>
      <c r="Y382" s="123"/>
      <c r="Z382" s="123">
        <v>4.6699999999999998E-2</v>
      </c>
      <c r="AA382" s="124">
        <v>53600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45473</v>
      </c>
      <c r="AO382" s="120"/>
      <c r="AP382" s="123"/>
      <c r="AQ382" s="122">
        <v>6120449.9800000004</v>
      </c>
      <c r="AR382" s="122">
        <v>85.84</v>
      </c>
      <c r="AS382" s="122">
        <v>1</v>
      </c>
      <c r="AT382" s="122">
        <v>5253.7942599999997</v>
      </c>
      <c r="AU382" s="122">
        <v>5253.7942599999997</v>
      </c>
      <c r="AV382" s="122"/>
      <c r="AW382" s="122"/>
      <c r="AX382" s="120"/>
      <c r="AY382" s="120"/>
      <c r="AZ382" s="123">
        <v>2.003E-3</v>
      </c>
      <c r="BA382" s="123">
        <v>8.7999999999999998E-5</v>
      </c>
    </row>
    <row r="383" spans="1:53" ht="15" customHeight="1">
      <c r="A383" s="121">
        <v>313</v>
      </c>
      <c r="B383" s="121">
        <v>313</v>
      </c>
      <c r="C383" s="121"/>
      <c r="D383" s="120"/>
      <c r="E383" s="120"/>
      <c r="F383" s="121">
        <v>70005259</v>
      </c>
      <c r="G383" s="120" t="s">
        <v>1013</v>
      </c>
      <c r="H383" s="120" t="s">
        <v>794</v>
      </c>
      <c r="I383" s="120" t="s">
        <v>203</v>
      </c>
      <c r="J383" s="120"/>
      <c r="K383" s="120" t="s">
        <v>463</v>
      </c>
      <c r="L383" s="120" t="s">
        <v>338</v>
      </c>
      <c r="M383" s="120" t="s">
        <v>338</v>
      </c>
      <c r="N383" s="121"/>
      <c r="O383" s="124">
        <v>44739</v>
      </c>
      <c r="P383" s="120" t="s">
        <v>1334</v>
      </c>
      <c r="Q383" s="120" t="s">
        <v>414</v>
      </c>
      <c r="R383" s="120" t="s">
        <v>407</v>
      </c>
      <c r="S383" s="120" t="s">
        <v>1217</v>
      </c>
      <c r="T383" s="122">
        <v>8.7899999999999991</v>
      </c>
      <c r="U383" s="120" t="s">
        <v>2560</v>
      </c>
      <c r="V383" s="123">
        <v>2.9973E-2</v>
      </c>
      <c r="W383" s="120"/>
      <c r="X383" s="120"/>
      <c r="Y383" s="123"/>
      <c r="Z383" s="123">
        <v>5.6899999999999999E-2</v>
      </c>
      <c r="AA383" s="124">
        <v>53600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45473</v>
      </c>
      <c r="AO383" s="120"/>
      <c r="AP383" s="123"/>
      <c r="AQ383" s="122">
        <v>4868545.6500000004</v>
      </c>
      <c r="AR383" s="122">
        <v>84.88</v>
      </c>
      <c r="AS383" s="122">
        <v>1</v>
      </c>
      <c r="AT383" s="122">
        <v>4132.42155</v>
      </c>
      <c r="AU383" s="122">
        <v>4132.42155</v>
      </c>
      <c r="AV383" s="122"/>
      <c r="AW383" s="122"/>
      <c r="AX383" s="120"/>
      <c r="AY383" s="120"/>
      <c r="AZ383" s="123">
        <v>1.5759999999999999E-3</v>
      </c>
      <c r="BA383" s="123">
        <v>6.8999999999999997E-5</v>
      </c>
    </row>
    <row r="384" spans="1:53" ht="15" customHeight="1">
      <c r="A384" s="121">
        <v>313</v>
      </c>
      <c r="B384" s="121">
        <v>313</v>
      </c>
      <c r="C384" s="121"/>
      <c r="D384" s="120"/>
      <c r="E384" s="120"/>
      <c r="F384" s="121">
        <v>70006903</v>
      </c>
      <c r="G384" s="120" t="s">
        <v>1013</v>
      </c>
      <c r="H384" s="120" t="s">
        <v>2570</v>
      </c>
      <c r="I384" s="120" t="s">
        <v>203</v>
      </c>
      <c r="J384" s="120"/>
      <c r="K384" s="120" t="s">
        <v>463</v>
      </c>
      <c r="L384" s="120" t="s">
        <v>338</v>
      </c>
      <c r="M384" s="120" t="s">
        <v>337</v>
      </c>
      <c r="N384" s="121"/>
      <c r="O384" s="124">
        <v>44941</v>
      </c>
      <c r="P384" s="120" t="s">
        <v>2563</v>
      </c>
      <c r="Q384" s="120" t="s">
        <v>311</v>
      </c>
      <c r="R384" s="120" t="s">
        <v>407</v>
      </c>
      <c r="S384" s="120" t="s">
        <v>1217</v>
      </c>
      <c r="T384" s="122">
        <v>4.22</v>
      </c>
      <c r="U384" s="120" t="s">
        <v>2560</v>
      </c>
      <c r="V384" s="123">
        <v>5.6000000000000001E-2</v>
      </c>
      <c r="W384" s="120"/>
      <c r="X384" s="120"/>
      <c r="Y384" s="123"/>
      <c r="Z384" s="123">
        <v>6.4199999999999993E-2</v>
      </c>
      <c r="AA384" s="124">
        <v>47480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45473</v>
      </c>
      <c r="AO384" s="120"/>
      <c r="AP384" s="123"/>
      <c r="AQ384" s="122">
        <v>941850</v>
      </c>
      <c r="AR384" s="122">
        <v>96.7</v>
      </c>
      <c r="AS384" s="122">
        <v>1</v>
      </c>
      <c r="AT384" s="122">
        <v>910.76895000000002</v>
      </c>
      <c r="AU384" s="122">
        <v>910.76895000000002</v>
      </c>
      <c r="AV384" s="122"/>
      <c r="AW384" s="122"/>
      <c r="AX384" s="120"/>
      <c r="AY384" s="120"/>
      <c r="AZ384" s="123">
        <v>3.4699999999999998E-4</v>
      </c>
      <c r="BA384" s="123">
        <v>1.5E-5</v>
      </c>
    </row>
    <row r="385" spans="1:53" ht="15" customHeight="1">
      <c r="A385" s="121">
        <v>313</v>
      </c>
      <c r="B385" s="121">
        <v>313</v>
      </c>
      <c r="C385" s="121"/>
      <c r="D385" s="120"/>
      <c r="E385" s="120"/>
      <c r="F385" s="121">
        <v>70005260</v>
      </c>
      <c r="G385" s="120" t="s">
        <v>1013</v>
      </c>
      <c r="H385" s="120" t="s">
        <v>794</v>
      </c>
      <c r="I385" s="120" t="s">
        <v>203</v>
      </c>
      <c r="J385" s="120"/>
      <c r="K385" s="120" t="s">
        <v>463</v>
      </c>
      <c r="L385" s="120" t="s">
        <v>338</v>
      </c>
      <c r="M385" s="120" t="s">
        <v>338</v>
      </c>
      <c r="N385" s="121"/>
      <c r="O385" s="124">
        <v>44824</v>
      </c>
      <c r="P385" s="120" t="s">
        <v>1334</v>
      </c>
      <c r="Q385" s="120" t="s">
        <v>414</v>
      </c>
      <c r="R385" s="120" t="s">
        <v>407</v>
      </c>
      <c r="S385" s="120" t="s">
        <v>1217</v>
      </c>
      <c r="T385" s="122">
        <v>9.15</v>
      </c>
      <c r="U385" s="120" t="s">
        <v>2560</v>
      </c>
      <c r="V385" s="123">
        <v>2.9246999999999999E-2</v>
      </c>
      <c r="W385" s="120"/>
      <c r="X385" s="120"/>
      <c r="Y385" s="123"/>
      <c r="Z385" s="123">
        <v>4.7300000000000002E-2</v>
      </c>
      <c r="AA385" s="124">
        <v>53600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45473</v>
      </c>
      <c r="AO385" s="120"/>
      <c r="AP385" s="123"/>
      <c r="AQ385" s="122">
        <v>4469477.9800000004</v>
      </c>
      <c r="AR385" s="122">
        <v>90.29</v>
      </c>
      <c r="AS385" s="122">
        <v>1</v>
      </c>
      <c r="AT385" s="122">
        <v>4035.4916699999999</v>
      </c>
      <c r="AU385" s="122">
        <v>4035.4916699999999</v>
      </c>
      <c r="AV385" s="122"/>
      <c r="AW385" s="122"/>
      <c r="AX385" s="120"/>
      <c r="AY385" s="120"/>
      <c r="AZ385" s="123">
        <v>1.539E-3</v>
      </c>
      <c r="BA385" s="123">
        <v>6.7000000000000002E-5</v>
      </c>
    </row>
    <row r="386" spans="1:53" ht="15" customHeight="1">
      <c r="A386" s="121">
        <v>313</v>
      </c>
      <c r="B386" s="121">
        <v>313</v>
      </c>
      <c r="C386" s="121"/>
      <c r="D386" s="120"/>
      <c r="E386" s="120"/>
      <c r="F386" s="121">
        <v>70006701</v>
      </c>
      <c r="G386" s="120" t="s">
        <v>1013</v>
      </c>
      <c r="H386" s="120" t="s">
        <v>2570</v>
      </c>
      <c r="I386" s="120" t="s">
        <v>203</v>
      </c>
      <c r="J386" s="120"/>
      <c r="K386" s="120" t="s">
        <v>463</v>
      </c>
      <c r="L386" s="120" t="s">
        <v>338</v>
      </c>
      <c r="M386" s="120" t="s">
        <v>338</v>
      </c>
      <c r="N386" s="121"/>
      <c r="O386" s="124">
        <v>44783</v>
      </c>
      <c r="P386" s="120" t="s">
        <v>2563</v>
      </c>
      <c r="Q386" s="120" t="s">
        <v>311</v>
      </c>
      <c r="R386" s="120" t="s">
        <v>407</v>
      </c>
      <c r="S386" s="120" t="s">
        <v>1217</v>
      </c>
      <c r="T386" s="122">
        <v>4.29</v>
      </c>
      <c r="U386" s="120" t="s">
        <v>2560</v>
      </c>
      <c r="V386" s="123">
        <v>4.5100000000000001E-2</v>
      </c>
      <c r="W386" s="120"/>
      <c r="X386" s="120"/>
      <c r="Y386" s="123"/>
      <c r="Z386" s="123">
        <v>6.4799999999999996E-2</v>
      </c>
      <c r="AA386" s="124">
        <v>47480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45473</v>
      </c>
      <c r="AO386" s="120"/>
      <c r="AP386" s="123"/>
      <c r="AQ386" s="122">
        <v>5129000</v>
      </c>
      <c r="AR386" s="122">
        <v>92.12</v>
      </c>
      <c r="AS386" s="122">
        <v>1</v>
      </c>
      <c r="AT386" s="122">
        <v>4724.8347999999996</v>
      </c>
      <c r="AU386" s="122">
        <v>4724.8347999999996</v>
      </c>
      <c r="AV386" s="122"/>
      <c r="AW386" s="122"/>
      <c r="AX386" s="120"/>
      <c r="AY386" s="120"/>
      <c r="AZ386" s="123">
        <v>1.8010000000000001E-3</v>
      </c>
      <c r="BA386" s="123">
        <v>7.8999999999999996E-5</v>
      </c>
    </row>
    <row r="387" spans="1:53" ht="15" customHeight="1">
      <c r="A387" s="121">
        <v>313</v>
      </c>
      <c r="B387" s="121">
        <v>313</v>
      </c>
      <c r="C387" s="121"/>
      <c r="D387" s="120"/>
      <c r="E387" s="120"/>
      <c r="F387" s="121">
        <v>70006706</v>
      </c>
      <c r="G387" s="120" t="s">
        <v>1013</v>
      </c>
      <c r="H387" s="120" t="s">
        <v>818</v>
      </c>
      <c r="I387" s="120" t="s">
        <v>203</v>
      </c>
      <c r="J387" s="120"/>
      <c r="K387" s="120" t="s">
        <v>442</v>
      </c>
      <c r="L387" s="120" t="s">
        <v>338</v>
      </c>
      <c r="M387" s="120" t="s">
        <v>338</v>
      </c>
      <c r="N387" s="121"/>
      <c r="O387" s="124">
        <v>45132</v>
      </c>
      <c r="P387" s="120" t="s">
        <v>409</v>
      </c>
      <c r="Q387" s="120" t="s">
        <v>409</v>
      </c>
      <c r="R387" s="120" t="s">
        <v>409</v>
      </c>
      <c r="S387" s="120" t="s">
        <v>1217</v>
      </c>
      <c r="T387" s="122">
        <v>0.94</v>
      </c>
      <c r="U387" s="120" t="s">
        <v>824</v>
      </c>
      <c r="V387" s="123">
        <v>0.08</v>
      </c>
      <c r="W387" s="120"/>
      <c r="X387" s="120"/>
      <c r="Y387" s="123"/>
      <c r="Z387" s="123">
        <v>6.8000000000000005E-2</v>
      </c>
      <c r="AA387" s="124">
        <v>45863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45473</v>
      </c>
      <c r="AO387" s="120"/>
      <c r="AP387" s="123"/>
      <c r="AQ387" s="122">
        <v>20010000</v>
      </c>
      <c r="AR387" s="122">
        <v>102.47</v>
      </c>
      <c r="AS387" s="122">
        <v>1</v>
      </c>
      <c r="AT387" s="122">
        <v>20504.246999999999</v>
      </c>
      <c r="AU387" s="122">
        <v>20504.246999999999</v>
      </c>
      <c r="AV387" s="122"/>
      <c r="AW387" s="122"/>
      <c r="AX387" s="120"/>
      <c r="AY387" s="120"/>
      <c r="AZ387" s="123">
        <v>7.8189999999999996E-3</v>
      </c>
      <c r="BA387" s="123">
        <v>3.4400000000000001E-4</v>
      </c>
    </row>
    <row r="388" spans="1:53" ht="15" customHeight="1">
      <c r="A388" s="121">
        <v>313</v>
      </c>
      <c r="B388" s="121">
        <v>313</v>
      </c>
      <c r="C388" s="121"/>
      <c r="D388" s="120"/>
      <c r="E388" s="120"/>
      <c r="F388" s="121">
        <v>70006801</v>
      </c>
      <c r="G388" s="120" t="s">
        <v>1013</v>
      </c>
      <c r="H388" s="120" t="s">
        <v>2570</v>
      </c>
      <c r="I388" s="120" t="s">
        <v>203</v>
      </c>
      <c r="J388" s="120"/>
      <c r="K388" s="120" t="s">
        <v>463</v>
      </c>
      <c r="L388" s="120" t="s">
        <v>338</v>
      </c>
      <c r="M388" s="120" t="s">
        <v>338</v>
      </c>
      <c r="N388" s="121"/>
      <c r="O388" s="124">
        <v>44819</v>
      </c>
      <c r="P388" s="120" t="s">
        <v>2563</v>
      </c>
      <c r="Q388" s="120" t="s">
        <v>311</v>
      </c>
      <c r="R388" s="120" t="s">
        <v>407</v>
      </c>
      <c r="S388" s="120" t="s">
        <v>1217</v>
      </c>
      <c r="T388" s="122">
        <v>4.25</v>
      </c>
      <c r="U388" s="120" t="s">
        <v>2560</v>
      </c>
      <c r="V388" s="123">
        <v>5.2400000000000002E-2</v>
      </c>
      <c r="W388" s="120"/>
      <c r="X388" s="120"/>
      <c r="Y388" s="123"/>
      <c r="Z388" s="123">
        <v>6.3700000000000007E-2</v>
      </c>
      <c r="AA388" s="124">
        <v>47480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45473</v>
      </c>
      <c r="AO388" s="120"/>
      <c r="AP388" s="123"/>
      <c r="AQ388" s="122">
        <v>6782700</v>
      </c>
      <c r="AR388" s="122">
        <v>95.46</v>
      </c>
      <c r="AS388" s="122">
        <v>1</v>
      </c>
      <c r="AT388" s="122">
        <v>6474.7654199999997</v>
      </c>
      <c r="AU388" s="122">
        <v>6474.7654199999997</v>
      </c>
      <c r="AV388" s="122"/>
      <c r="AW388" s="122"/>
      <c r="AX388" s="120"/>
      <c r="AY388" s="120"/>
      <c r="AZ388" s="123">
        <v>2.4689999999999998E-3</v>
      </c>
      <c r="BA388" s="123">
        <v>1.08E-4</v>
      </c>
    </row>
    <row r="389" spans="1:53" ht="15" customHeight="1">
      <c r="A389" s="121">
        <v>313</v>
      </c>
      <c r="B389" s="121">
        <v>313</v>
      </c>
      <c r="C389" s="121"/>
      <c r="D389" s="120"/>
      <c r="E389" s="120"/>
      <c r="F389" s="121">
        <v>70006901</v>
      </c>
      <c r="G389" s="120" t="s">
        <v>1013</v>
      </c>
      <c r="H389" s="120" t="s">
        <v>2570</v>
      </c>
      <c r="I389" s="120" t="s">
        <v>203</v>
      </c>
      <c r="J389" s="120"/>
      <c r="K389" s="120" t="s">
        <v>463</v>
      </c>
      <c r="L389" s="120" t="s">
        <v>338</v>
      </c>
      <c r="M389" s="120" t="s">
        <v>338</v>
      </c>
      <c r="N389" s="121"/>
      <c r="O389" s="124">
        <v>44853</v>
      </c>
      <c r="P389" s="120" t="s">
        <v>2563</v>
      </c>
      <c r="Q389" s="120" t="s">
        <v>311</v>
      </c>
      <c r="R389" s="120" t="s">
        <v>407</v>
      </c>
      <c r="S389" s="120" t="s">
        <v>1217</v>
      </c>
      <c r="T389" s="122">
        <v>4.24</v>
      </c>
      <c r="U389" s="120" t="s">
        <v>2560</v>
      </c>
      <c r="V389" s="123">
        <v>5.4800000000000001E-2</v>
      </c>
      <c r="W389" s="120"/>
      <c r="X389" s="120"/>
      <c r="Y389" s="123"/>
      <c r="Z389" s="123">
        <v>6.1899999999999997E-2</v>
      </c>
      <c r="AA389" s="124">
        <v>47480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45473</v>
      </c>
      <c r="AO389" s="120"/>
      <c r="AP389" s="123"/>
      <c r="AQ389" s="122">
        <v>4113090</v>
      </c>
      <c r="AR389" s="122">
        <v>97.15</v>
      </c>
      <c r="AS389" s="122">
        <v>1</v>
      </c>
      <c r="AT389" s="122">
        <v>3995.8669399999999</v>
      </c>
      <c r="AU389" s="122">
        <v>3995.8669399999999</v>
      </c>
      <c r="AV389" s="122"/>
      <c r="AW389" s="122"/>
      <c r="AX389" s="120"/>
      <c r="AY389" s="120"/>
      <c r="AZ389" s="123">
        <v>1.523E-3</v>
      </c>
      <c r="BA389" s="123">
        <v>6.7000000000000002E-5</v>
      </c>
    </row>
    <row r="390" spans="1:53" ht="15" customHeight="1">
      <c r="A390" s="121">
        <v>313</v>
      </c>
      <c r="B390" s="121">
        <v>313</v>
      </c>
      <c r="C390" s="121"/>
      <c r="D390" s="120"/>
      <c r="E390" s="120"/>
      <c r="F390" s="121">
        <v>70005261</v>
      </c>
      <c r="G390" s="120" t="s">
        <v>1013</v>
      </c>
      <c r="H390" s="120" t="s">
        <v>794</v>
      </c>
      <c r="I390" s="120" t="s">
        <v>203</v>
      </c>
      <c r="J390" s="120"/>
      <c r="K390" s="120" t="s">
        <v>463</v>
      </c>
      <c r="L390" s="120" t="s">
        <v>338</v>
      </c>
      <c r="M390" s="120" t="s">
        <v>338</v>
      </c>
      <c r="N390" s="121"/>
      <c r="O390" s="124">
        <v>44924</v>
      </c>
      <c r="P390" s="120" t="s">
        <v>1334</v>
      </c>
      <c r="Q390" s="120" t="s">
        <v>414</v>
      </c>
      <c r="R390" s="120" t="s">
        <v>407</v>
      </c>
      <c r="S390" s="120" t="s">
        <v>1217</v>
      </c>
      <c r="T390" s="122">
        <v>8.9600000000000009</v>
      </c>
      <c r="U390" s="120" t="s">
        <v>2560</v>
      </c>
      <c r="V390" s="123">
        <v>3.2183999999999997E-2</v>
      </c>
      <c r="W390" s="120"/>
      <c r="X390" s="120"/>
      <c r="Y390" s="123"/>
      <c r="Z390" s="123">
        <v>5.0700000000000002E-2</v>
      </c>
      <c r="AA390" s="124">
        <v>53600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45473</v>
      </c>
      <c r="AO390" s="120"/>
      <c r="AP390" s="123"/>
      <c r="AQ390" s="122">
        <v>4690141.1100000003</v>
      </c>
      <c r="AR390" s="122">
        <v>89.58</v>
      </c>
      <c r="AS390" s="122">
        <v>1</v>
      </c>
      <c r="AT390" s="122">
        <v>4201.4284100000004</v>
      </c>
      <c r="AU390" s="122">
        <v>4201.4284100000004</v>
      </c>
      <c r="AV390" s="122"/>
      <c r="AW390" s="122"/>
      <c r="AX390" s="120"/>
      <c r="AY390" s="120"/>
      <c r="AZ390" s="123">
        <v>1.6019999999999999E-3</v>
      </c>
      <c r="BA390" s="123">
        <v>6.9999999999999994E-5</v>
      </c>
    </row>
    <row r="391" spans="1:53" ht="15" customHeight="1">
      <c r="A391" s="121">
        <v>313</v>
      </c>
      <c r="B391" s="121">
        <v>313</v>
      </c>
      <c r="C391" s="121"/>
      <c r="D391" s="120"/>
      <c r="E391" s="120"/>
      <c r="F391" s="121">
        <v>70007708</v>
      </c>
      <c r="G391" s="120" t="s">
        <v>1013</v>
      </c>
      <c r="H391" s="120" t="s">
        <v>812</v>
      </c>
      <c r="I391" s="120" t="s">
        <v>203</v>
      </c>
      <c r="J391" s="120"/>
      <c r="K391" s="120" t="s">
        <v>446</v>
      </c>
      <c r="L391" s="120" t="s">
        <v>338</v>
      </c>
      <c r="M391" s="120" t="s">
        <v>337</v>
      </c>
      <c r="N391" s="121"/>
      <c r="O391" s="124">
        <v>45459</v>
      </c>
      <c r="P391" s="120" t="s">
        <v>1315</v>
      </c>
      <c r="Q391" s="120" t="s">
        <v>414</v>
      </c>
      <c r="R391" s="120" t="s">
        <v>407</v>
      </c>
      <c r="S391" s="120" t="s">
        <v>1217</v>
      </c>
      <c r="T391" s="122">
        <v>2.0299999999999998</v>
      </c>
      <c r="U391" s="120" t="s">
        <v>824</v>
      </c>
      <c r="V391" s="123">
        <v>6.6000000000000003E-2</v>
      </c>
      <c r="W391" s="120"/>
      <c r="X391" s="120"/>
      <c r="Y391" s="123"/>
      <c r="Z391" s="123">
        <v>6.7199999999999996E-2</v>
      </c>
      <c r="AA391" s="124">
        <v>46262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45473</v>
      </c>
      <c r="AO391" s="120"/>
      <c r="AP391" s="123"/>
      <c r="AQ391" s="122">
        <v>1741551.18</v>
      </c>
      <c r="AR391" s="122">
        <v>100.11</v>
      </c>
      <c r="AS391" s="122">
        <v>1</v>
      </c>
      <c r="AT391" s="122">
        <v>1743.4668899999999</v>
      </c>
      <c r="AU391" s="122">
        <v>1743.4668899999999</v>
      </c>
      <c r="AV391" s="122"/>
      <c r="AW391" s="122"/>
      <c r="AX391" s="120"/>
      <c r="AY391" s="120"/>
      <c r="AZ391" s="123">
        <v>6.6399999999999999E-4</v>
      </c>
      <c r="BA391" s="123">
        <v>2.9E-5</v>
      </c>
    </row>
    <row r="392" spans="1:53" ht="15" customHeight="1">
      <c r="A392" s="121">
        <v>313</v>
      </c>
      <c r="B392" s="121">
        <v>313</v>
      </c>
      <c r="C392" s="121"/>
      <c r="D392" s="120"/>
      <c r="E392" s="120"/>
      <c r="F392" s="121">
        <v>54130</v>
      </c>
      <c r="G392" s="120" t="s">
        <v>1013</v>
      </c>
      <c r="H392" s="120" t="s">
        <v>812</v>
      </c>
      <c r="I392" s="120" t="s">
        <v>203</v>
      </c>
      <c r="J392" s="120"/>
      <c r="K392" s="120" t="s">
        <v>484</v>
      </c>
      <c r="L392" s="120" t="s">
        <v>338</v>
      </c>
      <c r="M392" s="120" t="s">
        <v>337</v>
      </c>
      <c r="N392" s="121"/>
      <c r="O392" s="124">
        <v>42054</v>
      </c>
      <c r="P392" s="120" t="s">
        <v>1359</v>
      </c>
      <c r="Q392" s="120" t="s">
        <v>412</v>
      </c>
      <c r="R392" s="120" t="s">
        <v>407</v>
      </c>
      <c r="S392" s="120" t="s">
        <v>1217</v>
      </c>
      <c r="T392" s="122">
        <v>3.49</v>
      </c>
      <c r="U392" s="120" t="s">
        <v>2560</v>
      </c>
      <c r="V392" s="123">
        <v>5.5E-2</v>
      </c>
      <c r="W392" s="120"/>
      <c r="X392" s="120"/>
      <c r="Y392" s="123"/>
      <c r="Z392" s="123">
        <v>0.03</v>
      </c>
      <c r="AA392" s="124">
        <v>47986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45473</v>
      </c>
      <c r="AO392" s="120"/>
      <c r="AP392" s="123"/>
      <c r="AQ392" s="122">
        <v>3352977.56</v>
      </c>
      <c r="AR392" s="122">
        <v>123.65</v>
      </c>
      <c r="AS392" s="122">
        <v>1</v>
      </c>
      <c r="AT392" s="122">
        <v>4145.9567500000003</v>
      </c>
      <c r="AU392" s="122">
        <v>4145.9567500000003</v>
      </c>
      <c r="AV392" s="122"/>
      <c r="AW392" s="122"/>
      <c r="AX392" s="120"/>
      <c r="AY392" s="120"/>
      <c r="AZ392" s="123">
        <v>1.5809999999999999E-3</v>
      </c>
      <c r="BA392" s="123">
        <v>6.8999999999999997E-5</v>
      </c>
    </row>
    <row r="393" spans="1:53" ht="15" customHeight="1">
      <c r="A393" s="121">
        <v>313</v>
      </c>
      <c r="B393" s="121">
        <v>313</v>
      </c>
      <c r="C393" s="121"/>
      <c r="D393" s="120"/>
      <c r="E393" s="120"/>
      <c r="F393" s="121">
        <v>54114</v>
      </c>
      <c r="G393" s="120" t="s">
        <v>1013</v>
      </c>
      <c r="H393" s="120" t="s">
        <v>812</v>
      </c>
      <c r="I393" s="120" t="s">
        <v>203</v>
      </c>
      <c r="J393" s="120"/>
      <c r="K393" s="120" t="s">
        <v>484</v>
      </c>
      <c r="L393" s="120" t="s">
        <v>338</v>
      </c>
      <c r="M393" s="120" t="s">
        <v>337</v>
      </c>
      <c r="N393" s="121"/>
      <c r="O393" s="124">
        <v>41911</v>
      </c>
      <c r="P393" s="120" t="s">
        <v>1359</v>
      </c>
      <c r="Q393" s="120" t="s">
        <v>412</v>
      </c>
      <c r="R393" s="120" t="s">
        <v>407</v>
      </c>
      <c r="S393" s="120" t="s">
        <v>1217</v>
      </c>
      <c r="T393" s="122">
        <v>3.49</v>
      </c>
      <c r="U393" s="120" t="s">
        <v>2560</v>
      </c>
      <c r="V393" s="123">
        <v>5.5E-2</v>
      </c>
      <c r="W393" s="120"/>
      <c r="X393" s="120"/>
      <c r="Y393" s="123"/>
      <c r="Z393" s="123">
        <v>2.9899999999999999E-2</v>
      </c>
      <c r="AA393" s="124">
        <v>47986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45473</v>
      </c>
      <c r="AO393" s="120"/>
      <c r="AP393" s="123"/>
      <c r="AQ393" s="122">
        <v>257194.25</v>
      </c>
      <c r="AR393" s="122">
        <v>122.32</v>
      </c>
      <c r="AS393" s="122">
        <v>1</v>
      </c>
      <c r="AT393" s="122">
        <v>314.60001</v>
      </c>
      <c r="AU393" s="122">
        <v>314.60001</v>
      </c>
      <c r="AV393" s="122"/>
      <c r="AW393" s="122"/>
      <c r="AX393" s="120"/>
      <c r="AY393" s="120"/>
      <c r="AZ393" s="123">
        <v>1.1900000000000001E-4</v>
      </c>
      <c r="BA393" s="123">
        <v>5.0000000000000004E-6</v>
      </c>
    </row>
    <row r="394" spans="1:53" ht="15" customHeight="1">
      <c r="A394" s="121">
        <v>313</v>
      </c>
      <c r="B394" s="121">
        <v>313</v>
      </c>
      <c r="C394" s="121"/>
      <c r="D394" s="120"/>
      <c r="E394" s="120"/>
      <c r="F394" s="121">
        <v>50001041</v>
      </c>
      <c r="G394" s="120" t="s">
        <v>1013</v>
      </c>
      <c r="H394" s="120" t="s">
        <v>2562</v>
      </c>
      <c r="I394" s="120" t="s">
        <v>203</v>
      </c>
      <c r="J394" s="120"/>
      <c r="K394" s="120" t="s">
        <v>446</v>
      </c>
      <c r="L394" s="120" t="s">
        <v>338</v>
      </c>
      <c r="M394" s="120" t="s">
        <v>337</v>
      </c>
      <c r="N394" s="121"/>
      <c r="O394" s="124">
        <v>44769</v>
      </c>
      <c r="P394" s="120" t="s">
        <v>2561</v>
      </c>
      <c r="Q394" s="120" t="s">
        <v>414</v>
      </c>
      <c r="R394" s="120" t="s">
        <v>407</v>
      </c>
      <c r="S394" s="120" t="s">
        <v>1217</v>
      </c>
      <c r="T394" s="122">
        <v>18.72</v>
      </c>
      <c r="U394" s="120" t="s">
        <v>2560</v>
      </c>
      <c r="V394" s="123">
        <v>3.3371999999999999E-2</v>
      </c>
      <c r="W394" s="120"/>
      <c r="X394" s="120"/>
      <c r="Y394" s="123"/>
      <c r="Z394" s="123">
        <v>4.82E-2</v>
      </c>
      <c r="AA394" s="124">
        <v>52305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45473</v>
      </c>
      <c r="AO394" s="120"/>
      <c r="AP394" s="123"/>
      <c r="AQ394" s="122">
        <v>188944.77</v>
      </c>
      <c r="AR394" s="122">
        <v>82.69</v>
      </c>
      <c r="AS394" s="122">
        <v>1</v>
      </c>
      <c r="AT394" s="122">
        <v>156.23842999999999</v>
      </c>
      <c r="AU394" s="122">
        <v>156.23842999999999</v>
      </c>
      <c r="AV394" s="122"/>
      <c r="AW394" s="122"/>
      <c r="AX394" s="120"/>
      <c r="AY394" s="120"/>
      <c r="AZ394" s="123">
        <v>5.8999999999999998E-5</v>
      </c>
      <c r="BA394" s="123">
        <v>1.9999999999999999E-6</v>
      </c>
    </row>
    <row r="395" spans="1:53" ht="15" customHeight="1">
      <c r="A395" s="121">
        <v>313</v>
      </c>
      <c r="B395" s="121">
        <v>313</v>
      </c>
      <c r="C395" s="121"/>
      <c r="D395" s="120"/>
      <c r="E395" s="120"/>
      <c r="F395" s="121">
        <v>50001042</v>
      </c>
      <c r="G395" s="120" t="s">
        <v>1013</v>
      </c>
      <c r="H395" s="120" t="s">
        <v>2562</v>
      </c>
      <c r="I395" s="120" t="s">
        <v>203</v>
      </c>
      <c r="J395" s="120"/>
      <c r="K395" s="120" t="s">
        <v>446</v>
      </c>
      <c r="L395" s="120" t="s">
        <v>338</v>
      </c>
      <c r="M395" s="120" t="s">
        <v>337</v>
      </c>
      <c r="N395" s="121"/>
      <c r="O395" s="124">
        <v>44769</v>
      </c>
      <c r="P395" s="120" t="s">
        <v>2561</v>
      </c>
      <c r="Q395" s="120" t="s">
        <v>414</v>
      </c>
      <c r="R395" s="120" t="s">
        <v>407</v>
      </c>
      <c r="S395" s="120" t="s">
        <v>1217</v>
      </c>
      <c r="T395" s="122">
        <v>8.26</v>
      </c>
      <c r="U395" s="120" t="s">
        <v>2560</v>
      </c>
      <c r="V395" s="123">
        <v>2.8302000000000001E-2</v>
      </c>
      <c r="W395" s="120"/>
      <c r="X395" s="120"/>
      <c r="Y395" s="123"/>
      <c r="Z395" s="123">
        <v>4.41E-2</v>
      </c>
      <c r="AA395" s="124">
        <v>51940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45473</v>
      </c>
      <c r="AO395" s="120"/>
      <c r="AP395" s="123"/>
      <c r="AQ395" s="122">
        <v>208559.91</v>
      </c>
      <c r="AR395" s="122">
        <v>94.44</v>
      </c>
      <c r="AS395" s="122">
        <v>1</v>
      </c>
      <c r="AT395" s="122">
        <v>196.96397999999999</v>
      </c>
      <c r="AU395" s="122">
        <v>196.96397999999999</v>
      </c>
      <c r="AV395" s="122"/>
      <c r="AW395" s="122"/>
      <c r="AX395" s="120"/>
      <c r="AY395" s="120"/>
      <c r="AZ395" s="123">
        <v>7.4999999999999993E-5</v>
      </c>
      <c r="BA395" s="123">
        <v>3.0000000000000001E-6</v>
      </c>
    </row>
    <row r="396" spans="1:53" ht="15" customHeight="1">
      <c r="A396" s="121">
        <v>313</v>
      </c>
      <c r="B396" s="121">
        <v>313</v>
      </c>
      <c r="C396" s="121"/>
      <c r="D396" s="120"/>
      <c r="E396" s="120"/>
      <c r="F396" s="121">
        <v>50001043</v>
      </c>
      <c r="G396" s="120" t="s">
        <v>1013</v>
      </c>
      <c r="H396" s="120" t="s">
        <v>2562</v>
      </c>
      <c r="I396" s="120" t="s">
        <v>203</v>
      </c>
      <c r="J396" s="120"/>
      <c r="K396" s="120" t="s">
        <v>446</v>
      </c>
      <c r="L396" s="120" t="s">
        <v>338</v>
      </c>
      <c r="M396" s="120" t="s">
        <v>337</v>
      </c>
      <c r="N396" s="121"/>
      <c r="O396" s="124">
        <v>44803</v>
      </c>
      <c r="P396" s="120" t="s">
        <v>2561</v>
      </c>
      <c r="Q396" s="120" t="s">
        <v>414</v>
      </c>
      <c r="R396" s="120" t="s">
        <v>407</v>
      </c>
      <c r="S396" s="120" t="s">
        <v>1217</v>
      </c>
      <c r="T396" s="122">
        <v>8.25</v>
      </c>
      <c r="U396" s="120" t="s">
        <v>2560</v>
      </c>
      <c r="V396" s="123">
        <v>2.8946E-2</v>
      </c>
      <c r="W396" s="120"/>
      <c r="X396" s="120"/>
      <c r="Y396" s="123"/>
      <c r="Z396" s="123">
        <v>4.3900000000000002E-2</v>
      </c>
      <c r="AA396" s="124">
        <v>51940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45473</v>
      </c>
      <c r="AO396" s="120"/>
      <c r="AP396" s="123"/>
      <c r="AQ396" s="122">
        <v>91588.23</v>
      </c>
      <c r="AR396" s="122">
        <v>94.05</v>
      </c>
      <c r="AS396" s="122">
        <v>1</v>
      </c>
      <c r="AT396" s="122">
        <v>86.138729999999995</v>
      </c>
      <c r="AU396" s="122">
        <v>86.138729999999995</v>
      </c>
      <c r="AV396" s="122"/>
      <c r="AW396" s="122"/>
      <c r="AX396" s="120"/>
      <c r="AY396" s="120"/>
      <c r="AZ396" s="123">
        <v>3.1999999999999999E-5</v>
      </c>
      <c r="BA396" s="123">
        <v>9.9999999999999995E-7</v>
      </c>
    </row>
    <row r="397" spans="1:53" ht="15" customHeight="1">
      <c r="A397" s="121">
        <v>313</v>
      </c>
      <c r="B397" s="121">
        <v>313</v>
      </c>
      <c r="C397" s="121"/>
      <c r="D397" s="120"/>
      <c r="E397" s="120"/>
      <c r="F397" s="121">
        <v>50001044</v>
      </c>
      <c r="G397" s="120" t="s">
        <v>1013</v>
      </c>
      <c r="H397" s="120" t="s">
        <v>2562</v>
      </c>
      <c r="I397" s="120" t="s">
        <v>203</v>
      </c>
      <c r="J397" s="120"/>
      <c r="K397" s="120" t="s">
        <v>446</v>
      </c>
      <c r="L397" s="120" t="s">
        <v>338</v>
      </c>
      <c r="M397" s="120" t="s">
        <v>337</v>
      </c>
      <c r="N397" s="121"/>
      <c r="O397" s="124">
        <v>44803</v>
      </c>
      <c r="P397" s="120" t="s">
        <v>2561</v>
      </c>
      <c r="Q397" s="120" t="s">
        <v>414</v>
      </c>
      <c r="R397" s="120" t="s">
        <v>407</v>
      </c>
      <c r="S397" s="120" t="s">
        <v>1217</v>
      </c>
      <c r="T397" s="122">
        <v>18.72</v>
      </c>
      <c r="U397" s="120" t="s">
        <v>2560</v>
      </c>
      <c r="V397" s="123">
        <v>3.4255000000000001E-2</v>
      </c>
      <c r="W397" s="120"/>
      <c r="X397" s="120"/>
      <c r="Y397" s="123"/>
      <c r="Z397" s="123">
        <v>4.8399999999999999E-2</v>
      </c>
      <c r="AA397" s="124">
        <v>52305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45473</v>
      </c>
      <c r="AO397" s="120"/>
      <c r="AP397" s="123"/>
      <c r="AQ397" s="122">
        <v>83099.78</v>
      </c>
      <c r="AR397" s="122">
        <v>82.84</v>
      </c>
      <c r="AS397" s="122">
        <v>1</v>
      </c>
      <c r="AT397" s="122">
        <v>68.839860000000002</v>
      </c>
      <c r="AU397" s="122">
        <v>68.839860000000002</v>
      </c>
      <c r="AV397" s="122"/>
      <c r="AW397" s="122"/>
      <c r="AX397" s="120"/>
      <c r="AY397" s="120"/>
      <c r="AZ397" s="123">
        <v>2.5999999999999998E-5</v>
      </c>
      <c r="BA397" s="123">
        <v>9.9999999999999995E-7</v>
      </c>
    </row>
    <row r="398" spans="1:53" ht="15" customHeight="1">
      <c r="A398" s="121">
        <v>313</v>
      </c>
      <c r="B398" s="121">
        <v>313</v>
      </c>
      <c r="C398" s="121"/>
      <c r="D398" s="120"/>
      <c r="E398" s="120"/>
      <c r="F398" s="121">
        <v>50001046</v>
      </c>
      <c r="G398" s="120" t="s">
        <v>1013</v>
      </c>
      <c r="H398" s="120" t="s">
        <v>2562</v>
      </c>
      <c r="I398" s="120" t="s">
        <v>203</v>
      </c>
      <c r="J398" s="120"/>
      <c r="K398" s="120" t="s">
        <v>446</v>
      </c>
      <c r="L398" s="120" t="s">
        <v>338</v>
      </c>
      <c r="M398" s="120" t="s">
        <v>337</v>
      </c>
      <c r="N398" s="121"/>
      <c r="O398" s="124">
        <v>44896</v>
      </c>
      <c r="P398" s="120" t="s">
        <v>2561</v>
      </c>
      <c r="Q398" s="120" t="s">
        <v>414</v>
      </c>
      <c r="R398" s="120" t="s">
        <v>407</v>
      </c>
      <c r="S398" s="120" t="s">
        <v>1217</v>
      </c>
      <c r="T398" s="122">
        <v>8.19</v>
      </c>
      <c r="U398" s="120" t="s">
        <v>2560</v>
      </c>
      <c r="V398" s="123">
        <v>3.2099000000000003E-2</v>
      </c>
      <c r="W398" s="120"/>
      <c r="X398" s="120"/>
      <c r="Y398" s="123"/>
      <c r="Z398" s="123">
        <v>4.3499999999999997E-2</v>
      </c>
      <c r="AA398" s="124">
        <v>51940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45473</v>
      </c>
      <c r="AO398" s="120"/>
      <c r="AP398" s="123"/>
      <c r="AQ398" s="122">
        <v>945664.83</v>
      </c>
      <c r="AR398" s="122">
        <v>96.56</v>
      </c>
      <c r="AS398" s="122">
        <v>1</v>
      </c>
      <c r="AT398" s="122">
        <v>913.13396</v>
      </c>
      <c r="AU398" s="122">
        <v>913.13396</v>
      </c>
      <c r="AV398" s="122"/>
      <c r="AW398" s="122"/>
      <c r="AX398" s="120"/>
      <c r="AY398" s="120"/>
      <c r="AZ398" s="123">
        <v>3.48E-4</v>
      </c>
      <c r="BA398" s="123">
        <v>1.5E-5</v>
      </c>
    </row>
    <row r="399" spans="1:53" ht="15" customHeight="1">
      <c r="A399" s="121">
        <v>313</v>
      </c>
      <c r="B399" s="121">
        <v>313</v>
      </c>
      <c r="C399" s="121"/>
      <c r="D399" s="120"/>
      <c r="E399" s="120"/>
      <c r="F399" s="121">
        <v>50001047</v>
      </c>
      <c r="G399" s="120" t="s">
        <v>1013</v>
      </c>
      <c r="H399" s="120" t="s">
        <v>2562</v>
      </c>
      <c r="I399" s="120" t="s">
        <v>203</v>
      </c>
      <c r="J399" s="120"/>
      <c r="K399" s="120" t="s">
        <v>446</v>
      </c>
      <c r="L399" s="120" t="s">
        <v>338</v>
      </c>
      <c r="M399" s="120" t="s">
        <v>337</v>
      </c>
      <c r="N399" s="121"/>
      <c r="O399" s="124">
        <v>44896</v>
      </c>
      <c r="P399" s="120" t="s">
        <v>2561</v>
      </c>
      <c r="Q399" s="120" t="s">
        <v>414</v>
      </c>
      <c r="R399" s="120" t="s">
        <v>407</v>
      </c>
      <c r="S399" s="120" t="s">
        <v>1217</v>
      </c>
      <c r="T399" s="122">
        <v>18.72</v>
      </c>
      <c r="U399" s="120" t="s">
        <v>2560</v>
      </c>
      <c r="V399" s="123">
        <v>3.4210999999999998E-2</v>
      </c>
      <c r="W399" s="120"/>
      <c r="X399" s="120"/>
      <c r="Y399" s="123"/>
      <c r="Z399" s="123">
        <v>4.7500000000000001E-2</v>
      </c>
      <c r="AA399" s="124">
        <v>52305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45473</v>
      </c>
      <c r="AO399" s="120"/>
      <c r="AP399" s="123"/>
      <c r="AQ399" s="122">
        <v>856162.89</v>
      </c>
      <c r="AR399" s="122">
        <v>83.7</v>
      </c>
      <c r="AS399" s="122">
        <v>1</v>
      </c>
      <c r="AT399" s="122">
        <v>716.60834</v>
      </c>
      <c r="AU399" s="122">
        <v>716.60834</v>
      </c>
      <c r="AV399" s="122"/>
      <c r="AW399" s="122"/>
      <c r="AX399" s="120"/>
      <c r="AY399" s="120"/>
      <c r="AZ399" s="123">
        <v>2.7300000000000002E-4</v>
      </c>
      <c r="BA399" s="123">
        <v>1.2E-5</v>
      </c>
    </row>
    <row r="400" spans="1:53" ht="15" customHeight="1">
      <c r="A400" s="121">
        <v>313</v>
      </c>
      <c r="B400" s="121">
        <v>313</v>
      </c>
      <c r="C400" s="121"/>
      <c r="D400" s="120"/>
      <c r="E400" s="120"/>
      <c r="F400" s="121">
        <v>50001048</v>
      </c>
      <c r="G400" s="120" t="s">
        <v>1013</v>
      </c>
      <c r="H400" s="120" t="s">
        <v>2562</v>
      </c>
      <c r="I400" s="120" t="s">
        <v>203</v>
      </c>
      <c r="J400" s="120"/>
      <c r="K400" s="120" t="s">
        <v>446</v>
      </c>
      <c r="L400" s="120" t="s">
        <v>338</v>
      </c>
      <c r="M400" s="120" t="s">
        <v>337</v>
      </c>
      <c r="N400" s="121"/>
      <c r="O400" s="124">
        <v>44943</v>
      </c>
      <c r="P400" s="120" t="s">
        <v>2561</v>
      </c>
      <c r="Q400" s="120" t="s">
        <v>414</v>
      </c>
      <c r="R400" s="120" t="s">
        <v>407</v>
      </c>
      <c r="S400" s="120" t="s">
        <v>1217</v>
      </c>
      <c r="T400" s="122">
        <v>8.14</v>
      </c>
      <c r="U400" s="120" t="s">
        <v>2560</v>
      </c>
      <c r="V400" s="123">
        <v>3.2842000000000003E-2</v>
      </c>
      <c r="W400" s="120"/>
      <c r="X400" s="120"/>
      <c r="Y400" s="123"/>
      <c r="Z400" s="123">
        <v>4.4699999999999997E-2</v>
      </c>
      <c r="AA400" s="124">
        <v>51940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45473</v>
      </c>
      <c r="AO400" s="120"/>
      <c r="AP400" s="123"/>
      <c r="AQ400" s="122">
        <v>185204.67</v>
      </c>
      <c r="AR400" s="122">
        <v>95.93</v>
      </c>
      <c r="AS400" s="122">
        <v>1</v>
      </c>
      <c r="AT400" s="122">
        <v>177.66684000000001</v>
      </c>
      <c r="AU400" s="122">
        <v>177.66684000000001</v>
      </c>
      <c r="AV400" s="122"/>
      <c r="AW400" s="122"/>
      <c r="AX400" s="120"/>
      <c r="AY400" s="120"/>
      <c r="AZ400" s="123">
        <v>6.7000000000000002E-5</v>
      </c>
      <c r="BA400" s="123">
        <v>1.9999999999999999E-6</v>
      </c>
    </row>
    <row r="401" spans="1:53" ht="15" customHeight="1">
      <c r="A401" s="121">
        <v>313</v>
      </c>
      <c r="B401" s="121">
        <v>313</v>
      </c>
      <c r="C401" s="121"/>
      <c r="D401" s="120"/>
      <c r="E401" s="120"/>
      <c r="F401" s="121">
        <v>50001049</v>
      </c>
      <c r="G401" s="120" t="s">
        <v>1013</v>
      </c>
      <c r="H401" s="120" t="s">
        <v>2562</v>
      </c>
      <c r="I401" s="120" t="s">
        <v>203</v>
      </c>
      <c r="J401" s="120"/>
      <c r="K401" s="120" t="s">
        <v>446</v>
      </c>
      <c r="L401" s="120" t="s">
        <v>338</v>
      </c>
      <c r="M401" s="120" t="s">
        <v>337</v>
      </c>
      <c r="N401" s="121"/>
      <c r="O401" s="124">
        <v>44943</v>
      </c>
      <c r="P401" s="120" t="s">
        <v>2561</v>
      </c>
      <c r="Q401" s="120" t="s">
        <v>414</v>
      </c>
      <c r="R401" s="120" t="s">
        <v>407</v>
      </c>
      <c r="S401" s="120" t="s">
        <v>1217</v>
      </c>
      <c r="T401" s="122">
        <v>18.72</v>
      </c>
      <c r="U401" s="120" t="s">
        <v>2560</v>
      </c>
      <c r="V401" s="123">
        <v>3.4471000000000002E-2</v>
      </c>
      <c r="W401" s="120"/>
      <c r="X401" s="120"/>
      <c r="Y401" s="123"/>
      <c r="Z401" s="123">
        <v>4.9799999999999997E-2</v>
      </c>
      <c r="AA401" s="124">
        <v>52305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45473</v>
      </c>
      <c r="AO401" s="120"/>
      <c r="AP401" s="123"/>
      <c r="AQ401" s="122">
        <v>167282.54</v>
      </c>
      <c r="AR401" s="122">
        <v>80.42</v>
      </c>
      <c r="AS401" s="122">
        <v>1</v>
      </c>
      <c r="AT401" s="122">
        <v>134.52861999999999</v>
      </c>
      <c r="AU401" s="122">
        <v>134.52861999999999</v>
      </c>
      <c r="AV401" s="122"/>
      <c r="AW401" s="122"/>
      <c r="AX401" s="120"/>
      <c r="AY401" s="120"/>
      <c r="AZ401" s="123">
        <v>5.1E-5</v>
      </c>
      <c r="BA401" s="123">
        <v>1.9999999999999999E-6</v>
      </c>
    </row>
    <row r="402" spans="1:53" ht="15" customHeight="1">
      <c r="A402" s="121">
        <v>313</v>
      </c>
      <c r="B402" s="121">
        <v>313</v>
      </c>
      <c r="C402" s="121"/>
      <c r="D402" s="120"/>
      <c r="E402" s="120"/>
      <c r="F402" s="121">
        <v>50001050</v>
      </c>
      <c r="G402" s="120" t="s">
        <v>1013</v>
      </c>
      <c r="H402" s="120" t="s">
        <v>2562</v>
      </c>
      <c r="I402" s="120" t="s">
        <v>203</v>
      </c>
      <c r="J402" s="120"/>
      <c r="K402" s="120" t="s">
        <v>446</v>
      </c>
      <c r="L402" s="120" t="s">
        <v>338</v>
      </c>
      <c r="M402" s="120" t="s">
        <v>337</v>
      </c>
      <c r="N402" s="121"/>
      <c r="O402" s="124">
        <v>44994</v>
      </c>
      <c r="P402" s="120" t="s">
        <v>2561</v>
      </c>
      <c r="Q402" s="120" t="s">
        <v>414</v>
      </c>
      <c r="R402" s="120" t="s">
        <v>407</v>
      </c>
      <c r="S402" s="120" t="s">
        <v>1217</v>
      </c>
      <c r="T402" s="122">
        <v>8</v>
      </c>
      <c r="U402" s="120" t="s">
        <v>2560</v>
      </c>
      <c r="V402" s="123">
        <v>4.1725999999999999E-2</v>
      </c>
      <c r="W402" s="120"/>
      <c r="X402" s="120"/>
      <c r="Y402" s="123"/>
      <c r="Z402" s="123">
        <v>4.3400000000000001E-2</v>
      </c>
      <c r="AA402" s="124">
        <v>51940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45473</v>
      </c>
      <c r="AO402" s="120"/>
      <c r="AP402" s="123"/>
      <c r="AQ402" s="122">
        <v>498265.3</v>
      </c>
      <c r="AR402" s="122">
        <v>103.94</v>
      </c>
      <c r="AS402" s="122">
        <v>1</v>
      </c>
      <c r="AT402" s="122">
        <v>517.89694999999995</v>
      </c>
      <c r="AU402" s="122">
        <v>517.89694999999995</v>
      </c>
      <c r="AV402" s="122"/>
      <c r="AW402" s="122"/>
      <c r="AX402" s="120"/>
      <c r="AY402" s="120"/>
      <c r="AZ402" s="123">
        <v>1.9699999999999999E-4</v>
      </c>
      <c r="BA402" s="123">
        <v>7.9999999999999996E-6</v>
      </c>
    </row>
    <row r="403" spans="1:53" ht="15" customHeight="1">
      <c r="A403" s="121">
        <v>313</v>
      </c>
      <c r="B403" s="121">
        <v>313</v>
      </c>
      <c r="C403" s="121"/>
      <c r="D403" s="120"/>
      <c r="E403" s="120"/>
      <c r="F403" s="121">
        <v>50001039</v>
      </c>
      <c r="G403" s="120" t="s">
        <v>1013</v>
      </c>
      <c r="H403" s="120" t="s">
        <v>2562</v>
      </c>
      <c r="I403" s="120" t="s">
        <v>203</v>
      </c>
      <c r="J403" s="120"/>
      <c r="K403" s="120" t="s">
        <v>446</v>
      </c>
      <c r="L403" s="120" t="s">
        <v>338</v>
      </c>
      <c r="M403" s="120" t="s">
        <v>337</v>
      </c>
      <c r="N403" s="121"/>
      <c r="O403" s="124">
        <v>44741</v>
      </c>
      <c r="P403" s="120" t="s">
        <v>2561</v>
      </c>
      <c r="Q403" s="120" t="s">
        <v>414</v>
      </c>
      <c r="R403" s="120" t="s">
        <v>407</v>
      </c>
      <c r="S403" s="120" t="s">
        <v>1217</v>
      </c>
      <c r="T403" s="122">
        <v>18.72</v>
      </c>
      <c r="U403" s="120" t="s">
        <v>2560</v>
      </c>
      <c r="V403" s="123">
        <v>3.4952999999999998E-2</v>
      </c>
      <c r="W403" s="120"/>
      <c r="X403" s="120"/>
      <c r="Y403" s="123"/>
      <c r="Z403" s="123">
        <v>4.9000000000000002E-2</v>
      </c>
      <c r="AA403" s="124">
        <v>52305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45473</v>
      </c>
      <c r="AO403" s="120"/>
      <c r="AP403" s="123"/>
      <c r="AQ403" s="122">
        <v>242544.47</v>
      </c>
      <c r="AR403" s="122">
        <v>84.28</v>
      </c>
      <c r="AS403" s="122">
        <v>1</v>
      </c>
      <c r="AT403" s="122">
        <v>204.41648000000001</v>
      </c>
      <c r="AU403" s="122">
        <v>204.41648000000001</v>
      </c>
      <c r="AV403" s="122"/>
      <c r="AW403" s="122"/>
      <c r="AX403" s="120"/>
      <c r="AY403" s="120"/>
      <c r="AZ403" s="123">
        <v>7.7000000000000001E-5</v>
      </c>
      <c r="BA403" s="123">
        <v>3.0000000000000001E-6</v>
      </c>
    </row>
    <row r="404" spans="1:53" ht="15" customHeight="1">
      <c r="A404" s="121">
        <v>313</v>
      </c>
      <c r="B404" s="121">
        <v>313</v>
      </c>
      <c r="C404" s="121"/>
      <c r="D404" s="120"/>
      <c r="E404" s="120"/>
      <c r="F404" s="121">
        <v>50001038</v>
      </c>
      <c r="G404" s="120" t="s">
        <v>1013</v>
      </c>
      <c r="H404" s="120" t="s">
        <v>2562</v>
      </c>
      <c r="I404" s="120" t="s">
        <v>203</v>
      </c>
      <c r="J404" s="120"/>
      <c r="K404" s="120" t="s">
        <v>446</v>
      </c>
      <c r="L404" s="120" t="s">
        <v>338</v>
      </c>
      <c r="M404" s="120" t="s">
        <v>337</v>
      </c>
      <c r="N404" s="121"/>
      <c r="O404" s="124">
        <v>44741</v>
      </c>
      <c r="P404" s="120" t="s">
        <v>2561</v>
      </c>
      <c r="Q404" s="120" t="s">
        <v>414</v>
      </c>
      <c r="R404" s="120" t="s">
        <v>407</v>
      </c>
      <c r="S404" s="120" t="s">
        <v>1217</v>
      </c>
      <c r="T404" s="122">
        <v>8.18</v>
      </c>
      <c r="U404" s="120" t="s">
        <v>2560</v>
      </c>
      <c r="V404" s="123">
        <v>3.1085000000000002E-2</v>
      </c>
      <c r="W404" s="120"/>
      <c r="X404" s="120"/>
      <c r="Y404" s="123"/>
      <c r="Z404" s="123">
        <v>4.4600000000000001E-2</v>
      </c>
      <c r="AA404" s="124">
        <v>51940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45473</v>
      </c>
      <c r="AO404" s="120"/>
      <c r="AP404" s="123"/>
      <c r="AQ404" s="122">
        <v>267144.71999999997</v>
      </c>
      <c r="AR404" s="122">
        <v>96.76</v>
      </c>
      <c r="AS404" s="122">
        <v>1</v>
      </c>
      <c r="AT404" s="122">
        <v>258.48923000000002</v>
      </c>
      <c r="AU404" s="122">
        <v>258.48923000000002</v>
      </c>
      <c r="AV404" s="122"/>
      <c r="AW404" s="122"/>
      <c r="AX404" s="120"/>
      <c r="AY404" s="120"/>
      <c r="AZ404" s="123">
        <v>9.7999999999999997E-5</v>
      </c>
      <c r="BA404" s="123">
        <v>3.9999999999999998E-6</v>
      </c>
    </row>
    <row r="405" spans="1:53" ht="15" customHeight="1">
      <c r="A405" s="121">
        <v>313</v>
      </c>
      <c r="B405" s="121">
        <v>313</v>
      </c>
      <c r="C405" s="121"/>
      <c r="D405" s="120"/>
      <c r="E405" s="120"/>
      <c r="F405" s="121">
        <v>50001037</v>
      </c>
      <c r="G405" s="120" t="s">
        <v>1013</v>
      </c>
      <c r="H405" s="120" t="s">
        <v>2562</v>
      </c>
      <c r="I405" s="120" t="s">
        <v>203</v>
      </c>
      <c r="J405" s="120"/>
      <c r="K405" s="120" t="s">
        <v>446</v>
      </c>
      <c r="L405" s="120" t="s">
        <v>338</v>
      </c>
      <c r="M405" s="120" t="s">
        <v>337</v>
      </c>
      <c r="N405" s="121"/>
      <c r="O405" s="124">
        <v>44710</v>
      </c>
      <c r="P405" s="120" t="s">
        <v>2561</v>
      </c>
      <c r="Q405" s="120" t="s">
        <v>414</v>
      </c>
      <c r="R405" s="120" t="s">
        <v>407</v>
      </c>
      <c r="S405" s="120" t="s">
        <v>1217</v>
      </c>
      <c r="T405" s="122">
        <v>18.72</v>
      </c>
      <c r="U405" s="120" t="s">
        <v>2560</v>
      </c>
      <c r="V405" s="123">
        <v>3.3675999999999998E-2</v>
      </c>
      <c r="W405" s="120"/>
      <c r="X405" s="120"/>
      <c r="Y405" s="123"/>
      <c r="Z405" s="123">
        <v>4.4299999999999999E-2</v>
      </c>
      <c r="AA405" s="124">
        <v>52305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45473</v>
      </c>
      <c r="AO405" s="120"/>
      <c r="AP405" s="123"/>
      <c r="AQ405" s="122">
        <v>391537.67</v>
      </c>
      <c r="AR405" s="122">
        <v>89.99</v>
      </c>
      <c r="AS405" s="122">
        <v>1</v>
      </c>
      <c r="AT405" s="122">
        <v>352.34474999999998</v>
      </c>
      <c r="AU405" s="122">
        <v>352.34474999999998</v>
      </c>
      <c r="AV405" s="122"/>
      <c r="AW405" s="122"/>
      <c r="AX405" s="120"/>
      <c r="AY405" s="120"/>
      <c r="AZ405" s="123">
        <v>1.34E-4</v>
      </c>
      <c r="BA405" s="123">
        <v>5.0000000000000004E-6</v>
      </c>
    </row>
    <row r="406" spans="1:53" ht="15" customHeight="1">
      <c r="A406" s="121">
        <v>313</v>
      </c>
      <c r="B406" s="121">
        <v>313</v>
      </c>
      <c r="C406" s="121"/>
      <c r="D406" s="120"/>
      <c r="E406" s="120"/>
      <c r="F406" s="121">
        <v>50001036</v>
      </c>
      <c r="G406" s="120" t="s">
        <v>1013</v>
      </c>
      <c r="H406" s="120" t="s">
        <v>2562</v>
      </c>
      <c r="I406" s="120" t="s">
        <v>203</v>
      </c>
      <c r="J406" s="120"/>
      <c r="K406" s="120" t="s">
        <v>446</v>
      </c>
      <c r="L406" s="120" t="s">
        <v>338</v>
      </c>
      <c r="M406" s="120" t="s">
        <v>337</v>
      </c>
      <c r="N406" s="121"/>
      <c r="O406" s="124">
        <v>44710</v>
      </c>
      <c r="P406" s="120" t="s">
        <v>2561</v>
      </c>
      <c r="Q406" s="120" t="s">
        <v>414</v>
      </c>
      <c r="R406" s="120" t="s">
        <v>407</v>
      </c>
      <c r="S406" s="120" t="s">
        <v>1217</v>
      </c>
      <c r="T406" s="122">
        <v>8.31</v>
      </c>
      <c r="U406" s="120" t="s">
        <v>2560</v>
      </c>
      <c r="V406" s="123">
        <v>2.8858000000000002E-2</v>
      </c>
      <c r="W406" s="120"/>
      <c r="X406" s="120"/>
      <c r="Y406" s="123"/>
      <c r="Z406" s="123">
        <v>4.1399999999999999E-2</v>
      </c>
      <c r="AA406" s="124">
        <v>51940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45473</v>
      </c>
      <c r="AO406" s="120"/>
      <c r="AP406" s="123"/>
      <c r="AQ406" s="122">
        <v>431699.32</v>
      </c>
      <c r="AR406" s="122">
        <v>97.9</v>
      </c>
      <c r="AS406" s="122">
        <v>1</v>
      </c>
      <c r="AT406" s="122">
        <v>422.63362999999998</v>
      </c>
      <c r="AU406" s="122">
        <v>422.63362999999998</v>
      </c>
      <c r="AV406" s="122"/>
      <c r="AW406" s="122"/>
      <c r="AX406" s="120"/>
      <c r="AY406" s="120"/>
      <c r="AZ406" s="123">
        <v>1.6100000000000001E-4</v>
      </c>
      <c r="BA406" s="123">
        <v>6.9999999999999999E-6</v>
      </c>
    </row>
    <row r="407" spans="1:53" ht="15" customHeight="1">
      <c r="A407" s="121">
        <v>313</v>
      </c>
      <c r="B407" s="121">
        <v>313</v>
      </c>
      <c r="C407" s="121"/>
      <c r="D407" s="120"/>
      <c r="E407" s="120"/>
      <c r="F407" s="121">
        <v>50001023</v>
      </c>
      <c r="G407" s="120" t="s">
        <v>1013</v>
      </c>
      <c r="H407" s="120" t="s">
        <v>2562</v>
      </c>
      <c r="I407" s="120" t="s">
        <v>203</v>
      </c>
      <c r="J407" s="120"/>
      <c r="K407" s="120" t="s">
        <v>446</v>
      </c>
      <c r="L407" s="120" t="s">
        <v>338</v>
      </c>
      <c r="M407" s="120" t="s">
        <v>337</v>
      </c>
      <c r="N407" s="121"/>
      <c r="O407" s="124">
        <v>44523</v>
      </c>
      <c r="P407" s="120" t="s">
        <v>2561</v>
      </c>
      <c r="Q407" s="120" t="s">
        <v>414</v>
      </c>
      <c r="R407" s="120" t="s">
        <v>407</v>
      </c>
      <c r="S407" s="120" t="s">
        <v>1217</v>
      </c>
      <c r="T407" s="122">
        <v>8.52</v>
      </c>
      <c r="U407" s="120" t="s">
        <v>2560</v>
      </c>
      <c r="V407" s="123">
        <v>1.5906E-2</v>
      </c>
      <c r="W407" s="120"/>
      <c r="X407" s="120"/>
      <c r="Y407" s="123"/>
      <c r="Z407" s="123">
        <v>4.65E-2</v>
      </c>
      <c r="AA407" s="124">
        <v>51940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45473</v>
      </c>
      <c r="AO407" s="120"/>
      <c r="AP407" s="123"/>
      <c r="AQ407" s="122">
        <v>346646.27</v>
      </c>
      <c r="AR407" s="122">
        <v>85.12</v>
      </c>
      <c r="AS407" s="122">
        <v>1</v>
      </c>
      <c r="AT407" s="122">
        <v>295.06531000000001</v>
      </c>
      <c r="AU407" s="122">
        <v>295.06531000000001</v>
      </c>
      <c r="AV407" s="122"/>
      <c r="AW407" s="122"/>
      <c r="AX407" s="120"/>
      <c r="AY407" s="120"/>
      <c r="AZ407" s="123">
        <v>1.12E-4</v>
      </c>
      <c r="BA407" s="123">
        <v>3.9999999999999998E-6</v>
      </c>
    </row>
    <row r="408" spans="1:53" ht="15" customHeight="1">
      <c r="A408" s="121">
        <v>313</v>
      </c>
      <c r="B408" s="121">
        <v>313</v>
      </c>
      <c r="C408" s="121"/>
      <c r="D408" s="120"/>
      <c r="E408" s="120"/>
      <c r="F408" s="121">
        <v>50001024</v>
      </c>
      <c r="G408" s="120" t="s">
        <v>1013</v>
      </c>
      <c r="H408" s="120" t="s">
        <v>2562</v>
      </c>
      <c r="I408" s="120" t="s">
        <v>203</v>
      </c>
      <c r="J408" s="120"/>
      <c r="K408" s="120" t="s">
        <v>446</v>
      </c>
      <c r="L408" s="120" t="s">
        <v>338</v>
      </c>
      <c r="M408" s="120" t="s">
        <v>337</v>
      </c>
      <c r="N408" s="121"/>
      <c r="O408" s="124">
        <v>44523</v>
      </c>
      <c r="P408" s="120" t="s">
        <v>2561</v>
      </c>
      <c r="Q408" s="120" t="s">
        <v>414</v>
      </c>
      <c r="R408" s="120" t="s">
        <v>407</v>
      </c>
      <c r="S408" s="120" t="s">
        <v>1217</v>
      </c>
      <c r="T408" s="122">
        <v>18.72</v>
      </c>
      <c r="U408" s="120" t="s">
        <v>2560</v>
      </c>
      <c r="V408" s="123">
        <v>2.4625999999999999E-2</v>
      </c>
      <c r="W408" s="120"/>
      <c r="X408" s="120"/>
      <c r="Y408" s="123"/>
      <c r="Z408" s="123">
        <v>5.0099999999999999E-2</v>
      </c>
      <c r="AA408" s="124">
        <v>52305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45473</v>
      </c>
      <c r="AO408" s="120"/>
      <c r="AP408" s="123"/>
      <c r="AQ408" s="122">
        <v>312252.78999999998</v>
      </c>
      <c r="AR408" s="122">
        <v>70.290000000000006</v>
      </c>
      <c r="AS408" s="122">
        <v>1</v>
      </c>
      <c r="AT408" s="122">
        <v>219.48249000000001</v>
      </c>
      <c r="AU408" s="122">
        <v>219.48249000000001</v>
      </c>
      <c r="AV408" s="122"/>
      <c r="AW408" s="122"/>
      <c r="AX408" s="120"/>
      <c r="AY408" s="120"/>
      <c r="AZ408" s="123">
        <v>8.2999999999999998E-5</v>
      </c>
      <c r="BA408" s="123">
        <v>3.0000000000000001E-6</v>
      </c>
    </row>
    <row r="409" spans="1:53" ht="15" customHeight="1">
      <c r="A409" s="121">
        <v>313</v>
      </c>
      <c r="B409" s="121">
        <v>313</v>
      </c>
      <c r="C409" s="121"/>
      <c r="D409" s="120"/>
      <c r="E409" s="120"/>
      <c r="F409" s="121">
        <v>50001026</v>
      </c>
      <c r="G409" s="120" t="s">
        <v>1013</v>
      </c>
      <c r="H409" s="120" t="s">
        <v>2562</v>
      </c>
      <c r="I409" s="120" t="s">
        <v>203</v>
      </c>
      <c r="J409" s="120"/>
      <c r="K409" s="120" t="s">
        <v>446</v>
      </c>
      <c r="L409" s="120" t="s">
        <v>338</v>
      </c>
      <c r="M409" s="120" t="s">
        <v>337</v>
      </c>
      <c r="N409" s="121"/>
      <c r="O409" s="124">
        <v>44546</v>
      </c>
      <c r="P409" s="120" t="s">
        <v>2561</v>
      </c>
      <c r="Q409" s="120" t="s">
        <v>414</v>
      </c>
      <c r="R409" s="120" t="s">
        <v>407</v>
      </c>
      <c r="S409" s="120" t="s">
        <v>1217</v>
      </c>
      <c r="T409" s="122">
        <v>8.5399999999999991</v>
      </c>
      <c r="U409" s="120" t="s">
        <v>2560</v>
      </c>
      <c r="V409" s="123">
        <v>1.5526999999999999E-2</v>
      </c>
      <c r="W409" s="120"/>
      <c r="X409" s="120"/>
      <c r="Y409" s="123"/>
      <c r="Z409" s="123">
        <v>4.5999999999999999E-2</v>
      </c>
      <c r="AA409" s="124">
        <v>51940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45473</v>
      </c>
      <c r="AO409" s="120"/>
      <c r="AP409" s="123"/>
      <c r="AQ409" s="122">
        <v>479717.6</v>
      </c>
      <c r="AR409" s="122">
        <v>85.26</v>
      </c>
      <c r="AS409" s="122">
        <v>1</v>
      </c>
      <c r="AT409" s="122">
        <v>409.00722999999999</v>
      </c>
      <c r="AU409" s="122">
        <v>409.00722999999999</v>
      </c>
      <c r="AV409" s="122"/>
      <c r="AW409" s="122"/>
      <c r="AX409" s="120"/>
      <c r="AY409" s="120"/>
      <c r="AZ409" s="123">
        <v>1.55E-4</v>
      </c>
      <c r="BA409" s="123">
        <v>6.0000000000000002E-6</v>
      </c>
    </row>
    <row r="410" spans="1:53" ht="15" customHeight="1">
      <c r="A410" s="121">
        <v>313</v>
      </c>
      <c r="B410" s="121">
        <v>313</v>
      </c>
      <c r="C410" s="121"/>
      <c r="D410" s="120"/>
      <c r="E410" s="120"/>
      <c r="F410" s="121">
        <v>50001027</v>
      </c>
      <c r="G410" s="120" t="s">
        <v>1013</v>
      </c>
      <c r="H410" s="120" t="s">
        <v>2562</v>
      </c>
      <c r="I410" s="120" t="s">
        <v>203</v>
      </c>
      <c r="J410" s="120"/>
      <c r="K410" s="120" t="s">
        <v>446</v>
      </c>
      <c r="L410" s="120" t="s">
        <v>338</v>
      </c>
      <c r="M410" s="120" t="s">
        <v>337</v>
      </c>
      <c r="N410" s="121"/>
      <c r="O410" s="124">
        <v>44546</v>
      </c>
      <c r="P410" s="120" t="s">
        <v>2561</v>
      </c>
      <c r="Q410" s="120" t="s">
        <v>414</v>
      </c>
      <c r="R410" s="120" t="s">
        <v>407</v>
      </c>
      <c r="S410" s="120" t="s">
        <v>1217</v>
      </c>
      <c r="T410" s="122">
        <v>18.72</v>
      </c>
      <c r="U410" s="120" t="s">
        <v>2560</v>
      </c>
      <c r="V410" s="123">
        <v>2.4500999999999998E-2</v>
      </c>
      <c r="W410" s="120"/>
      <c r="X410" s="120"/>
      <c r="Y410" s="123"/>
      <c r="Z410" s="123">
        <v>4.9200000000000001E-2</v>
      </c>
      <c r="AA410" s="124">
        <v>52305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45473</v>
      </c>
      <c r="AO410" s="120"/>
      <c r="AP410" s="123"/>
      <c r="AQ410" s="122">
        <v>431914.23999999999</v>
      </c>
      <c r="AR410" s="122">
        <v>71.27</v>
      </c>
      <c r="AS410" s="122">
        <v>1</v>
      </c>
      <c r="AT410" s="122">
        <v>307.82528000000002</v>
      </c>
      <c r="AU410" s="122">
        <v>307.82528000000002</v>
      </c>
      <c r="AV410" s="122"/>
      <c r="AW410" s="122"/>
      <c r="AX410" s="120"/>
      <c r="AY410" s="120"/>
      <c r="AZ410" s="123">
        <v>1.17E-4</v>
      </c>
      <c r="BA410" s="123">
        <v>5.0000000000000004E-6</v>
      </c>
    </row>
    <row r="411" spans="1:53" ht="15" customHeight="1">
      <c r="A411" s="121">
        <v>313</v>
      </c>
      <c r="B411" s="121">
        <v>313</v>
      </c>
      <c r="C411" s="121"/>
      <c r="D411" s="120"/>
      <c r="E411" s="120"/>
      <c r="F411" s="121">
        <v>50001051</v>
      </c>
      <c r="G411" s="120" t="s">
        <v>1013</v>
      </c>
      <c r="H411" s="120" t="s">
        <v>2562</v>
      </c>
      <c r="I411" s="120" t="s">
        <v>203</v>
      </c>
      <c r="J411" s="120"/>
      <c r="K411" s="120" t="s">
        <v>446</v>
      </c>
      <c r="L411" s="120" t="s">
        <v>338</v>
      </c>
      <c r="M411" s="120" t="s">
        <v>337</v>
      </c>
      <c r="N411" s="121"/>
      <c r="O411" s="124">
        <v>44994</v>
      </c>
      <c r="P411" s="120" t="s">
        <v>2561</v>
      </c>
      <c r="Q411" s="120" t="s">
        <v>414</v>
      </c>
      <c r="R411" s="120" t="s">
        <v>407</v>
      </c>
      <c r="S411" s="120" t="s">
        <v>1217</v>
      </c>
      <c r="T411" s="122">
        <v>18.72</v>
      </c>
      <c r="U411" s="120" t="s">
        <v>2560</v>
      </c>
      <c r="V411" s="123">
        <v>4.1561000000000001E-2</v>
      </c>
      <c r="W411" s="120"/>
      <c r="X411" s="120"/>
      <c r="Y411" s="123"/>
      <c r="Z411" s="123">
        <v>5.0099999999999999E-2</v>
      </c>
      <c r="AA411" s="124">
        <v>52305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45473</v>
      </c>
      <c r="AO411" s="120"/>
      <c r="AP411" s="123"/>
      <c r="AQ411" s="122">
        <v>451950.38</v>
      </c>
      <c r="AR411" s="122">
        <v>91.05</v>
      </c>
      <c r="AS411" s="122">
        <v>1</v>
      </c>
      <c r="AT411" s="122">
        <v>411.50081999999998</v>
      </c>
      <c r="AU411" s="122">
        <v>411.50081999999998</v>
      </c>
      <c r="AV411" s="122"/>
      <c r="AW411" s="122"/>
      <c r="AX411" s="120"/>
      <c r="AY411" s="120"/>
      <c r="AZ411" s="123">
        <v>1.56E-4</v>
      </c>
      <c r="BA411" s="123">
        <v>6.0000000000000002E-6</v>
      </c>
    </row>
    <row r="412" spans="1:53" ht="15" customHeight="1">
      <c r="A412" s="121">
        <v>313</v>
      </c>
      <c r="B412" s="121">
        <v>313</v>
      </c>
      <c r="C412" s="121"/>
      <c r="D412" s="120"/>
      <c r="E412" s="120"/>
      <c r="F412" s="121">
        <v>50001029</v>
      </c>
      <c r="G412" s="120" t="s">
        <v>1013</v>
      </c>
      <c r="H412" s="120" t="s">
        <v>2562</v>
      </c>
      <c r="I412" s="120" t="s">
        <v>203</v>
      </c>
      <c r="J412" s="120"/>
      <c r="K412" s="120" t="s">
        <v>446</v>
      </c>
      <c r="L412" s="120" t="s">
        <v>338</v>
      </c>
      <c r="M412" s="120" t="s">
        <v>337</v>
      </c>
      <c r="N412" s="121"/>
      <c r="O412" s="124">
        <v>44574</v>
      </c>
      <c r="P412" s="120" t="s">
        <v>2561</v>
      </c>
      <c r="Q412" s="120" t="s">
        <v>414</v>
      </c>
      <c r="R412" s="120" t="s">
        <v>407</v>
      </c>
      <c r="S412" s="120" t="s">
        <v>1217</v>
      </c>
      <c r="T412" s="122">
        <v>8.5299999999999994</v>
      </c>
      <c r="U412" s="120" t="s">
        <v>2560</v>
      </c>
      <c r="V412" s="123">
        <v>1.5233999999999999E-2</v>
      </c>
      <c r="W412" s="120"/>
      <c r="X412" s="120"/>
      <c r="Y412" s="123"/>
      <c r="Z412" s="123">
        <v>4.6699999999999998E-2</v>
      </c>
      <c r="AA412" s="124">
        <v>51940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45473</v>
      </c>
      <c r="AO412" s="120"/>
      <c r="AP412" s="123"/>
      <c r="AQ412" s="122">
        <v>514726.42</v>
      </c>
      <c r="AR412" s="122">
        <v>84.51</v>
      </c>
      <c r="AS412" s="122">
        <v>1</v>
      </c>
      <c r="AT412" s="122">
        <v>434.99529999999999</v>
      </c>
      <c r="AU412" s="122">
        <v>434.99529999999999</v>
      </c>
      <c r="AV412" s="122"/>
      <c r="AW412" s="122"/>
      <c r="AX412" s="120"/>
      <c r="AY412" s="120"/>
      <c r="AZ412" s="123">
        <v>1.65E-4</v>
      </c>
      <c r="BA412" s="123">
        <v>6.9999999999999999E-6</v>
      </c>
    </row>
    <row r="413" spans="1:53" ht="15" customHeight="1">
      <c r="A413" s="121">
        <v>313</v>
      </c>
      <c r="B413" s="121">
        <v>313</v>
      </c>
      <c r="C413" s="121"/>
      <c r="D413" s="120"/>
      <c r="E413" s="120"/>
      <c r="F413" s="121">
        <v>50001031</v>
      </c>
      <c r="G413" s="120" t="s">
        <v>1013</v>
      </c>
      <c r="H413" s="120" t="s">
        <v>2562</v>
      </c>
      <c r="I413" s="120" t="s">
        <v>203</v>
      </c>
      <c r="J413" s="120"/>
      <c r="K413" s="120" t="s">
        <v>446</v>
      </c>
      <c r="L413" s="120" t="s">
        <v>338</v>
      </c>
      <c r="M413" s="120" t="s">
        <v>337</v>
      </c>
      <c r="N413" s="121"/>
      <c r="O413" s="124">
        <v>44619</v>
      </c>
      <c r="P413" s="120" t="s">
        <v>2561</v>
      </c>
      <c r="Q413" s="120" t="s">
        <v>414</v>
      </c>
      <c r="R413" s="120" t="s">
        <v>407</v>
      </c>
      <c r="S413" s="120" t="s">
        <v>1217</v>
      </c>
      <c r="T413" s="122">
        <v>8.42</v>
      </c>
      <c r="U413" s="120" t="s">
        <v>2560</v>
      </c>
      <c r="V413" s="123">
        <v>2.1697999999999999E-2</v>
      </c>
      <c r="W413" s="120"/>
      <c r="X413" s="120"/>
      <c r="Y413" s="123"/>
      <c r="Z413" s="123">
        <v>4.4200000000000003E-2</v>
      </c>
      <c r="AA413" s="124">
        <v>51940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45473</v>
      </c>
      <c r="AO413" s="120"/>
      <c r="AP413" s="123"/>
      <c r="AQ413" s="122">
        <v>196895.34</v>
      </c>
      <c r="AR413" s="122">
        <v>91.45</v>
      </c>
      <c r="AS413" s="122">
        <v>1</v>
      </c>
      <c r="AT413" s="122">
        <v>180.06079</v>
      </c>
      <c r="AU413" s="122">
        <v>180.06079</v>
      </c>
      <c r="AV413" s="122"/>
      <c r="AW413" s="122"/>
      <c r="AX413" s="120"/>
      <c r="AY413" s="120"/>
      <c r="AZ413" s="123">
        <v>6.7999999999999999E-5</v>
      </c>
      <c r="BA413" s="123">
        <v>3.0000000000000001E-6</v>
      </c>
    </row>
    <row r="414" spans="1:53" ht="15" customHeight="1">
      <c r="A414" s="121">
        <v>313</v>
      </c>
      <c r="B414" s="121">
        <v>313</v>
      </c>
      <c r="C414" s="121"/>
      <c r="D414" s="120"/>
      <c r="E414" s="120"/>
      <c r="F414" s="121">
        <v>50001032</v>
      </c>
      <c r="G414" s="120" t="s">
        <v>1013</v>
      </c>
      <c r="H414" s="120" t="s">
        <v>2562</v>
      </c>
      <c r="I414" s="120" t="s">
        <v>203</v>
      </c>
      <c r="J414" s="120"/>
      <c r="K414" s="120" t="s">
        <v>446</v>
      </c>
      <c r="L414" s="120" t="s">
        <v>338</v>
      </c>
      <c r="M414" s="120" t="s">
        <v>337</v>
      </c>
      <c r="N414" s="121"/>
      <c r="O414" s="124">
        <v>44619</v>
      </c>
      <c r="P414" s="120" t="s">
        <v>2561</v>
      </c>
      <c r="Q414" s="120" t="s">
        <v>414</v>
      </c>
      <c r="R414" s="120" t="s">
        <v>407</v>
      </c>
      <c r="S414" s="120" t="s">
        <v>1217</v>
      </c>
      <c r="T414" s="122">
        <v>18.72</v>
      </c>
      <c r="U414" s="120" t="s">
        <v>2560</v>
      </c>
      <c r="V414" s="123">
        <v>2.9106E-2</v>
      </c>
      <c r="W414" s="120"/>
      <c r="X414" s="120"/>
      <c r="Y414" s="123"/>
      <c r="Z414" s="123">
        <v>4.65E-2</v>
      </c>
      <c r="AA414" s="124">
        <v>52305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45473</v>
      </c>
      <c r="AO414" s="120"/>
      <c r="AP414" s="123"/>
      <c r="AQ414" s="122">
        <v>177302.91</v>
      </c>
      <c r="AR414" s="122">
        <v>81.180000000000007</v>
      </c>
      <c r="AS414" s="122">
        <v>1</v>
      </c>
      <c r="AT414" s="122">
        <v>143.93450000000001</v>
      </c>
      <c r="AU414" s="122">
        <v>143.93450000000001</v>
      </c>
      <c r="AV414" s="122"/>
      <c r="AW414" s="122"/>
      <c r="AX414" s="120"/>
      <c r="AY414" s="120"/>
      <c r="AZ414" s="123">
        <v>5.3999999999999998E-5</v>
      </c>
      <c r="BA414" s="123">
        <v>1.9999999999999999E-6</v>
      </c>
    </row>
    <row r="415" spans="1:53" ht="15" customHeight="1">
      <c r="A415" s="121">
        <v>313</v>
      </c>
      <c r="B415" s="121">
        <v>313</v>
      </c>
      <c r="C415" s="121"/>
      <c r="D415" s="120"/>
      <c r="E415" s="120"/>
      <c r="F415" s="121">
        <v>50001033</v>
      </c>
      <c r="G415" s="120" t="s">
        <v>1013</v>
      </c>
      <c r="H415" s="120" t="s">
        <v>2562</v>
      </c>
      <c r="I415" s="120" t="s">
        <v>203</v>
      </c>
      <c r="J415" s="120"/>
      <c r="K415" s="120" t="s">
        <v>446</v>
      </c>
      <c r="L415" s="120" t="s">
        <v>338</v>
      </c>
      <c r="M415" s="120" t="s">
        <v>337</v>
      </c>
      <c r="N415" s="121"/>
      <c r="O415" s="124">
        <v>44664</v>
      </c>
      <c r="P415" s="120" t="s">
        <v>2561</v>
      </c>
      <c r="Q415" s="120" t="s">
        <v>414</v>
      </c>
      <c r="R415" s="120" t="s">
        <v>407</v>
      </c>
      <c r="S415" s="120" t="s">
        <v>1217</v>
      </c>
      <c r="T415" s="122">
        <v>8.4499999999999993</v>
      </c>
      <c r="U415" s="120" t="s">
        <v>2560</v>
      </c>
      <c r="V415" s="123">
        <v>2.1465000000000001E-2</v>
      </c>
      <c r="W415" s="120"/>
      <c r="X415" s="120"/>
      <c r="Y415" s="123"/>
      <c r="Z415" s="123">
        <v>4.3200000000000002E-2</v>
      </c>
      <c r="AA415" s="124">
        <v>51940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45473</v>
      </c>
      <c r="AO415" s="120"/>
      <c r="AP415" s="123"/>
      <c r="AQ415" s="122">
        <v>378100.72</v>
      </c>
      <c r="AR415" s="122">
        <v>91.4</v>
      </c>
      <c r="AS415" s="122">
        <v>1</v>
      </c>
      <c r="AT415" s="122">
        <v>345.58406000000002</v>
      </c>
      <c r="AU415" s="122">
        <v>345.58406000000002</v>
      </c>
      <c r="AV415" s="122"/>
      <c r="AW415" s="122"/>
      <c r="AX415" s="120"/>
      <c r="AY415" s="120"/>
      <c r="AZ415" s="123">
        <v>1.3100000000000001E-4</v>
      </c>
      <c r="BA415" s="123">
        <v>5.0000000000000004E-6</v>
      </c>
    </row>
    <row r="416" spans="1:53" ht="15" customHeight="1">
      <c r="A416" s="121">
        <v>313</v>
      </c>
      <c r="B416" s="121">
        <v>313</v>
      </c>
      <c r="C416" s="121"/>
      <c r="D416" s="120"/>
      <c r="E416" s="120"/>
      <c r="F416" s="121">
        <v>50001034</v>
      </c>
      <c r="G416" s="120" t="s">
        <v>1013</v>
      </c>
      <c r="H416" s="120" t="s">
        <v>2562</v>
      </c>
      <c r="I416" s="120" t="s">
        <v>203</v>
      </c>
      <c r="J416" s="120"/>
      <c r="K416" s="120" t="s">
        <v>446</v>
      </c>
      <c r="L416" s="120" t="s">
        <v>338</v>
      </c>
      <c r="M416" s="120" t="s">
        <v>337</v>
      </c>
      <c r="N416" s="121"/>
      <c r="O416" s="124">
        <v>44664</v>
      </c>
      <c r="P416" s="120" t="s">
        <v>2561</v>
      </c>
      <c r="Q416" s="120" t="s">
        <v>414</v>
      </c>
      <c r="R416" s="120" t="s">
        <v>407</v>
      </c>
      <c r="S416" s="120" t="s">
        <v>1217</v>
      </c>
      <c r="T416" s="122">
        <v>18.72</v>
      </c>
      <c r="U416" s="120" t="s">
        <v>2560</v>
      </c>
      <c r="V416" s="123">
        <v>2.9392000000000001E-2</v>
      </c>
      <c r="W416" s="120"/>
      <c r="X416" s="120"/>
      <c r="Y416" s="123"/>
      <c r="Z416" s="123">
        <v>4.7199999999999999E-2</v>
      </c>
      <c r="AA416" s="124">
        <v>52305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45473</v>
      </c>
      <c r="AO416" s="120"/>
      <c r="AP416" s="123"/>
      <c r="AQ416" s="122">
        <v>341678.18</v>
      </c>
      <c r="AR416" s="122">
        <v>79.97</v>
      </c>
      <c r="AS416" s="122">
        <v>1</v>
      </c>
      <c r="AT416" s="122">
        <v>273.24004000000002</v>
      </c>
      <c r="AU416" s="122">
        <v>273.24004000000002</v>
      </c>
      <c r="AV416" s="122"/>
      <c r="AW416" s="122"/>
      <c r="AX416" s="120"/>
      <c r="AY416" s="120"/>
      <c r="AZ416" s="123">
        <v>1.0399999999999999E-4</v>
      </c>
      <c r="BA416" s="123">
        <v>3.9999999999999998E-6</v>
      </c>
    </row>
    <row r="417" spans="1:53" ht="15" customHeight="1">
      <c r="A417" s="121">
        <v>313</v>
      </c>
      <c r="B417" s="121">
        <v>313</v>
      </c>
      <c r="C417" s="121"/>
      <c r="D417" s="120"/>
      <c r="E417" s="120"/>
      <c r="F417" s="121">
        <v>50001030</v>
      </c>
      <c r="G417" s="120" t="s">
        <v>1013</v>
      </c>
      <c r="H417" s="120" t="s">
        <v>2562</v>
      </c>
      <c r="I417" s="120" t="s">
        <v>203</v>
      </c>
      <c r="J417" s="120"/>
      <c r="K417" s="120" t="s">
        <v>446</v>
      </c>
      <c r="L417" s="120" t="s">
        <v>338</v>
      </c>
      <c r="M417" s="120" t="s">
        <v>337</v>
      </c>
      <c r="N417" s="121"/>
      <c r="O417" s="124">
        <v>44574</v>
      </c>
      <c r="P417" s="120" t="s">
        <v>2561</v>
      </c>
      <c r="Q417" s="120" t="s">
        <v>414</v>
      </c>
      <c r="R417" s="120" t="s">
        <v>407</v>
      </c>
      <c r="S417" s="120" t="s">
        <v>1217</v>
      </c>
      <c r="T417" s="122">
        <v>18.72</v>
      </c>
      <c r="U417" s="120" t="s">
        <v>2560</v>
      </c>
      <c r="V417" s="123">
        <v>2.3888E-2</v>
      </c>
      <c r="W417" s="120"/>
      <c r="X417" s="120"/>
      <c r="Y417" s="123"/>
      <c r="Z417" s="123">
        <v>0.05</v>
      </c>
      <c r="AA417" s="124">
        <v>52305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45473</v>
      </c>
      <c r="AO417" s="120"/>
      <c r="AP417" s="123"/>
      <c r="AQ417" s="122">
        <v>462557.52</v>
      </c>
      <c r="AR417" s="122">
        <v>69.45</v>
      </c>
      <c r="AS417" s="122">
        <v>1</v>
      </c>
      <c r="AT417" s="122">
        <v>321.24619999999999</v>
      </c>
      <c r="AU417" s="122">
        <v>321.24619999999999</v>
      </c>
      <c r="AV417" s="122"/>
      <c r="AW417" s="122"/>
      <c r="AX417" s="120"/>
      <c r="AY417" s="120"/>
      <c r="AZ417" s="123">
        <v>1.22E-4</v>
      </c>
      <c r="BA417" s="123">
        <v>5.0000000000000004E-6</v>
      </c>
    </row>
    <row r="418" spans="1:53" ht="15" customHeight="1">
      <c r="A418" s="121">
        <v>313</v>
      </c>
      <c r="B418" s="121">
        <v>313</v>
      </c>
      <c r="C418" s="121"/>
      <c r="D418" s="120"/>
      <c r="E418" s="120"/>
      <c r="F418" s="121">
        <v>50001055</v>
      </c>
      <c r="G418" s="120" t="s">
        <v>1013</v>
      </c>
      <c r="H418" s="120" t="s">
        <v>2562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45034</v>
      </c>
      <c r="P418" s="120" t="s">
        <v>2561</v>
      </c>
      <c r="Q418" s="120" t="s">
        <v>414</v>
      </c>
      <c r="R418" s="120" t="s">
        <v>407</v>
      </c>
      <c r="S418" s="120" t="s">
        <v>1217</v>
      </c>
      <c r="T418" s="122">
        <v>8.0500000000000007</v>
      </c>
      <c r="U418" s="120" t="s">
        <v>2560</v>
      </c>
      <c r="V418" s="123">
        <v>3.9663999999999998E-2</v>
      </c>
      <c r="W418" s="120"/>
      <c r="X418" s="120"/>
      <c r="Y418" s="123"/>
      <c r="Z418" s="123">
        <v>4.2700000000000002E-2</v>
      </c>
      <c r="AA418" s="124">
        <v>51940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45473</v>
      </c>
      <c r="AO418" s="120"/>
      <c r="AP418" s="123"/>
      <c r="AQ418" s="122">
        <v>273013.14</v>
      </c>
      <c r="AR418" s="122">
        <v>101.91</v>
      </c>
      <c r="AS418" s="122">
        <v>1</v>
      </c>
      <c r="AT418" s="122">
        <v>278.22769</v>
      </c>
      <c r="AU418" s="122">
        <v>278.22769</v>
      </c>
      <c r="AV418" s="122"/>
      <c r="AW418" s="122"/>
      <c r="AX418" s="120"/>
      <c r="AY418" s="120"/>
      <c r="AZ418" s="123">
        <v>1.06E-4</v>
      </c>
      <c r="BA418" s="123">
        <v>3.9999999999999998E-6</v>
      </c>
    </row>
    <row r="419" spans="1:53" ht="15" customHeight="1">
      <c r="A419" s="121">
        <v>313</v>
      </c>
      <c r="B419" s="121">
        <v>313</v>
      </c>
      <c r="C419" s="121"/>
      <c r="D419" s="120"/>
      <c r="E419" s="120"/>
      <c r="F419" s="121">
        <v>50001056</v>
      </c>
      <c r="G419" s="120" t="s">
        <v>1013</v>
      </c>
      <c r="H419" s="120" t="s">
        <v>2562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45034</v>
      </c>
      <c r="P419" s="120" t="s">
        <v>2561</v>
      </c>
      <c r="Q419" s="120" t="s">
        <v>414</v>
      </c>
      <c r="R419" s="120" t="s">
        <v>407</v>
      </c>
      <c r="S419" s="120" t="s">
        <v>1217</v>
      </c>
      <c r="T419" s="122">
        <v>18.72</v>
      </c>
      <c r="U419" s="120" t="s">
        <v>2560</v>
      </c>
      <c r="V419" s="123">
        <v>4.0836999999999998E-2</v>
      </c>
      <c r="W419" s="120"/>
      <c r="X419" s="120"/>
      <c r="Y419" s="123"/>
      <c r="Z419" s="123">
        <v>4.9099999999999998E-2</v>
      </c>
      <c r="AA419" s="124">
        <v>52305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45473</v>
      </c>
      <c r="AO419" s="120"/>
      <c r="AP419" s="123"/>
      <c r="AQ419" s="122">
        <v>248034.48</v>
      </c>
      <c r="AR419" s="122">
        <v>90.51</v>
      </c>
      <c r="AS419" s="122">
        <v>1</v>
      </c>
      <c r="AT419" s="122">
        <v>224.49601000000001</v>
      </c>
      <c r="AU419" s="122">
        <v>224.49601000000001</v>
      </c>
      <c r="AV419" s="122"/>
      <c r="AW419" s="122"/>
      <c r="AX419" s="120"/>
      <c r="AY419" s="120"/>
      <c r="AZ419" s="123">
        <v>8.5000000000000006E-5</v>
      </c>
      <c r="BA419" s="123">
        <v>3.0000000000000001E-6</v>
      </c>
    </row>
    <row r="420" spans="1:53" ht="15" customHeight="1">
      <c r="A420" s="121">
        <v>313</v>
      </c>
      <c r="B420" s="121">
        <v>313</v>
      </c>
      <c r="C420" s="121"/>
      <c r="D420" s="120"/>
      <c r="E420" s="120"/>
      <c r="F420" s="121">
        <v>50001057</v>
      </c>
      <c r="G420" s="120" t="s">
        <v>1013</v>
      </c>
      <c r="H420" s="120" t="s">
        <v>2562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45095</v>
      </c>
      <c r="P420" s="120" t="s">
        <v>2561</v>
      </c>
      <c r="Q420" s="120" t="s">
        <v>414</v>
      </c>
      <c r="R420" s="120" t="s">
        <v>407</v>
      </c>
      <c r="S420" s="120" t="s">
        <v>1217</v>
      </c>
      <c r="T420" s="122">
        <v>7.99</v>
      </c>
      <c r="U420" s="120" t="s">
        <v>2560</v>
      </c>
      <c r="V420" s="123">
        <v>4.1367000000000001E-2</v>
      </c>
      <c r="W420" s="120"/>
      <c r="X420" s="120"/>
      <c r="Y420" s="123"/>
      <c r="Z420" s="123">
        <v>4.3900000000000002E-2</v>
      </c>
      <c r="AA420" s="124">
        <v>51940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45473</v>
      </c>
      <c r="AO420" s="120"/>
      <c r="AP420" s="123"/>
      <c r="AQ420" s="122">
        <v>402631.93</v>
      </c>
      <c r="AR420" s="122">
        <v>101.42</v>
      </c>
      <c r="AS420" s="122">
        <v>1</v>
      </c>
      <c r="AT420" s="122">
        <v>408.34930000000003</v>
      </c>
      <c r="AU420" s="122">
        <v>408.34930000000003</v>
      </c>
      <c r="AV420" s="122"/>
      <c r="AW420" s="122"/>
      <c r="AX420" s="120"/>
      <c r="AY420" s="120"/>
      <c r="AZ420" s="123">
        <v>1.55E-4</v>
      </c>
      <c r="BA420" s="123">
        <v>6.0000000000000002E-6</v>
      </c>
    </row>
    <row r="421" spans="1:53" ht="15" customHeight="1">
      <c r="A421" s="121">
        <v>313</v>
      </c>
      <c r="B421" s="121">
        <v>313</v>
      </c>
      <c r="C421" s="121"/>
      <c r="D421" s="120"/>
      <c r="E421" s="120"/>
      <c r="F421" s="121">
        <v>54015</v>
      </c>
      <c r="G421" s="120" t="s">
        <v>1013</v>
      </c>
      <c r="H421" s="120" t="s">
        <v>812</v>
      </c>
      <c r="I421" s="120" t="s">
        <v>203</v>
      </c>
      <c r="J421" s="120"/>
      <c r="K421" s="120" t="s">
        <v>484</v>
      </c>
      <c r="L421" s="120" t="s">
        <v>338</v>
      </c>
      <c r="M421" s="120" t="s">
        <v>337</v>
      </c>
      <c r="N421" s="121"/>
      <c r="O421" s="124">
        <v>41547</v>
      </c>
      <c r="P421" s="120" t="s">
        <v>1359</v>
      </c>
      <c r="Q421" s="120" t="s">
        <v>412</v>
      </c>
      <c r="R421" s="120" t="s">
        <v>407</v>
      </c>
      <c r="S421" s="120" t="s">
        <v>1217</v>
      </c>
      <c r="T421" s="122">
        <v>3.47</v>
      </c>
      <c r="U421" s="120" t="s">
        <v>2560</v>
      </c>
      <c r="V421" s="123">
        <v>5.5E-2</v>
      </c>
      <c r="W421" s="120"/>
      <c r="X421" s="120"/>
      <c r="Y421" s="123"/>
      <c r="Z421" s="123">
        <v>3.49E-2</v>
      </c>
      <c r="AA421" s="124">
        <v>47986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45473</v>
      </c>
      <c r="AO421" s="120"/>
      <c r="AP421" s="123"/>
      <c r="AQ421" s="122">
        <v>1175163.02</v>
      </c>
      <c r="AR421" s="122">
        <v>120.3</v>
      </c>
      <c r="AS421" s="122">
        <v>1</v>
      </c>
      <c r="AT421" s="122">
        <v>1413.72111</v>
      </c>
      <c r="AU421" s="122">
        <v>1413.72111</v>
      </c>
      <c r="AV421" s="122"/>
      <c r="AW421" s="122"/>
      <c r="AX421" s="120"/>
      <c r="AY421" s="120"/>
      <c r="AZ421" s="123">
        <v>5.3899999999999998E-4</v>
      </c>
      <c r="BA421" s="123">
        <v>2.3E-5</v>
      </c>
    </row>
    <row r="422" spans="1:53" ht="15" customHeight="1">
      <c r="A422" s="121">
        <v>313</v>
      </c>
      <c r="B422" s="121">
        <v>313</v>
      </c>
      <c r="C422" s="121"/>
      <c r="D422" s="120"/>
      <c r="E422" s="120"/>
      <c r="F422" s="121">
        <v>54023</v>
      </c>
      <c r="G422" s="120" t="s">
        <v>1013</v>
      </c>
      <c r="H422" s="120" t="s">
        <v>812</v>
      </c>
      <c r="I422" s="120" t="s">
        <v>203</v>
      </c>
      <c r="J422" s="120"/>
      <c r="K422" s="120" t="s">
        <v>484</v>
      </c>
      <c r="L422" s="120" t="s">
        <v>338</v>
      </c>
      <c r="M422" s="120" t="s">
        <v>337</v>
      </c>
      <c r="N422" s="121"/>
      <c r="O422" s="124">
        <v>41571</v>
      </c>
      <c r="P422" s="120" t="s">
        <v>1359</v>
      </c>
      <c r="Q422" s="120" t="s">
        <v>412</v>
      </c>
      <c r="R422" s="120" t="s">
        <v>407</v>
      </c>
      <c r="S422" s="120" t="s">
        <v>1217</v>
      </c>
      <c r="T422" s="122">
        <v>3.49</v>
      </c>
      <c r="U422" s="120" t="s">
        <v>2560</v>
      </c>
      <c r="V422" s="123">
        <v>5.5E-2</v>
      </c>
      <c r="W422" s="120"/>
      <c r="X422" s="120"/>
      <c r="Y422" s="123"/>
      <c r="Z422" s="123">
        <v>2.9100000000000001E-2</v>
      </c>
      <c r="AA422" s="124">
        <v>47986</v>
      </c>
      <c r="AB422" s="120" t="s">
        <v>411</v>
      </c>
      <c r="AC422" s="120"/>
      <c r="AD422" s="122"/>
      <c r="AE422" s="123"/>
      <c r="AF422" s="124"/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45473</v>
      </c>
      <c r="AO422" s="120"/>
      <c r="AP422" s="123"/>
      <c r="AQ422" s="122">
        <v>573107.81000000006</v>
      </c>
      <c r="AR422" s="122">
        <v>122.67</v>
      </c>
      <c r="AS422" s="122">
        <v>1</v>
      </c>
      <c r="AT422" s="122">
        <v>703.03134999999997</v>
      </c>
      <c r="AU422" s="122">
        <v>703.03134999999997</v>
      </c>
      <c r="AV422" s="122"/>
      <c r="AW422" s="122"/>
      <c r="AX422" s="120"/>
      <c r="AY422" s="120"/>
      <c r="AZ422" s="123">
        <v>2.6800000000000001E-4</v>
      </c>
      <c r="BA422" s="123">
        <v>1.1E-5</v>
      </c>
    </row>
    <row r="423" spans="1:53" ht="15" customHeight="1">
      <c r="A423" s="121">
        <v>313</v>
      </c>
      <c r="B423" s="121">
        <v>313</v>
      </c>
      <c r="C423" s="121"/>
      <c r="D423" s="120"/>
      <c r="E423" s="120"/>
      <c r="F423" s="121">
        <v>54031</v>
      </c>
      <c r="G423" s="120" t="s">
        <v>1013</v>
      </c>
      <c r="H423" s="120" t="s">
        <v>812</v>
      </c>
      <c r="I423" s="120" t="s">
        <v>203</v>
      </c>
      <c r="J423" s="120"/>
      <c r="K423" s="120" t="s">
        <v>484</v>
      </c>
      <c r="L423" s="120" t="s">
        <v>338</v>
      </c>
      <c r="M423" s="120" t="s">
        <v>337</v>
      </c>
      <c r="N423" s="121"/>
      <c r="O423" s="124">
        <v>41597</v>
      </c>
      <c r="P423" s="120" t="s">
        <v>1359</v>
      </c>
      <c r="Q423" s="120" t="s">
        <v>412</v>
      </c>
      <c r="R423" s="120" t="s">
        <v>407</v>
      </c>
      <c r="S423" s="120" t="s">
        <v>1217</v>
      </c>
      <c r="T423" s="122">
        <v>3.49</v>
      </c>
      <c r="U423" s="120" t="s">
        <v>2560</v>
      </c>
      <c r="V423" s="123">
        <v>5.5E-2</v>
      </c>
      <c r="W423" s="120"/>
      <c r="X423" s="120"/>
      <c r="Y423" s="123"/>
      <c r="Z423" s="123">
        <v>2.9100000000000001E-2</v>
      </c>
      <c r="AA423" s="124">
        <v>47986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45473</v>
      </c>
      <c r="AO423" s="120"/>
      <c r="AP423" s="123"/>
      <c r="AQ423" s="122">
        <v>147442.51</v>
      </c>
      <c r="AR423" s="122">
        <v>122.29</v>
      </c>
      <c r="AS423" s="122">
        <v>1</v>
      </c>
      <c r="AT423" s="122">
        <v>180.30744999999999</v>
      </c>
      <c r="AU423" s="122">
        <v>180.30744999999999</v>
      </c>
      <c r="AV423" s="122"/>
      <c r="AW423" s="122"/>
      <c r="AX423" s="120"/>
      <c r="AY423" s="120"/>
      <c r="AZ423" s="123">
        <v>6.7999999999999999E-5</v>
      </c>
      <c r="BA423" s="123">
        <v>3.0000000000000001E-6</v>
      </c>
    </row>
    <row r="424" spans="1:53" ht="15" customHeight="1">
      <c r="A424" s="121">
        <v>313</v>
      </c>
      <c r="B424" s="121">
        <v>313</v>
      </c>
      <c r="C424" s="121"/>
      <c r="D424" s="120"/>
      <c r="E424" s="120"/>
      <c r="F424" s="121">
        <v>54049</v>
      </c>
      <c r="G424" s="120" t="s">
        <v>1013</v>
      </c>
      <c r="H424" s="120" t="s">
        <v>812</v>
      </c>
      <c r="I424" s="120" t="s">
        <v>203</v>
      </c>
      <c r="J424" s="120"/>
      <c r="K424" s="120" t="s">
        <v>484</v>
      </c>
      <c r="L424" s="120" t="s">
        <v>338</v>
      </c>
      <c r="M424" s="120" t="s">
        <v>337</v>
      </c>
      <c r="N424" s="121"/>
      <c r="O424" s="124">
        <v>41630</v>
      </c>
      <c r="P424" s="120" t="s">
        <v>1359</v>
      </c>
      <c r="Q424" s="120" t="s">
        <v>412</v>
      </c>
      <c r="R424" s="120" t="s">
        <v>407</v>
      </c>
      <c r="S424" s="120" t="s">
        <v>1217</v>
      </c>
      <c r="T424" s="122">
        <v>3.49</v>
      </c>
      <c r="U424" s="120" t="s">
        <v>2560</v>
      </c>
      <c r="V424" s="123">
        <v>5.5E-2</v>
      </c>
      <c r="W424" s="120"/>
      <c r="X424" s="120"/>
      <c r="Y424" s="123"/>
      <c r="Z424" s="123">
        <v>0.03</v>
      </c>
      <c r="AA424" s="124">
        <v>47986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45473</v>
      </c>
      <c r="AO424" s="120"/>
      <c r="AP424" s="123"/>
      <c r="AQ424" s="122">
        <v>1683586.98</v>
      </c>
      <c r="AR424" s="122">
        <v>122.42</v>
      </c>
      <c r="AS424" s="122">
        <v>1</v>
      </c>
      <c r="AT424" s="122">
        <v>2061.04718</v>
      </c>
      <c r="AU424" s="122">
        <v>2061.04718</v>
      </c>
      <c r="AV424" s="122"/>
      <c r="AW424" s="122"/>
      <c r="AX424" s="120"/>
      <c r="AY424" s="120"/>
      <c r="AZ424" s="123">
        <v>7.8600000000000002E-4</v>
      </c>
      <c r="BA424" s="123">
        <v>3.4E-5</v>
      </c>
    </row>
    <row r="425" spans="1:53" ht="15" customHeight="1">
      <c r="A425" s="121">
        <v>313</v>
      </c>
      <c r="B425" s="121">
        <v>313</v>
      </c>
      <c r="C425" s="121"/>
      <c r="D425" s="120"/>
      <c r="E425" s="120"/>
      <c r="F425" s="121">
        <v>53702</v>
      </c>
      <c r="G425" s="120" t="s">
        <v>1013</v>
      </c>
      <c r="H425" s="120" t="s">
        <v>812</v>
      </c>
      <c r="I425" s="120" t="s">
        <v>203</v>
      </c>
      <c r="J425" s="120"/>
      <c r="K425" s="120" t="s">
        <v>484</v>
      </c>
      <c r="L425" s="120" t="s">
        <v>338</v>
      </c>
      <c r="M425" s="120" t="s">
        <v>337</v>
      </c>
      <c r="N425" s="121"/>
      <c r="O425" s="124">
        <v>42122</v>
      </c>
      <c r="P425" s="120" t="s">
        <v>1941</v>
      </c>
      <c r="Q425" s="120" t="s">
        <v>414</v>
      </c>
      <c r="R425" s="120" t="s">
        <v>407</v>
      </c>
      <c r="S425" s="120" t="s">
        <v>1217</v>
      </c>
      <c r="T425" s="122">
        <v>3.9</v>
      </c>
      <c r="U425" s="120" t="s">
        <v>2560</v>
      </c>
      <c r="V425" s="123">
        <v>2.5562999999999999E-2</v>
      </c>
      <c r="W425" s="120"/>
      <c r="X425" s="120"/>
      <c r="Y425" s="123"/>
      <c r="Z425" s="123">
        <v>0.03</v>
      </c>
      <c r="AA425" s="124">
        <v>48482</v>
      </c>
      <c r="AB425" s="120" t="s">
        <v>411</v>
      </c>
      <c r="AC425" s="120"/>
      <c r="AD425" s="122"/>
      <c r="AE425" s="123"/>
      <c r="AF425" s="124"/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45473</v>
      </c>
      <c r="AO425" s="120"/>
      <c r="AP425" s="123"/>
      <c r="AQ425" s="122">
        <v>43520210.490000002</v>
      </c>
      <c r="AR425" s="122">
        <v>115.13</v>
      </c>
      <c r="AS425" s="122">
        <v>1</v>
      </c>
      <c r="AT425" s="122">
        <v>50104.818339999998</v>
      </c>
      <c r="AU425" s="122">
        <v>50104.818339999998</v>
      </c>
      <c r="AV425" s="122"/>
      <c r="AW425" s="122"/>
      <c r="AX425" s="120"/>
      <c r="AY425" s="120"/>
      <c r="AZ425" s="123">
        <v>1.9109000000000001E-2</v>
      </c>
      <c r="BA425" s="123">
        <v>8.4000000000000003E-4</v>
      </c>
    </row>
    <row r="426" spans="1:53" ht="15" customHeight="1">
      <c r="A426" s="121">
        <v>313</v>
      </c>
      <c r="B426" s="121">
        <v>313</v>
      </c>
      <c r="C426" s="121"/>
      <c r="D426" s="120"/>
      <c r="E426" s="120"/>
      <c r="F426" s="121">
        <v>54056</v>
      </c>
      <c r="G426" s="120" t="s">
        <v>1013</v>
      </c>
      <c r="H426" s="120" t="s">
        <v>812</v>
      </c>
      <c r="I426" s="120" t="s">
        <v>203</v>
      </c>
      <c r="J426" s="120"/>
      <c r="K426" s="120" t="s">
        <v>484</v>
      </c>
      <c r="L426" s="120" t="s">
        <v>338</v>
      </c>
      <c r="M426" s="120" t="s">
        <v>337</v>
      </c>
      <c r="N426" s="121"/>
      <c r="O426" s="124">
        <v>41666</v>
      </c>
      <c r="P426" s="120" t="s">
        <v>1359</v>
      </c>
      <c r="Q426" s="120" t="s">
        <v>412</v>
      </c>
      <c r="R426" s="120" t="s">
        <v>407</v>
      </c>
      <c r="S426" s="120" t="s">
        <v>1217</v>
      </c>
      <c r="T426" s="122">
        <v>3.49</v>
      </c>
      <c r="U426" s="120" t="s">
        <v>2560</v>
      </c>
      <c r="V426" s="123">
        <v>5.5E-2</v>
      </c>
      <c r="W426" s="120"/>
      <c r="X426" s="120"/>
      <c r="Y426" s="123"/>
      <c r="Z426" s="123">
        <v>2.9899999999999999E-2</v>
      </c>
      <c r="AA426" s="124">
        <v>47986</v>
      </c>
      <c r="AB426" s="120" t="s">
        <v>411</v>
      </c>
      <c r="AC426" s="120"/>
      <c r="AD426" s="122"/>
      <c r="AE426" s="123"/>
      <c r="AF426" s="124"/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45473</v>
      </c>
      <c r="AO426" s="120"/>
      <c r="AP426" s="123"/>
      <c r="AQ426" s="122">
        <v>325270.42</v>
      </c>
      <c r="AR426" s="122">
        <v>122.31</v>
      </c>
      <c r="AS426" s="122">
        <v>1</v>
      </c>
      <c r="AT426" s="122">
        <v>397.83825000000002</v>
      </c>
      <c r="AU426" s="122">
        <v>397.83825000000002</v>
      </c>
      <c r="AV426" s="122"/>
      <c r="AW426" s="122"/>
      <c r="AX426" s="120"/>
      <c r="AY426" s="120"/>
      <c r="AZ426" s="123">
        <v>1.5100000000000001E-4</v>
      </c>
      <c r="BA426" s="123">
        <v>6.0000000000000002E-6</v>
      </c>
    </row>
    <row r="427" spans="1:53" ht="15" customHeight="1">
      <c r="A427" s="121">
        <v>313</v>
      </c>
      <c r="B427" s="121">
        <v>313</v>
      </c>
      <c r="C427" s="121"/>
      <c r="D427" s="120"/>
      <c r="E427" s="120"/>
      <c r="F427" s="121">
        <v>54072</v>
      </c>
      <c r="G427" s="120" t="s">
        <v>1013</v>
      </c>
      <c r="H427" s="120" t="s">
        <v>812</v>
      </c>
      <c r="I427" s="120" t="s">
        <v>203</v>
      </c>
      <c r="J427" s="120"/>
      <c r="K427" s="120" t="s">
        <v>484</v>
      </c>
      <c r="L427" s="120" t="s">
        <v>338</v>
      </c>
      <c r="M427" s="120" t="s">
        <v>337</v>
      </c>
      <c r="N427" s="121"/>
      <c r="O427" s="124">
        <v>41725</v>
      </c>
      <c r="P427" s="120" t="s">
        <v>1359</v>
      </c>
      <c r="Q427" s="120" t="s">
        <v>412</v>
      </c>
      <c r="R427" s="120" t="s">
        <v>407</v>
      </c>
      <c r="S427" s="120" t="s">
        <v>1217</v>
      </c>
      <c r="T427" s="122">
        <v>3.49</v>
      </c>
      <c r="U427" s="120" t="s">
        <v>2560</v>
      </c>
      <c r="V427" s="123">
        <v>5.5E-2</v>
      </c>
      <c r="W427" s="120"/>
      <c r="X427" s="120"/>
      <c r="Y427" s="123"/>
      <c r="Z427" s="123">
        <v>0.03</v>
      </c>
      <c r="AA427" s="124">
        <v>47986</v>
      </c>
      <c r="AB427" s="120" t="s">
        <v>411</v>
      </c>
      <c r="AC427" s="120"/>
      <c r="AD427" s="122"/>
      <c r="AE427" s="123"/>
      <c r="AF427" s="124"/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45473</v>
      </c>
      <c r="AO427" s="120"/>
      <c r="AP427" s="123"/>
      <c r="AQ427" s="122">
        <v>624051.11</v>
      </c>
      <c r="AR427" s="122">
        <v>123.27</v>
      </c>
      <c r="AS427" s="122">
        <v>1</v>
      </c>
      <c r="AT427" s="122">
        <v>769.26779999999997</v>
      </c>
      <c r="AU427" s="122">
        <v>769.26779999999997</v>
      </c>
      <c r="AV427" s="122"/>
      <c r="AW427" s="122"/>
      <c r="AX427" s="120"/>
      <c r="AY427" s="120"/>
      <c r="AZ427" s="123">
        <v>2.9300000000000002E-4</v>
      </c>
      <c r="BA427" s="123">
        <v>1.2E-5</v>
      </c>
    </row>
    <row r="428" spans="1:53" ht="15" customHeight="1">
      <c r="A428" s="121">
        <v>313</v>
      </c>
      <c r="B428" s="121">
        <v>313</v>
      </c>
      <c r="C428" s="121"/>
      <c r="D428" s="120"/>
      <c r="E428" s="120"/>
      <c r="F428" s="121">
        <v>54080</v>
      </c>
      <c r="G428" s="120" t="s">
        <v>1013</v>
      </c>
      <c r="H428" s="120" t="s">
        <v>812</v>
      </c>
      <c r="I428" s="120" t="s">
        <v>203</v>
      </c>
      <c r="J428" s="120"/>
      <c r="K428" s="120" t="s">
        <v>484</v>
      </c>
      <c r="L428" s="120" t="s">
        <v>338</v>
      </c>
      <c r="M428" s="120" t="s">
        <v>337</v>
      </c>
      <c r="N428" s="121"/>
      <c r="O428" s="124">
        <v>41787</v>
      </c>
      <c r="P428" s="120" t="s">
        <v>1359</v>
      </c>
      <c r="Q428" s="120" t="s">
        <v>412</v>
      </c>
      <c r="R428" s="120" t="s">
        <v>407</v>
      </c>
      <c r="S428" s="120" t="s">
        <v>1217</v>
      </c>
      <c r="T428" s="122">
        <v>3.49</v>
      </c>
      <c r="U428" s="120" t="s">
        <v>2560</v>
      </c>
      <c r="V428" s="123">
        <v>5.5E-2</v>
      </c>
      <c r="W428" s="120"/>
      <c r="X428" s="120"/>
      <c r="Y428" s="123"/>
      <c r="Z428" s="123">
        <v>2.9899999999999999E-2</v>
      </c>
      <c r="AA428" s="124">
        <v>47986</v>
      </c>
      <c r="AB428" s="120" t="s">
        <v>411</v>
      </c>
      <c r="AC428" s="120"/>
      <c r="AD428" s="122"/>
      <c r="AE428" s="123"/>
      <c r="AF428" s="124"/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45473</v>
      </c>
      <c r="AO428" s="120"/>
      <c r="AP428" s="123"/>
      <c r="AQ428" s="122">
        <v>392379.76</v>
      </c>
      <c r="AR428" s="122">
        <v>122.79</v>
      </c>
      <c r="AS428" s="122">
        <v>1</v>
      </c>
      <c r="AT428" s="122">
        <v>481.80311</v>
      </c>
      <c r="AU428" s="122">
        <v>481.80311</v>
      </c>
      <c r="AV428" s="122"/>
      <c r="AW428" s="122"/>
      <c r="AX428" s="120"/>
      <c r="AY428" s="120"/>
      <c r="AZ428" s="123">
        <v>1.83E-4</v>
      </c>
      <c r="BA428" s="123">
        <v>7.9999999999999996E-6</v>
      </c>
    </row>
    <row r="429" spans="1:53" ht="15" customHeight="1">
      <c r="A429" s="121">
        <v>313</v>
      </c>
      <c r="B429" s="121">
        <v>313</v>
      </c>
      <c r="C429" s="121"/>
      <c r="D429" s="120"/>
      <c r="E429" s="120"/>
      <c r="F429" s="121">
        <v>54098</v>
      </c>
      <c r="G429" s="120" t="s">
        <v>1013</v>
      </c>
      <c r="H429" s="120" t="s">
        <v>812</v>
      </c>
      <c r="I429" s="120" t="s">
        <v>203</v>
      </c>
      <c r="J429" s="120"/>
      <c r="K429" s="120" t="s">
        <v>484</v>
      </c>
      <c r="L429" s="120" t="s">
        <v>338</v>
      </c>
      <c r="M429" s="120" t="s">
        <v>337</v>
      </c>
      <c r="N429" s="121"/>
      <c r="O429" s="124">
        <v>41815</v>
      </c>
      <c r="P429" s="120" t="s">
        <v>1359</v>
      </c>
      <c r="Q429" s="120" t="s">
        <v>412</v>
      </c>
      <c r="R429" s="120" t="s">
        <v>407</v>
      </c>
      <c r="S429" s="120" t="s">
        <v>1217</v>
      </c>
      <c r="T429" s="122">
        <v>3.49</v>
      </c>
      <c r="U429" s="120" t="s">
        <v>2560</v>
      </c>
      <c r="V429" s="123">
        <v>5.5E-2</v>
      </c>
      <c r="W429" s="120"/>
      <c r="X429" s="120"/>
      <c r="Y429" s="123"/>
      <c r="Z429" s="123">
        <v>2.9899999999999999E-2</v>
      </c>
      <c r="AA429" s="124">
        <v>47986</v>
      </c>
      <c r="AB429" s="120" t="s">
        <v>411</v>
      </c>
      <c r="AC429" s="120"/>
      <c r="AD429" s="122"/>
      <c r="AE429" s="123"/>
      <c r="AF429" s="124"/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45473</v>
      </c>
      <c r="AO429" s="120"/>
      <c r="AP429" s="123"/>
      <c r="AQ429" s="122">
        <v>220708.87</v>
      </c>
      <c r="AR429" s="122">
        <v>122.67</v>
      </c>
      <c r="AS429" s="122">
        <v>1</v>
      </c>
      <c r="AT429" s="122">
        <v>270.74356999999998</v>
      </c>
      <c r="AU429" s="122">
        <v>270.74356999999998</v>
      </c>
      <c r="AV429" s="122"/>
      <c r="AW429" s="122"/>
      <c r="AX429" s="120"/>
      <c r="AY429" s="120"/>
      <c r="AZ429" s="123">
        <v>1.03E-4</v>
      </c>
      <c r="BA429" s="123">
        <v>3.9999999999999998E-6</v>
      </c>
    </row>
    <row r="430" spans="1:53" ht="15" customHeight="1">
      <c r="A430" s="121">
        <v>313</v>
      </c>
      <c r="B430" s="121">
        <v>313</v>
      </c>
      <c r="C430" s="121"/>
      <c r="D430" s="120"/>
      <c r="E430" s="120"/>
      <c r="F430" s="121">
        <v>54106</v>
      </c>
      <c r="G430" s="120" t="s">
        <v>1013</v>
      </c>
      <c r="H430" s="120" t="s">
        <v>812</v>
      </c>
      <c r="I430" s="120" t="s">
        <v>203</v>
      </c>
      <c r="J430" s="120"/>
      <c r="K430" s="120" t="s">
        <v>484</v>
      </c>
      <c r="L430" s="120" t="s">
        <v>338</v>
      </c>
      <c r="M430" s="120" t="s">
        <v>337</v>
      </c>
      <c r="N430" s="121"/>
      <c r="O430" s="124">
        <v>41836</v>
      </c>
      <c r="P430" s="120" t="s">
        <v>1359</v>
      </c>
      <c r="Q430" s="120" t="s">
        <v>412</v>
      </c>
      <c r="R430" s="120" t="s">
        <v>407</v>
      </c>
      <c r="S430" s="120" t="s">
        <v>1217</v>
      </c>
      <c r="T430" s="122">
        <v>3.49</v>
      </c>
      <c r="U430" s="120" t="s">
        <v>2560</v>
      </c>
      <c r="V430" s="123">
        <v>5.5E-2</v>
      </c>
      <c r="W430" s="120"/>
      <c r="X430" s="120"/>
      <c r="Y430" s="123"/>
      <c r="Z430" s="123">
        <v>2.9899999999999999E-2</v>
      </c>
      <c r="AA430" s="124">
        <v>47986</v>
      </c>
      <c r="AB430" s="120" t="s">
        <v>411</v>
      </c>
      <c r="AC430" s="120"/>
      <c r="AD430" s="122"/>
      <c r="AE430" s="123"/>
      <c r="AF430" s="124"/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45473</v>
      </c>
      <c r="AO430" s="120"/>
      <c r="AP430" s="123"/>
      <c r="AQ430" s="122">
        <v>656738.85</v>
      </c>
      <c r="AR430" s="122">
        <v>122.32</v>
      </c>
      <c r="AS430" s="122">
        <v>1</v>
      </c>
      <c r="AT430" s="122">
        <v>803.32295999999997</v>
      </c>
      <c r="AU430" s="122">
        <v>803.32295999999997</v>
      </c>
      <c r="AV430" s="122"/>
      <c r="AW430" s="122"/>
      <c r="AX430" s="120"/>
      <c r="AY430" s="120"/>
      <c r="AZ430" s="123">
        <v>3.0600000000000001E-4</v>
      </c>
      <c r="BA430" s="123">
        <v>1.2999999999999999E-5</v>
      </c>
    </row>
    <row r="431" spans="1:53" ht="15" customHeight="1">
      <c r="A431" s="121">
        <v>313</v>
      </c>
      <c r="B431" s="121">
        <v>313</v>
      </c>
      <c r="C431" s="121"/>
      <c r="D431" s="120"/>
      <c r="E431" s="120"/>
      <c r="F431" s="121">
        <v>54064</v>
      </c>
      <c r="G431" s="120" t="s">
        <v>1013</v>
      </c>
      <c r="H431" s="120" t="s">
        <v>812</v>
      </c>
      <c r="I431" s="120" t="s">
        <v>203</v>
      </c>
      <c r="J431" s="120"/>
      <c r="K431" s="120" t="s">
        <v>484</v>
      </c>
      <c r="L431" s="120" t="s">
        <v>338</v>
      </c>
      <c r="M431" s="120" t="s">
        <v>337</v>
      </c>
      <c r="N431" s="121"/>
      <c r="O431" s="124">
        <v>41696</v>
      </c>
      <c r="P431" s="120" t="s">
        <v>1359</v>
      </c>
      <c r="Q431" s="120" t="s">
        <v>412</v>
      </c>
      <c r="R431" s="120" t="s">
        <v>407</v>
      </c>
      <c r="S431" s="120" t="s">
        <v>1217</v>
      </c>
      <c r="T431" s="122">
        <v>3.49</v>
      </c>
      <c r="U431" s="120" t="s">
        <v>2560</v>
      </c>
      <c r="V431" s="123">
        <v>5.5E-2</v>
      </c>
      <c r="W431" s="120"/>
      <c r="X431" s="120"/>
      <c r="Y431" s="123"/>
      <c r="Z431" s="123">
        <v>2.9899999999999999E-2</v>
      </c>
      <c r="AA431" s="124">
        <v>47986</v>
      </c>
      <c r="AB431" s="120" t="s">
        <v>411</v>
      </c>
      <c r="AC431" s="120"/>
      <c r="AD431" s="122"/>
      <c r="AE431" s="123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45473</v>
      </c>
      <c r="AO431" s="120"/>
      <c r="AP431" s="123"/>
      <c r="AQ431" s="122">
        <v>313179.28999999998</v>
      </c>
      <c r="AR431" s="122">
        <v>123.04</v>
      </c>
      <c r="AS431" s="122">
        <v>1</v>
      </c>
      <c r="AT431" s="122">
        <v>385.33580000000001</v>
      </c>
      <c r="AU431" s="122">
        <v>385.33580000000001</v>
      </c>
      <c r="AV431" s="122"/>
      <c r="AW431" s="122"/>
      <c r="AX431" s="120"/>
      <c r="AY431" s="120"/>
      <c r="AZ431" s="123">
        <v>1.46E-4</v>
      </c>
      <c r="BA431" s="123">
        <v>6.0000000000000002E-6</v>
      </c>
    </row>
    <row r="432" spans="1:53" ht="15" customHeight="1">
      <c r="A432" s="121">
        <v>313</v>
      </c>
      <c r="B432" s="121">
        <v>313</v>
      </c>
      <c r="C432" s="121"/>
      <c r="D432" s="120"/>
      <c r="E432" s="120"/>
      <c r="F432" s="121">
        <v>54122</v>
      </c>
      <c r="G432" s="120" t="s">
        <v>1013</v>
      </c>
      <c r="H432" s="120" t="s">
        <v>812</v>
      </c>
      <c r="I432" s="120" t="s">
        <v>203</v>
      </c>
      <c r="J432" s="120"/>
      <c r="K432" s="120" t="s">
        <v>484</v>
      </c>
      <c r="L432" s="120" t="s">
        <v>338</v>
      </c>
      <c r="M432" s="120" t="s">
        <v>337</v>
      </c>
      <c r="N432" s="121"/>
      <c r="O432" s="124">
        <v>42033</v>
      </c>
      <c r="P432" s="120" t="s">
        <v>1359</v>
      </c>
      <c r="Q432" s="120" t="s">
        <v>412</v>
      </c>
      <c r="R432" s="120" t="s">
        <v>407</v>
      </c>
      <c r="S432" s="120" t="s">
        <v>1217</v>
      </c>
      <c r="T432" s="122">
        <v>3.49</v>
      </c>
      <c r="U432" s="120" t="s">
        <v>2560</v>
      </c>
      <c r="V432" s="123">
        <v>5.5E-2</v>
      </c>
      <c r="W432" s="120"/>
      <c r="X432" s="120"/>
      <c r="Y432" s="123"/>
      <c r="Z432" s="123">
        <v>2.9899999999999999E-2</v>
      </c>
      <c r="AA432" s="124">
        <v>47986</v>
      </c>
      <c r="AB432" s="120" t="s">
        <v>411</v>
      </c>
      <c r="AC432" s="120"/>
      <c r="AD432" s="122"/>
      <c r="AE432" s="123"/>
      <c r="AF432" s="124"/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45473</v>
      </c>
      <c r="AO432" s="120"/>
      <c r="AP432" s="123"/>
      <c r="AQ432" s="122">
        <v>1716478.74</v>
      </c>
      <c r="AR432" s="122">
        <v>122.56</v>
      </c>
      <c r="AS432" s="122">
        <v>1</v>
      </c>
      <c r="AT432" s="122">
        <v>2103.7163399999999</v>
      </c>
      <c r="AU432" s="122">
        <v>2103.7163399999999</v>
      </c>
      <c r="AV432" s="122"/>
      <c r="AW432" s="122"/>
      <c r="AX432" s="120"/>
      <c r="AY432" s="120"/>
      <c r="AZ432" s="123">
        <v>8.0199999999999998E-4</v>
      </c>
      <c r="BA432" s="123">
        <v>3.4999999999999997E-5</v>
      </c>
    </row>
    <row r="433" spans="1:53" ht="15" customHeight="1">
      <c r="A433" s="121">
        <v>313</v>
      </c>
      <c r="B433" s="121">
        <v>313</v>
      </c>
      <c r="C433" s="121"/>
      <c r="D433" s="120"/>
      <c r="E433" s="120"/>
      <c r="F433" s="121">
        <v>51000100</v>
      </c>
      <c r="G433" s="120" t="s">
        <v>1013</v>
      </c>
      <c r="H433" s="120" t="s">
        <v>812</v>
      </c>
      <c r="I433" s="120" t="s">
        <v>203</v>
      </c>
      <c r="J433" s="120"/>
      <c r="K433" s="120" t="s">
        <v>454</v>
      </c>
      <c r="L433" s="120" t="s">
        <v>338</v>
      </c>
      <c r="M433" s="120" t="s">
        <v>337</v>
      </c>
      <c r="N433" s="121"/>
      <c r="O433" s="124">
        <v>44167</v>
      </c>
      <c r="P433" s="120" t="s">
        <v>1315</v>
      </c>
      <c r="Q433" s="120" t="s">
        <v>414</v>
      </c>
      <c r="R433" s="120" t="s">
        <v>407</v>
      </c>
      <c r="S433" s="120" t="s">
        <v>1216</v>
      </c>
      <c r="T433" s="122">
        <v>5.98</v>
      </c>
      <c r="U433" s="120" t="s">
        <v>2560</v>
      </c>
      <c r="V433" s="123">
        <v>2.3451E-2</v>
      </c>
      <c r="W433" s="120"/>
      <c r="X433" s="120"/>
      <c r="Y433" s="123"/>
      <c r="Z433" s="123">
        <v>5.9200000000000003E-2</v>
      </c>
      <c r="AA433" s="124">
        <v>51501</v>
      </c>
      <c r="AB433" s="120" t="s">
        <v>411</v>
      </c>
      <c r="AC433" s="120"/>
      <c r="AD433" s="122"/>
      <c r="AE433" s="123"/>
      <c r="AF433" s="124"/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45473</v>
      </c>
      <c r="AO433" s="120"/>
      <c r="AP433" s="123"/>
      <c r="AQ433" s="122">
        <v>29511872.41</v>
      </c>
      <c r="AR433" s="122">
        <v>80.72</v>
      </c>
      <c r="AS433" s="122">
        <v>4.0202</v>
      </c>
      <c r="AT433" s="122">
        <v>95769.137700000007</v>
      </c>
      <c r="AU433" s="122">
        <v>23821.983410000001</v>
      </c>
      <c r="AV433" s="122"/>
      <c r="AW433" s="122"/>
      <c r="AX433" s="120"/>
      <c r="AY433" s="120"/>
      <c r="AZ433" s="123">
        <v>3.6524000000000001E-2</v>
      </c>
      <c r="BA433" s="123">
        <v>1.6069999999999999E-3</v>
      </c>
    </row>
    <row r="434" spans="1:53" ht="15" customHeight="1">
      <c r="A434" s="121">
        <v>313</v>
      </c>
      <c r="B434" s="121">
        <v>313</v>
      </c>
      <c r="C434" s="121"/>
      <c r="D434" s="120"/>
      <c r="E434" s="120"/>
      <c r="F434" s="121">
        <v>5008001</v>
      </c>
      <c r="G434" s="120" t="s">
        <v>1013</v>
      </c>
      <c r="H434" s="120" t="s">
        <v>2570</v>
      </c>
      <c r="I434" s="120" t="s">
        <v>203</v>
      </c>
      <c r="J434" s="120"/>
      <c r="K434" s="120" t="s">
        <v>463</v>
      </c>
      <c r="L434" s="120" t="s">
        <v>338</v>
      </c>
      <c r="M434" s="120" t="s">
        <v>337</v>
      </c>
      <c r="N434" s="121"/>
      <c r="O434" s="124">
        <v>45116</v>
      </c>
      <c r="P434" s="120" t="s">
        <v>2563</v>
      </c>
      <c r="Q434" s="120" t="s">
        <v>311</v>
      </c>
      <c r="R434" s="120" t="s">
        <v>407</v>
      </c>
      <c r="S434" s="120" t="s">
        <v>1217</v>
      </c>
      <c r="T434" s="122">
        <v>3.39</v>
      </c>
      <c r="U434" s="120" t="s">
        <v>824</v>
      </c>
      <c r="V434" s="123">
        <v>6.6500000000000004E-2</v>
      </c>
      <c r="W434" s="120"/>
      <c r="X434" s="120"/>
      <c r="Y434" s="123"/>
      <c r="Z434" s="123">
        <v>6.2300000000000001E-2</v>
      </c>
      <c r="AA434" s="124">
        <v>46924</v>
      </c>
      <c r="AB434" s="120" t="s">
        <v>411</v>
      </c>
      <c r="AC434" s="120"/>
      <c r="AD434" s="122"/>
      <c r="AE434" s="123"/>
      <c r="AF434" s="124"/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45473</v>
      </c>
      <c r="AO434" s="120"/>
      <c r="AP434" s="123"/>
      <c r="AQ434" s="122">
        <v>8142748.7300000004</v>
      </c>
      <c r="AR434" s="122">
        <v>102.07</v>
      </c>
      <c r="AS434" s="122">
        <v>1</v>
      </c>
      <c r="AT434" s="122">
        <v>8311.3036300000003</v>
      </c>
      <c r="AU434" s="122">
        <v>8311.3036300000003</v>
      </c>
      <c r="AV434" s="122"/>
      <c r="AW434" s="122"/>
      <c r="AX434" s="120"/>
      <c r="AY434" s="120"/>
      <c r="AZ434" s="123">
        <v>3.1689999999999999E-3</v>
      </c>
      <c r="BA434" s="123">
        <v>1.3899999999999999E-4</v>
      </c>
    </row>
    <row r="435" spans="1:53" ht="15" customHeight="1">
      <c r="A435" s="121">
        <v>313</v>
      </c>
      <c r="B435" s="121">
        <v>313</v>
      </c>
      <c r="C435" s="121"/>
      <c r="D435" s="120"/>
      <c r="E435" s="120"/>
      <c r="F435" s="121">
        <v>50001058</v>
      </c>
      <c r="G435" s="120" t="s">
        <v>1013</v>
      </c>
      <c r="H435" s="120" t="s">
        <v>2562</v>
      </c>
      <c r="I435" s="120" t="s">
        <v>203</v>
      </c>
      <c r="J435" s="120"/>
      <c r="K435" s="120" t="s">
        <v>446</v>
      </c>
      <c r="L435" s="120" t="s">
        <v>338</v>
      </c>
      <c r="M435" s="120" t="s">
        <v>337</v>
      </c>
      <c r="N435" s="121"/>
      <c r="O435" s="124">
        <v>45095</v>
      </c>
      <c r="P435" s="120" t="s">
        <v>2561</v>
      </c>
      <c r="Q435" s="120" t="s">
        <v>414</v>
      </c>
      <c r="R435" s="120" t="s">
        <v>407</v>
      </c>
      <c r="S435" s="120" t="s">
        <v>1217</v>
      </c>
      <c r="T435" s="122">
        <v>18.72</v>
      </c>
      <c r="U435" s="120" t="s">
        <v>2560</v>
      </c>
      <c r="V435" s="123">
        <v>4.2514000000000003E-2</v>
      </c>
      <c r="W435" s="120"/>
      <c r="X435" s="120"/>
      <c r="Y435" s="123"/>
      <c r="Z435" s="123">
        <v>5.1999999999999998E-2</v>
      </c>
      <c r="AA435" s="124">
        <v>52305</v>
      </c>
      <c r="AB435" s="120" t="s">
        <v>411</v>
      </c>
      <c r="AC435" s="120"/>
      <c r="AD435" s="122"/>
      <c r="AE435" s="123"/>
      <c r="AF435" s="124"/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45473</v>
      </c>
      <c r="AO435" s="120"/>
      <c r="AP435" s="123"/>
      <c r="AQ435" s="122">
        <v>361393.23</v>
      </c>
      <c r="AR435" s="122">
        <v>87.95</v>
      </c>
      <c r="AS435" s="122">
        <v>1</v>
      </c>
      <c r="AT435" s="122">
        <v>317.84535</v>
      </c>
      <c r="AU435" s="122">
        <v>317.84535</v>
      </c>
      <c r="AV435" s="122"/>
      <c r="AW435" s="122"/>
      <c r="AX435" s="120"/>
      <c r="AY435" s="120"/>
      <c r="AZ435" s="123">
        <v>1.21E-4</v>
      </c>
      <c r="BA435" s="123">
        <v>5.0000000000000004E-6</v>
      </c>
    </row>
    <row r="436" spans="1:53" ht="15" customHeight="1">
      <c r="A436" s="121">
        <v>313</v>
      </c>
      <c r="B436" s="121">
        <v>313</v>
      </c>
      <c r="C436" s="121"/>
      <c r="D436" s="120"/>
      <c r="E436" s="120"/>
      <c r="F436" s="121">
        <v>50001059</v>
      </c>
      <c r="G436" s="120" t="s">
        <v>1013</v>
      </c>
      <c r="H436" s="120" t="s">
        <v>2562</v>
      </c>
      <c r="I436" s="120" t="s">
        <v>203</v>
      </c>
      <c r="J436" s="120"/>
      <c r="K436" s="120" t="s">
        <v>446</v>
      </c>
      <c r="L436" s="120" t="s">
        <v>338</v>
      </c>
      <c r="M436" s="120" t="s">
        <v>337</v>
      </c>
      <c r="N436" s="121"/>
      <c r="O436" s="124">
        <v>45124</v>
      </c>
      <c r="P436" s="120" t="s">
        <v>2561</v>
      </c>
      <c r="Q436" s="120" t="s">
        <v>414</v>
      </c>
      <c r="R436" s="120" t="s">
        <v>407</v>
      </c>
      <c r="S436" s="120" t="s">
        <v>1217</v>
      </c>
      <c r="T436" s="122">
        <v>7.97</v>
      </c>
      <c r="U436" s="120" t="s">
        <v>2560</v>
      </c>
      <c r="V436" s="123">
        <v>4.0876999999999997E-2</v>
      </c>
      <c r="W436" s="120"/>
      <c r="X436" s="120"/>
      <c r="Y436" s="123"/>
      <c r="Z436" s="123">
        <v>4.5100000000000001E-2</v>
      </c>
      <c r="AA436" s="124">
        <v>51940</v>
      </c>
      <c r="AB436" s="120" t="s">
        <v>411</v>
      </c>
      <c r="AC436" s="120"/>
      <c r="AD436" s="122"/>
      <c r="AE436" s="123"/>
      <c r="AF436" s="124"/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45473</v>
      </c>
      <c r="AO436" s="120"/>
      <c r="AP436" s="123"/>
      <c r="AQ436" s="122">
        <v>90333.13</v>
      </c>
      <c r="AR436" s="122">
        <v>100.04</v>
      </c>
      <c r="AS436" s="122">
        <v>1</v>
      </c>
      <c r="AT436" s="122">
        <v>90.369259999999997</v>
      </c>
      <c r="AU436" s="122">
        <v>90.369259999999997</v>
      </c>
      <c r="AV436" s="122"/>
      <c r="AW436" s="122"/>
      <c r="AX436" s="120"/>
      <c r="AY436" s="120"/>
      <c r="AZ436" s="123">
        <v>3.4E-5</v>
      </c>
      <c r="BA436" s="123">
        <v>9.9999999999999995E-7</v>
      </c>
    </row>
    <row r="437" spans="1:53" ht="15" customHeight="1">
      <c r="A437" s="121">
        <v>313</v>
      </c>
      <c r="B437" s="121">
        <v>313</v>
      </c>
      <c r="C437" s="121"/>
      <c r="D437" s="120"/>
      <c r="E437" s="120"/>
      <c r="F437" s="121">
        <v>50001060</v>
      </c>
      <c r="G437" s="120" t="s">
        <v>1013</v>
      </c>
      <c r="H437" s="120" t="s">
        <v>2562</v>
      </c>
      <c r="I437" s="120" t="s">
        <v>203</v>
      </c>
      <c r="J437" s="120"/>
      <c r="K437" s="120" t="s">
        <v>446</v>
      </c>
      <c r="L437" s="120" t="s">
        <v>338</v>
      </c>
      <c r="M437" s="120" t="s">
        <v>337</v>
      </c>
      <c r="N437" s="121"/>
      <c r="O437" s="124">
        <v>45124</v>
      </c>
      <c r="P437" s="120" t="s">
        <v>2561</v>
      </c>
      <c r="Q437" s="120" t="s">
        <v>414</v>
      </c>
      <c r="R437" s="120" t="s">
        <v>407</v>
      </c>
      <c r="S437" s="120" t="s">
        <v>1217</v>
      </c>
      <c r="T437" s="122">
        <v>18.88</v>
      </c>
      <c r="U437" s="120" t="s">
        <v>2560</v>
      </c>
      <c r="V437" s="123">
        <v>4.1821999999999998E-2</v>
      </c>
      <c r="W437" s="120"/>
      <c r="X437" s="120"/>
      <c r="Y437" s="123"/>
      <c r="Z437" s="123">
        <v>6.1600000000000002E-2</v>
      </c>
      <c r="AA437" s="124">
        <v>52305</v>
      </c>
      <c r="AB437" s="120" t="s">
        <v>411</v>
      </c>
      <c r="AC437" s="120"/>
      <c r="AD437" s="122"/>
      <c r="AE437" s="123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45473</v>
      </c>
      <c r="AO437" s="120"/>
      <c r="AP437" s="123"/>
      <c r="AQ437" s="122">
        <v>80758.53</v>
      </c>
      <c r="AR437" s="122">
        <v>85.63</v>
      </c>
      <c r="AS437" s="122">
        <v>1</v>
      </c>
      <c r="AT437" s="122">
        <v>69.153530000000003</v>
      </c>
      <c r="AU437" s="122">
        <v>69.153530000000003</v>
      </c>
      <c r="AV437" s="122"/>
      <c r="AW437" s="122"/>
      <c r="AX437" s="120"/>
      <c r="AY437" s="120"/>
      <c r="AZ437" s="123">
        <v>2.5999999999999998E-5</v>
      </c>
      <c r="BA437" s="123">
        <v>9.9999999999999995E-7</v>
      </c>
    </row>
    <row r="438" spans="1:53" ht="15" customHeight="1">
      <c r="A438" s="121">
        <v>313</v>
      </c>
      <c r="B438" s="121">
        <v>313</v>
      </c>
      <c r="C438" s="121"/>
      <c r="D438" s="120"/>
      <c r="E438" s="120"/>
      <c r="F438" s="121">
        <v>50001063</v>
      </c>
      <c r="G438" s="120" t="s">
        <v>1013</v>
      </c>
      <c r="H438" s="120" t="s">
        <v>2562</v>
      </c>
      <c r="I438" s="120" t="s">
        <v>203</v>
      </c>
      <c r="J438" s="120"/>
      <c r="K438" s="120" t="s">
        <v>446</v>
      </c>
      <c r="L438" s="120" t="s">
        <v>338</v>
      </c>
      <c r="M438" s="120" t="s">
        <v>337</v>
      </c>
      <c r="N438" s="121"/>
      <c r="O438" s="124">
        <v>45148</v>
      </c>
      <c r="P438" s="120" t="s">
        <v>2561</v>
      </c>
      <c r="Q438" s="120" t="s">
        <v>414</v>
      </c>
      <c r="R438" s="120" t="s">
        <v>407</v>
      </c>
      <c r="S438" s="120" t="s">
        <v>1217</v>
      </c>
      <c r="T438" s="122">
        <v>7.97</v>
      </c>
      <c r="U438" s="120" t="s">
        <v>2560</v>
      </c>
      <c r="V438" s="123">
        <v>4.1568000000000001E-2</v>
      </c>
      <c r="W438" s="120"/>
      <c r="X438" s="120"/>
      <c r="Y438" s="123"/>
      <c r="Z438" s="123">
        <v>4.48E-2</v>
      </c>
      <c r="AA438" s="124">
        <v>51940</v>
      </c>
      <c r="AB438" s="120" t="s">
        <v>411</v>
      </c>
      <c r="AC438" s="120"/>
      <c r="AD438" s="122"/>
      <c r="AE438" s="123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45473</v>
      </c>
      <c r="AO438" s="120"/>
      <c r="AP438" s="123"/>
      <c r="AQ438" s="122">
        <v>918688.17</v>
      </c>
      <c r="AR438" s="122">
        <v>100.9</v>
      </c>
      <c r="AS438" s="122">
        <v>1</v>
      </c>
      <c r="AT438" s="122">
        <v>926.95636000000002</v>
      </c>
      <c r="AU438" s="122">
        <v>926.95636000000002</v>
      </c>
      <c r="AV438" s="122"/>
      <c r="AW438" s="122"/>
      <c r="AX438" s="120"/>
      <c r="AY438" s="120"/>
      <c r="AZ438" s="123">
        <v>3.5300000000000002E-4</v>
      </c>
      <c r="BA438" s="123">
        <v>1.5E-5</v>
      </c>
    </row>
    <row r="439" spans="1:53" ht="15" customHeight="1">
      <c r="A439" s="121">
        <v>313</v>
      </c>
      <c r="B439" s="121">
        <v>313</v>
      </c>
      <c r="C439" s="121"/>
      <c r="D439" s="120"/>
      <c r="E439" s="120"/>
      <c r="F439" s="121">
        <v>5008002</v>
      </c>
      <c r="G439" s="120" t="s">
        <v>1013</v>
      </c>
      <c r="H439" s="120" t="s">
        <v>2570</v>
      </c>
      <c r="I439" s="120" t="s">
        <v>203</v>
      </c>
      <c r="J439" s="120"/>
      <c r="K439" s="120" t="s">
        <v>463</v>
      </c>
      <c r="L439" s="120" t="s">
        <v>338</v>
      </c>
      <c r="M439" s="120" t="s">
        <v>337</v>
      </c>
      <c r="N439" s="121"/>
      <c r="O439" s="124">
        <v>45189</v>
      </c>
      <c r="P439" s="120" t="s">
        <v>2563</v>
      </c>
      <c r="Q439" s="120" t="s">
        <v>311</v>
      </c>
      <c r="R439" s="120" t="s">
        <v>407</v>
      </c>
      <c r="S439" s="120" t="s">
        <v>1217</v>
      </c>
      <c r="T439" s="122">
        <v>3.39</v>
      </c>
      <c r="U439" s="120" t="s">
        <v>824</v>
      </c>
      <c r="V439" s="123">
        <v>6.6500000000000004E-2</v>
      </c>
      <c r="W439" s="120"/>
      <c r="X439" s="120"/>
      <c r="Y439" s="123"/>
      <c r="Z439" s="123">
        <v>6.2700000000000006E-2</v>
      </c>
      <c r="AA439" s="124">
        <v>46924</v>
      </c>
      <c r="AB439" s="120" t="s">
        <v>411</v>
      </c>
      <c r="AC439" s="120"/>
      <c r="AD439" s="122"/>
      <c r="AE439" s="123"/>
      <c r="AF439" s="124"/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45473</v>
      </c>
      <c r="AO439" s="120"/>
      <c r="AP439" s="123"/>
      <c r="AQ439" s="122">
        <v>2616003.15</v>
      </c>
      <c r="AR439" s="122">
        <v>101.92</v>
      </c>
      <c r="AS439" s="122">
        <v>1</v>
      </c>
      <c r="AT439" s="122">
        <v>2666.2304100000001</v>
      </c>
      <c r="AU439" s="122">
        <v>2666.2304100000001</v>
      </c>
      <c r="AV439" s="122"/>
      <c r="AW439" s="122"/>
      <c r="AX439" s="120"/>
      <c r="AY439" s="120"/>
      <c r="AZ439" s="123">
        <v>1.016E-3</v>
      </c>
      <c r="BA439" s="123">
        <v>4.3999999999999999E-5</v>
      </c>
    </row>
    <row r="440" spans="1:53" ht="15" customHeight="1">
      <c r="A440" s="121">
        <v>313</v>
      </c>
      <c r="B440" s="121">
        <v>313</v>
      </c>
      <c r="C440" s="121"/>
      <c r="D440" s="120"/>
      <c r="E440" s="120"/>
      <c r="F440" s="121">
        <v>50001064</v>
      </c>
      <c r="G440" s="120" t="s">
        <v>1013</v>
      </c>
      <c r="H440" s="120" t="s">
        <v>2562</v>
      </c>
      <c r="I440" s="120" t="s">
        <v>203</v>
      </c>
      <c r="J440" s="120"/>
      <c r="K440" s="120" t="s">
        <v>446</v>
      </c>
      <c r="L440" s="120" t="s">
        <v>338</v>
      </c>
      <c r="M440" s="120" t="s">
        <v>337</v>
      </c>
      <c r="N440" s="121"/>
      <c r="O440" s="124">
        <v>45148</v>
      </c>
      <c r="P440" s="120" t="s">
        <v>2561</v>
      </c>
      <c r="Q440" s="120" t="s">
        <v>414</v>
      </c>
      <c r="R440" s="120" t="s">
        <v>407</v>
      </c>
      <c r="S440" s="120" t="s">
        <v>1217</v>
      </c>
      <c r="T440" s="122">
        <v>18.72</v>
      </c>
      <c r="U440" s="120" t="s">
        <v>2560</v>
      </c>
      <c r="V440" s="123">
        <v>4.2220000000000001E-2</v>
      </c>
      <c r="W440" s="120"/>
      <c r="X440" s="120"/>
      <c r="Y440" s="123"/>
      <c r="Z440" s="123">
        <v>5.2499999999999998E-2</v>
      </c>
      <c r="AA440" s="124">
        <v>52305</v>
      </c>
      <c r="AB440" s="120" t="s">
        <v>411</v>
      </c>
      <c r="AC440" s="120"/>
      <c r="AD440" s="122"/>
      <c r="AE440" s="123"/>
      <c r="AF440" s="124"/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45473</v>
      </c>
      <c r="AO440" s="120"/>
      <c r="AP440" s="123"/>
      <c r="AQ440" s="122">
        <v>819350.95</v>
      </c>
      <c r="AR440" s="122">
        <v>86.67</v>
      </c>
      <c r="AS440" s="122">
        <v>1</v>
      </c>
      <c r="AT440" s="122">
        <v>710.13147000000004</v>
      </c>
      <c r="AU440" s="122">
        <v>710.13147000000004</v>
      </c>
      <c r="AV440" s="122"/>
      <c r="AW440" s="122"/>
      <c r="AX440" s="120"/>
      <c r="AY440" s="120"/>
      <c r="AZ440" s="123">
        <v>2.7E-4</v>
      </c>
      <c r="BA440" s="123">
        <v>1.1E-5</v>
      </c>
    </row>
    <row r="441" spans="1:53" ht="15" customHeight="1">
      <c r="A441" s="121">
        <v>313</v>
      </c>
      <c r="B441" s="121">
        <v>313</v>
      </c>
      <c r="C441" s="121"/>
      <c r="D441" s="120"/>
      <c r="E441" s="120"/>
      <c r="F441" s="121">
        <v>50001768</v>
      </c>
      <c r="G441" s="120" t="s">
        <v>1013</v>
      </c>
      <c r="H441" s="120" t="s">
        <v>2568</v>
      </c>
      <c r="I441" s="120" t="s">
        <v>203</v>
      </c>
      <c r="J441" s="120"/>
      <c r="K441" s="120" t="s">
        <v>463</v>
      </c>
      <c r="L441" s="120" t="s">
        <v>338</v>
      </c>
      <c r="M441" s="120" t="s">
        <v>337</v>
      </c>
      <c r="N441" s="121"/>
      <c r="O441" s="124">
        <v>43832</v>
      </c>
      <c r="P441" s="120" t="s">
        <v>2569</v>
      </c>
      <c r="Q441" s="120" t="s">
        <v>311</v>
      </c>
      <c r="R441" s="120" t="s">
        <v>407</v>
      </c>
      <c r="S441" s="120" t="s">
        <v>1217</v>
      </c>
      <c r="T441" s="122">
        <v>2.29</v>
      </c>
      <c r="U441" s="120" t="s">
        <v>2560</v>
      </c>
      <c r="V441" s="123">
        <v>2.9000000000000001E-2</v>
      </c>
      <c r="W441" s="120"/>
      <c r="X441" s="120"/>
      <c r="Y441" s="123"/>
      <c r="Z441" s="123">
        <v>6.5299999999999997E-2</v>
      </c>
      <c r="AA441" s="124">
        <v>46387</v>
      </c>
      <c r="AB441" s="120" t="s">
        <v>411</v>
      </c>
      <c r="AC441" s="120"/>
      <c r="AD441" s="122"/>
      <c r="AE441" s="123"/>
      <c r="AF441" s="124"/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45473</v>
      </c>
      <c r="AO441" s="120"/>
      <c r="AP441" s="120"/>
      <c r="AQ441" s="122">
        <v>787643.91</v>
      </c>
      <c r="AR441" s="122">
        <v>92.43</v>
      </c>
      <c r="AS441" s="122">
        <v>1</v>
      </c>
      <c r="AT441" s="122">
        <v>728.01927000000001</v>
      </c>
      <c r="AU441" s="122">
        <v>728.01927000000001</v>
      </c>
      <c r="AV441" s="122"/>
      <c r="AW441" s="122"/>
      <c r="AX441" s="120"/>
      <c r="AY441" s="120"/>
      <c r="AZ441" s="123">
        <v>2.7700000000000001E-4</v>
      </c>
      <c r="BA441" s="123">
        <v>1.2E-5</v>
      </c>
    </row>
    <row r="442" spans="1:53" ht="15" customHeight="1">
      <c r="A442" s="121">
        <v>313</v>
      </c>
      <c r="B442" s="121">
        <v>313</v>
      </c>
      <c r="C442" s="121"/>
      <c r="D442" s="120"/>
      <c r="E442" s="120"/>
      <c r="F442" s="121">
        <v>50001769</v>
      </c>
      <c r="G442" s="120" t="s">
        <v>1013</v>
      </c>
      <c r="H442" s="120" t="s">
        <v>2568</v>
      </c>
      <c r="I442" s="120" t="s">
        <v>203</v>
      </c>
      <c r="J442" s="120"/>
      <c r="K442" s="120" t="s">
        <v>463</v>
      </c>
      <c r="L442" s="120" t="s">
        <v>338</v>
      </c>
      <c r="M442" s="120" t="s">
        <v>337</v>
      </c>
      <c r="N442" s="121"/>
      <c r="O442" s="124">
        <v>43832</v>
      </c>
      <c r="P442" s="120" t="s">
        <v>2569</v>
      </c>
      <c r="Q442" s="120" t="s">
        <v>311</v>
      </c>
      <c r="R442" s="120" t="s">
        <v>407</v>
      </c>
      <c r="S442" s="120" t="s">
        <v>1217</v>
      </c>
      <c r="T442" s="122">
        <v>2.29</v>
      </c>
      <c r="U442" s="120" t="s">
        <v>2560</v>
      </c>
      <c r="V442" s="123">
        <v>2.9000000000000001E-2</v>
      </c>
      <c r="W442" s="120"/>
      <c r="X442" s="120"/>
      <c r="Y442" s="123"/>
      <c r="Z442" s="123">
        <v>6.5299999999999997E-2</v>
      </c>
      <c r="AA442" s="124">
        <v>46387</v>
      </c>
      <c r="AB442" s="120" t="s">
        <v>411</v>
      </c>
      <c r="AC442" s="120"/>
      <c r="AD442" s="122"/>
      <c r="AE442" s="123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45473</v>
      </c>
      <c r="AO442" s="120"/>
      <c r="AP442" s="120"/>
      <c r="AQ442" s="122">
        <v>787643.9</v>
      </c>
      <c r="AR442" s="122">
        <v>92.43</v>
      </c>
      <c r="AS442" s="122">
        <v>1</v>
      </c>
      <c r="AT442" s="122">
        <v>728.01926000000003</v>
      </c>
      <c r="AU442" s="122">
        <v>728.01926000000003</v>
      </c>
      <c r="AV442" s="122"/>
      <c r="AW442" s="122"/>
      <c r="AX442" s="120"/>
      <c r="AY442" s="120"/>
      <c r="AZ442" s="123">
        <v>2.7700000000000001E-4</v>
      </c>
      <c r="BA442" s="123">
        <v>1.2E-5</v>
      </c>
    </row>
    <row r="443" spans="1:53" ht="15" customHeight="1">
      <c r="A443" s="121">
        <v>313</v>
      </c>
      <c r="B443" s="121">
        <v>313</v>
      </c>
      <c r="C443" s="121"/>
      <c r="D443" s="120"/>
      <c r="E443" s="120"/>
      <c r="F443" s="121">
        <v>50001770</v>
      </c>
      <c r="G443" s="120" t="s">
        <v>1013</v>
      </c>
      <c r="H443" s="120" t="s">
        <v>2568</v>
      </c>
      <c r="I443" s="120" t="s">
        <v>203</v>
      </c>
      <c r="J443" s="120"/>
      <c r="K443" s="120" t="s">
        <v>463</v>
      </c>
      <c r="L443" s="120" t="s">
        <v>338</v>
      </c>
      <c r="M443" s="120" t="s">
        <v>337</v>
      </c>
      <c r="N443" s="121"/>
      <c r="O443" s="124">
        <v>43832</v>
      </c>
      <c r="P443" s="120" t="s">
        <v>2569</v>
      </c>
      <c r="Q443" s="120" t="s">
        <v>311</v>
      </c>
      <c r="R443" s="120" t="s">
        <v>407</v>
      </c>
      <c r="S443" s="120" t="s">
        <v>1217</v>
      </c>
      <c r="T443" s="122">
        <v>2.29</v>
      </c>
      <c r="U443" s="120" t="s">
        <v>2560</v>
      </c>
      <c r="V443" s="123">
        <v>2.9000000000000001E-2</v>
      </c>
      <c r="W443" s="120"/>
      <c r="X443" s="120"/>
      <c r="Y443" s="123"/>
      <c r="Z443" s="123">
        <v>6.5299999999999997E-2</v>
      </c>
      <c r="AA443" s="124">
        <v>46387</v>
      </c>
      <c r="AB443" s="120" t="s">
        <v>411</v>
      </c>
      <c r="AC443" s="120"/>
      <c r="AD443" s="122"/>
      <c r="AE443" s="123"/>
      <c r="AF443" s="124"/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45473</v>
      </c>
      <c r="AO443" s="120"/>
      <c r="AP443" s="120"/>
      <c r="AQ443" s="122">
        <v>787643.9</v>
      </c>
      <c r="AR443" s="122">
        <v>92.43</v>
      </c>
      <c r="AS443" s="122">
        <v>1</v>
      </c>
      <c r="AT443" s="122">
        <v>728.01926000000003</v>
      </c>
      <c r="AU443" s="122">
        <v>728.01926000000003</v>
      </c>
      <c r="AV443" s="122"/>
      <c r="AW443" s="122"/>
      <c r="AX443" s="120"/>
      <c r="AY443" s="120"/>
      <c r="AZ443" s="123">
        <v>2.7700000000000001E-4</v>
      </c>
      <c r="BA443" s="123">
        <v>1.2E-5</v>
      </c>
    </row>
    <row r="444" spans="1:53" ht="15" customHeight="1">
      <c r="A444" s="121">
        <v>313</v>
      </c>
      <c r="B444" s="121">
        <v>313</v>
      </c>
      <c r="C444" s="121"/>
      <c r="D444" s="120"/>
      <c r="E444" s="120"/>
      <c r="F444" s="121">
        <v>50001771</v>
      </c>
      <c r="G444" s="120" t="s">
        <v>1013</v>
      </c>
      <c r="H444" s="120" t="s">
        <v>2568</v>
      </c>
      <c r="I444" s="120" t="s">
        <v>203</v>
      </c>
      <c r="J444" s="120"/>
      <c r="K444" s="120" t="s">
        <v>463</v>
      </c>
      <c r="L444" s="120" t="s">
        <v>338</v>
      </c>
      <c r="M444" s="120" t="s">
        <v>337</v>
      </c>
      <c r="N444" s="121"/>
      <c r="O444" s="124">
        <v>43832</v>
      </c>
      <c r="P444" s="120" t="s">
        <v>2569</v>
      </c>
      <c r="Q444" s="120" t="s">
        <v>311</v>
      </c>
      <c r="R444" s="120" t="s">
        <v>407</v>
      </c>
      <c r="S444" s="120" t="s">
        <v>1217</v>
      </c>
      <c r="T444" s="122">
        <v>2.29</v>
      </c>
      <c r="U444" s="120" t="s">
        <v>2560</v>
      </c>
      <c r="V444" s="123">
        <v>2.9000000000000001E-2</v>
      </c>
      <c r="W444" s="120"/>
      <c r="X444" s="120"/>
      <c r="Y444" s="123"/>
      <c r="Z444" s="123">
        <v>6.5299999999999997E-2</v>
      </c>
      <c r="AA444" s="124">
        <v>46387</v>
      </c>
      <c r="AB444" s="120" t="s">
        <v>411</v>
      </c>
      <c r="AC444" s="120"/>
      <c r="AD444" s="122"/>
      <c r="AE444" s="123"/>
      <c r="AF444" s="124"/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45473</v>
      </c>
      <c r="AO444" s="120"/>
      <c r="AP444" s="120"/>
      <c r="AQ444" s="122">
        <v>787643.9</v>
      </c>
      <c r="AR444" s="122">
        <v>92.43</v>
      </c>
      <c r="AS444" s="122">
        <v>1</v>
      </c>
      <c r="AT444" s="122">
        <v>728.01926000000003</v>
      </c>
      <c r="AU444" s="122">
        <v>728.01926000000003</v>
      </c>
      <c r="AV444" s="122"/>
      <c r="AW444" s="122"/>
      <c r="AX444" s="120"/>
      <c r="AY444" s="120"/>
      <c r="AZ444" s="123">
        <v>2.7700000000000001E-4</v>
      </c>
      <c r="BA444" s="123">
        <v>1.2E-5</v>
      </c>
    </row>
    <row r="445" spans="1:53" ht="15" customHeight="1">
      <c r="A445" s="121">
        <v>313</v>
      </c>
      <c r="B445" s="121">
        <v>313</v>
      </c>
      <c r="C445" s="121"/>
      <c r="D445" s="120"/>
      <c r="E445" s="120"/>
      <c r="F445" s="121">
        <v>50001767</v>
      </c>
      <c r="G445" s="120" t="s">
        <v>1013</v>
      </c>
      <c r="H445" s="120" t="s">
        <v>2568</v>
      </c>
      <c r="I445" s="120" t="s">
        <v>203</v>
      </c>
      <c r="J445" s="120"/>
      <c r="K445" s="120" t="s">
        <v>463</v>
      </c>
      <c r="L445" s="120" t="s">
        <v>338</v>
      </c>
      <c r="M445" s="120" t="s">
        <v>337</v>
      </c>
      <c r="N445" s="121"/>
      <c r="O445" s="124">
        <v>43832</v>
      </c>
      <c r="P445" s="120" t="s">
        <v>2569</v>
      </c>
      <c r="Q445" s="120" t="s">
        <v>311</v>
      </c>
      <c r="R445" s="120" t="s">
        <v>407</v>
      </c>
      <c r="S445" s="120" t="s">
        <v>1217</v>
      </c>
      <c r="T445" s="122">
        <v>2.29</v>
      </c>
      <c r="U445" s="120" t="s">
        <v>2560</v>
      </c>
      <c r="V445" s="123">
        <v>2.9000000000000001E-2</v>
      </c>
      <c r="W445" s="120"/>
      <c r="X445" s="120"/>
      <c r="Y445" s="123"/>
      <c r="Z445" s="123">
        <v>6.5299999999999997E-2</v>
      </c>
      <c r="AA445" s="124">
        <v>46387</v>
      </c>
      <c r="AB445" s="120" t="s">
        <v>411</v>
      </c>
      <c r="AC445" s="120"/>
      <c r="AD445" s="122"/>
      <c r="AE445" s="123"/>
      <c r="AF445" s="124"/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45473</v>
      </c>
      <c r="AO445" s="120"/>
      <c r="AP445" s="120"/>
      <c r="AQ445" s="122">
        <v>12602302.02</v>
      </c>
      <c r="AR445" s="122">
        <v>92.43</v>
      </c>
      <c r="AS445" s="122">
        <v>1</v>
      </c>
      <c r="AT445" s="122">
        <v>11648.30776</v>
      </c>
      <c r="AU445" s="122">
        <v>11648.30776</v>
      </c>
      <c r="AV445" s="122"/>
      <c r="AW445" s="122"/>
      <c r="AX445" s="120"/>
      <c r="AY445" s="120"/>
      <c r="AZ445" s="123">
        <v>4.4419999999999998E-3</v>
      </c>
      <c r="BA445" s="123">
        <v>1.95E-4</v>
      </c>
    </row>
    <row r="446" spans="1:53" ht="15" customHeight="1">
      <c r="A446" s="121">
        <v>313</v>
      </c>
      <c r="B446" s="121">
        <v>313</v>
      </c>
      <c r="C446" s="121"/>
      <c r="D446" s="120"/>
      <c r="E446" s="120"/>
      <c r="F446" s="121">
        <v>81026</v>
      </c>
      <c r="G446" s="120" t="s">
        <v>1013</v>
      </c>
      <c r="H446" s="120" t="s">
        <v>812</v>
      </c>
      <c r="I446" s="120" t="s">
        <v>203</v>
      </c>
      <c r="J446" s="120"/>
      <c r="K446" s="120" t="s">
        <v>454</v>
      </c>
      <c r="L446" s="120" t="s">
        <v>338</v>
      </c>
      <c r="M446" s="120" t="s">
        <v>338</v>
      </c>
      <c r="N446" s="120"/>
      <c r="O446" s="124">
        <v>43237</v>
      </c>
      <c r="P446" s="120" t="s">
        <v>1340</v>
      </c>
      <c r="Q446" s="120" t="s">
        <v>414</v>
      </c>
      <c r="R446" s="120" t="s">
        <v>407</v>
      </c>
      <c r="S446" s="120" t="s">
        <v>1217</v>
      </c>
      <c r="T446" s="122">
        <v>6.97</v>
      </c>
      <c r="U446" s="120" t="s">
        <v>2560</v>
      </c>
      <c r="V446" s="123">
        <v>3.3700000000000001E-2</v>
      </c>
      <c r="W446" s="120"/>
      <c r="X446" s="120"/>
      <c r="Y446" s="123"/>
      <c r="Z446" s="123">
        <v>3.5900000000000001E-2</v>
      </c>
      <c r="AA446" s="124">
        <v>51134</v>
      </c>
      <c r="AB446" s="120" t="s">
        <v>411</v>
      </c>
      <c r="AC446" s="120"/>
      <c r="AD446" s="122"/>
      <c r="AE446" s="123"/>
      <c r="AF446" s="120"/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45473</v>
      </c>
      <c r="AO446" s="120"/>
      <c r="AP446" s="120"/>
      <c r="AQ446" s="122">
        <v>1453746.91</v>
      </c>
      <c r="AR446" s="122">
        <v>111.2</v>
      </c>
      <c r="AS446" s="122">
        <v>1</v>
      </c>
      <c r="AT446" s="122">
        <v>1616.56656</v>
      </c>
      <c r="AU446" s="122">
        <v>1616.56656</v>
      </c>
      <c r="AV446" s="122"/>
      <c r="AW446" s="122"/>
      <c r="AX446" s="120"/>
      <c r="AY446" s="120"/>
      <c r="AZ446" s="123">
        <v>6.1600000000000001E-4</v>
      </c>
      <c r="BA446" s="123">
        <v>2.6999999999999999E-5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3"/>
  <sheetViews>
    <sheetView rightToLeft="1" workbookViewId="0">
      <selection activeCell="N21" sqref="N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7.375" bestFit="1" customWidth="1"/>
    <col min="15" max="15" width="9.375" bestFit="1" customWidth="1"/>
    <col min="16" max="16" width="10.375" bestFit="1" customWidth="1"/>
    <col min="17" max="17" width="11.5" bestFit="1" customWidth="1"/>
    <col min="18" max="19" width="8.75" bestFit="1" customWidth="1"/>
    <col min="20" max="20" width="11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951</v>
      </c>
      <c r="G2" s="124">
        <v>45594</v>
      </c>
      <c r="H2" s="120" t="s">
        <v>203</v>
      </c>
      <c r="I2" s="120" t="s">
        <v>203</v>
      </c>
      <c r="J2" s="120" t="s">
        <v>338</v>
      </c>
      <c r="K2" s="120" t="s">
        <v>1211</v>
      </c>
      <c r="L2" s="120" t="s">
        <v>414</v>
      </c>
      <c r="M2" s="120" t="s">
        <v>1212</v>
      </c>
      <c r="N2" s="122">
        <v>0.33</v>
      </c>
      <c r="O2" s="123"/>
      <c r="P2" s="123">
        <v>7.8299999999999995E-2</v>
      </c>
      <c r="Q2" s="122">
        <v>34731.83</v>
      </c>
      <c r="R2" s="122">
        <v>3.7589999999999999</v>
      </c>
      <c r="S2" s="122">
        <v>104.93</v>
      </c>
      <c r="T2" s="122">
        <v>130556.94897</v>
      </c>
      <c r="U2" s="123">
        <v>0.82957199999999998</v>
      </c>
      <c r="V2" s="123">
        <v>2.1900000000000001E-3</v>
      </c>
    </row>
    <row r="3" spans="1:26" ht="15" customHeight="1">
      <c r="A3" s="121">
        <v>313</v>
      </c>
      <c r="B3" s="121">
        <v>313</v>
      </c>
      <c r="C3" s="120" t="s">
        <v>1213</v>
      </c>
      <c r="D3" s="120" t="s">
        <v>1214</v>
      </c>
      <c r="E3" s="120" t="s">
        <v>314</v>
      </c>
      <c r="F3" s="120" t="s">
        <v>753</v>
      </c>
      <c r="G3" s="124">
        <v>49245</v>
      </c>
      <c r="H3" s="120" t="s">
        <v>203</v>
      </c>
      <c r="I3" s="120" t="s">
        <v>203</v>
      </c>
      <c r="J3" s="120" t="s">
        <v>338</v>
      </c>
      <c r="K3" s="120" t="s">
        <v>1948</v>
      </c>
      <c r="L3" s="120" t="s">
        <v>412</v>
      </c>
      <c r="M3" s="120" t="s">
        <v>1217</v>
      </c>
      <c r="N3" s="122">
        <v>4.7</v>
      </c>
      <c r="O3" s="123"/>
      <c r="P3" s="123">
        <v>2.3900000000000001E-2</v>
      </c>
      <c r="Q3" s="122">
        <v>18153.299739999999</v>
      </c>
      <c r="R3" s="122">
        <v>1</v>
      </c>
      <c r="S3" s="122">
        <v>165.03</v>
      </c>
      <c r="T3" s="122">
        <v>18153.299739999999</v>
      </c>
      <c r="U3" s="123">
        <v>0.11534700000000001</v>
      </c>
      <c r="V3" s="123">
        <v>3.0400000000000002E-4</v>
      </c>
    </row>
    <row r="4" spans="1:26" ht="15" customHeight="1">
      <c r="A4" s="121">
        <v>313</v>
      </c>
      <c r="B4" s="121">
        <v>313</v>
      </c>
      <c r="C4" s="120" t="s">
        <v>1209</v>
      </c>
      <c r="D4" s="120" t="s">
        <v>1210</v>
      </c>
      <c r="E4" s="120" t="s">
        <v>314</v>
      </c>
      <c r="F4" s="120" t="s">
        <v>951</v>
      </c>
      <c r="G4" s="124">
        <v>45617</v>
      </c>
      <c r="H4" s="120" t="s">
        <v>203</v>
      </c>
      <c r="I4" s="120" t="s">
        <v>203</v>
      </c>
      <c r="J4" s="120" t="s">
        <v>338</v>
      </c>
      <c r="K4" s="120" t="s">
        <v>1211</v>
      </c>
      <c r="L4" s="120" t="s">
        <v>414</v>
      </c>
      <c r="M4" s="120" t="s">
        <v>1212</v>
      </c>
      <c r="N4" s="122">
        <v>0.39</v>
      </c>
      <c r="O4" s="123"/>
      <c r="P4" s="123">
        <v>7.1099999999999997E-2</v>
      </c>
      <c r="Q4" s="122">
        <v>33530.089999999997</v>
      </c>
      <c r="R4" s="122">
        <v>3.7589999999999999</v>
      </c>
      <c r="S4" s="122">
        <v>105.11</v>
      </c>
      <c r="T4" s="122">
        <v>126039.60831</v>
      </c>
      <c r="U4" s="123">
        <v>0.80086800000000002</v>
      </c>
      <c r="V4" s="123">
        <v>2.1150000000000001E-3</v>
      </c>
    </row>
    <row r="5" spans="1:26" ht="15" customHeight="1">
      <c r="A5" s="121">
        <v>313</v>
      </c>
      <c r="B5" s="121">
        <v>313</v>
      </c>
      <c r="C5" s="120" t="s">
        <v>1219</v>
      </c>
      <c r="D5" s="120" t="s">
        <v>1220</v>
      </c>
      <c r="E5" s="120" t="s">
        <v>314</v>
      </c>
      <c r="F5" s="120" t="s">
        <v>1029</v>
      </c>
      <c r="G5" s="124"/>
      <c r="H5" s="120" t="s">
        <v>203</v>
      </c>
      <c r="I5" s="120" t="s">
        <v>203</v>
      </c>
      <c r="J5" s="120" t="s">
        <v>338</v>
      </c>
      <c r="K5" s="120" t="s">
        <v>1215</v>
      </c>
      <c r="L5" s="120" t="s">
        <v>412</v>
      </c>
      <c r="M5" s="120" t="s">
        <v>1212</v>
      </c>
      <c r="N5" s="122"/>
      <c r="O5" s="123"/>
      <c r="P5" s="123">
        <v>0</v>
      </c>
      <c r="Q5" s="122">
        <v>-16450</v>
      </c>
      <c r="R5" s="122">
        <v>3.7589999999999999</v>
      </c>
      <c r="S5" s="122">
        <v>100</v>
      </c>
      <c r="T5" s="122">
        <v>-61835.55</v>
      </c>
      <c r="U5" s="123">
        <v>-0.39290999999999998</v>
      </c>
      <c r="V5" s="123">
        <v>-1.0369999999999999E-3</v>
      </c>
    </row>
    <row r="6" spans="1:26" ht="15" customHeight="1">
      <c r="A6" s="121">
        <v>313</v>
      </c>
      <c r="B6" s="121">
        <v>313</v>
      </c>
      <c r="C6" s="120" t="s">
        <v>1213</v>
      </c>
      <c r="D6" s="120" t="s">
        <v>1214</v>
      </c>
      <c r="E6" s="120" t="s">
        <v>314</v>
      </c>
      <c r="F6" s="120" t="s">
        <v>753</v>
      </c>
      <c r="G6" s="124">
        <v>50895</v>
      </c>
      <c r="H6" s="120" t="s">
        <v>203</v>
      </c>
      <c r="I6" s="120" t="s">
        <v>203</v>
      </c>
      <c r="J6" s="120" t="s">
        <v>338</v>
      </c>
      <c r="K6" s="120" t="s">
        <v>1211</v>
      </c>
      <c r="L6" s="120" t="s">
        <v>414</v>
      </c>
      <c r="M6" s="120" t="s">
        <v>1217</v>
      </c>
      <c r="N6" s="122">
        <v>14.85</v>
      </c>
      <c r="O6" s="123"/>
      <c r="P6" s="123">
        <v>3.3500000000000002E-2</v>
      </c>
      <c r="Q6" s="122">
        <v>35117.699999999997</v>
      </c>
      <c r="R6" s="122">
        <v>1</v>
      </c>
      <c r="S6" s="122">
        <v>95.95</v>
      </c>
      <c r="T6" s="122">
        <v>35117.699999999997</v>
      </c>
      <c r="U6" s="123">
        <v>0.22314100000000001</v>
      </c>
      <c r="V6" s="123">
        <v>5.8900000000000001E-4</v>
      </c>
    </row>
    <row r="7" spans="1:26" ht="15" customHeight="1">
      <c r="A7" s="121">
        <v>313</v>
      </c>
      <c r="B7" s="121">
        <v>313</v>
      </c>
      <c r="C7" s="120" t="s">
        <v>1213</v>
      </c>
      <c r="D7" s="120" t="s">
        <v>1214</v>
      </c>
      <c r="E7" s="120" t="s">
        <v>314</v>
      </c>
      <c r="F7" s="120" t="s">
        <v>753</v>
      </c>
      <c r="G7" s="124">
        <v>47424</v>
      </c>
      <c r="H7" s="120" t="s">
        <v>203</v>
      </c>
      <c r="I7" s="120" t="s">
        <v>203</v>
      </c>
      <c r="J7" s="120" t="s">
        <v>338</v>
      </c>
      <c r="K7" s="120" t="s">
        <v>1948</v>
      </c>
      <c r="L7" s="120" t="s">
        <v>412</v>
      </c>
      <c r="M7" s="120" t="s">
        <v>1217</v>
      </c>
      <c r="N7" s="122">
        <v>2.66</v>
      </c>
      <c r="O7" s="123"/>
      <c r="P7" s="123">
        <v>2.12E-2</v>
      </c>
      <c r="Q7" s="122">
        <v>554.25608</v>
      </c>
      <c r="R7" s="122">
        <v>1</v>
      </c>
      <c r="S7" s="122">
        <v>167.89</v>
      </c>
      <c r="T7" s="122">
        <v>554.25608</v>
      </c>
      <c r="U7" s="123">
        <v>3.5209999999999998E-3</v>
      </c>
      <c r="V7" s="123">
        <v>9.0000000000000002E-6</v>
      </c>
    </row>
    <row r="8" spans="1:26" ht="15" customHeight="1">
      <c r="A8" s="121">
        <v>313</v>
      </c>
      <c r="B8" s="121">
        <v>313</v>
      </c>
      <c r="C8" s="120" t="s">
        <v>1219</v>
      </c>
      <c r="D8" s="120" t="s">
        <v>1220</v>
      </c>
      <c r="E8" s="120" t="s">
        <v>314</v>
      </c>
      <c r="F8" s="120" t="s">
        <v>1029</v>
      </c>
      <c r="G8" s="120"/>
      <c r="H8" s="120" t="s">
        <v>203</v>
      </c>
      <c r="I8" s="120" t="s">
        <v>232</v>
      </c>
      <c r="J8" s="120" t="s">
        <v>338</v>
      </c>
      <c r="K8" s="120" t="s">
        <v>1469</v>
      </c>
      <c r="L8" s="120" t="s">
        <v>430</v>
      </c>
      <c r="M8" s="120" t="s">
        <v>1212</v>
      </c>
      <c r="N8" s="122"/>
      <c r="O8" s="120"/>
      <c r="P8" s="123">
        <v>0</v>
      </c>
      <c r="Q8" s="122">
        <v>792.63927999999999</v>
      </c>
      <c r="R8" s="122">
        <v>3.7589999999999999</v>
      </c>
      <c r="S8" s="122">
        <v>100</v>
      </c>
      <c r="T8" s="122">
        <v>2979.5310500000001</v>
      </c>
      <c r="U8" s="123">
        <v>1.8932000000000001E-2</v>
      </c>
      <c r="V8" s="123">
        <v>5.0000000000000002E-5</v>
      </c>
    </row>
    <row r="9" spans="1:26" ht="15" customHeight="1">
      <c r="A9" s="121">
        <v>313</v>
      </c>
      <c r="B9" s="121">
        <v>313</v>
      </c>
      <c r="C9" s="120" t="s">
        <v>1219</v>
      </c>
      <c r="D9" s="120" t="s">
        <v>1220</v>
      </c>
      <c r="E9" s="120" t="s">
        <v>314</v>
      </c>
      <c r="F9" s="120" t="s">
        <v>1029</v>
      </c>
      <c r="G9" s="120"/>
      <c r="H9" s="120" t="s">
        <v>203</v>
      </c>
      <c r="I9" s="120" t="s">
        <v>203</v>
      </c>
      <c r="J9" s="120" t="s">
        <v>338</v>
      </c>
      <c r="K9" s="120" t="s">
        <v>1215</v>
      </c>
      <c r="L9" s="120" t="s">
        <v>412</v>
      </c>
      <c r="M9" s="120" t="s">
        <v>1217</v>
      </c>
      <c r="N9" s="122"/>
      <c r="O9" s="120"/>
      <c r="P9" s="123">
        <v>0</v>
      </c>
      <c r="Q9" s="122">
        <v>690</v>
      </c>
      <c r="R9" s="122">
        <v>1</v>
      </c>
      <c r="S9" s="122">
        <v>100</v>
      </c>
      <c r="T9" s="122">
        <v>690</v>
      </c>
      <c r="U9" s="123">
        <v>4.3839999999999999E-3</v>
      </c>
      <c r="V9" s="123">
        <v>1.1E-5</v>
      </c>
    </row>
    <row r="10" spans="1:26" ht="15" customHeight="1">
      <c r="A10" s="121">
        <v>313</v>
      </c>
      <c r="B10" s="121">
        <v>313</v>
      </c>
      <c r="C10" s="120" t="s">
        <v>1219</v>
      </c>
      <c r="D10" s="120" t="s">
        <v>1220</v>
      </c>
      <c r="E10" s="120" t="s">
        <v>314</v>
      </c>
      <c r="F10" s="120" t="s">
        <v>1029</v>
      </c>
      <c r="G10" s="120"/>
      <c r="H10" s="120" t="s">
        <v>203</v>
      </c>
      <c r="I10" s="120" t="s">
        <v>237</v>
      </c>
      <c r="J10" s="120" t="s">
        <v>338</v>
      </c>
      <c r="K10" s="120" t="s">
        <v>1412</v>
      </c>
      <c r="L10" s="120" t="s">
        <v>432</v>
      </c>
      <c r="M10" s="120" t="s">
        <v>1212</v>
      </c>
      <c r="N10" s="122"/>
      <c r="O10" s="120"/>
      <c r="P10" s="123">
        <v>0</v>
      </c>
      <c r="Q10" s="122">
        <v>3550</v>
      </c>
      <c r="R10" s="122">
        <v>3.7589999999999999</v>
      </c>
      <c r="S10" s="122">
        <v>100</v>
      </c>
      <c r="T10" s="122">
        <v>13344.45</v>
      </c>
      <c r="U10" s="123">
        <v>8.4791000000000005E-2</v>
      </c>
      <c r="V10" s="123">
        <v>2.23E-4</v>
      </c>
    </row>
    <row r="11" spans="1:26" ht="15" customHeight="1">
      <c r="A11" s="121">
        <v>313</v>
      </c>
      <c r="B11" s="121">
        <v>313</v>
      </c>
      <c r="C11" s="120" t="s">
        <v>1219</v>
      </c>
      <c r="D11" s="120" t="s">
        <v>1220</v>
      </c>
      <c r="E11" s="120" t="s">
        <v>314</v>
      </c>
      <c r="F11" s="120" t="s">
        <v>1029</v>
      </c>
      <c r="G11" s="120"/>
      <c r="H11" s="120" t="s">
        <v>203</v>
      </c>
      <c r="I11" s="120" t="s">
        <v>232</v>
      </c>
      <c r="J11" s="120" t="s">
        <v>338</v>
      </c>
      <c r="K11" s="120" t="s">
        <v>1412</v>
      </c>
      <c r="L11" s="120" t="s">
        <v>432</v>
      </c>
      <c r="M11" s="120" t="s">
        <v>1212</v>
      </c>
      <c r="N11" s="122"/>
      <c r="O11" s="120"/>
      <c r="P11" s="123">
        <v>0</v>
      </c>
      <c r="Q11" s="122">
        <v>-15390.014999999999</v>
      </c>
      <c r="R11" s="122">
        <v>3.7589999999999999</v>
      </c>
      <c r="S11" s="122">
        <v>100</v>
      </c>
      <c r="T11" s="122">
        <v>-57851.06639</v>
      </c>
      <c r="U11" s="123">
        <v>-0.367591</v>
      </c>
      <c r="V11" s="123">
        <v>-9.7000000000000005E-4</v>
      </c>
    </row>
    <row r="12" spans="1:26" ht="15" customHeight="1">
      <c r="A12" s="121">
        <v>313</v>
      </c>
      <c r="B12" s="121">
        <v>313</v>
      </c>
      <c r="C12" s="120" t="s">
        <v>1219</v>
      </c>
      <c r="D12" s="120" t="s">
        <v>1220</v>
      </c>
      <c r="E12" s="120" t="s">
        <v>314</v>
      </c>
      <c r="F12" s="120" t="s">
        <v>1029</v>
      </c>
      <c r="G12" s="120"/>
      <c r="H12" s="120" t="s">
        <v>203</v>
      </c>
      <c r="I12" s="120" t="s">
        <v>232</v>
      </c>
      <c r="J12" s="120" t="s">
        <v>338</v>
      </c>
      <c r="K12" s="120" t="s">
        <v>1407</v>
      </c>
      <c r="L12" s="120" t="s">
        <v>432</v>
      </c>
      <c r="M12" s="120" t="s">
        <v>1212</v>
      </c>
      <c r="N12" s="122"/>
      <c r="O12" s="120"/>
      <c r="P12" s="123">
        <v>0</v>
      </c>
      <c r="Q12" s="122">
        <v>-550.00013000000001</v>
      </c>
      <c r="R12" s="122">
        <v>3.7589999999999999</v>
      </c>
      <c r="S12" s="122">
        <v>100</v>
      </c>
      <c r="T12" s="122">
        <v>-2067.4504900000002</v>
      </c>
      <c r="U12" s="123">
        <v>-1.3136999999999999E-2</v>
      </c>
      <c r="V12" s="123">
        <v>-3.4E-5</v>
      </c>
    </row>
    <row r="13" spans="1:26" ht="15" customHeight="1">
      <c r="A13" s="121">
        <v>313</v>
      </c>
      <c r="B13" s="121">
        <v>313</v>
      </c>
      <c r="C13" s="120" t="s">
        <v>1219</v>
      </c>
      <c r="D13" s="120" t="s">
        <v>1220</v>
      </c>
      <c r="E13" s="120" t="s">
        <v>314</v>
      </c>
      <c r="F13" s="120" t="s">
        <v>1029</v>
      </c>
      <c r="G13" s="120"/>
      <c r="H13" s="120" t="s">
        <v>203</v>
      </c>
      <c r="I13" s="120" t="s">
        <v>232</v>
      </c>
      <c r="J13" s="120" t="s">
        <v>338</v>
      </c>
      <c r="K13" s="120" t="s">
        <v>1278</v>
      </c>
      <c r="L13" s="120" t="s">
        <v>430</v>
      </c>
      <c r="M13" s="120" t="s">
        <v>1212</v>
      </c>
      <c r="N13" s="122"/>
      <c r="O13" s="120"/>
      <c r="P13" s="123">
        <v>0</v>
      </c>
      <c r="Q13" s="122">
        <v>-12850</v>
      </c>
      <c r="R13" s="122">
        <v>3.7589999999999999</v>
      </c>
      <c r="S13" s="122">
        <v>100</v>
      </c>
      <c r="T13" s="122">
        <v>-48303.15</v>
      </c>
      <c r="U13" s="123">
        <v>-0.306923</v>
      </c>
      <c r="V13" s="123">
        <v>-8.0999999999999996E-4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topLeftCell="H1" workbookViewId="0">
      <selection activeCell="N2" sqref="N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2.7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28.125" bestFit="1" customWidth="1"/>
    <col min="11" max="11" width="11.25" bestFit="1" customWidth="1"/>
    <col min="12" max="12" width="11.625" customWidth="1"/>
    <col min="13" max="13" width="13.25" bestFit="1" customWidth="1"/>
    <col min="14" max="14" width="33.2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0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2573</v>
      </c>
      <c r="D2" s="120" t="s">
        <v>1031</v>
      </c>
      <c r="E2" s="120" t="s">
        <v>203</v>
      </c>
      <c r="F2" s="120" t="s">
        <v>338</v>
      </c>
      <c r="G2" s="124">
        <v>41318</v>
      </c>
      <c r="H2" s="120" t="s">
        <v>858</v>
      </c>
      <c r="I2" s="120" t="s">
        <v>868</v>
      </c>
      <c r="J2" s="120" t="s">
        <v>2574</v>
      </c>
      <c r="K2" s="123">
        <v>1.6254000000000001E-2</v>
      </c>
      <c r="L2" s="120"/>
      <c r="M2" s="120" t="s">
        <v>888</v>
      </c>
      <c r="N2" s="120"/>
      <c r="O2" s="120" t="s">
        <v>890</v>
      </c>
      <c r="P2" s="124">
        <v>45291</v>
      </c>
      <c r="Q2" s="120" t="s">
        <v>1217</v>
      </c>
      <c r="R2" s="122">
        <v>19679.94383</v>
      </c>
      <c r="S2" s="122">
        <v>19679.94383</v>
      </c>
      <c r="T2" s="122"/>
      <c r="U2" s="122"/>
      <c r="V2" s="120"/>
      <c r="W2" s="123">
        <v>0.71170100000000003</v>
      </c>
      <c r="X2" s="123">
        <v>3.3E-4</v>
      </c>
    </row>
    <row r="3" spans="1:26" ht="15" customHeight="1">
      <c r="A3" s="121">
        <v>313</v>
      </c>
      <c r="B3" s="121">
        <v>313</v>
      </c>
      <c r="C3" s="120" t="s">
        <v>2575</v>
      </c>
      <c r="D3" s="120" t="s">
        <v>1031</v>
      </c>
      <c r="E3" s="120" t="s">
        <v>203</v>
      </c>
      <c r="F3" s="120" t="s">
        <v>338</v>
      </c>
      <c r="G3" s="124">
        <v>41374</v>
      </c>
      <c r="H3" s="120" t="s">
        <v>858</v>
      </c>
      <c r="I3" s="120" t="s">
        <v>868</v>
      </c>
      <c r="J3" s="120" t="s">
        <v>2576</v>
      </c>
      <c r="K3" s="123">
        <v>1.6657000000000002E-2</v>
      </c>
      <c r="L3" s="120"/>
      <c r="M3" s="120" t="s">
        <v>888</v>
      </c>
      <c r="N3" s="120"/>
      <c r="O3" s="120" t="s">
        <v>890</v>
      </c>
      <c r="P3" s="124">
        <v>45291</v>
      </c>
      <c r="Q3" s="120" t="s">
        <v>1217</v>
      </c>
      <c r="R3" s="122">
        <v>5043.1206700000002</v>
      </c>
      <c r="S3" s="122">
        <v>5043.1206700000002</v>
      </c>
      <c r="T3" s="122"/>
      <c r="U3" s="122"/>
      <c r="V3" s="120"/>
      <c r="W3" s="123">
        <v>0.18237800000000001</v>
      </c>
      <c r="X3" s="123">
        <v>8.3999999999999995E-5</v>
      </c>
    </row>
    <row r="4" spans="1:26" ht="15" customHeight="1">
      <c r="A4" s="121">
        <v>313</v>
      </c>
      <c r="B4" s="121">
        <v>313</v>
      </c>
      <c r="C4" s="120" t="s">
        <v>2577</v>
      </c>
      <c r="D4" s="120" t="s">
        <v>1031</v>
      </c>
      <c r="E4" s="120" t="s">
        <v>203</v>
      </c>
      <c r="F4" s="120" t="s">
        <v>338</v>
      </c>
      <c r="G4" s="124">
        <v>43220</v>
      </c>
      <c r="H4" s="120" t="s">
        <v>313</v>
      </c>
      <c r="I4" s="120" t="s">
        <v>868</v>
      </c>
      <c r="J4" s="120" t="s">
        <v>2574</v>
      </c>
      <c r="K4" s="123">
        <v>1.6254000000000001E-2</v>
      </c>
      <c r="L4" s="120"/>
      <c r="M4" s="120" t="s">
        <v>888</v>
      </c>
      <c r="N4" s="120"/>
      <c r="O4" s="120" t="s">
        <v>890</v>
      </c>
      <c r="P4" s="124">
        <v>45291</v>
      </c>
      <c r="Q4" s="120" t="s">
        <v>1217</v>
      </c>
      <c r="R4" s="122">
        <v>2928.8888900000002</v>
      </c>
      <c r="S4" s="122">
        <v>2928.8888900000002</v>
      </c>
      <c r="T4" s="122"/>
      <c r="U4" s="122"/>
      <c r="V4" s="120"/>
      <c r="W4" s="123">
        <v>0.105919</v>
      </c>
      <c r="X4" s="123">
        <v>4.8999999999999998E-5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B1" workbookViewId="0">
      <selection activeCell="I17" sqref="I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2578</v>
      </c>
      <c r="D2" s="121">
        <v>7893821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1217</v>
      </c>
      <c r="K2" s="124">
        <v>45473</v>
      </c>
      <c r="L2" s="122">
        <v>14118422.243629999</v>
      </c>
      <c r="M2" s="122">
        <v>1</v>
      </c>
      <c r="N2" s="122">
        <v>14118422.243629999</v>
      </c>
      <c r="O2" s="122"/>
      <c r="P2" s="120"/>
      <c r="Q2" s="123">
        <v>0.95340400000000003</v>
      </c>
      <c r="R2" s="123">
        <v>0.236924</v>
      </c>
    </row>
    <row r="3" spans="1:26" ht="15" customHeight="1">
      <c r="A3" s="121">
        <v>313</v>
      </c>
      <c r="B3" s="121">
        <v>313</v>
      </c>
      <c r="C3" s="120" t="s">
        <v>2579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1217</v>
      </c>
      <c r="K3" s="124">
        <v>45473</v>
      </c>
      <c r="L3" s="122">
        <v>690000</v>
      </c>
      <c r="M3" s="122">
        <v>1</v>
      </c>
      <c r="N3" s="122">
        <v>690000</v>
      </c>
      <c r="O3" s="120"/>
      <c r="P3" s="120"/>
      <c r="Q3" s="123">
        <v>4.6594999999999998E-2</v>
      </c>
      <c r="R3" s="123">
        <v>1.1579000000000001E-2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9"/>
  <sheetViews>
    <sheetView rightToLeft="1" workbookViewId="0">
      <selection activeCell="E13" sqref="E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2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7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35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6" t="s">
        <v>1315</v>
      </c>
      <c r="L2" s="120" t="s">
        <v>414</v>
      </c>
      <c r="M2" s="120" t="s">
        <v>408</v>
      </c>
      <c r="N2" s="120" t="s">
        <v>1216</v>
      </c>
      <c r="O2" s="137">
        <v>4.0202</v>
      </c>
      <c r="P2" s="123">
        <v>6.0000000000000001E-3</v>
      </c>
      <c r="Q2" s="120" t="s">
        <v>2560</v>
      </c>
      <c r="R2" s="138">
        <v>17250</v>
      </c>
      <c r="S2" s="138">
        <v>65265.375</v>
      </c>
      <c r="T2" s="142">
        <v>0.56208999999999998</v>
      </c>
    </row>
    <row r="3" spans="1:26" ht="15" customHeight="1">
      <c r="A3" s="121">
        <v>313</v>
      </c>
      <c r="B3" s="121">
        <v>313</v>
      </c>
      <c r="C3" s="135"/>
      <c r="D3" s="120"/>
      <c r="E3" s="139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1293</v>
      </c>
      <c r="L3" s="120" t="s">
        <v>311</v>
      </c>
      <c r="M3" s="120" t="s">
        <v>408</v>
      </c>
      <c r="N3" s="120" t="s">
        <v>1217</v>
      </c>
      <c r="O3" s="122">
        <v>1</v>
      </c>
      <c r="P3" s="123">
        <v>3.2000000000000002E-3</v>
      </c>
      <c r="Q3" s="120" t="s">
        <v>2560</v>
      </c>
      <c r="R3" s="138">
        <v>31050</v>
      </c>
      <c r="S3" s="138">
        <v>31050</v>
      </c>
      <c r="T3" s="142">
        <v>1</v>
      </c>
    </row>
    <row r="4" spans="1:26" ht="15" customHeight="1">
      <c r="A4" s="121">
        <v>313</v>
      </c>
      <c r="B4" s="121">
        <v>313</v>
      </c>
      <c r="C4" s="135"/>
      <c r="D4" s="120"/>
      <c r="E4" s="140"/>
      <c r="F4" s="120">
        <v>77000102</v>
      </c>
      <c r="G4" s="124">
        <v>44194</v>
      </c>
      <c r="H4" s="120" t="s">
        <v>203</v>
      </c>
      <c r="I4" s="120"/>
      <c r="J4" s="120" t="s">
        <v>338</v>
      </c>
      <c r="K4" s="120" t="s">
        <v>409</v>
      </c>
      <c r="L4" s="141" t="s">
        <v>409</v>
      </c>
      <c r="M4" s="120" t="s">
        <v>408</v>
      </c>
      <c r="N4" s="120" t="s">
        <v>1217</v>
      </c>
      <c r="O4" s="122">
        <v>1</v>
      </c>
      <c r="P4" s="123">
        <v>2.5000000000000001E-3</v>
      </c>
      <c r="Q4" s="120" t="s">
        <v>2560</v>
      </c>
      <c r="R4" s="138">
        <v>11500</v>
      </c>
      <c r="S4" s="138">
        <v>11500</v>
      </c>
      <c r="T4" s="142">
        <v>0.5</v>
      </c>
    </row>
    <row r="5" spans="1:26" ht="15" customHeight="1">
      <c r="A5" s="121">
        <v>313</v>
      </c>
      <c r="B5" s="121">
        <v>313</v>
      </c>
      <c r="C5" s="135"/>
      <c r="D5" s="120"/>
      <c r="E5" s="120"/>
      <c r="F5" s="120">
        <v>78000100</v>
      </c>
      <c r="G5" s="124">
        <v>44194</v>
      </c>
      <c r="H5" s="120" t="s">
        <v>203</v>
      </c>
      <c r="I5" s="120"/>
      <c r="J5" s="120" t="s">
        <v>338</v>
      </c>
      <c r="K5" s="136" t="s">
        <v>1340</v>
      </c>
      <c r="L5" s="120" t="s">
        <v>414</v>
      </c>
      <c r="M5" s="120" t="s">
        <v>408</v>
      </c>
      <c r="N5" s="120" t="s">
        <v>1217</v>
      </c>
      <c r="O5" s="122">
        <v>1</v>
      </c>
      <c r="P5" s="123">
        <v>5.0000000000000001E-3</v>
      </c>
      <c r="Q5" s="120" t="s">
        <v>2560</v>
      </c>
      <c r="R5" s="138">
        <v>2799.7640100000003</v>
      </c>
      <c r="S5" s="138">
        <v>2799.7640100000003</v>
      </c>
      <c r="T5" s="142">
        <v>1</v>
      </c>
    </row>
    <row r="6" spans="1:26" ht="15" customHeight="1">
      <c r="A6" s="121">
        <v>313</v>
      </c>
      <c r="B6" s="121">
        <v>313</v>
      </c>
      <c r="C6" s="135"/>
      <c r="D6" s="120"/>
      <c r="E6" s="120"/>
      <c r="F6" s="120">
        <v>78000102</v>
      </c>
      <c r="G6" s="124">
        <v>44194</v>
      </c>
      <c r="H6" s="120" t="s">
        <v>203</v>
      </c>
      <c r="I6" s="120"/>
      <c r="J6" s="120" t="s">
        <v>338</v>
      </c>
      <c r="K6" s="136" t="s">
        <v>1334</v>
      </c>
      <c r="L6" s="120" t="s">
        <v>414</v>
      </c>
      <c r="M6" s="120" t="s">
        <v>408</v>
      </c>
      <c r="N6" s="120" t="s">
        <v>1217</v>
      </c>
      <c r="O6" s="122">
        <v>1</v>
      </c>
      <c r="P6" s="123">
        <v>5.0000000000000001E-3</v>
      </c>
      <c r="Q6" s="120" t="s">
        <v>2560</v>
      </c>
      <c r="R6" s="138">
        <v>162.77422000000001</v>
      </c>
      <c r="S6" s="138">
        <v>162.77422000000001</v>
      </c>
      <c r="T6" s="142">
        <v>1</v>
      </c>
    </row>
    <row r="7" spans="1:26" ht="15" customHeight="1">
      <c r="A7" s="121">
        <v>313</v>
      </c>
      <c r="B7" s="121">
        <v>313</v>
      </c>
      <c r="C7" s="135"/>
      <c r="D7" s="120"/>
      <c r="E7" s="120"/>
      <c r="F7" s="120">
        <v>78000104</v>
      </c>
      <c r="G7" s="124">
        <v>44194</v>
      </c>
      <c r="H7" s="120" t="s">
        <v>203</v>
      </c>
      <c r="I7" s="120"/>
      <c r="J7" s="120" t="s">
        <v>338</v>
      </c>
      <c r="K7" s="136" t="s">
        <v>1334</v>
      </c>
      <c r="L7" s="120" t="s">
        <v>414</v>
      </c>
      <c r="M7" s="120" t="s">
        <v>408</v>
      </c>
      <c r="N7" s="120" t="s">
        <v>1217</v>
      </c>
      <c r="O7" s="122">
        <v>1</v>
      </c>
      <c r="P7" s="123">
        <v>5.0000000000000001E-3</v>
      </c>
      <c r="Q7" s="120" t="s">
        <v>2560</v>
      </c>
      <c r="R7" s="138">
        <v>277.83908000000002</v>
      </c>
      <c r="S7" s="138">
        <v>277.83908000000002</v>
      </c>
      <c r="T7" s="142">
        <v>1</v>
      </c>
    </row>
    <row r="8" spans="1:26" ht="15" customHeight="1">
      <c r="A8" s="121">
        <v>313</v>
      </c>
      <c r="B8" s="121">
        <v>313</v>
      </c>
      <c r="C8" s="135"/>
      <c r="D8" s="120"/>
      <c r="E8" s="120"/>
      <c r="F8" s="137">
        <v>78000106</v>
      </c>
      <c r="G8" s="124">
        <v>44194</v>
      </c>
      <c r="H8" s="120" t="s">
        <v>203</v>
      </c>
      <c r="I8" s="120"/>
      <c r="J8" s="120" t="s">
        <v>338</v>
      </c>
      <c r="K8" s="136" t="s">
        <v>1334</v>
      </c>
      <c r="L8" s="120" t="s">
        <v>414</v>
      </c>
      <c r="M8" s="120" t="s">
        <v>408</v>
      </c>
      <c r="N8" s="120" t="s">
        <v>1217</v>
      </c>
      <c r="O8" s="122">
        <v>1</v>
      </c>
      <c r="P8" s="123">
        <v>5.0000000000000001E-3</v>
      </c>
      <c r="Q8" s="120" t="s">
        <v>2560</v>
      </c>
      <c r="R8" s="138">
        <v>1854.0461</v>
      </c>
      <c r="S8" s="138">
        <v>1854.0461</v>
      </c>
      <c r="T8" s="142">
        <v>1</v>
      </c>
    </row>
    <row r="9" spans="1:26" ht="15" customHeight="1">
      <c r="A9" s="121">
        <v>313</v>
      </c>
      <c r="B9" s="121">
        <v>313</v>
      </c>
      <c r="C9" s="135"/>
      <c r="D9" s="120"/>
      <c r="E9" s="139"/>
      <c r="F9" s="120">
        <v>7800400</v>
      </c>
      <c r="G9" s="124">
        <v>44833</v>
      </c>
      <c r="H9" s="120" t="s">
        <v>203</v>
      </c>
      <c r="I9" s="120"/>
      <c r="J9" s="120" t="s">
        <v>338</v>
      </c>
      <c r="K9" s="136" t="s">
        <v>1334</v>
      </c>
      <c r="L9" s="120" t="s">
        <v>414</v>
      </c>
      <c r="M9" s="120" t="s">
        <v>408</v>
      </c>
      <c r="N9" s="120" t="s">
        <v>1217</v>
      </c>
      <c r="O9" s="122">
        <v>1</v>
      </c>
      <c r="P9" s="123">
        <v>5.0000000000000001E-3</v>
      </c>
      <c r="Q9" s="120" t="s">
        <v>2560</v>
      </c>
      <c r="R9" s="138">
        <v>570.41279950000001</v>
      </c>
      <c r="S9" s="138">
        <v>570.41279950000001</v>
      </c>
      <c r="T9" s="142">
        <v>1</v>
      </c>
    </row>
    <row r="10" spans="1:26" ht="15" customHeight="1">
      <c r="A10" s="121">
        <v>313</v>
      </c>
      <c r="B10" s="121">
        <v>313</v>
      </c>
      <c r="C10" s="135"/>
      <c r="D10" s="120"/>
      <c r="E10" s="120"/>
      <c r="F10" s="120">
        <v>74006131</v>
      </c>
      <c r="G10" s="124">
        <v>44019</v>
      </c>
      <c r="H10" s="120" t="s">
        <v>203</v>
      </c>
      <c r="I10" s="120"/>
      <c r="J10" s="120" t="s">
        <v>338</v>
      </c>
      <c r="K10" s="136" t="s">
        <v>1315</v>
      </c>
      <c r="L10" s="120" t="s">
        <v>414</v>
      </c>
      <c r="M10" s="120" t="s">
        <v>408</v>
      </c>
      <c r="N10" s="120" t="s">
        <v>1217</v>
      </c>
      <c r="O10" s="122">
        <v>1</v>
      </c>
      <c r="P10" s="123">
        <v>6.0000000000000001E-3</v>
      </c>
      <c r="Q10" s="120" t="s">
        <v>2560</v>
      </c>
      <c r="R10" s="138">
        <v>42279.75</v>
      </c>
      <c r="S10" s="138">
        <v>42279.75</v>
      </c>
      <c r="T10" s="142">
        <v>0.29108000000000001</v>
      </c>
    </row>
    <row r="11" spans="1:26" ht="15" customHeight="1">
      <c r="A11" s="121">
        <v>313</v>
      </c>
      <c r="B11" s="121">
        <v>313</v>
      </c>
      <c r="C11" s="135"/>
      <c r="D11" s="120"/>
      <c r="E11" s="120"/>
      <c r="F11" s="120">
        <v>74006122</v>
      </c>
      <c r="G11" s="124">
        <v>43258</v>
      </c>
      <c r="H11" s="120" t="s">
        <v>203</v>
      </c>
      <c r="I11" s="120"/>
      <c r="J11" s="120" t="s">
        <v>338</v>
      </c>
      <c r="K11" s="120" t="s">
        <v>409</v>
      </c>
      <c r="L11" s="141" t="s">
        <v>409</v>
      </c>
      <c r="M11" s="120" t="s">
        <v>408</v>
      </c>
      <c r="N11" s="120" t="s">
        <v>1217</v>
      </c>
      <c r="O11" s="122">
        <v>1</v>
      </c>
      <c r="P11" s="123">
        <v>6.0000000000000001E-3</v>
      </c>
      <c r="Q11" s="120" t="s">
        <v>2560</v>
      </c>
      <c r="R11" s="138">
        <v>92500</v>
      </c>
      <c r="S11" s="138">
        <v>92500</v>
      </c>
      <c r="T11" s="142">
        <v>0.58328999999999998</v>
      </c>
    </row>
    <row r="12" spans="1:26" ht="15" customHeight="1">
      <c r="A12" s="121">
        <v>313</v>
      </c>
      <c r="B12" s="121">
        <v>313</v>
      </c>
      <c r="C12" s="135"/>
      <c r="D12" s="120"/>
      <c r="E12" s="120"/>
      <c r="F12" s="120">
        <v>74005564</v>
      </c>
      <c r="G12" s="124">
        <v>42466</v>
      </c>
      <c r="H12" s="120" t="s">
        <v>203</v>
      </c>
      <c r="I12" s="120"/>
      <c r="J12" s="120" t="s">
        <v>338</v>
      </c>
      <c r="K12" s="120" t="s">
        <v>2563</v>
      </c>
      <c r="L12" s="120" t="s">
        <v>311</v>
      </c>
      <c r="M12" s="120" t="s">
        <v>408</v>
      </c>
      <c r="N12" s="120" t="s">
        <v>1217</v>
      </c>
      <c r="O12" s="122">
        <v>1</v>
      </c>
      <c r="P12" s="123">
        <v>3.5000000000000001E-3</v>
      </c>
      <c r="Q12" s="120" t="s">
        <v>2560</v>
      </c>
      <c r="R12" s="138">
        <v>50000</v>
      </c>
      <c r="S12" s="138">
        <v>50000</v>
      </c>
      <c r="T12" s="142">
        <v>1</v>
      </c>
    </row>
    <row r="13" spans="1:26" ht="15" customHeight="1">
      <c r="A13" s="121">
        <v>313</v>
      </c>
      <c r="B13" s="121">
        <v>313</v>
      </c>
      <c r="C13" s="135"/>
      <c r="D13" s="120"/>
      <c r="E13" s="120"/>
      <c r="F13" s="120">
        <v>74005504</v>
      </c>
      <c r="G13" s="124">
        <v>42375</v>
      </c>
      <c r="H13" s="120" t="s">
        <v>203</v>
      </c>
      <c r="I13" s="120"/>
      <c r="J13" s="120" t="s">
        <v>338</v>
      </c>
      <c r="K13" s="136" t="s">
        <v>1359</v>
      </c>
      <c r="L13" s="120" t="s">
        <v>412</v>
      </c>
      <c r="M13" s="120" t="s">
        <v>408</v>
      </c>
      <c r="N13" s="120" t="s">
        <v>1217</v>
      </c>
      <c r="O13" s="122">
        <v>1</v>
      </c>
      <c r="P13" s="123">
        <v>3.5000000000000001E-3</v>
      </c>
      <c r="Q13" s="120" t="s">
        <v>2560</v>
      </c>
      <c r="R13" s="138">
        <v>62500</v>
      </c>
      <c r="S13" s="138">
        <v>62500</v>
      </c>
      <c r="T13" s="142">
        <v>1</v>
      </c>
    </row>
    <row r="14" spans="1:26" ht="15" customHeight="1">
      <c r="A14" s="121">
        <v>313</v>
      </c>
      <c r="B14" s="121">
        <v>313</v>
      </c>
      <c r="C14" s="135"/>
      <c r="D14" s="120"/>
      <c r="E14" s="120"/>
      <c r="F14" s="120">
        <v>70005250</v>
      </c>
      <c r="G14" s="124">
        <v>44048</v>
      </c>
      <c r="H14" s="120" t="s">
        <v>203</v>
      </c>
      <c r="I14" s="120"/>
      <c r="J14" s="120" t="s">
        <v>338</v>
      </c>
      <c r="K14" s="136" t="s">
        <v>1334</v>
      </c>
      <c r="L14" s="120" t="s">
        <v>414</v>
      </c>
      <c r="M14" s="120" t="s">
        <v>408</v>
      </c>
      <c r="N14" s="120" t="s">
        <v>1217</v>
      </c>
      <c r="O14" s="122">
        <v>1</v>
      </c>
      <c r="P14" s="123">
        <v>3.5000000000000001E-3</v>
      </c>
      <c r="Q14" s="120" t="s">
        <v>2560</v>
      </c>
      <c r="R14" s="138">
        <v>27887.5</v>
      </c>
      <c r="S14" s="138">
        <v>27887.5</v>
      </c>
      <c r="T14" s="142">
        <v>5.8970000000000002E-2</v>
      </c>
    </row>
    <row r="15" spans="1:26" ht="15" customHeight="1">
      <c r="A15" s="121">
        <v>313</v>
      </c>
      <c r="B15" s="121">
        <v>313</v>
      </c>
      <c r="C15" s="135"/>
      <c r="D15" s="120"/>
      <c r="E15" s="120"/>
      <c r="F15" s="120">
        <v>70004000</v>
      </c>
      <c r="G15" s="124">
        <v>44545</v>
      </c>
      <c r="H15" s="120" t="s">
        <v>203</v>
      </c>
      <c r="I15" s="120"/>
      <c r="J15" s="120" t="s">
        <v>338</v>
      </c>
      <c r="K15" s="136" t="s">
        <v>1297</v>
      </c>
      <c r="L15" s="120" t="s">
        <v>414</v>
      </c>
      <c r="M15" s="120" t="s">
        <v>408</v>
      </c>
      <c r="N15" s="120" t="s">
        <v>1217</v>
      </c>
      <c r="O15" s="122">
        <v>1</v>
      </c>
      <c r="P15" s="123">
        <v>1.15E-2</v>
      </c>
      <c r="Q15" s="120" t="s">
        <v>2560</v>
      </c>
      <c r="R15" s="138">
        <v>3499.2</v>
      </c>
      <c r="S15" s="138">
        <v>3499.2</v>
      </c>
      <c r="T15" s="142">
        <v>1</v>
      </c>
    </row>
    <row r="16" spans="1:26" ht="15" customHeight="1">
      <c r="A16" s="121">
        <v>313</v>
      </c>
      <c r="B16" s="121">
        <v>313</v>
      </c>
      <c r="C16" s="135"/>
      <c r="D16" s="120"/>
      <c r="E16" s="120"/>
      <c r="F16" s="120">
        <v>70005000</v>
      </c>
      <c r="G16" s="124">
        <v>44559</v>
      </c>
      <c r="H16" s="120" t="s">
        <v>203</v>
      </c>
      <c r="I16" s="120"/>
      <c r="J16" s="120" t="s">
        <v>338</v>
      </c>
      <c r="K16" s="136" t="s">
        <v>1340</v>
      </c>
      <c r="L16" s="120" t="s">
        <v>414</v>
      </c>
      <c r="M16" s="120" t="s">
        <v>408</v>
      </c>
      <c r="N16" s="120" t="s">
        <v>1217</v>
      </c>
      <c r="O16" s="122">
        <v>1</v>
      </c>
      <c r="P16" s="123">
        <v>6.0000000000000001E-3</v>
      </c>
      <c r="Q16" s="120" t="s">
        <v>2560</v>
      </c>
      <c r="R16" s="138">
        <v>40710</v>
      </c>
      <c r="S16" s="138">
        <v>40710</v>
      </c>
      <c r="T16" s="142">
        <v>0.91908000000000001</v>
      </c>
    </row>
    <row r="17" spans="1:20" ht="15" customHeight="1">
      <c r="A17" s="121">
        <v>313</v>
      </c>
      <c r="B17" s="121">
        <v>313</v>
      </c>
      <c r="C17" s="135"/>
      <c r="D17" s="120"/>
      <c r="E17" s="120"/>
      <c r="F17" s="120">
        <v>70005001</v>
      </c>
      <c r="G17" s="124">
        <v>44559</v>
      </c>
      <c r="H17" s="120" t="s">
        <v>203</v>
      </c>
      <c r="I17" s="120"/>
      <c r="J17" s="120" t="s">
        <v>338</v>
      </c>
      <c r="K17" s="136" t="s">
        <v>1340</v>
      </c>
      <c r="L17" s="120" t="s">
        <v>414</v>
      </c>
      <c r="M17" s="120" t="s">
        <v>408</v>
      </c>
      <c r="N17" s="120" t="s">
        <v>1217</v>
      </c>
      <c r="O17" s="122">
        <v>1</v>
      </c>
      <c r="P17" s="123">
        <v>6.0000000000000001E-3</v>
      </c>
      <c r="Q17" s="120" t="s">
        <v>2560</v>
      </c>
      <c r="R17" s="138">
        <v>3450</v>
      </c>
      <c r="S17" s="138">
        <v>3450</v>
      </c>
      <c r="T17" s="142">
        <v>0.93430999999999997</v>
      </c>
    </row>
    <row r="18" spans="1:20" ht="15" customHeight="1">
      <c r="A18" s="121">
        <v>313</v>
      </c>
      <c r="B18" s="121">
        <v>313</v>
      </c>
      <c r="C18" s="135"/>
      <c r="D18" s="120"/>
      <c r="E18" s="120"/>
      <c r="F18" s="120">
        <v>70005002</v>
      </c>
      <c r="G18" s="124">
        <v>44559</v>
      </c>
      <c r="H18" s="120" t="s">
        <v>203</v>
      </c>
      <c r="I18" s="120"/>
      <c r="J18" s="120" t="s">
        <v>338</v>
      </c>
      <c r="K18" s="136" t="s">
        <v>1340</v>
      </c>
      <c r="L18" s="120" t="s">
        <v>414</v>
      </c>
      <c r="M18" s="120" t="s">
        <v>408</v>
      </c>
      <c r="N18" s="120" t="s">
        <v>1217</v>
      </c>
      <c r="O18" s="122">
        <v>1</v>
      </c>
      <c r="P18" s="123">
        <v>6.0000000000000001E-3</v>
      </c>
      <c r="Q18" s="120" t="s">
        <v>2560</v>
      </c>
      <c r="R18" s="138">
        <v>6900</v>
      </c>
      <c r="S18" s="138">
        <v>6900</v>
      </c>
      <c r="T18" s="142">
        <v>1</v>
      </c>
    </row>
    <row r="19" spans="1:20" ht="15" customHeight="1">
      <c r="A19" s="121">
        <v>313</v>
      </c>
      <c r="B19" s="121">
        <v>313</v>
      </c>
      <c r="C19" s="135"/>
      <c r="D19" s="120"/>
      <c r="E19" s="120"/>
      <c r="F19" s="120">
        <v>79200100</v>
      </c>
      <c r="G19" s="124">
        <v>44558</v>
      </c>
      <c r="H19" s="120" t="s">
        <v>203</v>
      </c>
      <c r="I19" s="120"/>
      <c r="J19" s="120" t="s">
        <v>338</v>
      </c>
      <c r="K19" s="120" t="s">
        <v>409</v>
      </c>
      <c r="L19" s="141" t="s">
        <v>409</v>
      </c>
      <c r="M19" s="120" t="s">
        <v>408</v>
      </c>
      <c r="N19" s="120" t="s">
        <v>1217</v>
      </c>
      <c r="O19" s="122">
        <v>1</v>
      </c>
      <c r="P19" s="142">
        <v>9.0000000000000006E-5</v>
      </c>
      <c r="Q19" s="120" t="s">
        <v>2560</v>
      </c>
      <c r="R19" s="138">
        <v>25300</v>
      </c>
      <c r="S19" s="138">
        <v>25300</v>
      </c>
      <c r="T19" s="142">
        <v>3.5909999999999997E-2</v>
      </c>
    </row>
    <row r="20" spans="1:20" ht="15" customHeight="1">
      <c r="A20" s="121">
        <v>313</v>
      </c>
      <c r="B20" s="121">
        <v>313</v>
      </c>
      <c r="C20" s="135"/>
      <c r="D20" s="120"/>
      <c r="E20" s="120"/>
      <c r="F20" s="120">
        <v>76056000</v>
      </c>
      <c r="G20" s="124">
        <v>44644</v>
      </c>
      <c r="H20" s="120" t="s">
        <v>203</v>
      </c>
      <c r="I20" s="120"/>
      <c r="J20" s="120" t="s">
        <v>338</v>
      </c>
      <c r="K20" s="120" t="s">
        <v>1948</v>
      </c>
      <c r="L20" s="120" t="s">
        <v>412</v>
      </c>
      <c r="M20" s="120" t="s">
        <v>408</v>
      </c>
      <c r="N20" s="120" t="s">
        <v>1217</v>
      </c>
      <c r="O20" s="122">
        <v>1</v>
      </c>
      <c r="P20" s="123">
        <v>1.6000000000000001E-3</v>
      </c>
      <c r="Q20" s="120" t="s">
        <v>2560</v>
      </c>
      <c r="R20" s="138">
        <v>138000</v>
      </c>
      <c r="S20" s="138">
        <v>138000</v>
      </c>
      <c r="T20" s="142">
        <v>0.98541000000000001</v>
      </c>
    </row>
    <row r="21" spans="1:20" ht="15" customHeight="1">
      <c r="A21" s="121">
        <v>313</v>
      </c>
      <c r="B21" s="121">
        <v>313</v>
      </c>
      <c r="C21" s="135"/>
      <c r="D21" s="120"/>
      <c r="E21" s="120"/>
      <c r="F21" s="120">
        <v>70009000</v>
      </c>
      <c r="G21" s="124">
        <v>44665</v>
      </c>
      <c r="H21" s="120" t="s">
        <v>203</v>
      </c>
      <c r="I21" s="120"/>
      <c r="J21" s="120" t="s">
        <v>338</v>
      </c>
      <c r="K21" s="120" t="s">
        <v>409</v>
      </c>
      <c r="L21" s="120" t="s">
        <v>311</v>
      </c>
      <c r="M21" s="120" t="s">
        <v>408</v>
      </c>
      <c r="N21" s="120" t="s">
        <v>1217</v>
      </c>
      <c r="O21" s="122">
        <v>1</v>
      </c>
      <c r="P21" s="123">
        <v>3.5000000000000001E-3</v>
      </c>
      <c r="Q21" s="120" t="s">
        <v>2560</v>
      </c>
      <c r="R21" s="138">
        <v>57500</v>
      </c>
      <c r="S21" s="138">
        <v>57500</v>
      </c>
      <c r="T21" s="142">
        <v>0.2</v>
      </c>
    </row>
    <row r="22" spans="1:20" ht="15" customHeight="1">
      <c r="A22" s="121">
        <v>313</v>
      </c>
      <c r="B22" s="121">
        <v>313</v>
      </c>
      <c r="C22" s="135"/>
      <c r="D22" s="120"/>
      <c r="E22" s="120"/>
      <c r="F22" s="120">
        <v>70004200</v>
      </c>
      <c r="G22" s="124">
        <v>44825</v>
      </c>
      <c r="H22" s="120" t="s">
        <v>203</v>
      </c>
      <c r="I22" s="120"/>
      <c r="J22" s="120" t="s">
        <v>338</v>
      </c>
      <c r="K22" s="136" t="s">
        <v>2572</v>
      </c>
      <c r="L22" s="120" t="s">
        <v>412</v>
      </c>
      <c r="M22" s="120" t="s">
        <v>408</v>
      </c>
      <c r="N22" s="120" t="s">
        <v>1217</v>
      </c>
      <c r="O22" s="122">
        <v>1</v>
      </c>
      <c r="P22" s="123">
        <v>5.0000000000000001E-3</v>
      </c>
      <c r="Q22" s="120" t="s">
        <v>2560</v>
      </c>
      <c r="R22" s="138">
        <v>73600</v>
      </c>
      <c r="S22" s="138">
        <v>73600</v>
      </c>
      <c r="T22" s="142">
        <v>0.97126999999999997</v>
      </c>
    </row>
    <row r="23" spans="1:20" ht="15" customHeight="1">
      <c r="A23" s="121">
        <v>313</v>
      </c>
      <c r="B23" s="121">
        <v>313</v>
      </c>
      <c r="C23" s="135"/>
      <c r="D23" s="120"/>
      <c r="E23" s="139"/>
      <c r="F23" s="120">
        <v>70007700</v>
      </c>
      <c r="G23" s="124">
        <v>44802</v>
      </c>
      <c r="H23" s="120" t="s">
        <v>203</v>
      </c>
      <c r="I23" s="120"/>
      <c r="J23" s="120" t="s">
        <v>338</v>
      </c>
      <c r="K23" s="136" t="s">
        <v>1315</v>
      </c>
      <c r="L23" s="120" t="s">
        <v>414</v>
      </c>
      <c r="M23" s="120" t="s">
        <v>408</v>
      </c>
      <c r="N23" s="120" t="s">
        <v>1217</v>
      </c>
      <c r="O23" s="122">
        <v>1</v>
      </c>
      <c r="P23" s="123">
        <v>4.0000000000000001E-3</v>
      </c>
      <c r="Q23" s="120" t="s">
        <v>2560</v>
      </c>
      <c r="R23" s="138">
        <v>34134.403191799996</v>
      </c>
      <c r="S23" s="138">
        <v>34134.403191799996</v>
      </c>
      <c r="T23" s="142">
        <v>0.62695999999999996</v>
      </c>
    </row>
    <row r="24" spans="1:20" ht="15" customHeight="1">
      <c r="A24" s="121">
        <v>313</v>
      </c>
      <c r="B24" s="121">
        <v>313</v>
      </c>
      <c r="C24" s="135"/>
      <c r="D24" s="120"/>
      <c r="E24" s="139"/>
      <c r="F24" s="120">
        <v>70007710</v>
      </c>
      <c r="G24" s="124">
        <v>44802</v>
      </c>
      <c r="H24" s="120" t="s">
        <v>203</v>
      </c>
      <c r="I24" s="120"/>
      <c r="J24" s="120" t="s">
        <v>338</v>
      </c>
      <c r="K24" s="136" t="s">
        <v>1315</v>
      </c>
      <c r="L24" s="120" t="s">
        <v>414</v>
      </c>
      <c r="M24" s="120" t="s">
        <v>408</v>
      </c>
      <c r="N24" s="120" t="s">
        <v>1217</v>
      </c>
      <c r="O24" s="122">
        <v>1</v>
      </c>
      <c r="P24" s="123">
        <v>4.0000000000000001E-3</v>
      </c>
      <c r="Q24" s="120" t="s">
        <v>2560</v>
      </c>
      <c r="R24" s="138">
        <v>112800.77484730001</v>
      </c>
      <c r="S24" s="138">
        <v>112800.77484730001</v>
      </c>
      <c r="T24" s="142">
        <v>1</v>
      </c>
    </row>
    <row r="25" spans="1:20" ht="15" customHeight="1">
      <c r="A25" s="121">
        <v>313</v>
      </c>
      <c r="B25" s="121">
        <v>313</v>
      </c>
      <c r="C25" s="135"/>
      <c r="D25" s="120"/>
      <c r="E25" s="139"/>
      <c r="F25" s="120">
        <v>70007720</v>
      </c>
      <c r="G25" s="124">
        <v>44802</v>
      </c>
      <c r="H25" s="120" t="s">
        <v>203</v>
      </c>
      <c r="I25" s="120"/>
      <c r="J25" s="120" t="s">
        <v>338</v>
      </c>
      <c r="K25" s="136" t="s">
        <v>1315</v>
      </c>
      <c r="L25" s="120" t="s">
        <v>414</v>
      </c>
      <c r="M25" s="120" t="s">
        <v>408</v>
      </c>
      <c r="N25" s="120" t="s">
        <v>1217</v>
      </c>
      <c r="O25" s="122">
        <v>1</v>
      </c>
      <c r="P25" s="123">
        <v>4.0000000000000001E-3</v>
      </c>
      <c r="Q25" s="120" t="s">
        <v>2560</v>
      </c>
      <c r="R25" s="138">
        <v>5660.0413466000009</v>
      </c>
      <c r="S25" s="138">
        <v>5660.0413466000009</v>
      </c>
      <c r="T25" s="142">
        <v>1</v>
      </c>
    </row>
    <row r="26" spans="1:20" ht="15" customHeight="1">
      <c r="A26" s="121">
        <v>313</v>
      </c>
      <c r="B26" s="121">
        <v>313</v>
      </c>
      <c r="C26" s="135"/>
      <c r="D26" s="120"/>
      <c r="E26" s="139"/>
      <c r="F26" s="120">
        <v>70007730</v>
      </c>
      <c r="G26" s="124">
        <v>44802</v>
      </c>
      <c r="H26" s="120" t="s">
        <v>203</v>
      </c>
      <c r="I26" s="120"/>
      <c r="J26" s="120" t="s">
        <v>338</v>
      </c>
      <c r="K26" s="136" t="s">
        <v>1315</v>
      </c>
      <c r="L26" s="120" t="s">
        <v>414</v>
      </c>
      <c r="M26" s="120" t="s">
        <v>408</v>
      </c>
      <c r="N26" s="120" t="s">
        <v>1217</v>
      </c>
      <c r="O26" s="122">
        <v>1</v>
      </c>
      <c r="P26" s="123">
        <v>4.0000000000000001E-3</v>
      </c>
      <c r="Q26" s="120" t="s">
        <v>2560</v>
      </c>
      <c r="R26" s="138">
        <v>22204.777587500001</v>
      </c>
      <c r="S26" s="138">
        <v>22204.777587500001</v>
      </c>
      <c r="T26" s="142">
        <v>0.98214000000000001</v>
      </c>
    </row>
    <row r="27" spans="1:20" ht="15" customHeight="1">
      <c r="A27" s="121">
        <v>313</v>
      </c>
      <c r="B27" s="121">
        <v>313</v>
      </c>
      <c r="C27" s="135"/>
      <c r="D27" s="120"/>
      <c r="E27" s="139"/>
      <c r="F27" s="120">
        <v>71000300</v>
      </c>
      <c r="G27" s="124">
        <v>44858</v>
      </c>
      <c r="H27" s="120" t="s">
        <v>203</v>
      </c>
      <c r="I27" s="120"/>
      <c r="J27" s="120" t="s">
        <v>338</v>
      </c>
      <c r="K27" s="136" t="s">
        <v>1297</v>
      </c>
      <c r="L27" s="120" t="s">
        <v>414</v>
      </c>
      <c r="M27" s="120" t="s">
        <v>408</v>
      </c>
      <c r="N27" s="120" t="s">
        <v>1217</v>
      </c>
      <c r="O27" s="122">
        <v>1</v>
      </c>
      <c r="P27" s="123">
        <v>8.9999999999999993E-3</v>
      </c>
      <c r="Q27" s="120" t="s">
        <v>2560</v>
      </c>
      <c r="R27" s="138">
        <v>188.38932000000003</v>
      </c>
      <c r="S27" s="138">
        <v>188.38932000000003</v>
      </c>
      <c r="T27" s="142">
        <v>1</v>
      </c>
    </row>
    <row r="28" spans="1:20" ht="15" customHeight="1">
      <c r="A28" s="121">
        <v>313</v>
      </c>
      <c r="B28" s="121">
        <v>313</v>
      </c>
      <c r="C28" s="135"/>
      <c r="D28" s="120"/>
      <c r="E28" s="139"/>
      <c r="F28" s="120">
        <v>71000301</v>
      </c>
      <c r="G28" s="124">
        <v>44858</v>
      </c>
      <c r="H28" s="120" t="s">
        <v>203</v>
      </c>
      <c r="I28" s="120"/>
      <c r="J28" s="120" t="s">
        <v>338</v>
      </c>
      <c r="K28" s="136" t="s">
        <v>1297</v>
      </c>
      <c r="L28" s="120" t="s">
        <v>414</v>
      </c>
      <c r="M28" s="120" t="s">
        <v>408</v>
      </c>
      <c r="N28" s="120" t="s">
        <v>1217</v>
      </c>
      <c r="O28" s="122">
        <v>1</v>
      </c>
      <c r="P28" s="123">
        <v>8.9999999999999993E-3</v>
      </c>
      <c r="Q28" s="120" t="s">
        <v>2560</v>
      </c>
      <c r="R28" s="138">
        <v>202.98795999999999</v>
      </c>
      <c r="S28" s="138">
        <v>202.98795999999999</v>
      </c>
      <c r="T28" s="142">
        <v>1</v>
      </c>
    </row>
    <row r="29" spans="1:20" ht="15" customHeight="1">
      <c r="A29" s="121">
        <v>313</v>
      </c>
      <c r="B29" s="121">
        <v>313</v>
      </c>
      <c r="C29" s="135"/>
      <c r="D29" s="120"/>
      <c r="E29" s="139"/>
      <c r="F29" s="120">
        <v>71000302</v>
      </c>
      <c r="G29" s="124">
        <v>44858</v>
      </c>
      <c r="H29" s="120" t="s">
        <v>203</v>
      </c>
      <c r="I29" s="120"/>
      <c r="J29" s="120" t="s">
        <v>338</v>
      </c>
      <c r="K29" s="136" t="s">
        <v>1297</v>
      </c>
      <c r="L29" s="120" t="s">
        <v>414</v>
      </c>
      <c r="M29" s="120" t="s">
        <v>408</v>
      </c>
      <c r="N29" s="120" t="s">
        <v>1217</v>
      </c>
      <c r="O29" s="122">
        <v>1</v>
      </c>
      <c r="P29" s="123">
        <v>8.9999999999999993E-3</v>
      </c>
      <c r="Q29" s="120" t="s">
        <v>2560</v>
      </c>
      <c r="R29" s="138">
        <v>234.80408</v>
      </c>
      <c r="S29" s="138">
        <v>234.80408</v>
      </c>
      <c r="T29" s="142">
        <v>1</v>
      </c>
    </row>
    <row r="30" spans="1:20" ht="15" customHeight="1">
      <c r="A30" s="121">
        <v>313</v>
      </c>
      <c r="B30" s="121">
        <v>313</v>
      </c>
      <c r="C30" s="135"/>
      <c r="D30" s="120"/>
      <c r="E30" s="139"/>
      <c r="F30" s="120">
        <v>71000303</v>
      </c>
      <c r="G30" s="124">
        <v>44858</v>
      </c>
      <c r="H30" s="120" t="s">
        <v>203</v>
      </c>
      <c r="I30" s="120"/>
      <c r="J30" s="120" t="s">
        <v>338</v>
      </c>
      <c r="K30" s="136" t="s">
        <v>1297</v>
      </c>
      <c r="L30" s="120" t="s">
        <v>414</v>
      </c>
      <c r="M30" s="120" t="s">
        <v>408</v>
      </c>
      <c r="N30" s="120" t="s">
        <v>1217</v>
      </c>
      <c r="O30" s="122">
        <v>1</v>
      </c>
      <c r="P30" s="123">
        <v>8.9999999999999993E-3</v>
      </c>
      <c r="Q30" s="120" t="s">
        <v>2560</v>
      </c>
      <c r="R30" s="138">
        <v>172.45340000000002</v>
      </c>
      <c r="S30" s="138">
        <v>172.45340000000002</v>
      </c>
      <c r="T30" s="142">
        <v>1</v>
      </c>
    </row>
    <row r="31" spans="1:20" ht="15" customHeight="1">
      <c r="A31" s="121">
        <v>313</v>
      </c>
      <c r="B31" s="121">
        <v>313</v>
      </c>
      <c r="C31" s="135"/>
      <c r="D31" s="120"/>
      <c r="E31" s="139"/>
      <c r="F31" s="120">
        <v>71000304</v>
      </c>
      <c r="G31" s="124">
        <v>44858</v>
      </c>
      <c r="H31" s="120" t="s">
        <v>203</v>
      </c>
      <c r="I31" s="120"/>
      <c r="J31" s="120" t="s">
        <v>338</v>
      </c>
      <c r="K31" s="136" t="s">
        <v>1297</v>
      </c>
      <c r="L31" s="120" t="s">
        <v>414</v>
      </c>
      <c r="M31" s="120" t="s">
        <v>408</v>
      </c>
      <c r="N31" s="120" t="s">
        <v>1217</v>
      </c>
      <c r="O31" s="122">
        <v>1</v>
      </c>
      <c r="P31" s="123">
        <v>8.9999999999999993E-3</v>
      </c>
      <c r="Q31" s="120" t="s">
        <v>2560</v>
      </c>
      <c r="R31" s="138">
        <v>172.62056000000001</v>
      </c>
      <c r="S31" s="138">
        <v>172.62056000000001</v>
      </c>
      <c r="T31" s="142">
        <v>1</v>
      </c>
    </row>
    <row r="32" spans="1:20" ht="15" customHeight="1">
      <c r="A32" s="121">
        <v>313</v>
      </c>
      <c r="B32" s="121">
        <v>313</v>
      </c>
      <c r="C32" s="135"/>
      <c r="D32" s="120"/>
      <c r="E32" s="139"/>
      <c r="F32" s="120">
        <v>71000200</v>
      </c>
      <c r="G32" s="124">
        <v>44858</v>
      </c>
      <c r="H32" s="120" t="s">
        <v>203</v>
      </c>
      <c r="I32" s="120"/>
      <c r="J32" s="120" t="s">
        <v>338</v>
      </c>
      <c r="K32" s="136" t="s">
        <v>1297</v>
      </c>
      <c r="L32" s="120" t="s">
        <v>414</v>
      </c>
      <c r="M32" s="120" t="s">
        <v>408</v>
      </c>
      <c r="N32" s="120" t="s">
        <v>1217</v>
      </c>
      <c r="O32" s="122">
        <v>1</v>
      </c>
      <c r="P32" s="123">
        <v>8.9999999999999993E-3</v>
      </c>
      <c r="Q32" s="120" t="s">
        <v>2560</v>
      </c>
      <c r="R32" s="138">
        <v>71.934520000000006</v>
      </c>
      <c r="S32" s="138">
        <v>71.934520000000006</v>
      </c>
      <c r="T32" s="142">
        <v>1</v>
      </c>
    </row>
    <row r="33" spans="1:20" ht="15" customHeight="1">
      <c r="A33" s="121">
        <v>313</v>
      </c>
      <c r="B33" s="121">
        <v>313</v>
      </c>
      <c r="C33" s="135"/>
      <c r="D33" s="120"/>
      <c r="E33" s="139"/>
      <c r="F33" s="120">
        <v>71000201</v>
      </c>
      <c r="G33" s="124">
        <v>44858</v>
      </c>
      <c r="H33" s="120" t="s">
        <v>203</v>
      </c>
      <c r="I33" s="120"/>
      <c r="J33" s="120" t="s">
        <v>338</v>
      </c>
      <c r="K33" s="136" t="s">
        <v>1297</v>
      </c>
      <c r="L33" s="120" t="s">
        <v>414</v>
      </c>
      <c r="M33" s="120" t="s">
        <v>408</v>
      </c>
      <c r="N33" s="120" t="s">
        <v>1217</v>
      </c>
      <c r="O33" s="122">
        <v>1</v>
      </c>
      <c r="P33" s="123">
        <v>8.9999999999999993E-3</v>
      </c>
      <c r="Q33" s="120" t="s">
        <v>2560</v>
      </c>
      <c r="R33" s="138">
        <v>65.805319999999995</v>
      </c>
      <c r="S33" s="138">
        <v>65.805319999999995</v>
      </c>
      <c r="T33" s="142">
        <v>1</v>
      </c>
    </row>
    <row r="34" spans="1:20" ht="15" customHeight="1">
      <c r="A34" s="121">
        <v>313</v>
      </c>
      <c r="B34" s="121">
        <v>313</v>
      </c>
      <c r="C34" s="135"/>
      <c r="D34" s="120"/>
      <c r="E34" s="139"/>
      <c r="F34" s="120">
        <v>71000202</v>
      </c>
      <c r="G34" s="124">
        <v>44858</v>
      </c>
      <c r="H34" s="120" t="s">
        <v>203</v>
      </c>
      <c r="I34" s="120"/>
      <c r="J34" s="120" t="s">
        <v>338</v>
      </c>
      <c r="K34" s="136" t="s">
        <v>1297</v>
      </c>
      <c r="L34" s="120" t="s">
        <v>414</v>
      </c>
      <c r="M34" s="120" t="s">
        <v>408</v>
      </c>
      <c r="N34" s="120" t="s">
        <v>1217</v>
      </c>
      <c r="O34" s="122">
        <v>1</v>
      </c>
      <c r="P34" s="123">
        <v>8.9999999999999993E-3</v>
      </c>
      <c r="Q34" s="120" t="s">
        <v>2560</v>
      </c>
      <c r="R34" s="138">
        <v>90.545000000000002</v>
      </c>
      <c r="S34" s="138">
        <v>90.545000000000002</v>
      </c>
      <c r="T34" s="142">
        <v>1</v>
      </c>
    </row>
    <row r="35" spans="1:20" ht="15" customHeight="1">
      <c r="A35" s="121">
        <v>313</v>
      </c>
      <c r="B35" s="121">
        <v>313</v>
      </c>
      <c r="C35" s="135"/>
      <c r="D35" s="120"/>
      <c r="E35" s="139"/>
      <c r="F35" s="120">
        <v>71000203</v>
      </c>
      <c r="G35" s="124">
        <v>44858</v>
      </c>
      <c r="H35" s="120" t="s">
        <v>203</v>
      </c>
      <c r="I35" s="120"/>
      <c r="J35" s="120" t="s">
        <v>338</v>
      </c>
      <c r="K35" s="136" t="s">
        <v>1297</v>
      </c>
      <c r="L35" s="120" t="s">
        <v>414</v>
      </c>
      <c r="M35" s="120" t="s">
        <v>408</v>
      </c>
      <c r="N35" s="120" t="s">
        <v>1217</v>
      </c>
      <c r="O35" s="122">
        <v>1</v>
      </c>
      <c r="P35" s="123">
        <v>8.9999999999999993E-3</v>
      </c>
      <c r="Q35" s="120" t="s">
        <v>2560</v>
      </c>
      <c r="R35" s="138">
        <v>50.370880000000007</v>
      </c>
      <c r="S35" s="138">
        <v>50.370880000000007</v>
      </c>
      <c r="T35" s="142">
        <v>1</v>
      </c>
    </row>
    <row r="36" spans="1:20" ht="15" customHeight="1">
      <c r="A36" s="121">
        <v>313</v>
      </c>
      <c r="B36" s="121">
        <v>313</v>
      </c>
      <c r="C36" s="135"/>
      <c r="D36" s="120"/>
      <c r="E36" s="139"/>
      <c r="F36" s="120">
        <v>71000204</v>
      </c>
      <c r="G36" s="124">
        <v>44858</v>
      </c>
      <c r="H36" s="120" t="s">
        <v>203</v>
      </c>
      <c r="I36" s="120"/>
      <c r="J36" s="120" t="s">
        <v>338</v>
      </c>
      <c r="K36" s="136" t="s">
        <v>1297</v>
      </c>
      <c r="L36" s="120" t="s">
        <v>414</v>
      </c>
      <c r="M36" s="120" t="s">
        <v>408</v>
      </c>
      <c r="N36" s="120" t="s">
        <v>1217</v>
      </c>
      <c r="O36" s="122">
        <v>1</v>
      </c>
      <c r="P36" s="123">
        <v>8.9999999999999993E-3</v>
      </c>
      <c r="Q36" s="120" t="s">
        <v>2560</v>
      </c>
      <c r="R36" s="138">
        <v>56.444360000000003</v>
      </c>
      <c r="S36" s="138">
        <v>56.444360000000003</v>
      </c>
      <c r="T36" s="142">
        <v>1</v>
      </c>
    </row>
    <row r="37" spans="1:20" ht="15" customHeight="1">
      <c r="A37" s="121">
        <v>313</v>
      </c>
      <c r="B37" s="121">
        <v>313</v>
      </c>
      <c r="C37" s="135"/>
      <c r="D37" s="120"/>
      <c r="E37" s="120"/>
      <c r="F37" s="120">
        <v>78009000</v>
      </c>
      <c r="G37" s="124">
        <v>44812</v>
      </c>
      <c r="H37" s="120" t="s">
        <v>203</v>
      </c>
      <c r="I37" s="120"/>
      <c r="J37" s="120" t="s">
        <v>338</v>
      </c>
      <c r="K37" s="120" t="s">
        <v>409</v>
      </c>
      <c r="L37" s="141" t="s">
        <v>409</v>
      </c>
      <c r="M37" s="120" t="s">
        <v>408</v>
      </c>
      <c r="N37" s="120" t="s">
        <v>1217</v>
      </c>
      <c r="O37" s="122">
        <v>1</v>
      </c>
      <c r="P37" s="123">
        <v>4.4999999999999997E-3</v>
      </c>
      <c r="Q37" s="120" t="s">
        <v>2560</v>
      </c>
      <c r="R37" s="138">
        <v>69000</v>
      </c>
      <c r="S37" s="138">
        <v>69000</v>
      </c>
      <c r="T37" s="142">
        <v>1</v>
      </c>
    </row>
    <row r="38" spans="1:20" ht="15" customHeight="1">
      <c r="A38" s="121">
        <v>313</v>
      </c>
      <c r="B38" s="121">
        <v>313</v>
      </c>
      <c r="C38" s="135"/>
      <c r="D38" s="120"/>
      <c r="E38" s="120"/>
      <c r="F38" s="120">
        <v>78009001</v>
      </c>
      <c r="G38" s="124">
        <v>44812</v>
      </c>
      <c r="H38" s="120" t="s">
        <v>203</v>
      </c>
      <c r="I38" s="120"/>
      <c r="J38" s="120" t="s">
        <v>338</v>
      </c>
      <c r="K38" s="120" t="s">
        <v>409</v>
      </c>
      <c r="L38" s="141" t="s">
        <v>409</v>
      </c>
      <c r="M38" s="120" t="s">
        <v>408</v>
      </c>
      <c r="N38" s="120" t="s">
        <v>1217</v>
      </c>
      <c r="O38" s="122">
        <v>1</v>
      </c>
      <c r="P38" s="123">
        <v>4.4999999999999997E-3</v>
      </c>
      <c r="Q38" s="120" t="s">
        <v>2560</v>
      </c>
      <c r="R38" s="138">
        <v>138000</v>
      </c>
      <c r="S38" s="138">
        <v>138000</v>
      </c>
      <c r="T38" s="142">
        <v>1</v>
      </c>
    </row>
    <row r="39" spans="1:20" ht="15" customHeight="1">
      <c r="A39" s="121">
        <v>313</v>
      </c>
      <c r="B39" s="121">
        <v>313</v>
      </c>
      <c r="C39" s="135"/>
      <c r="D39" s="120"/>
      <c r="E39" s="120"/>
      <c r="F39" s="120">
        <v>5009000</v>
      </c>
      <c r="G39" s="124">
        <v>45089</v>
      </c>
      <c r="H39" s="120" t="s">
        <v>203</v>
      </c>
      <c r="I39" s="120"/>
      <c r="J39" s="120" t="s">
        <v>338</v>
      </c>
      <c r="K39" s="120" t="s">
        <v>1407</v>
      </c>
      <c r="L39" s="120" t="s">
        <v>311</v>
      </c>
      <c r="M39" s="120" t="s">
        <v>408</v>
      </c>
      <c r="N39" s="120" t="s">
        <v>1217</v>
      </c>
      <c r="O39" s="122">
        <v>1</v>
      </c>
      <c r="P39" s="123">
        <v>4.0000000000000001E-3</v>
      </c>
      <c r="Q39" s="120" t="s">
        <v>2560</v>
      </c>
      <c r="R39" s="138">
        <v>34500</v>
      </c>
      <c r="S39" s="138">
        <v>34500</v>
      </c>
      <c r="T39" s="142">
        <v>0.66666999999999998</v>
      </c>
    </row>
    <row r="40" spans="1:20" ht="15" customHeight="1">
      <c r="A40" s="121">
        <v>313</v>
      </c>
      <c r="B40" s="121">
        <v>313</v>
      </c>
      <c r="C40" s="135"/>
      <c r="D40" s="120"/>
      <c r="E40" s="139"/>
      <c r="F40" s="120">
        <v>5890000</v>
      </c>
      <c r="G40" s="124">
        <v>45264</v>
      </c>
      <c r="H40" s="120" t="s">
        <v>203</v>
      </c>
      <c r="I40" s="120"/>
      <c r="J40" s="120" t="s">
        <v>338</v>
      </c>
      <c r="K40" s="136" t="s">
        <v>1334</v>
      </c>
      <c r="L40" s="120" t="s">
        <v>414</v>
      </c>
      <c r="M40" s="120" t="s">
        <v>408</v>
      </c>
      <c r="N40" s="120" t="s">
        <v>1217</v>
      </c>
      <c r="O40" s="122">
        <v>1</v>
      </c>
      <c r="P40" s="123">
        <v>3.5000000000000001E-3</v>
      </c>
      <c r="Q40" s="120" t="s">
        <v>2560</v>
      </c>
      <c r="R40" s="138">
        <v>59800</v>
      </c>
      <c r="S40" s="138">
        <v>59800</v>
      </c>
      <c r="T40" s="142">
        <v>0.39295999999999998</v>
      </c>
    </row>
    <row r="41" spans="1:20" ht="15" customHeight="1">
      <c r="A41" s="121">
        <v>313</v>
      </c>
      <c r="B41" s="121">
        <v>313</v>
      </c>
      <c r="C41" s="135"/>
      <c r="D41" s="120"/>
      <c r="E41" s="120"/>
      <c r="F41" s="120">
        <v>5890001</v>
      </c>
      <c r="G41" s="124">
        <v>45264</v>
      </c>
      <c r="H41" s="120" t="s">
        <v>203</v>
      </c>
      <c r="I41" s="120"/>
      <c r="J41" s="120" t="s">
        <v>338</v>
      </c>
      <c r="K41" s="136" t="s">
        <v>1334</v>
      </c>
      <c r="L41" s="120" t="s">
        <v>414</v>
      </c>
      <c r="M41" s="120" t="s">
        <v>408</v>
      </c>
      <c r="N41" s="120" t="s">
        <v>1217</v>
      </c>
      <c r="O41" s="122">
        <v>1</v>
      </c>
      <c r="P41" s="123">
        <v>0.01</v>
      </c>
      <c r="Q41" s="120" t="s">
        <v>2560</v>
      </c>
      <c r="R41" s="138">
        <v>575</v>
      </c>
      <c r="S41" s="138">
        <v>575</v>
      </c>
      <c r="T41" s="142">
        <v>1</v>
      </c>
    </row>
    <row r="42" spans="1:20" ht="15" customHeight="1">
      <c r="A42" s="121">
        <v>313</v>
      </c>
      <c r="B42" s="121">
        <v>313</v>
      </c>
      <c r="C42" s="135"/>
      <c r="D42" s="120"/>
      <c r="E42" s="120"/>
      <c r="F42" s="120">
        <v>5890002</v>
      </c>
      <c r="G42" s="124">
        <v>45264</v>
      </c>
      <c r="H42" s="120" t="s">
        <v>203</v>
      </c>
      <c r="I42" s="120"/>
      <c r="J42" s="120" t="s">
        <v>338</v>
      </c>
      <c r="K42" s="136" t="s">
        <v>1334</v>
      </c>
      <c r="L42" s="120" t="s">
        <v>414</v>
      </c>
      <c r="M42" s="120" t="s">
        <v>408</v>
      </c>
      <c r="N42" s="120" t="s">
        <v>1217</v>
      </c>
      <c r="O42" s="122">
        <v>1</v>
      </c>
      <c r="P42" s="123">
        <v>0.01</v>
      </c>
      <c r="Q42" s="120" t="s">
        <v>2560</v>
      </c>
      <c r="R42" s="138">
        <v>2300</v>
      </c>
      <c r="S42" s="138">
        <v>2300</v>
      </c>
      <c r="T42" s="142">
        <v>1</v>
      </c>
    </row>
    <row r="43" spans="1:20" ht="15" customHeight="1">
      <c r="A43" s="121">
        <v>313</v>
      </c>
      <c r="B43" s="121">
        <v>313</v>
      </c>
      <c r="C43" s="135"/>
      <c r="D43" s="120"/>
      <c r="E43" s="120"/>
      <c r="F43" s="120">
        <v>70000450</v>
      </c>
      <c r="G43" s="124">
        <v>45225</v>
      </c>
      <c r="H43" s="120" t="s">
        <v>203</v>
      </c>
      <c r="I43" s="120"/>
      <c r="J43" s="120" t="s">
        <v>338</v>
      </c>
      <c r="K43" s="136" t="s">
        <v>1334</v>
      </c>
      <c r="L43" s="120" t="s">
        <v>414</v>
      </c>
      <c r="M43" s="120" t="s">
        <v>408</v>
      </c>
      <c r="N43" s="120" t="s">
        <v>1217</v>
      </c>
      <c r="O43" s="122">
        <v>1</v>
      </c>
      <c r="P43" s="123">
        <v>6.0000000000000001E-3</v>
      </c>
      <c r="Q43" s="120" t="s">
        <v>2560</v>
      </c>
      <c r="R43" s="138">
        <v>173.30500000000001</v>
      </c>
      <c r="S43" s="138">
        <v>173.30500000000001</v>
      </c>
      <c r="T43" s="142">
        <v>1</v>
      </c>
    </row>
    <row r="44" spans="1:20" ht="15" customHeight="1">
      <c r="A44" s="121">
        <v>313</v>
      </c>
      <c r="B44" s="121">
        <v>313</v>
      </c>
      <c r="C44" s="135"/>
      <c r="D44" s="120"/>
      <c r="E44" s="120"/>
      <c r="F44" s="120">
        <v>70000451</v>
      </c>
      <c r="G44" s="124">
        <v>45225</v>
      </c>
      <c r="H44" s="120" t="s">
        <v>203</v>
      </c>
      <c r="I44" s="120"/>
      <c r="J44" s="120" t="s">
        <v>338</v>
      </c>
      <c r="K44" s="136" t="s">
        <v>1334</v>
      </c>
      <c r="L44" s="120" t="s">
        <v>414</v>
      </c>
      <c r="M44" s="120" t="s">
        <v>408</v>
      </c>
      <c r="N44" s="120" t="s">
        <v>1217</v>
      </c>
      <c r="O44" s="122">
        <v>1</v>
      </c>
      <c r="P44" s="123">
        <v>6.0000000000000001E-3</v>
      </c>
      <c r="Q44" s="120" t="s">
        <v>2560</v>
      </c>
      <c r="R44" s="138">
        <v>160.54</v>
      </c>
      <c r="S44" s="138">
        <v>160.54</v>
      </c>
      <c r="T44" s="142">
        <v>1</v>
      </c>
    </row>
    <row r="45" spans="1:20" ht="15" customHeight="1">
      <c r="A45" s="121">
        <v>313</v>
      </c>
      <c r="B45" s="121">
        <v>313</v>
      </c>
      <c r="C45" s="135"/>
      <c r="D45" s="120"/>
      <c r="E45" s="120"/>
      <c r="F45" s="120">
        <v>70000452</v>
      </c>
      <c r="G45" s="124">
        <v>45225</v>
      </c>
      <c r="H45" s="120" t="s">
        <v>203</v>
      </c>
      <c r="I45" s="120"/>
      <c r="J45" s="120" t="s">
        <v>338</v>
      </c>
      <c r="K45" s="136" t="s">
        <v>1334</v>
      </c>
      <c r="L45" s="120" t="s">
        <v>414</v>
      </c>
      <c r="M45" s="120" t="s">
        <v>408</v>
      </c>
      <c r="N45" s="120" t="s">
        <v>1217</v>
      </c>
      <c r="O45" s="122">
        <v>1</v>
      </c>
      <c r="P45" s="123">
        <v>6.0000000000000001E-3</v>
      </c>
      <c r="Q45" s="120" t="s">
        <v>2560</v>
      </c>
      <c r="R45" s="138">
        <v>176.065</v>
      </c>
      <c r="S45" s="138">
        <v>176.065</v>
      </c>
      <c r="T45" s="142">
        <v>1</v>
      </c>
    </row>
    <row r="46" spans="1:20" ht="15" customHeight="1">
      <c r="A46" s="121">
        <v>313</v>
      </c>
      <c r="B46" s="121">
        <v>313</v>
      </c>
      <c r="C46" s="135"/>
      <c r="D46" s="120"/>
      <c r="E46" s="120"/>
      <c r="F46" s="120">
        <v>70000453</v>
      </c>
      <c r="G46" s="124">
        <v>45225</v>
      </c>
      <c r="H46" s="120" t="s">
        <v>203</v>
      </c>
      <c r="I46" s="120"/>
      <c r="J46" s="120" t="s">
        <v>338</v>
      </c>
      <c r="K46" s="136" t="s">
        <v>1334</v>
      </c>
      <c r="L46" s="120" t="s">
        <v>414</v>
      </c>
      <c r="M46" s="120" t="s">
        <v>408</v>
      </c>
      <c r="N46" s="120" t="s">
        <v>1217</v>
      </c>
      <c r="O46" s="122">
        <v>1</v>
      </c>
      <c r="P46" s="123">
        <v>6.0000000000000001E-3</v>
      </c>
      <c r="Q46" s="120" t="s">
        <v>2560</v>
      </c>
      <c r="R46" s="138">
        <v>43.814999999999998</v>
      </c>
      <c r="S46" s="138">
        <v>43.814999999999998</v>
      </c>
      <c r="T46" s="142">
        <v>1</v>
      </c>
    </row>
    <row r="47" spans="1:20" ht="15" customHeight="1">
      <c r="A47" s="121">
        <v>313</v>
      </c>
      <c r="B47" s="121">
        <v>313</v>
      </c>
      <c r="C47" s="135"/>
      <c r="D47" s="120"/>
      <c r="E47" s="120"/>
      <c r="F47" s="120">
        <v>70000454</v>
      </c>
      <c r="G47" s="124">
        <v>45225</v>
      </c>
      <c r="H47" s="120" t="s">
        <v>203</v>
      </c>
      <c r="I47" s="120"/>
      <c r="J47" s="120" t="s">
        <v>338</v>
      </c>
      <c r="K47" s="136" t="s">
        <v>1334</v>
      </c>
      <c r="L47" s="120" t="s">
        <v>414</v>
      </c>
      <c r="M47" s="120" t="s">
        <v>408</v>
      </c>
      <c r="N47" s="120" t="s">
        <v>1217</v>
      </c>
      <c r="O47" s="122">
        <v>1</v>
      </c>
      <c r="P47" s="123">
        <v>6.0000000000000001E-3</v>
      </c>
      <c r="Q47" s="120" t="s">
        <v>2560</v>
      </c>
      <c r="R47" s="138">
        <v>12.19</v>
      </c>
      <c r="S47" s="138">
        <v>12.19</v>
      </c>
      <c r="T47" s="142">
        <v>1</v>
      </c>
    </row>
    <row r="48" spans="1:20" ht="15" customHeight="1">
      <c r="A48" s="121">
        <v>313</v>
      </c>
      <c r="B48" s="121">
        <v>313</v>
      </c>
      <c r="C48" s="135"/>
      <c r="D48" s="120"/>
      <c r="E48" s="120"/>
      <c r="F48" s="120">
        <v>70000750</v>
      </c>
      <c r="G48" s="124">
        <v>45274</v>
      </c>
      <c r="H48" s="120" t="s">
        <v>203</v>
      </c>
      <c r="I48" s="120"/>
      <c r="J48" s="120" t="s">
        <v>338</v>
      </c>
      <c r="K48" s="120" t="s">
        <v>409</v>
      </c>
      <c r="L48" s="141" t="s">
        <v>409</v>
      </c>
      <c r="M48" s="120" t="s">
        <v>408</v>
      </c>
      <c r="N48" s="120" t="s">
        <v>1217</v>
      </c>
      <c r="O48" s="122">
        <v>1</v>
      </c>
      <c r="P48" s="123">
        <v>5.0000000000000001E-3</v>
      </c>
      <c r="Q48" s="120" t="s">
        <v>2560</v>
      </c>
      <c r="R48" s="138">
        <v>64423.038613500001</v>
      </c>
      <c r="S48" s="138">
        <v>64423.038613500001</v>
      </c>
      <c r="T48" s="142">
        <v>1</v>
      </c>
    </row>
    <row r="49" spans="1:20" ht="15" customHeight="1">
      <c r="A49" s="121">
        <v>313</v>
      </c>
      <c r="B49" s="121">
        <v>313</v>
      </c>
      <c r="C49" s="135"/>
      <c r="D49" s="120"/>
      <c r="E49" s="120"/>
      <c r="F49" s="120">
        <v>70000753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41" t="s">
        <v>409</v>
      </c>
      <c r="M49" s="120" t="s">
        <v>408</v>
      </c>
      <c r="N49" s="120" t="s">
        <v>1217</v>
      </c>
      <c r="O49" s="122">
        <v>1</v>
      </c>
      <c r="P49" s="123">
        <v>5.0000000000000001E-3</v>
      </c>
      <c r="Q49" s="120" t="s">
        <v>2560</v>
      </c>
      <c r="R49" s="138">
        <v>8824.9613864999992</v>
      </c>
      <c r="S49" s="138">
        <v>8824.9613864999992</v>
      </c>
      <c r="T49" s="142">
        <v>1</v>
      </c>
    </row>
    <row r="50" spans="1:20" ht="15" customHeight="1">
      <c r="A50" s="121">
        <v>313</v>
      </c>
      <c r="B50" s="121">
        <v>313</v>
      </c>
      <c r="C50" s="135"/>
      <c r="D50" s="120"/>
      <c r="E50" s="120"/>
      <c r="F50" s="120">
        <v>70000751</v>
      </c>
      <c r="G50" s="124">
        <v>45274</v>
      </c>
      <c r="H50" s="120" t="s">
        <v>203</v>
      </c>
      <c r="I50" s="120"/>
      <c r="J50" s="120" t="s">
        <v>338</v>
      </c>
      <c r="K50" s="120" t="s">
        <v>409</v>
      </c>
      <c r="L50" s="141" t="s">
        <v>409</v>
      </c>
      <c r="M50" s="120" t="s">
        <v>408</v>
      </c>
      <c r="N50" s="120" t="s">
        <v>1217</v>
      </c>
      <c r="O50" s="122">
        <v>1</v>
      </c>
      <c r="P50" s="123">
        <v>0.01</v>
      </c>
      <c r="Q50" s="120" t="s">
        <v>2560</v>
      </c>
      <c r="R50" s="138">
        <v>2434.67</v>
      </c>
      <c r="S50" s="138">
        <v>2434.67</v>
      </c>
      <c r="T50" s="142">
        <v>1</v>
      </c>
    </row>
    <row r="51" spans="1:20" ht="15" customHeight="1">
      <c r="A51" s="121">
        <v>313</v>
      </c>
      <c r="B51" s="121">
        <v>313</v>
      </c>
      <c r="C51" s="135"/>
      <c r="D51" s="120"/>
      <c r="E51" s="120"/>
      <c r="F51" s="120">
        <v>57088000</v>
      </c>
      <c r="G51" s="124">
        <v>45342</v>
      </c>
      <c r="H51" s="120" t="s">
        <v>203</v>
      </c>
      <c r="I51" s="120"/>
      <c r="J51" s="120" t="s">
        <v>338</v>
      </c>
      <c r="K51" s="136" t="s">
        <v>2572</v>
      </c>
      <c r="L51" s="120" t="s">
        <v>412</v>
      </c>
      <c r="M51" s="120" t="s">
        <v>408</v>
      </c>
      <c r="N51" s="120" t="s">
        <v>1217</v>
      </c>
      <c r="O51" s="122">
        <v>1</v>
      </c>
      <c r="P51" s="123">
        <v>2.5000000000000001E-3</v>
      </c>
      <c r="Q51" s="120" t="s">
        <v>2560</v>
      </c>
      <c r="R51" s="138">
        <v>40019.997499999998</v>
      </c>
      <c r="S51" s="138">
        <v>40019.997499999998</v>
      </c>
      <c r="T51" s="142">
        <v>1</v>
      </c>
    </row>
    <row r="52" spans="1:20" ht="15" customHeight="1">
      <c r="A52" s="121">
        <v>313</v>
      </c>
      <c r="B52" s="121">
        <v>313</v>
      </c>
      <c r="C52" s="135"/>
      <c r="D52" s="120"/>
      <c r="E52" s="120"/>
      <c r="F52" s="120">
        <v>59007000</v>
      </c>
      <c r="G52" s="124">
        <v>45363</v>
      </c>
      <c r="H52" s="120" t="s">
        <v>203</v>
      </c>
      <c r="I52" s="120"/>
      <c r="J52" s="120" t="s">
        <v>338</v>
      </c>
      <c r="K52" s="120" t="s">
        <v>409</v>
      </c>
      <c r="L52" s="141" t="s">
        <v>409</v>
      </c>
      <c r="M52" s="120" t="s">
        <v>408</v>
      </c>
      <c r="N52" s="120" t="s">
        <v>1217</v>
      </c>
      <c r="O52" s="122">
        <v>1</v>
      </c>
      <c r="P52" s="123">
        <v>5.0000000000000001E-3</v>
      </c>
      <c r="Q52" s="120" t="s">
        <v>2560</v>
      </c>
      <c r="R52" s="138">
        <v>3381</v>
      </c>
      <c r="S52" s="138">
        <v>3381</v>
      </c>
      <c r="T52" s="142">
        <v>0.83333000000000002</v>
      </c>
    </row>
    <row r="53" spans="1:20" ht="15" customHeight="1">
      <c r="A53" s="121">
        <v>313</v>
      </c>
      <c r="B53" s="121">
        <v>313</v>
      </c>
      <c r="C53" s="135"/>
      <c r="D53" s="120"/>
      <c r="E53" s="120"/>
      <c r="F53" s="120">
        <v>5789000</v>
      </c>
      <c r="G53" s="124">
        <v>45245</v>
      </c>
      <c r="H53" s="120" t="s">
        <v>203</v>
      </c>
      <c r="I53" s="120"/>
      <c r="J53" s="120" t="s">
        <v>338</v>
      </c>
      <c r="K53" s="120" t="s">
        <v>409</v>
      </c>
      <c r="L53" s="141" t="s">
        <v>409</v>
      </c>
      <c r="M53" s="120" t="s">
        <v>408</v>
      </c>
      <c r="N53" s="120" t="s">
        <v>1217</v>
      </c>
      <c r="O53" s="122">
        <v>1</v>
      </c>
      <c r="P53" s="123">
        <v>5.0000000000000001E-3</v>
      </c>
      <c r="Q53" s="120" t="s">
        <v>2560</v>
      </c>
      <c r="R53" s="138">
        <v>230000</v>
      </c>
      <c r="S53" s="138">
        <v>230000</v>
      </c>
      <c r="T53" s="142">
        <v>1</v>
      </c>
    </row>
    <row r="54" spans="1:20" ht="15" customHeight="1">
      <c r="A54" s="121">
        <v>313</v>
      </c>
      <c r="B54" s="121">
        <v>313</v>
      </c>
      <c r="C54" s="135"/>
      <c r="D54" s="120"/>
      <c r="E54" s="120"/>
      <c r="F54" s="120">
        <v>74006126</v>
      </c>
      <c r="G54" s="124">
        <v>43920</v>
      </c>
      <c r="H54" s="120" t="s">
        <v>203</v>
      </c>
      <c r="I54" s="120"/>
      <c r="J54" s="120" t="s">
        <v>338</v>
      </c>
      <c r="K54" s="120" t="s">
        <v>1315</v>
      </c>
      <c r="L54" s="120" t="s">
        <v>414</v>
      </c>
      <c r="M54" s="120" t="s">
        <v>408</v>
      </c>
      <c r="N54" s="120" t="s">
        <v>1217</v>
      </c>
      <c r="O54" s="122">
        <v>1</v>
      </c>
      <c r="P54" s="142">
        <v>0</v>
      </c>
      <c r="Q54" s="120" t="s">
        <v>2560</v>
      </c>
      <c r="R54" s="138">
        <v>3967.5</v>
      </c>
      <c r="S54" s="138">
        <v>3967.5</v>
      </c>
      <c r="T54" s="142">
        <v>1</v>
      </c>
    </row>
    <row r="55" spans="1:20" ht="15" customHeight="1">
      <c r="A55" s="121">
        <v>313</v>
      </c>
      <c r="B55" s="121">
        <v>313</v>
      </c>
      <c r="C55" s="135"/>
      <c r="D55" s="120"/>
      <c r="E55" s="120"/>
      <c r="F55" s="120">
        <v>7400400</v>
      </c>
      <c r="G55" s="143">
        <v>44167</v>
      </c>
      <c r="H55" s="120" t="s">
        <v>203</v>
      </c>
      <c r="I55" s="120"/>
      <c r="J55" s="120" t="s">
        <v>338</v>
      </c>
      <c r="K55" s="120" t="s">
        <v>1315</v>
      </c>
      <c r="L55" s="120" t="s">
        <v>414</v>
      </c>
      <c r="M55" s="120" t="s">
        <v>408</v>
      </c>
      <c r="N55" s="120" t="s">
        <v>1217</v>
      </c>
      <c r="O55" s="122">
        <v>1</v>
      </c>
      <c r="P55" s="142">
        <v>0</v>
      </c>
      <c r="Q55" s="120" t="s">
        <v>2560</v>
      </c>
      <c r="R55" s="144">
        <v>92920</v>
      </c>
      <c r="S55" s="144">
        <v>92920</v>
      </c>
      <c r="T55" s="142">
        <v>0.14796999999999999</v>
      </c>
    </row>
    <row r="56" spans="1:20" ht="15" customHeight="1">
      <c r="A56" s="121">
        <v>313</v>
      </c>
      <c r="B56" s="121">
        <v>313</v>
      </c>
      <c r="C56" s="135"/>
      <c r="D56" s="120"/>
      <c r="E56" s="139"/>
      <c r="F56" s="120">
        <v>76500101</v>
      </c>
      <c r="G56" s="124">
        <v>44192</v>
      </c>
      <c r="H56" s="120" t="s">
        <v>203</v>
      </c>
      <c r="I56" s="120"/>
      <c r="J56" s="120" t="s">
        <v>338</v>
      </c>
      <c r="K56" s="120" t="s">
        <v>1340</v>
      </c>
      <c r="L56" s="120" t="s">
        <v>414</v>
      </c>
      <c r="M56" s="120" t="s">
        <v>408</v>
      </c>
      <c r="N56" s="120" t="s">
        <v>1217</v>
      </c>
      <c r="O56" s="122">
        <v>1</v>
      </c>
      <c r="P56" s="142">
        <v>0</v>
      </c>
      <c r="Q56" s="120" t="s">
        <v>2560</v>
      </c>
      <c r="R56" s="138">
        <v>4600</v>
      </c>
      <c r="S56" s="138">
        <v>4600</v>
      </c>
      <c r="T56" s="142">
        <v>2.8920000000000001E-2</v>
      </c>
    </row>
    <row r="57" spans="1:20" ht="15" customHeight="1">
      <c r="A57" s="121">
        <v>313</v>
      </c>
      <c r="B57" s="121">
        <v>313</v>
      </c>
      <c r="C57" s="135"/>
      <c r="D57" s="120"/>
      <c r="E57" s="139"/>
      <c r="F57" s="120">
        <v>5678000</v>
      </c>
      <c r="G57" s="124">
        <v>45398</v>
      </c>
      <c r="H57" s="120" t="s">
        <v>203</v>
      </c>
      <c r="I57" s="120"/>
      <c r="J57" s="120" t="s">
        <v>338</v>
      </c>
      <c r="K57" s="120" t="s">
        <v>1334</v>
      </c>
      <c r="L57" s="120" t="s">
        <v>414</v>
      </c>
      <c r="M57" s="120" t="s">
        <v>408</v>
      </c>
      <c r="N57" s="120" t="s">
        <v>1217</v>
      </c>
      <c r="O57" s="122">
        <v>1</v>
      </c>
      <c r="P57" s="142">
        <v>2.5000000000000001E-3</v>
      </c>
      <c r="Q57" s="120" t="s">
        <v>2560</v>
      </c>
      <c r="R57" s="138">
        <v>34500</v>
      </c>
      <c r="S57" s="138">
        <v>34500</v>
      </c>
      <c r="T57" s="142">
        <v>0.92954999999999999</v>
      </c>
    </row>
    <row r="58" spans="1:20" ht="15" customHeight="1">
      <c r="A58" s="121">
        <v>313</v>
      </c>
      <c r="B58" s="121">
        <v>313</v>
      </c>
      <c r="C58" s="135"/>
      <c r="D58" s="120"/>
      <c r="E58" s="139"/>
      <c r="F58" s="120">
        <v>5679000</v>
      </c>
      <c r="G58" s="124">
        <v>45419</v>
      </c>
      <c r="H58" s="120" t="s">
        <v>203</v>
      </c>
      <c r="I58" s="120"/>
      <c r="J58" s="120" t="s">
        <v>338</v>
      </c>
      <c r="K58" s="136" t="s">
        <v>2572</v>
      </c>
      <c r="L58" s="120" t="s">
        <v>412</v>
      </c>
      <c r="M58" s="120" t="s">
        <v>408</v>
      </c>
      <c r="N58" s="120" t="s">
        <v>1217</v>
      </c>
      <c r="O58" s="122">
        <v>1</v>
      </c>
      <c r="P58" s="142">
        <v>0</v>
      </c>
      <c r="Q58" s="120" t="s">
        <v>2560</v>
      </c>
      <c r="R58" s="138">
        <v>24150</v>
      </c>
      <c r="S58" s="138">
        <v>24150</v>
      </c>
      <c r="T58" s="142">
        <v>1</v>
      </c>
    </row>
    <row r="59" spans="1:20" ht="15" customHeight="1">
      <c r="A59" s="121">
        <v>313</v>
      </c>
      <c r="B59" s="121">
        <v>313</v>
      </c>
      <c r="C59" s="135"/>
      <c r="D59" s="120"/>
      <c r="E59" s="139"/>
      <c r="F59" s="120">
        <v>5678101</v>
      </c>
      <c r="G59" s="124">
        <v>45428</v>
      </c>
      <c r="H59" s="120" t="s">
        <v>203</v>
      </c>
      <c r="I59" s="120"/>
      <c r="J59" s="120" t="s">
        <v>338</v>
      </c>
      <c r="K59" s="120" t="s">
        <v>1334</v>
      </c>
      <c r="L59" s="120" t="s">
        <v>414</v>
      </c>
      <c r="M59" s="120" t="s">
        <v>408</v>
      </c>
      <c r="N59" s="120" t="s">
        <v>1217</v>
      </c>
      <c r="O59" s="122">
        <v>1</v>
      </c>
      <c r="P59" s="142">
        <v>6.0000000000000001E-3</v>
      </c>
      <c r="Q59" s="120" t="s">
        <v>2560</v>
      </c>
      <c r="R59" s="138">
        <v>8740</v>
      </c>
      <c r="S59" s="138">
        <v>8740</v>
      </c>
      <c r="T59" s="142">
        <v>1</v>
      </c>
    </row>
  </sheetData>
  <dataValidations count="1">
    <dataValidation allowBlank="1" showInputMessage="1" showErrorMessage="1" sqref="C39:C47 C5:C11 E27:E36 C14:C19 C21 C23:C26 E39 E19 E5:E11 E14:E15 E21 E52:E53 C52:C59" xr:uid="{1FD8B88C-BBFD-4702-889B-4588C82155BB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91"/>
  <sheetViews>
    <sheetView rightToLeft="1" topLeftCell="A73" workbookViewId="0">
      <selection activeCell="F2" sqref="F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0.5" customWidth="1"/>
    <col min="4" max="4" width="22" customWidth="1"/>
    <col min="5" max="5" width="14" customWidth="1"/>
    <col min="6" max="6" width="32.375" customWidth="1"/>
    <col min="7" max="7" width="42.37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15.5" customWidth="1"/>
    <col min="14" max="14" width="12.5" bestFit="1" customWidth="1"/>
    <col min="15" max="15" width="11.87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46" t="s">
        <v>1069</v>
      </c>
      <c r="D2" s="146" t="s">
        <v>2117</v>
      </c>
      <c r="E2" s="147"/>
      <c r="F2" s="146"/>
      <c r="G2" s="148" t="s">
        <v>2104</v>
      </c>
      <c r="H2" s="147">
        <v>9840908</v>
      </c>
      <c r="I2" s="146" t="s">
        <v>311</v>
      </c>
      <c r="J2" s="149" t="s">
        <v>1212</v>
      </c>
      <c r="K2" s="124">
        <v>39385</v>
      </c>
      <c r="L2" s="138">
        <v>7000</v>
      </c>
      <c r="M2" s="138">
        <v>27846</v>
      </c>
      <c r="N2" s="144">
        <v>1214.972</v>
      </c>
      <c r="O2" s="144">
        <v>4567.08</v>
      </c>
      <c r="P2" s="150">
        <v>0.17356742857142857</v>
      </c>
      <c r="Q2" s="124">
        <v>45657</v>
      </c>
    </row>
    <row r="3" spans="1:26" ht="15" customHeight="1">
      <c r="A3" s="121">
        <v>313</v>
      </c>
      <c r="B3" s="121">
        <v>313</v>
      </c>
      <c r="C3" s="146" t="s">
        <v>1069</v>
      </c>
      <c r="D3" s="146" t="s">
        <v>2582</v>
      </c>
      <c r="E3" s="147"/>
      <c r="F3" s="146"/>
      <c r="G3" s="148" t="s">
        <v>2476</v>
      </c>
      <c r="H3" s="120">
        <v>9840773</v>
      </c>
      <c r="I3" s="146" t="s">
        <v>311</v>
      </c>
      <c r="J3" s="149" t="s">
        <v>1212</v>
      </c>
      <c r="K3" s="124">
        <v>39726</v>
      </c>
      <c r="L3" s="138">
        <v>1000</v>
      </c>
      <c r="M3" s="138">
        <v>3465</v>
      </c>
      <c r="N3" s="144">
        <v>37.511000000000003</v>
      </c>
      <c r="O3" s="144">
        <v>141.00399999999999</v>
      </c>
      <c r="P3" s="150">
        <v>3.7511000000000003E-2</v>
      </c>
      <c r="Q3" s="124">
        <v>45935</v>
      </c>
    </row>
    <row r="4" spans="1:26" ht="15" customHeight="1">
      <c r="A4" s="121">
        <v>313</v>
      </c>
      <c r="B4" s="121">
        <v>313</v>
      </c>
      <c r="C4" s="146" t="s">
        <v>1069</v>
      </c>
      <c r="D4" s="146" t="s">
        <v>2105</v>
      </c>
      <c r="E4" s="120"/>
      <c r="F4" s="146"/>
      <c r="G4" s="148" t="s">
        <v>2106</v>
      </c>
      <c r="H4" s="120">
        <v>9840693</v>
      </c>
      <c r="I4" s="146" t="s">
        <v>311</v>
      </c>
      <c r="J4" s="149" t="s">
        <v>1212</v>
      </c>
      <c r="K4" s="124">
        <v>39448</v>
      </c>
      <c r="L4" s="138">
        <v>3000</v>
      </c>
      <c r="M4" s="138">
        <v>11538</v>
      </c>
      <c r="N4" s="144">
        <v>0</v>
      </c>
      <c r="O4" s="144">
        <v>0</v>
      </c>
      <c r="P4" s="150">
        <v>0</v>
      </c>
      <c r="Q4" s="124">
        <v>43830</v>
      </c>
    </row>
    <row r="5" spans="1:26" ht="15" customHeight="1">
      <c r="A5" s="121">
        <v>313</v>
      </c>
      <c r="B5" s="121">
        <v>313</v>
      </c>
      <c r="C5" s="146" t="s">
        <v>1069</v>
      </c>
      <c r="D5" s="146" t="s">
        <v>2065</v>
      </c>
      <c r="E5" s="147"/>
      <c r="F5" s="146"/>
      <c r="G5" s="148" t="s">
        <v>2054</v>
      </c>
      <c r="H5" s="120">
        <v>9840860</v>
      </c>
      <c r="I5" s="146" t="s">
        <v>311</v>
      </c>
      <c r="J5" s="149" t="s">
        <v>1212</v>
      </c>
      <c r="K5" s="124">
        <v>38687</v>
      </c>
      <c r="L5" s="138">
        <v>6000</v>
      </c>
      <c r="M5" s="138">
        <v>27972</v>
      </c>
      <c r="N5" s="144">
        <v>1E-3</v>
      </c>
      <c r="O5" s="144">
        <v>3.6810000000000002E-3</v>
      </c>
      <c r="P5" s="150">
        <v>1.6666666666666668E-7</v>
      </c>
      <c r="Q5" s="124">
        <v>45747</v>
      </c>
    </row>
    <row r="6" spans="1:26" ht="15" customHeight="1">
      <c r="A6" s="121">
        <v>313</v>
      </c>
      <c r="B6" s="121">
        <v>313</v>
      </c>
      <c r="C6" s="146" t="s">
        <v>1069</v>
      </c>
      <c r="D6" s="146" t="s">
        <v>2065</v>
      </c>
      <c r="E6" s="147"/>
      <c r="F6" s="146"/>
      <c r="G6" s="148" t="s">
        <v>2037</v>
      </c>
      <c r="H6" s="120">
        <v>9840861</v>
      </c>
      <c r="I6" s="146" t="s">
        <v>311</v>
      </c>
      <c r="J6" s="149" t="s">
        <v>1212</v>
      </c>
      <c r="K6" s="124">
        <v>39114</v>
      </c>
      <c r="L6" s="138">
        <v>1600</v>
      </c>
      <c r="M6" s="138">
        <v>6787.2</v>
      </c>
      <c r="N6" s="144">
        <v>11.420999999999999</v>
      </c>
      <c r="O6" s="144">
        <v>42.932000000000002</v>
      </c>
      <c r="P6" s="150">
        <v>7.1381249999999995E-3</v>
      </c>
      <c r="Q6" s="124">
        <v>45930</v>
      </c>
    </row>
    <row r="7" spans="1:26" ht="15" customHeight="1">
      <c r="A7" s="121">
        <v>313</v>
      </c>
      <c r="B7" s="121">
        <v>313</v>
      </c>
      <c r="C7" s="146" t="s">
        <v>1069</v>
      </c>
      <c r="D7" s="146" t="s">
        <v>2583</v>
      </c>
      <c r="E7" s="147"/>
      <c r="F7" s="146"/>
      <c r="G7" s="148" t="s">
        <v>2113</v>
      </c>
      <c r="H7" s="120">
        <v>9840803</v>
      </c>
      <c r="I7" s="146" t="s">
        <v>311</v>
      </c>
      <c r="J7" s="149" t="s">
        <v>1212</v>
      </c>
      <c r="K7" s="124">
        <v>39539</v>
      </c>
      <c r="L7" s="138">
        <v>3000</v>
      </c>
      <c r="M7" s="138">
        <v>10632</v>
      </c>
      <c r="N7" s="144">
        <v>0</v>
      </c>
      <c r="O7" s="144">
        <v>0</v>
      </c>
      <c r="P7" s="150">
        <v>0</v>
      </c>
      <c r="Q7" s="124">
        <v>43568</v>
      </c>
    </row>
    <row r="8" spans="1:26" ht="15" customHeight="1">
      <c r="A8" s="121">
        <v>313</v>
      </c>
      <c r="B8" s="121">
        <v>313</v>
      </c>
      <c r="C8" s="146" t="s">
        <v>1069</v>
      </c>
      <c r="D8" s="146" t="s">
        <v>2038</v>
      </c>
      <c r="E8" s="120"/>
      <c r="F8" s="146"/>
      <c r="G8" s="148" t="s">
        <v>2090</v>
      </c>
      <c r="H8" s="120">
        <v>9840949</v>
      </c>
      <c r="I8" s="146" t="s">
        <v>311</v>
      </c>
      <c r="J8" s="149" t="s">
        <v>1212</v>
      </c>
      <c r="K8" s="124">
        <v>38961</v>
      </c>
      <c r="L8" s="138">
        <v>5000</v>
      </c>
      <c r="M8" s="138">
        <v>21865</v>
      </c>
      <c r="N8" s="144">
        <v>325</v>
      </c>
      <c r="O8" s="144">
        <v>1221.675</v>
      </c>
      <c r="P8" s="150">
        <v>6.5000000000000002E-2</v>
      </c>
      <c r="Q8" s="124">
        <v>45536</v>
      </c>
    </row>
    <row r="9" spans="1:26" ht="15" customHeight="1">
      <c r="A9" s="121">
        <v>313</v>
      </c>
      <c r="B9" s="121">
        <v>313</v>
      </c>
      <c r="C9" s="146" t="s">
        <v>1069</v>
      </c>
      <c r="D9" s="146" t="s">
        <v>2065</v>
      </c>
      <c r="E9" s="147"/>
      <c r="F9" s="146"/>
      <c r="G9" s="148" t="s">
        <v>2036</v>
      </c>
      <c r="H9" s="120">
        <v>9840774</v>
      </c>
      <c r="I9" s="146" t="s">
        <v>311</v>
      </c>
      <c r="J9" s="149" t="s">
        <v>1212</v>
      </c>
      <c r="K9" s="124">
        <v>39904</v>
      </c>
      <c r="L9" s="138">
        <v>1500</v>
      </c>
      <c r="M9" s="138">
        <v>6313.4999999999991</v>
      </c>
      <c r="N9" s="144">
        <v>1463.7497800000001</v>
      </c>
      <c r="O9" s="144">
        <v>5502.2349999999997</v>
      </c>
      <c r="P9" s="150">
        <v>0.97583318666666674</v>
      </c>
      <c r="Q9" s="124">
        <v>46142</v>
      </c>
    </row>
    <row r="10" spans="1:26" ht="15" customHeight="1">
      <c r="A10" s="121">
        <v>313</v>
      </c>
      <c r="B10" s="121">
        <v>313</v>
      </c>
      <c r="C10" s="146" t="s">
        <v>1069</v>
      </c>
      <c r="D10" s="146" t="s">
        <v>2584</v>
      </c>
      <c r="E10" s="147"/>
      <c r="F10" s="146"/>
      <c r="G10" s="148" t="s">
        <v>2585</v>
      </c>
      <c r="H10" s="120">
        <v>9840826</v>
      </c>
      <c r="I10" s="146" t="s">
        <v>311</v>
      </c>
      <c r="J10" s="149" t="s">
        <v>1212</v>
      </c>
      <c r="K10" s="124">
        <v>39783</v>
      </c>
      <c r="L10" s="138">
        <v>1000</v>
      </c>
      <c r="M10" s="138">
        <v>3990</v>
      </c>
      <c r="N10" s="144">
        <v>0</v>
      </c>
      <c r="O10" s="144">
        <v>0</v>
      </c>
      <c r="P10" s="150">
        <v>0</v>
      </c>
      <c r="Q10" s="124">
        <v>46477</v>
      </c>
    </row>
    <row r="11" spans="1:26" ht="15" customHeight="1">
      <c r="A11" s="121">
        <v>313</v>
      </c>
      <c r="B11" s="121">
        <v>313</v>
      </c>
      <c r="C11" s="146" t="s">
        <v>1069</v>
      </c>
      <c r="D11" s="146" t="s">
        <v>2041</v>
      </c>
      <c r="E11" s="137"/>
      <c r="F11" s="27"/>
      <c r="G11" s="148" t="s">
        <v>2042</v>
      </c>
      <c r="H11" s="120">
        <v>26054</v>
      </c>
      <c r="I11" s="146" t="s">
        <v>311</v>
      </c>
      <c r="J11" s="149" t="s">
        <v>1217</v>
      </c>
      <c r="K11" s="124">
        <v>39965</v>
      </c>
      <c r="L11" s="138">
        <v>9743.5</v>
      </c>
      <c r="M11" s="138">
        <v>9743.5</v>
      </c>
      <c r="N11" s="144">
        <v>2522.3389999999999</v>
      </c>
      <c r="O11" s="144">
        <v>2522.3389999999999</v>
      </c>
      <c r="P11" s="151">
        <v>0.2588740185764869</v>
      </c>
      <c r="Q11" s="124">
        <v>45363</v>
      </c>
    </row>
    <row r="12" spans="1:26" ht="15" customHeight="1">
      <c r="A12" s="121">
        <v>313</v>
      </c>
      <c r="B12" s="121">
        <v>313</v>
      </c>
      <c r="C12" s="146" t="s">
        <v>1069</v>
      </c>
      <c r="D12" s="146" t="s">
        <v>2586</v>
      </c>
      <c r="E12" s="147"/>
      <c r="F12" s="27"/>
      <c r="G12" s="148" t="s">
        <v>2072</v>
      </c>
      <c r="H12" s="120">
        <v>9840689</v>
      </c>
      <c r="I12" s="146" t="s">
        <v>311</v>
      </c>
      <c r="J12" s="149" t="s">
        <v>1212</v>
      </c>
      <c r="K12" s="124">
        <v>40360</v>
      </c>
      <c r="L12" s="138">
        <v>2000</v>
      </c>
      <c r="M12" s="138">
        <v>7766</v>
      </c>
      <c r="N12" s="144">
        <v>277.10796999999997</v>
      </c>
      <c r="O12" s="144">
        <v>1041.6489999999999</v>
      </c>
      <c r="P12" s="151">
        <v>0.13855398499999999</v>
      </c>
      <c r="Q12" s="124">
        <v>44742</v>
      </c>
    </row>
    <row r="13" spans="1:26" ht="15" customHeight="1">
      <c r="A13" s="121">
        <v>313</v>
      </c>
      <c r="B13" s="121">
        <v>313</v>
      </c>
      <c r="C13" s="146" t="s">
        <v>1069</v>
      </c>
      <c r="D13" s="146" t="s">
        <v>2038</v>
      </c>
      <c r="E13" s="147"/>
      <c r="F13" s="27"/>
      <c r="G13" s="148" t="s">
        <v>2074</v>
      </c>
      <c r="H13" s="120">
        <v>60283058</v>
      </c>
      <c r="I13" s="146" t="s">
        <v>311</v>
      </c>
      <c r="J13" s="149" t="s">
        <v>1212</v>
      </c>
      <c r="K13" s="124">
        <v>40756</v>
      </c>
      <c r="L13" s="138">
        <v>3000</v>
      </c>
      <c r="M13" s="138">
        <v>10236</v>
      </c>
      <c r="N13" s="144">
        <v>0</v>
      </c>
      <c r="O13" s="144">
        <v>0</v>
      </c>
      <c r="P13" s="151">
        <v>0</v>
      </c>
      <c r="Q13" s="124">
        <v>45511</v>
      </c>
    </row>
    <row r="14" spans="1:26" ht="15" customHeight="1">
      <c r="A14" s="121">
        <v>313</v>
      </c>
      <c r="B14" s="121">
        <v>313</v>
      </c>
      <c r="C14" s="146" t="s">
        <v>1069</v>
      </c>
      <c r="D14" s="146" t="s">
        <v>2582</v>
      </c>
      <c r="E14" s="147"/>
      <c r="F14" s="27"/>
      <c r="G14" s="148" t="s">
        <v>2111</v>
      </c>
      <c r="H14" s="120">
        <v>60289790</v>
      </c>
      <c r="I14" s="146" t="s">
        <v>311</v>
      </c>
      <c r="J14" s="149" t="s">
        <v>1212</v>
      </c>
      <c r="K14" s="124">
        <v>40878</v>
      </c>
      <c r="L14" s="138">
        <v>3000</v>
      </c>
      <c r="M14" s="138">
        <v>11223</v>
      </c>
      <c r="N14" s="144">
        <v>0</v>
      </c>
      <c r="O14" s="144">
        <v>0</v>
      </c>
      <c r="P14" s="151">
        <v>0</v>
      </c>
      <c r="Q14" s="124">
        <v>45841</v>
      </c>
    </row>
    <row r="15" spans="1:26" ht="15" customHeight="1">
      <c r="A15" s="121">
        <v>313</v>
      </c>
      <c r="B15" s="121">
        <v>313</v>
      </c>
      <c r="C15" s="146" t="s">
        <v>1069</v>
      </c>
      <c r="D15" s="146" t="s">
        <v>2065</v>
      </c>
      <c r="E15" s="147"/>
      <c r="F15" s="27"/>
      <c r="G15" s="148" t="s">
        <v>2587</v>
      </c>
      <c r="H15" s="120">
        <v>60297512</v>
      </c>
      <c r="I15" s="146" t="s">
        <v>311</v>
      </c>
      <c r="J15" s="149" t="s">
        <v>1212</v>
      </c>
      <c r="K15" s="124">
        <v>41122</v>
      </c>
      <c r="L15" s="138">
        <v>1500</v>
      </c>
      <c r="M15" s="138">
        <v>5955</v>
      </c>
      <c r="N15" s="144">
        <v>855.89200000000005</v>
      </c>
      <c r="O15" s="144">
        <v>3217.2979999999998</v>
      </c>
      <c r="P15" s="151">
        <v>0.57059466666666669</v>
      </c>
      <c r="Q15" s="124">
        <v>46142</v>
      </c>
    </row>
    <row r="16" spans="1:26" ht="15" customHeight="1">
      <c r="A16" s="121">
        <v>313</v>
      </c>
      <c r="B16" s="121">
        <v>313</v>
      </c>
      <c r="C16" s="146" t="s">
        <v>1069</v>
      </c>
      <c r="D16" s="146" t="s">
        <v>2117</v>
      </c>
      <c r="E16" s="147"/>
      <c r="F16" s="27"/>
      <c r="G16" s="148" t="s">
        <v>2067</v>
      </c>
      <c r="H16" s="120">
        <v>60305448</v>
      </c>
      <c r="I16" s="146" t="s">
        <v>311</v>
      </c>
      <c r="J16" s="149" t="s">
        <v>1212</v>
      </c>
      <c r="K16" s="124">
        <v>41091</v>
      </c>
      <c r="L16" s="138">
        <v>7500</v>
      </c>
      <c r="M16" s="138">
        <v>29422.5</v>
      </c>
      <c r="N16" s="144">
        <v>677.12599999999998</v>
      </c>
      <c r="O16" s="144">
        <v>2545.317</v>
      </c>
      <c r="P16" s="151">
        <v>9.0283466666666659E-2</v>
      </c>
      <c r="Q16" s="124">
        <v>46022</v>
      </c>
    </row>
    <row r="17" spans="1:17" ht="15" customHeight="1">
      <c r="A17" s="121">
        <v>313</v>
      </c>
      <c r="B17" s="121">
        <v>313</v>
      </c>
      <c r="C17" s="146" t="s">
        <v>1069</v>
      </c>
      <c r="D17" s="146" t="s">
        <v>2588</v>
      </c>
      <c r="E17" s="147"/>
      <c r="F17" s="27"/>
      <c r="G17" s="148" t="s">
        <v>2114</v>
      </c>
      <c r="H17" s="120">
        <v>39115</v>
      </c>
      <c r="I17" s="146" t="s">
        <v>311</v>
      </c>
      <c r="J17" s="149" t="s">
        <v>1217</v>
      </c>
      <c r="K17" s="124">
        <v>41153</v>
      </c>
      <c r="L17" s="138">
        <v>12000</v>
      </c>
      <c r="M17" s="138">
        <v>12000</v>
      </c>
      <c r="N17" s="144">
        <v>331.51100000000002</v>
      </c>
      <c r="O17" s="144">
        <v>331.51100000000002</v>
      </c>
      <c r="P17" s="151">
        <v>2.762591666666667E-2</v>
      </c>
      <c r="Q17" s="124">
        <v>45047</v>
      </c>
    </row>
    <row r="18" spans="1:17" ht="15" customHeight="1">
      <c r="A18" s="121">
        <v>313</v>
      </c>
      <c r="B18" s="121">
        <v>313</v>
      </c>
      <c r="C18" s="146" t="s">
        <v>1069</v>
      </c>
      <c r="D18" s="146" t="s">
        <v>2076</v>
      </c>
      <c r="E18" s="147"/>
      <c r="F18" s="27"/>
      <c r="G18" s="148" t="s">
        <v>2077</v>
      </c>
      <c r="H18" s="120">
        <v>60346087</v>
      </c>
      <c r="I18" s="146" t="s">
        <v>311</v>
      </c>
      <c r="J18" s="149" t="s">
        <v>1212</v>
      </c>
      <c r="K18" s="124">
        <v>41528</v>
      </c>
      <c r="L18" s="138">
        <v>9000</v>
      </c>
      <c r="M18" s="138">
        <v>32085</v>
      </c>
      <c r="N18" s="144">
        <v>1006.427</v>
      </c>
      <c r="O18" s="144">
        <v>3783.1590000000001</v>
      </c>
      <c r="P18" s="151">
        <v>0.11182522222222223</v>
      </c>
      <c r="Q18" s="124">
        <v>45621</v>
      </c>
    </row>
    <row r="19" spans="1:17" ht="15" customHeight="1">
      <c r="A19" s="121">
        <v>313</v>
      </c>
      <c r="B19" s="121">
        <v>313</v>
      </c>
      <c r="C19" s="146" t="s">
        <v>1069</v>
      </c>
      <c r="D19" s="146" t="s">
        <v>2589</v>
      </c>
      <c r="E19" s="147"/>
      <c r="F19" s="27"/>
      <c r="G19" s="148" t="s">
        <v>2590</v>
      </c>
      <c r="H19" s="120">
        <v>60337284</v>
      </c>
      <c r="I19" s="146" t="s">
        <v>311</v>
      </c>
      <c r="J19" s="149" t="s">
        <v>1212</v>
      </c>
      <c r="K19" s="124">
        <v>41456</v>
      </c>
      <c r="L19" s="138">
        <v>2000</v>
      </c>
      <c r="M19" s="138">
        <v>7274</v>
      </c>
      <c r="N19" s="144">
        <v>37.707000000000001</v>
      </c>
      <c r="O19" s="144">
        <v>141.74100000000001</v>
      </c>
      <c r="P19" s="151">
        <v>1.8853499999999999E-2</v>
      </c>
      <c r="Q19" s="124">
        <v>45504</v>
      </c>
    </row>
    <row r="20" spans="1:17" ht="15" customHeight="1">
      <c r="A20" s="121">
        <v>313</v>
      </c>
      <c r="B20" s="121">
        <v>313</v>
      </c>
      <c r="C20" s="146" t="s">
        <v>1069</v>
      </c>
      <c r="D20" s="146" t="s">
        <v>2591</v>
      </c>
      <c r="E20" s="147"/>
      <c r="F20" s="27"/>
      <c r="G20" s="148" t="s">
        <v>2592</v>
      </c>
      <c r="H20" s="120">
        <v>60353281</v>
      </c>
      <c r="I20" s="146" t="s">
        <v>311</v>
      </c>
      <c r="J20" s="149" t="s">
        <v>1212</v>
      </c>
      <c r="K20" s="124">
        <v>41648</v>
      </c>
      <c r="L20" s="138">
        <v>4000</v>
      </c>
      <c r="M20" s="138">
        <v>14012</v>
      </c>
      <c r="N20" s="144">
        <v>120.526</v>
      </c>
      <c r="O20" s="144">
        <v>453.05700000000002</v>
      </c>
      <c r="P20" s="151">
        <v>3.0131499999999999E-2</v>
      </c>
      <c r="Q20" s="124">
        <v>45657</v>
      </c>
    </row>
    <row r="21" spans="1:17" ht="15" customHeight="1">
      <c r="A21" s="121">
        <v>313</v>
      </c>
      <c r="B21" s="121">
        <v>313</v>
      </c>
      <c r="C21" s="146" t="s">
        <v>1069</v>
      </c>
      <c r="D21" s="146" t="s">
        <v>2076</v>
      </c>
      <c r="E21" s="147"/>
      <c r="F21" s="27"/>
      <c r="G21" s="148" t="s">
        <v>2116</v>
      </c>
      <c r="H21" s="120">
        <v>60356391</v>
      </c>
      <c r="I21" s="146" t="s">
        <v>311</v>
      </c>
      <c r="J21" s="149" t="s">
        <v>1212</v>
      </c>
      <c r="K21" s="124">
        <v>41730</v>
      </c>
      <c r="L21" s="138">
        <v>3000</v>
      </c>
      <c r="M21" s="138">
        <v>10428</v>
      </c>
      <c r="N21" s="144">
        <v>186.755</v>
      </c>
      <c r="O21" s="144">
        <v>702.01199999999994</v>
      </c>
      <c r="P21" s="151">
        <v>6.2251666666666663E-2</v>
      </c>
      <c r="Q21" s="124">
        <v>45261</v>
      </c>
    </row>
    <row r="22" spans="1:17" ht="15" customHeight="1">
      <c r="A22" s="121">
        <v>313</v>
      </c>
      <c r="B22" s="121">
        <v>313</v>
      </c>
      <c r="C22" s="146" t="s">
        <v>1069</v>
      </c>
      <c r="D22" s="146" t="s">
        <v>2065</v>
      </c>
      <c r="E22" s="147"/>
      <c r="F22" s="27"/>
      <c r="G22" s="148" t="s">
        <v>2119</v>
      </c>
      <c r="H22" s="120">
        <v>60370269</v>
      </c>
      <c r="I22" s="146" t="s">
        <v>311</v>
      </c>
      <c r="J22" s="149" t="s">
        <v>1212</v>
      </c>
      <c r="K22" s="124">
        <v>41883</v>
      </c>
      <c r="L22" s="138">
        <v>13500</v>
      </c>
      <c r="M22" s="138">
        <v>48316.5</v>
      </c>
      <c r="N22" s="144">
        <v>1288.7487899999992</v>
      </c>
      <c r="O22" s="144">
        <v>4844.4070000000002</v>
      </c>
      <c r="P22" s="151">
        <v>9.5462873333333267E-2</v>
      </c>
      <c r="Q22" s="124">
        <v>45536</v>
      </c>
    </row>
    <row r="23" spans="1:17" ht="15" customHeight="1">
      <c r="A23" s="121">
        <v>313</v>
      </c>
      <c r="B23" s="121">
        <v>313</v>
      </c>
      <c r="C23" s="146" t="s">
        <v>1069</v>
      </c>
      <c r="D23" s="146" t="s">
        <v>2593</v>
      </c>
      <c r="E23" s="147"/>
      <c r="F23" s="27"/>
      <c r="G23" s="148" t="s">
        <v>2058</v>
      </c>
      <c r="H23" s="120">
        <v>60375078</v>
      </c>
      <c r="I23" s="146" t="s">
        <v>311</v>
      </c>
      <c r="J23" s="149" t="s">
        <v>1212</v>
      </c>
      <c r="K23" s="124">
        <v>41969</v>
      </c>
      <c r="L23" s="138">
        <v>10500</v>
      </c>
      <c r="M23" s="138">
        <v>40645.5</v>
      </c>
      <c r="N23" s="144">
        <v>1516.8209999999999</v>
      </c>
      <c r="O23" s="144">
        <v>5701.73</v>
      </c>
      <c r="P23" s="151">
        <v>0.14445914285714284</v>
      </c>
      <c r="Q23" s="124">
        <v>45622</v>
      </c>
    </row>
    <row r="24" spans="1:17" ht="15" customHeight="1">
      <c r="A24" s="121">
        <v>313</v>
      </c>
      <c r="B24" s="121">
        <v>313</v>
      </c>
      <c r="C24" s="146" t="s">
        <v>1069</v>
      </c>
      <c r="D24" s="146" t="s">
        <v>2041</v>
      </c>
      <c r="E24" s="147"/>
      <c r="F24" s="27"/>
      <c r="G24" s="148" t="s">
        <v>2493</v>
      </c>
      <c r="H24" s="120">
        <v>36731</v>
      </c>
      <c r="I24" s="146" t="s">
        <v>311</v>
      </c>
      <c r="J24" s="149" t="s">
        <v>1217</v>
      </c>
      <c r="K24" s="124">
        <v>42004</v>
      </c>
      <c r="L24" s="138">
        <v>24000</v>
      </c>
      <c r="M24" s="138">
        <v>24000</v>
      </c>
      <c r="N24" s="144">
        <v>12296.050999999999</v>
      </c>
      <c r="O24" s="144">
        <v>12296.050999999999</v>
      </c>
      <c r="P24" s="151">
        <v>0.51233545833333327</v>
      </c>
      <c r="Q24" s="124">
        <v>45567</v>
      </c>
    </row>
    <row r="25" spans="1:17" ht="15" customHeight="1">
      <c r="A25" s="121">
        <v>313</v>
      </c>
      <c r="B25" s="121">
        <v>313</v>
      </c>
      <c r="C25" s="146" t="s">
        <v>1069</v>
      </c>
      <c r="D25" s="146" t="s">
        <v>2059</v>
      </c>
      <c r="E25" s="147"/>
      <c r="F25" s="27"/>
      <c r="G25" s="148" t="s">
        <v>2064</v>
      </c>
      <c r="H25" s="27">
        <v>92817</v>
      </c>
      <c r="I25" s="146" t="s">
        <v>311</v>
      </c>
      <c r="J25" s="149" t="s">
        <v>1217</v>
      </c>
      <c r="K25" s="124">
        <v>41974</v>
      </c>
      <c r="L25" s="152">
        <v>10000</v>
      </c>
      <c r="M25" s="152">
        <v>10000</v>
      </c>
      <c r="N25" s="153">
        <v>2183.1709999999998</v>
      </c>
      <c r="O25" s="153">
        <v>2183.1709999999998</v>
      </c>
      <c r="P25" s="151">
        <v>0.21831709999999999</v>
      </c>
      <c r="Q25" s="124">
        <v>44531</v>
      </c>
    </row>
    <row r="26" spans="1:17" ht="15" customHeight="1">
      <c r="A26" s="121">
        <v>313</v>
      </c>
      <c r="B26" s="121">
        <v>313</v>
      </c>
      <c r="C26" s="146" t="s">
        <v>1069</v>
      </c>
      <c r="D26" s="146" t="s">
        <v>2588</v>
      </c>
      <c r="E26" s="147"/>
      <c r="F26" s="27"/>
      <c r="G26" s="148" t="s">
        <v>2594</v>
      </c>
      <c r="H26" s="120">
        <v>36749</v>
      </c>
      <c r="I26" s="146" t="s">
        <v>311</v>
      </c>
      <c r="J26" s="149" t="s">
        <v>1217</v>
      </c>
      <c r="K26" s="124">
        <v>42005</v>
      </c>
      <c r="L26" s="152">
        <v>37433.678999999996</v>
      </c>
      <c r="M26" s="152">
        <v>37433.678999999996</v>
      </c>
      <c r="N26" s="144">
        <v>4251.0860000000002</v>
      </c>
      <c r="O26" s="144">
        <v>4251.0860000000002</v>
      </c>
      <c r="P26" s="151">
        <v>0.1135631365541175</v>
      </c>
      <c r="Q26" s="124">
        <v>45658</v>
      </c>
    </row>
    <row r="27" spans="1:17" ht="15" customHeight="1">
      <c r="A27" s="121">
        <v>313</v>
      </c>
      <c r="B27" s="121">
        <v>313</v>
      </c>
      <c r="C27" s="146" t="s">
        <v>1069</v>
      </c>
      <c r="D27" s="146" t="s">
        <v>2117</v>
      </c>
      <c r="E27" s="147"/>
      <c r="F27" s="27"/>
      <c r="G27" s="148" t="s">
        <v>2095</v>
      </c>
      <c r="H27" s="120">
        <v>60400892</v>
      </c>
      <c r="I27" s="146" t="s">
        <v>311</v>
      </c>
      <c r="J27" s="149" t="s">
        <v>1212</v>
      </c>
      <c r="K27" s="124">
        <v>42339</v>
      </c>
      <c r="L27" s="152">
        <v>10000</v>
      </c>
      <c r="M27" s="152">
        <v>38790</v>
      </c>
      <c r="N27" s="153">
        <v>1072.711</v>
      </c>
      <c r="O27" s="153">
        <v>4032.3209999999999</v>
      </c>
      <c r="P27" s="151">
        <v>0.10727110000000001</v>
      </c>
      <c r="Q27" s="124">
        <v>45992</v>
      </c>
    </row>
    <row r="28" spans="1:17" ht="15" customHeight="1">
      <c r="A28" s="121">
        <v>313</v>
      </c>
      <c r="B28" s="121">
        <v>313</v>
      </c>
      <c r="C28" s="146" t="s">
        <v>1069</v>
      </c>
      <c r="D28" s="146" t="s">
        <v>2065</v>
      </c>
      <c r="E28" s="147"/>
      <c r="F28" s="27"/>
      <c r="G28" s="148" t="s">
        <v>2066</v>
      </c>
      <c r="H28" s="120">
        <v>60405917</v>
      </c>
      <c r="I28" s="146" t="s">
        <v>311</v>
      </c>
      <c r="J28" s="149" t="s">
        <v>1212</v>
      </c>
      <c r="K28" s="124">
        <v>42461</v>
      </c>
      <c r="L28" s="152">
        <v>10000</v>
      </c>
      <c r="M28" s="152">
        <v>37860</v>
      </c>
      <c r="N28" s="153">
        <v>1879.8389999999999</v>
      </c>
      <c r="O28" s="153">
        <v>7066.3149999999996</v>
      </c>
      <c r="P28" s="151">
        <v>0.18798389999999998</v>
      </c>
      <c r="Q28" s="124">
        <v>46113</v>
      </c>
    </row>
    <row r="29" spans="1:17" ht="15" customHeight="1">
      <c r="A29" s="121">
        <v>313</v>
      </c>
      <c r="B29" s="121">
        <v>313</v>
      </c>
      <c r="C29" s="146" t="s">
        <v>1069</v>
      </c>
      <c r="D29" s="146" t="s">
        <v>2100</v>
      </c>
      <c r="E29" s="147"/>
      <c r="F29" s="27"/>
      <c r="G29" s="148" t="s">
        <v>2108</v>
      </c>
      <c r="H29" s="27">
        <v>18994</v>
      </c>
      <c r="I29" s="146" t="s">
        <v>311</v>
      </c>
      <c r="J29" s="149" t="s">
        <v>1217</v>
      </c>
      <c r="K29" s="124">
        <v>42948</v>
      </c>
      <c r="L29" s="152">
        <v>31250</v>
      </c>
      <c r="M29" s="152">
        <v>31250</v>
      </c>
      <c r="N29" s="153">
        <v>5441.1463299999978</v>
      </c>
      <c r="O29" s="153">
        <v>5441.1463299999978</v>
      </c>
      <c r="P29" s="151">
        <v>0.17411668255999993</v>
      </c>
      <c r="Q29" s="124">
        <v>45870</v>
      </c>
    </row>
    <row r="30" spans="1:17" ht="15" customHeight="1">
      <c r="A30" s="121">
        <v>313</v>
      </c>
      <c r="B30" s="121">
        <v>313</v>
      </c>
      <c r="C30" s="146" t="s">
        <v>1069</v>
      </c>
      <c r="D30" s="146" t="s">
        <v>2059</v>
      </c>
      <c r="E30" s="147"/>
      <c r="F30" s="27"/>
      <c r="G30" s="148" t="s">
        <v>2060</v>
      </c>
      <c r="H30" s="27">
        <v>78972</v>
      </c>
      <c r="I30" s="146" t="s">
        <v>311</v>
      </c>
      <c r="J30" s="149" t="s">
        <v>1217</v>
      </c>
      <c r="K30" s="124">
        <v>43070</v>
      </c>
      <c r="L30" s="152">
        <v>20000</v>
      </c>
      <c r="M30" s="152">
        <v>20000</v>
      </c>
      <c r="N30" s="153">
        <v>2595.8679999999999</v>
      </c>
      <c r="O30" s="153">
        <v>2595.8679999999999</v>
      </c>
      <c r="P30" s="151">
        <v>0.1297934</v>
      </c>
      <c r="Q30" s="124">
        <v>45658</v>
      </c>
    </row>
    <row r="31" spans="1:17" ht="15" customHeight="1">
      <c r="A31" s="121">
        <v>313</v>
      </c>
      <c r="B31" s="121">
        <v>313</v>
      </c>
      <c r="C31" s="146" t="s">
        <v>1069</v>
      </c>
      <c r="D31" s="146" t="s">
        <v>2595</v>
      </c>
      <c r="E31" s="147"/>
      <c r="F31" s="27"/>
      <c r="G31" s="148" t="s">
        <v>2062</v>
      </c>
      <c r="H31" s="120">
        <v>20347</v>
      </c>
      <c r="I31" s="146" t="s">
        <v>311</v>
      </c>
      <c r="J31" s="149" t="s">
        <v>1217</v>
      </c>
      <c r="K31" s="124">
        <v>43101</v>
      </c>
      <c r="L31" s="152">
        <v>16668.38</v>
      </c>
      <c r="M31" s="152">
        <v>16668.38</v>
      </c>
      <c r="N31" s="153">
        <v>5533.2354000000005</v>
      </c>
      <c r="O31" s="153">
        <v>5533.2354000000005</v>
      </c>
      <c r="P31" s="151">
        <v>0.33195999851215297</v>
      </c>
      <c r="Q31" s="124">
        <v>47484</v>
      </c>
    </row>
    <row r="32" spans="1:17" ht="15" customHeight="1">
      <c r="C32" s="146" t="s">
        <v>1069</v>
      </c>
      <c r="D32" s="146" t="s">
        <v>2588</v>
      </c>
      <c r="E32" s="147"/>
      <c r="F32" s="27"/>
      <c r="G32" s="148" t="s">
        <v>2034</v>
      </c>
      <c r="H32" s="120">
        <v>38042</v>
      </c>
      <c r="I32" s="146" t="s">
        <v>311</v>
      </c>
      <c r="J32" s="149" t="s">
        <v>1217</v>
      </c>
      <c r="K32" s="124">
        <v>43203</v>
      </c>
      <c r="L32" s="152">
        <v>35589.735999999997</v>
      </c>
      <c r="M32" s="152">
        <v>35589.735999999997</v>
      </c>
      <c r="N32" s="153">
        <v>1739.0809999999999</v>
      </c>
      <c r="O32" s="153">
        <v>1739.0809999999999</v>
      </c>
      <c r="P32" s="151">
        <v>4.8864678288144649E-2</v>
      </c>
      <c r="Q32" s="124">
        <v>46856</v>
      </c>
    </row>
    <row r="33" spans="3:17" ht="15" customHeight="1">
      <c r="C33" s="146" t="s">
        <v>1069</v>
      </c>
      <c r="D33" s="146" t="s">
        <v>2048</v>
      </c>
      <c r="E33" s="147"/>
      <c r="F33" s="27"/>
      <c r="G33" s="148" t="s">
        <v>2048</v>
      </c>
      <c r="H33" s="120">
        <v>51078</v>
      </c>
      <c r="I33" s="146" t="s">
        <v>311</v>
      </c>
      <c r="J33" s="149" t="s">
        <v>1217</v>
      </c>
      <c r="K33" s="124">
        <v>43241</v>
      </c>
      <c r="L33" s="152">
        <v>63251.84461</v>
      </c>
      <c r="M33" s="152">
        <v>63251.84461</v>
      </c>
      <c r="N33" s="153">
        <v>0</v>
      </c>
      <c r="O33" s="153">
        <v>0</v>
      </c>
      <c r="P33" s="151">
        <v>0</v>
      </c>
      <c r="Q33" s="124">
        <v>45408</v>
      </c>
    </row>
    <row r="34" spans="3:17" ht="15" customHeight="1">
      <c r="C34" s="146" t="s">
        <v>1069</v>
      </c>
      <c r="D34" s="146" t="s">
        <v>2591</v>
      </c>
      <c r="E34" s="147"/>
      <c r="F34" s="27"/>
      <c r="G34" s="148" t="s">
        <v>2087</v>
      </c>
      <c r="H34" s="120">
        <v>62008354</v>
      </c>
      <c r="I34" s="146" t="s">
        <v>311</v>
      </c>
      <c r="J34" s="149" t="s">
        <v>1212</v>
      </c>
      <c r="K34" s="124">
        <v>43251</v>
      </c>
      <c r="L34" s="152">
        <v>5000</v>
      </c>
      <c r="M34" s="152">
        <v>17830</v>
      </c>
      <c r="N34" s="153">
        <v>311.17399999999998</v>
      </c>
      <c r="O34" s="153">
        <v>1169.703</v>
      </c>
      <c r="P34" s="151">
        <v>6.2234799999999993E-2</v>
      </c>
      <c r="Q34" s="124">
        <v>46143</v>
      </c>
    </row>
    <row r="35" spans="3:17" ht="15" customHeight="1">
      <c r="C35" s="146" t="s">
        <v>1069</v>
      </c>
      <c r="D35" s="146" t="s">
        <v>2065</v>
      </c>
      <c r="E35" s="147"/>
      <c r="F35" s="27"/>
      <c r="G35" s="148" t="s">
        <v>2596</v>
      </c>
      <c r="H35" s="120">
        <v>62009675</v>
      </c>
      <c r="I35" s="146" t="s">
        <v>311</v>
      </c>
      <c r="J35" s="149" t="s">
        <v>1212</v>
      </c>
      <c r="K35" s="124">
        <v>43283</v>
      </c>
      <c r="L35" s="152">
        <v>8400</v>
      </c>
      <c r="M35" s="152">
        <v>30752.400000000001</v>
      </c>
      <c r="N35" s="153">
        <v>430.77499999999998</v>
      </c>
      <c r="O35" s="153">
        <v>1619.2829999999999</v>
      </c>
      <c r="P35" s="151">
        <v>5.128273809523809E-2</v>
      </c>
      <c r="Q35" s="124">
        <v>46936</v>
      </c>
    </row>
    <row r="36" spans="3:17" ht="15" customHeight="1">
      <c r="C36" s="146" t="s">
        <v>1069</v>
      </c>
      <c r="D36" s="146" t="s">
        <v>2065</v>
      </c>
      <c r="E36" s="147"/>
      <c r="F36" s="27"/>
      <c r="G36" s="148" t="s">
        <v>2597</v>
      </c>
      <c r="H36" s="27">
        <v>62010079</v>
      </c>
      <c r="I36" s="146" t="s">
        <v>311</v>
      </c>
      <c r="J36" s="149" t="s">
        <v>1212</v>
      </c>
      <c r="K36" s="124">
        <v>43283</v>
      </c>
      <c r="L36" s="152">
        <v>2800</v>
      </c>
      <c r="M36" s="152">
        <v>10250.799999999999</v>
      </c>
      <c r="N36" s="153">
        <v>10.972</v>
      </c>
      <c r="O36" s="153">
        <v>41.244</v>
      </c>
      <c r="P36" s="151">
        <v>3.9185714285714284E-3</v>
      </c>
      <c r="Q36" s="124">
        <v>46936</v>
      </c>
    </row>
    <row r="37" spans="3:17" ht="15" customHeight="1">
      <c r="C37" s="146" t="s">
        <v>1069</v>
      </c>
      <c r="D37" s="146" t="s">
        <v>2065</v>
      </c>
      <c r="E37" s="147"/>
      <c r="F37" s="27"/>
      <c r="G37" s="148" t="s">
        <v>2598</v>
      </c>
      <c r="H37" s="27">
        <v>62010061</v>
      </c>
      <c r="I37" s="146" t="s">
        <v>311</v>
      </c>
      <c r="J37" s="149" t="s">
        <v>1212</v>
      </c>
      <c r="K37" s="124">
        <v>43283</v>
      </c>
      <c r="L37" s="152">
        <v>2800</v>
      </c>
      <c r="M37" s="152">
        <v>10250.799999999999</v>
      </c>
      <c r="N37" s="153">
        <v>425.55</v>
      </c>
      <c r="O37" s="153">
        <v>1599.6420000000001</v>
      </c>
      <c r="P37" s="151">
        <v>0.15198214285714287</v>
      </c>
      <c r="Q37" s="124">
        <v>46936</v>
      </c>
    </row>
    <row r="38" spans="3:17" ht="15" customHeight="1">
      <c r="C38" s="146" t="s">
        <v>1069</v>
      </c>
      <c r="D38" s="146" t="s">
        <v>2041</v>
      </c>
      <c r="E38" s="147"/>
      <c r="F38" s="27"/>
      <c r="G38" s="148" t="s">
        <v>2044</v>
      </c>
      <c r="H38" s="27">
        <v>36842</v>
      </c>
      <c r="I38" s="146" t="s">
        <v>311</v>
      </c>
      <c r="J38" s="149" t="s">
        <v>1217</v>
      </c>
      <c r="K38" s="124">
        <v>43650</v>
      </c>
      <c r="L38" s="152">
        <v>30800.000000000004</v>
      </c>
      <c r="M38" s="152">
        <v>30800.000000000004</v>
      </c>
      <c r="N38" s="153">
        <v>9240.0000000000036</v>
      </c>
      <c r="O38" s="153">
        <v>9240.0000000000036</v>
      </c>
      <c r="P38" s="151">
        <v>0.3000000000000001</v>
      </c>
      <c r="Q38" s="124">
        <v>46572</v>
      </c>
    </row>
    <row r="39" spans="3:17" ht="15" customHeight="1">
      <c r="C39" s="146" t="s">
        <v>1069</v>
      </c>
      <c r="D39" s="146" t="s">
        <v>2059</v>
      </c>
      <c r="E39" s="147"/>
      <c r="F39" s="27"/>
      <c r="G39" s="148" t="s">
        <v>2075</v>
      </c>
      <c r="H39" s="27">
        <v>78984</v>
      </c>
      <c r="I39" s="146" t="s">
        <v>311</v>
      </c>
      <c r="J39" s="149" t="s">
        <v>1217</v>
      </c>
      <c r="K39" s="124">
        <v>43734</v>
      </c>
      <c r="L39" s="152">
        <v>34500</v>
      </c>
      <c r="M39" s="152">
        <v>34500</v>
      </c>
      <c r="N39" s="153">
        <v>11417.244000000001</v>
      </c>
      <c r="O39" s="153">
        <v>11417.244000000001</v>
      </c>
      <c r="P39" s="151">
        <v>0.33093460869565217</v>
      </c>
      <c r="Q39" s="124">
        <v>45926</v>
      </c>
    </row>
    <row r="40" spans="3:17" ht="15" customHeight="1">
      <c r="C40" s="146" t="s">
        <v>1069</v>
      </c>
      <c r="D40" s="146" t="s">
        <v>2588</v>
      </c>
      <c r="E40" s="147"/>
      <c r="F40" s="27"/>
      <c r="G40" s="148" t="s">
        <v>2115</v>
      </c>
      <c r="H40" s="27">
        <v>38043</v>
      </c>
      <c r="I40" s="146" t="s">
        <v>311</v>
      </c>
      <c r="J40" s="149" t="s">
        <v>1217</v>
      </c>
      <c r="K40" s="124">
        <v>44317</v>
      </c>
      <c r="L40" s="152">
        <v>62030.714999999997</v>
      </c>
      <c r="M40" s="152">
        <v>62030.714999999997</v>
      </c>
      <c r="N40" s="153">
        <v>21311.901000000002</v>
      </c>
      <c r="O40" s="153">
        <v>21311.901000000002</v>
      </c>
      <c r="P40" s="151">
        <v>0.34357013295751954</v>
      </c>
      <c r="Q40" s="124">
        <v>48700</v>
      </c>
    </row>
    <row r="41" spans="3:17" ht="15" customHeight="1">
      <c r="C41" s="146" t="s">
        <v>1069</v>
      </c>
      <c r="D41" s="146" t="s">
        <v>2117</v>
      </c>
      <c r="E41" s="147"/>
      <c r="F41" s="27"/>
      <c r="G41" s="148" t="s">
        <v>2052</v>
      </c>
      <c r="H41" s="27">
        <v>60400893</v>
      </c>
      <c r="I41" s="146" t="s">
        <v>311</v>
      </c>
      <c r="J41" s="149" t="s">
        <v>1212</v>
      </c>
      <c r="K41" s="124">
        <v>44348</v>
      </c>
      <c r="L41" s="152">
        <v>12000</v>
      </c>
      <c r="M41" s="152">
        <v>38856</v>
      </c>
      <c r="N41" s="153">
        <v>7824</v>
      </c>
      <c r="O41" s="153">
        <v>29410.416000000001</v>
      </c>
      <c r="P41" s="151">
        <v>0.65200000000000002</v>
      </c>
      <c r="Q41" s="124">
        <v>48000</v>
      </c>
    </row>
    <row r="42" spans="3:17" ht="15" customHeight="1">
      <c r="C42" s="146" t="s">
        <v>1069</v>
      </c>
      <c r="D42" s="146" t="s">
        <v>2076</v>
      </c>
      <c r="E42" s="147"/>
      <c r="F42" s="27"/>
      <c r="G42" s="148" t="s">
        <v>2050</v>
      </c>
      <c r="H42" s="27">
        <v>62003142</v>
      </c>
      <c r="I42" s="146" t="s">
        <v>311</v>
      </c>
      <c r="J42" s="149" t="s">
        <v>1212</v>
      </c>
      <c r="K42" s="124">
        <v>44348</v>
      </c>
      <c r="L42" s="152">
        <v>6000</v>
      </c>
      <c r="M42" s="152">
        <v>19428</v>
      </c>
      <c r="N42" s="153">
        <v>788.572</v>
      </c>
      <c r="O42" s="153">
        <v>2964.2420000000002</v>
      </c>
      <c r="P42" s="151">
        <v>0.13142866666666667</v>
      </c>
      <c r="Q42" s="124">
        <v>46600</v>
      </c>
    </row>
    <row r="43" spans="3:17" ht="15" customHeight="1">
      <c r="C43" s="146" t="s">
        <v>1069</v>
      </c>
      <c r="D43" s="146" t="s">
        <v>2599</v>
      </c>
      <c r="E43" s="147"/>
      <c r="F43" s="27"/>
      <c r="G43" s="148" t="s">
        <v>2092</v>
      </c>
      <c r="H43" s="27">
        <v>62011336</v>
      </c>
      <c r="I43" s="146" t="s">
        <v>311</v>
      </c>
      <c r="J43" s="149" t="s">
        <v>1212</v>
      </c>
      <c r="K43" s="124">
        <v>44329</v>
      </c>
      <c r="L43" s="152">
        <v>8400</v>
      </c>
      <c r="M43" s="152">
        <v>27686.400000000001</v>
      </c>
      <c r="N43" s="153">
        <v>672</v>
      </c>
      <c r="O43" s="153">
        <v>2526.0479999999998</v>
      </c>
      <c r="P43" s="151">
        <v>0.08</v>
      </c>
      <c r="Q43" s="124">
        <v>46155</v>
      </c>
    </row>
    <row r="44" spans="3:17" ht="15" customHeight="1">
      <c r="C44" s="146" t="s">
        <v>1069</v>
      </c>
      <c r="D44" s="146" t="s">
        <v>2065</v>
      </c>
      <c r="E44" s="147"/>
      <c r="F44" s="27"/>
      <c r="G44" s="148" t="s">
        <v>2097</v>
      </c>
      <c r="H44" s="27">
        <v>62010060</v>
      </c>
      <c r="I44" s="146" t="s">
        <v>311</v>
      </c>
      <c r="J44" s="149" t="s">
        <v>1212</v>
      </c>
      <c r="K44" s="124">
        <v>44348</v>
      </c>
      <c r="L44" s="152">
        <v>4200</v>
      </c>
      <c r="M44" s="152">
        <v>13599.6</v>
      </c>
      <c r="N44" s="153">
        <v>2457</v>
      </c>
      <c r="O44" s="153">
        <v>9235.8629999999994</v>
      </c>
      <c r="P44" s="151">
        <v>0.58499999999999996</v>
      </c>
      <c r="Q44" s="124">
        <v>49096</v>
      </c>
    </row>
    <row r="45" spans="3:17" ht="15" customHeight="1">
      <c r="C45" s="146" t="s">
        <v>1069</v>
      </c>
      <c r="D45" s="146" t="s">
        <v>2100</v>
      </c>
      <c r="E45" s="147"/>
      <c r="F45" s="27"/>
      <c r="G45" s="148" t="s">
        <v>2101</v>
      </c>
      <c r="H45" s="27">
        <v>18995</v>
      </c>
      <c r="I45" s="146" t="s">
        <v>311</v>
      </c>
      <c r="J45" s="149" t="s">
        <v>1217</v>
      </c>
      <c r="K45" s="124">
        <v>44256</v>
      </c>
      <c r="L45" s="152">
        <v>36000</v>
      </c>
      <c r="M45" s="152">
        <v>36000</v>
      </c>
      <c r="N45" s="153">
        <v>13471.476000000001</v>
      </c>
      <c r="O45" s="153">
        <v>13471.476000000001</v>
      </c>
      <c r="P45" s="151">
        <v>0.37420766666666666</v>
      </c>
      <c r="Q45" s="124">
        <v>47178</v>
      </c>
    </row>
    <row r="46" spans="3:17" ht="15" customHeight="1">
      <c r="C46" s="146" t="s">
        <v>1069</v>
      </c>
      <c r="D46" s="146" t="s">
        <v>1985</v>
      </c>
      <c r="E46" s="147"/>
      <c r="F46" s="27"/>
      <c r="G46" s="148" t="s">
        <v>1986</v>
      </c>
      <c r="H46" s="27">
        <v>78990</v>
      </c>
      <c r="I46" s="146" t="s">
        <v>311</v>
      </c>
      <c r="J46" s="149" t="s">
        <v>1217</v>
      </c>
      <c r="K46" s="124">
        <v>44635</v>
      </c>
      <c r="L46" s="152">
        <v>12650</v>
      </c>
      <c r="M46" s="152">
        <v>12650</v>
      </c>
      <c r="N46" s="153">
        <v>0</v>
      </c>
      <c r="O46" s="153">
        <v>0</v>
      </c>
      <c r="P46" s="151">
        <v>0</v>
      </c>
      <c r="Q46" s="124">
        <v>45731</v>
      </c>
    </row>
    <row r="47" spans="3:17" ht="15" customHeight="1">
      <c r="C47" s="146" t="s">
        <v>1069</v>
      </c>
      <c r="D47" s="146" t="s">
        <v>2600</v>
      </c>
      <c r="E47" s="147"/>
      <c r="F47" s="27"/>
      <c r="G47" s="148" t="s">
        <v>2083</v>
      </c>
      <c r="H47" s="27">
        <v>53020</v>
      </c>
      <c r="I47" s="146" t="s">
        <v>311</v>
      </c>
      <c r="J47" s="149" t="s">
        <v>1217</v>
      </c>
      <c r="K47" s="124">
        <v>44574</v>
      </c>
      <c r="L47" s="152">
        <v>29917.623</v>
      </c>
      <c r="M47" s="152">
        <v>29917.623</v>
      </c>
      <c r="N47" s="153">
        <v>0</v>
      </c>
      <c r="O47" s="153">
        <v>0</v>
      </c>
      <c r="P47" s="151">
        <v>0</v>
      </c>
      <c r="Q47" s="124">
        <v>50586</v>
      </c>
    </row>
    <row r="48" spans="3:17" ht="15" customHeight="1">
      <c r="C48" s="146" t="s">
        <v>1069</v>
      </c>
      <c r="D48" s="146" t="s">
        <v>2079</v>
      </c>
      <c r="E48" s="147"/>
      <c r="F48" s="27"/>
      <c r="G48" s="148" t="s">
        <v>2080</v>
      </c>
      <c r="H48" s="27">
        <v>78995</v>
      </c>
      <c r="I48" s="146" t="s">
        <v>311</v>
      </c>
      <c r="J48" s="149" t="s">
        <v>1217</v>
      </c>
      <c r="K48" s="124">
        <v>44803</v>
      </c>
      <c r="L48" s="152">
        <v>17250</v>
      </c>
      <c r="M48" s="152">
        <v>17250</v>
      </c>
      <c r="N48" s="153">
        <v>9701.9942599999995</v>
      </c>
      <c r="O48" s="153">
        <v>9701.9942599999995</v>
      </c>
      <c r="P48" s="151">
        <v>0.5624344498550724</v>
      </c>
      <c r="Q48" s="124">
        <v>47725</v>
      </c>
    </row>
    <row r="49" spans="3:17" ht="15" customHeight="1">
      <c r="C49" s="146" t="s">
        <v>1069</v>
      </c>
      <c r="D49" s="146" t="s">
        <v>2065</v>
      </c>
      <c r="E49" s="147"/>
      <c r="F49" s="27"/>
      <c r="G49" s="148" t="s">
        <v>2063</v>
      </c>
      <c r="H49" s="27">
        <v>62017775</v>
      </c>
      <c r="I49" s="146" t="s">
        <v>311</v>
      </c>
      <c r="J49" s="149" t="s">
        <v>1212</v>
      </c>
      <c r="K49" s="124">
        <v>44824</v>
      </c>
      <c r="L49" s="152">
        <v>3050</v>
      </c>
      <c r="M49" s="152">
        <v>10488.95</v>
      </c>
      <c r="N49" s="153">
        <v>2501</v>
      </c>
      <c r="O49" s="153">
        <v>9401.259</v>
      </c>
      <c r="P49" s="151">
        <v>0.82</v>
      </c>
      <c r="Q49" s="124">
        <v>49572</v>
      </c>
    </row>
    <row r="50" spans="3:17" ht="15" customHeight="1">
      <c r="C50" s="146" t="s">
        <v>1069</v>
      </c>
      <c r="D50" s="146" t="s">
        <v>2065</v>
      </c>
      <c r="E50" s="147"/>
      <c r="F50" s="27"/>
      <c r="G50" s="148" t="s">
        <v>2096</v>
      </c>
      <c r="H50" s="27">
        <v>62017780</v>
      </c>
      <c r="I50" s="146" t="s">
        <v>311</v>
      </c>
      <c r="J50" s="149" t="s">
        <v>1212</v>
      </c>
      <c r="K50" s="124">
        <v>44824</v>
      </c>
      <c r="L50" s="152">
        <v>3050</v>
      </c>
      <c r="M50" s="152">
        <v>10488.95</v>
      </c>
      <c r="N50" s="153">
        <v>2501</v>
      </c>
      <c r="O50" s="153">
        <v>9401.259</v>
      </c>
      <c r="P50" s="151">
        <v>0.82</v>
      </c>
      <c r="Q50" s="124">
        <v>49572</v>
      </c>
    </row>
    <row r="51" spans="3:17" ht="15" customHeight="1">
      <c r="C51" s="146" t="s">
        <v>1069</v>
      </c>
      <c r="D51" s="146" t="s">
        <v>2582</v>
      </c>
      <c r="E51" s="147"/>
      <c r="F51" s="27"/>
      <c r="G51" s="148" t="s">
        <v>2056</v>
      </c>
      <c r="H51" s="27">
        <v>60289795</v>
      </c>
      <c r="I51" s="146" t="s">
        <v>311</v>
      </c>
      <c r="J51" s="149" t="s">
        <v>1212</v>
      </c>
      <c r="K51" s="124">
        <v>44923</v>
      </c>
      <c r="L51" s="152">
        <v>16097.56098</v>
      </c>
      <c r="M51" s="152">
        <v>56727.804893520006</v>
      </c>
      <c r="N51" s="153">
        <v>12475.61</v>
      </c>
      <c r="O51" s="153">
        <v>46895.817999999999</v>
      </c>
      <c r="P51" s="151">
        <v>0.77500001494015158</v>
      </c>
      <c r="Q51" s="124">
        <v>48576</v>
      </c>
    </row>
    <row r="52" spans="3:17" ht="15" customHeight="1">
      <c r="C52" s="146" t="s">
        <v>1069</v>
      </c>
      <c r="D52" s="120" t="s">
        <v>2057</v>
      </c>
      <c r="E52" s="147"/>
      <c r="F52" s="27"/>
      <c r="G52" s="148" t="s">
        <v>2094</v>
      </c>
      <c r="H52" s="27">
        <v>50007970</v>
      </c>
      <c r="I52" s="146" t="s">
        <v>311</v>
      </c>
      <c r="J52" s="149" t="s">
        <v>1217</v>
      </c>
      <c r="K52" s="124">
        <v>45061</v>
      </c>
      <c r="L52" s="152">
        <v>50000</v>
      </c>
      <c r="M52" s="152">
        <v>50000</v>
      </c>
      <c r="N52" s="153">
        <v>35000</v>
      </c>
      <c r="O52" s="153">
        <v>35000</v>
      </c>
      <c r="P52" s="151">
        <v>0.7</v>
      </c>
      <c r="Q52" s="124">
        <v>47983</v>
      </c>
    </row>
    <row r="53" spans="3:17" ht="15" customHeight="1">
      <c r="C53" s="146" t="s">
        <v>1069</v>
      </c>
      <c r="D53" s="146" t="s">
        <v>2098</v>
      </c>
      <c r="E53" s="147"/>
      <c r="F53" s="27"/>
      <c r="G53" s="148" t="s">
        <v>2099</v>
      </c>
      <c r="H53" s="27">
        <v>79005</v>
      </c>
      <c r="I53" s="146" t="s">
        <v>311</v>
      </c>
      <c r="J53" s="149" t="s">
        <v>1217</v>
      </c>
      <c r="K53" s="124">
        <v>45069</v>
      </c>
      <c r="L53" s="152">
        <v>36800</v>
      </c>
      <c r="M53" s="152">
        <v>36800</v>
      </c>
      <c r="N53" s="153">
        <v>36519.491999999998</v>
      </c>
      <c r="O53" s="153">
        <v>36519.491999999998</v>
      </c>
      <c r="P53" s="151">
        <v>0.99237749999999991</v>
      </c>
      <c r="Q53" s="124">
        <v>47991</v>
      </c>
    </row>
    <row r="54" spans="3:17" ht="15" customHeight="1">
      <c r="C54" s="146" t="s">
        <v>1069</v>
      </c>
      <c r="D54" s="146" t="s">
        <v>2084</v>
      </c>
      <c r="E54" s="147"/>
      <c r="F54" s="27"/>
      <c r="G54" s="148" t="s">
        <v>2085</v>
      </c>
      <c r="H54" s="27">
        <v>62018045</v>
      </c>
      <c r="I54" s="146" t="s">
        <v>311</v>
      </c>
      <c r="J54" s="149" t="s">
        <v>1212</v>
      </c>
      <c r="K54" s="124">
        <v>45229</v>
      </c>
      <c r="L54" s="152">
        <v>7448.2759999999998</v>
      </c>
      <c r="M54" s="152">
        <v>30202.759180000001</v>
      </c>
      <c r="N54" s="153">
        <v>6687.4409999999998</v>
      </c>
      <c r="O54" s="153">
        <v>25138.091</v>
      </c>
      <c r="P54" s="151">
        <v>0.89785085837313228</v>
      </c>
      <c r="Q54" s="124">
        <v>48882</v>
      </c>
    </row>
    <row r="55" spans="3:17" ht="15" customHeight="1">
      <c r="C55" s="146" t="s">
        <v>1069</v>
      </c>
      <c r="D55" s="146" t="s">
        <v>2088</v>
      </c>
      <c r="E55" s="147"/>
      <c r="F55" s="27"/>
      <c r="G55" s="148" t="s">
        <v>2089</v>
      </c>
      <c r="H55" s="27">
        <v>62008450</v>
      </c>
      <c r="I55" s="146" t="s">
        <v>311</v>
      </c>
      <c r="J55" s="149" t="s">
        <v>1217</v>
      </c>
      <c r="K55" s="124">
        <v>45223</v>
      </c>
      <c r="L55" s="152">
        <v>24828</v>
      </c>
      <c r="M55" s="152">
        <v>24828</v>
      </c>
      <c r="N55" s="153">
        <v>21151.201000000001</v>
      </c>
      <c r="O55" s="153">
        <v>21151.201000000001</v>
      </c>
      <c r="P55" s="151">
        <v>0.85190917512485909</v>
      </c>
      <c r="Q55" s="124">
        <v>48876</v>
      </c>
    </row>
    <row r="56" spans="3:17" ht="15" customHeight="1">
      <c r="C56" s="146" t="s">
        <v>1069</v>
      </c>
      <c r="D56" s="120" t="s">
        <v>2601</v>
      </c>
      <c r="E56" s="147"/>
      <c r="F56" s="27"/>
      <c r="G56" s="148" t="s">
        <v>2069</v>
      </c>
      <c r="H56" s="27">
        <v>62008551</v>
      </c>
      <c r="I56" s="146" t="s">
        <v>311</v>
      </c>
      <c r="J56" s="149" t="s">
        <v>1212</v>
      </c>
      <c r="K56" s="124">
        <v>45223</v>
      </c>
      <c r="L56" s="152">
        <v>7497.0820000000003</v>
      </c>
      <c r="M56" s="152">
        <v>30460.644165999998</v>
      </c>
      <c r="N56" s="153">
        <v>7062.4139999999998</v>
      </c>
      <c r="O56" s="153">
        <v>26547.614000000001</v>
      </c>
      <c r="P56" s="151">
        <v>0.94202170924634399</v>
      </c>
      <c r="Q56" s="124">
        <v>48876</v>
      </c>
    </row>
    <row r="57" spans="3:17" ht="15" customHeight="1">
      <c r="C57" s="146" t="s">
        <v>1069</v>
      </c>
      <c r="D57" s="120" t="s">
        <v>2081</v>
      </c>
      <c r="E57" s="120"/>
      <c r="F57" s="146"/>
      <c r="G57" s="148" t="s">
        <v>2082</v>
      </c>
      <c r="H57" s="27">
        <v>62021701</v>
      </c>
      <c r="I57" s="146" t="s">
        <v>311</v>
      </c>
      <c r="J57" s="154" t="s">
        <v>1217</v>
      </c>
      <c r="K57" s="124">
        <v>45449</v>
      </c>
      <c r="L57" s="152">
        <v>20690</v>
      </c>
      <c r="M57" s="152">
        <v>20690</v>
      </c>
      <c r="N57" s="153">
        <v>16799.128000000001</v>
      </c>
      <c r="O57" s="153">
        <v>16799.128000000001</v>
      </c>
      <c r="P57" s="151">
        <v>0.81194432092798452</v>
      </c>
      <c r="Q57" s="124">
        <v>48005</v>
      </c>
    </row>
    <row r="58" spans="3:17" ht="15" customHeight="1">
      <c r="C58" s="146" t="s">
        <v>1069</v>
      </c>
      <c r="D58" s="146" t="s">
        <v>2602</v>
      </c>
      <c r="E58" s="147"/>
      <c r="F58" s="27"/>
      <c r="G58" s="148" t="s">
        <v>2306</v>
      </c>
      <c r="H58" s="27">
        <v>9840565</v>
      </c>
      <c r="I58" s="146" t="s">
        <v>311</v>
      </c>
      <c r="J58" s="149" t="s">
        <v>1216</v>
      </c>
      <c r="K58" s="124">
        <v>39751</v>
      </c>
      <c r="L58" s="152">
        <v>9000</v>
      </c>
      <c r="M58" s="152">
        <v>43657.19999999999</v>
      </c>
      <c r="N58" s="153">
        <v>477</v>
      </c>
      <c r="O58" s="153">
        <v>1917.635</v>
      </c>
      <c r="P58" s="151">
        <v>5.2999999999999999E-2</v>
      </c>
      <c r="Q58" s="124">
        <v>45562</v>
      </c>
    </row>
    <row r="59" spans="3:17" ht="15" customHeight="1">
      <c r="C59" s="146" t="s">
        <v>1069</v>
      </c>
      <c r="D59" s="146" t="s">
        <v>2161</v>
      </c>
      <c r="E59" s="147"/>
      <c r="F59" s="27"/>
      <c r="G59" s="148" t="s">
        <v>2173</v>
      </c>
      <c r="H59" s="27">
        <v>9840569</v>
      </c>
      <c r="I59" s="146" t="s">
        <v>311</v>
      </c>
      <c r="J59" s="149" t="s">
        <v>1212</v>
      </c>
      <c r="K59" s="124">
        <v>39845</v>
      </c>
      <c r="L59" s="152">
        <v>5000</v>
      </c>
      <c r="M59" s="152">
        <v>20325.000000000004</v>
      </c>
      <c r="N59" s="153">
        <v>601.62600999999972</v>
      </c>
      <c r="O59" s="153">
        <v>2261.5120000000002</v>
      </c>
      <c r="P59" s="151">
        <v>0.12032520199999995</v>
      </c>
      <c r="Q59" s="124">
        <v>45208</v>
      </c>
    </row>
    <row r="60" spans="3:17" ht="15" customHeight="1">
      <c r="C60" s="146" t="s">
        <v>1069</v>
      </c>
      <c r="D60" s="146" t="s">
        <v>2603</v>
      </c>
      <c r="E60" s="147"/>
      <c r="F60" s="27"/>
      <c r="G60" s="148" t="s">
        <v>2604</v>
      </c>
      <c r="H60" s="27">
        <v>9840568</v>
      </c>
      <c r="I60" s="146" t="s">
        <v>311</v>
      </c>
      <c r="J60" s="149" t="s">
        <v>1212</v>
      </c>
      <c r="K60" s="124">
        <v>39845</v>
      </c>
      <c r="L60" s="152">
        <v>5000</v>
      </c>
      <c r="M60" s="152">
        <v>20325.000000000004</v>
      </c>
      <c r="N60" s="153">
        <v>1513.4975499999998</v>
      </c>
      <c r="O60" s="153">
        <v>5689.2370000000001</v>
      </c>
      <c r="P60" s="151">
        <v>0.30269950999999995</v>
      </c>
      <c r="Q60" s="124">
        <v>45696</v>
      </c>
    </row>
    <row r="61" spans="3:17" ht="15" customHeight="1">
      <c r="C61" s="146" t="s">
        <v>1069</v>
      </c>
      <c r="D61" s="146" t="s">
        <v>2473</v>
      </c>
      <c r="E61" s="120"/>
      <c r="F61" s="27"/>
      <c r="G61" s="148" t="s">
        <v>2605</v>
      </c>
      <c r="H61" s="27">
        <v>9840548</v>
      </c>
      <c r="I61" s="146" t="s">
        <v>311</v>
      </c>
      <c r="J61" s="149" t="s">
        <v>1212</v>
      </c>
      <c r="K61" s="124">
        <v>39934</v>
      </c>
      <c r="L61" s="152">
        <v>5000</v>
      </c>
      <c r="M61" s="152">
        <v>20804.999999999996</v>
      </c>
      <c r="N61" s="153">
        <v>902.56918999999994</v>
      </c>
      <c r="O61" s="153">
        <v>3392.7579999999998</v>
      </c>
      <c r="P61" s="151">
        <v>0.18051383799999998</v>
      </c>
      <c r="Q61" s="124">
        <v>44865</v>
      </c>
    </row>
    <row r="62" spans="3:17" ht="15" customHeight="1">
      <c r="C62" s="146" t="s">
        <v>1069</v>
      </c>
      <c r="D62" s="146" t="s">
        <v>2606</v>
      </c>
      <c r="E62" s="147"/>
      <c r="F62" s="27"/>
      <c r="G62" s="148" t="s">
        <v>2297</v>
      </c>
      <c r="H62" s="27">
        <v>9840574</v>
      </c>
      <c r="I62" s="146" t="s">
        <v>311</v>
      </c>
      <c r="J62" s="149" t="s">
        <v>1212</v>
      </c>
      <c r="K62" s="124">
        <v>40087</v>
      </c>
      <c r="L62" s="152">
        <v>9000</v>
      </c>
      <c r="M62" s="152">
        <v>34020</v>
      </c>
      <c r="N62" s="153">
        <v>450</v>
      </c>
      <c r="O62" s="153">
        <v>1691.55</v>
      </c>
      <c r="P62" s="151">
        <v>0.05</v>
      </c>
      <c r="Q62" s="124">
        <v>45930</v>
      </c>
    </row>
    <row r="63" spans="3:17" ht="15" customHeight="1">
      <c r="C63" s="146" t="s">
        <v>1069</v>
      </c>
      <c r="D63" s="146" t="s">
        <v>2138</v>
      </c>
      <c r="E63" s="147"/>
      <c r="F63" s="27"/>
      <c r="G63" s="148" t="s">
        <v>2402</v>
      </c>
      <c r="H63" s="27">
        <v>9840535</v>
      </c>
      <c r="I63" s="146" t="s">
        <v>311</v>
      </c>
      <c r="J63" s="149" t="s">
        <v>1216</v>
      </c>
      <c r="K63" s="124">
        <v>40148</v>
      </c>
      <c r="L63" s="152">
        <v>33750</v>
      </c>
      <c r="M63" s="152">
        <v>192020.625</v>
      </c>
      <c r="N63" s="153">
        <v>3137.5194200000019</v>
      </c>
      <c r="O63" s="153">
        <v>12613.456</v>
      </c>
      <c r="P63" s="151">
        <v>9.2963538370370427E-2</v>
      </c>
      <c r="Q63" s="124">
        <v>45747</v>
      </c>
    </row>
    <row r="64" spans="3:17" ht="15" customHeight="1">
      <c r="C64" s="146" t="s">
        <v>1069</v>
      </c>
      <c r="D64" s="146" t="s">
        <v>2607</v>
      </c>
      <c r="E64" s="147"/>
      <c r="F64" s="27"/>
      <c r="G64" s="148" t="s">
        <v>2607</v>
      </c>
      <c r="H64" s="27">
        <v>9840770</v>
      </c>
      <c r="I64" s="146" t="s">
        <v>311</v>
      </c>
      <c r="J64" s="149" t="s">
        <v>1212</v>
      </c>
      <c r="K64" s="124">
        <v>40299</v>
      </c>
      <c r="L64" s="152">
        <v>5000</v>
      </c>
      <c r="M64" s="152">
        <v>18580</v>
      </c>
      <c r="N64" s="153">
        <v>160.12334999999962</v>
      </c>
      <c r="O64" s="153">
        <v>601.904</v>
      </c>
      <c r="P64" s="151">
        <v>3.2024669999999922E-2</v>
      </c>
      <c r="Q64" s="124">
        <v>44743</v>
      </c>
    </row>
    <row r="65" spans="3:17" ht="15" customHeight="1">
      <c r="C65" s="146" t="s">
        <v>1069</v>
      </c>
      <c r="D65" s="146" t="s">
        <v>2608</v>
      </c>
      <c r="E65" s="147"/>
      <c r="F65" s="27"/>
      <c r="G65" s="148" t="s">
        <v>2365</v>
      </c>
      <c r="H65" s="27">
        <v>60287034</v>
      </c>
      <c r="I65" s="146" t="s">
        <v>311</v>
      </c>
      <c r="J65" s="149" t="s">
        <v>1212</v>
      </c>
      <c r="K65" s="124">
        <v>40575</v>
      </c>
      <c r="L65" s="152">
        <v>7500</v>
      </c>
      <c r="M65" s="152">
        <v>27682.5</v>
      </c>
      <c r="N65" s="153">
        <v>673.66449999999998</v>
      </c>
      <c r="O65" s="153">
        <v>2532.3049999999998</v>
      </c>
      <c r="P65" s="151">
        <v>8.9821933333333326E-2</v>
      </c>
      <c r="Q65" s="124">
        <v>45566</v>
      </c>
    </row>
    <row r="66" spans="3:17" ht="15" customHeight="1">
      <c r="C66" s="146" t="s">
        <v>1069</v>
      </c>
      <c r="D66" s="146" t="s">
        <v>2132</v>
      </c>
      <c r="E66" s="147"/>
      <c r="F66" s="27"/>
      <c r="G66" s="148" t="s">
        <v>2342</v>
      </c>
      <c r="H66" s="27">
        <v>60265089</v>
      </c>
      <c r="I66" s="146" t="s">
        <v>311</v>
      </c>
      <c r="J66" s="149" t="s">
        <v>1212</v>
      </c>
      <c r="K66" s="124">
        <v>40360</v>
      </c>
      <c r="L66" s="152">
        <v>7500</v>
      </c>
      <c r="M66" s="152">
        <v>29122.5</v>
      </c>
      <c r="N66" s="153">
        <v>823.1703399999999</v>
      </c>
      <c r="O66" s="153">
        <v>3094.297</v>
      </c>
      <c r="P66" s="151">
        <v>0.10975604533333332</v>
      </c>
      <c r="Q66" s="124">
        <v>45444</v>
      </c>
    </row>
    <row r="67" spans="3:17" ht="15" customHeight="1">
      <c r="C67" s="146" t="s">
        <v>1069</v>
      </c>
      <c r="D67" s="146" t="s">
        <v>2132</v>
      </c>
      <c r="E67" s="147"/>
      <c r="F67" s="27"/>
      <c r="G67" s="148" t="s">
        <v>2261</v>
      </c>
      <c r="H67" s="27">
        <v>9988718</v>
      </c>
      <c r="I67" s="146" t="s">
        <v>311</v>
      </c>
      <c r="J67" s="149" t="s">
        <v>1212</v>
      </c>
      <c r="K67" s="124">
        <v>40817</v>
      </c>
      <c r="L67" s="152">
        <v>10000</v>
      </c>
      <c r="M67" s="152">
        <v>37120</v>
      </c>
      <c r="N67" s="153">
        <v>945.65815000000032</v>
      </c>
      <c r="O67" s="153">
        <v>3554.7289999999998</v>
      </c>
      <c r="P67" s="151">
        <v>9.4565815000000025E-2</v>
      </c>
      <c r="Q67" s="124">
        <v>45505</v>
      </c>
    </row>
    <row r="68" spans="3:17" ht="15" customHeight="1">
      <c r="C68" s="146" t="s">
        <v>1069</v>
      </c>
      <c r="D68" s="120" t="s">
        <v>2194</v>
      </c>
      <c r="E68" s="147"/>
      <c r="F68" s="27"/>
      <c r="G68" s="148" t="s">
        <v>2609</v>
      </c>
      <c r="H68" s="27">
        <v>9988965</v>
      </c>
      <c r="I68" s="146" t="s">
        <v>311</v>
      </c>
      <c r="J68" s="149" t="s">
        <v>1212</v>
      </c>
      <c r="K68" s="124">
        <v>40848</v>
      </c>
      <c r="L68" s="152">
        <v>7500</v>
      </c>
      <c r="M68" s="152">
        <v>27375</v>
      </c>
      <c r="N68" s="153">
        <v>2187.9670000000001</v>
      </c>
      <c r="O68" s="153">
        <v>8224.5679999999993</v>
      </c>
      <c r="P68" s="151">
        <v>0.29172893333333333</v>
      </c>
      <c r="Q68" s="124">
        <v>44150</v>
      </c>
    </row>
    <row r="69" spans="3:17" ht="15" customHeight="1">
      <c r="C69" s="146" t="s">
        <v>1069</v>
      </c>
      <c r="D69" s="146" t="s">
        <v>2610</v>
      </c>
      <c r="E69" s="147"/>
      <c r="F69" s="27"/>
      <c r="G69" s="148" t="s">
        <v>2175</v>
      </c>
      <c r="H69" s="27">
        <v>60289782</v>
      </c>
      <c r="I69" s="146" t="s">
        <v>311</v>
      </c>
      <c r="J69" s="149" t="s">
        <v>1212</v>
      </c>
      <c r="K69" s="124">
        <v>40878</v>
      </c>
      <c r="L69" s="152">
        <v>7500</v>
      </c>
      <c r="M69" s="152">
        <v>28057.5</v>
      </c>
      <c r="N69" s="153">
        <v>1579.002</v>
      </c>
      <c r="O69" s="153">
        <v>5935.4690000000001</v>
      </c>
      <c r="P69" s="151">
        <v>0.21053359999999999</v>
      </c>
      <c r="Q69" s="124">
        <v>45538</v>
      </c>
    </row>
    <row r="70" spans="3:17" ht="15" customHeight="1">
      <c r="C70" s="146" t="s">
        <v>1069</v>
      </c>
      <c r="D70" s="146" t="s">
        <v>2228</v>
      </c>
      <c r="E70" s="147"/>
      <c r="F70" s="27"/>
      <c r="G70" s="148" t="s">
        <v>2389</v>
      </c>
      <c r="H70" s="27">
        <v>60294154</v>
      </c>
      <c r="I70" s="146" t="s">
        <v>311</v>
      </c>
      <c r="J70" s="149" t="s">
        <v>1216</v>
      </c>
      <c r="K70" s="124">
        <v>40940</v>
      </c>
      <c r="L70" s="152">
        <v>5000</v>
      </c>
      <c r="M70" s="152">
        <v>24534.5</v>
      </c>
      <c r="N70" s="153">
        <v>0</v>
      </c>
      <c r="O70" s="153">
        <v>0</v>
      </c>
      <c r="P70" s="151">
        <v>0</v>
      </c>
      <c r="Q70" s="124">
        <v>46073</v>
      </c>
    </row>
    <row r="71" spans="3:17" ht="15" customHeight="1">
      <c r="C71" s="146" t="s">
        <v>1069</v>
      </c>
      <c r="D71" s="146" t="s">
        <v>2611</v>
      </c>
      <c r="E71" s="147"/>
      <c r="F71" s="27"/>
      <c r="G71" s="148" t="s">
        <v>2210</v>
      </c>
      <c r="H71" s="27">
        <v>60293396</v>
      </c>
      <c r="I71" s="146" t="s">
        <v>311</v>
      </c>
      <c r="J71" s="149" t="s">
        <v>1212</v>
      </c>
      <c r="K71" s="124">
        <v>40940</v>
      </c>
      <c r="L71" s="152">
        <v>4850</v>
      </c>
      <c r="M71" s="152">
        <v>18124.45</v>
      </c>
      <c r="N71" s="153">
        <v>629.9</v>
      </c>
      <c r="O71" s="153">
        <v>2367.7939999999999</v>
      </c>
      <c r="P71" s="151">
        <v>0.12987628865979381</v>
      </c>
      <c r="Q71" s="124">
        <v>44044</v>
      </c>
    </row>
    <row r="72" spans="3:17" ht="15" customHeight="1">
      <c r="C72" s="146" t="s">
        <v>1069</v>
      </c>
      <c r="D72" s="146" t="s">
        <v>2612</v>
      </c>
      <c r="E72" s="147"/>
      <c r="F72" s="27"/>
      <c r="G72" s="148" t="s">
        <v>2269</v>
      </c>
      <c r="H72" s="27">
        <v>60302569</v>
      </c>
      <c r="I72" s="146" t="s">
        <v>311</v>
      </c>
      <c r="J72" s="149" t="s">
        <v>1212</v>
      </c>
      <c r="K72" s="124">
        <v>41030</v>
      </c>
      <c r="L72" s="152">
        <v>3000</v>
      </c>
      <c r="M72" s="152">
        <v>11304</v>
      </c>
      <c r="N72" s="153">
        <v>8.5883500000000925</v>
      </c>
      <c r="O72" s="153">
        <v>32.283999999999999</v>
      </c>
      <c r="P72" s="151">
        <v>2.8627833333333642E-3</v>
      </c>
      <c r="Q72" s="124">
        <v>45440</v>
      </c>
    </row>
    <row r="73" spans="3:17" ht="15" customHeight="1">
      <c r="C73" s="146" t="s">
        <v>1069</v>
      </c>
      <c r="D73" s="146" t="s">
        <v>2613</v>
      </c>
      <c r="E73" s="147"/>
      <c r="F73" s="27"/>
      <c r="G73" s="148" t="s">
        <v>2535</v>
      </c>
      <c r="H73" s="27">
        <v>60303385</v>
      </c>
      <c r="I73" s="146" t="s">
        <v>311</v>
      </c>
      <c r="J73" s="149" t="s">
        <v>1212</v>
      </c>
      <c r="K73" s="124">
        <v>41030</v>
      </c>
      <c r="L73" s="152">
        <v>10000</v>
      </c>
      <c r="M73" s="152">
        <v>37680</v>
      </c>
      <c r="N73" s="153">
        <v>2972.3266900000003</v>
      </c>
      <c r="O73" s="153">
        <v>11172.976000000001</v>
      </c>
      <c r="P73" s="151">
        <v>0.297232669</v>
      </c>
      <c r="Q73" s="124">
        <v>45850</v>
      </c>
    </row>
    <row r="74" spans="3:17" ht="15" customHeight="1">
      <c r="C74" s="146" t="s">
        <v>1069</v>
      </c>
      <c r="D74" s="146" t="s">
        <v>2327</v>
      </c>
      <c r="E74" s="147"/>
      <c r="F74" s="27"/>
      <c r="G74" s="148" t="s">
        <v>2413</v>
      </c>
      <c r="H74" s="27">
        <v>60304870</v>
      </c>
      <c r="I74" s="146" t="s">
        <v>311</v>
      </c>
      <c r="J74" s="149" t="s">
        <v>1212</v>
      </c>
      <c r="K74" s="124">
        <v>41061</v>
      </c>
      <c r="L74" s="152">
        <v>3487.5</v>
      </c>
      <c r="M74" s="152">
        <v>13653.5625</v>
      </c>
      <c r="N74" s="153">
        <v>2270.3732999999997</v>
      </c>
      <c r="O74" s="153">
        <v>8534.3330000000005</v>
      </c>
      <c r="P74" s="151">
        <v>0.65100309677419343</v>
      </c>
      <c r="Q74" s="124">
        <v>45493</v>
      </c>
    </row>
    <row r="75" spans="3:17" ht="15" customHeight="1">
      <c r="C75" s="146" t="s">
        <v>1069</v>
      </c>
      <c r="D75" s="146" t="s">
        <v>2614</v>
      </c>
      <c r="E75" s="147"/>
      <c r="F75" s="27"/>
      <c r="G75" s="148" t="s">
        <v>2294</v>
      </c>
      <c r="H75" s="27">
        <v>60298742</v>
      </c>
      <c r="I75" s="146" t="s">
        <v>311</v>
      </c>
      <c r="J75" s="149" t="s">
        <v>1212</v>
      </c>
      <c r="K75" s="124">
        <v>41122</v>
      </c>
      <c r="L75" s="152">
        <v>5000</v>
      </c>
      <c r="M75" s="152">
        <v>19850</v>
      </c>
      <c r="N75" s="153">
        <v>335.85700000000003</v>
      </c>
      <c r="O75" s="153">
        <v>1262.4849999999999</v>
      </c>
      <c r="P75" s="151">
        <v>6.7171400000000006E-2</v>
      </c>
      <c r="Q75" s="124">
        <v>44661</v>
      </c>
    </row>
    <row r="76" spans="3:17" ht="15" customHeight="1">
      <c r="C76" s="146" t="s">
        <v>1069</v>
      </c>
      <c r="D76" s="146" t="s">
        <v>2615</v>
      </c>
      <c r="E76" s="147"/>
      <c r="F76" s="27"/>
      <c r="G76" s="148" t="s">
        <v>2224</v>
      </c>
      <c r="H76" s="27">
        <v>60311032</v>
      </c>
      <c r="I76" s="146" t="s">
        <v>311</v>
      </c>
      <c r="J76" s="149" t="s">
        <v>1212</v>
      </c>
      <c r="K76" s="124">
        <v>41165</v>
      </c>
      <c r="L76" s="152">
        <v>3000</v>
      </c>
      <c r="M76" s="152">
        <v>11898</v>
      </c>
      <c r="N76" s="153">
        <v>205.67249000000021</v>
      </c>
      <c r="O76" s="153">
        <v>773.12300000000005</v>
      </c>
      <c r="P76" s="151">
        <v>6.8557496666666731E-2</v>
      </c>
      <c r="Q76" s="124">
        <v>45641</v>
      </c>
    </row>
    <row r="77" spans="3:17" ht="15" customHeight="1">
      <c r="C77" s="146" t="s">
        <v>1069</v>
      </c>
      <c r="D77" s="146" t="s">
        <v>2138</v>
      </c>
      <c r="E77" s="147"/>
      <c r="F77" s="27"/>
      <c r="G77" s="148" t="s">
        <v>2230</v>
      </c>
      <c r="H77" s="27">
        <v>60318367</v>
      </c>
      <c r="I77" s="146" t="s">
        <v>311</v>
      </c>
      <c r="J77" s="149" t="s">
        <v>1216</v>
      </c>
      <c r="K77" s="124">
        <v>41214</v>
      </c>
      <c r="L77" s="152">
        <v>36000</v>
      </c>
      <c r="M77" s="152">
        <v>180691.20000000001</v>
      </c>
      <c r="N77" s="153">
        <v>6340</v>
      </c>
      <c r="O77" s="153">
        <v>25488.067999999999</v>
      </c>
      <c r="P77" s="151">
        <v>0.17611111111111111</v>
      </c>
      <c r="Q77" s="124">
        <v>46477</v>
      </c>
    </row>
    <row r="78" spans="3:17" ht="15" customHeight="1">
      <c r="C78" s="146" t="s">
        <v>1069</v>
      </c>
      <c r="D78" s="146" t="s">
        <v>2616</v>
      </c>
      <c r="E78" s="147"/>
      <c r="F78" s="27"/>
      <c r="G78" s="148" t="s">
        <v>2185</v>
      </c>
      <c r="H78" s="27">
        <v>60318607</v>
      </c>
      <c r="I78" s="146" t="s">
        <v>311</v>
      </c>
      <c r="J78" s="149" t="s">
        <v>1212</v>
      </c>
      <c r="K78" s="124">
        <v>41244</v>
      </c>
      <c r="L78" s="152">
        <v>7500</v>
      </c>
      <c r="M78" s="152">
        <v>28575</v>
      </c>
      <c r="N78" s="153">
        <v>297.11423000000048</v>
      </c>
      <c r="O78" s="153">
        <v>1116.8520000000001</v>
      </c>
      <c r="P78" s="151">
        <v>3.961523066666673E-2</v>
      </c>
      <c r="Q78" s="124">
        <v>45627</v>
      </c>
    </row>
    <row r="79" spans="3:17" ht="15" customHeight="1">
      <c r="C79" s="146" t="s">
        <v>1069</v>
      </c>
      <c r="D79" s="146" t="s">
        <v>2043</v>
      </c>
      <c r="E79" s="147"/>
      <c r="F79" s="27"/>
      <c r="G79" s="148" t="s">
        <v>2617</v>
      </c>
      <c r="H79" s="27">
        <v>60316858</v>
      </c>
      <c r="I79" s="146" t="s">
        <v>311</v>
      </c>
      <c r="J79" s="149" t="s">
        <v>1212</v>
      </c>
      <c r="K79" s="124">
        <v>41153</v>
      </c>
      <c r="L79" s="152">
        <v>4000</v>
      </c>
      <c r="M79" s="152">
        <v>16111.999999999998</v>
      </c>
      <c r="N79" s="153">
        <v>160</v>
      </c>
      <c r="O79" s="153">
        <v>601.44000000000005</v>
      </c>
      <c r="P79" s="151">
        <v>0.04</v>
      </c>
      <c r="Q79" s="124">
        <v>45536</v>
      </c>
    </row>
    <row r="80" spans="3:17" ht="15" customHeight="1">
      <c r="C80" s="146" t="s">
        <v>1069</v>
      </c>
      <c r="D80" s="146" t="s">
        <v>2618</v>
      </c>
      <c r="E80" s="147"/>
      <c r="F80" s="27"/>
      <c r="G80" s="148" t="s">
        <v>2505</v>
      </c>
      <c r="H80" s="27">
        <v>60328044</v>
      </c>
      <c r="I80" s="146" t="s">
        <v>311</v>
      </c>
      <c r="J80" s="149" t="s">
        <v>1212</v>
      </c>
      <c r="K80" s="124">
        <v>41334</v>
      </c>
      <c r="L80" s="152">
        <v>7500</v>
      </c>
      <c r="M80" s="152">
        <v>27922.5</v>
      </c>
      <c r="N80" s="153">
        <v>520.42399999999998</v>
      </c>
      <c r="O80" s="153">
        <v>1956.2739999999999</v>
      </c>
      <c r="P80" s="151">
        <v>6.9389866666666661E-2</v>
      </c>
      <c r="Q80" s="124">
        <v>45745</v>
      </c>
    </row>
    <row r="81" spans="3:17" ht="15" customHeight="1">
      <c r="C81" s="146" t="s">
        <v>1069</v>
      </c>
      <c r="D81" s="146" t="s">
        <v>2161</v>
      </c>
      <c r="E81" s="147"/>
      <c r="F81" s="27"/>
      <c r="G81" s="148" t="s">
        <v>2619</v>
      </c>
      <c r="H81" s="27">
        <v>60333382</v>
      </c>
      <c r="I81" s="146" t="s">
        <v>311</v>
      </c>
      <c r="J81" s="149" t="s">
        <v>1212</v>
      </c>
      <c r="K81" s="124">
        <v>41453</v>
      </c>
      <c r="L81" s="152">
        <v>5356.6639999999998</v>
      </c>
      <c r="M81" s="152">
        <v>19380.410351999999</v>
      </c>
      <c r="N81" s="153">
        <v>146.12100000000001</v>
      </c>
      <c r="O81" s="153">
        <v>549.26900000000001</v>
      </c>
      <c r="P81" s="151">
        <v>2.7278358321522502E-2</v>
      </c>
      <c r="Q81" s="124">
        <v>44012</v>
      </c>
    </row>
    <row r="82" spans="3:17" ht="15" customHeight="1">
      <c r="C82" s="146" t="s">
        <v>1069</v>
      </c>
      <c r="D82" s="146" t="s">
        <v>2473</v>
      </c>
      <c r="E82" s="147"/>
      <c r="F82" s="27"/>
      <c r="G82" s="148" t="s">
        <v>2486</v>
      </c>
      <c r="H82" s="27">
        <v>60333663</v>
      </c>
      <c r="I82" s="146" t="s">
        <v>311</v>
      </c>
      <c r="J82" s="149" t="s">
        <v>1212</v>
      </c>
      <c r="K82" s="124">
        <v>41453</v>
      </c>
      <c r="L82" s="152">
        <v>4200</v>
      </c>
      <c r="M82" s="152">
        <v>15195.6</v>
      </c>
      <c r="N82" s="153">
        <v>208.14854000000003</v>
      </c>
      <c r="O82" s="153">
        <v>782.43</v>
      </c>
      <c r="P82" s="151">
        <v>4.9559176190476194E-2</v>
      </c>
      <c r="Q82" s="124">
        <v>45548</v>
      </c>
    </row>
    <row r="83" spans="3:17" ht="15" customHeight="1">
      <c r="C83" s="146" t="s">
        <v>1069</v>
      </c>
      <c r="D83" s="146" t="s">
        <v>2620</v>
      </c>
      <c r="E83" s="147"/>
      <c r="F83" s="27"/>
      <c r="G83" s="148" t="s">
        <v>2439</v>
      </c>
      <c r="H83" s="27">
        <v>60323060</v>
      </c>
      <c r="I83" s="146" t="s">
        <v>311</v>
      </c>
      <c r="J83" s="149" t="s">
        <v>1212</v>
      </c>
      <c r="K83" s="124">
        <v>41302</v>
      </c>
      <c r="L83" s="152">
        <v>2000</v>
      </c>
      <c r="M83" s="152">
        <v>7464</v>
      </c>
      <c r="N83" s="153">
        <v>0</v>
      </c>
      <c r="O83" s="153">
        <v>0</v>
      </c>
      <c r="P83" s="151">
        <v>0</v>
      </c>
      <c r="Q83" s="124">
        <v>45408</v>
      </c>
    </row>
    <row r="84" spans="3:17" ht="15" customHeight="1">
      <c r="C84" s="146" t="s">
        <v>1069</v>
      </c>
      <c r="D84" s="146" t="s">
        <v>2621</v>
      </c>
      <c r="E84" s="147"/>
      <c r="F84" s="27"/>
      <c r="G84" s="148" t="s">
        <v>2208</v>
      </c>
      <c r="H84" s="27">
        <v>60312816</v>
      </c>
      <c r="I84" s="146" t="s">
        <v>311</v>
      </c>
      <c r="J84" s="149" t="s">
        <v>1212</v>
      </c>
      <c r="K84" s="124">
        <v>41442</v>
      </c>
      <c r="L84" s="152">
        <v>3000</v>
      </c>
      <c r="M84" s="152">
        <v>10806</v>
      </c>
      <c r="N84" s="153">
        <v>0</v>
      </c>
      <c r="O84" s="153">
        <v>0</v>
      </c>
      <c r="P84" s="151">
        <v>0</v>
      </c>
      <c r="Q84" s="124">
        <v>45408</v>
      </c>
    </row>
    <row r="85" spans="3:17" ht="15" customHeight="1">
      <c r="C85" s="146" t="s">
        <v>1069</v>
      </c>
      <c r="D85" s="146" t="s">
        <v>2161</v>
      </c>
      <c r="E85" s="147"/>
      <c r="F85" s="27"/>
      <c r="G85" s="148" t="s">
        <v>2260</v>
      </c>
      <c r="H85" s="27">
        <v>60337086</v>
      </c>
      <c r="I85" s="146" t="s">
        <v>311</v>
      </c>
      <c r="J85" s="149" t="s">
        <v>1212</v>
      </c>
      <c r="K85" s="124">
        <v>41442</v>
      </c>
      <c r="L85" s="152">
        <v>31267.25</v>
      </c>
      <c r="M85" s="152">
        <v>112624.6345</v>
      </c>
      <c r="N85" s="153">
        <v>415.15499999999997</v>
      </c>
      <c r="O85" s="153">
        <v>1560.568</v>
      </c>
      <c r="P85" s="151">
        <v>1.3277630747827198E-2</v>
      </c>
      <c r="Q85" s="124">
        <v>45408</v>
      </c>
    </row>
    <row r="86" spans="3:17" ht="15" customHeight="1">
      <c r="C86" s="146" t="s">
        <v>1069</v>
      </c>
      <c r="D86" s="146" t="s">
        <v>2161</v>
      </c>
      <c r="E86" s="147"/>
      <c r="F86" s="27"/>
      <c r="G86" s="148" t="s">
        <v>2319</v>
      </c>
      <c r="H86" s="27">
        <v>60395779</v>
      </c>
      <c r="I86" s="146" t="s">
        <v>311</v>
      </c>
      <c r="J86" s="149" t="s">
        <v>1212</v>
      </c>
      <c r="K86" s="124">
        <v>41442</v>
      </c>
      <c r="L86" s="152">
        <v>9352.2724499999986</v>
      </c>
      <c r="M86" s="152">
        <v>33686.885364899994</v>
      </c>
      <c r="N86" s="153">
        <v>113.97344999999926</v>
      </c>
      <c r="O86" s="153">
        <v>428.42599999999999</v>
      </c>
      <c r="P86" s="151">
        <v>1.2186711904441929E-2</v>
      </c>
      <c r="Q86" s="124">
        <v>45408</v>
      </c>
    </row>
    <row r="87" spans="3:17" ht="15" customHeight="1">
      <c r="C87" s="146" t="s">
        <v>1069</v>
      </c>
      <c r="D87" s="146" t="s">
        <v>2161</v>
      </c>
      <c r="E87" s="147"/>
      <c r="F87" s="27"/>
      <c r="G87" s="148" t="s">
        <v>2296</v>
      </c>
      <c r="H87" s="27">
        <v>60337078</v>
      </c>
      <c r="I87" s="146" t="s">
        <v>311</v>
      </c>
      <c r="J87" s="149" t="s">
        <v>1212</v>
      </c>
      <c r="K87" s="124">
        <v>41442</v>
      </c>
      <c r="L87" s="152">
        <v>11243.835999999999</v>
      </c>
      <c r="M87" s="152">
        <v>40500.297272000003</v>
      </c>
      <c r="N87" s="153">
        <v>1401.4690000000001</v>
      </c>
      <c r="O87" s="153">
        <v>5268.1220000000003</v>
      </c>
      <c r="P87" s="151">
        <v>0.12464331567980894</v>
      </c>
      <c r="Q87" s="124">
        <v>45408</v>
      </c>
    </row>
    <row r="88" spans="3:17" ht="15" customHeight="1">
      <c r="C88" s="146" t="s">
        <v>1069</v>
      </c>
      <c r="D88" s="146" t="s">
        <v>2622</v>
      </c>
      <c r="E88" s="147"/>
      <c r="F88" s="27"/>
      <c r="G88" s="148" t="s">
        <v>2372</v>
      </c>
      <c r="H88" s="27">
        <v>60323052</v>
      </c>
      <c r="I88" s="146" t="s">
        <v>311</v>
      </c>
      <c r="J88" s="149" t="s">
        <v>1212</v>
      </c>
      <c r="K88" s="124">
        <v>41306</v>
      </c>
      <c r="L88" s="152">
        <v>3000</v>
      </c>
      <c r="M88" s="152">
        <v>11046</v>
      </c>
      <c r="N88" s="153">
        <v>0</v>
      </c>
      <c r="O88" s="153">
        <v>0</v>
      </c>
      <c r="P88" s="151">
        <v>0</v>
      </c>
      <c r="Q88" s="124">
        <v>45695</v>
      </c>
    </row>
    <row r="89" spans="3:17" ht="15" customHeight="1">
      <c r="C89" s="146" t="s">
        <v>1069</v>
      </c>
      <c r="D89" s="146" t="s">
        <v>2623</v>
      </c>
      <c r="E89" s="147"/>
      <c r="F89" s="27"/>
      <c r="G89" s="148" t="s">
        <v>2536</v>
      </c>
      <c r="H89" s="27">
        <v>60344975</v>
      </c>
      <c r="I89" s="146" t="s">
        <v>311</v>
      </c>
      <c r="J89" s="149" t="s">
        <v>1212</v>
      </c>
      <c r="K89" s="124">
        <v>41579</v>
      </c>
      <c r="L89" s="152">
        <v>12900</v>
      </c>
      <c r="M89" s="152">
        <v>45498.3</v>
      </c>
      <c r="N89" s="153">
        <v>1317.0484100000001</v>
      </c>
      <c r="O89" s="153">
        <v>4950.7849999999999</v>
      </c>
      <c r="P89" s="151">
        <v>0.10209677596899226</v>
      </c>
      <c r="Q89" s="124">
        <v>46022</v>
      </c>
    </row>
    <row r="90" spans="3:17" ht="15" customHeight="1">
      <c r="C90" s="146" t="s">
        <v>1069</v>
      </c>
      <c r="D90" s="146" t="s">
        <v>2624</v>
      </c>
      <c r="E90" s="147"/>
      <c r="F90" s="27"/>
      <c r="G90" s="148" t="s">
        <v>2447</v>
      </c>
      <c r="H90" s="27">
        <v>60334695</v>
      </c>
      <c r="I90" s="146" t="s">
        <v>311</v>
      </c>
      <c r="J90" s="149" t="s">
        <v>1212</v>
      </c>
      <c r="K90" s="124">
        <v>41456</v>
      </c>
      <c r="L90" s="152">
        <v>3650</v>
      </c>
      <c r="M90" s="152">
        <v>13275.05</v>
      </c>
      <c r="N90" s="153">
        <v>0</v>
      </c>
      <c r="O90" s="153">
        <v>0</v>
      </c>
      <c r="P90" s="151">
        <v>0</v>
      </c>
      <c r="Q90" s="124">
        <v>45794</v>
      </c>
    </row>
    <row r="91" spans="3:17" ht="15" customHeight="1">
      <c r="C91" s="146" t="s">
        <v>1069</v>
      </c>
      <c r="D91" s="146" t="s">
        <v>2625</v>
      </c>
      <c r="E91" s="147"/>
      <c r="F91" s="27"/>
      <c r="G91" s="148" t="s">
        <v>2245</v>
      </c>
      <c r="H91" s="27">
        <v>60341914</v>
      </c>
      <c r="I91" s="146" t="s">
        <v>311</v>
      </c>
      <c r="J91" s="149" t="s">
        <v>1212</v>
      </c>
      <c r="K91" s="124">
        <v>41548</v>
      </c>
      <c r="L91" s="152">
        <v>6830</v>
      </c>
      <c r="M91" s="152">
        <v>24123.56</v>
      </c>
      <c r="N91" s="153">
        <v>1958.0187000000001</v>
      </c>
      <c r="O91" s="153">
        <v>7360.192</v>
      </c>
      <c r="P91" s="151">
        <v>0.2866791654465593</v>
      </c>
      <c r="Q91" s="124">
        <v>45504</v>
      </c>
    </row>
    <row r="92" spans="3:17" ht="15" customHeight="1">
      <c r="C92" s="146" t="s">
        <v>1069</v>
      </c>
      <c r="D92" s="146" t="s">
        <v>2307</v>
      </c>
      <c r="E92" s="147"/>
      <c r="F92" s="27"/>
      <c r="G92" s="148" t="s">
        <v>2308</v>
      </c>
      <c r="H92" s="27">
        <v>60350733</v>
      </c>
      <c r="I92" s="146" t="s">
        <v>311</v>
      </c>
      <c r="J92" s="149" t="s">
        <v>1212</v>
      </c>
      <c r="K92" s="124">
        <v>41684</v>
      </c>
      <c r="L92" s="152">
        <v>12000</v>
      </c>
      <c r="M92" s="152">
        <v>42072</v>
      </c>
      <c r="N92" s="153">
        <v>1536.58</v>
      </c>
      <c r="O92" s="153">
        <v>5776.0039999999999</v>
      </c>
      <c r="P92" s="151">
        <v>0.12804833333333332</v>
      </c>
      <c r="Q92" s="124">
        <v>45702</v>
      </c>
    </row>
    <row r="93" spans="3:17" ht="15" customHeight="1">
      <c r="C93" s="146" t="s">
        <v>1069</v>
      </c>
      <c r="D93" s="146" t="s">
        <v>2462</v>
      </c>
      <c r="E93" s="120"/>
      <c r="F93" s="27"/>
      <c r="G93" s="148" t="s">
        <v>2626</v>
      </c>
      <c r="H93" s="27">
        <v>60407780</v>
      </c>
      <c r="I93" s="146" t="s">
        <v>311</v>
      </c>
      <c r="J93" s="149" t="s">
        <v>1212</v>
      </c>
      <c r="K93" s="124">
        <v>41730</v>
      </c>
      <c r="L93" s="152">
        <v>6000</v>
      </c>
      <c r="M93" s="152">
        <v>20856</v>
      </c>
      <c r="N93" s="153">
        <v>0</v>
      </c>
      <c r="O93" s="153">
        <v>0</v>
      </c>
      <c r="P93" s="151">
        <v>0</v>
      </c>
      <c r="Q93" s="124">
        <v>45200</v>
      </c>
    </row>
    <row r="94" spans="3:17" ht="15" customHeight="1">
      <c r="C94" s="146" t="s">
        <v>1069</v>
      </c>
      <c r="D94" s="146" t="s">
        <v>2627</v>
      </c>
      <c r="E94" s="147"/>
      <c r="F94" s="27"/>
      <c r="G94" s="148" t="s">
        <v>2156</v>
      </c>
      <c r="H94" s="27">
        <v>60353299</v>
      </c>
      <c r="I94" s="146" t="s">
        <v>311</v>
      </c>
      <c r="J94" s="149" t="s">
        <v>1212</v>
      </c>
      <c r="K94" s="124">
        <v>41698</v>
      </c>
      <c r="L94" s="152">
        <v>4587.0852000000004</v>
      </c>
      <c r="M94" s="152">
        <v>16036.4498592</v>
      </c>
      <c r="N94" s="153">
        <v>629.88367000000039</v>
      </c>
      <c r="O94" s="153">
        <v>2367.7330000000002</v>
      </c>
      <c r="P94" s="151">
        <v>0.13731675836324128</v>
      </c>
      <c r="Q94" s="124">
        <v>45291</v>
      </c>
    </row>
    <row r="95" spans="3:17" ht="15" customHeight="1">
      <c r="C95" s="146" t="s">
        <v>1069</v>
      </c>
      <c r="D95" s="146" t="s">
        <v>2628</v>
      </c>
      <c r="E95" s="147"/>
      <c r="F95" s="27"/>
      <c r="G95" s="148" t="s">
        <v>2154</v>
      </c>
      <c r="H95" s="27">
        <v>60346236</v>
      </c>
      <c r="I95" s="146" t="s">
        <v>311</v>
      </c>
      <c r="J95" s="149" t="s">
        <v>1212</v>
      </c>
      <c r="K95" s="124">
        <v>41620</v>
      </c>
      <c r="L95" s="152">
        <v>5950</v>
      </c>
      <c r="M95" s="152">
        <v>20866.650000000001</v>
      </c>
      <c r="N95" s="153">
        <v>286.71800000000002</v>
      </c>
      <c r="O95" s="153">
        <v>1077.7729999999999</v>
      </c>
      <c r="P95" s="151">
        <v>4.8187899159663872E-2</v>
      </c>
      <c r="Q95" s="124">
        <v>45272</v>
      </c>
    </row>
    <row r="96" spans="3:17" ht="15" customHeight="1">
      <c r="C96" s="146" t="s">
        <v>1069</v>
      </c>
      <c r="D96" s="146" t="s">
        <v>2629</v>
      </c>
      <c r="E96" s="147"/>
      <c r="F96" s="27"/>
      <c r="G96" s="148" t="s">
        <v>2396</v>
      </c>
      <c r="H96" s="27">
        <v>60357506</v>
      </c>
      <c r="I96" s="146" t="s">
        <v>311</v>
      </c>
      <c r="J96" s="149" t="s">
        <v>1212</v>
      </c>
      <c r="K96" s="124">
        <v>41730</v>
      </c>
      <c r="L96" s="152">
        <v>4462.5</v>
      </c>
      <c r="M96" s="152">
        <v>15511.65</v>
      </c>
      <c r="N96" s="153">
        <v>662.25396000000001</v>
      </c>
      <c r="O96" s="153">
        <v>2489.413</v>
      </c>
      <c r="P96" s="151">
        <v>0.14840424873949579</v>
      </c>
      <c r="Q96" s="124">
        <v>45383</v>
      </c>
    </row>
    <row r="97" spans="3:17" ht="15" customHeight="1">
      <c r="C97" s="146" t="s">
        <v>1069</v>
      </c>
      <c r="D97" s="146" t="s">
        <v>2630</v>
      </c>
      <c r="E97" s="147"/>
      <c r="F97" s="27"/>
      <c r="G97" s="148" t="s">
        <v>2384</v>
      </c>
      <c r="H97" s="27">
        <v>60370475</v>
      </c>
      <c r="I97" s="146" t="s">
        <v>311</v>
      </c>
      <c r="J97" s="149" t="s">
        <v>1212</v>
      </c>
      <c r="K97" s="124">
        <v>41883</v>
      </c>
      <c r="L97" s="152">
        <v>6247.5</v>
      </c>
      <c r="M97" s="152">
        <v>22359.802500000002</v>
      </c>
      <c r="N97" s="153">
        <v>266.298</v>
      </c>
      <c r="O97" s="153">
        <v>1001.014</v>
      </c>
      <c r="P97" s="151">
        <v>4.2624729891956786E-2</v>
      </c>
      <c r="Q97" s="124">
        <v>45536</v>
      </c>
    </row>
    <row r="98" spans="3:17" ht="15" customHeight="1">
      <c r="C98" s="146" t="s">
        <v>1069</v>
      </c>
      <c r="D98" s="146" t="s">
        <v>2608</v>
      </c>
      <c r="E98" s="147"/>
      <c r="F98" s="27"/>
      <c r="G98" s="148" t="s">
        <v>2256</v>
      </c>
      <c r="H98" s="27">
        <v>60335809</v>
      </c>
      <c r="I98" s="146" t="s">
        <v>311</v>
      </c>
      <c r="J98" s="149" t="s">
        <v>1212</v>
      </c>
      <c r="K98" s="124">
        <v>41456</v>
      </c>
      <c r="L98" s="152">
        <v>3650</v>
      </c>
      <c r="M98" s="152">
        <v>13275.05</v>
      </c>
      <c r="N98" s="153">
        <v>647.78800000000001</v>
      </c>
      <c r="O98" s="153">
        <v>2435.0349999999999</v>
      </c>
      <c r="P98" s="151">
        <v>0.17747616438356165</v>
      </c>
      <c r="Q98" s="124">
        <v>45629</v>
      </c>
    </row>
    <row r="99" spans="3:17" ht="15" customHeight="1">
      <c r="C99" s="146" t="s">
        <v>1069</v>
      </c>
      <c r="D99" s="146" t="s">
        <v>2608</v>
      </c>
      <c r="E99" s="147"/>
      <c r="F99" s="27"/>
      <c r="G99" s="148" t="s">
        <v>2182</v>
      </c>
      <c r="H99" s="27">
        <v>60378569</v>
      </c>
      <c r="I99" s="146" t="s">
        <v>311</v>
      </c>
      <c r="J99" s="149" t="s">
        <v>1212</v>
      </c>
      <c r="K99" s="124">
        <v>41991</v>
      </c>
      <c r="L99" s="152">
        <v>22500</v>
      </c>
      <c r="M99" s="152">
        <v>88515</v>
      </c>
      <c r="N99" s="153">
        <v>655.70799999999997</v>
      </c>
      <c r="O99" s="153">
        <v>2464.806</v>
      </c>
      <c r="P99" s="151">
        <v>2.9142577777777776E-2</v>
      </c>
      <c r="Q99" s="124">
        <v>45627</v>
      </c>
    </row>
    <row r="100" spans="3:17" ht="15" customHeight="1">
      <c r="C100" s="146" t="s">
        <v>1069</v>
      </c>
      <c r="D100" s="146" t="s">
        <v>2132</v>
      </c>
      <c r="E100" s="147"/>
      <c r="F100" s="27"/>
      <c r="G100" s="148" t="s">
        <v>2137</v>
      </c>
      <c r="H100" s="27">
        <v>60371895</v>
      </c>
      <c r="I100" s="146" t="s">
        <v>311</v>
      </c>
      <c r="J100" s="149" t="s">
        <v>1212</v>
      </c>
      <c r="K100" s="124">
        <v>41913</v>
      </c>
      <c r="L100" s="152">
        <v>15000</v>
      </c>
      <c r="M100" s="152">
        <v>55080</v>
      </c>
      <c r="N100" s="153">
        <v>2708.9674499999992</v>
      </c>
      <c r="O100" s="153">
        <v>10183.009</v>
      </c>
      <c r="P100" s="151">
        <v>0.18059782999999996</v>
      </c>
      <c r="Q100" s="124">
        <v>45931</v>
      </c>
    </row>
    <row r="101" spans="3:17" ht="15" customHeight="1">
      <c r="C101" s="146" t="s">
        <v>1069</v>
      </c>
      <c r="D101" s="146" t="s">
        <v>2631</v>
      </c>
      <c r="E101" s="147"/>
      <c r="F101" s="27"/>
      <c r="G101" s="148" t="s">
        <v>2469</v>
      </c>
      <c r="H101" s="27">
        <v>60372851</v>
      </c>
      <c r="I101" s="146" t="s">
        <v>311</v>
      </c>
      <c r="J101" s="149" t="s">
        <v>1212</v>
      </c>
      <c r="K101" s="124">
        <v>41913</v>
      </c>
      <c r="L101" s="152">
        <v>5950</v>
      </c>
      <c r="M101" s="152">
        <v>21848.400000000001</v>
      </c>
      <c r="N101" s="153">
        <v>18.097999999999999</v>
      </c>
      <c r="O101" s="153">
        <v>68.03</v>
      </c>
      <c r="P101" s="151">
        <v>3.0416806722689074E-3</v>
      </c>
      <c r="Q101" s="124">
        <v>45522</v>
      </c>
    </row>
    <row r="102" spans="3:17" ht="15" customHeight="1">
      <c r="C102" s="146" t="s">
        <v>1069</v>
      </c>
      <c r="D102" s="146" t="s">
        <v>2632</v>
      </c>
      <c r="E102" s="147"/>
      <c r="F102" s="27"/>
      <c r="G102" s="148" t="s">
        <v>2349</v>
      </c>
      <c r="H102" s="27">
        <v>60374196</v>
      </c>
      <c r="I102" s="146" t="s">
        <v>311</v>
      </c>
      <c r="J102" s="149" t="s">
        <v>1212</v>
      </c>
      <c r="K102" s="124">
        <v>41964</v>
      </c>
      <c r="L102" s="152">
        <v>7199.5</v>
      </c>
      <c r="M102" s="152">
        <v>27595.683499999999</v>
      </c>
      <c r="N102" s="153">
        <v>1106.364</v>
      </c>
      <c r="O102" s="153">
        <v>4158.8220000000001</v>
      </c>
      <c r="P102" s="151">
        <v>0.15367233835683033</v>
      </c>
      <c r="Q102" s="124">
        <v>45617</v>
      </c>
    </row>
    <row r="103" spans="3:17" ht="15" customHeight="1">
      <c r="C103" s="146" t="s">
        <v>1069</v>
      </c>
      <c r="D103" s="146" t="s">
        <v>2633</v>
      </c>
      <c r="E103" s="147"/>
      <c r="F103" s="27"/>
      <c r="G103" s="148" t="s">
        <v>2490</v>
      </c>
      <c r="H103" s="27">
        <v>60385416</v>
      </c>
      <c r="I103" s="146" t="s">
        <v>311</v>
      </c>
      <c r="J103" s="149" t="s">
        <v>1216</v>
      </c>
      <c r="K103" s="124">
        <v>42090</v>
      </c>
      <c r="L103" s="152">
        <v>12000</v>
      </c>
      <c r="M103" s="152">
        <v>51832.800000000003</v>
      </c>
      <c r="N103" s="153">
        <v>1888.874</v>
      </c>
      <c r="O103" s="153">
        <v>7593.6530000000002</v>
      </c>
      <c r="P103" s="151">
        <v>0.15740616666666668</v>
      </c>
      <c r="Q103" s="124">
        <v>45743</v>
      </c>
    </row>
    <row r="104" spans="3:17" ht="15" customHeight="1">
      <c r="C104" s="146" t="s">
        <v>1069</v>
      </c>
      <c r="D104" s="146" t="s">
        <v>2301</v>
      </c>
      <c r="E104" s="147"/>
      <c r="F104" s="27"/>
      <c r="G104" s="148" t="s">
        <v>2425</v>
      </c>
      <c r="H104" s="27">
        <v>60385259</v>
      </c>
      <c r="I104" s="146" t="s">
        <v>311</v>
      </c>
      <c r="J104" s="149" t="s">
        <v>1216</v>
      </c>
      <c r="K104" s="124">
        <v>42095</v>
      </c>
      <c r="L104" s="152">
        <v>2900</v>
      </c>
      <c r="M104" s="152">
        <v>12407.360000000002</v>
      </c>
      <c r="N104" s="153">
        <v>2403.67445</v>
      </c>
      <c r="O104" s="153">
        <v>9663.2520000000004</v>
      </c>
      <c r="P104" s="151">
        <v>0.82885325862068959</v>
      </c>
      <c r="Q104" s="124">
        <v>45748</v>
      </c>
    </row>
    <row r="105" spans="3:17" ht="15" customHeight="1">
      <c r="C105" s="146" t="s">
        <v>1069</v>
      </c>
      <c r="D105" s="146" t="s">
        <v>2132</v>
      </c>
      <c r="E105" s="147"/>
      <c r="F105" s="27"/>
      <c r="G105" s="148" t="s">
        <v>2214</v>
      </c>
      <c r="H105" s="27">
        <v>60388675</v>
      </c>
      <c r="I105" s="146" t="s">
        <v>311</v>
      </c>
      <c r="J105" s="149" t="s">
        <v>1212</v>
      </c>
      <c r="K105" s="124">
        <v>42095</v>
      </c>
      <c r="L105" s="152">
        <v>6600</v>
      </c>
      <c r="M105" s="152">
        <v>26228.400000000001</v>
      </c>
      <c r="N105" s="153">
        <v>474.16846999999973</v>
      </c>
      <c r="O105" s="153">
        <v>1782.3989999999999</v>
      </c>
      <c r="P105" s="151">
        <v>7.1843707575757532E-2</v>
      </c>
      <c r="Q105" s="124">
        <v>46113</v>
      </c>
    </row>
    <row r="106" spans="3:17" ht="15" customHeight="1">
      <c r="C106" s="146" t="s">
        <v>1069</v>
      </c>
      <c r="D106" s="146" t="s">
        <v>2614</v>
      </c>
      <c r="E106" s="147"/>
      <c r="F106" s="27"/>
      <c r="G106" s="148" t="s">
        <v>2218</v>
      </c>
      <c r="H106" s="27">
        <v>60385630</v>
      </c>
      <c r="I106" s="146" t="s">
        <v>311</v>
      </c>
      <c r="J106" s="149" t="s">
        <v>1212</v>
      </c>
      <c r="K106" s="124">
        <v>42088</v>
      </c>
      <c r="L106" s="152">
        <v>11471.098</v>
      </c>
      <c r="M106" s="152">
        <v>45287.894904000001</v>
      </c>
      <c r="N106" s="153">
        <v>1344.6969999999999</v>
      </c>
      <c r="O106" s="153">
        <v>5054.7160000000003</v>
      </c>
      <c r="P106" s="151">
        <v>0.11722478528210638</v>
      </c>
      <c r="Q106" s="124">
        <v>45741</v>
      </c>
    </row>
    <row r="107" spans="3:17" ht="15" customHeight="1">
      <c r="C107" s="146" t="s">
        <v>1069</v>
      </c>
      <c r="D107" s="146" t="s">
        <v>2634</v>
      </c>
      <c r="E107" s="147"/>
      <c r="F107" s="27"/>
      <c r="G107" s="148" t="s">
        <v>2455</v>
      </c>
      <c r="H107" s="27">
        <v>60391323</v>
      </c>
      <c r="I107" s="146" t="s">
        <v>311</v>
      </c>
      <c r="J107" s="149" t="s">
        <v>1230</v>
      </c>
      <c r="K107" s="124">
        <v>42186</v>
      </c>
      <c r="L107" s="152">
        <v>985</v>
      </c>
      <c r="M107" s="152">
        <v>5820.759</v>
      </c>
      <c r="N107" s="153">
        <v>105.919</v>
      </c>
      <c r="O107" s="153">
        <v>503.16800000000001</v>
      </c>
      <c r="P107" s="151">
        <v>0.10753197969543146</v>
      </c>
      <c r="Q107" s="124">
        <v>45839</v>
      </c>
    </row>
    <row r="108" spans="3:17" ht="15" customHeight="1">
      <c r="C108" s="146" t="s">
        <v>1069</v>
      </c>
      <c r="D108" s="146" t="s">
        <v>2327</v>
      </c>
      <c r="E108" s="147"/>
      <c r="F108" s="27"/>
      <c r="G108" s="148" t="s">
        <v>2444</v>
      </c>
      <c r="H108" s="27">
        <v>60391331</v>
      </c>
      <c r="I108" s="146" t="s">
        <v>311</v>
      </c>
      <c r="J108" s="149" t="s">
        <v>1212</v>
      </c>
      <c r="K108" s="124">
        <v>42186</v>
      </c>
      <c r="L108" s="152">
        <v>2250</v>
      </c>
      <c r="M108" s="152">
        <v>8498.25</v>
      </c>
      <c r="N108" s="153">
        <v>1000.13999</v>
      </c>
      <c r="O108" s="153">
        <v>3759.5259999999998</v>
      </c>
      <c r="P108" s="151">
        <v>0.44450666222222224</v>
      </c>
      <c r="Q108" s="124">
        <v>45839</v>
      </c>
    </row>
    <row r="109" spans="3:17" ht="15" customHeight="1">
      <c r="C109" s="146" t="s">
        <v>1069</v>
      </c>
      <c r="D109" s="146" t="s">
        <v>2635</v>
      </c>
      <c r="E109" s="147"/>
      <c r="F109" s="27"/>
      <c r="G109" s="148" t="s">
        <v>2325</v>
      </c>
      <c r="H109" s="27">
        <v>60391299</v>
      </c>
      <c r="I109" s="146" t="s">
        <v>311</v>
      </c>
      <c r="J109" s="149" t="s">
        <v>1212</v>
      </c>
      <c r="K109" s="124">
        <v>42186</v>
      </c>
      <c r="L109" s="152">
        <v>2250</v>
      </c>
      <c r="M109" s="152">
        <v>8498.25</v>
      </c>
      <c r="N109" s="153">
        <v>422.31900000000002</v>
      </c>
      <c r="O109" s="153">
        <v>1587.4970000000001</v>
      </c>
      <c r="P109" s="151">
        <v>0.18769733333333333</v>
      </c>
      <c r="Q109" s="124">
        <v>45839</v>
      </c>
    </row>
    <row r="110" spans="3:17" ht="15" customHeight="1">
      <c r="C110" s="146" t="s">
        <v>1069</v>
      </c>
      <c r="D110" s="146" t="s">
        <v>2636</v>
      </c>
      <c r="E110" s="147"/>
      <c r="F110" s="27"/>
      <c r="G110" s="148" t="s">
        <v>2263</v>
      </c>
      <c r="H110" s="27">
        <v>60392545</v>
      </c>
      <c r="I110" s="146" t="s">
        <v>311</v>
      </c>
      <c r="J110" s="149" t="s">
        <v>1212</v>
      </c>
      <c r="K110" s="124">
        <v>42186</v>
      </c>
      <c r="L110" s="152">
        <v>1500</v>
      </c>
      <c r="M110" s="152">
        <v>5665.5</v>
      </c>
      <c r="N110" s="153">
        <v>45</v>
      </c>
      <c r="O110" s="153">
        <v>169.155</v>
      </c>
      <c r="P110" s="151">
        <v>0.03</v>
      </c>
      <c r="Q110" s="124">
        <v>45839</v>
      </c>
    </row>
    <row r="111" spans="3:17" ht="15" customHeight="1">
      <c r="C111" s="146" t="s">
        <v>1069</v>
      </c>
      <c r="D111" s="146" t="s">
        <v>2637</v>
      </c>
      <c r="E111" s="147"/>
      <c r="F111" s="27"/>
      <c r="G111" s="148" t="s">
        <v>2638</v>
      </c>
      <c r="H111" s="27">
        <v>60395118</v>
      </c>
      <c r="I111" s="146" t="s">
        <v>311</v>
      </c>
      <c r="J111" s="149" t="s">
        <v>1212</v>
      </c>
      <c r="K111" s="124">
        <v>42248</v>
      </c>
      <c r="L111" s="152">
        <v>1500</v>
      </c>
      <c r="M111" s="152">
        <v>5884.5</v>
      </c>
      <c r="N111" s="153">
        <v>169.75299999999999</v>
      </c>
      <c r="O111" s="153">
        <v>638.10199999999998</v>
      </c>
      <c r="P111" s="151">
        <v>0.11316866666666665</v>
      </c>
      <c r="Q111" s="124">
        <v>45901</v>
      </c>
    </row>
    <row r="112" spans="3:17" ht="15" customHeight="1">
      <c r="C112" s="146" t="s">
        <v>1069</v>
      </c>
      <c r="D112" s="146" t="s">
        <v>2613</v>
      </c>
      <c r="E112" s="147"/>
      <c r="F112" s="27"/>
      <c r="G112" s="148" t="s">
        <v>2392</v>
      </c>
      <c r="H112" s="27">
        <v>60397650</v>
      </c>
      <c r="I112" s="146" t="s">
        <v>311</v>
      </c>
      <c r="J112" s="149" t="s">
        <v>1212</v>
      </c>
      <c r="K112" s="124">
        <v>42156</v>
      </c>
      <c r="L112" s="152">
        <v>7500</v>
      </c>
      <c r="M112" s="152">
        <v>29040</v>
      </c>
      <c r="N112" s="153">
        <v>2292.72883</v>
      </c>
      <c r="O112" s="153">
        <v>8618.3680000000004</v>
      </c>
      <c r="P112" s="151">
        <v>0.30569717733333335</v>
      </c>
      <c r="Q112" s="124">
        <v>45809</v>
      </c>
    </row>
    <row r="113" spans="3:17" ht="15" customHeight="1">
      <c r="C113" s="146" t="s">
        <v>1069</v>
      </c>
      <c r="D113" s="146" t="s">
        <v>2134</v>
      </c>
      <c r="E113" s="147"/>
      <c r="F113" s="27"/>
      <c r="G113" s="148" t="s">
        <v>2292</v>
      </c>
      <c r="H113" s="27">
        <v>60397551</v>
      </c>
      <c r="I113" s="146" t="s">
        <v>311</v>
      </c>
      <c r="J113" s="149" t="s">
        <v>1212</v>
      </c>
      <c r="K113" s="124">
        <v>42186</v>
      </c>
      <c r="L113" s="152">
        <v>2250</v>
      </c>
      <c r="M113" s="152">
        <v>8498.25</v>
      </c>
      <c r="N113" s="153">
        <v>174.45</v>
      </c>
      <c r="O113" s="153">
        <v>655.75800000000004</v>
      </c>
      <c r="P113" s="151">
        <v>7.7533333333333329E-2</v>
      </c>
      <c r="Q113" s="124">
        <v>45121</v>
      </c>
    </row>
    <row r="114" spans="3:17" ht="15" customHeight="1">
      <c r="C114" s="146" t="s">
        <v>1069</v>
      </c>
      <c r="D114" s="146" t="s">
        <v>2639</v>
      </c>
      <c r="E114" s="147"/>
      <c r="F114" s="27"/>
      <c r="G114" s="148" t="s">
        <v>2150</v>
      </c>
      <c r="H114" s="27">
        <v>60397841</v>
      </c>
      <c r="I114" s="146" t="s">
        <v>311</v>
      </c>
      <c r="J114" s="149" t="s">
        <v>1212</v>
      </c>
      <c r="K114" s="124">
        <v>42248</v>
      </c>
      <c r="L114" s="152">
        <v>1875</v>
      </c>
      <c r="M114" s="152">
        <v>7355.625</v>
      </c>
      <c r="N114" s="153">
        <v>95.679000000000002</v>
      </c>
      <c r="O114" s="153">
        <v>359.65699999999998</v>
      </c>
      <c r="P114" s="151">
        <v>5.1028799999999999E-2</v>
      </c>
      <c r="Q114" s="124">
        <v>45901</v>
      </c>
    </row>
    <row r="115" spans="3:17" ht="15" customHeight="1">
      <c r="C115" s="146" t="s">
        <v>1069</v>
      </c>
      <c r="D115" s="146" t="s">
        <v>2338</v>
      </c>
      <c r="E115" s="147"/>
      <c r="F115" s="27"/>
      <c r="G115" s="148" t="s">
        <v>2640</v>
      </c>
      <c r="H115" s="27">
        <v>60398856</v>
      </c>
      <c r="I115" s="146" t="s">
        <v>311</v>
      </c>
      <c r="J115" s="149" t="s">
        <v>1212</v>
      </c>
      <c r="K115" s="124">
        <v>42339</v>
      </c>
      <c r="L115" s="152">
        <v>2200</v>
      </c>
      <c r="M115" s="152">
        <v>8533.7999999999993</v>
      </c>
      <c r="N115" s="153">
        <v>231.67</v>
      </c>
      <c r="O115" s="153">
        <v>870.84799999999996</v>
      </c>
      <c r="P115" s="151">
        <v>0.10530454545454544</v>
      </c>
      <c r="Q115" s="124">
        <v>45992</v>
      </c>
    </row>
    <row r="116" spans="3:17" ht="15" customHeight="1">
      <c r="C116" s="146" t="s">
        <v>1069</v>
      </c>
      <c r="D116" s="146" t="s">
        <v>2641</v>
      </c>
      <c r="E116" s="147"/>
      <c r="F116" s="27"/>
      <c r="G116" s="148" t="s">
        <v>2442</v>
      </c>
      <c r="H116" s="27">
        <v>60400215</v>
      </c>
      <c r="I116" s="146" t="s">
        <v>311</v>
      </c>
      <c r="J116" s="149" t="s">
        <v>1212</v>
      </c>
      <c r="K116" s="124">
        <v>42370</v>
      </c>
      <c r="L116" s="152">
        <v>2250</v>
      </c>
      <c r="M116" s="152">
        <v>8779.5</v>
      </c>
      <c r="N116" s="153">
        <v>427.61599999999999</v>
      </c>
      <c r="O116" s="153">
        <v>1607.4090000000001</v>
      </c>
      <c r="P116" s="151">
        <v>0.19005155555555556</v>
      </c>
      <c r="Q116" s="124">
        <v>46023</v>
      </c>
    </row>
    <row r="117" spans="3:17" ht="15" customHeight="1">
      <c r="C117" s="146" t="s">
        <v>1069</v>
      </c>
      <c r="D117" s="146" t="s">
        <v>2043</v>
      </c>
      <c r="E117" s="147"/>
      <c r="F117" s="27"/>
      <c r="G117" s="148" t="s">
        <v>2393</v>
      </c>
      <c r="H117" s="27">
        <v>60401171</v>
      </c>
      <c r="I117" s="146" t="s">
        <v>311</v>
      </c>
      <c r="J117" s="149" t="s">
        <v>1212</v>
      </c>
      <c r="K117" s="124">
        <v>42401</v>
      </c>
      <c r="L117" s="152">
        <v>5700</v>
      </c>
      <c r="M117" s="152">
        <v>22543.5</v>
      </c>
      <c r="N117" s="153">
        <v>0</v>
      </c>
      <c r="O117" s="153">
        <v>0</v>
      </c>
      <c r="P117" s="151">
        <v>0</v>
      </c>
      <c r="Q117" s="124">
        <v>46054</v>
      </c>
    </row>
    <row r="118" spans="3:17" ht="15" customHeight="1">
      <c r="C118" s="146" t="s">
        <v>1069</v>
      </c>
      <c r="D118" s="146" t="s">
        <v>2642</v>
      </c>
      <c r="E118" s="147"/>
      <c r="F118" s="27"/>
      <c r="G118" s="148" t="s">
        <v>2345</v>
      </c>
      <c r="H118" s="27">
        <v>60402286</v>
      </c>
      <c r="I118" s="146" t="s">
        <v>311</v>
      </c>
      <c r="J118" s="149" t="s">
        <v>1230</v>
      </c>
      <c r="K118" s="124">
        <v>42430</v>
      </c>
      <c r="L118" s="152">
        <v>1400</v>
      </c>
      <c r="M118" s="152">
        <v>7640.64</v>
      </c>
      <c r="N118" s="153">
        <v>140</v>
      </c>
      <c r="O118" s="153">
        <v>665.07</v>
      </c>
      <c r="P118" s="151">
        <v>0.1</v>
      </c>
      <c r="Q118" s="124">
        <v>46082</v>
      </c>
    </row>
    <row r="119" spans="3:17" ht="15" customHeight="1">
      <c r="C119" s="146" t="s">
        <v>1069</v>
      </c>
      <c r="D119" s="146" t="s">
        <v>2643</v>
      </c>
      <c r="E119" s="147"/>
      <c r="F119" s="27"/>
      <c r="G119" s="148" t="s">
        <v>2644</v>
      </c>
      <c r="H119" s="27">
        <v>60402625</v>
      </c>
      <c r="I119" s="146" t="s">
        <v>311</v>
      </c>
      <c r="J119" s="149" t="s">
        <v>1212</v>
      </c>
      <c r="K119" s="124">
        <v>42401</v>
      </c>
      <c r="L119" s="152">
        <v>12500</v>
      </c>
      <c r="M119" s="152">
        <v>49437.5</v>
      </c>
      <c r="N119" s="153">
        <v>2486.9870000000001</v>
      </c>
      <c r="O119" s="153">
        <v>9348.5840000000007</v>
      </c>
      <c r="P119" s="151">
        <v>0.19895896000000002</v>
      </c>
      <c r="Q119" s="124">
        <v>46054</v>
      </c>
    </row>
    <row r="120" spans="3:17" ht="15" customHeight="1">
      <c r="C120" s="146" t="s">
        <v>1069</v>
      </c>
      <c r="D120" s="146" t="s">
        <v>2161</v>
      </c>
      <c r="E120" s="147"/>
      <c r="F120" s="27"/>
      <c r="G120" s="148" t="s">
        <v>2278</v>
      </c>
      <c r="H120" s="27">
        <v>60395761</v>
      </c>
      <c r="I120" s="146" t="s">
        <v>311</v>
      </c>
      <c r="J120" s="149" t="s">
        <v>1212</v>
      </c>
      <c r="K120" s="124">
        <v>41440</v>
      </c>
      <c r="L120" s="152">
        <v>1934</v>
      </c>
      <c r="M120" s="152">
        <v>6964.3339999999998</v>
      </c>
      <c r="N120" s="153">
        <v>234.16900000000001</v>
      </c>
      <c r="O120" s="153">
        <v>880.24099999999999</v>
      </c>
      <c r="P120" s="151">
        <v>0.12108014477766288</v>
      </c>
      <c r="Q120" s="124">
        <v>45408</v>
      </c>
    </row>
    <row r="121" spans="3:17" ht="15" customHeight="1">
      <c r="C121" s="146" t="s">
        <v>1069</v>
      </c>
      <c r="D121" s="146" t="s">
        <v>2645</v>
      </c>
      <c r="E121" s="147"/>
      <c r="F121" s="27"/>
      <c r="G121" s="148" t="s">
        <v>2025</v>
      </c>
      <c r="H121" s="27">
        <v>60409422</v>
      </c>
      <c r="I121" s="146" t="s">
        <v>311</v>
      </c>
      <c r="J121" s="149" t="s">
        <v>1212</v>
      </c>
      <c r="K121" s="124">
        <v>42506</v>
      </c>
      <c r="L121" s="152">
        <v>12750</v>
      </c>
      <c r="M121" s="152">
        <v>48603</v>
      </c>
      <c r="N121" s="153">
        <v>322.05099999999999</v>
      </c>
      <c r="O121" s="153">
        <v>1210.5899999999999</v>
      </c>
      <c r="P121" s="151">
        <v>2.5258901960784313E-2</v>
      </c>
      <c r="Q121" s="124">
        <v>45428</v>
      </c>
    </row>
    <row r="122" spans="3:17" ht="15" customHeight="1">
      <c r="C122" s="146" t="s">
        <v>1069</v>
      </c>
      <c r="D122" s="146" t="s">
        <v>2514</v>
      </c>
      <c r="E122" s="147"/>
      <c r="F122" s="27"/>
      <c r="G122" s="148" t="s">
        <v>2542</v>
      </c>
      <c r="H122" s="27">
        <v>60409703</v>
      </c>
      <c r="I122" s="146" t="s">
        <v>311</v>
      </c>
      <c r="J122" s="149" t="s">
        <v>1212</v>
      </c>
      <c r="K122" s="124">
        <v>42522</v>
      </c>
      <c r="L122" s="152">
        <v>11000</v>
      </c>
      <c r="M122" s="152">
        <v>42383</v>
      </c>
      <c r="N122" s="153">
        <v>0</v>
      </c>
      <c r="O122" s="153">
        <v>0</v>
      </c>
      <c r="P122" s="151">
        <v>0</v>
      </c>
      <c r="Q122" s="124">
        <v>46357</v>
      </c>
    </row>
    <row r="123" spans="3:17" ht="15" customHeight="1">
      <c r="C123" s="146" t="s">
        <v>1069</v>
      </c>
      <c r="D123" s="146" t="s">
        <v>2514</v>
      </c>
      <c r="E123" s="147"/>
      <c r="F123" s="27"/>
      <c r="G123" s="148" t="s">
        <v>2515</v>
      </c>
      <c r="H123" s="27">
        <v>60409687</v>
      </c>
      <c r="I123" s="146" t="s">
        <v>311</v>
      </c>
      <c r="J123" s="149" t="s">
        <v>1212</v>
      </c>
      <c r="K123" s="124">
        <v>42522</v>
      </c>
      <c r="L123" s="152">
        <v>2200</v>
      </c>
      <c r="M123" s="152">
        <v>8476.6</v>
      </c>
      <c r="N123" s="153">
        <v>0</v>
      </c>
      <c r="O123" s="153">
        <v>0</v>
      </c>
      <c r="P123" s="151">
        <v>0</v>
      </c>
      <c r="Q123" s="124">
        <v>46357</v>
      </c>
    </row>
    <row r="124" spans="3:17" ht="15" customHeight="1">
      <c r="C124" s="146" t="s">
        <v>1069</v>
      </c>
      <c r="D124" s="146" t="s">
        <v>2646</v>
      </c>
      <c r="E124" s="147"/>
      <c r="F124" s="27"/>
      <c r="G124" s="148" t="s">
        <v>2183</v>
      </c>
      <c r="H124" s="27">
        <v>60409695</v>
      </c>
      <c r="I124" s="146" t="s">
        <v>311</v>
      </c>
      <c r="J124" s="149" t="s">
        <v>1212</v>
      </c>
      <c r="K124" s="124">
        <v>42522</v>
      </c>
      <c r="L124" s="152">
        <v>7500</v>
      </c>
      <c r="M124" s="152">
        <v>28897.5</v>
      </c>
      <c r="N124" s="153">
        <v>0</v>
      </c>
      <c r="O124" s="153">
        <v>0</v>
      </c>
      <c r="P124" s="151">
        <v>0</v>
      </c>
      <c r="Q124" s="124">
        <v>46905</v>
      </c>
    </row>
    <row r="125" spans="3:17" ht="15" customHeight="1">
      <c r="C125" s="146" t="s">
        <v>1069</v>
      </c>
      <c r="D125" s="146" t="s">
        <v>2161</v>
      </c>
      <c r="E125" s="147"/>
      <c r="F125" s="27"/>
      <c r="G125" s="148" t="s">
        <v>2284</v>
      </c>
      <c r="H125" s="27">
        <v>60413218</v>
      </c>
      <c r="I125" s="146" t="s">
        <v>311</v>
      </c>
      <c r="J125" s="149" t="s">
        <v>1212</v>
      </c>
      <c r="K125" s="124">
        <v>42583</v>
      </c>
      <c r="L125" s="152">
        <v>2175</v>
      </c>
      <c r="M125" s="152">
        <v>8278.0499999999993</v>
      </c>
      <c r="N125" s="153">
        <v>3.419</v>
      </c>
      <c r="O125" s="153">
        <v>12.852</v>
      </c>
      <c r="P125" s="151">
        <v>1.5719540229885058E-3</v>
      </c>
      <c r="Q125" s="124">
        <v>46235</v>
      </c>
    </row>
    <row r="126" spans="3:17" ht="15" customHeight="1">
      <c r="C126" s="146" t="s">
        <v>1069</v>
      </c>
      <c r="D126" s="146" t="s">
        <v>2647</v>
      </c>
      <c r="E126" s="147"/>
      <c r="F126" s="27"/>
      <c r="G126" s="148" t="s">
        <v>2421</v>
      </c>
      <c r="H126" s="27">
        <v>60414935</v>
      </c>
      <c r="I126" s="146" t="s">
        <v>311</v>
      </c>
      <c r="J126" s="149" t="s">
        <v>1212</v>
      </c>
      <c r="K126" s="124">
        <v>42583</v>
      </c>
      <c r="L126" s="152">
        <v>4950</v>
      </c>
      <c r="M126" s="152">
        <v>18839.7</v>
      </c>
      <c r="N126" s="153">
        <v>0</v>
      </c>
      <c r="O126" s="153">
        <v>0</v>
      </c>
      <c r="P126" s="151">
        <v>0</v>
      </c>
      <c r="Q126" s="124">
        <v>46235</v>
      </c>
    </row>
    <row r="127" spans="3:17" ht="15" customHeight="1">
      <c r="C127" s="146" t="s">
        <v>1069</v>
      </c>
      <c r="D127" s="146" t="s">
        <v>2610</v>
      </c>
      <c r="E127" s="147"/>
      <c r="F127" s="27"/>
      <c r="G127" s="148" t="s">
        <v>2433</v>
      </c>
      <c r="H127" s="27">
        <v>60415759</v>
      </c>
      <c r="I127" s="146" t="s">
        <v>311</v>
      </c>
      <c r="J127" s="149" t="s">
        <v>1212</v>
      </c>
      <c r="K127" s="124">
        <v>42583</v>
      </c>
      <c r="L127" s="152">
        <v>11000</v>
      </c>
      <c r="M127" s="152">
        <v>41866</v>
      </c>
      <c r="N127" s="153">
        <v>628.46900000000005</v>
      </c>
      <c r="O127" s="153">
        <v>2362.415</v>
      </c>
      <c r="P127" s="151">
        <v>5.7133545454545458E-2</v>
      </c>
      <c r="Q127" s="124">
        <v>46235</v>
      </c>
    </row>
    <row r="128" spans="3:17" ht="15" customHeight="1">
      <c r="C128" s="146" t="s">
        <v>1069</v>
      </c>
      <c r="D128" s="146" t="s">
        <v>2648</v>
      </c>
      <c r="E128" s="147"/>
      <c r="F128" s="27"/>
      <c r="G128" s="148" t="s">
        <v>2399</v>
      </c>
      <c r="H128" s="27">
        <v>60415767</v>
      </c>
      <c r="I128" s="146" t="s">
        <v>311</v>
      </c>
      <c r="J128" s="149" t="s">
        <v>1212</v>
      </c>
      <c r="K128" s="124">
        <v>42614</v>
      </c>
      <c r="L128" s="152">
        <v>6600</v>
      </c>
      <c r="M128" s="152">
        <v>24915</v>
      </c>
      <c r="N128" s="153">
        <v>208.90534999999963</v>
      </c>
      <c r="O128" s="153">
        <v>785.27499999999998</v>
      </c>
      <c r="P128" s="151">
        <v>3.1652325757575699E-2</v>
      </c>
      <c r="Q128" s="124">
        <v>46266</v>
      </c>
    </row>
    <row r="129" spans="3:17" ht="15" customHeight="1">
      <c r="C129" s="146" t="s">
        <v>1069</v>
      </c>
      <c r="D129" s="146" t="s">
        <v>2649</v>
      </c>
      <c r="E129" s="147"/>
      <c r="F129" s="27"/>
      <c r="G129" s="148" t="s">
        <v>2650</v>
      </c>
      <c r="H129" s="27">
        <v>60418480</v>
      </c>
      <c r="I129" s="146" t="s">
        <v>311</v>
      </c>
      <c r="J129" s="149" t="s">
        <v>1212</v>
      </c>
      <c r="K129" s="124">
        <v>42675</v>
      </c>
      <c r="L129" s="152">
        <v>2500</v>
      </c>
      <c r="M129" s="152">
        <v>9567.5</v>
      </c>
      <c r="N129" s="153">
        <v>15.4</v>
      </c>
      <c r="O129" s="153">
        <v>57.889000000000003</v>
      </c>
      <c r="P129" s="151">
        <v>6.1600000000000005E-3</v>
      </c>
      <c r="Q129" s="124">
        <v>46327</v>
      </c>
    </row>
    <row r="130" spans="3:17" ht="15" customHeight="1">
      <c r="C130" s="146" t="s">
        <v>1069</v>
      </c>
      <c r="D130" s="146" t="s">
        <v>2651</v>
      </c>
      <c r="E130" s="147"/>
      <c r="F130" s="27"/>
      <c r="G130" s="148" t="s">
        <v>2652</v>
      </c>
      <c r="H130" s="27">
        <v>62000153</v>
      </c>
      <c r="I130" s="146" t="s">
        <v>311</v>
      </c>
      <c r="J130" s="149" t="s">
        <v>1212</v>
      </c>
      <c r="K130" s="124">
        <v>42522</v>
      </c>
      <c r="L130" s="152">
        <v>3000</v>
      </c>
      <c r="M130" s="152">
        <v>11559</v>
      </c>
      <c r="N130" s="153">
        <v>74.982779999999792</v>
      </c>
      <c r="O130" s="153">
        <v>281.86</v>
      </c>
      <c r="P130" s="151">
        <v>2.4994259999999931E-2</v>
      </c>
      <c r="Q130" s="124">
        <v>46174</v>
      </c>
    </row>
    <row r="131" spans="3:17" ht="15" customHeight="1">
      <c r="C131" s="146" t="s">
        <v>1069</v>
      </c>
      <c r="D131" s="146" t="s">
        <v>2653</v>
      </c>
      <c r="E131" s="147"/>
      <c r="F131" s="27"/>
      <c r="G131" s="148" t="s">
        <v>2148</v>
      </c>
      <c r="H131" s="27">
        <v>60410230</v>
      </c>
      <c r="I131" s="146" t="s">
        <v>311</v>
      </c>
      <c r="J131" s="149" t="s">
        <v>1216</v>
      </c>
      <c r="K131" s="124">
        <v>42513</v>
      </c>
      <c r="L131" s="152">
        <v>2700</v>
      </c>
      <c r="M131" s="152">
        <v>11732.850000000002</v>
      </c>
      <c r="N131" s="153">
        <v>178.96199999999999</v>
      </c>
      <c r="O131" s="153">
        <v>719.46299999999997</v>
      </c>
      <c r="P131" s="151">
        <v>6.6282222222222215E-2</v>
      </c>
      <c r="Q131" s="124">
        <v>46530</v>
      </c>
    </row>
    <row r="132" spans="3:17" ht="15" customHeight="1">
      <c r="C132" s="146" t="s">
        <v>1069</v>
      </c>
      <c r="D132" s="146" t="s">
        <v>2606</v>
      </c>
      <c r="E132" s="147"/>
      <c r="F132" s="27"/>
      <c r="G132" s="148" t="s">
        <v>2409</v>
      </c>
      <c r="H132" s="27">
        <v>60416534</v>
      </c>
      <c r="I132" s="146" t="s">
        <v>311</v>
      </c>
      <c r="J132" s="149" t="s">
        <v>1212</v>
      </c>
      <c r="K132" s="124">
        <v>42648</v>
      </c>
      <c r="L132" s="152">
        <v>11000</v>
      </c>
      <c r="M132" s="152">
        <v>41558</v>
      </c>
      <c r="N132" s="153">
        <v>1100</v>
      </c>
      <c r="O132" s="153">
        <v>4134.8999999999996</v>
      </c>
      <c r="P132" s="151">
        <v>0.1</v>
      </c>
      <c r="Q132" s="124">
        <v>47761</v>
      </c>
    </row>
    <row r="133" spans="3:17" ht="15" customHeight="1">
      <c r="C133" s="146" t="s">
        <v>1069</v>
      </c>
      <c r="D133" s="146" t="s">
        <v>2624</v>
      </c>
      <c r="E133" s="147"/>
      <c r="F133" s="27"/>
      <c r="G133" s="148" t="s">
        <v>2250</v>
      </c>
      <c r="H133" s="27">
        <v>62001232</v>
      </c>
      <c r="I133" s="146" t="s">
        <v>311</v>
      </c>
      <c r="J133" s="149" t="s">
        <v>1212</v>
      </c>
      <c r="K133" s="124">
        <v>42828</v>
      </c>
      <c r="L133" s="152">
        <v>2000</v>
      </c>
      <c r="M133" s="152">
        <v>7256</v>
      </c>
      <c r="N133" s="153">
        <v>0</v>
      </c>
      <c r="O133" s="153">
        <v>0</v>
      </c>
      <c r="P133" s="151">
        <v>0</v>
      </c>
      <c r="Q133" s="124">
        <v>46480</v>
      </c>
    </row>
    <row r="134" spans="3:17" ht="15" customHeight="1">
      <c r="C134" s="146" t="s">
        <v>1069</v>
      </c>
      <c r="D134" s="146" t="s">
        <v>2654</v>
      </c>
      <c r="E134" s="147"/>
      <c r="F134" s="27"/>
      <c r="G134" s="148" t="s">
        <v>2130</v>
      </c>
      <c r="H134" s="27">
        <v>62001330</v>
      </c>
      <c r="I134" s="146" t="s">
        <v>311</v>
      </c>
      <c r="J134" s="149" t="s">
        <v>2655</v>
      </c>
      <c r="K134" s="124">
        <v>42837</v>
      </c>
      <c r="L134" s="152">
        <v>200000</v>
      </c>
      <c r="M134" s="152">
        <v>666180</v>
      </c>
      <c r="N134" s="153">
        <v>2092.94</v>
      </c>
      <c r="O134" s="153">
        <v>48.889000000000003</v>
      </c>
      <c r="P134" s="151">
        <v>1.04647E-2</v>
      </c>
      <c r="Q134" s="124">
        <v>46489</v>
      </c>
    </row>
    <row r="135" spans="3:17" ht="15" customHeight="1">
      <c r="C135" s="146" t="s">
        <v>1069</v>
      </c>
      <c r="D135" s="146" t="s">
        <v>2656</v>
      </c>
      <c r="E135" s="147"/>
      <c r="F135" s="27"/>
      <c r="G135" s="148" t="s">
        <v>2267</v>
      </c>
      <c r="H135" s="27">
        <v>62001857</v>
      </c>
      <c r="I135" s="146" t="s">
        <v>311</v>
      </c>
      <c r="J135" s="149" t="s">
        <v>1216</v>
      </c>
      <c r="K135" s="124">
        <v>42872</v>
      </c>
      <c r="L135" s="152">
        <v>8550</v>
      </c>
      <c r="M135" s="152">
        <v>34220.519999999997</v>
      </c>
      <c r="N135" s="153">
        <v>0</v>
      </c>
      <c r="O135" s="153">
        <v>0</v>
      </c>
      <c r="P135" s="151">
        <v>0</v>
      </c>
      <c r="Q135" s="124">
        <v>46524</v>
      </c>
    </row>
    <row r="136" spans="3:17" ht="15" customHeight="1">
      <c r="C136" s="146" t="s">
        <v>1069</v>
      </c>
      <c r="D136" s="146" t="s">
        <v>2623</v>
      </c>
      <c r="E136" s="147"/>
      <c r="F136" s="27"/>
      <c r="G136" s="148" t="s">
        <v>2451</v>
      </c>
      <c r="H136" s="27">
        <v>62001973</v>
      </c>
      <c r="I136" s="146" t="s">
        <v>311</v>
      </c>
      <c r="J136" s="149" t="s">
        <v>1212</v>
      </c>
      <c r="K136" s="124">
        <v>42887</v>
      </c>
      <c r="L136" s="152">
        <v>15200</v>
      </c>
      <c r="M136" s="152">
        <v>53944.800000000003</v>
      </c>
      <c r="N136" s="153">
        <v>2613.7027899999989</v>
      </c>
      <c r="O136" s="153">
        <v>9824.9089999999997</v>
      </c>
      <c r="P136" s="151">
        <v>0.17195413092105255</v>
      </c>
      <c r="Q136" s="124">
        <v>46539</v>
      </c>
    </row>
    <row r="137" spans="3:17" ht="15" customHeight="1">
      <c r="C137" s="146" t="s">
        <v>1069</v>
      </c>
      <c r="D137" s="146" t="s">
        <v>2301</v>
      </c>
      <c r="E137" s="147"/>
      <c r="F137" s="27"/>
      <c r="G137" s="148" t="s">
        <v>2157</v>
      </c>
      <c r="H137" s="27">
        <v>62002516</v>
      </c>
      <c r="I137" s="146" t="s">
        <v>311</v>
      </c>
      <c r="J137" s="149" t="s">
        <v>1216</v>
      </c>
      <c r="K137" s="124">
        <v>42930</v>
      </c>
      <c r="L137" s="152">
        <v>2400</v>
      </c>
      <c r="M137" s="152">
        <v>9688.32</v>
      </c>
      <c r="N137" s="153">
        <v>255.54597000000021</v>
      </c>
      <c r="O137" s="153">
        <v>1027.346</v>
      </c>
      <c r="P137" s="151">
        <v>0.10647748750000009</v>
      </c>
      <c r="Q137" s="124">
        <v>46582</v>
      </c>
    </row>
    <row r="138" spans="3:17" ht="15" customHeight="1">
      <c r="C138" s="146" t="s">
        <v>1069</v>
      </c>
      <c r="D138" s="146" t="s">
        <v>2627</v>
      </c>
      <c r="E138" s="147"/>
      <c r="F138" s="27"/>
      <c r="G138" s="148" t="s">
        <v>2457</v>
      </c>
      <c r="H138" s="27">
        <v>62002918</v>
      </c>
      <c r="I138" s="146" t="s">
        <v>311</v>
      </c>
      <c r="J138" s="149" t="s">
        <v>1212</v>
      </c>
      <c r="K138" s="124">
        <v>42833</v>
      </c>
      <c r="L138" s="152">
        <v>2356.1007800000002</v>
      </c>
      <c r="M138" s="152">
        <v>8597.4117462199993</v>
      </c>
      <c r="N138" s="153">
        <v>594.21759000000031</v>
      </c>
      <c r="O138" s="153">
        <v>2233.6640000000002</v>
      </c>
      <c r="P138" s="151">
        <v>0.25220380853148405</v>
      </c>
      <c r="Q138" s="124">
        <v>45999</v>
      </c>
    </row>
    <row r="139" spans="3:17" ht="15" customHeight="1">
      <c r="C139" s="146" t="s">
        <v>1069</v>
      </c>
      <c r="D139" s="146" t="s">
        <v>2076</v>
      </c>
      <c r="E139" s="147"/>
      <c r="F139" s="27"/>
      <c r="G139" s="148" t="s">
        <v>2053</v>
      </c>
      <c r="H139" s="27">
        <v>62003141</v>
      </c>
      <c r="I139" s="146" t="s">
        <v>311</v>
      </c>
      <c r="J139" s="149" t="s">
        <v>1212</v>
      </c>
      <c r="K139" s="124">
        <v>42969</v>
      </c>
      <c r="L139" s="152">
        <v>8000</v>
      </c>
      <c r="M139" s="152">
        <v>28984</v>
      </c>
      <c r="N139" s="153">
        <v>127.172</v>
      </c>
      <c r="O139" s="153">
        <v>478.04</v>
      </c>
      <c r="P139" s="151">
        <v>1.5896500000000001E-2</v>
      </c>
      <c r="Q139" s="124">
        <v>46621</v>
      </c>
    </row>
    <row r="140" spans="3:17" ht="15" customHeight="1">
      <c r="C140" s="146" t="s">
        <v>1069</v>
      </c>
      <c r="D140" s="146" t="s">
        <v>2186</v>
      </c>
      <c r="E140" s="120"/>
      <c r="F140" s="27"/>
      <c r="G140" s="148" t="s">
        <v>2657</v>
      </c>
      <c r="H140" s="27">
        <v>62006515</v>
      </c>
      <c r="I140" s="146" t="s">
        <v>311</v>
      </c>
      <c r="J140" s="149" t="s">
        <v>1212</v>
      </c>
      <c r="K140" s="124">
        <v>43031</v>
      </c>
      <c r="L140" s="152">
        <v>10000</v>
      </c>
      <c r="M140" s="152">
        <v>34910</v>
      </c>
      <c r="N140" s="153">
        <v>1514.6448000000007</v>
      </c>
      <c r="O140" s="153">
        <v>5693.55</v>
      </c>
      <c r="P140" s="151">
        <v>0.15146448000000007</v>
      </c>
      <c r="Q140" s="124">
        <v>45748</v>
      </c>
    </row>
    <row r="141" spans="3:17" ht="15" customHeight="1">
      <c r="C141" s="146" t="s">
        <v>1069</v>
      </c>
      <c r="D141" s="146" t="s">
        <v>2473</v>
      </c>
      <c r="E141" s="147"/>
      <c r="F141" s="27"/>
      <c r="G141" s="148" t="s">
        <v>2207</v>
      </c>
      <c r="H141" s="27">
        <v>62003613</v>
      </c>
      <c r="I141" s="146" t="s">
        <v>311</v>
      </c>
      <c r="J141" s="149" t="s">
        <v>1212</v>
      </c>
      <c r="K141" s="124">
        <v>43014</v>
      </c>
      <c r="L141" s="152">
        <v>10000</v>
      </c>
      <c r="M141" s="152">
        <v>35200</v>
      </c>
      <c r="N141" s="153">
        <v>387.15447000000069</v>
      </c>
      <c r="O141" s="153">
        <v>1455.3140000000001</v>
      </c>
      <c r="P141" s="151">
        <v>3.8715447000000069E-2</v>
      </c>
      <c r="Q141" s="124">
        <v>46666</v>
      </c>
    </row>
    <row r="142" spans="3:17" ht="15" customHeight="1">
      <c r="C142" s="146" t="s">
        <v>1069</v>
      </c>
      <c r="D142" s="146" t="s">
        <v>2658</v>
      </c>
      <c r="E142" s="147"/>
      <c r="F142" s="27"/>
      <c r="G142" s="148" t="s">
        <v>2532</v>
      </c>
      <c r="H142" s="27">
        <v>62005608</v>
      </c>
      <c r="I142" s="146" t="s">
        <v>311</v>
      </c>
      <c r="J142" s="149" t="s">
        <v>1216</v>
      </c>
      <c r="K142" s="124">
        <v>43111</v>
      </c>
      <c r="L142" s="152">
        <v>3000</v>
      </c>
      <c r="M142" s="152">
        <v>12337.5</v>
      </c>
      <c r="N142" s="153">
        <v>440.88499999999999</v>
      </c>
      <c r="O142" s="153">
        <v>1773.4459999999999</v>
      </c>
      <c r="P142" s="151">
        <v>0.14696166666666666</v>
      </c>
      <c r="Q142" s="124">
        <v>46763</v>
      </c>
    </row>
    <row r="143" spans="3:17" ht="15" customHeight="1">
      <c r="C143" s="146" t="s">
        <v>1069</v>
      </c>
      <c r="D143" s="146" t="s">
        <v>2479</v>
      </c>
      <c r="E143" s="147"/>
      <c r="F143" s="27"/>
      <c r="G143" s="148" t="s">
        <v>2312</v>
      </c>
      <c r="H143" s="27">
        <v>62005616</v>
      </c>
      <c r="I143" s="146" t="s">
        <v>311</v>
      </c>
      <c r="J143" s="149" t="s">
        <v>2313</v>
      </c>
      <c r="K143" s="124">
        <v>43070</v>
      </c>
      <c r="L143" s="152">
        <v>25000</v>
      </c>
      <c r="M143" s="152">
        <v>10440</v>
      </c>
      <c r="N143" s="153">
        <v>403.84</v>
      </c>
      <c r="O143" s="153">
        <v>142.47499999999999</v>
      </c>
      <c r="P143" s="151">
        <v>1.6153600000000001E-2</v>
      </c>
      <c r="Q143" s="124">
        <v>46722</v>
      </c>
    </row>
    <row r="144" spans="3:17" ht="15" customHeight="1">
      <c r="C144" s="146" t="s">
        <v>1069</v>
      </c>
      <c r="D144" s="146" t="s">
        <v>2659</v>
      </c>
      <c r="E144" s="147"/>
      <c r="F144" s="27"/>
      <c r="G144" s="148" t="s">
        <v>2660</v>
      </c>
      <c r="H144" s="27">
        <v>62005749</v>
      </c>
      <c r="I144" s="146" t="s">
        <v>311</v>
      </c>
      <c r="J144" s="149" t="s">
        <v>1212</v>
      </c>
      <c r="K144" s="124">
        <v>43039</v>
      </c>
      <c r="L144" s="152">
        <v>4250</v>
      </c>
      <c r="M144" s="152">
        <v>14964.25</v>
      </c>
      <c r="N144" s="153">
        <v>0</v>
      </c>
      <c r="O144" s="153">
        <v>0</v>
      </c>
      <c r="P144" s="151">
        <v>0</v>
      </c>
      <c r="Q144" s="124">
        <v>45992</v>
      </c>
    </row>
    <row r="145" spans="3:17" ht="15" customHeight="1">
      <c r="C145" s="146" t="s">
        <v>1069</v>
      </c>
      <c r="D145" s="146" t="s">
        <v>2630</v>
      </c>
      <c r="E145" s="147"/>
      <c r="F145" s="27"/>
      <c r="G145" s="148" t="s">
        <v>2543</v>
      </c>
      <c r="H145" s="27">
        <v>62005723</v>
      </c>
      <c r="I145" s="146" t="s">
        <v>311</v>
      </c>
      <c r="J145" s="149" t="s">
        <v>1212</v>
      </c>
      <c r="K145" s="124">
        <v>43039</v>
      </c>
      <c r="L145" s="152">
        <v>1050</v>
      </c>
      <c r="M145" s="152">
        <v>3697.05</v>
      </c>
      <c r="N145" s="153">
        <v>189.17400000000001</v>
      </c>
      <c r="O145" s="153">
        <v>711.10500000000002</v>
      </c>
      <c r="P145" s="151">
        <v>0.18016571428571429</v>
      </c>
      <c r="Q145" s="124">
        <v>46691</v>
      </c>
    </row>
    <row r="146" spans="3:17" ht="15" customHeight="1">
      <c r="C146" s="146" t="s">
        <v>1069</v>
      </c>
      <c r="D146" s="146" t="s">
        <v>2630</v>
      </c>
      <c r="E146" s="147"/>
      <c r="F146" s="27"/>
      <c r="G146" s="148" t="s">
        <v>2488</v>
      </c>
      <c r="H146" s="27">
        <v>62005731</v>
      </c>
      <c r="I146" s="146" t="s">
        <v>311</v>
      </c>
      <c r="J146" s="149" t="s">
        <v>1212</v>
      </c>
      <c r="K146" s="124">
        <v>43039</v>
      </c>
      <c r="L146" s="152">
        <v>5000</v>
      </c>
      <c r="M146" s="152">
        <v>17605</v>
      </c>
      <c r="N146" s="153">
        <v>542.70000000000005</v>
      </c>
      <c r="O146" s="153">
        <v>2040.009</v>
      </c>
      <c r="P146" s="151">
        <v>0.10854000000000001</v>
      </c>
      <c r="Q146" s="124">
        <v>46691</v>
      </c>
    </row>
    <row r="147" spans="3:17" ht="15" customHeight="1">
      <c r="C147" s="146" t="s">
        <v>1069</v>
      </c>
      <c r="D147" s="146" t="s">
        <v>2608</v>
      </c>
      <c r="E147" s="147"/>
      <c r="F147" s="27"/>
      <c r="G147" s="148" t="s">
        <v>2346</v>
      </c>
      <c r="H147" s="27">
        <v>62006176</v>
      </c>
      <c r="I147" s="146" t="s">
        <v>311</v>
      </c>
      <c r="J147" s="149" t="s">
        <v>1212</v>
      </c>
      <c r="K147" s="124">
        <v>43132</v>
      </c>
      <c r="L147" s="152">
        <v>14000</v>
      </c>
      <c r="M147" s="152">
        <v>47978</v>
      </c>
      <c r="N147" s="153">
        <v>0</v>
      </c>
      <c r="O147" s="153">
        <v>0</v>
      </c>
      <c r="P147" s="151">
        <v>0</v>
      </c>
      <c r="Q147" s="124">
        <v>46784</v>
      </c>
    </row>
    <row r="148" spans="3:17" ht="15" customHeight="1">
      <c r="C148" s="146" t="s">
        <v>1069</v>
      </c>
      <c r="D148" s="146" t="s">
        <v>2537</v>
      </c>
      <c r="E148" s="147"/>
      <c r="F148" s="27"/>
      <c r="G148" s="148" t="s">
        <v>2537</v>
      </c>
      <c r="H148" s="27">
        <v>62006523</v>
      </c>
      <c r="I148" s="146" t="s">
        <v>311</v>
      </c>
      <c r="J148" s="149" t="s">
        <v>1212</v>
      </c>
      <c r="K148" s="124">
        <v>43188</v>
      </c>
      <c r="L148" s="152">
        <v>15000</v>
      </c>
      <c r="M148" s="152">
        <v>52710</v>
      </c>
      <c r="N148" s="153">
        <v>0</v>
      </c>
      <c r="O148" s="153">
        <v>0</v>
      </c>
      <c r="P148" s="151">
        <v>0</v>
      </c>
      <c r="Q148" s="124">
        <v>45380</v>
      </c>
    </row>
    <row r="149" spans="3:17" ht="15" customHeight="1">
      <c r="C149" s="146" t="s">
        <v>1069</v>
      </c>
      <c r="D149" s="146" t="s">
        <v>2661</v>
      </c>
      <c r="E149" s="147"/>
      <c r="F149" s="27"/>
      <c r="G149" s="148" t="s">
        <v>2454</v>
      </c>
      <c r="H149" s="27">
        <v>62006614</v>
      </c>
      <c r="I149" s="146" t="s">
        <v>311</v>
      </c>
      <c r="J149" s="149" t="s">
        <v>1216</v>
      </c>
      <c r="K149" s="124">
        <v>43206</v>
      </c>
      <c r="L149" s="152">
        <v>5000</v>
      </c>
      <c r="M149" s="152">
        <v>21648</v>
      </c>
      <c r="N149" s="153">
        <v>22.832000000000001</v>
      </c>
      <c r="O149" s="153">
        <v>91.789000000000001</v>
      </c>
      <c r="P149" s="151">
        <v>4.5664E-3</v>
      </c>
      <c r="Q149" s="124">
        <v>45763</v>
      </c>
    </row>
    <row r="150" spans="3:17" ht="15" customHeight="1">
      <c r="C150" s="146" t="s">
        <v>1069</v>
      </c>
      <c r="D150" s="146" t="s">
        <v>2248</v>
      </c>
      <c r="E150" s="147"/>
      <c r="F150" s="27"/>
      <c r="G150" s="148" t="s">
        <v>2248</v>
      </c>
      <c r="H150" s="27">
        <v>62006978</v>
      </c>
      <c r="I150" s="146" t="s">
        <v>311</v>
      </c>
      <c r="J150" s="149" t="s">
        <v>1212</v>
      </c>
      <c r="K150" s="124">
        <v>43091</v>
      </c>
      <c r="L150" s="152">
        <v>2000</v>
      </c>
      <c r="M150" s="152">
        <v>6970</v>
      </c>
      <c r="N150" s="153">
        <v>168.71799999999999</v>
      </c>
      <c r="O150" s="153">
        <v>634.21100000000001</v>
      </c>
      <c r="P150" s="151">
        <v>8.435899999999999E-2</v>
      </c>
      <c r="Q150" s="124">
        <v>46378</v>
      </c>
    </row>
    <row r="151" spans="3:17" ht="15" customHeight="1">
      <c r="C151" s="146" t="s">
        <v>1069</v>
      </c>
      <c r="D151" s="146" t="s">
        <v>2161</v>
      </c>
      <c r="E151" s="147"/>
      <c r="F151" s="27"/>
      <c r="G151" s="148" t="s">
        <v>2193</v>
      </c>
      <c r="H151" s="27">
        <v>62007075</v>
      </c>
      <c r="I151" s="146" t="s">
        <v>311</v>
      </c>
      <c r="J151" s="149" t="s">
        <v>1212</v>
      </c>
      <c r="K151" s="124">
        <v>43204</v>
      </c>
      <c r="L151" s="152">
        <v>14600</v>
      </c>
      <c r="M151" s="152">
        <v>51143.8</v>
      </c>
      <c r="N151" s="153">
        <v>24.611999999999998</v>
      </c>
      <c r="O151" s="153">
        <v>92.516999999999996</v>
      </c>
      <c r="P151" s="151">
        <v>1.6857534246575341E-3</v>
      </c>
      <c r="Q151" s="124">
        <v>45408</v>
      </c>
    </row>
    <row r="152" spans="3:17" ht="15" customHeight="1">
      <c r="C152" s="146" t="s">
        <v>1069</v>
      </c>
      <c r="D152" s="146" t="s">
        <v>2633</v>
      </c>
      <c r="E152" s="147"/>
      <c r="F152" s="27"/>
      <c r="G152" s="148" t="s">
        <v>2211</v>
      </c>
      <c r="H152" s="27">
        <v>62007695</v>
      </c>
      <c r="I152" s="146" t="s">
        <v>311</v>
      </c>
      <c r="J152" s="149" t="s">
        <v>1216</v>
      </c>
      <c r="K152" s="124">
        <v>43203</v>
      </c>
      <c r="L152" s="152">
        <v>10000</v>
      </c>
      <c r="M152" s="152">
        <v>43261</v>
      </c>
      <c r="N152" s="153">
        <v>628.54300000000001</v>
      </c>
      <c r="O152" s="153">
        <v>2526.87</v>
      </c>
      <c r="P152" s="151">
        <v>6.2854300000000002E-2</v>
      </c>
      <c r="Q152" s="124">
        <v>46856</v>
      </c>
    </row>
    <row r="153" spans="3:17" ht="15" customHeight="1">
      <c r="C153" s="146" t="s">
        <v>1069</v>
      </c>
      <c r="D153" s="146" t="s">
        <v>2400</v>
      </c>
      <c r="E153" s="147"/>
      <c r="F153" s="27"/>
      <c r="G153" s="148" t="s">
        <v>2400</v>
      </c>
      <c r="H153" s="27">
        <v>62008800</v>
      </c>
      <c r="I153" s="146" t="s">
        <v>311</v>
      </c>
      <c r="J153" s="149" t="s">
        <v>1216</v>
      </c>
      <c r="K153" s="124">
        <v>43345</v>
      </c>
      <c r="L153" s="152">
        <v>12500</v>
      </c>
      <c r="M153" s="152">
        <v>52648.75</v>
      </c>
      <c r="N153" s="153">
        <v>2762.2049999999999</v>
      </c>
      <c r="O153" s="153">
        <v>11104.617</v>
      </c>
      <c r="P153" s="151">
        <v>0.22097639999999999</v>
      </c>
      <c r="Q153" s="124">
        <v>46267</v>
      </c>
    </row>
    <row r="154" spans="3:17" ht="15" customHeight="1">
      <c r="C154" s="146" t="s">
        <v>1069</v>
      </c>
      <c r="D154" s="146" t="s">
        <v>2662</v>
      </c>
      <c r="E154" s="147"/>
      <c r="F154" s="27"/>
      <c r="G154" s="148" t="s">
        <v>2246</v>
      </c>
      <c r="H154" s="27">
        <v>62009378</v>
      </c>
      <c r="I154" s="146" t="s">
        <v>311</v>
      </c>
      <c r="J154" s="149" t="s">
        <v>1230</v>
      </c>
      <c r="K154" s="124">
        <v>43283</v>
      </c>
      <c r="L154" s="152">
        <v>2500</v>
      </c>
      <c r="M154" s="152">
        <v>12047.25</v>
      </c>
      <c r="N154" s="153">
        <v>0</v>
      </c>
      <c r="O154" s="153">
        <v>0</v>
      </c>
      <c r="P154" s="151">
        <v>0</v>
      </c>
      <c r="Q154" s="124">
        <v>46936</v>
      </c>
    </row>
    <row r="155" spans="3:17" ht="15" customHeight="1">
      <c r="C155" s="146" t="s">
        <v>1069</v>
      </c>
      <c r="D155" s="146" t="s">
        <v>2169</v>
      </c>
      <c r="E155" s="147"/>
      <c r="F155" s="27"/>
      <c r="G155" s="148" t="s">
        <v>2369</v>
      </c>
      <c r="H155" s="27">
        <v>62010012</v>
      </c>
      <c r="I155" s="146" t="s">
        <v>311</v>
      </c>
      <c r="J155" s="149" t="s">
        <v>1212</v>
      </c>
      <c r="K155" s="124">
        <v>43373</v>
      </c>
      <c r="L155" s="152">
        <v>200</v>
      </c>
      <c r="M155" s="152">
        <v>725.4</v>
      </c>
      <c r="N155" s="153">
        <v>5</v>
      </c>
      <c r="O155" s="153">
        <v>18.795000000000002</v>
      </c>
      <c r="P155" s="151">
        <v>2.5000000000000001E-2</v>
      </c>
      <c r="Q155" s="124">
        <v>47026</v>
      </c>
    </row>
    <row r="156" spans="3:17" ht="15" customHeight="1">
      <c r="C156" s="146" t="s">
        <v>1069</v>
      </c>
      <c r="D156" s="146" t="s">
        <v>2169</v>
      </c>
      <c r="E156" s="147"/>
      <c r="F156" s="27"/>
      <c r="G156" s="148" t="s">
        <v>2516</v>
      </c>
      <c r="H156" s="27">
        <v>62010020</v>
      </c>
      <c r="I156" s="146" t="s">
        <v>311</v>
      </c>
      <c r="J156" s="149" t="s">
        <v>1212</v>
      </c>
      <c r="K156" s="124">
        <v>43373</v>
      </c>
      <c r="L156" s="152">
        <v>2200</v>
      </c>
      <c r="M156" s="152">
        <v>7979.3999999999987</v>
      </c>
      <c r="N156" s="153">
        <v>44.966999999999999</v>
      </c>
      <c r="O156" s="153">
        <v>169.03100000000001</v>
      </c>
      <c r="P156" s="151">
        <v>2.0439545454545453E-2</v>
      </c>
      <c r="Q156" s="124">
        <v>47026</v>
      </c>
    </row>
    <row r="157" spans="3:17" ht="15" customHeight="1">
      <c r="C157" s="146" t="s">
        <v>1069</v>
      </c>
      <c r="D157" s="146" t="s">
        <v>2632</v>
      </c>
      <c r="E157" s="147"/>
      <c r="F157" s="27"/>
      <c r="G157" s="148" t="s">
        <v>2412</v>
      </c>
      <c r="H157" s="27">
        <v>62010087</v>
      </c>
      <c r="I157" s="146" t="s">
        <v>311</v>
      </c>
      <c r="J157" s="149" t="s">
        <v>1212</v>
      </c>
      <c r="K157" s="124">
        <v>43252</v>
      </c>
      <c r="L157" s="152">
        <v>1500</v>
      </c>
      <c r="M157" s="152">
        <v>5347.5</v>
      </c>
      <c r="N157" s="153">
        <v>0</v>
      </c>
      <c r="O157" s="153">
        <v>0</v>
      </c>
      <c r="P157" s="151">
        <v>0</v>
      </c>
      <c r="Q157" s="124">
        <v>46905</v>
      </c>
    </row>
    <row r="158" spans="3:17" ht="15" customHeight="1">
      <c r="C158" s="146" t="s">
        <v>1069</v>
      </c>
      <c r="D158" s="146" t="s">
        <v>2663</v>
      </c>
      <c r="E158" s="147"/>
      <c r="F158" s="27"/>
      <c r="G158" s="148" t="s">
        <v>2519</v>
      </c>
      <c r="H158" s="27">
        <v>62010988</v>
      </c>
      <c r="I158" s="146" t="s">
        <v>311</v>
      </c>
      <c r="J158" s="149" t="s">
        <v>1216</v>
      </c>
      <c r="K158" s="124">
        <v>43370</v>
      </c>
      <c r="L158" s="152">
        <v>2570</v>
      </c>
      <c r="M158" s="152">
        <v>10833.578</v>
      </c>
      <c r="N158" s="153">
        <v>134.92500000000001</v>
      </c>
      <c r="O158" s="153">
        <v>542.42499999999995</v>
      </c>
      <c r="P158" s="151">
        <v>5.2500000000000005E-2</v>
      </c>
      <c r="Q158" s="124">
        <v>47023</v>
      </c>
    </row>
    <row r="159" spans="3:17" ht="15" customHeight="1">
      <c r="C159" s="146" t="s">
        <v>1069</v>
      </c>
      <c r="D159" s="146" t="s">
        <v>2614</v>
      </c>
      <c r="E159" s="147"/>
      <c r="F159" s="27"/>
      <c r="G159" s="148" t="s">
        <v>2323</v>
      </c>
      <c r="H159" s="27">
        <v>62011317</v>
      </c>
      <c r="I159" s="146" t="s">
        <v>311</v>
      </c>
      <c r="J159" s="149" t="s">
        <v>1212</v>
      </c>
      <c r="K159" s="124">
        <v>43453</v>
      </c>
      <c r="L159" s="152">
        <v>15000</v>
      </c>
      <c r="M159" s="152">
        <v>56340</v>
      </c>
      <c r="N159" s="153">
        <v>922.97750999999982</v>
      </c>
      <c r="O159" s="153">
        <v>3469.4720000000002</v>
      </c>
      <c r="P159" s="151">
        <v>6.1531833999999987E-2</v>
      </c>
      <c r="Q159" s="124">
        <v>47106</v>
      </c>
    </row>
    <row r="160" spans="3:17" ht="15" customHeight="1">
      <c r="C160" s="146" t="s">
        <v>1069</v>
      </c>
      <c r="D160" s="146" t="s">
        <v>2643</v>
      </c>
      <c r="E160" s="147"/>
      <c r="F160" s="27"/>
      <c r="G160" s="148" t="s">
        <v>2142</v>
      </c>
      <c r="H160" s="27">
        <v>62011333</v>
      </c>
      <c r="I160" s="146" t="s">
        <v>311</v>
      </c>
      <c r="J160" s="149" t="s">
        <v>1212</v>
      </c>
      <c r="K160" s="124">
        <v>43345</v>
      </c>
      <c r="L160" s="152">
        <v>12500</v>
      </c>
      <c r="M160" s="152">
        <v>45050</v>
      </c>
      <c r="N160" s="153">
        <v>118.842</v>
      </c>
      <c r="O160" s="153">
        <v>446.72699999999998</v>
      </c>
      <c r="P160" s="151">
        <v>9.5073599999999994E-3</v>
      </c>
      <c r="Q160" s="124">
        <v>46998</v>
      </c>
    </row>
    <row r="161" spans="3:17" ht="15" customHeight="1">
      <c r="C161" s="146" t="s">
        <v>1069</v>
      </c>
      <c r="D161" s="146" t="s">
        <v>2664</v>
      </c>
      <c r="E161" s="147"/>
      <c r="F161" s="27"/>
      <c r="G161" s="148" t="s">
        <v>2665</v>
      </c>
      <c r="H161" s="27">
        <v>62011353</v>
      </c>
      <c r="I161" s="146" t="s">
        <v>311</v>
      </c>
      <c r="J161" s="149" t="s">
        <v>1212</v>
      </c>
      <c r="K161" s="124">
        <v>43525</v>
      </c>
      <c r="L161" s="152">
        <v>10000</v>
      </c>
      <c r="M161" s="152">
        <v>36240</v>
      </c>
      <c r="N161" s="153">
        <v>10000</v>
      </c>
      <c r="O161" s="153">
        <v>37590</v>
      </c>
      <c r="P161" s="151">
        <v>1</v>
      </c>
      <c r="Q161" s="124">
        <v>46082</v>
      </c>
    </row>
    <row r="162" spans="3:17" ht="15" customHeight="1">
      <c r="C162" s="146" t="s">
        <v>1069</v>
      </c>
      <c r="D162" s="146" t="s">
        <v>2632</v>
      </c>
      <c r="E162" s="147"/>
      <c r="F162" s="27"/>
      <c r="G162" s="148" t="s">
        <v>2220</v>
      </c>
      <c r="H162" s="27">
        <v>62010088</v>
      </c>
      <c r="I162" s="146" t="s">
        <v>311</v>
      </c>
      <c r="J162" s="149" t="s">
        <v>1212</v>
      </c>
      <c r="K162" s="124">
        <v>43252</v>
      </c>
      <c r="L162" s="152">
        <v>500</v>
      </c>
      <c r="M162" s="152">
        <v>1782.5</v>
      </c>
      <c r="N162" s="153">
        <v>0</v>
      </c>
      <c r="O162" s="153">
        <v>0</v>
      </c>
      <c r="P162" s="151">
        <v>0</v>
      </c>
      <c r="Q162" s="124">
        <v>46905</v>
      </c>
    </row>
    <row r="163" spans="3:17" ht="15" customHeight="1">
      <c r="C163" s="146" t="s">
        <v>1069</v>
      </c>
      <c r="D163" s="155" t="s">
        <v>2176</v>
      </c>
      <c r="E163" s="120"/>
      <c r="F163" s="27"/>
      <c r="G163" s="148" t="s">
        <v>2176</v>
      </c>
      <c r="H163" s="27">
        <v>62012075</v>
      </c>
      <c r="I163" s="146" t="s">
        <v>311</v>
      </c>
      <c r="J163" s="149" t="s">
        <v>1229</v>
      </c>
      <c r="K163" s="124">
        <v>43556</v>
      </c>
      <c r="L163" s="152">
        <v>13800</v>
      </c>
      <c r="M163" s="152">
        <v>37457.339999999997</v>
      </c>
      <c r="N163" s="153">
        <v>5522.4301500000001</v>
      </c>
      <c r="O163" s="153">
        <v>15138.638000000001</v>
      </c>
      <c r="P163" s="151">
        <v>0.40017609782608698</v>
      </c>
      <c r="Q163" s="124">
        <v>45383</v>
      </c>
    </row>
    <row r="164" spans="3:17" ht="15" customHeight="1">
      <c r="C164" s="146" t="s">
        <v>1069</v>
      </c>
      <c r="D164" s="146" t="s">
        <v>2132</v>
      </c>
      <c r="E164" s="147"/>
      <c r="F164" s="27"/>
      <c r="G164" s="148" t="s">
        <v>2440</v>
      </c>
      <c r="H164" s="27">
        <v>62012257</v>
      </c>
      <c r="I164" s="146" t="s">
        <v>311</v>
      </c>
      <c r="J164" s="149" t="s">
        <v>1212</v>
      </c>
      <c r="K164" s="124">
        <v>43525</v>
      </c>
      <c r="L164" s="152">
        <v>8300</v>
      </c>
      <c r="M164" s="152">
        <v>30079.200000000001</v>
      </c>
      <c r="N164" s="153">
        <v>2043.306</v>
      </c>
      <c r="O164" s="153">
        <v>7680.7879999999996</v>
      </c>
      <c r="P164" s="151">
        <v>0.24618144578313253</v>
      </c>
      <c r="Q164" s="124">
        <v>47543</v>
      </c>
    </row>
    <row r="165" spans="3:17" ht="15" customHeight="1">
      <c r="C165" s="146" t="s">
        <v>1069</v>
      </c>
      <c r="D165" s="146" t="s">
        <v>2065</v>
      </c>
      <c r="E165" s="147"/>
      <c r="F165" s="27"/>
      <c r="G165" s="148" t="s">
        <v>2227</v>
      </c>
      <c r="H165" s="27">
        <v>62010083</v>
      </c>
      <c r="I165" s="146" t="s">
        <v>311</v>
      </c>
      <c r="J165" s="149" t="s">
        <v>1212</v>
      </c>
      <c r="K165" s="124">
        <v>43485</v>
      </c>
      <c r="L165" s="152">
        <v>18845</v>
      </c>
      <c r="M165" s="152">
        <v>69575.740000000005</v>
      </c>
      <c r="N165" s="153">
        <v>4735.05</v>
      </c>
      <c r="O165" s="153">
        <v>17799.053</v>
      </c>
      <c r="P165" s="151">
        <v>0.25126293446537545</v>
      </c>
      <c r="Q165" s="124">
        <v>46407</v>
      </c>
    </row>
    <row r="166" spans="3:17" ht="15" customHeight="1">
      <c r="C166" s="146" t="s">
        <v>1069</v>
      </c>
      <c r="D166" s="146" t="s">
        <v>2666</v>
      </c>
      <c r="E166" s="147"/>
      <c r="F166" s="27"/>
      <c r="G166" s="148" t="s">
        <v>2666</v>
      </c>
      <c r="H166" s="27">
        <v>62013073</v>
      </c>
      <c r="I166" s="146" t="s">
        <v>311</v>
      </c>
      <c r="J166" s="149" t="s">
        <v>1212</v>
      </c>
      <c r="K166" s="124">
        <v>43617</v>
      </c>
      <c r="L166" s="152">
        <v>9200</v>
      </c>
      <c r="M166" s="152">
        <v>33432.800000000003</v>
      </c>
      <c r="N166" s="153">
        <v>0</v>
      </c>
      <c r="O166" s="153">
        <v>0</v>
      </c>
      <c r="P166" s="151">
        <v>0</v>
      </c>
      <c r="Q166" s="124">
        <v>46174</v>
      </c>
    </row>
    <row r="167" spans="3:17" ht="15" customHeight="1">
      <c r="C167" s="146" t="s">
        <v>1069</v>
      </c>
      <c r="D167" s="146" t="s">
        <v>2610</v>
      </c>
      <c r="E167" s="147"/>
      <c r="F167" s="27"/>
      <c r="G167" s="148" t="s">
        <v>2295</v>
      </c>
      <c r="H167" s="27">
        <v>62013594</v>
      </c>
      <c r="I167" s="146" t="s">
        <v>311</v>
      </c>
      <c r="J167" s="149" t="s">
        <v>1212</v>
      </c>
      <c r="K167" s="124">
        <v>43654</v>
      </c>
      <c r="L167" s="152">
        <v>9000</v>
      </c>
      <c r="M167" s="152">
        <v>32157</v>
      </c>
      <c r="N167" s="153">
        <v>410.71800000000002</v>
      </c>
      <c r="O167" s="153">
        <v>1543.8889999999999</v>
      </c>
      <c r="P167" s="151">
        <v>4.5635333333333333E-2</v>
      </c>
      <c r="Q167" s="124">
        <v>47307</v>
      </c>
    </row>
    <row r="168" spans="3:17" ht="15" customHeight="1">
      <c r="C168" s="146" t="s">
        <v>1069</v>
      </c>
      <c r="D168" s="146" t="s">
        <v>2613</v>
      </c>
      <c r="E168" s="147"/>
      <c r="F168" s="27"/>
      <c r="G168" s="148" t="s">
        <v>2206</v>
      </c>
      <c r="H168" s="27">
        <v>62013578</v>
      </c>
      <c r="I168" s="146" t="s">
        <v>311</v>
      </c>
      <c r="J168" s="149" t="s">
        <v>1212</v>
      </c>
      <c r="K168" s="124">
        <v>43646</v>
      </c>
      <c r="L168" s="152">
        <v>10000</v>
      </c>
      <c r="M168" s="152">
        <v>35660</v>
      </c>
      <c r="N168" s="153">
        <v>4138.8579200000004</v>
      </c>
      <c r="O168" s="153">
        <v>15557.967000000001</v>
      </c>
      <c r="P168" s="151">
        <v>0.41388579200000003</v>
      </c>
      <c r="Q168" s="124">
        <v>47299</v>
      </c>
    </row>
    <row r="169" spans="3:17" ht="15" customHeight="1">
      <c r="C169" s="146" t="s">
        <v>1069</v>
      </c>
      <c r="D169" s="146" t="s">
        <v>2653</v>
      </c>
      <c r="E169" s="147"/>
      <c r="F169" s="27"/>
      <c r="G169" s="148" t="s">
        <v>2277</v>
      </c>
      <c r="H169" s="27">
        <v>62013586</v>
      </c>
      <c r="I169" s="146" t="s">
        <v>311</v>
      </c>
      <c r="J169" s="149" t="s">
        <v>1216</v>
      </c>
      <c r="K169" s="124">
        <v>43592</v>
      </c>
      <c r="L169" s="152">
        <v>7000</v>
      </c>
      <c r="M169" s="152">
        <v>28104.3</v>
      </c>
      <c r="N169" s="153">
        <v>0</v>
      </c>
      <c r="O169" s="153">
        <v>0</v>
      </c>
      <c r="P169" s="151">
        <v>0</v>
      </c>
      <c r="Q169" s="124">
        <v>47245</v>
      </c>
    </row>
    <row r="170" spans="3:17" ht="15" customHeight="1">
      <c r="C170" s="146" t="s">
        <v>1069</v>
      </c>
      <c r="D170" s="146" t="s">
        <v>2043</v>
      </c>
      <c r="E170" s="147"/>
      <c r="F170" s="27"/>
      <c r="G170" s="148" t="s">
        <v>2139</v>
      </c>
      <c r="H170" s="27">
        <v>62013610</v>
      </c>
      <c r="I170" s="146" t="s">
        <v>311</v>
      </c>
      <c r="J170" s="149" t="s">
        <v>1216</v>
      </c>
      <c r="K170" s="124">
        <v>43621</v>
      </c>
      <c r="L170" s="152">
        <v>5200</v>
      </c>
      <c r="M170" s="152">
        <v>21132.799999999999</v>
      </c>
      <c r="N170" s="153">
        <v>290.77199999999999</v>
      </c>
      <c r="O170" s="153">
        <v>1168.962</v>
      </c>
      <c r="P170" s="151">
        <v>5.5917692307692307E-2</v>
      </c>
      <c r="Q170" s="124">
        <v>47639</v>
      </c>
    </row>
    <row r="171" spans="3:17" ht="15" customHeight="1">
      <c r="C171" s="146" t="s">
        <v>1069</v>
      </c>
      <c r="D171" s="146" t="s">
        <v>2667</v>
      </c>
      <c r="E171" s="147"/>
      <c r="F171" s="27"/>
      <c r="G171" s="148" t="s">
        <v>2337</v>
      </c>
      <c r="H171" s="27">
        <v>62013560</v>
      </c>
      <c r="I171" s="146" t="s">
        <v>311</v>
      </c>
      <c r="J171" s="149" t="s">
        <v>1212</v>
      </c>
      <c r="K171" s="124">
        <v>43648</v>
      </c>
      <c r="L171" s="152">
        <v>8000</v>
      </c>
      <c r="M171" s="152">
        <v>28600</v>
      </c>
      <c r="N171" s="153">
        <v>1477.886</v>
      </c>
      <c r="O171" s="153">
        <v>5555.5730000000003</v>
      </c>
      <c r="P171" s="151">
        <v>0.18473575</v>
      </c>
      <c r="Q171" s="124">
        <v>47301</v>
      </c>
    </row>
    <row r="172" spans="3:17" ht="15" customHeight="1">
      <c r="C172" s="146" t="s">
        <v>1069</v>
      </c>
      <c r="D172" s="146" t="s">
        <v>2161</v>
      </c>
      <c r="E172" s="147"/>
      <c r="F172" s="27"/>
      <c r="G172" s="148" t="s">
        <v>2377</v>
      </c>
      <c r="H172" s="27">
        <v>62013524</v>
      </c>
      <c r="I172" s="146" t="s">
        <v>311</v>
      </c>
      <c r="J172" s="149" t="s">
        <v>1212</v>
      </c>
      <c r="K172" s="124">
        <v>43647</v>
      </c>
      <c r="L172" s="152">
        <v>18200</v>
      </c>
      <c r="M172" s="152">
        <v>65046.8</v>
      </c>
      <c r="N172" s="153">
        <v>1264.5070000000001</v>
      </c>
      <c r="O172" s="153">
        <v>4753.2820000000002</v>
      </c>
      <c r="P172" s="151">
        <v>6.9478406593406594E-2</v>
      </c>
      <c r="Q172" s="124">
        <v>45408</v>
      </c>
    </row>
    <row r="173" spans="3:17" ht="15" customHeight="1">
      <c r="C173" s="146" t="s">
        <v>1069</v>
      </c>
      <c r="D173" s="146" t="s">
        <v>2327</v>
      </c>
      <c r="E173" s="147"/>
      <c r="F173" s="27"/>
      <c r="G173" s="148" t="s">
        <v>2362</v>
      </c>
      <c r="H173" s="27">
        <v>62013817</v>
      </c>
      <c r="I173" s="146" t="s">
        <v>311</v>
      </c>
      <c r="J173" s="149" t="s">
        <v>1212</v>
      </c>
      <c r="K173" s="124">
        <v>43560</v>
      </c>
      <c r="L173" s="152">
        <v>4200</v>
      </c>
      <c r="M173" s="152">
        <v>15065.4</v>
      </c>
      <c r="N173" s="153">
        <v>0</v>
      </c>
      <c r="O173" s="153">
        <v>0</v>
      </c>
      <c r="P173" s="151">
        <v>0</v>
      </c>
      <c r="Q173" s="124">
        <v>47578</v>
      </c>
    </row>
    <row r="174" spans="3:17" ht="15" customHeight="1">
      <c r="C174" s="146" t="s">
        <v>1069</v>
      </c>
      <c r="D174" s="146" t="s">
        <v>2637</v>
      </c>
      <c r="E174" s="147"/>
      <c r="F174" s="27"/>
      <c r="G174" s="148" t="s">
        <v>2502</v>
      </c>
      <c r="H174" s="27">
        <v>62013572</v>
      </c>
      <c r="I174" s="146" t="s">
        <v>311</v>
      </c>
      <c r="J174" s="149" t="s">
        <v>1212</v>
      </c>
      <c r="K174" s="124">
        <v>43553</v>
      </c>
      <c r="L174" s="152">
        <v>3150</v>
      </c>
      <c r="M174" s="152">
        <v>11440.8</v>
      </c>
      <c r="N174" s="153">
        <v>0</v>
      </c>
      <c r="O174" s="153">
        <v>0</v>
      </c>
      <c r="P174" s="151">
        <v>0</v>
      </c>
      <c r="Q174" s="124">
        <v>47206</v>
      </c>
    </row>
    <row r="175" spans="3:17" ht="15" customHeight="1">
      <c r="C175" s="146" t="s">
        <v>1069</v>
      </c>
      <c r="D175" s="146" t="s">
        <v>2668</v>
      </c>
      <c r="E175" s="147"/>
      <c r="F175" s="27"/>
      <c r="G175" s="148" t="s">
        <v>2512</v>
      </c>
      <c r="H175" s="27">
        <v>62013926</v>
      </c>
      <c r="I175" s="146" t="s">
        <v>311</v>
      </c>
      <c r="J175" s="149" t="s">
        <v>1212</v>
      </c>
      <c r="K175" s="124">
        <v>43748</v>
      </c>
      <c r="L175" s="152">
        <v>4200</v>
      </c>
      <c r="M175" s="152">
        <v>14716.8</v>
      </c>
      <c r="N175" s="153">
        <v>1618.7280000000001</v>
      </c>
      <c r="O175" s="153">
        <v>6084.799</v>
      </c>
      <c r="P175" s="151">
        <v>0.38541142857142857</v>
      </c>
      <c r="Q175" s="124">
        <v>47573</v>
      </c>
    </row>
    <row r="176" spans="3:17" ht="15" customHeight="1">
      <c r="C176" s="146" t="s">
        <v>1069</v>
      </c>
      <c r="D176" s="146" t="s">
        <v>2405</v>
      </c>
      <c r="E176" s="147"/>
      <c r="F176" s="27"/>
      <c r="G176" s="148" t="s">
        <v>2272</v>
      </c>
      <c r="H176" s="27">
        <v>62013934</v>
      </c>
      <c r="I176" s="146" t="s">
        <v>311</v>
      </c>
      <c r="J176" s="149" t="s">
        <v>1212</v>
      </c>
      <c r="K176" s="124">
        <v>43768</v>
      </c>
      <c r="L176" s="152">
        <v>2100</v>
      </c>
      <c r="M176" s="152">
        <v>7408.8</v>
      </c>
      <c r="N176" s="153">
        <v>13.779</v>
      </c>
      <c r="O176" s="153">
        <v>51.795999999999999</v>
      </c>
      <c r="P176" s="151">
        <v>6.5614285714285714E-3</v>
      </c>
      <c r="Q176" s="124">
        <v>47421</v>
      </c>
    </row>
    <row r="177" spans="3:17" ht="15" customHeight="1">
      <c r="C177" s="146" t="s">
        <v>1069</v>
      </c>
      <c r="D177" s="146" t="s">
        <v>2622</v>
      </c>
      <c r="E177" s="147"/>
      <c r="F177" s="27"/>
      <c r="G177" s="148" t="s">
        <v>2233</v>
      </c>
      <c r="H177" s="27">
        <v>62013937</v>
      </c>
      <c r="I177" s="146" t="s">
        <v>311</v>
      </c>
      <c r="J177" s="149" t="s">
        <v>1212</v>
      </c>
      <c r="K177" s="124">
        <v>43251</v>
      </c>
      <c r="L177" s="152">
        <v>3000</v>
      </c>
      <c r="M177" s="152">
        <v>10698</v>
      </c>
      <c r="N177" s="153">
        <v>1322.258</v>
      </c>
      <c r="O177" s="153">
        <v>4970.3680000000004</v>
      </c>
      <c r="P177" s="151">
        <v>0.44075266666666668</v>
      </c>
      <c r="Q177" s="124">
        <v>46891</v>
      </c>
    </row>
    <row r="178" spans="3:17" ht="15" customHeight="1">
      <c r="C178" s="146" t="s">
        <v>1069</v>
      </c>
      <c r="D178" s="146" t="s">
        <v>2627</v>
      </c>
      <c r="E178" s="147"/>
      <c r="F178" s="27"/>
      <c r="G178" s="148" t="s">
        <v>2426</v>
      </c>
      <c r="H178" s="27">
        <v>62013940</v>
      </c>
      <c r="I178" s="146" t="s">
        <v>311</v>
      </c>
      <c r="J178" s="149" t="s">
        <v>1212</v>
      </c>
      <c r="K178" s="124">
        <v>43796</v>
      </c>
      <c r="L178" s="152">
        <v>1400</v>
      </c>
      <c r="M178" s="152">
        <v>4859.3999999999996</v>
      </c>
      <c r="N178" s="153">
        <v>428.70894999999996</v>
      </c>
      <c r="O178" s="153">
        <v>1611.44</v>
      </c>
      <c r="P178" s="151">
        <v>0.30622067857142854</v>
      </c>
      <c r="Q178" s="124">
        <v>46718</v>
      </c>
    </row>
    <row r="179" spans="3:17" ht="15" customHeight="1">
      <c r="C179" s="146" t="s">
        <v>1069</v>
      </c>
      <c r="D179" s="146" t="s">
        <v>2654</v>
      </c>
      <c r="E179" s="147"/>
      <c r="F179" s="27"/>
      <c r="G179" s="148" t="s">
        <v>2418</v>
      </c>
      <c r="H179" s="27">
        <v>62013941</v>
      </c>
      <c r="I179" s="146" t="s">
        <v>311</v>
      </c>
      <c r="J179" s="149" t="s">
        <v>2669</v>
      </c>
      <c r="K179" s="124">
        <v>43796</v>
      </c>
      <c r="L179" s="152">
        <v>182367.2</v>
      </c>
      <c r="M179" s="152">
        <v>579982.40616000001</v>
      </c>
      <c r="N179" s="153">
        <v>22257.756000000001</v>
      </c>
      <c r="O179" s="153">
        <v>519.91899999999998</v>
      </c>
      <c r="P179" s="151">
        <v>0.12204911848183225</v>
      </c>
      <c r="Q179" s="124">
        <v>47449</v>
      </c>
    </row>
    <row r="180" spans="3:17" ht="15" customHeight="1">
      <c r="C180" s="146" t="s">
        <v>1069</v>
      </c>
      <c r="D180" s="146" t="s">
        <v>2654</v>
      </c>
      <c r="E180" s="147"/>
      <c r="F180" s="27"/>
      <c r="G180" s="148" t="s">
        <v>2670</v>
      </c>
      <c r="H180" s="27">
        <v>62013951</v>
      </c>
      <c r="I180" s="146" t="s">
        <v>311</v>
      </c>
      <c r="J180" s="149" t="s">
        <v>2669</v>
      </c>
      <c r="K180" s="124">
        <v>43796</v>
      </c>
      <c r="L180" s="152">
        <v>45591.8</v>
      </c>
      <c r="M180" s="152">
        <v>144995.60154</v>
      </c>
      <c r="N180" s="153">
        <v>6561.9260000000004</v>
      </c>
      <c r="O180" s="153">
        <v>153.28</v>
      </c>
      <c r="P180" s="151">
        <v>0.14392776771261498</v>
      </c>
      <c r="Q180" s="124">
        <v>47449</v>
      </c>
    </row>
    <row r="181" spans="3:17" ht="15" customHeight="1">
      <c r="C181" s="146" t="s">
        <v>1069</v>
      </c>
      <c r="D181" s="146" t="s">
        <v>2628</v>
      </c>
      <c r="E181" s="147"/>
      <c r="F181" s="27"/>
      <c r="G181" s="148" t="s">
        <v>2240</v>
      </c>
      <c r="H181" s="27">
        <v>62015862</v>
      </c>
      <c r="I181" s="146" t="s">
        <v>311</v>
      </c>
      <c r="J181" s="149" t="s">
        <v>1212</v>
      </c>
      <c r="K181" s="124">
        <v>43845</v>
      </c>
      <c r="L181" s="152">
        <v>6095.2380999999996</v>
      </c>
      <c r="M181" s="152">
        <v>21083.428587899998</v>
      </c>
      <c r="N181" s="153">
        <v>166.51669999999925</v>
      </c>
      <c r="O181" s="153">
        <v>625.93600000000004</v>
      </c>
      <c r="P181" s="151">
        <v>2.7319146072406795E-2</v>
      </c>
      <c r="Q181" s="124">
        <v>47498</v>
      </c>
    </row>
    <row r="182" spans="3:17" ht="15" customHeight="1">
      <c r="C182" s="146" t="s">
        <v>1069</v>
      </c>
      <c r="D182" s="146" t="s">
        <v>2186</v>
      </c>
      <c r="E182" s="147"/>
      <c r="F182" s="27"/>
      <c r="G182" s="148" t="s">
        <v>2254</v>
      </c>
      <c r="H182" s="27">
        <v>62013957</v>
      </c>
      <c r="I182" s="146" t="s">
        <v>311</v>
      </c>
      <c r="J182" s="149" t="s">
        <v>1212</v>
      </c>
      <c r="K182" s="124">
        <v>43874</v>
      </c>
      <c r="L182" s="152">
        <v>13800</v>
      </c>
      <c r="M182" s="152">
        <v>47347.8</v>
      </c>
      <c r="N182" s="153">
        <v>3291.43</v>
      </c>
      <c r="O182" s="153">
        <v>12372.486000000001</v>
      </c>
      <c r="P182" s="151">
        <v>0.23850942028985506</v>
      </c>
      <c r="Q182" s="124">
        <v>46066</v>
      </c>
    </row>
    <row r="183" spans="3:17" ht="15" customHeight="1">
      <c r="C183" s="146" t="s">
        <v>1069</v>
      </c>
      <c r="D183" s="146" t="s">
        <v>2649</v>
      </c>
      <c r="E183" s="147"/>
      <c r="F183" s="27"/>
      <c r="G183" s="148" t="s">
        <v>2329</v>
      </c>
      <c r="H183" s="27">
        <v>60418481</v>
      </c>
      <c r="I183" s="146" t="s">
        <v>311</v>
      </c>
      <c r="J183" s="149" t="s">
        <v>1212</v>
      </c>
      <c r="K183" s="124">
        <v>43921</v>
      </c>
      <c r="L183" s="152">
        <v>2100</v>
      </c>
      <c r="M183" s="152">
        <v>7486.5</v>
      </c>
      <c r="N183" s="153">
        <v>523.55100000000004</v>
      </c>
      <c r="O183" s="153">
        <v>1968.028</v>
      </c>
      <c r="P183" s="151">
        <v>0.24931000000000003</v>
      </c>
      <c r="Q183" s="124">
        <v>47573</v>
      </c>
    </row>
    <row r="184" spans="3:17" ht="15" customHeight="1">
      <c r="C184" s="146" t="s">
        <v>1069</v>
      </c>
      <c r="D184" s="146" t="s">
        <v>2656</v>
      </c>
      <c r="E184" s="147"/>
      <c r="F184" s="27"/>
      <c r="G184" s="148" t="s">
        <v>2489</v>
      </c>
      <c r="H184" s="27">
        <v>62016597</v>
      </c>
      <c r="I184" s="146" t="s">
        <v>311</v>
      </c>
      <c r="J184" s="149" t="s">
        <v>1216</v>
      </c>
      <c r="K184" s="124">
        <v>43952</v>
      </c>
      <c r="L184" s="152">
        <v>12500</v>
      </c>
      <c r="M184" s="152">
        <v>47885</v>
      </c>
      <c r="N184" s="153">
        <v>2170.0650000000001</v>
      </c>
      <c r="O184" s="153">
        <v>8724.0949999999993</v>
      </c>
      <c r="P184" s="151">
        <v>0.17360520000000002</v>
      </c>
      <c r="Q184" s="124">
        <v>47604</v>
      </c>
    </row>
    <row r="185" spans="3:17" ht="15" customHeight="1">
      <c r="C185" s="146" t="s">
        <v>1069</v>
      </c>
      <c r="D185" s="146" t="s">
        <v>2671</v>
      </c>
      <c r="E185" s="147"/>
      <c r="F185" s="27"/>
      <c r="G185" s="148" t="s">
        <v>2330</v>
      </c>
      <c r="H185" s="27">
        <v>62015840</v>
      </c>
      <c r="I185" s="146" t="s">
        <v>311</v>
      </c>
      <c r="J185" s="149" t="s">
        <v>1216</v>
      </c>
      <c r="K185" s="124">
        <v>43923</v>
      </c>
      <c r="L185" s="152">
        <v>1820</v>
      </c>
      <c r="M185" s="152">
        <v>7220.85</v>
      </c>
      <c r="N185" s="153">
        <v>133.52799999999999</v>
      </c>
      <c r="O185" s="153">
        <v>536.80899999999997</v>
      </c>
      <c r="P185" s="151">
        <v>7.3367032967032966E-2</v>
      </c>
      <c r="Q185" s="124">
        <v>47574</v>
      </c>
    </row>
    <row r="186" spans="3:17" ht="15" customHeight="1">
      <c r="C186" s="146" t="s">
        <v>1069</v>
      </c>
      <c r="D186" s="146" t="s">
        <v>2672</v>
      </c>
      <c r="E186" s="147"/>
      <c r="F186" s="27"/>
      <c r="G186" s="148" t="s">
        <v>2316</v>
      </c>
      <c r="H186" s="27">
        <v>62017181</v>
      </c>
      <c r="I186" s="146" t="s">
        <v>311</v>
      </c>
      <c r="J186" s="149" t="s">
        <v>1212</v>
      </c>
      <c r="K186" s="124">
        <v>44014</v>
      </c>
      <c r="L186" s="152">
        <v>18000</v>
      </c>
      <c r="M186" s="152">
        <v>62064</v>
      </c>
      <c r="N186" s="153">
        <v>179.44800000000001</v>
      </c>
      <c r="O186" s="153">
        <v>674.54600000000005</v>
      </c>
      <c r="P186" s="151">
        <v>9.9693333333333335E-3</v>
      </c>
      <c r="Q186" s="124">
        <v>49492</v>
      </c>
    </row>
    <row r="187" spans="3:17" ht="15" customHeight="1">
      <c r="C187" s="146" t="s">
        <v>1069</v>
      </c>
      <c r="D187" s="146" t="s">
        <v>2606</v>
      </c>
      <c r="E187" s="147"/>
      <c r="F187" s="27"/>
      <c r="G187" s="148" t="s">
        <v>2673</v>
      </c>
      <c r="H187" s="27">
        <v>9840573</v>
      </c>
      <c r="I187" s="146" t="s">
        <v>311</v>
      </c>
      <c r="J187" s="149" t="s">
        <v>1212</v>
      </c>
      <c r="K187" s="124">
        <v>43830</v>
      </c>
      <c r="L187" s="152">
        <v>15400</v>
      </c>
      <c r="M187" s="152">
        <v>53222.400000000001</v>
      </c>
      <c r="N187" s="153">
        <v>1410.5</v>
      </c>
      <c r="O187" s="153">
        <v>5302.07</v>
      </c>
      <c r="P187" s="151">
        <v>9.1590909090909098E-2</v>
      </c>
      <c r="Q187" s="124">
        <v>47483</v>
      </c>
    </row>
    <row r="188" spans="3:17" ht="15" customHeight="1">
      <c r="C188" s="146" t="s">
        <v>1069</v>
      </c>
      <c r="D188" s="146" t="s">
        <v>2674</v>
      </c>
      <c r="E188" s="147"/>
      <c r="F188" s="27"/>
      <c r="G188" s="148" t="s">
        <v>2291</v>
      </c>
      <c r="H188" s="27">
        <v>62015841</v>
      </c>
      <c r="I188" s="146" t="s">
        <v>311</v>
      </c>
      <c r="J188" s="149" t="s">
        <v>1216</v>
      </c>
      <c r="K188" s="124">
        <v>43952</v>
      </c>
      <c r="L188" s="152">
        <v>1680</v>
      </c>
      <c r="M188" s="152">
        <v>6435.7439999999997</v>
      </c>
      <c r="N188" s="153">
        <v>148.607</v>
      </c>
      <c r="O188" s="153">
        <v>597.43100000000004</v>
      </c>
      <c r="P188" s="151">
        <v>8.8456547619047615E-2</v>
      </c>
      <c r="Q188" s="124">
        <v>47604</v>
      </c>
    </row>
    <row r="189" spans="3:17" ht="15" customHeight="1">
      <c r="C189" s="146" t="s">
        <v>1069</v>
      </c>
      <c r="D189" s="146" t="s">
        <v>2606</v>
      </c>
      <c r="E189" s="147"/>
      <c r="F189" s="27"/>
      <c r="G189" s="148" t="s">
        <v>2190</v>
      </c>
      <c r="H189" s="27">
        <v>62017504</v>
      </c>
      <c r="I189" s="146" t="s">
        <v>311</v>
      </c>
      <c r="J189" s="149" t="s">
        <v>1212</v>
      </c>
      <c r="K189" s="124">
        <v>44075</v>
      </c>
      <c r="L189" s="152">
        <v>7714</v>
      </c>
      <c r="M189" s="152">
        <v>25865.042000000001</v>
      </c>
      <c r="N189" s="153">
        <v>1774.22</v>
      </c>
      <c r="O189" s="153">
        <v>6669.2929999999997</v>
      </c>
      <c r="P189" s="151">
        <v>0.23</v>
      </c>
      <c r="Q189" s="124">
        <v>47727</v>
      </c>
    </row>
    <row r="190" spans="3:17" ht="15" customHeight="1">
      <c r="C190" s="146" t="s">
        <v>1069</v>
      </c>
      <c r="D190" s="146" t="s">
        <v>2479</v>
      </c>
      <c r="E190" s="147"/>
      <c r="F190" s="27"/>
      <c r="G190" s="148" t="s">
        <v>2287</v>
      </c>
      <c r="H190" s="27">
        <v>62005617</v>
      </c>
      <c r="I190" s="146" t="s">
        <v>311</v>
      </c>
      <c r="J190" s="149" t="s">
        <v>1216</v>
      </c>
      <c r="K190" s="124">
        <v>44105</v>
      </c>
      <c r="L190" s="152">
        <v>4500</v>
      </c>
      <c r="M190" s="152">
        <v>18108.900000000005</v>
      </c>
      <c r="N190" s="153">
        <v>305.83999999999997</v>
      </c>
      <c r="O190" s="153">
        <v>1229.54</v>
      </c>
      <c r="P190" s="151">
        <v>6.7964444444444438E-2</v>
      </c>
      <c r="Q190" s="124">
        <v>47757</v>
      </c>
    </row>
    <row r="191" spans="3:17" ht="15" customHeight="1">
      <c r="C191" s="146" t="s">
        <v>1069</v>
      </c>
      <c r="D191" s="146" t="s">
        <v>2643</v>
      </c>
      <c r="E191" s="147"/>
      <c r="F191" s="27"/>
      <c r="G191" s="148" t="s">
        <v>2675</v>
      </c>
      <c r="H191" s="27">
        <v>60402626</v>
      </c>
      <c r="I191" s="146" t="s">
        <v>311</v>
      </c>
      <c r="J191" s="149" t="s">
        <v>1216</v>
      </c>
      <c r="K191" s="124">
        <v>42402</v>
      </c>
      <c r="L191" s="152">
        <v>17250</v>
      </c>
      <c r="M191" s="152">
        <v>74468.25</v>
      </c>
      <c r="N191" s="153">
        <v>0</v>
      </c>
      <c r="O191" s="153">
        <v>0</v>
      </c>
      <c r="P191" s="151">
        <v>0</v>
      </c>
      <c r="Q191" s="124">
        <v>46055</v>
      </c>
    </row>
    <row r="192" spans="3:17" ht="15" customHeight="1">
      <c r="C192" s="146" t="s">
        <v>1069</v>
      </c>
      <c r="D192" s="146" t="s">
        <v>2647</v>
      </c>
      <c r="E192" s="147"/>
      <c r="F192" s="27"/>
      <c r="G192" s="148" t="s">
        <v>2348</v>
      </c>
      <c r="H192" s="27">
        <v>62016258</v>
      </c>
      <c r="I192" s="146" t="s">
        <v>311</v>
      </c>
      <c r="J192" s="149" t="s">
        <v>1212</v>
      </c>
      <c r="K192" s="124">
        <v>43921</v>
      </c>
      <c r="L192" s="152">
        <v>8000</v>
      </c>
      <c r="M192" s="152">
        <v>28520</v>
      </c>
      <c r="N192" s="153">
        <v>1173.2529999999999</v>
      </c>
      <c r="O192" s="153">
        <v>4410.2579999999998</v>
      </c>
      <c r="P192" s="151">
        <v>0.14665662499999998</v>
      </c>
      <c r="Q192" s="124">
        <v>45747</v>
      </c>
    </row>
    <row r="193" spans="3:17" ht="15" customHeight="1">
      <c r="C193" s="146" t="s">
        <v>1069</v>
      </c>
      <c r="D193" s="146" t="s">
        <v>2065</v>
      </c>
      <c r="E193" s="147"/>
      <c r="F193" s="27"/>
      <c r="G193" s="148" t="s">
        <v>2676</v>
      </c>
      <c r="H193" s="27">
        <v>62017751</v>
      </c>
      <c r="I193" s="146" t="s">
        <v>311</v>
      </c>
      <c r="J193" s="149" t="s">
        <v>1212</v>
      </c>
      <c r="K193" s="124">
        <v>44166</v>
      </c>
      <c r="L193" s="152">
        <v>9000</v>
      </c>
      <c r="M193" s="152">
        <v>29736</v>
      </c>
      <c r="N193" s="153">
        <v>1800</v>
      </c>
      <c r="O193" s="153">
        <v>6766.2</v>
      </c>
      <c r="P193" s="151">
        <v>0.2</v>
      </c>
      <c r="Q193" s="124">
        <v>48914</v>
      </c>
    </row>
    <row r="194" spans="3:17" ht="15" customHeight="1">
      <c r="C194" s="146" t="s">
        <v>1069</v>
      </c>
      <c r="D194" s="146" t="s">
        <v>2065</v>
      </c>
      <c r="E194" s="147"/>
      <c r="F194" s="27"/>
      <c r="G194" s="148" t="s">
        <v>2677</v>
      </c>
      <c r="H194" s="27">
        <v>62017769</v>
      </c>
      <c r="I194" s="146" t="s">
        <v>311</v>
      </c>
      <c r="J194" s="149" t="s">
        <v>1212</v>
      </c>
      <c r="K194" s="124">
        <v>44166</v>
      </c>
      <c r="L194" s="152">
        <v>3500</v>
      </c>
      <c r="M194" s="152">
        <v>11564</v>
      </c>
      <c r="N194" s="153">
        <v>1050</v>
      </c>
      <c r="O194" s="153">
        <v>3946.95</v>
      </c>
      <c r="P194" s="151">
        <v>0.3</v>
      </c>
      <c r="Q194" s="124">
        <v>48914</v>
      </c>
    </row>
    <row r="195" spans="3:17" ht="15" customHeight="1">
      <c r="C195" s="146" t="s">
        <v>1069</v>
      </c>
      <c r="D195" s="146" t="s">
        <v>2678</v>
      </c>
      <c r="E195" s="147"/>
      <c r="F195" s="27"/>
      <c r="G195" s="148" t="s">
        <v>2679</v>
      </c>
      <c r="H195" s="27">
        <v>60402627</v>
      </c>
      <c r="I195" s="146" t="s">
        <v>311</v>
      </c>
      <c r="J195" s="149" t="s">
        <v>1216</v>
      </c>
      <c r="K195" s="124">
        <v>44213</v>
      </c>
      <c r="L195" s="152">
        <v>9200</v>
      </c>
      <c r="M195" s="152">
        <v>36084.239999999998</v>
      </c>
      <c r="N195" s="153">
        <v>5025.2110000000002</v>
      </c>
      <c r="O195" s="153">
        <v>20202.352999999999</v>
      </c>
      <c r="P195" s="151">
        <v>0.54621858695652181</v>
      </c>
      <c r="Q195" s="124">
        <v>47135</v>
      </c>
    </row>
    <row r="196" spans="3:17" ht="15" customHeight="1">
      <c r="C196" s="146" t="s">
        <v>1069</v>
      </c>
      <c r="D196" s="146" t="s">
        <v>2666</v>
      </c>
      <c r="E196" s="147"/>
      <c r="F196" s="27"/>
      <c r="G196" s="148" t="s">
        <v>2271</v>
      </c>
      <c r="H196" s="27">
        <v>62017547</v>
      </c>
      <c r="I196" s="146" t="s">
        <v>311</v>
      </c>
      <c r="J196" s="149" t="s">
        <v>1212</v>
      </c>
      <c r="K196" s="124">
        <v>44105</v>
      </c>
      <c r="L196" s="152">
        <v>9200</v>
      </c>
      <c r="M196" s="152">
        <v>31528.400000000001</v>
      </c>
      <c r="N196" s="153">
        <v>0</v>
      </c>
      <c r="O196" s="153">
        <v>0</v>
      </c>
      <c r="P196" s="151">
        <v>0</v>
      </c>
      <c r="Q196" s="124">
        <v>45931</v>
      </c>
    </row>
    <row r="197" spans="3:17" ht="15" customHeight="1">
      <c r="C197" s="146" t="s">
        <v>1069</v>
      </c>
      <c r="D197" s="146" t="s">
        <v>2645</v>
      </c>
      <c r="E197" s="147"/>
      <c r="F197" s="27"/>
      <c r="G197" s="148" t="s">
        <v>1993</v>
      </c>
      <c r="H197" s="27">
        <v>62017272</v>
      </c>
      <c r="I197" s="146" t="s">
        <v>311</v>
      </c>
      <c r="J197" s="149" t="s">
        <v>1212</v>
      </c>
      <c r="K197" s="124">
        <v>44047</v>
      </c>
      <c r="L197" s="152">
        <v>12000</v>
      </c>
      <c r="M197" s="152">
        <v>41088</v>
      </c>
      <c r="N197" s="153">
        <v>2085.3389999999999</v>
      </c>
      <c r="O197" s="153">
        <v>7838.7889999999998</v>
      </c>
      <c r="P197" s="151">
        <v>0.17377825</v>
      </c>
      <c r="Q197" s="124">
        <v>46969</v>
      </c>
    </row>
    <row r="198" spans="3:17" ht="15" customHeight="1">
      <c r="C198" s="146" t="s">
        <v>1069</v>
      </c>
      <c r="D198" s="146" t="s">
        <v>2634</v>
      </c>
      <c r="E198" s="147"/>
      <c r="F198" s="27"/>
      <c r="G198" s="148" t="s">
        <v>2304</v>
      </c>
      <c r="H198" s="27">
        <v>60391324</v>
      </c>
      <c r="I198" s="146" t="s">
        <v>311</v>
      </c>
      <c r="J198" s="149" t="s">
        <v>1230</v>
      </c>
      <c r="K198" s="124">
        <v>44105</v>
      </c>
      <c r="L198" s="152">
        <v>3348</v>
      </c>
      <c r="M198" s="152">
        <v>14719.147199999999</v>
      </c>
      <c r="N198" s="153">
        <v>1064.6342000000002</v>
      </c>
      <c r="O198" s="153">
        <v>5057.5450000000001</v>
      </c>
      <c r="P198" s="151">
        <v>0.31799109916367985</v>
      </c>
      <c r="Q198" s="124">
        <v>47757</v>
      </c>
    </row>
    <row r="199" spans="3:17" ht="15" customHeight="1">
      <c r="C199" s="146" t="s">
        <v>1069</v>
      </c>
      <c r="D199" s="146" t="s">
        <v>2602</v>
      </c>
      <c r="E199" s="120"/>
      <c r="F199" s="27"/>
      <c r="G199" s="148" t="s">
        <v>2680</v>
      </c>
      <c r="H199" s="27">
        <v>62009882</v>
      </c>
      <c r="I199" s="146" t="s">
        <v>311</v>
      </c>
      <c r="J199" s="149" t="s">
        <v>1212</v>
      </c>
      <c r="K199" s="124">
        <v>43398</v>
      </c>
      <c r="L199" s="152">
        <v>10000</v>
      </c>
      <c r="M199" s="152">
        <v>36930</v>
      </c>
      <c r="N199" s="153">
        <v>905</v>
      </c>
      <c r="O199" s="153">
        <v>3401.895</v>
      </c>
      <c r="P199" s="151">
        <v>9.0499999999999997E-2</v>
      </c>
      <c r="Q199" s="124">
        <v>47051</v>
      </c>
    </row>
    <row r="200" spans="3:17" ht="15" customHeight="1">
      <c r="C200" s="146" t="s">
        <v>1069</v>
      </c>
      <c r="D200" s="146" t="s">
        <v>2445</v>
      </c>
      <c r="E200" s="147"/>
      <c r="F200" s="27"/>
      <c r="G200" s="148" t="s">
        <v>2212</v>
      </c>
      <c r="H200" s="27">
        <v>62006615</v>
      </c>
      <c r="I200" s="146" t="s">
        <v>311</v>
      </c>
      <c r="J200" s="149" t="s">
        <v>1216</v>
      </c>
      <c r="K200" s="124">
        <v>44287</v>
      </c>
      <c r="L200" s="152">
        <v>4600</v>
      </c>
      <c r="M200" s="152">
        <v>17993.36</v>
      </c>
      <c r="N200" s="153">
        <v>153.75401999999954</v>
      </c>
      <c r="O200" s="153">
        <v>618.12199999999996</v>
      </c>
      <c r="P200" s="151">
        <v>3.3424786956521638E-2</v>
      </c>
      <c r="Q200" s="124">
        <v>46478</v>
      </c>
    </row>
    <row r="201" spans="3:17" ht="15" customHeight="1">
      <c r="C201" s="146" t="s">
        <v>1069</v>
      </c>
      <c r="D201" s="146" t="s">
        <v>2643</v>
      </c>
      <c r="E201" s="147"/>
      <c r="F201" s="27"/>
      <c r="G201" s="148" t="s">
        <v>2298</v>
      </c>
      <c r="H201" s="27">
        <v>62011337</v>
      </c>
      <c r="I201" s="146" t="s">
        <v>311</v>
      </c>
      <c r="J201" s="149" t="s">
        <v>1216</v>
      </c>
      <c r="K201" s="124">
        <v>44287</v>
      </c>
      <c r="L201" s="152">
        <v>2279.1806000000001</v>
      </c>
      <c r="M201" s="152">
        <v>8915.2428349600013</v>
      </c>
      <c r="N201" s="153">
        <v>173.79953000000026</v>
      </c>
      <c r="O201" s="153">
        <v>698.70899999999995</v>
      </c>
      <c r="P201" s="151">
        <v>7.6255269108556054E-2</v>
      </c>
      <c r="Q201" s="124" t="s">
        <v>2681</v>
      </c>
    </row>
    <row r="202" spans="3:17" ht="15" customHeight="1">
      <c r="C202" s="146" t="s">
        <v>1069</v>
      </c>
      <c r="D202" s="146" t="s">
        <v>2682</v>
      </c>
      <c r="E202" s="147"/>
      <c r="F202" s="27"/>
      <c r="G202" s="148" t="s">
        <v>2459</v>
      </c>
      <c r="H202" s="27">
        <v>62017801</v>
      </c>
      <c r="I202" s="146" t="s">
        <v>311</v>
      </c>
      <c r="J202" s="149" t="s">
        <v>1212</v>
      </c>
      <c r="K202" s="124">
        <v>44201</v>
      </c>
      <c r="L202" s="152">
        <v>12000</v>
      </c>
      <c r="M202" s="152">
        <v>38436</v>
      </c>
      <c r="N202" s="153">
        <v>4597.2299999999996</v>
      </c>
      <c r="O202" s="153">
        <v>17280.988000000001</v>
      </c>
      <c r="P202" s="151">
        <v>0.38310249999999996</v>
      </c>
      <c r="Q202" s="124">
        <v>46027</v>
      </c>
    </row>
    <row r="203" spans="3:17" ht="15" customHeight="1">
      <c r="C203" s="146" t="s">
        <v>1069</v>
      </c>
      <c r="D203" s="146" t="s">
        <v>2242</v>
      </c>
      <c r="E203" s="147"/>
      <c r="F203" s="27"/>
      <c r="G203" s="148" t="s">
        <v>2238</v>
      </c>
      <c r="H203" s="27">
        <v>62018171</v>
      </c>
      <c r="I203" s="146" t="s">
        <v>311</v>
      </c>
      <c r="J203" s="149" t="s">
        <v>1216</v>
      </c>
      <c r="K203" s="124">
        <v>44256</v>
      </c>
      <c r="L203" s="152">
        <v>28000</v>
      </c>
      <c r="M203" s="152">
        <v>111512.8</v>
      </c>
      <c r="N203" s="153">
        <v>689.11069000000134</v>
      </c>
      <c r="O203" s="153">
        <v>2770.3629999999998</v>
      </c>
      <c r="P203" s="151">
        <v>2.4611096071428619E-2</v>
      </c>
      <c r="Q203" s="124">
        <v>46447</v>
      </c>
    </row>
    <row r="204" spans="3:17" ht="15" customHeight="1">
      <c r="C204" s="146" t="s">
        <v>1069</v>
      </c>
      <c r="D204" s="146" t="s">
        <v>2628</v>
      </c>
      <c r="E204" s="147"/>
      <c r="F204" s="27"/>
      <c r="G204" s="148" t="s">
        <v>2434</v>
      </c>
      <c r="H204" s="27">
        <v>62018288</v>
      </c>
      <c r="I204" s="146" t="s">
        <v>311</v>
      </c>
      <c r="J204" s="149" t="s">
        <v>1212</v>
      </c>
      <c r="K204" s="124">
        <v>44319</v>
      </c>
      <c r="L204" s="152">
        <v>14000</v>
      </c>
      <c r="M204" s="152">
        <v>45444</v>
      </c>
      <c r="N204" s="153">
        <v>2114</v>
      </c>
      <c r="O204" s="153">
        <v>7946.5259999999998</v>
      </c>
      <c r="P204" s="151">
        <v>0.151</v>
      </c>
      <c r="Q204" s="124">
        <v>47971</v>
      </c>
    </row>
    <row r="205" spans="3:17" ht="15" customHeight="1">
      <c r="C205" s="146" t="s">
        <v>1069</v>
      </c>
      <c r="D205" s="146" t="s">
        <v>2648</v>
      </c>
      <c r="E205" s="147"/>
      <c r="F205" s="27"/>
      <c r="G205" s="148" t="s">
        <v>2310</v>
      </c>
      <c r="H205" s="27">
        <v>60415768</v>
      </c>
      <c r="I205" s="146" t="s">
        <v>311</v>
      </c>
      <c r="J205" s="149" t="s">
        <v>1212</v>
      </c>
      <c r="K205" s="124">
        <v>44348</v>
      </c>
      <c r="L205" s="152">
        <v>17000</v>
      </c>
      <c r="M205" s="152">
        <v>55046</v>
      </c>
      <c r="N205" s="153">
        <v>12872.463</v>
      </c>
      <c r="O205" s="153">
        <v>48387.588000000003</v>
      </c>
      <c r="P205" s="151">
        <v>0.75720370588235297</v>
      </c>
      <c r="Q205" s="124">
        <v>48000</v>
      </c>
    </row>
    <row r="206" spans="3:17" ht="15" customHeight="1">
      <c r="C206" s="146" t="s">
        <v>1069</v>
      </c>
      <c r="D206" s="146" t="s">
        <v>2630</v>
      </c>
      <c r="E206" s="147"/>
      <c r="F206" s="27"/>
      <c r="G206" s="148" t="s">
        <v>2379</v>
      </c>
      <c r="H206" s="27">
        <v>62005732</v>
      </c>
      <c r="I206" s="146" t="s">
        <v>311</v>
      </c>
      <c r="J206" s="149" t="s">
        <v>1212</v>
      </c>
      <c r="K206" s="124">
        <v>44348</v>
      </c>
      <c r="L206" s="152">
        <v>7560</v>
      </c>
      <c r="M206" s="152">
        <v>24479.279999999999</v>
      </c>
      <c r="N206" s="153">
        <v>3315.0450000000001</v>
      </c>
      <c r="O206" s="153">
        <v>12461.254000000001</v>
      </c>
      <c r="P206" s="151">
        <v>0.4384980158730159</v>
      </c>
      <c r="Q206" s="124">
        <v>48000</v>
      </c>
    </row>
    <row r="207" spans="3:17" ht="15" customHeight="1">
      <c r="C207" s="146" t="s">
        <v>1069</v>
      </c>
      <c r="D207" s="146" t="s">
        <v>2683</v>
      </c>
      <c r="E207" s="147"/>
      <c r="F207" s="27"/>
      <c r="G207" s="148" t="s">
        <v>2283</v>
      </c>
      <c r="H207" s="27">
        <v>62018172</v>
      </c>
      <c r="I207" s="146" t="s">
        <v>311</v>
      </c>
      <c r="J207" s="149" t="s">
        <v>1216</v>
      </c>
      <c r="K207" s="124">
        <v>44378</v>
      </c>
      <c r="L207" s="152">
        <v>1720.6</v>
      </c>
      <c r="M207" s="152">
        <v>6661.1308399999998</v>
      </c>
      <c r="N207" s="153">
        <v>528.18085000000008</v>
      </c>
      <c r="O207" s="153">
        <v>2123.393</v>
      </c>
      <c r="P207" s="151">
        <v>0.30697480530047666</v>
      </c>
      <c r="Q207" s="124">
        <v>48030</v>
      </c>
    </row>
    <row r="208" spans="3:17" ht="15" customHeight="1">
      <c r="C208" s="146" t="s">
        <v>1069</v>
      </c>
      <c r="D208" s="146" t="s">
        <v>2684</v>
      </c>
      <c r="E208" s="147"/>
      <c r="F208" s="27"/>
      <c r="G208" s="148" t="s">
        <v>2527</v>
      </c>
      <c r="H208" s="27">
        <v>62018173</v>
      </c>
      <c r="I208" s="146" t="s">
        <v>311</v>
      </c>
      <c r="J208" s="149" t="s">
        <v>1212</v>
      </c>
      <c r="K208" s="124">
        <v>44378</v>
      </c>
      <c r="L208" s="152">
        <v>3920</v>
      </c>
      <c r="M208" s="152">
        <v>12783.12</v>
      </c>
      <c r="N208" s="153">
        <v>2506.84</v>
      </c>
      <c r="O208" s="153">
        <v>9423.2119999999995</v>
      </c>
      <c r="P208" s="151">
        <v>0.63950000000000007</v>
      </c>
      <c r="Q208" s="124">
        <v>48030</v>
      </c>
    </row>
    <row r="209" spans="3:17" ht="15" customHeight="1">
      <c r="C209" s="146" t="s">
        <v>1069</v>
      </c>
      <c r="D209" s="146" t="s">
        <v>2685</v>
      </c>
      <c r="E209" s="147"/>
      <c r="F209" s="27"/>
      <c r="G209" s="148" t="s">
        <v>2168</v>
      </c>
      <c r="H209" s="27">
        <v>62018174</v>
      </c>
      <c r="I209" s="146" t="s">
        <v>311</v>
      </c>
      <c r="J209" s="149" t="s">
        <v>1216</v>
      </c>
      <c r="K209" s="124">
        <v>44287</v>
      </c>
      <c r="L209" s="152">
        <v>3080</v>
      </c>
      <c r="M209" s="152">
        <v>12047.727999999999</v>
      </c>
      <c r="N209" s="153">
        <v>1647.8</v>
      </c>
      <c r="O209" s="153">
        <v>6624.4859999999999</v>
      </c>
      <c r="P209" s="151">
        <v>0.53500000000000003</v>
      </c>
      <c r="Q209" s="124">
        <v>47939</v>
      </c>
    </row>
    <row r="210" spans="3:17" ht="15" customHeight="1">
      <c r="C210" s="146" t="s">
        <v>1069</v>
      </c>
      <c r="D210" s="146" t="s">
        <v>2633</v>
      </c>
      <c r="E210" s="147"/>
      <c r="F210" s="27"/>
      <c r="G210" s="148" t="s">
        <v>2521</v>
      </c>
      <c r="H210" s="27">
        <v>62018957</v>
      </c>
      <c r="I210" s="146" t="s">
        <v>311</v>
      </c>
      <c r="J210" s="149" t="s">
        <v>1216</v>
      </c>
      <c r="K210" s="124">
        <v>44378</v>
      </c>
      <c r="L210" s="152">
        <v>19600</v>
      </c>
      <c r="M210" s="152">
        <v>75879.44</v>
      </c>
      <c r="N210" s="153">
        <v>9186.3209999999999</v>
      </c>
      <c r="O210" s="153">
        <v>36930.847999999998</v>
      </c>
      <c r="P210" s="151">
        <v>0.46868984693877552</v>
      </c>
      <c r="Q210" s="124">
        <v>48030</v>
      </c>
    </row>
    <row r="211" spans="3:17" ht="15" customHeight="1">
      <c r="C211" s="146" t="s">
        <v>1069</v>
      </c>
      <c r="D211" s="146" t="s">
        <v>2176</v>
      </c>
      <c r="E211" s="120"/>
      <c r="F211" s="27"/>
      <c r="G211" s="148" t="s">
        <v>2686</v>
      </c>
      <c r="H211" s="27">
        <v>62016811</v>
      </c>
      <c r="I211" s="146" t="s">
        <v>311</v>
      </c>
      <c r="J211" s="149" t="s">
        <v>1229</v>
      </c>
      <c r="K211" s="124">
        <v>43983</v>
      </c>
      <c r="L211" s="152">
        <v>17250</v>
      </c>
      <c r="M211" s="152">
        <v>44142.75</v>
      </c>
      <c r="N211" s="153">
        <v>423.20381000000236</v>
      </c>
      <c r="O211" s="153">
        <v>1160.1289999999999</v>
      </c>
      <c r="P211" s="151">
        <v>2.4533554202898687E-2</v>
      </c>
      <c r="Q211" s="124">
        <v>45809</v>
      </c>
    </row>
    <row r="212" spans="3:17" ht="15" customHeight="1">
      <c r="C212" s="146" t="s">
        <v>1069</v>
      </c>
      <c r="D212" s="146" t="s">
        <v>2687</v>
      </c>
      <c r="E212" s="147"/>
      <c r="F212" s="27"/>
      <c r="G212" s="148" t="s">
        <v>2688</v>
      </c>
      <c r="H212" s="27">
        <v>62019542</v>
      </c>
      <c r="I212" s="146" t="s">
        <v>311</v>
      </c>
      <c r="J212" s="149" t="s">
        <v>1216</v>
      </c>
      <c r="K212" s="124">
        <v>44440</v>
      </c>
      <c r="L212" s="152">
        <v>23000</v>
      </c>
      <c r="M212" s="152">
        <v>87038.9</v>
      </c>
      <c r="N212" s="153">
        <v>2859.55</v>
      </c>
      <c r="O212" s="153">
        <v>11495.960999999999</v>
      </c>
      <c r="P212" s="151">
        <v>0.12432826086956522</v>
      </c>
      <c r="Q212" s="124">
        <v>47362</v>
      </c>
    </row>
    <row r="213" spans="3:17" ht="15" customHeight="1">
      <c r="C213" s="146" t="s">
        <v>1069</v>
      </c>
      <c r="D213" s="146" t="s">
        <v>2689</v>
      </c>
      <c r="E213" s="147"/>
      <c r="F213" s="27"/>
      <c r="G213" s="148" t="s">
        <v>2690</v>
      </c>
      <c r="H213" s="27">
        <v>62019280</v>
      </c>
      <c r="I213" s="146" t="s">
        <v>311</v>
      </c>
      <c r="J213" s="149" t="s">
        <v>1212</v>
      </c>
      <c r="K213" s="124">
        <v>44440</v>
      </c>
      <c r="L213" s="152">
        <v>13800</v>
      </c>
      <c r="M213" s="152">
        <v>44201.4</v>
      </c>
      <c r="N213" s="153">
        <v>11367.281650000001</v>
      </c>
      <c r="O213" s="153">
        <v>42729.612000000001</v>
      </c>
      <c r="P213" s="151">
        <v>0.82371606159420296</v>
      </c>
      <c r="Q213" s="124">
        <v>48092</v>
      </c>
    </row>
    <row r="214" spans="3:17" ht="15" customHeight="1">
      <c r="C214" s="146" t="s">
        <v>1069</v>
      </c>
      <c r="D214" s="146" t="s">
        <v>2359</v>
      </c>
      <c r="E214" s="147"/>
      <c r="F214" s="27"/>
      <c r="G214" s="148" t="s">
        <v>2360</v>
      </c>
      <c r="H214" s="27">
        <v>62017588</v>
      </c>
      <c r="I214" s="146" t="s">
        <v>311</v>
      </c>
      <c r="J214" s="149" t="s">
        <v>1216</v>
      </c>
      <c r="K214" s="124">
        <v>44166</v>
      </c>
      <c r="L214" s="152">
        <v>9200</v>
      </c>
      <c r="M214" s="152">
        <v>36389.68</v>
      </c>
      <c r="N214" s="153">
        <v>2418.5709999999999</v>
      </c>
      <c r="O214" s="153">
        <v>9723.1389999999992</v>
      </c>
      <c r="P214" s="151">
        <v>0.26288815217391304</v>
      </c>
      <c r="Q214" s="124">
        <v>47088</v>
      </c>
    </row>
    <row r="215" spans="3:17" ht="15" customHeight="1">
      <c r="C215" s="146" t="s">
        <v>1069</v>
      </c>
      <c r="D215" s="146" t="s">
        <v>2691</v>
      </c>
      <c r="E215" s="147"/>
      <c r="F215" s="27"/>
      <c r="G215" s="148" t="s">
        <v>2197</v>
      </c>
      <c r="H215" s="27">
        <v>62019600</v>
      </c>
      <c r="I215" s="146" t="s">
        <v>311</v>
      </c>
      <c r="J215" s="149" t="s">
        <v>1212</v>
      </c>
      <c r="K215" s="124">
        <v>44497</v>
      </c>
      <c r="L215" s="152">
        <v>19600</v>
      </c>
      <c r="M215" s="152">
        <v>62426</v>
      </c>
      <c r="N215" s="153">
        <v>8261.4289800000006</v>
      </c>
      <c r="O215" s="153">
        <v>31054.712</v>
      </c>
      <c r="P215" s="151">
        <v>0.42150147857142861</v>
      </c>
      <c r="Q215" s="124">
        <v>48149</v>
      </c>
    </row>
    <row r="216" spans="3:17" ht="15" customHeight="1">
      <c r="C216" s="146" t="s">
        <v>1069</v>
      </c>
      <c r="D216" s="146" t="s">
        <v>2692</v>
      </c>
      <c r="E216" s="147"/>
      <c r="F216" s="27"/>
      <c r="G216" s="148" t="s">
        <v>2693</v>
      </c>
      <c r="H216" s="27">
        <v>62006524</v>
      </c>
      <c r="I216" s="146" t="s">
        <v>311</v>
      </c>
      <c r="J216" s="149" t="s">
        <v>1212</v>
      </c>
      <c r="K216" s="124">
        <v>44501</v>
      </c>
      <c r="L216" s="152">
        <v>23000</v>
      </c>
      <c r="M216" s="152">
        <v>72082</v>
      </c>
      <c r="N216" s="153">
        <v>7062.152</v>
      </c>
      <c r="O216" s="153">
        <v>26546.629000000001</v>
      </c>
      <c r="P216" s="151">
        <v>0.30705008695652175</v>
      </c>
      <c r="Q216" s="124">
        <v>47423</v>
      </c>
    </row>
    <row r="217" spans="3:17" ht="15" customHeight="1">
      <c r="C217" s="146" t="s">
        <v>1069</v>
      </c>
      <c r="D217" s="146" t="s">
        <v>2602</v>
      </c>
      <c r="E217" s="147"/>
      <c r="F217" s="27"/>
      <c r="G217" s="148" t="s">
        <v>2152</v>
      </c>
      <c r="H217" s="27">
        <v>62019799</v>
      </c>
      <c r="I217" s="146" t="s">
        <v>311</v>
      </c>
      <c r="J217" s="149" t="s">
        <v>1212</v>
      </c>
      <c r="K217" s="124">
        <v>44529</v>
      </c>
      <c r="L217" s="152">
        <v>16800</v>
      </c>
      <c r="M217" s="152">
        <v>53037.599999999999</v>
      </c>
      <c r="N217" s="153">
        <v>7896.2060000000001</v>
      </c>
      <c r="O217" s="153">
        <v>29681.838</v>
      </c>
      <c r="P217" s="151">
        <v>0.47001226190476192</v>
      </c>
      <c r="Q217" s="124">
        <v>48181</v>
      </c>
    </row>
    <row r="218" spans="3:17" ht="15" customHeight="1">
      <c r="C218" s="146" t="s">
        <v>1069</v>
      </c>
      <c r="D218" s="146" t="s">
        <v>2667</v>
      </c>
      <c r="E218" s="147"/>
      <c r="F218" s="27"/>
      <c r="G218" s="148" t="s">
        <v>2383</v>
      </c>
      <c r="H218" s="27">
        <v>62020078</v>
      </c>
      <c r="I218" s="146" t="s">
        <v>311</v>
      </c>
      <c r="J218" s="149" t="s">
        <v>1212</v>
      </c>
      <c r="K218" s="124">
        <v>44561</v>
      </c>
      <c r="L218" s="152">
        <v>19600</v>
      </c>
      <c r="M218" s="152">
        <v>60956</v>
      </c>
      <c r="N218" s="153">
        <v>11856.95</v>
      </c>
      <c r="O218" s="153">
        <v>44570.275000000001</v>
      </c>
      <c r="P218" s="151">
        <v>0.60494642857142866</v>
      </c>
      <c r="Q218" s="124">
        <v>48213</v>
      </c>
    </row>
    <row r="219" spans="3:17" ht="15" customHeight="1">
      <c r="C219" s="146" t="s">
        <v>1069</v>
      </c>
      <c r="D219" s="146" t="s">
        <v>2663</v>
      </c>
      <c r="E219" s="147"/>
      <c r="F219" s="27"/>
      <c r="G219" s="148" t="s">
        <v>2370</v>
      </c>
      <c r="H219" s="27">
        <v>62010989</v>
      </c>
      <c r="I219" s="146" t="s">
        <v>311</v>
      </c>
      <c r="J219" s="149" t="s">
        <v>1216</v>
      </c>
      <c r="K219" s="124">
        <v>44553</v>
      </c>
      <c r="L219" s="152">
        <v>3100</v>
      </c>
      <c r="M219" s="152">
        <v>11061.73</v>
      </c>
      <c r="N219" s="153">
        <v>1937.5</v>
      </c>
      <c r="O219" s="153">
        <v>7789.1379999999999</v>
      </c>
      <c r="P219" s="151">
        <v>0.625</v>
      </c>
      <c r="Q219" s="124">
        <v>48205</v>
      </c>
    </row>
    <row r="220" spans="3:17" ht="15" customHeight="1">
      <c r="C220" s="146" t="s">
        <v>1069</v>
      </c>
      <c r="D220" s="146" t="s">
        <v>2672</v>
      </c>
      <c r="E220" s="147"/>
      <c r="F220" s="27"/>
      <c r="G220" s="148" t="s">
        <v>2286</v>
      </c>
      <c r="H220" s="27">
        <v>62017185</v>
      </c>
      <c r="I220" s="146" t="s">
        <v>311</v>
      </c>
      <c r="J220" s="149" t="s">
        <v>1212</v>
      </c>
      <c r="K220" s="124">
        <v>44602</v>
      </c>
      <c r="L220" s="152">
        <v>5400</v>
      </c>
      <c r="M220" s="152">
        <v>17393.400000000001</v>
      </c>
      <c r="N220" s="153">
        <v>0</v>
      </c>
      <c r="O220" s="153">
        <v>0</v>
      </c>
      <c r="P220" s="151">
        <v>0</v>
      </c>
      <c r="Q220" s="124">
        <v>49493</v>
      </c>
    </row>
    <row r="221" spans="3:17" ht="15" customHeight="1">
      <c r="C221" s="146" t="s">
        <v>1069</v>
      </c>
      <c r="D221" s="146" t="s">
        <v>2694</v>
      </c>
      <c r="E221" s="147"/>
      <c r="F221" s="27"/>
      <c r="G221" s="148" t="s">
        <v>2141</v>
      </c>
      <c r="H221" s="27">
        <v>62020276</v>
      </c>
      <c r="I221" s="146" t="s">
        <v>311</v>
      </c>
      <c r="J221" s="149" t="s">
        <v>1216</v>
      </c>
      <c r="K221" s="124">
        <v>44613</v>
      </c>
      <c r="L221" s="152">
        <v>23000</v>
      </c>
      <c r="M221" s="152">
        <v>83779.8</v>
      </c>
      <c r="N221" s="153">
        <v>18170</v>
      </c>
      <c r="O221" s="153">
        <v>73047.034</v>
      </c>
      <c r="P221" s="151">
        <v>0.79</v>
      </c>
      <c r="Q221" s="124">
        <v>47535</v>
      </c>
    </row>
    <row r="222" spans="3:17" ht="15" customHeight="1">
      <c r="C222" s="146" t="s">
        <v>1069</v>
      </c>
      <c r="D222" s="146" t="s">
        <v>2327</v>
      </c>
      <c r="E222" s="147"/>
      <c r="F222" s="27"/>
      <c r="G222" s="148" t="s">
        <v>2328</v>
      </c>
      <c r="H222" s="27">
        <v>62020342</v>
      </c>
      <c r="I222" s="146" t="s">
        <v>311</v>
      </c>
      <c r="J222" s="149" t="s">
        <v>1212</v>
      </c>
      <c r="K222" s="124">
        <v>44599</v>
      </c>
      <c r="L222" s="152">
        <v>19600</v>
      </c>
      <c r="M222" s="152">
        <v>62622</v>
      </c>
      <c r="N222" s="153">
        <v>11200.281000000001</v>
      </c>
      <c r="O222" s="153">
        <v>42101.856</v>
      </c>
      <c r="P222" s="151">
        <v>0.57144290816326537</v>
      </c>
      <c r="Q222" s="124">
        <v>48251</v>
      </c>
    </row>
    <row r="223" spans="3:17" ht="15" customHeight="1">
      <c r="C223" s="146" t="s">
        <v>1069</v>
      </c>
      <c r="D223" s="146" t="s">
        <v>2643</v>
      </c>
      <c r="E223" s="147"/>
      <c r="F223" s="27"/>
      <c r="G223" s="148" t="s">
        <v>2506</v>
      </c>
      <c r="H223" s="27">
        <v>62018502</v>
      </c>
      <c r="I223" s="146" t="s">
        <v>311</v>
      </c>
      <c r="J223" s="149" t="s">
        <v>1212</v>
      </c>
      <c r="K223" s="124">
        <v>44348</v>
      </c>
      <c r="L223" s="152">
        <v>23000</v>
      </c>
      <c r="M223" s="152">
        <v>74474</v>
      </c>
      <c r="N223" s="153">
        <v>7361.48</v>
      </c>
      <c r="O223" s="153">
        <v>27671.803</v>
      </c>
      <c r="P223" s="151">
        <v>0.32006434782608695</v>
      </c>
      <c r="Q223" s="124">
        <v>48000</v>
      </c>
    </row>
    <row r="224" spans="3:17" ht="15" customHeight="1">
      <c r="C224" s="146" t="s">
        <v>1069</v>
      </c>
      <c r="D224" s="146" t="s">
        <v>2695</v>
      </c>
      <c r="E224" s="147"/>
      <c r="F224" s="27"/>
      <c r="G224" s="148" t="s">
        <v>2443</v>
      </c>
      <c r="H224" s="27">
        <v>62018000</v>
      </c>
      <c r="I224" s="146" t="s">
        <v>311</v>
      </c>
      <c r="J224" s="149" t="s">
        <v>1212</v>
      </c>
      <c r="K224" s="124">
        <v>44652</v>
      </c>
      <c r="L224" s="152">
        <v>11500</v>
      </c>
      <c r="M224" s="152">
        <v>36834.5</v>
      </c>
      <c r="N224" s="153">
        <v>5259.1109999999999</v>
      </c>
      <c r="O224" s="153">
        <v>19768.998</v>
      </c>
      <c r="P224" s="151">
        <v>0.457314</v>
      </c>
      <c r="Q224" s="124">
        <v>46844</v>
      </c>
    </row>
    <row r="225" spans="3:17" ht="15" customHeight="1">
      <c r="C225" s="146" t="s">
        <v>1069</v>
      </c>
      <c r="D225" s="146" t="s">
        <v>2610</v>
      </c>
      <c r="E225" s="147"/>
      <c r="F225" s="27"/>
      <c r="G225" s="148" t="s">
        <v>2259</v>
      </c>
      <c r="H225" s="27">
        <v>62020466</v>
      </c>
      <c r="I225" s="146" t="s">
        <v>311</v>
      </c>
      <c r="J225" s="149" t="s">
        <v>1212</v>
      </c>
      <c r="K225" s="124">
        <v>44647</v>
      </c>
      <c r="L225" s="152">
        <v>25200</v>
      </c>
      <c r="M225" s="152">
        <v>81219.600000000006</v>
      </c>
      <c r="N225" s="153">
        <v>15955.95</v>
      </c>
      <c r="O225" s="153">
        <v>59978.415999999997</v>
      </c>
      <c r="P225" s="151">
        <v>0.63317261904761912</v>
      </c>
      <c r="Q225" s="124">
        <v>48300</v>
      </c>
    </row>
    <row r="226" spans="3:17" ht="15" customHeight="1">
      <c r="C226" s="146" t="s">
        <v>1069</v>
      </c>
      <c r="D226" s="146" t="s">
        <v>2043</v>
      </c>
      <c r="E226" s="147"/>
      <c r="F226" s="27"/>
      <c r="G226" s="148" t="s">
        <v>2275</v>
      </c>
      <c r="H226" s="27">
        <v>62020474</v>
      </c>
      <c r="I226" s="146" t="s">
        <v>311</v>
      </c>
      <c r="J226" s="149" t="s">
        <v>1216</v>
      </c>
      <c r="K226" s="124">
        <v>44647</v>
      </c>
      <c r="L226" s="152">
        <v>16750</v>
      </c>
      <c r="M226" s="152">
        <v>59465.85</v>
      </c>
      <c r="N226" s="153">
        <v>9833.7070000000003</v>
      </c>
      <c r="O226" s="153">
        <v>39533.468999999997</v>
      </c>
      <c r="P226" s="151">
        <v>0.58708698507462687</v>
      </c>
      <c r="Q226" s="124">
        <v>48300</v>
      </c>
    </row>
    <row r="227" spans="3:17" ht="15" customHeight="1">
      <c r="C227" s="146" t="s">
        <v>1069</v>
      </c>
      <c r="D227" s="146" t="s">
        <v>2684</v>
      </c>
      <c r="E227" s="147"/>
      <c r="F227" s="27"/>
      <c r="G227" s="148" t="s">
        <v>2374</v>
      </c>
      <c r="H227" s="27">
        <v>62020482</v>
      </c>
      <c r="I227" s="146" t="s">
        <v>311</v>
      </c>
      <c r="J227" s="149" t="s">
        <v>1216</v>
      </c>
      <c r="K227" s="124">
        <v>44666</v>
      </c>
      <c r="L227" s="152">
        <v>24400</v>
      </c>
      <c r="M227" s="152">
        <v>85195.04</v>
      </c>
      <c r="N227" s="153">
        <v>16554.937999999998</v>
      </c>
      <c r="O227" s="153">
        <v>66554.161999999997</v>
      </c>
      <c r="P227" s="151">
        <v>0.67848106557377041</v>
      </c>
      <c r="Q227" s="124">
        <v>48319</v>
      </c>
    </row>
    <row r="228" spans="3:17" ht="15" customHeight="1">
      <c r="C228" s="146" t="s">
        <v>1069</v>
      </c>
      <c r="D228" s="146" t="s">
        <v>2198</v>
      </c>
      <c r="E228" s="147"/>
      <c r="F228" s="27"/>
      <c r="G228" s="148" t="s">
        <v>2266</v>
      </c>
      <c r="H228" s="27">
        <v>62020490</v>
      </c>
      <c r="I228" s="146" t="s">
        <v>311</v>
      </c>
      <c r="J228" s="149" t="s">
        <v>1212</v>
      </c>
      <c r="K228" s="124">
        <v>44673</v>
      </c>
      <c r="L228" s="152">
        <v>15560</v>
      </c>
      <c r="M228" s="152">
        <v>50056.52</v>
      </c>
      <c r="N228" s="153">
        <v>8185.7280000000001</v>
      </c>
      <c r="O228" s="153">
        <v>30770.151999999998</v>
      </c>
      <c r="P228" s="151">
        <v>0.52607506426735218</v>
      </c>
      <c r="Q228" s="124">
        <v>48326</v>
      </c>
    </row>
    <row r="229" spans="3:17" ht="15" customHeight="1">
      <c r="C229" s="146" t="s">
        <v>1069</v>
      </c>
      <c r="D229" s="146" t="s">
        <v>2198</v>
      </c>
      <c r="E229" s="147"/>
      <c r="F229" s="27"/>
      <c r="G229" s="148" t="s">
        <v>2199</v>
      </c>
      <c r="H229" s="27">
        <v>62020508</v>
      </c>
      <c r="I229" s="146" t="s">
        <v>311</v>
      </c>
      <c r="J229" s="149" t="s">
        <v>1212</v>
      </c>
      <c r="K229" s="124">
        <v>44673</v>
      </c>
      <c r="L229" s="152">
        <v>3590</v>
      </c>
      <c r="M229" s="152">
        <v>11549.03</v>
      </c>
      <c r="N229" s="153">
        <v>2694.779</v>
      </c>
      <c r="O229" s="153">
        <v>10129.674000000001</v>
      </c>
      <c r="P229" s="151">
        <v>0.75063481894150419</v>
      </c>
      <c r="Q229" s="124">
        <v>48326</v>
      </c>
    </row>
    <row r="230" spans="3:17" ht="15" customHeight="1">
      <c r="C230" s="146" t="s">
        <v>1069</v>
      </c>
      <c r="D230" s="146" t="s">
        <v>2696</v>
      </c>
      <c r="E230" s="147"/>
      <c r="F230" s="27"/>
      <c r="G230" s="148" t="s">
        <v>2428</v>
      </c>
      <c r="H230" s="27">
        <v>62020516</v>
      </c>
      <c r="I230" s="146" t="s">
        <v>311</v>
      </c>
      <c r="J230" s="149" t="s">
        <v>1212</v>
      </c>
      <c r="K230" s="124">
        <v>44697</v>
      </c>
      <c r="L230" s="152">
        <v>16100</v>
      </c>
      <c r="M230" s="152">
        <v>55045.9</v>
      </c>
      <c r="N230" s="153">
        <v>4025</v>
      </c>
      <c r="O230" s="153">
        <v>15129.975</v>
      </c>
      <c r="P230" s="151">
        <v>0.25</v>
      </c>
      <c r="Q230" s="124">
        <v>47254</v>
      </c>
    </row>
    <row r="231" spans="3:17" ht="15" customHeight="1">
      <c r="C231" s="146" t="s">
        <v>1069</v>
      </c>
      <c r="D231" s="146" t="s">
        <v>2697</v>
      </c>
      <c r="E231" s="147"/>
      <c r="F231" s="27"/>
      <c r="G231" s="148" t="s">
        <v>2361</v>
      </c>
      <c r="H231" s="27">
        <v>62018010</v>
      </c>
      <c r="I231" s="146" t="s">
        <v>311</v>
      </c>
      <c r="J231" s="149" t="s">
        <v>1212</v>
      </c>
      <c r="K231" s="124">
        <v>44719</v>
      </c>
      <c r="L231" s="152">
        <v>16100</v>
      </c>
      <c r="M231" s="152">
        <v>53741.8</v>
      </c>
      <c r="N231" s="153">
        <v>8421.9320000000007</v>
      </c>
      <c r="O231" s="153">
        <v>31658.042000000001</v>
      </c>
      <c r="P231" s="151">
        <v>0.52310136645962735</v>
      </c>
      <c r="Q231" s="124">
        <v>46180</v>
      </c>
    </row>
    <row r="232" spans="3:17" ht="15" customHeight="1">
      <c r="C232" s="146" t="s">
        <v>1069</v>
      </c>
      <c r="D232" s="146" t="s">
        <v>2643</v>
      </c>
      <c r="E232" s="147"/>
      <c r="F232" s="27"/>
      <c r="G232" s="148" t="s">
        <v>2381</v>
      </c>
      <c r="H232" s="27">
        <v>62011334</v>
      </c>
      <c r="I232" s="146" t="s">
        <v>311</v>
      </c>
      <c r="J232" s="149" t="s">
        <v>1230</v>
      </c>
      <c r="K232" s="124">
        <v>44299</v>
      </c>
      <c r="L232" s="152">
        <v>3102.8376699999999</v>
      </c>
      <c r="M232" s="152">
        <v>14065.783725644</v>
      </c>
      <c r="N232" s="153">
        <v>0</v>
      </c>
      <c r="O232" s="153">
        <v>0</v>
      </c>
      <c r="P232" s="151">
        <v>0</v>
      </c>
      <c r="Q232" s="124" t="s">
        <v>2681</v>
      </c>
    </row>
    <row r="233" spans="3:17" ht="15" customHeight="1">
      <c r="C233" s="146" t="s">
        <v>1069</v>
      </c>
      <c r="D233" s="146" t="s">
        <v>2643</v>
      </c>
      <c r="E233" s="147"/>
      <c r="F233" s="27"/>
      <c r="G233" s="148" t="s">
        <v>2368</v>
      </c>
      <c r="H233" s="27">
        <v>62011335</v>
      </c>
      <c r="I233" s="146" t="s">
        <v>311</v>
      </c>
      <c r="J233" s="149" t="s">
        <v>1216</v>
      </c>
      <c r="K233" s="124">
        <v>44299</v>
      </c>
      <c r="L233" s="152">
        <v>3450</v>
      </c>
      <c r="M233" s="152">
        <v>13555.05</v>
      </c>
      <c r="N233" s="153">
        <v>0</v>
      </c>
      <c r="O233" s="153">
        <v>0</v>
      </c>
      <c r="P233" s="151">
        <v>0</v>
      </c>
      <c r="Q233" s="124" t="s">
        <v>2681</v>
      </c>
    </row>
    <row r="234" spans="3:17" ht="15" customHeight="1">
      <c r="C234" s="146" t="s">
        <v>1069</v>
      </c>
      <c r="D234" s="146" t="s">
        <v>2698</v>
      </c>
      <c r="E234" s="147"/>
      <c r="F234" s="27"/>
      <c r="G234" s="148" t="s">
        <v>2265</v>
      </c>
      <c r="H234" s="27">
        <v>62017183</v>
      </c>
      <c r="I234" s="146" t="s">
        <v>311</v>
      </c>
      <c r="J234" s="149" t="s">
        <v>1216</v>
      </c>
      <c r="K234" s="124">
        <v>44259</v>
      </c>
      <c r="L234" s="152">
        <v>14000</v>
      </c>
      <c r="M234" s="152">
        <v>55773.2</v>
      </c>
      <c r="N234" s="153">
        <v>886.67100000000005</v>
      </c>
      <c r="O234" s="153">
        <v>3564.5949999999998</v>
      </c>
      <c r="P234" s="151">
        <v>6.3333642857142866E-2</v>
      </c>
      <c r="Q234" s="124">
        <v>48642</v>
      </c>
    </row>
    <row r="235" spans="3:17" ht="15" customHeight="1">
      <c r="C235" s="146" t="s">
        <v>1069</v>
      </c>
      <c r="D235" s="146" t="s">
        <v>2301</v>
      </c>
      <c r="E235" s="147"/>
      <c r="F235" s="27"/>
      <c r="G235" s="148" t="s">
        <v>2236</v>
      </c>
      <c r="H235" s="27">
        <v>60385260</v>
      </c>
      <c r="I235" s="146" t="s">
        <v>311</v>
      </c>
      <c r="J235" s="149" t="s">
        <v>1216</v>
      </c>
      <c r="K235" s="124">
        <v>44174</v>
      </c>
      <c r="L235" s="152">
        <v>2880</v>
      </c>
      <c r="M235" s="152">
        <v>11366.495999999999</v>
      </c>
      <c r="N235" s="153">
        <v>869.61599999999999</v>
      </c>
      <c r="O235" s="153">
        <v>3496.03</v>
      </c>
      <c r="P235" s="151">
        <v>0.30195</v>
      </c>
      <c r="Q235" s="124">
        <v>47826</v>
      </c>
    </row>
    <row r="236" spans="3:17" ht="15" customHeight="1">
      <c r="C236" s="146" t="s">
        <v>1069</v>
      </c>
      <c r="D236" s="146" t="s">
        <v>2176</v>
      </c>
      <c r="E236" s="133"/>
      <c r="F236" s="27"/>
      <c r="G236" s="148" t="s">
        <v>2699</v>
      </c>
      <c r="H236" s="27">
        <v>62016805</v>
      </c>
      <c r="I236" s="146" t="s">
        <v>311</v>
      </c>
      <c r="J236" s="149" t="s">
        <v>1229</v>
      </c>
      <c r="K236" s="124">
        <v>44319</v>
      </c>
      <c r="L236" s="152">
        <v>23000</v>
      </c>
      <c r="M236" s="152">
        <v>60733.8</v>
      </c>
      <c r="N236" s="153">
        <v>10062.5</v>
      </c>
      <c r="O236" s="153">
        <v>27584.330999999998</v>
      </c>
      <c r="P236" s="151">
        <v>0.4375</v>
      </c>
      <c r="Q236" s="124">
        <v>46510</v>
      </c>
    </row>
    <row r="237" spans="3:17" ht="15" customHeight="1">
      <c r="C237" s="146" t="s">
        <v>1069</v>
      </c>
      <c r="D237" s="146" t="s">
        <v>2331</v>
      </c>
      <c r="E237" s="147"/>
      <c r="F237" s="27"/>
      <c r="G237" s="148" t="s">
        <v>2464</v>
      </c>
      <c r="H237" s="27">
        <v>60199586</v>
      </c>
      <c r="I237" s="146" t="s">
        <v>311</v>
      </c>
      <c r="J237" s="149" t="s">
        <v>1230</v>
      </c>
      <c r="K237" s="124">
        <v>44027</v>
      </c>
      <c r="L237" s="152">
        <v>1470</v>
      </c>
      <c r="M237" s="152">
        <v>6367.0110000000004</v>
      </c>
      <c r="N237" s="153">
        <v>408.11399999999998</v>
      </c>
      <c r="O237" s="153">
        <v>1938.7460000000001</v>
      </c>
      <c r="P237" s="151">
        <v>0.27762857142857139</v>
      </c>
      <c r="Q237" s="124">
        <v>47679</v>
      </c>
    </row>
    <row r="238" spans="3:17" ht="15" customHeight="1">
      <c r="C238" s="146" t="s">
        <v>1069</v>
      </c>
      <c r="D238" s="146" t="s">
        <v>2242</v>
      </c>
      <c r="E238" s="147"/>
      <c r="F238" s="27"/>
      <c r="G238" s="148" t="s">
        <v>2431</v>
      </c>
      <c r="H238" s="27">
        <v>62020656</v>
      </c>
      <c r="I238" s="146" t="s">
        <v>311</v>
      </c>
      <c r="J238" s="149" t="s">
        <v>1216</v>
      </c>
      <c r="K238" s="124">
        <v>44759</v>
      </c>
      <c r="L238" s="152">
        <v>24390.243999999999</v>
      </c>
      <c r="M238" s="152">
        <v>85129.268633200001</v>
      </c>
      <c r="N238" s="153">
        <v>1617.4672399999984</v>
      </c>
      <c r="O238" s="153">
        <v>6502.5420000000004</v>
      </c>
      <c r="P238" s="151">
        <v>6.6316156574735316E-2</v>
      </c>
      <c r="Q238" s="124">
        <v>50238</v>
      </c>
    </row>
    <row r="239" spans="3:17" ht="15" customHeight="1">
      <c r="C239" s="146" t="s">
        <v>1069</v>
      </c>
      <c r="D239" s="146" t="s">
        <v>2242</v>
      </c>
      <c r="E239" s="120"/>
      <c r="F239" s="27"/>
      <c r="G239" s="148" t="s">
        <v>2243</v>
      </c>
      <c r="H239" s="27">
        <v>62018181</v>
      </c>
      <c r="I239" s="146" t="s">
        <v>311</v>
      </c>
      <c r="J239" s="149" t="s">
        <v>1212</v>
      </c>
      <c r="K239" s="124">
        <v>44784</v>
      </c>
      <c r="L239" s="152">
        <v>2700</v>
      </c>
      <c r="M239" s="152">
        <v>8799.2999999999993</v>
      </c>
      <c r="N239" s="153">
        <v>0</v>
      </c>
      <c r="O239" s="153">
        <v>0</v>
      </c>
      <c r="P239" s="151">
        <v>0</v>
      </c>
      <c r="Q239" s="124">
        <v>50267</v>
      </c>
    </row>
    <row r="240" spans="3:17" ht="15" customHeight="1">
      <c r="C240" s="146" t="s">
        <v>1069</v>
      </c>
      <c r="D240" s="146" t="s">
        <v>2656</v>
      </c>
      <c r="E240" s="147"/>
      <c r="F240" s="27"/>
      <c r="G240" s="148" t="s">
        <v>2315</v>
      </c>
      <c r="H240" s="27">
        <v>62020839</v>
      </c>
      <c r="I240" s="146" t="s">
        <v>311</v>
      </c>
      <c r="J240" s="149" t="s">
        <v>1216</v>
      </c>
      <c r="K240" s="124">
        <v>44769</v>
      </c>
      <c r="L240" s="152">
        <v>12195.121999999999</v>
      </c>
      <c r="M240" s="152">
        <v>42410.975779399996</v>
      </c>
      <c r="N240" s="153">
        <v>0</v>
      </c>
      <c r="O240" s="153">
        <v>0</v>
      </c>
      <c r="P240" s="151">
        <v>0</v>
      </c>
      <c r="Q240" s="124">
        <v>46961</v>
      </c>
    </row>
    <row r="241" spans="3:17" ht="15" customHeight="1">
      <c r="C241" s="146" t="s">
        <v>1069</v>
      </c>
      <c r="D241" s="146" t="s">
        <v>2700</v>
      </c>
      <c r="E241" s="147"/>
      <c r="F241" s="27"/>
      <c r="G241" s="148" t="s">
        <v>2387</v>
      </c>
      <c r="H241" s="27">
        <v>62020847</v>
      </c>
      <c r="I241" s="146" t="s">
        <v>311</v>
      </c>
      <c r="J241" s="149" t="s">
        <v>1212</v>
      </c>
      <c r="K241" s="124">
        <v>44805</v>
      </c>
      <c r="L241" s="152">
        <v>17250</v>
      </c>
      <c r="M241" s="152">
        <v>58029</v>
      </c>
      <c r="N241" s="153">
        <v>9438.7790000000005</v>
      </c>
      <c r="O241" s="153">
        <v>35480.370000000003</v>
      </c>
      <c r="P241" s="151">
        <v>0.54717559420289863</v>
      </c>
      <c r="Q241" s="124">
        <v>47727</v>
      </c>
    </row>
    <row r="242" spans="3:17" ht="15" customHeight="1">
      <c r="C242" s="146" t="s">
        <v>1069</v>
      </c>
      <c r="D242" s="146" t="s">
        <v>2701</v>
      </c>
      <c r="E242" s="147"/>
      <c r="F242" s="27"/>
      <c r="G242" s="148" t="s">
        <v>2385</v>
      </c>
      <c r="H242" s="27">
        <v>62020854</v>
      </c>
      <c r="I242" s="146" t="s">
        <v>311</v>
      </c>
      <c r="J242" s="149" t="s">
        <v>1216</v>
      </c>
      <c r="K242" s="124">
        <v>44778</v>
      </c>
      <c r="L242" s="152">
        <v>9800</v>
      </c>
      <c r="M242" s="152">
        <v>33413.1</v>
      </c>
      <c r="N242" s="153">
        <v>0</v>
      </c>
      <c r="O242" s="153">
        <v>0</v>
      </c>
      <c r="P242" s="151">
        <v>0</v>
      </c>
      <c r="Q242" s="124">
        <v>48431</v>
      </c>
    </row>
    <row r="243" spans="3:17" ht="15" customHeight="1">
      <c r="C243" s="146" t="s">
        <v>1069</v>
      </c>
      <c r="D243" s="146" t="s">
        <v>2161</v>
      </c>
      <c r="E243" s="147"/>
      <c r="F243" s="27"/>
      <c r="G243" s="148" t="s">
        <v>2487</v>
      </c>
      <c r="H243" s="27">
        <v>62013529</v>
      </c>
      <c r="I243" s="146" t="s">
        <v>311</v>
      </c>
      <c r="J243" s="149" t="s">
        <v>1212</v>
      </c>
      <c r="K243" s="124">
        <v>44789</v>
      </c>
      <c r="L243" s="152">
        <v>36585</v>
      </c>
      <c r="M243" s="152">
        <v>119742.705</v>
      </c>
      <c r="N243" s="153">
        <v>6844.6109999999999</v>
      </c>
      <c r="O243" s="153">
        <v>25728.893</v>
      </c>
      <c r="P243" s="151">
        <v>0.18708790487904878</v>
      </c>
      <c r="Q243" s="124">
        <v>48442</v>
      </c>
    </row>
    <row r="244" spans="3:17" ht="15" customHeight="1">
      <c r="C244" s="146" t="s">
        <v>1069</v>
      </c>
      <c r="D244" s="146" t="s">
        <v>2702</v>
      </c>
      <c r="E244" s="147"/>
      <c r="F244" s="27"/>
      <c r="G244" s="148" t="s">
        <v>2200</v>
      </c>
      <c r="H244" s="27">
        <v>62011360</v>
      </c>
      <c r="I244" s="146" t="s">
        <v>311</v>
      </c>
      <c r="J244" s="149" t="s">
        <v>1212</v>
      </c>
      <c r="K244" s="124">
        <v>44858</v>
      </c>
      <c r="L244" s="152">
        <v>12195.121949999999</v>
      </c>
      <c r="M244" s="152">
        <v>43378.048776149997</v>
      </c>
      <c r="N244" s="153">
        <v>3048.78</v>
      </c>
      <c r="O244" s="153">
        <v>11460.364</v>
      </c>
      <c r="P244" s="151">
        <v>0.24999996002500002</v>
      </c>
      <c r="Q244" s="124">
        <v>47784</v>
      </c>
    </row>
    <row r="245" spans="3:17" ht="15" customHeight="1">
      <c r="C245" s="146" t="s">
        <v>1069</v>
      </c>
      <c r="D245" s="146" t="s">
        <v>2703</v>
      </c>
      <c r="E245" s="147"/>
      <c r="F245" s="27"/>
      <c r="G245" s="148" t="s">
        <v>2280</v>
      </c>
      <c r="H245" s="27">
        <v>62020987</v>
      </c>
      <c r="I245" s="146" t="s">
        <v>311</v>
      </c>
      <c r="J245" s="149" t="s">
        <v>1212</v>
      </c>
      <c r="K245" s="124">
        <v>44762</v>
      </c>
      <c r="L245" s="152">
        <v>23000</v>
      </c>
      <c r="M245" s="152">
        <v>79281</v>
      </c>
      <c r="N245" s="153">
        <v>17584.847000000002</v>
      </c>
      <c r="O245" s="153">
        <v>66101.440000000002</v>
      </c>
      <c r="P245" s="151">
        <v>0.76455856521739141</v>
      </c>
      <c r="Q245" s="124">
        <v>48415</v>
      </c>
    </row>
    <row r="246" spans="3:17" ht="15" customHeight="1">
      <c r="C246" s="146" t="s">
        <v>1069</v>
      </c>
      <c r="D246" s="146" t="s">
        <v>2065</v>
      </c>
      <c r="E246" s="147"/>
      <c r="F246" s="27"/>
      <c r="G246" s="148" t="s">
        <v>2501</v>
      </c>
      <c r="H246" s="27">
        <v>62021019</v>
      </c>
      <c r="I246" s="146" t="s">
        <v>311</v>
      </c>
      <c r="J246" s="149" t="s">
        <v>1212</v>
      </c>
      <c r="K246" s="124">
        <v>44824</v>
      </c>
      <c r="L246" s="152">
        <v>10980</v>
      </c>
      <c r="M246" s="152">
        <v>37760.22</v>
      </c>
      <c r="N246" s="153">
        <v>9223.2000000000007</v>
      </c>
      <c r="O246" s="153">
        <v>34670.008999999998</v>
      </c>
      <c r="P246" s="151">
        <v>0.84000000000000008</v>
      </c>
      <c r="Q246" s="124">
        <v>49572</v>
      </c>
    </row>
    <row r="247" spans="3:17" ht="15" customHeight="1">
      <c r="C247" s="146" t="s">
        <v>1069</v>
      </c>
      <c r="D247" s="146" t="s">
        <v>2408</v>
      </c>
      <c r="E247" s="147"/>
      <c r="F247" s="27"/>
      <c r="G247" s="148" t="s">
        <v>2436</v>
      </c>
      <c r="H247" s="27">
        <v>62019650</v>
      </c>
      <c r="I247" s="146" t="s">
        <v>311</v>
      </c>
      <c r="J247" s="149" t="s">
        <v>1216</v>
      </c>
      <c r="K247" s="124">
        <v>44883</v>
      </c>
      <c r="L247" s="152">
        <v>4878</v>
      </c>
      <c r="M247" s="152">
        <v>17543.726999999999</v>
      </c>
      <c r="N247" s="153">
        <v>4852.59375</v>
      </c>
      <c r="O247" s="153">
        <v>19508.397000000001</v>
      </c>
      <c r="P247" s="151">
        <v>0.99479166666666663</v>
      </c>
      <c r="Q247" s="124">
        <v>48536</v>
      </c>
    </row>
    <row r="248" spans="3:17" ht="15" customHeight="1">
      <c r="C248" s="146" t="s">
        <v>1069</v>
      </c>
      <c r="D248" s="146" t="s">
        <v>2704</v>
      </c>
      <c r="E248" s="147"/>
      <c r="F248" s="27"/>
      <c r="G248" s="148" t="s">
        <v>2398</v>
      </c>
      <c r="H248" s="27">
        <v>62019700</v>
      </c>
      <c r="I248" s="146" t="s">
        <v>311</v>
      </c>
      <c r="J248" s="149" t="s">
        <v>1212</v>
      </c>
      <c r="K248" s="124">
        <v>44844</v>
      </c>
      <c r="L248" s="152">
        <v>12200</v>
      </c>
      <c r="M248" s="152">
        <v>43005</v>
      </c>
      <c r="N248" s="153">
        <v>4099.2640000000001</v>
      </c>
      <c r="O248" s="153">
        <v>15409.133</v>
      </c>
      <c r="P248" s="151">
        <v>0.33600524590163933</v>
      </c>
      <c r="Q248" s="124">
        <v>48497</v>
      </c>
    </row>
    <row r="249" spans="3:17" ht="15" customHeight="1">
      <c r="C249" s="146" t="s">
        <v>1069</v>
      </c>
      <c r="D249" s="146" t="s">
        <v>2161</v>
      </c>
      <c r="E249" s="147"/>
      <c r="F249" s="27"/>
      <c r="G249" s="148" t="s">
        <v>2178</v>
      </c>
      <c r="H249" s="27">
        <v>62021027</v>
      </c>
      <c r="I249" s="146" t="s">
        <v>311</v>
      </c>
      <c r="J249" s="149" t="s">
        <v>1212</v>
      </c>
      <c r="K249" s="124">
        <v>44754</v>
      </c>
      <c r="L249" s="152">
        <v>36600</v>
      </c>
      <c r="M249" s="152">
        <v>127514.4</v>
      </c>
      <c r="N249" s="153">
        <v>31110</v>
      </c>
      <c r="O249" s="153">
        <v>116942.49</v>
      </c>
      <c r="P249" s="151">
        <v>0.85</v>
      </c>
      <c r="Q249" s="124">
        <v>48407</v>
      </c>
    </row>
    <row r="250" spans="3:17" ht="15" customHeight="1">
      <c r="C250" s="146" t="s">
        <v>1069</v>
      </c>
      <c r="D250" s="146" t="s">
        <v>2606</v>
      </c>
      <c r="E250" s="147"/>
      <c r="F250" s="27"/>
      <c r="G250" s="148" t="s">
        <v>2288</v>
      </c>
      <c r="H250" s="27">
        <v>62021035</v>
      </c>
      <c r="I250" s="146" t="s">
        <v>311</v>
      </c>
      <c r="J250" s="149" t="s">
        <v>1212</v>
      </c>
      <c r="K250" s="124">
        <v>44775</v>
      </c>
      <c r="L250" s="152">
        <v>36590</v>
      </c>
      <c r="M250" s="152">
        <v>123198.53</v>
      </c>
      <c r="N250" s="153">
        <v>29637.9</v>
      </c>
      <c r="O250" s="153">
        <v>111408.86599999999</v>
      </c>
      <c r="P250" s="151">
        <v>0.81</v>
      </c>
      <c r="Q250" s="124">
        <v>48428</v>
      </c>
    </row>
    <row r="251" spans="3:17" ht="15" customHeight="1">
      <c r="C251" s="146" t="s">
        <v>1069</v>
      </c>
      <c r="D251" s="146" t="s">
        <v>2161</v>
      </c>
      <c r="E251" s="147"/>
      <c r="F251" s="27"/>
      <c r="G251" s="148" t="s">
        <v>2520</v>
      </c>
      <c r="H251" s="27">
        <v>60413220</v>
      </c>
      <c r="I251" s="146" t="s">
        <v>311</v>
      </c>
      <c r="J251" s="149" t="s">
        <v>1212</v>
      </c>
      <c r="K251" s="124">
        <v>44791</v>
      </c>
      <c r="L251" s="152">
        <v>24390</v>
      </c>
      <c r="M251" s="152">
        <v>79096.77</v>
      </c>
      <c r="N251" s="153">
        <v>19555.929</v>
      </c>
      <c r="O251" s="153">
        <v>73510.736999999994</v>
      </c>
      <c r="P251" s="151">
        <v>0.8018011070110701</v>
      </c>
      <c r="Q251" s="124" t="s">
        <v>2681</v>
      </c>
    </row>
    <row r="252" spans="3:17" ht="15" customHeight="1">
      <c r="C252" s="146" t="s">
        <v>1069</v>
      </c>
      <c r="D252" s="146" t="s">
        <v>2606</v>
      </c>
      <c r="E252" s="147"/>
      <c r="F252" s="27"/>
      <c r="G252" s="148" t="s">
        <v>2494</v>
      </c>
      <c r="H252" s="27">
        <v>9840580</v>
      </c>
      <c r="I252" s="146" t="s">
        <v>311</v>
      </c>
      <c r="J252" s="149" t="s">
        <v>1212</v>
      </c>
      <c r="K252" s="124">
        <v>44788</v>
      </c>
      <c r="L252" s="152">
        <v>36590</v>
      </c>
      <c r="M252" s="152">
        <v>119466.35</v>
      </c>
      <c r="N252" s="153">
        <v>2835.7249999999999</v>
      </c>
      <c r="O252" s="153">
        <v>10659.49</v>
      </c>
      <c r="P252" s="151">
        <v>7.7499999999999999E-2</v>
      </c>
      <c r="Q252" s="124">
        <v>48441</v>
      </c>
    </row>
    <row r="253" spans="3:17" ht="15" customHeight="1">
      <c r="C253" s="146" t="s">
        <v>1069</v>
      </c>
      <c r="D253" s="146" t="s">
        <v>2479</v>
      </c>
      <c r="E253" s="147"/>
      <c r="F253" s="27"/>
      <c r="G253" s="148" t="s">
        <v>2326</v>
      </c>
      <c r="H253" s="27">
        <v>62005620</v>
      </c>
      <c r="I253" s="146" t="s">
        <v>311</v>
      </c>
      <c r="J253" s="149" t="s">
        <v>1216</v>
      </c>
      <c r="K253" s="124">
        <v>44917</v>
      </c>
      <c r="L253" s="152">
        <v>2439</v>
      </c>
      <c r="M253" s="152">
        <v>9007.9586999999992</v>
      </c>
      <c r="N253" s="153">
        <v>1776.0170000000001</v>
      </c>
      <c r="O253" s="153">
        <v>7139.942</v>
      </c>
      <c r="P253" s="151">
        <v>0.72817425174251749</v>
      </c>
      <c r="Q253" s="124">
        <v>48570</v>
      </c>
    </row>
    <row r="254" spans="3:17" ht="15" customHeight="1">
      <c r="C254" s="146" t="s">
        <v>1069</v>
      </c>
      <c r="D254" s="146" t="s">
        <v>2705</v>
      </c>
      <c r="E254" s="147"/>
      <c r="F254" s="27"/>
      <c r="G254" s="148" t="s">
        <v>2706</v>
      </c>
      <c r="H254" s="27">
        <v>62019750</v>
      </c>
      <c r="I254" s="146" t="s">
        <v>311</v>
      </c>
      <c r="J254" s="149" t="s">
        <v>1212</v>
      </c>
      <c r="K254" s="124">
        <v>44911</v>
      </c>
      <c r="L254" s="152">
        <v>9756</v>
      </c>
      <c r="M254" s="152">
        <v>33667.955999999998</v>
      </c>
      <c r="N254" s="153">
        <v>9756</v>
      </c>
      <c r="O254" s="153">
        <v>36672.803999999996</v>
      </c>
      <c r="P254" s="151">
        <v>1</v>
      </c>
      <c r="Q254" s="124">
        <v>48564</v>
      </c>
    </row>
    <row r="255" spans="3:17" ht="15" customHeight="1">
      <c r="C255" s="146" t="s">
        <v>1069</v>
      </c>
      <c r="D255" s="146" t="s">
        <v>2707</v>
      </c>
      <c r="E255" s="147"/>
      <c r="F255" s="27"/>
      <c r="G255" s="148" t="s">
        <v>2406</v>
      </c>
      <c r="H255" s="27">
        <v>62021068</v>
      </c>
      <c r="I255" s="146" t="s">
        <v>311</v>
      </c>
      <c r="J255" s="149" t="s">
        <v>1212</v>
      </c>
      <c r="K255" s="124">
        <v>44923</v>
      </c>
      <c r="L255" s="152">
        <v>12195.121949999999</v>
      </c>
      <c r="M255" s="152">
        <v>42975.609751800002</v>
      </c>
      <c r="N255" s="153">
        <v>4541.9498699999995</v>
      </c>
      <c r="O255" s="153">
        <v>17073.189999999999</v>
      </c>
      <c r="P255" s="151">
        <v>0.37243988937724398</v>
      </c>
      <c r="Q255" s="124">
        <v>47480</v>
      </c>
    </row>
    <row r="256" spans="3:17" ht="15" customHeight="1">
      <c r="C256" s="146" t="s">
        <v>1069</v>
      </c>
      <c r="D256" s="146" t="s">
        <v>2708</v>
      </c>
      <c r="E256" s="147"/>
      <c r="F256" s="27"/>
      <c r="G256" s="148" t="s">
        <v>2709</v>
      </c>
      <c r="H256" s="27">
        <v>62019785</v>
      </c>
      <c r="I256" s="146" t="s">
        <v>311</v>
      </c>
      <c r="J256" s="149" t="s">
        <v>1212</v>
      </c>
      <c r="K256" s="124">
        <v>44913</v>
      </c>
      <c r="L256" s="152">
        <v>8536.5</v>
      </c>
      <c r="M256" s="152">
        <v>29459.461500000001</v>
      </c>
      <c r="N256" s="153">
        <v>8536.5</v>
      </c>
      <c r="O256" s="153">
        <v>32088.704000000002</v>
      </c>
      <c r="P256" s="151">
        <v>1</v>
      </c>
      <c r="Q256" s="124">
        <v>48566</v>
      </c>
    </row>
    <row r="257" spans="3:17" ht="15" customHeight="1">
      <c r="C257" s="146" t="s">
        <v>1069</v>
      </c>
      <c r="D257" s="146" t="s">
        <v>2479</v>
      </c>
      <c r="E257" s="147"/>
      <c r="F257" s="27"/>
      <c r="G257" s="148" t="s">
        <v>2480</v>
      </c>
      <c r="H257" s="27">
        <v>62005624</v>
      </c>
      <c r="I257" s="146" t="s">
        <v>311</v>
      </c>
      <c r="J257" s="149" t="s">
        <v>1216</v>
      </c>
      <c r="K257" s="124">
        <v>44917</v>
      </c>
      <c r="L257" s="152">
        <v>2439</v>
      </c>
      <c r="M257" s="152">
        <v>9007.9586999999992</v>
      </c>
      <c r="N257" s="153">
        <v>2208.5716200000002</v>
      </c>
      <c r="O257" s="153">
        <v>8878.9</v>
      </c>
      <c r="P257" s="151">
        <v>0.90552341943419445</v>
      </c>
      <c r="Q257" s="124">
        <v>48570</v>
      </c>
    </row>
    <row r="258" spans="3:17" ht="15" customHeight="1">
      <c r="C258" s="146" t="s">
        <v>1069</v>
      </c>
      <c r="D258" s="146" t="s">
        <v>2301</v>
      </c>
      <c r="E258" s="147"/>
      <c r="F258" s="27"/>
      <c r="G258" s="148" t="s">
        <v>2302</v>
      </c>
      <c r="H258" s="27">
        <v>60385264</v>
      </c>
      <c r="I258" s="146" t="s">
        <v>311</v>
      </c>
      <c r="J258" s="149" t="s">
        <v>1216</v>
      </c>
      <c r="K258" s="124">
        <v>44914</v>
      </c>
      <c r="L258" s="152">
        <v>10980</v>
      </c>
      <c r="M258" s="152">
        <v>40092.372000000003</v>
      </c>
      <c r="N258" s="153">
        <v>9415.4429999999993</v>
      </c>
      <c r="O258" s="153">
        <v>37851.964</v>
      </c>
      <c r="P258" s="151">
        <v>0.85750846994535512</v>
      </c>
      <c r="Q258" s="124">
        <v>48567</v>
      </c>
    </row>
    <row r="259" spans="3:17" ht="15" customHeight="1">
      <c r="C259" s="146" t="s">
        <v>1069</v>
      </c>
      <c r="D259" s="146" t="s">
        <v>2301</v>
      </c>
      <c r="E259" s="147"/>
      <c r="F259" s="27"/>
      <c r="G259" s="148" t="s">
        <v>2710</v>
      </c>
      <c r="H259" s="27">
        <v>60385370</v>
      </c>
      <c r="I259" s="146" t="s">
        <v>311</v>
      </c>
      <c r="J259" s="149" t="s">
        <v>1216</v>
      </c>
      <c r="K259" s="124">
        <v>44914</v>
      </c>
      <c r="L259" s="152">
        <v>2440</v>
      </c>
      <c r="M259" s="152">
        <v>8909.4159999999993</v>
      </c>
      <c r="N259" s="153">
        <v>2440</v>
      </c>
      <c r="O259" s="153">
        <v>9809.2880000000005</v>
      </c>
      <c r="P259" s="151">
        <v>1</v>
      </c>
      <c r="Q259" s="124">
        <v>48567</v>
      </c>
    </row>
    <row r="260" spans="3:17" ht="15" customHeight="1">
      <c r="C260" s="146" t="s">
        <v>1069</v>
      </c>
      <c r="D260" s="146" t="s">
        <v>2674</v>
      </c>
      <c r="E260" s="147"/>
      <c r="F260" s="27"/>
      <c r="G260" s="148" t="s">
        <v>2478</v>
      </c>
      <c r="H260" s="27">
        <v>62015846</v>
      </c>
      <c r="I260" s="146" t="s">
        <v>311</v>
      </c>
      <c r="J260" s="149" t="s">
        <v>1216</v>
      </c>
      <c r="K260" s="124">
        <v>44849</v>
      </c>
      <c r="L260" s="152">
        <v>12200</v>
      </c>
      <c r="M260" s="152">
        <v>42176.62</v>
      </c>
      <c r="N260" s="153">
        <v>11308.00331</v>
      </c>
      <c r="O260" s="153">
        <v>45460.434999999998</v>
      </c>
      <c r="P260" s="151">
        <v>0.92688551721311474</v>
      </c>
      <c r="Q260" s="124">
        <v>48502</v>
      </c>
    </row>
    <row r="261" spans="3:17" ht="15" customHeight="1">
      <c r="C261" s="146" t="s">
        <v>1069</v>
      </c>
      <c r="D261" s="146" t="s">
        <v>2602</v>
      </c>
      <c r="E261" s="147"/>
      <c r="F261" s="27"/>
      <c r="G261" s="148" t="s">
        <v>2430</v>
      </c>
      <c r="H261" s="27">
        <v>62021100</v>
      </c>
      <c r="I261" s="146" t="s">
        <v>311</v>
      </c>
      <c r="J261" s="149" t="s">
        <v>1212</v>
      </c>
      <c r="K261" s="124">
        <v>44917</v>
      </c>
      <c r="L261" s="152">
        <v>24400</v>
      </c>
      <c r="M261" s="152">
        <v>84838.8</v>
      </c>
      <c r="N261" s="153">
        <v>16613.803</v>
      </c>
      <c r="O261" s="153">
        <v>62451.285000000003</v>
      </c>
      <c r="P261" s="151">
        <v>0.68089356557377045</v>
      </c>
      <c r="Q261" s="124">
        <v>48570</v>
      </c>
    </row>
    <row r="262" spans="3:17" ht="15" customHeight="1">
      <c r="C262" s="146" t="s">
        <v>1069</v>
      </c>
      <c r="D262" s="146" t="s">
        <v>2274</v>
      </c>
      <c r="E262" s="147"/>
      <c r="F262" s="27"/>
      <c r="G262" s="148" t="s">
        <v>2522</v>
      </c>
      <c r="H262" s="27">
        <v>62018025</v>
      </c>
      <c r="I262" s="146" t="s">
        <v>311</v>
      </c>
      <c r="J262" s="149" t="s">
        <v>1216</v>
      </c>
      <c r="K262" s="124">
        <v>44958</v>
      </c>
      <c r="L262" s="152">
        <v>11500</v>
      </c>
      <c r="M262" s="152">
        <v>43284.85</v>
      </c>
      <c r="N262" s="153">
        <v>4241.66</v>
      </c>
      <c r="O262" s="153">
        <v>17052.322</v>
      </c>
      <c r="P262" s="151">
        <v>0.36884</v>
      </c>
      <c r="Q262" s="124">
        <v>47150</v>
      </c>
    </row>
    <row r="263" spans="3:17" ht="15" customHeight="1">
      <c r="C263" s="146" t="s">
        <v>1069</v>
      </c>
      <c r="D263" s="146" t="s">
        <v>2647</v>
      </c>
      <c r="E263" s="147"/>
      <c r="F263" s="27"/>
      <c r="G263" s="148" t="s">
        <v>2382</v>
      </c>
      <c r="H263" s="27">
        <v>62016262</v>
      </c>
      <c r="I263" s="146" t="s">
        <v>311</v>
      </c>
      <c r="J263" s="149" t="s">
        <v>1212</v>
      </c>
      <c r="K263" s="124">
        <v>44973</v>
      </c>
      <c r="L263" s="152">
        <v>2400</v>
      </c>
      <c r="M263" s="152">
        <v>8491.2000000000007</v>
      </c>
      <c r="N263" s="153">
        <v>0</v>
      </c>
      <c r="O263" s="153">
        <v>0</v>
      </c>
      <c r="P263" s="151">
        <v>0</v>
      </c>
      <c r="Q263" s="124">
        <v>47530</v>
      </c>
    </row>
    <row r="264" spans="3:17" ht="15" customHeight="1">
      <c r="C264" s="146" t="s">
        <v>1069</v>
      </c>
      <c r="D264" s="146" t="s">
        <v>2228</v>
      </c>
      <c r="E264" s="147"/>
      <c r="F264" s="27"/>
      <c r="G264" s="148" t="s">
        <v>2508</v>
      </c>
      <c r="H264" s="27">
        <v>60294100</v>
      </c>
      <c r="I264" s="146" t="s">
        <v>311</v>
      </c>
      <c r="J264" s="149" t="s">
        <v>1212</v>
      </c>
      <c r="K264" s="124">
        <v>45016</v>
      </c>
      <c r="L264" s="152">
        <v>3048.75</v>
      </c>
      <c r="M264" s="152">
        <v>11021.231250000001</v>
      </c>
      <c r="N264" s="153">
        <v>3016.538</v>
      </c>
      <c r="O264" s="153">
        <v>11339.165999999999</v>
      </c>
      <c r="P264" s="151">
        <v>0.9894343583435834</v>
      </c>
      <c r="Q264" s="124">
        <v>47938</v>
      </c>
    </row>
    <row r="265" spans="3:17" ht="15" customHeight="1">
      <c r="C265" s="146" t="s">
        <v>1069</v>
      </c>
      <c r="D265" s="146" t="s">
        <v>2707</v>
      </c>
      <c r="E265" s="147"/>
      <c r="F265" s="27"/>
      <c r="G265" s="148" t="s">
        <v>2470</v>
      </c>
      <c r="H265" s="27">
        <v>62021072</v>
      </c>
      <c r="I265" s="146" t="s">
        <v>311</v>
      </c>
      <c r="J265" s="149" t="s">
        <v>1212</v>
      </c>
      <c r="K265" s="124">
        <v>45016</v>
      </c>
      <c r="L265" s="152">
        <v>3048.75</v>
      </c>
      <c r="M265" s="152">
        <v>11021.231250000001</v>
      </c>
      <c r="N265" s="153">
        <v>1728.896</v>
      </c>
      <c r="O265" s="153">
        <v>6498.92</v>
      </c>
      <c r="P265" s="151">
        <v>0.56708355883558836</v>
      </c>
      <c r="Q265" s="124">
        <v>48669</v>
      </c>
    </row>
    <row r="266" spans="3:17" ht="15" customHeight="1">
      <c r="C266" s="146" t="s">
        <v>1069</v>
      </c>
      <c r="D266" s="146" t="s">
        <v>2134</v>
      </c>
      <c r="E266" s="147"/>
      <c r="F266" s="27"/>
      <c r="G266" s="148" t="s">
        <v>2170</v>
      </c>
      <c r="H266" s="27">
        <v>60397560</v>
      </c>
      <c r="I266" s="146" t="s">
        <v>311</v>
      </c>
      <c r="J266" s="149" t="s">
        <v>1212</v>
      </c>
      <c r="K266" s="124">
        <v>45037</v>
      </c>
      <c r="L266" s="152">
        <v>3048.75</v>
      </c>
      <c r="M266" s="152">
        <v>11146.23</v>
      </c>
      <c r="N266" s="153">
        <v>1956.4</v>
      </c>
      <c r="O266" s="153">
        <v>7354.1080000000002</v>
      </c>
      <c r="P266" s="151">
        <v>0.64170561705617057</v>
      </c>
      <c r="Q266" s="124">
        <v>47959</v>
      </c>
    </row>
    <row r="267" spans="3:17" ht="15" customHeight="1">
      <c r="C267" s="146" t="s">
        <v>1069</v>
      </c>
      <c r="D267" s="146" t="s">
        <v>2711</v>
      </c>
      <c r="E267" s="147"/>
      <c r="F267" s="27"/>
      <c r="G267" s="148" t="s">
        <v>2712</v>
      </c>
      <c r="H267" s="27">
        <v>62021200</v>
      </c>
      <c r="I267" s="146" t="s">
        <v>311</v>
      </c>
      <c r="J267" s="149" t="s">
        <v>1216</v>
      </c>
      <c r="K267" s="124">
        <v>45041</v>
      </c>
      <c r="L267" s="152">
        <v>7625</v>
      </c>
      <c r="M267" s="152">
        <v>30605.987499999996</v>
      </c>
      <c r="N267" s="153">
        <v>7625</v>
      </c>
      <c r="O267" s="153">
        <v>30654.025000000001</v>
      </c>
      <c r="P267" s="151">
        <v>1</v>
      </c>
      <c r="Q267" s="124">
        <v>48694</v>
      </c>
    </row>
    <row r="268" spans="3:17" ht="15" customHeight="1">
      <c r="C268" s="146" t="s">
        <v>1069</v>
      </c>
      <c r="D268" s="146" t="s">
        <v>2338</v>
      </c>
      <c r="E268" s="147"/>
      <c r="F268" s="27"/>
      <c r="G268" s="148" t="s">
        <v>2339</v>
      </c>
      <c r="H268" s="27">
        <v>60398860</v>
      </c>
      <c r="I268" s="146" t="s">
        <v>311</v>
      </c>
      <c r="J268" s="149" t="s">
        <v>1212</v>
      </c>
      <c r="K268" s="124">
        <v>45023</v>
      </c>
      <c r="L268" s="152">
        <v>7561.933</v>
      </c>
      <c r="M268" s="152">
        <v>26950.729212000002</v>
      </c>
      <c r="N268" s="153">
        <v>5312.3059999999996</v>
      </c>
      <c r="O268" s="153">
        <v>19968.957999999999</v>
      </c>
      <c r="P268" s="151">
        <v>0.70250635650963844</v>
      </c>
      <c r="Q268" s="124">
        <v>48676</v>
      </c>
    </row>
    <row r="269" spans="3:17" ht="15" customHeight="1">
      <c r="C269" s="146" t="s">
        <v>1069</v>
      </c>
      <c r="D269" s="146" t="s">
        <v>2143</v>
      </c>
      <c r="E269" s="147"/>
      <c r="F269" s="27"/>
      <c r="G269" s="148" t="s">
        <v>2144</v>
      </c>
      <c r="H269" s="27">
        <v>62021216</v>
      </c>
      <c r="I269" s="146" t="s">
        <v>311</v>
      </c>
      <c r="J269" s="149" t="s">
        <v>1212</v>
      </c>
      <c r="K269" s="124">
        <v>45058</v>
      </c>
      <c r="L269" s="152">
        <v>3048.75</v>
      </c>
      <c r="M269" s="152">
        <v>11103.547500000001</v>
      </c>
      <c r="N269" s="153">
        <v>3010.0450000000001</v>
      </c>
      <c r="O269" s="153">
        <v>11314.759</v>
      </c>
      <c r="P269" s="151">
        <v>0.98730463304633054</v>
      </c>
      <c r="Q269" s="124">
        <v>47980</v>
      </c>
    </row>
    <row r="270" spans="3:17" ht="15" customHeight="1">
      <c r="C270" s="146" t="s">
        <v>1069</v>
      </c>
      <c r="D270" s="120" t="s">
        <v>2347</v>
      </c>
      <c r="E270" s="147"/>
      <c r="F270" s="27"/>
      <c r="G270" s="148" t="s">
        <v>2713</v>
      </c>
      <c r="H270" s="27">
        <v>62021209</v>
      </c>
      <c r="I270" s="146" t="s">
        <v>311</v>
      </c>
      <c r="J270" s="149" t="s">
        <v>1212</v>
      </c>
      <c r="K270" s="124">
        <v>45021</v>
      </c>
      <c r="L270" s="152">
        <v>4301.8094900000006</v>
      </c>
      <c r="M270" s="152">
        <v>15331.649022360001</v>
      </c>
      <c r="N270" s="153">
        <v>4301.8094900000006</v>
      </c>
      <c r="O270" s="153">
        <v>16170.502</v>
      </c>
      <c r="P270" s="151">
        <v>1</v>
      </c>
      <c r="Q270" s="124">
        <v>48674</v>
      </c>
    </row>
    <row r="271" spans="3:17" ht="15" customHeight="1">
      <c r="C271" s="146" t="s">
        <v>1069</v>
      </c>
      <c r="D271" s="120" t="s">
        <v>2347</v>
      </c>
      <c r="E271" s="147"/>
      <c r="F271" s="27"/>
      <c r="G271" s="148" t="s">
        <v>2714</v>
      </c>
      <c r="H271" s="27">
        <v>62021214</v>
      </c>
      <c r="I271" s="146" t="s">
        <v>311</v>
      </c>
      <c r="J271" s="149" t="s">
        <v>1212</v>
      </c>
      <c r="K271" s="124">
        <v>45021</v>
      </c>
      <c r="L271" s="152">
        <v>20525.776719999998</v>
      </c>
      <c r="M271" s="152">
        <v>73153.868230079999</v>
      </c>
      <c r="N271" s="153">
        <v>20525.776719999998</v>
      </c>
      <c r="O271" s="153">
        <v>77156.395000000004</v>
      </c>
      <c r="P271" s="151">
        <v>1</v>
      </c>
      <c r="Q271" s="124">
        <v>48674</v>
      </c>
    </row>
    <row r="272" spans="3:17" ht="15" customHeight="1">
      <c r="C272" s="146" t="s">
        <v>1069</v>
      </c>
      <c r="D272" s="146" t="s">
        <v>2065</v>
      </c>
      <c r="E272" s="147"/>
      <c r="F272" s="27"/>
      <c r="G272" s="148" t="s">
        <v>2172</v>
      </c>
      <c r="H272" s="27">
        <v>62010091</v>
      </c>
      <c r="I272" s="146" t="s">
        <v>311</v>
      </c>
      <c r="J272" s="149" t="s">
        <v>1212</v>
      </c>
      <c r="K272" s="124">
        <v>44840</v>
      </c>
      <c r="L272" s="152">
        <v>5978</v>
      </c>
      <c r="M272" s="152">
        <v>21150.164000000001</v>
      </c>
      <c r="N272" s="153">
        <v>5803.5940000000001</v>
      </c>
      <c r="O272" s="153">
        <v>21815.71</v>
      </c>
      <c r="P272" s="151">
        <v>0.97082535965205752</v>
      </c>
      <c r="Q272" s="124">
        <v>46666</v>
      </c>
    </row>
    <row r="273" spans="3:17" ht="15" customHeight="1">
      <c r="C273" s="146" t="s">
        <v>1069</v>
      </c>
      <c r="D273" s="146" t="s">
        <v>2715</v>
      </c>
      <c r="E273" s="147"/>
      <c r="F273" s="27"/>
      <c r="G273" s="148" t="s">
        <v>2351</v>
      </c>
      <c r="H273" s="27">
        <v>62020620</v>
      </c>
      <c r="I273" s="146" t="s">
        <v>311</v>
      </c>
      <c r="J273" s="149" t="s">
        <v>1223</v>
      </c>
      <c r="K273" s="124">
        <v>45054</v>
      </c>
      <c r="L273" s="152">
        <v>8372.0930000000008</v>
      </c>
      <c r="M273" s="152">
        <v>20659.8138961</v>
      </c>
      <c r="N273" s="153">
        <v>0</v>
      </c>
      <c r="O273" s="153">
        <v>0</v>
      </c>
      <c r="P273" s="151">
        <v>0</v>
      </c>
      <c r="Q273" s="124">
        <v>48579</v>
      </c>
    </row>
    <row r="274" spans="3:17" ht="15" customHeight="1">
      <c r="C274" s="146" t="s">
        <v>1069</v>
      </c>
      <c r="D274" s="146" t="s">
        <v>2643</v>
      </c>
      <c r="E274" s="147"/>
      <c r="F274" s="27"/>
      <c r="G274" s="148" t="s">
        <v>2716</v>
      </c>
      <c r="H274" s="27">
        <v>62021260</v>
      </c>
      <c r="I274" s="146" t="s">
        <v>311</v>
      </c>
      <c r="J274" s="149" t="s">
        <v>1212</v>
      </c>
      <c r="K274" s="124">
        <v>45078</v>
      </c>
      <c r="L274" s="152">
        <v>9000</v>
      </c>
      <c r="M274" s="152">
        <v>33624</v>
      </c>
      <c r="N274" s="153">
        <v>9000</v>
      </c>
      <c r="O274" s="153">
        <v>33831</v>
      </c>
      <c r="P274" s="151">
        <v>1</v>
      </c>
      <c r="Q274" s="124">
        <v>48731</v>
      </c>
    </row>
    <row r="275" spans="3:17" ht="15" customHeight="1">
      <c r="C275" s="146" t="s">
        <v>1069</v>
      </c>
      <c r="D275" s="120" t="s">
        <v>2093</v>
      </c>
      <c r="E275" s="147"/>
      <c r="F275" s="27"/>
      <c r="G275" s="148" t="s">
        <v>2717</v>
      </c>
      <c r="H275" s="27">
        <v>62021274</v>
      </c>
      <c r="I275" s="146" t="s">
        <v>311</v>
      </c>
      <c r="J275" s="149" t="s">
        <v>1216</v>
      </c>
      <c r="K275" s="124">
        <v>45105</v>
      </c>
      <c r="L275" s="152">
        <v>24828</v>
      </c>
      <c r="M275" s="152">
        <v>100079.18520000001</v>
      </c>
      <c r="N275" s="153">
        <v>24828</v>
      </c>
      <c r="O275" s="153">
        <v>99813.525999999998</v>
      </c>
      <c r="P275" s="151">
        <v>1</v>
      </c>
      <c r="Q275" s="124">
        <v>48758</v>
      </c>
    </row>
    <row r="276" spans="3:17" ht="15" customHeight="1">
      <c r="C276" s="146" t="s">
        <v>1069</v>
      </c>
      <c r="D276" s="146" t="s">
        <v>2685</v>
      </c>
      <c r="E276" s="147"/>
      <c r="F276" s="27"/>
      <c r="G276" s="148" t="s">
        <v>2477</v>
      </c>
      <c r="H276" s="27">
        <v>62018182</v>
      </c>
      <c r="I276" s="146" t="s">
        <v>311</v>
      </c>
      <c r="J276" s="149" t="s">
        <v>1216</v>
      </c>
      <c r="K276" s="124">
        <v>45125</v>
      </c>
      <c r="L276" s="152">
        <v>7318</v>
      </c>
      <c r="M276" s="152">
        <v>29932.815399999999</v>
      </c>
      <c r="N276" s="153">
        <v>3768.77</v>
      </c>
      <c r="O276" s="153">
        <v>15151.209000000001</v>
      </c>
      <c r="P276" s="151">
        <v>0.51500000000000001</v>
      </c>
      <c r="Q276" s="124">
        <v>48778</v>
      </c>
    </row>
    <row r="277" spans="3:17" ht="15" customHeight="1">
      <c r="C277" s="146" t="s">
        <v>1069</v>
      </c>
      <c r="D277" s="146" t="s">
        <v>2668</v>
      </c>
      <c r="E277" s="147"/>
      <c r="F277" s="27"/>
      <c r="G277" s="148" t="s">
        <v>2718</v>
      </c>
      <c r="H277" s="27">
        <v>62013932</v>
      </c>
      <c r="I277" s="146" t="s">
        <v>311</v>
      </c>
      <c r="J277" s="149" t="s">
        <v>1212</v>
      </c>
      <c r="K277" s="124">
        <v>45136</v>
      </c>
      <c r="L277" s="152">
        <v>24830</v>
      </c>
      <c r="M277" s="152">
        <v>92193.79</v>
      </c>
      <c r="N277" s="153">
        <v>24830</v>
      </c>
      <c r="O277" s="153">
        <v>93335.97</v>
      </c>
      <c r="P277" s="151">
        <v>1</v>
      </c>
      <c r="Q277" s="124">
        <v>49519</v>
      </c>
    </row>
    <row r="278" spans="3:17" ht="15" customHeight="1">
      <c r="C278" s="146" t="s">
        <v>1069</v>
      </c>
      <c r="D278" s="146" t="s">
        <v>2719</v>
      </c>
      <c r="E278" s="147"/>
      <c r="F278" s="27"/>
      <c r="G278" s="148" t="s">
        <v>2530</v>
      </c>
      <c r="H278" s="27">
        <v>62014040</v>
      </c>
      <c r="I278" s="146" t="s">
        <v>311</v>
      </c>
      <c r="J278" s="149" t="s">
        <v>1212</v>
      </c>
      <c r="K278" s="124">
        <v>45128</v>
      </c>
      <c r="L278" s="152">
        <v>8062.1220000000003</v>
      </c>
      <c r="M278" s="152">
        <v>29160.695274000002</v>
      </c>
      <c r="N278" s="153">
        <v>6987.5460000000003</v>
      </c>
      <c r="O278" s="153">
        <v>26266.185000000001</v>
      </c>
      <c r="P278" s="151">
        <v>0.86671300682376173</v>
      </c>
      <c r="Q278" s="124">
        <v>48781</v>
      </c>
    </row>
    <row r="279" spans="3:17" ht="15" customHeight="1">
      <c r="C279" s="146" t="s">
        <v>1069</v>
      </c>
      <c r="D279" s="120" t="s">
        <v>2122</v>
      </c>
      <c r="E279" s="147"/>
      <c r="F279" s="27"/>
      <c r="G279" s="148" t="s">
        <v>2332</v>
      </c>
      <c r="H279" s="27">
        <v>62021464</v>
      </c>
      <c r="I279" s="146" t="s">
        <v>311</v>
      </c>
      <c r="J279" s="149" t="s">
        <v>1216</v>
      </c>
      <c r="K279" s="124">
        <v>45238</v>
      </c>
      <c r="L279" s="152">
        <v>22345</v>
      </c>
      <c r="M279" s="152">
        <v>91782.087499999994</v>
      </c>
      <c r="N279" s="153">
        <v>18460.476999999999</v>
      </c>
      <c r="O279" s="153">
        <v>74214.81</v>
      </c>
      <c r="P279" s="151">
        <v>0.8261569478630566</v>
      </c>
      <c r="Q279" s="124">
        <v>48760</v>
      </c>
    </row>
    <row r="280" spans="3:17" ht="15" customHeight="1">
      <c r="C280" s="146" t="s">
        <v>1069</v>
      </c>
      <c r="D280" s="146" t="s">
        <v>2391</v>
      </c>
      <c r="E280" s="147"/>
      <c r="F280" s="27"/>
      <c r="G280" s="148" t="s">
        <v>2300</v>
      </c>
      <c r="H280" s="27">
        <v>62021472</v>
      </c>
      <c r="I280" s="146" t="s">
        <v>311</v>
      </c>
      <c r="J280" s="149" t="s">
        <v>1212</v>
      </c>
      <c r="K280" s="124">
        <v>45246</v>
      </c>
      <c r="L280" s="152">
        <v>18605</v>
      </c>
      <c r="M280" s="152">
        <v>70308.294999999998</v>
      </c>
      <c r="N280" s="153">
        <v>11572.814</v>
      </c>
      <c r="O280" s="153">
        <v>43502.207999999999</v>
      </c>
      <c r="P280" s="151">
        <v>0.62202708949207208</v>
      </c>
      <c r="Q280" s="124">
        <v>48899</v>
      </c>
    </row>
    <row r="281" spans="3:17" ht="15" customHeight="1">
      <c r="C281" s="146" t="s">
        <v>1069</v>
      </c>
      <c r="D281" s="120" t="s">
        <v>2720</v>
      </c>
      <c r="E281" s="147"/>
      <c r="F281" s="27"/>
      <c r="G281" s="148" t="s">
        <v>2416</v>
      </c>
      <c r="H281" s="27">
        <v>62021514</v>
      </c>
      <c r="I281" s="146" t="s">
        <v>311</v>
      </c>
      <c r="J281" s="149" t="s">
        <v>1212</v>
      </c>
      <c r="K281" s="124">
        <v>45261</v>
      </c>
      <c r="L281" s="152">
        <v>15000</v>
      </c>
      <c r="M281" s="152">
        <v>56085</v>
      </c>
      <c r="N281" s="153">
        <v>6750</v>
      </c>
      <c r="O281" s="153">
        <v>25373.25</v>
      </c>
      <c r="P281" s="151">
        <v>0.45</v>
      </c>
      <c r="Q281" s="124">
        <v>47270</v>
      </c>
    </row>
    <row r="282" spans="3:17" ht="15" customHeight="1">
      <c r="C282" s="146" t="s">
        <v>1069</v>
      </c>
      <c r="D282" s="146" t="s">
        <v>2005</v>
      </c>
      <c r="E282" s="147"/>
      <c r="F282" s="27"/>
      <c r="G282" s="148" t="s">
        <v>2534</v>
      </c>
      <c r="H282" s="27">
        <v>62021401</v>
      </c>
      <c r="I282" s="146" t="s">
        <v>311</v>
      </c>
      <c r="J282" s="149" t="s">
        <v>1212</v>
      </c>
      <c r="K282" s="124">
        <v>45293</v>
      </c>
      <c r="L282" s="152">
        <v>5400</v>
      </c>
      <c r="M282" s="152">
        <v>19537.2</v>
      </c>
      <c r="N282" s="153">
        <v>1484.338</v>
      </c>
      <c r="O282" s="153">
        <v>5579.6270000000004</v>
      </c>
      <c r="P282" s="151">
        <v>0.2748774074074074</v>
      </c>
      <c r="Q282" s="124">
        <v>47850</v>
      </c>
    </row>
    <row r="283" spans="3:17" ht="15" customHeight="1">
      <c r="C283" s="146" t="s">
        <v>1069</v>
      </c>
      <c r="D283" s="146" t="s">
        <v>2645</v>
      </c>
      <c r="E283" s="147"/>
      <c r="F283" s="27"/>
      <c r="G283" s="148" t="s">
        <v>2721</v>
      </c>
      <c r="H283" s="27">
        <v>62021516</v>
      </c>
      <c r="I283" s="146" t="s">
        <v>311</v>
      </c>
      <c r="J283" s="149" t="s">
        <v>1212</v>
      </c>
      <c r="K283" s="124">
        <v>45280</v>
      </c>
      <c r="L283" s="152">
        <v>11700</v>
      </c>
      <c r="M283" s="152">
        <v>42681.599999999999</v>
      </c>
      <c r="N283" s="153">
        <v>11700</v>
      </c>
      <c r="O283" s="153">
        <v>43980.3</v>
      </c>
      <c r="P283" s="151">
        <v>1</v>
      </c>
      <c r="Q283" s="124">
        <v>47107</v>
      </c>
    </row>
    <row r="284" spans="3:17" ht="15" customHeight="1">
      <c r="C284" s="146" t="s">
        <v>1069</v>
      </c>
      <c r="D284" s="146" t="s">
        <v>2722</v>
      </c>
      <c r="E284" s="147"/>
      <c r="F284" s="27"/>
      <c r="G284" s="148" t="s">
        <v>2723</v>
      </c>
      <c r="H284" s="27">
        <v>62021597</v>
      </c>
      <c r="I284" s="146" t="s">
        <v>311</v>
      </c>
      <c r="J284" s="149" t="s">
        <v>1216</v>
      </c>
      <c r="K284" s="124">
        <v>45092</v>
      </c>
      <c r="L284" s="152">
        <v>9302.3259999999991</v>
      </c>
      <c r="M284" s="152">
        <v>36135.815579599999</v>
      </c>
      <c r="N284" s="153">
        <v>9302.3259999999991</v>
      </c>
      <c r="O284" s="153">
        <v>37397.211000000003</v>
      </c>
      <c r="P284" s="151">
        <v>1</v>
      </c>
      <c r="Q284" s="124">
        <v>49846</v>
      </c>
    </row>
    <row r="285" spans="3:17" ht="15" customHeight="1">
      <c r="C285" s="146" t="s">
        <v>1069</v>
      </c>
      <c r="D285" s="120" t="s">
        <v>2120</v>
      </c>
      <c r="E285" s="147"/>
      <c r="F285" s="27"/>
      <c r="G285" s="148" t="s">
        <v>2724</v>
      </c>
      <c r="H285" s="27">
        <v>62021613</v>
      </c>
      <c r="I285" s="146" t="s">
        <v>311</v>
      </c>
      <c r="J285" s="149" t="s">
        <v>1216</v>
      </c>
      <c r="K285" s="124">
        <v>45260</v>
      </c>
      <c r="L285" s="152">
        <v>13953</v>
      </c>
      <c r="M285" s="152">
        <v>56569.647899999989</v>
      </c>
      <c r="N285" s="153">
        <v>13953</v>
      </c>
      <c r="O285" s="153">
        <v>56093.851000000002</v>
      </c>
      <c r="P285" s="151">
        <v>1</v>
      </c>
      <c r="Q285" s="124">
        <v>51926</v>
      </c>
    </row>
    <row r="286" spans="3:17" ht="15" customHeight="1">
      <c r="C286" s="146" t="s">
        <v>1069</v>
      </c>
      <c r="D286" s="120" t="s">
        <v>2725</v>
      </c>
      <c r="E286" s="137"/>
      <c r="F286" s="27"/>
      <c r="G286" s="148" t="s">
        <v>2006</v>
      </c>
      <c r="H286" s="156">
        <v>62021412</v>
      </c>
      <c r="I286" s="146" t="s">
        <v>311</v>
      </c>
      <c r="J286" s="149" t="s">
        <v>1212</v>
      </c>
      <c r="K286" s="124">
        <v>45398</v>
      </c>
      <c r="L286" s="152">
        <v>1918.212</v>
      </c>
      <c r="M286" s="152">
        <v>7231.6589999999997</v>
      </c>
      <c r="N286" s="153">
        <v>0</v>
      </c>
      <c r="O286" s="153">
        <v>0</v>
      </c>
      <c r="P286" s="151">
        <v>0</v>
      </c>
      <c r="Q286" s="124" t="s">
        <v>2681</v>
      </c>
    </row>
    <row r="287" spans="3:17" ht="15" customHeight="1">
      <c r="C287" s="146" t="s">
        <v>1069</v>
      </c>
      <c r="D287" s="120" t="s">
        <v>2147</v>
      </c>
      <c r="E287" s="120"/>
      <c r="F287" s="27"/>
      <c r="G287" s="148" t="s">
        <v>2461</v>
      </c>
      <c r="H287" s="156">
        <v>62021654</v>
      </c>
      <c r="I287" s="146" t="s">
        <v>311</v>
      </c>
      <c r="J287" s="149" t="s">
        <v>1212</v>
      </c>
      <c r="K287" s="124">
        <v>45385</v>
      </c>
      <c r="L287" s="152">
        <v>20689.654999999999</v>
      </c>
      <c r="M287" s="152">
        <v>77213.792000000001</v>
      </c>
      <c r="N287" s="153">
        <v>20172.414000000001</v>
      </c>
      <c r="O287" s="153">
        <v>75828.103000000003</v>
      </c>
      <c r="P287" s="151">
        <v>0.97500001812500026</v>
      </c>
      <c r="Q287" s="124">
        <v>47941</v>
      </c>
    </row>
    <row r="288" spans="3:17" ht="15" customHeight="1">
      <c r="C288" s="146" t="s">
        <v>1069</v>
      </c>
      <c r="D288" s="120" t="s">
        <v>2726</v>
      </c>
      <c r="E288" s="120"/>
      <c r="F288" s="27"/>
      <c r="G288" s="148" t="s">
        <v>2252</v>
      </c>
      <c r="H288" s="156">
        <v>62021803</v>
      </c>
      <c r="I288" s="146" t="s">
        <v>311</v>
      </c>
      <c r="J288" s="149" t="s">
        <v>1216</v>
      </c>
      <c r="K288" s="124">
        <v>45449</v>
      </c>
      <c r="L288" s="152">
        <v>9000</v>
      </c>
      <c r="M288" s="152">
        <v>36448.199999999997</v>
      </c>
      <c r="N288" s="153">
        <v>5944.1530000000002</v>
      </c>
      <c r="O288" s="153">
        <v>23896.684000000001</v>
      </c>
      <c r="P288" s="151">
        <v>0.66046144444444443</v>
      </c>
      <c r="Q288" s="124">
        <v>47640</v>
      </c>
    </row>
    <row r="289" spans="3:17" ht="15" customHeight="1">
      <c r="C289" s="146" t="s">
        <v>1069</v>
      </c>
      <c r="D289" s="120" t="s">
        <v>2293</v>
      </c>
      <c r="E289" s="137"/>
      <c r="F289" s="27"/>
      <c r="G289" s="148" t="s">
        <v>2727</v>
      </c>
      <c r="H289" s="156">
        <v>62021812</v>
      </c>
      <c r="I289" s="146" t="s">
        <v>311</v>
      </c>
      <c r="J289" s="149" t="s">
        <v>1212</v>
      </c>
      <c r="K289" s="124">
        <v>45456</v>
      </c>
      <c r="L289" s="152">
        <v>6750</v>
      </c>
      <c r="M289" s="152">
        <v>25076.25</v>
      </c>
      <c r="N289" s="153">
        <v>6750</v>
      </c>
      <c r="O289" s="153">
        <v>25373.25</v>
      </c>
      <c r="P289" s="151">
        <v>1</v>
      </c>
      <c r="Q289" s="124">
        <v>48012</v>
      </c>
    </row>
    <row r="290" spans="3:17" ht="15" customHeight="1">
      <c r="C290" s="146" t="s">
        <v>1069</v>
      </c>
      <c r="D290" s="120" t="s">
        <v>2293</v>
      </c>
      <c r="E290" s="137"/>
      <c r="F290" s="27"/>
      <c r="G290" s="148" t="s">
        <v>2728</v>
      </c>
      <c r="H290" s="156">
        <v>62021820</v>
      </c>
      <c r="I290" s="146" t="s">
        <v>311</v>
      </c>
      <c r="J290" s="149" t="s">
        <v>1212</v>
      </c>
      <c r="K290" s="124">
        <v>45456</v>
      </c>
      <c r="L290" s="152">
        <v>2250</v>
      </c>
      <c r="M290" s="152">
        <v>8358.75</v>
      </c>
      <c r="N290" s="153">
        <v>2250</v>
      </c>
      <c r="O290" s="153">
        <v>8457.75</v>
      </c>
      <c r="P290" s="151">
        <v>1</v>
      </c>
      <c r="Q290" s="124">
        <v>48012</v>
      </c>
    </row>
    <row r="291" spans="3:17" ht="15" customHeight="1">
      <c r="C291" s="146" t="s">
        <v>1069</v>
      </c>
      <c r="D291" s="146" t="s">
        <v>2729</v>
      </c>
      <c r="E291" s="120"/>
      <c r="F291" s="27"/>
      <c r="G291" s="148" t="s">
        <v>2730</v>
      </c>
      <c r="H291" s="156">
        <v>62021738</v>
      </c>
      <c r="I291" s="146" t="s">
        <v>311</v>
      </c>
      <c r="J291" s="149" t="s">
        <v>1212</v>
      </c>
      <c r="K291" s="124">
        <v>45468</v>
      </c>
      <c r="L291" s="152">
        <v>11300</v>
      </c>
      <c r="M291" s="152">
        <v>42092.5</v>
      </c>
      <c r="N291" s="153">
        <v>11300</v>
      </c>
      <c r="O291" s="153">
        <v>42476.7</v>
      </c>
      <c r="P291" s="151">
        <v>1</v>
      </c>
      <c r="Q291" s="124">
        <v>49120</v>
      </c>
    </row>
  </sheetData>
  <conditionalFormatting sqref="E199">
    <cfRule type="duplicateValues" dxfId="8" priority="9"/>
  </conditionalFormatting>
  <conditionalFormatting sqref="E236">
    <cfRule type="duplicateValues" dxfId="7" priority="8"/>
  </conditionalFormatting>
  <conditionalFormatting sqref="E57">
    <cfRule type="duplicateValues" dxfId="6" priority="7"/>
  </conditionalFormatting>
  <conditionalFormatting sqref="E287">
    <cfRule type="duplicateValues" dxfId="5" priority="6"/>
  </conditionalFormatting>
  <conditionalFormatting sqref="E288">
    <cfRule type="duplicateValues" dxfId="4" priority="5"/>
  </conditionalFormatting>
  <conditionalFormatting sqref="E289">
    <cfRule type="duplicateValues" dxfId="3" priority="4"/>
  </conditionalFormatting>
  <conditionalFormatting sqref="E290">
    <cfRule type="duplicateValues" dxfId="2" priority="3"/>
  </conditionalFormatting>
  <conditionalFormatting sqref="E291">
    <cfRule type="duplicateValues" dxfId="1" priority="2"/>
  </conditionalFormatting>
  <conditionalFormatting sqref="E286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2024-08-04T09:20:12Z</dcterms:modified>
</cp:coreProperties>
</file>