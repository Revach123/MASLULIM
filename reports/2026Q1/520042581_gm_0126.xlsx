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Ami_gemel\032026\לאחר קליטת נתונים\"/>
    </mc:Choice>
  </mc:AlternateContent>
  <xr:revisionPtr revIDLastSave="0" documentId="13_ncr:1_{30B532B5-02F3-4A79-9AC1-175E0F9CB8FA}" xr6:coauthVersionLast="47" xr6:coauthVersionMax="47" xr10:uidLastSave="{00000000-0000-0000-0000-000000000000}"/>
  <bookViews>
    <workbookView xWindow="-120" yWindow="-120" windowWidth="29040" windowHeight="1584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חוב'!$A$1:$AK$1</definedName>
    <definedName name="_xlnm._FilterDatabase" localSheetId="31" hidden="1">'אפשרויות בחירה'!$A$1:$G$1058</definedName>
    <definedName name="_xlnm._FilterDatabase" localSheetId="30" hidden="1">'יתרות התחייבות להשקעה'!$A$1:$R$73</definedName>
    <definedName name="_xlnm._FilterDatabase" localSheetId="17" hidden="1">'לא סחיר איגרות חוב'!$A$1:$AM$51</definedName>
    <definedName name="_xlnm._FilterDatabase" localSheetId="18" hidden="1">'לא סחיר מניות מבכ ויהש'!$A$1:$AA$16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ויהש'!$A$1:$AA$334</definedName>
    <definedName name="_xlnm._FilterDatabase" localSheetId="28" hidden="1">'נכסים אחרים'!$A$1:$R$32</definedName>
    <definedName name="_xlnm._FilterDatabase" localSheetId="19" hidden="1">'קרנות השקעה'!$A$1:$AA$74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7" i="2" s="1"/>
  <c r="E7" i="2"/>
  <c r="E6" i="2"/>
  <c r="E12" i="2" l="1"/>
  <c r="E28" i="2"/>
  <c r="E9" i="2"/>
  <c r="E4" i="2"/>
  <c r="E18" i="2"/>
  <c r="E20" i="2"/>
  <c r="E10" i="2"/>
  <c r="E26" i="2"/>
  <c r="E15" i="2"/>
  <c r="E11" i="2"/>
  <c r="E21" i="2"/>
  <c r="E17" i="2"/>
  <c r="E14" i="2"/>
  <c r="E22" i="2"/>
  <c r="E3" i="2"/>
  <c r="E8" i="2"/>
  <c r="E16" i="2"/>
  <c r="E24" i="2"/>
  <c r="E5" i="2"/>
  <c r="E13" i="2"/>
  <c r="E23" i="2"/>
  <c r="E25" i="2"/>
  <c r="E19" i="2"/>
  <c r="E29" i="2"/>
  <c r="E30" i="2" l="1"/>
</calcChain>
</file>

<file path=xl/sharedStrings.xml><?xml version="1.0" encoding="utf-8"?>
<sst xmlns="http://schemas.openxmlformats.org/spreadsheetml/2006/main" count="29906" uniqueCount="3587">
  <si>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</si>
  <si>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</si>
  <si>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</si>
  <si>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</si>
  <si>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</si>
  <si>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</si>
  <si>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</si>
  <si>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</si>
  <si>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</si>
  <si>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</si>
  <si>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</si>
  <si>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</si>
  <si>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</si>
  <si>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</si>
  <si>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</si>
  <si>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</si>
  <si>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</si>
  <si>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</si>
  <si>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</si>
  <si>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</si>
  <si>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</si>
  <si>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</si>
  <si>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</si>
  <si>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</si>
  <si>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</si>
  <si>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</si>
  <si>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</si>
  <si>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</si>
  <si>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</si>
  <si>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</si>
  <si>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</si>
  <si>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</si>
  <si>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</si>
  <si>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</si>
  <si>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</si>
  <si>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</si>
  <si>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</si>
  <si>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</si>
  <si>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</si>
  <si>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</si>
  <si>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</si>
  <si>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</si>
  <si>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</si>
  <si>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</si>
  <si>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</si>
  <si>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</si>
  <si>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</si>
  <si>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</si>
  <si>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</si>
  <si>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</si>
  <si>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</si>
  <si>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</si>
  <si>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</si>
  <si>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ביג מרכזי קניות (2004) בע"מ</t>
  </si>
  <si>
    <t>513623314</t>
  </si>
  <si>
    <t>ביג אפ 7</t>
  </si>
  <si>
    <t>IL0012143454</t>
  </si>
  <si>
    <t>IL0010972607</t>
  </si>
  <si>
    <t>נדל"ן מניב בישראל</t>
  </si>
  <si>
    <t>01/06/2026</t>
  </si>
  <si>
    <t>מאפיין עיקרי</t>
  </si>
  <si>
    <t>נכס בסיס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</si>
  <si>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</si>
  <si>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</si>
  <si>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</si>
  <si>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</si>
  <si>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</si>
  <si>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</si>
  <si>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</si>
  <si>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</si>
  <si>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</si>
  <si>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</si>
  <si>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</si>
  <si>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HWBM6_NASD100 MICRO EMIN  JUN 26</t>
  </si>
  <si>
    <t>HWBM6</t>
  </si>
  <si>
    <t>HWAM6_SP500 MIC EMINI  JUN 26</t>
  </si>
  <si>
    <t>HWAM6</t>
  </si>
  <si>
    <t>EUREX FRANKFURT AG</t>
  </si>
  <si>
    <t>529900UT4DG0LG5R9O07</t>
  </si>
  <si>
    <t>MESM6_mini MSCI Emg Mkt  JUN 26</t>
  </si>
  <si>
    <t>MESM6</t>
  </si>
  <si>
    <t>EUREX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</si>
  <si>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</si>
  <si>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</si>
  <si>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</si>
  <si>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</si>
  <si>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</si>
  <si>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</si>
  <si>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</si>
  <si>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</si>
  <si>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</si>
  <si>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</si>
  <si>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</si>
  <si>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</si>
  <si>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</si>
  <si>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</si>
  <si>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</si>
  <si>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</si>
  <si>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אלה פקדון אגח ד</t>
  </si>
  <si>
    <t>IL0011623043</t>
  </si>
  <si>
    <t>מט"ח</t>
  </si>
  <si>
    <t>0.033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</si>
  <si>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</si>
  <si>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</si>
  <si>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</si>
  <si>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</si>
  <si>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</si>
  <si>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</si>
  <si>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</si>
  <si>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</si>
  <si>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</si>
  <si>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</si>
  <si>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</si>
  <si>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</si>
  <si>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</si>
  <si>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</si>
  <si>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</si>
  <si>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</si>
  <si>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</si>
  <si>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</si>
  <si>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לוויתן בונד בע"מ</t>
  </si>
  <si>
    <t>516223864</t>
  </si>
  <si>
    <t>LVIATH 6 1/2 30/06/2027</t>
  </si>
  <si>
    <t>IL0011677825</t>
  </si>
  <si>
    <t>צמוד למט"ח</t>
  </si>
  <si>
    <t>לא סחיר</t>
  </si>
  <si>
    <t>Energy Equipment &amp; Services</t>
  </si>
  <si>
    <t>18/10/2023</t>
  </si>
  <si>
    <t>A+</t>
  </si>
  <si>
    <t>1.200</t>
  </si>
  <si>
    <t>30/06/2027</t>
  </si>
  <si>
    <t>החוב לא נחות</t>
  </si>
  <si>
    <t>חברת ציטוט</t>
  </si>
  <si>
    <t>אי-תלות</t>
  </si>
  <si>
    <t>31/03/2026</t>
  </si>
  <si>
    <t>שווי הוגן</t>
  </si>
  <si>
    <t>גב-ים נגב בע"מ</t>
  </si>
  <si>
    <t>514189596</t>
  </si>
  <si>
    <t>גב-ים נגב אגח ב-רמ</t>
  </si>
  <si>
    <t>IL0012084534</t>
  </si>
  <si>
    <t>נש"ר צמוד למדד המחירים לצרכן</t>
  </si>
  <si>
    <t>11/07/2024</t>
  </si>
  <si>
    <t>2.520</t>
  </si>
  <si>
    <t>31/12/2028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</si>
  <si>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</si>
  <si>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</si>
  <si>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</si>
  <si>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</si>
  <si>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</si>
  <si>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נש"ר לא צמוד למדד המחירים לצרכן</t>
  </si>
  <si>
    <t>השקעה ואחזקות</t>
  </si>
  <si>
    <t>16/11/2021</t>
  </si>
  <si>
    <t>1.710</t>
  </si>
  <si>
    <t>כלל תעשיות בע"מ</t>
  </si>
  <si>
    <t>520021874</t>
  </si>
  <si>
    <t>כלל תעש אגח טז-רמ</t>
  </si>
  <si>
    <t>IL0060802381</t>
  </si>
  <si>
    <t>22/11/2021</t>
  </si>
  <si>
    <t>A</t>
  </si>
  <si>
    <t>S&amp;P</t>
  </si>
  <si>
    <t>1.100</t>
  </si>
  <si>
    <t>לידר החזקות והשקעות בע"מ</t>
  </si>
  <si>
    <t>520037664</t>
  </si>
  <si>
    <t>לידר אגח ח - רמ</t>
  </si>
  <si>
    <t>IL0031803617</t>
  </si>
  <si>
    <t>28/02/2021</t>
  </si>
  <si>
    <t>A1</t>
  </si>
  <si>
    <t>מידרוג Moodys</t>
  </si>
  <si>
    <t>1.360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</si>
  <si>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</si>
  <si>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</si>
  <si>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</si>
  <si>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</si>
  <si>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</si>
  <si>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</si>
  <si>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A3</t>
  </si>
  <si>
    <t>2.940</t>
  </si>
  <si>
    <t>31/12/2031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</si>
  <si>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</si>
  <si>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</si>
  <si>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</si>
  <si>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</si>
  <si>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</si>
  <si>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Aa2</t>
  </si>
  <si>
    <t>0.740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</si>
  <si>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</si>
  <si>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</si>
  <si>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</si>
  <si>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</si>
  <si>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</si>
  <si>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05/05/2021</t>
  </si>
  <si>
    <t>4.200</t>
  </si>
  <si>
    <t>15/09/2034</t>
  </si>
  <si>
    <t>רפאל סד' ד 2020/2034</t>
  </si>
  <si>
    <t>IL0011402844</t>
  </si>
  <si>
    <t>04/05/2021</t>
  </si>
  <si>
    <t>4.000</t>
  </si>
  <si>
    <t>רשות שדות התעופה בישראל</t>
  </si>
  <si>
    <t>500102868</t>
  </si>
  <si>
    <t>רש"ת אגח ב -רמ</t>
  </si>
  <si>
    <t>IL0011873432</t>
  </si>
  <si>
    <t>13/11/2025</t>
  </si>
  <si>
    <t>Aaa</t>
  </si>
  <si>
    <t>6.100</t>
  </si>
  <si>
    <t>31/12/2036</t>
  </si>
  <si>
    <t>26/10/2021</t>
  </si>
  <si>
    <t>Energean plc</t>
  </si>
  <si>
    <t>549300RVMKU0CYUZBB05</t>
  </si>
  <si>
    <t>ENOIGA 5 3/8 03/30/28</t>
  </si>
  <si>
    <t>IL0011736738</t>
  </si>
  <si>
    <t>חיפושי נפט וגז</t>
  </si>
  <si>
    <t>17/03/2021</t>
  </si>
  <si>
    <t>BB-</t>
  </si>
  <si>
    <t>1.920</t>
  </si>
  <si>
    <t>30/03/2028</t>
  </si>
  <si>
    <t>אחר</t>
  </si>
  <si>
    <t>בנק לאומי לישראל בע"מ</t>
  </si>
  <si>
    <t>520018078</t>
  </si>
  <si>
    <t>לאומי ש"ה 2008/2027 6.6%</t>
  </si>
  <si>
    <t>6401954</t>
  </si>
  <si>
    <t>פנימי</t>
  </si>
  <si>
    <t>בנקים</t>
  </si>
  <si>
    <t>31/12/2013</t>
  </si>
  <si>
    <t>0.820</t>
  </si>
  <si>
    <t>24/01/2027</t>
  </si>
  <si>
    <t>לאומי שטר הון 6.60% 01/2027</t>
  </si>
  <si>
    <t>6401764</t>
  </si>
  <si>
    <t>AA+</t>
  </si>
  <si>
    <t>נתיבי הגז הטבעי לישראל בע"מ</t>
  </si>
  <si>
    <t>513436394</t>
  </si>
  <si>
    <t>נתיבי גז אג"ח א - רמ</t>
  </si>
  <si>
    <t>IL0011030843</t>
  </si>
  <si>
    <t>0.320</t>
  </si>
  <si>
    <t>29/12/2026</t>
  </si>
  <si>
    <t>אלון חברת הדלק לישראל בע"מ</t>
  </si>
  <si>
    <t>520041690</t>
  </si>
  <si>
    <t>אלון חברת הדלק אגח סד' א - עמי גמל</t>
  </si>
  <si>
    <t>IL0011015679</t>
  </si>
  <si>
    <t>08/12/2020</t>
  </si>
  <si>
    <t>R/S</t>
  </si>
  <si>
    <t>NA</t>
  </si>
  <si>
    <t>31/12/2026</t>
  </si>
  <si>
    <t>החוב נחות</t>
  </si>
  <si>
    <t>כן</t>
  </si>
  <si>
    <t>גורם תלוי/פנימי</t>
  </si>
  <si>
    <t>קיימת תלות</t>
  </si>
  <si>
    <t>וויו (veev) גרופ</t>
  </si>
  <si>
    <t>832652993</t>
  </si>
  <si>
    <t>C  וויו גרופ</t>
  </si>
  <si>
    <t>US9224741010</t>
  </si>
  <si>
    <t>מניות לא סחירות</t>
  </si>
  <si>
    <t>חברות ללא פעילות ומעטפת</t>
  </si>
  <si>
    <t>08/03/2021</t>
  </si>
  <si>
    <t>30/09/2025</t>
  </si>
  <si>
    <t>PROSPECT CAPITAL CORP</t>
  </si>
  <si>
    <t>549300FSD8T39P5Q0O47</t>
  </si>
  <si>
    <t>PROSPECT CAPITAL</t>
  </si>
  <si>
    <t>US74348T5083</t>
  </si>
  <si>
    <t>27/04/2021</t>
  </si>
  <si>
    <t>31/12/2025</t>
  </si>
  <si>
    <t>VERTEX</t>
  </si>
  <si>
    <t>540308541</t>
  </si>
  <si>
    <t>VERTEX VENTURES OB LIMITED PARTNERSHIP</t>
  </si>
  <si>
    <t>27970024</t>
  </si>
  <si>
    <t>גלובלי</t>
  </si>
  <si>
    <t>Technology Hardware, Storage &amp; Peripherals</t>
  </si>
  <si>
    <t>20/07/2021</t>
  </si>
  <si>
    <t>21/12/2025</t>
  </si>
  <si>
    <t>מניות לא סחירות אלון דלק</t>
  </si>
  <si>
    <t>44867</t>
  </si>
  <si>
    <t>מסחר</t>
  </si>
  <si>
    <t>07/11/2017</t>
  </si>
  <si>
    <t>18/08/2019</t>
  </si>
  <si>
    <t>31/05/2025</t>
  </si>
  <si>
    <t>ALESCO PREF FUNDING IX</t>
  </si>
  <si>
    <t>549300FP1ZNOHOUNLV32</t>
  </si>
  <si>
    <t>ALESC 0 06/23/36</t>
  </si>
  <si>
    <t>KYG0158U1067</t>
  </si>
  <si>
    <t>Financial Services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</si>
  <si>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</si>
  <si>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</si>
  <si>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</si>
  <si>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</si>
  <si>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</si>
  <si>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</si>
  <si>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</si>
  <si>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</si>
  <si>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</si>
  <si>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07/08/2024</t>
  </si>
  <si>
    <t>Verbit Inc</t>
  </si>
  <si>
    <t>28460</t>
  </si>
  <si>
    <t>27970019</t>
  </si>
  <si>
    <t>13/05/2021</t>
  </si>
  <si>
    <t>07/08/2025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</si>
  <si>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</si>
  <si>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</si>
  <si>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</si>
  <si>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</si>
  <si>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</si>
  <si>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</si>
  <si>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</si>
  <si>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</si>
  <si>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</si>
  <si>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</si>
  <si>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</si>
  <si>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</si>
  <si>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</si>
  <si>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</si>
  <si>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</si>
  <si>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</si>
  <si>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</si>
  <si>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</si>
  <si>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</si>
  <si>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</si>
  <si>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</si>
  <si>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</si>
  <si>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</si>
  <si>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</si>
  <si>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</si>
  <si>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</si>
  <si>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</si>
  <si>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</si>
  <si>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</si>
  <si>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</si>
  <si>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</si>
  <si>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</si>
  <si>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</si>
  <si>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</si>
  <si>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</si>
  <si>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</si>
  <si>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</si>
  <si>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</si>
  <si>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</si>
  <si>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</si>
  <si>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</si>
  <si>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</si>
  <si>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</si>
  <si>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</si>
  <si>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Vertex Venturs Partners LTD</t>
  </si>
  <si>
    <t>Vertex Israel Opportunity II Fund</t>
  </si>
  <si>
    <t>פרייבט אקוויטי</t>
  </si>
  <si>
    <t>Growth Venture Capital</t>
  </si>
  <si>
    <t>איי קיימן</t>
  </si>
  <si>
    <t>19/08/2021</t>
  </si>
  <si>
    <t>דיווח מנהל הקרן</t>
  </si>
  <si>
    <t>16/03/2026</t>
  </si>
  <si>
    <t>Coller Credit Opportunities I General Partner, L.P.</t>
  </si>
  <si>
    <t>98-0233839</t>
  </si>
  <si>
    <t>Coller Credit Opportunities</t>
  </si>
  <si>
    <t>Secondaries</t>
  </si>
  <si>
    <t>גרנזי (Guernsey)</t>
  </si>
  <si>
    <t>אירופה</t>
  </si>
  <si>
    <t>02/09/2021</t>
  </si>
  <si>
    <t>18/03/2026</t>
  </si>
  <si>
    <t>ECP GP V, LP</t>
  </si>
  <si>
    <t>213800P4S1KTTPIB9T76</t>
  </si>
  <si>
    <t>Harel Alternative Credit Co-Invest</t>
  </si>
  <si>
    <t>Venture Debt</t>
  </si>
  <si>
    <t>01/05/2023</t>
  </si>
  <si>
    <t>17/03/2026</t>
  </si>
  <si>
    <t>HAREL FINANCE ALTERNATIVE HAMA</t>
  </si>
  <si>
    <t>515697605</t>
  </si>
  <si>
    <t>Harel Finance Alternative Hamagen Israel</t>
  </si>
  <si>
    <t>Other</t>
  </si>
  <si>
    <t>06/11/2025</t>
  </si>
  <si>
    <t>מומחה בלתי תלוי</t>
  </si>
  <si>
    <t>Kedma Capital</t>
  </si>
  <si>
    <t>540286333</t>
  </si>
  <si>
    <t>KEDMA CAPITAL IV</t>
  </si>
  <si>
    <t>31/10/2024</t>
  </si>
  <si>
    <t>נוקד</t>
  </si>
  <si>
    <t>515419356</t>
  </si>
  <si>
    <t>קרן נוקד אגח</t>
  </si>
  <si>
    <t>קרן גידור (Hedge Fund)</t>
  </si>
  <si>
    <t>Buyout</t>
  </si>
  <si>
    <t>26/07/2022</t>
  </si>
  <si>
    <t>24/03/2026</t>
  </si>
  <si>
    <t>קרן נוקד אופורטוניטי</t>
  </si>
  <si>
    <t>08/03/2026</t>
  </si>
  <si>
    <t>אלפא</t>
  </si>
  <si>
    <t>530278803</t>
  </si>
  <si>
    <t>ALPHA OPPORTUNITIES LP</t>
  </si>
  <si>
    <t>27/07/2022</t>
  </si>
  <si>
    <t>28/12/2025</t>
  </si>
  <si>
    <t>אי.בי.אי IBI</t>
  </si>
  <si>
    <t>550270045</t>
  </si>
  <si>
    <t>איבו קרן מלונאות ש.מ - עמי גמל 30.08.2032</t>
  </si>
  <si>
    <t>05/02/2023</t>
  </si>
  <si>
    <t>29/01/2026</t>
  </si>
  <si>
    <t>פורמה</t>
  </si>
  <si>
    <t>530278654</t>
  </si>
  <si>
    <t>Forma Fund I</t>
  </si>
  <si>
    <t>קרן נדל"ן</t>
  </si>
  <si>
    <t>Value Added Real Estate</t>
  </si>
  <si>
    <t>03/04/2019</t>
  </si>
  <si>
    <t>EUR</t>
  </si>
  <si>
    <t>פורטיסימו</t>
  </si>
  <si>
    <t>530278498</t>
  </si>
  <si>
    <t>FORTISSIMO 2</t>
  </si>
  <si>
    <t>Co-Investment/Direct</t>
  </si>
  <si>
    <t>Klirmark Opportunity Fund</t>
  </si>
  <si>
    <t>CO-101523</t>
  </si>
  <si>
    <t>מספר תאגיד או שותפות בחו"ל</t>
  </si>
  <si>
    <t>Klirmark Fund IV- More</t>
  </si>
  <si>
    <t>24/04/2023</t>
  </si>
  <si>
    <t>Klirmark</t>
  </si>
  <si>
    <t>KLIRMARK OPPOTUNITY III</t>
  </si>
  <si>
    <t>Special Situations Debt</t>
  </si>
  <si>
    <t>13/11/2019</t>
  </si>
  <si>
    <t>12/03/2026</t>
  </si>
  <si>
    <t>Liquidity Capital</t>
  </si>
  <si>
    <t>530278415</t>
  </si>
  <si>
    <t>Liquidity Capital II</t>
  </si>
  <si>
    <t>17/02/2021</t>
  </si>
  <si>
    <t>Qumra Opportunity Fund GP, L.P.</t>
  </si>
  <si>
    <t>540310885</t>
  </si>
  <si>
    <t>Qumra Opportunity Fund</t>
  </si>
  <si>
    <t>10/05/2021</t>
  </si>
  <si>
    <t>30/03/2026</t>
  </si>
  <si>
    <t>Vintage</t>
  </si>
  <si>
    <t>7836236</t>
  </si>
  <si>
    <t>Vintage Fund of Funds IV</t>
  </si>
  <si>
    <t>Value Added Infrastructure</t>
  </si>
  <si>
    <t>30/04/2019</t>
  </si>
  <si>
    <t>514517267</t>
  </si>
  <si>
    <t>אלפא קרן גידור</t>
  </si>
  <si>
    <t>יסודות נדלן</t>
  </si>
  <si>
    <t>550257125</t>
  </si>
  <si>
    <t>יסודות הנדל"ן ב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</si>
  <si>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</si>
  <si>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</si>
  <si>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</si>
  <si>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</si>
  <si>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</si>
  <si>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</si>
  <si>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</si>
  <si>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</si>
  <si>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</si>
  <si>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23/12/2019</t>
  </si>
  <si>
    <t>05/03/2026</t>
  </si>
  <si>
    <t>קוגיטו קפיטל פאנד 2 שותף כללי בע"מ</t>
  </si>
  <si>
    <t>550270912</t>
  </si>
  <si>
    <t>קוגיטו קפיטל 2</t>
  </si>
  <si>
    <t>06/02/2022</t>
  </si>
  <si>
    <t>530278514</t>
  </si>
  <si>
    <t>קרן בלקסטון</t>
  </si>
  <si>
    <t>20/04/2020</t>
  </si>
  <si>
    <t>קרן גידור נוקד</t>
  </si>
  <si>
    <t>29/10/2015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</si>
  <si>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</si>
  <si>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</si>
  <si>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</si>
  <si>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</si>
  <si>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</si>
  <si>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</si>
  <si>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03/03/2024</t>
  </si>
  <si>
    <t>Oak Street Real Estate Capital Llc</t>
  </si>
  <si>
    <t>254900MVJVN345SHF671</t>
  </si>
  <si>
    <t>Blue Owl Real Estate Fund VII</t>
  </si>
  <si>
    <t>20/10/2025</t>
  </si>
  <si>
    <t>Brookfield global</t>
  </si>
  <si>
    <t>254900YTMKBFJAKUBO55</t>
  </si>
  <si>
    <t>Brookfield Strategic Real Estate Partners V</t>
  </si>
  <si>
    <t>לוכסמבורג</t>
  </si>
  <si>
    <t>בריטניה</t>
  </si>
  <si>
    <t>17/09/2025</t>
  </si>
  <si>
    <t>26/03/2026</t>
  </si>
  <si>
    <t>Cheyne European</t>
  </si>
  <si>
    <t>222100ND71URRH3Q3D80</t>
  </si>
  <si>
    <t>Cheyne European Strategic II</t>
  </si>
  <si>
    <t>23/08/2021</t>
  </si>
  <si>
    <t>Coller International</t>
  </si>
  <si>
    <t>Coller IX-B</t>
  </si>
  <si>
    <t>03/03/2025</t>
  </si>
  <si>
    <t>CVC EUDL IV</t>
  </si>
  <si>
    <t>B278095</t>
  </si>
  <si>
    <t>12/12/2024</t>
  </si>
  <si>
    <t>26/02/2026</t>
  </si>
  <si>
    <t>HarbourVest GP LLC</t>
  </si>
  <si>
    <t>520028911</t>
  </si>
  <si>
    <t>Electra Capital PM II Feeder</t>
  </si>
  <si>
    <t>15/05/2023</t>
  </si>
  <si>
    <t>EQT</t>
  </si>
  <si>
    <t>2020 2423 842</t>
  </si>
  <si>
    <t>EQT Infrastructure V</t>
  </si>
  <si>
    <t>12/08/2021</t>
  </si>
  <si>
    <t>25/03/2026</t>
  </si>
  <si>
    <t>FRG-X GP,LP</t>
  </si>
  <si>
    <t>86-2034928</t>
  </si>
  <si>
    <t>Faro Point FIVF III (F-5)</t>
  </si>
  <si>
    <t>17/06/2024</t>
  </si>
  <si>
    <t>Insight Partners</t>
  </si>
  <si>
    <t>851058800</t>
  </si>
  <si>
    <t>INSIGHT PARTNERS XII</t>
  </si>
  <si>
    <t>12/07/2021</t>
  </si>
  <si>
    <t>invesco</t>
  </si>
  <si>
    <t>549300FEA3DT84FOZ304</t>
  </si>
  <si>
    <t>Invesco Direct Lending II</t>
  </si>
  <si>
    <t>קרן חוב</t>
  </si>
  <si>
    <t>08/04/2024</t>
  </si>
  <si>
    <t>04/12/2025</t>
  </si>
  <si>
    <t>Klirmark Fund IV</t>
  </si>
  <si>
    <t>מור</t>
  </si>
  <si>
    <t>516194685</t>
  </si>
  <si>
    <t>More Alternative Credit CLO</t>
  </si>
  <si>
    <t>31/07/2023</t>
  </si>
  <si>
    <t>Viola Credit (MN), L.P.</t>
  </si>
  <si>
    <t>540316940</t>
  </si>
  <si>
    <t>Viola Credit ALF III</t>
  </si>
  <si>
    <t>13/02/2025</t>
  </si>
  <si>
    <t>PGSF</t>
  </si>
  <si>
    <t>12902</t>
  </si>
  <si>
    <t>פנתאון PGCO VI</t>
  </si>
  <si>
    <t>30/10/2024</t>
  </si>
  <si>
    <t>10/03/2026</t>
  </si>
  <si>
    <t>23/10/2023</t>
  </si>
  <si>
    <t>IBI</t>
  </si>
  <si>
    <t>IBI Consumer</t>
  </si>
  <si>
    <t>29/08/2019</t>
  </si>
  <si>
    <t>09/03/2026</t>
  </si>
  <si>
    <t>Alto</t>
  </si>
  <si>
    <t>27092</t>
  </si>
  <si>
    <t>ALTO 3</t>
  </si>
  <si>
    <t>25/09/2017</t>
  </si>
  <si>
    <t>Alto II</t>
  </si>
  <si>
    <t>ALTO FUND</t>
  </si>
  <si>
    <t>05/07/2015</t>
  </si>
  <si>
    <t>20/01/2026</t>
  </si>
  <si>
    <t>Ami Opportunities</t>
  </si>
  <si>
    <t>512712548</t>
  </si>
  <si>
    <t>AMI OPPORTUNITY</t>
  </si>
  <si>
    <t>20/12/2015</t>
  </si>
  <si>
    <t>Ares  LIII CLO Ltd</t>
  </si>
  <si>
    <t>WEQ82666OJYSI5GUAB47</t>
  </si>
  <si>
    <t>Ares Climate Infrastructure Partners II</t>
  </si>
  <si>
    <t>21/01/2025</t>
  </si>
  <si>
    <t>16/12/2025</t>
  </si>
  <si>
    <t>Avenue Europe</t>
  </si>
  <si>
    <t>47-2384227</t>
  </si>
  <si>
    <t>Avenue Europe III</t>
  </si>
  <si>
    <t>26/10/2016</t>
  </si>
  <si>
    <t>AP Fund III GP, LLC</t>
  </si>
  <si>
    <t>84-2057868</t>
  </si>
  <si>
    <t>Blue Atlantic</t>
  </si>
  <si>
    <t>21/06/2016</t>
  </si>
  <si>
    <t>Oak Street Real Estate Capital Fund VI, LP</t>
  </si>
  <si>
    <t>Blue Owl RE Fund VI</t>
  </si>
  <si>
    <t>16/05/2023</t>
  </si>
  <si>
    <t>בראק קפיטל</t>
  </si>
  <si>
    <t>724500GB8DLC6CHUX916</t>
  </si>
  <si>
    <t>BRACK CAPITAL</t>
  </si>
  <si>
    <t>קפריסין</t>
  </si>
  <si>
    <t>25/10/2020</t>
  </si>
  <si>
    <t>11/01/2026</t>
  </si>
  <si>
    <t>DOVER STREET LP</t>
  </si>
  <si>
    <t>801-53287</t>
  </si>
  <si>
    <t>Dover Street XI L.P</t>
  </si>
  <si>
    <t>22/06/2023</t>
  </si>
  <si>
    <t>ECP Fund V</t>
  </si>
  <si>
    <t>WC-115592</t>
  </si>
  <si>
    <t>ECP Infrastructure V</t>
  </si>
  <si>
    <t>07/06/2023</t>
  </si>
  <si>
    <t>11/03/2026</t>
  </si>
  <si>
    <t>Electra America Hospitality AKA LLC</t>
  </si>
  <si>
    <t>89961</t>
  </si>
  <si>
    <t>Electra America Principal Hospitality</t>
  </si>
  <si>
    <t>Opportunistic Real Estate</t>
  </si>
  <si>
    <t>15/03/2022</t>
  </si>
  <si>
    <t>Electra Capital Advisors LLC</t>
  </si>
  <si>
    <t>87-4404526</t>
  </si>
  <si>
    <t>electra capital Pm fund Lp</t>
  </si>
  <si>
    <t>Debt Infrastructure</t>
  </si>
  <si>
    <t>07/06/2021</t>
  </si>
  <si>
    <t>Electra</t>
  </si>
  <si>
    <t>510607328</t>
  </si>
  <si>
    <t>ELECTRA NADLAN 2</t>
  </si>
  <si>
    <t>14/05/2019</t>
  </si>
  <si>
    <t>Hamilton</t>
  </si>
  <si>
    <t xml:space="preserve">98-1588386 </t>
  </si>
  <si>
    <t>HAMILTON LANECI  IV</t>
  </si>
  <si>
    <t>29/05/2019</t>
  </si>
  <si>
    <t>Hanaco II GP, L.P.</t>
  </si>
  <si>
    <t>104909</t>
  </si>
  <si>
    <t>hanaco II L.P</t>
  </si>
  <si>
    <t>22/07/2021</t>
  </si>
  <si>
    <t>23/03/2026</t>
  </si>
  <si>
    <t>HarbourVest</t>
  </si>
  <si>
    <t>27949</t>
  </si>
  <si>
    <t>Harbourvest Dover 10</t>
  </si>
  <si>
    <t>13/01/2020</t>
  </si>
  <si>
    <t>ICG Europe</t>
  </si>
  <si>
    <t>B222269</t>
  </si>
  <si>
    <t>ICG EUROPE 7</t>
  </si>
  <si>
    <t>23/08/2018</t>
  </si>
  <si>
    <t>ICG NA</t>
  </si>
  <si>
    <t>ICG NORTH AMERICAN DEBT FUND</t>
  </si>
  <si>
    <t>19/03/2019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</si>
  <si>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</si>
  <si>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</si>
  <si>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</si>
  <si>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</si>
  <si>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</si>
  <si>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CO-324885</t>
  </si>
  <si>
    <t>Pagaya Smartresi F1</t>
  </si>
  <si>
    <t>01/07/2021</t>
  </si>
  <si>
    <t>03/02/2026</t>
  </si>
  <si>
    <t>פנתאון</t>
  </si>
  <si>
    <t>B 201.101</t>
  </si>
  <si>
    <t>PANTHEON ACCESS</t>
  </si>
  <si>
    <t>10/05/2018</t>
  </si>
  <si>
    <t>19/03/2026</t>
  </si>
  <si>
    <t>Pantheon Global Infrastructure Fund IV (Luxembourg</t>
  </si>
  <si>
    <t>B 283012</t>
  </si>
  <si>
    <t>25/07/2023</t>
  </si>
  <si>
    <t>PEREGRINE VENTURES GROWTH GENERAL PARTNER, LIMITED PARTNERSHIP</t>
  </si>
  <si>
    <t>540297413</t>
  </si>
  <si>
    <t>Peregrine Ventures Growth General Partner LP Limit</t>
  </si>
  <si>
    <t>08/07/2021</t>
  </si>
  <si>
    <t>Starlight Bond FP I GP LIMITED</t>
  </si>
  <si>
    <t>FC041410</t>
  </si>
  <si>
    <t>Starlight Bond FP I LP</t>
  </si>
  <si>
    <t>24/01/2023</t>
  </si>
  <si>
    <t>GBP</t>
  </si>
  <si>
    <t>Target Global Growth II GP S.à r.l.</t>
  </si>
  <si>
    <t>B241115</t>
  </si>
  <si>
    <t>Target Global Growth Fund II</t>
  </si>
  <si>
    <t>08/11/2021</t>
  </si>
  <si>
    <t>14/12/2025</t>
  </si>
  <si>
    <t>Vintage Growth Fund III</t>
  </si>
  <si>
    <t>09/01/2020</t>
  </si>
  <si>
    <t>19/01/2026</t>
  </si>
  <si>
    <t>Vintage Secondary Fund IV</t>
  </si>
  <si>
    <t>30/05/2018</t>
  </si>
  <si>
    <t>Viola Credit GL II General</t>
  </si>
  <si>
    <t>Viola Credit GL II Limited Partnership</t>
  </si>
  <si>
    <t>24/10/2022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</si>
  <si>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</si>
  <si>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</si>
  <si>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</si>
  <si>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</si>
  <si>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</si>
  <si>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</si>
  <si>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</si>
  <si>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</si>
  <si>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</si>
  <si>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</si>
  <si>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</si>
  <si>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</si>
  <si>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</si>
  <si>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</si>
  <si>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</si>
  <si>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</si>
  <si>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</si>
  <si>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</si>
  <si>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</si>
  <si>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</si>
  <si>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</si>
  <si>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</si>
  <si>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</si>
  <si>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</si>
  <si>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</si>
  <si>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</si>
  <si>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</si>
  <si>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</si>
  <si>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</si>
  <si>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</si>
  <si>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</si>
  <si>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161</t>
  </si>
  <si>
    <t>9938</t>
  </si>
  <si>
    <t>Funded Forward</t>
  </si>
  <si>
    <t>90027546</t>
  </si>
  <si>
    <t>מדינה/איזור גאוגרפי</t>
  </si>
  <si>
    <t>מט"ח/₪</t>
  </si>
  <si>
    <t>EUR ILS</t>
  </si>
  <si>
    <t>17/04/2026</t>
  </si>
  <si>
    <t>ללא</t>
  </si>
  <si>
    <t>Delivery</t>
  </si>
  <si>
    <t>הצד הנגדי</t>
  </si>
  <si>
    <t>3.7307</t>
  </si>
  <si>
    <t>LUMILIT</t>
  </si>
  <si>
    <t>90027550</t>
  </si>
  <si>
    <t>USD ILS</t>
  </si>
  <si>
    <t>3.1659</t>
  </si>
  <si>
    <t>9942</t>
  </si>
  <si>
    <t>9943</t>
  </si>
  <si>
    <t>90027605</t>
  </si>
  <si>
    <t>27/01/2026</t>
  </si>
  <si>
    <t>3.1071</t>
  </si>
  <si>
    <t>90027969</t>
  </si>
  <si>
    <t>3.12</t>
  </si>
  <si>
    <t>90027773</t>
  </si>
  <si>
    <t>17/02/2026</t>
  </si>
  <si>
    <t>3.1013</t>
  </si>
  <si>
    <t>90027005</t>
  </si>
  <si>
    <t>09/12/2025</t>
  </si>
  <si>
    <t>3.2136</t>
  </si>
  <si>
    <t>90027918</t>
  </si>
  <si>
    <t>3.5857</t>
  </si>
  <si>
    <t>90027873</t>
  </si>
  <si>
    <t>3.0713</t>
  </si>
  <si>
    <t>90028072</t>
  </si>
  <si>
    <t>30/04/2026</t>
  </si>
  <si>
    <t>3.154</t>
  </si>
  <si>
    <t>12468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</si>
  <si>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</si>
  <si>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</si>
  <si>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</si>
  <si>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</si>
  <si>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</si>
  <si>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</si>
  <si>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</si>
  <si>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</si>
  <si>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</si>
  <si>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</si>
  <si>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</si>
  <si>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</si>
  <si>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</si>
  <si>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</si>
  <si>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</si>
  <si>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</si>
  <si>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</si>
  <si>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</si>
  <si>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</si>
  <si>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</si>
  <si>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</si>
  <si>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</si>
  <si>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</si>
  <si>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520042581</t>
  </si>
  <si>
    <t>הלוואות לחברים עמי גמל להשקעה (ריבית צמוד פריים)</t>
  </si>
  <si>
    <t>29994020</t>
  </si>
  <si>
    <t>עמית/מבוטח</t>
  </si>
  <si>
    <t>אנשים פרטיים</t>
  </si>
  <si>
    <t>20/08/2025</t>
  </si>
  <si>
    <t>NR</t>
  </si>
  <si>
    <t>הלוואה</t>
  </si>
  <si>
    <t>2.880</t>
  </si>
  <si>
    <t>צמוד למדד אחר</t>
  </si>
  <si>
    <t>15/08/2030</t>
  </si>
  <si>
    <t>חסכון עמיתים/מבוטחים</t>
  </si>
  <si>
    <t>Ness Fair Value</t>
  </si>
  <si>
    <t>הלוואות לחברים עמי גמל (ריבית צמוד פריים)</t>
  </si>
  <si>
    <t>29994013</t>
  </si>
  <si>
    <t>03/11/2016</t>
  </si>
  <si>
    <t>2.210</t>
  </si>
  <si>
    <t>15/12/2032</t>
  </si>
  <si>
    <t>514874155</t>
  </si>
  <si>
    <t>כביש 6 צפון  הגדלת מינוף</t>
  </si>
  <si>
    <t>25032021</t>
  </si>
  <si>
    <t>תאגיד</t>
  </si>
  <si>
    <t>25/03/2021</t>
  </si>
  <si>
    <t>9.690</t>
  </si>
  <si>
    <t>קבועה</t>
  </si>
  <si>
    <t>30/06/2048</t>
  </si>
  <si>
    <t>קרן שווה</t>
  </si>
  <si>
    <t>מימון הרחבת כביש 6</t>
  </si>
  <si>
    <t>כביש 6 צפון  הלוואה לזמן ארוך</t>
  </si>
  <si>
    <t>24032021</t>
  </si>
  <si>
    <t>ALESCO PFD VI</t>
  </si>
  <si>
    <t>KYG015912085</t>
  </si>
  <si>
    <t>06/08/2019</t>
  </si>
  <si>
    <t>0.000</t>
  </si>
  <si>
    <t>08/08/2019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</si>
  <si>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</si>
  <si>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</si>
  <si>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</si>
  <si>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</si>
  <si>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</si>
  <si>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</si>
  <si>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</si>
  <si>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</si>
  <si>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</si>
  <si>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</si>
  <si>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</si>
  <si>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</si>
  <si>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</si>
  <si>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</si>
  <si>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מקרקעין</t>
  </si>
  <si>
    <t>נדל"ן מניב</t>
  </si>
  <si>
    <t>חירות, מועצה אזורית - לב השרון</t>
  </si>
  <si>
    <t>שיטה השוואתית</t>
  </si>
  <si>
    <t>קמיל טרשנסקי שרותי נדלן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</si>
  <si>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</si>
  <si>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</si>
  <si>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</si>
  <si>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</si>
  <si>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</si>
  <si>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</si>
  <si>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</si>
  <si>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</si>
  <si>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</si>
  <si>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</si>
  <si>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</si>
  <si>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</si>
  <si>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</si>
  <si>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NEONCA 0 01/04/41</t>
  </si>
  <si>
    <t>XS0207404343</t>
  </si>
  <si>
    <t>חוב בפיגור</t>
  </si>
  <si>
    <t>אמפל אמריקן אגח א</t>
  </si>
  <si>
    <t>IL0011008336</t>
  </si>
  <si>
    <t>חפציבה חופים אג"ח א' חש 2/09</t>
  </si>
  <si>
    <t>IL0011135626</t>
  </si>
  <si>
    <t>חפציבה חופים אגח 1</t>
  </si>
  <si>
    <t>IL0010959422</t>
  </si>
  <si>
    <t>מ.פלדה אג-1 מפ1/00</t>
  </si>
  <si>
    <t>IL0039800425</t>
  </si>
  <si>
    <t>מפעלי פלדה אג1</t>
  </si>
  <si>
    <t>IL0039800185</t>
  </si>
  <si>
    <t>10-800</t>
  </si>
  <si>
    <t>סימול בנק</t>
  </si>
  <si>
    <t>מזומן ועו"ש נקוב במט"ח</t>
  </si>
  <si>
    <t>מזומן ועו"ש בש"ח</t>
  </si>
  <si>
    <t>HKD</t>
  </si>
  <si>
    <t>SGD</t>
  </si>
  <si>
    <t>DKK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</si>
  <si>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</si>
  <si>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</si>
  <si>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</si>
  <si>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</si>
  <si>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</si>
  <si>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</si>
  <si>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</si>
  <si>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</si>
  <si>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</si>
  <si>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</si>
  <si>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</si>
  <si>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</si>
  <si>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</si>
  <si>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</si>
  <si>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</si>
  <si>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</si>
  <si>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</si>
  <si>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</si>
  <si>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</si>
  <si>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</si>
  <si>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</si>
  <si>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</si>
  <si>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</si>
  <si>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</si>
  <si>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</si>
  <si>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</si>
  <si>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</si>
  <si>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</si>
  <si>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</si>
  <si>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</si>
  <si>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</si>
  <si>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</si>
  <si>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</si>
  <si>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</si>
  <si>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</si>
  <si>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</si>
  <si>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</si>
  <si>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</si>
  <si>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</si>
  <si>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</si>
  <si>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</si>
  <si>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</si>
  <si>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</si>
  <si>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</si>
  <si>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</si>
  <si>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</si>
  <si>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</si>
  <si>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</si>
  <si>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</si>
  <si>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</si>
  <si>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</si>
  <si>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</si>
  <si>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</si>
  <si>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</si>
  <si>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</si>
  <si>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</si>
  <si>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</si>
  <si>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</si>
  <si>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</si>
  <si>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</si>
  <si>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</si>
  <si>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</si>
  <si>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</si>
  <si>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</si>
  <si>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</si>
  <si>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</si>
  <si>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</si>
  <si>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</si>
  <si>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</si>
  <si>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</si>
  <si>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</si>
  <si>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</si>
  <si>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</si>
  <si>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</si>
  <si>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</si>
  <si>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</si>
  <si>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</si>
  <si>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</si>
  <si>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</si>
  <si>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</si>
  <si>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</si>
  <si>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</si>
  <si>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</si>
  <si>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</si>
  <si>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</si>
  <si>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</si>
  <si>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</si>
  <si>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</si>
  <si>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</si>
  <si>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</si>
  <si>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</si>
  <si>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</si>
  <si>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</si>
  <si>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</si>
  <si>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</si>
  <si>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</si>
  <si>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</si>
  <si>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</si>
  <si>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</si>
  <si>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</si>
  <si>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</si>
  <si>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</si>
  <si>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</si>
  <si>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</si>
  <si>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</si>
  <si>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</si>
  <si>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</si>
  <si>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</si>
  <si>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</si>
  <si>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</si>
  <si>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</si>
  <si>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</si>
  <si>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</si>
  <si>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</si>
  <si>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</si>
  <si>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</si>
  <si>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</si>
  <si>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</si>
  <si>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</si>
  <si>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</si>
  <si>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</si>
  <si>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</si>
  <si>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</si>
  <si>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</si>
  <si>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</si>
  <si>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</si>
  <si>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</si>
  <si>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</si>
  <si>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</si>
  <si>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</si>
  <si>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</si>
  <si>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</si>
  <si>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</si>
  <si>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</si>
  <si>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</si>
  <si>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</si>
  <si>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</si>
  <si>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</si>
  <si>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</si>
  <si>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</si>
  <si>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</si>
  <si>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</si>
  <si>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</si>
  <si>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</si>
  <si>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</si>
  <si>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</si>
  <si>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</si>
  <si>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</si>
  <si>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</si>
  <si>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</si>
  <si>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</si>
  <si>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</si>
  <si>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</si>
  <si>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</si>
  <si>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</si>
  <si>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</si>
  <si>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</si>
  <si>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</si>
  <si>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</si>
  <si>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</si>
  <si>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</si>
  <si>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</si>
  <si>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</si>
  <si>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</si>
  <si>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</si>
  <si>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</si>
  <si>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</si>
  <si>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</si>
  <si>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</si>
  <si>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</si>
  <si>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</si>
  <si>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</si>
  <si>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</si>
  <si>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</si>
  <si>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</si>
  <si>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</si>
  <si>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</si>
  <si>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</si>
  <si>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</si>
  <si>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</si>
  <si>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</si>
  <si>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</si>
  <si>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</si>
  <si>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</si>
  <si>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</si>
  <si>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</si>
  <si>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</si>
  <si>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</si>
  <si>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</si>
  <si>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</si>
  <si>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</si>
  <si>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</si>
  <si>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</si>
  <si>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</si>
  <si>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</si>
  <si>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</si>
  <si>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</si>
  <si>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</si>
  <si>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</si>
  <si>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</si>
  <si>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</si>
  <si>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</si>
  <si>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</si>
  <si>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</si>
  <si>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</si>
  <si>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</si>
  <si>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</si>
  <si>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</si>
  <si>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</si>
  <si>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</si>
  <si>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</si>
  <si>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</si>
  <si>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</si>
  <si>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</si>
  <si>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</si>
  <si>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</si>
  <si>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</si>
  <si>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</si>
  <si>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</si>
  <si>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</si>
  <si>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</si>
  <si>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אשראי חוץ בנקאי</t>
  </si>
  <si>
    <t>ביוטכנולוגיה</t>
  </si>
  <si>
    <t>ביטוח</t>
  </si>
  <si>
    <t>בנייה</t>
  </si>
  <si>
    <t>השקעות בהייטק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</si>
  <si>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</si>
  <si>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</si>
  <si>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</si>
  <si>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</si>
  <si>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</si>
  <si>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</si>
  <si>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</si>
  <si>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</si>
  <si>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</si>
  <si>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</si>
  <si>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</si>
  <si>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</si>
  <si>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</si>
  <si>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</si>
  <si>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</si>
  <si>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</si>
  <si>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</si>
  <si>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</si>
  <si>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</si>
  <si>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</si>
  <si>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</si>
  <si>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</si>
  <si>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</si>
  <si>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</si>
  <si>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</si>
  <si>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</si>
  <si>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</si>
  <si>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</si>
  <si>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</si>
  <si>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</si>
  <si>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</si>
  <si>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</si>
  <si>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</si>
  <si>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</si>
  <si>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</si>
  <si>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</si>
  <si>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</si>
  <si>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</si>
  <si>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</si>
  <si>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</si>
  <si>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</si>
  <si>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</si>
  <si>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</si>
  <si>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</si>
  <si>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</si>
  <si>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</si>
  <si>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</si>
  <si>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</si>
  <si>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</si>
  <si>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</si>
  <si>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</si>
  <si>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</si>
  <si>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</si>
  <si>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</si>
  <si>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</si>
  <si>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</si>
  <si>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</si>
  <si>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</si>
  <si>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</si>
  <si>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</si>
  <si>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</si>
  <si>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</si>
  <si>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</si>
  <si>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</si>
  <si>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</si>
  <si>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</si>
  <si>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</si>
  <si>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</si>
  <si>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</si>
  <si>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</si>
  <si>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</si>
  <si>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</si>
  <si>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</si>
  <si>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</si>
  <si>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</si>
  <si>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</si>
  <si>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</si>
  <si>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</si>
  <si>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</si>
  <si>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</si>
  <si>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</si>
  <si>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</si>
  <si>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</si>
  <si>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</si>
  <si>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</si>
  <si>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</si>
  <si>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</si>
  <si>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</si>
  <si>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</si>
  <si>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</si>
  <si>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</si>
  <si>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</si>
  <si>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</si>
  <si>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</si>
  <si>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</si>
  <si>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</si>
  <si>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</si>
  <si>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</si>
  <si>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</si>
  <si>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</si>
  <si>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</si>
  <si>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</si>
  <si>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</si>
  <si>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</si>
  <si>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</si>
  <si>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</si>
  <si>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</si>
  <si>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</si>
  <si>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</si>
  <si>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</si>
  <si>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</si>
  <si>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</si>
  <si>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</si>
  <si>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</si>
  <si>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</si>
  <si>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</si>
  <si>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</si>
  <si>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</si>
  <si>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</si>
  <si>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</si>
  <si>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</si>
  <si>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</si>
  <si>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</si>
  <si>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</si>
  <si>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</si>
  <si>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</si>
  <si>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</si>
  <si>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</si>
  <si>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</si>
  <si>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</si>
  <si>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</si>
  <si>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</si>
  <si>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</si>
  <si>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</si>
  <si>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</si>
  <si>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</si>
  <si>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</si>
  <si>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</si>
  <si>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</si>
  <si>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</si>
  <si>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</si>
  <si>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</si>
  <si>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</si>
  <si>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</si>
  <si>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</si>
  <si>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</si>
  <si>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</si>
  <si>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</si>
  <si>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</si>
  <si>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</si>
  <si>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</si>
  <si>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</si>
  <si>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</si>
  <si>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</si>
  <si>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</si>
  <si>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</si>
  <si>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</si>
  <si>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</si>
  <si>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</si>
  <si>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</si>
  <si>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</si>
  <si>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</si>
  <si>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</si>
  <si>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</si>
  <si>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</si>
  <si>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</si>
  <si>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</si>
  <si>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</si>
  <si>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</si>
  <si>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</si>
  <si>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</si>
  <si>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</si>
  <si>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</si>
  <si>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</si>
  <si>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</si>
  <si>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</si>
  <si>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</si>
  <si>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</si>
  <si>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</si>
  <si>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</si>
  <si>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</si>
  <si>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</si>
  <si>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</si>
  <si>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</si>
  <si>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</si>
  <si>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</si>
  <si>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</si>
  <si>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</si>
  <si>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</si>
  <si>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</si>
  <si>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</si>
  <si>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</si>
  <si>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</si>
  <si>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</si>
  <si>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</si>
  <si>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</si>
  <si>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</si>
  <si>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</si>
  <si>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</si>
  <si>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</si>
  <si>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</si>
  <si>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</si>
  <si>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</si>
  <si>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</si>
  <si>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</si>
  <si>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</si>
  <si>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</si>
  <si>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</si>
  <si>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</si>
  <si>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</si>
  <si>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</si>
  <si>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</si>
  <si>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</si>
  <si>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</si>
  <si>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</si>
  <si>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</si>
  <si>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</si>
  <si>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</si>
  <si>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</si>
  <si>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</si>
  <si>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</si>
  <si>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</si>
  <si>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</si>
  <si>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</si>
  <si>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</si>
  <si>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</si>
  <si>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</si>
  <si>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</si>
  <si>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</si>
  <si>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</si>
  <si>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</si>
  <si>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</si>
  <si>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</si>
  <si>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</si>
  <si>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</si>
  <si>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</si>
  <si>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</si>
  <si>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</si>
  <si>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</si>
  <si>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</si>
  <si>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</si>
  <si>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</si>
  <si>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</si>
  <si>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</si>
  <si>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</si>
  <si>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</si>
  <si>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</si>
  <si>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</si>
  <si>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</si>
  <si>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</si>
  <si>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</si>
  <si>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</si>
  <si>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</si>
  <si>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</si>
  <si>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</si>
  <si>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</si>
  <si>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</si>
  <si>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</si>
  <si>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</si>
  <si>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</si>
  <si>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</si>
  <si>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</si>
  <si>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</si>
  <si>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</si>
  <si>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</si>
  <si>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</si>
  <si>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</si>
  <si>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</si>
  <si>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</si>
  <si>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</si>
  <si>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</si>
  <si>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</si>
  <si>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</si>
  <si>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</si>
  <si>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</si>
  <si>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</si>
  <si>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</si>
  <si>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</si>
  <si>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</si>
  <si>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</si>
  <si>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</si>
  <si>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</si>
  <si>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</si>
  <si>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</si>
  <si>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</si>
  <si>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</si>
  <si>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</si>
  <si>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</si>
  <si>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</si>
  <si>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</si>
  <si>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</si>
  <si>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</si>
  <si>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</si>
  <si>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</si>
  <si>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</si>
  <si>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</si>
  <si>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</si>
  <si>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</si>
  <si>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</si>
  <si>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</si>
  <si>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</si>
  <si>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</si>
  <si>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</si>
  <si>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</si>
  <si>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</si>
  <si>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</si>
  <si>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</si>
  <si>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</si>
  <si>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</si>
  <si>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</si>
  <si>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</si>
  <si>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</si>
  <si>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</si>
  <si>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</si>
  <si>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</si>
  <si>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</si>
  <si>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</si>
  <si>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</si>
  <si>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</si>
  <si>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</si>
  <si>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</si>
  <si>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</si>
  <si>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</si>
  <si>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</si>
  <si>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</si>
  <si>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</si>
  <si>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</si>
  <si>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</si>
  <si>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</si>
  <si>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</si>
  <si>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</si>
  <si>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</si>
  <si>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</si>
  <si>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</si>
  <si>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</si>
  <si>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</si>
  <si>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</si>
  <si>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</si>
  <si>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</si>
  <si>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</si>
  <si>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</si>
  <si>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</si>
  <si>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</si>
  <si>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</si>
  <si>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</si>
  <si>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</si>
  <si>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</si>
  <si>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</si>
  <si>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</si>
  <si>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</si>
  <si>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</si>
  <si>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</si>
  <si>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</si>
  <si>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</si>
  <si>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</si>
  <si>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</si>
  <si>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</si>
  <si>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</si>
  <si>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Core</t>
  </si>
  <si>
    <t>Core-Plus</t>
  </si>
  <si>
    <t>Opportunistic Infrastructure</t>
  </si>
  <si>
    <t>Direct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</si>
  <si>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</si>
  <si>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</si>
  <si>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</si>
  <si>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</si>
  <si>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</si>
  <si>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</si>
  <si>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</si>
  <si>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</si>
  <si>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</si>
  <si>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</si>
  <si>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</si>
  <si>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</si>
  <si>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</si>
  <si>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</si>
  <si>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</si>
  <si>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</si>
  <si>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</si>
  <si>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</si>
  <si>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</si>
  <si>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</si>
  <si>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</si>
  <si>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</si>
  <si>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</si>
  <si>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</si>
  <si>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</si>
  <si>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</si>
  <si>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</si>
  <si>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</si>
  <si>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</si>
  <si>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</si>
  <si>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</si>
  <si>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</si>
  <si>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</si>
  <si>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</si>
  <si>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</si>
  <si>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</si>
  <si>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</si>
  <si>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</si>
  <si>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</si>
  <si>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</si>
  <si>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</si>
  <si>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</si>
  <si>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</si>
  <si>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</si>
  <si>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</si>
  <si>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</si>
  <si>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</si>
  <si>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</si>
  <si>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</si>
  <si>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</si>
  <si>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</si>
  <si>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</si>
  <si>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</si>
  <si>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</si>
  <si>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</si>
  <si>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</si>
  <si>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</si>
  <si>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</si>
  <si>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</si>
  <si>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</si>
  <si>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</si>
  <si>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</si>
  <si>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</si>
  <si>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</si>
  <si>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</si>
  <si>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</si>
  <si>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</si>
  <si>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</si>
  <si>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</si>
  <si>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</si>
  <si>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</si>
  <si>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</si>
  <si>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</si>
  <si>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</si>
  <si>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</si>
  <si>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</si>
  <si>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</si>
  <si>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</si>
  <si>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</si>
  <si>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</si>
  <si>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</si>
  <si>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</si>
  <si>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</si>
  <si>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</si>
  <si>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</si>
  <si>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</si>
  <si>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</si>
  <si>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</si>
  <si>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</si>
  <si>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</si>
  <si>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</si>
  <si>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</si>
  <si>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</si>
  <si>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</si>
  <si>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</si>
  <si>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</si>
  <si>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</si>
  <si>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</si>
  <si>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</si>
  <si>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</si>
  <si>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</si>
  <si>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</si>
  <si>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</si>
  <si>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</si>
  <si>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</si>
  <si>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</si>
  <si>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</si>
  <si>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</si>
  <si>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</si>
  <si>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</si>
  <si>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</si>
  <si>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</si>
  <si>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</si>
  <si>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</si>
  <si>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</si>
  <si>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</si>
  <si>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</si>
  <si>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</si>
  <si>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</si>
  <si>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</si>
  <si>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</si>
  <si>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</si>
  <si>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</si>
  <si>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</si>
  <si>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</si>
  <si>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</si>
  <si>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</si>
  <si>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</si>
  <si>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</si>
  <si>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</si>
  <si>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</si>
  <si>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</si>
  <si>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</si>
  <si>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</si>
  <si>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</si>
  <si>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</si>
  <si>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</si>
  <si>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</si>
  <si>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</si>
  <si>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</si>
  <si>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</si>
  <si>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</si>
  <si>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</si>
  <si>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</si>
  <si>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</si>
  <si>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</si>
  <si>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</si>
  <si>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</si>
  <si>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</si>
  <si>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</si>
  <si>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</si>
  <si>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</si>
  <si>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</si>
  <si>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</si>
  <si>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</si>
  <si>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</si>
  <si>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</si>
  <si>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</si>
  <si>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</si>
  <si>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</si>
  <si>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</si>
  <si>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</si>
  <si>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</si>
  <si>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</si>
  <si>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</si>
  <si>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</si>
  <si>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</si>
  <si>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</si>
  <si>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</si>
  <si>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</si>
  <si>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</si>
  <si>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</si>
  <si>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</si>
  <si>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</si>
  <si>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</si>
  <si>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</si>
  <si>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</si>
  <si>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</si>
  <si>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</si>
  <si>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</si>
  <si>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</si>
  <si>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</si>
  <si>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</si>
  <si>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</si>
  <si>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</si>
  <si>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</si>
  <si>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</si>
  <si>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</si>
  <si>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</si>
  <si>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</si>
  <si>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</si>
  <si>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</si>
  <si>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</si>
  <si>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</si>
  <si>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</si>
  <si>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</si>
  <si>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</si>
  <si>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</si>
  <si>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</si>
  <si>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</si>
  <si>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</si>
  <si>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</si>
  <si>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</si>
  <si>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</si>
  <si>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</si>
  <si>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</si>
  <si>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</si>
  <si>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</si>
  <si>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</si>
  <si>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</si>
  <si>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</si>
  <si>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</si>
  <si>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</si>
  <si>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</si>
  <si>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</si>
  <si>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</si>
  <si>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</si>
  <si>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</si>
  <si>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</si>
  <si>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</si>
  <si>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</si>
  <si>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</si>
  <si>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</si>
  <si>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</si>
  <si>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</si>
  <si>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</si>
  <si>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</si>
  <si>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</si>
  <si>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</si>
  <si>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</si>
  <si>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</si>
  <si>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</si>
  <si>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</si>
  <si>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</si>
  <si>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</si>
  <si>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</si>
  <si>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</si>
  <si>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</si>
  <si>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</si>
  <si>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</si>
  <si>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</si>
  <si>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</si>
  <si>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</si>
  <si>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</si>
  <si>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</si>
  <si>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</si>
  <si>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</si>
  <si>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</si>
  <si>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</si>
  <si>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</si>
  <si>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</si>
  <si>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</si>
  <si>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</si>
  <si>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</si>
  <si>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</si>
  <si>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</si>
  <si>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</si>
  <si>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</si>
  <si>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</si>
  <si>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</si>
  <si>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</si>
  <si>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</si>
  <si>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</si>
  <si>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</si>
  <si>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</si>
  <si>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</si>
  <si>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</si>
  <si>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</si>
  <si>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</si>
  <si>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</si>
  <si>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</si>
  <si>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</si>
  <si>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</si>
  <si>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</si>
  <si>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</si>
  <si>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</si>
  <si>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</si>
  <si>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</si>
  <si>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</si>
  <si>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</si>
  <si>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</si>
  <si>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</si>
  <si>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</si>
  <si>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</si>
  <si>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</si>
  <si>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</si>
  <si>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</si>
  <si>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</si>
  <si>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</si>
  <si>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</si>
  <si>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</si>
  <si>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</si>
  <si>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</si>
  <si>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</si>
  <si>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</si>
  <si>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</si>
  <si>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</si>
  <si>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</si>
  <si>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</si>
  <si>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</si>
  <si>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</si>
  <si>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</si>
  <si>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</si>
  <si>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</si>
  <si>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</si>
  <si>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</si>
  <si>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</si>
  <si>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</si>
  <si>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</si>
  <si>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</si>
  <si>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</si>
  <si>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</si>
  <si>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</si>
  <si>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</si>
  <si>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</si>
  <si>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</si>
  <si>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</si>
  <si>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</si>
  <si>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</si>
  <si>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</si>
  <si>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</si>
  <si>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</si>
  <si>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</si>
  <si>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</si>
  <si>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</si>
  <si>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</si>
  <si>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</si>
  <si>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</si>
  <si>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</si>
  <si>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</si>
  <si>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</si>
  <si>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</si>
  <si>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</si>
  <si>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</si>
  <si>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</si>
  <si>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</si>
  <si>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</si>
  <si>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</si>
  <si>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</si>
  <si>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</si>
  <si>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</si>
  <si>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</si>
  <si>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</si>
  <si>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</si>
  <si>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</si>
  <si>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</si>
  <si>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</si>
  <si>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</si>
  <si>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</si>
  <si>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</si>
  <si>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</si>
  <si>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</si>
  <si>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</si>
  <si>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</si>
  <si>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</si>
  <si>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</si>
  <si>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</si>
  <si>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</si>
  <si>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</si>
  <si>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</si>
  <si>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</si>
  <si>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</si>
  <si>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</si>
  <si>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</si>
  <si>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</si>
  <si>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</si>
  <si>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</si>
  <si>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</si>
  <si>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</si>
  <si>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</si>
  <si>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</si>
  <si>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</si>
  <si>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</si>
  <si>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</si>
  <si>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</si>
  <si>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</si>
  <si>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</si>
  <si>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</si>
  <si>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</si>
  <si>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</si>
  <si>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</si>
  <si>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</si>
  <si>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</si>
  <si>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</si>
  <si>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</si>
  <si>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</si>
  <si>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</si>
  <si>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</si>
  <si>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</si>
  <si>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</si>
  <si>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1131</t>
  </si>
  <si>
    <t>IL0011722209</t>
  </si>
  <si>
    <t>RF</t>
  </si>
  <si>
    <t>5.647</t>
  </si>
  <si>
    <t>30/11/2031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</si>
  <si>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</si>
  <si>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</si>
  <si>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</si>
  <si>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</si>
  <si>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</si>
  <si>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</si>
  <si>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</si>
  <si>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</si>
  <si>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</si>
  <si>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</si>
  <si>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</si>
  <si>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</si>
  <si>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</si>
  <si>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</si>
  <si>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</si>
  <si>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</si>
  <si>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</si>
  <si>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</si>
  <si>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</si>
  <si>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</si>
  <si>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</si>
  <si>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</si>
  <si>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</si>
  <si>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</si>
  <si>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</si>
  <si>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</si>
  <si>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</si>
  <si>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</si>
  <si>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</si>
  <si>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</si>
  <si>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</si>
  <si>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</si>
  <si>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ממשלתית צמודה 1.6% 1033</t>
  </si>
  <si>
    <t>IL0012043795</t>
  </si>
  <si>
    <t>7.147</t>
  </si>
  <si>
    <t>31/10/2033</t>
  </si>
  <si>
    <t>ממשלתי צמוד 841</t>
  </si>
  <si>
    <t>IL0011205833</t>
  </si>
  <si>
    <t>12.693</t>
  </si>
  <si>
    <t>30/08/2041</t>
  </si>
  <si>
    <t>ממשלתית שקלית 0537</t>
  </si>
  <si>
    <t>IL0011661803</t>
  </si>
  <si>
    <t>10.056</t>
  </si>
  <si>
    <t>31/05/2037</t>
  </si>
  <si>
    <t>מקמ       516</t>
  </si>
  <si>
    <t>IL0082605150</t>
  </si>
  <si>
    <t>0.090</t>
  </si>
  <si>
    <t>06/05/2026</t>
  </si>
  <si>
    <t>מקמ       816</t>
  </si>
  <si>
    <t>IL0082608121</t>
  </si>
  <si>
    <t>0.340</t>
  </si>
  <si>
    <t>06/08/2026</t>
  </si>
  <si>
    <t>US GOV</t>
  </si>
  <si>
    <t>T 3 3/8 05/15/33</t>
  </si>
  <si>
    <t>US91282CHC82</t>
  </si>
  <si>
    <t>Aa1</t>
  </si>
  <si>
    <t>6.448</t>
  </si>
  <si>
    <t>15/05/2033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</si>
  <si>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</si>
  <si>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</si>
  <si>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</si>
  <si>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</si>
  <si>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</si>
  <si>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</si>
  <si>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</si>
  <si>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</si>
  <si>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 שקלית 0327</t>
  </si>
  <si>
    <t>IL0011393449</t>
  </si>
  <si>
    <t>0.992</t>
  </si>
  <si>
    <t>31/03/2027</t>
  </si>
  <si>
    <t>ממשלתי שקלי  1026</t>
  </si>
  <si>
    <t>IL0010994569</t>
  </si>
  <si>
    <t>0.575</t>
  </si>
  <si>
    <t>30/10/2026</t>
  </si>
  <si>
    <t>T 3 7/8 08/15/34</t>
  </si>
  <si>
    <t>US91282CLF67</t>
  </si>
  <si>
    <t>7.202</t>
  </si>
  <si>
    <t>15/08/2034</t>
  </si>
  <si>
    <t>US Govt</t>
  </si>
  <si>
    <t>T 4 5/8 02/15/35</t>
  </si>
  <si>
    <t>US91282CMM00</t>
  </si>
  <si>
    <t>7.363</t>
  </si>
  <si>
    <t>15/02/2035</t>
  </si>
  <si>
    <t>ממשל צמודה 0545</t>
  </si>
  <si>
    <t>IL0011348658</t>
  </si>
  <si>
    <t>17.132</t>
  </si>
  <si>
    <t>31/05/2045</t>
  </si>
  <si>
    <t>ממשל שיקלית 0928</t>
  </si>
  <si>
    <t>IL0011508798</t>
  </si>
  <si>
    <t>2.423</t>
  </si>
  <si>
    <t>28/09/2028</t>
  </si>
  <si>
    <t>ממשל צמודה 0527</t>
  </si>
  <si>
    <t>IL0011408478</t>
  </si>
  <si>
    <t>1.151</t>
  </si>
  <si>
    <t>31/05/2027</t>
  </si>
  <si>
    <t>ממשלתי צמודה 0536</t>
  </si>
  <si>
    <t>IL0010977085</t>
  </si>
  <si>
    <t>8.451</t>
  </si>
  <si>
    <t>30/05/2036</t>
  </si>
  <si>
    <t>ISRAEL 5 01/13/36</t>
  </si>
  <si>
    <t>US46515CJZ86</t>
  </si>
  <si>
    <t>Baa1</t>
  </si>
  <si>
    <t>7.920</t>
  </si>
  <si>
    <t>13/01/2036</t>
  </si>
  <si>
    <t>ISRAEL 5 1/2 03/12/34</t>
  </si>
  <si>
    <t>US46514BRL35</t>
  </si>
  <si>
    <t>6.544</t>
  </si>
  <si>
    <t>12/03/2034</t>
  </si>
  <si>
    <t>T 4 7/8 10/31/28</t>
  </si>
  <si>
    <t>US91282CJF95</t>
  </si>
  <si>
    <t>2.571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</si>
  <si>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</si>
  <si>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</si>
  <si>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</si>
  <si>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</si>
  <si>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</si>
  <si>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</si>
  <si>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</si>
  <si>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</si>
  <si>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</si>
  <si>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</si>
  <si>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</si>
  <si>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</si>
  <si>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1.878</t>
  </si>
  <si>
    <t>28/02/2029</t>
  </si>
  <si>
    <t>איירפורט אגח י</t>
  </si>
  <si>
    <t>IL0011959819</t>
  </si>
  <si>
    <t>1.681</t>
  </si>
  <si>
    <t>30/04/2029</t>
  </si>
  <si>
    <t>אלבר שירותי מימונית בע"מ</t>
  </si>
  <si>
    <t>512025891</t>
  </si>
  <si>
    <t>אלבר אגח כ</t>
  </si>
  <si>
    <t>IL0011918328</t>
  </si>
  <si>
    <t>1.173</t>
  </si>
  <si>
    <t>20/06/2028</t>
  </si>
  <si>
    <t>אלוני-חץ נכסים והשקעות בע"מ</t>
  </si>
  <si>
    <t>520038506</t>
  </si>
  <si>
    <t>אלוני חץ אגח טו</t>
  </si>
  <si>
    <t>IL0011894149</t>
  </si>
  <si>
    <t>AA-</t>
  </si>
  <si>
    <t>5.854</t>
  </si>
  <si>
    <t>27/02/2037</t>
  </si>
  <si>
    <t>אלוני חץ אגח יב</t>
  </si>
  <si>
    <t>IL0039004952</t>
  </si>
  <si>
    <t>3.031</t>
  </si>
  <si>
    <t>28/02/2031</t>
  </si>
  <si>
    <t>אלקטרה בע"מ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</si>
  <si>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</si>
  <si>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</si>
  <si>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</si>
  <si>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</si>
  <si>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</si>
  <si>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</si>
  <si>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ו</t>
  </si>
  <si>
    <t>IL0011586091</t>
  </si>
  <si>
    <t>2.130</t>
  </si>
  <si>
    <t>03/10/2029</t>
  </si>
  <si>
    <t>אמות אגח ז</t>
  </si>
  <si>
    <t>IL0011628661</t>
  </si>
  <si>
    <t>4.031</t>
  </si>
  <si>
    <t>05/01/2032</t>
  </si>
  <si>
    <t>אמות אגח ח</t>
  </si>
  <si>
    <t>IL0011727828</t>
  </si>
  <si>
    <t>4.161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</si>
  <si>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</si>
  <si>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</si>
  <si>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</si>
  <si>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</si>
  <si>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</si>
  <si>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</si>
  <si>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אנלייט אנרגיה אגח ד</t>
  </si>
  <si>
    <t>IL0072002566</t>
  </si>
  <si>
    <t>2.339</t>
  </si>
  <si>
    <t>02/09/2029</t>
  </si>
  <si>
    <t>ארפורט אגח ט</t>
  </si>
  <si>
    <t>IL0011609448</t>
  </si>
  <si>
    <t>4.381</t>
  </si>
  <si>
    <t>30/08/2035</t>
  </si>
  <si>
    <t>ביג אגח טו</t>
  </si>
  <si>
    <t>IL0011622219</t>
  </si>
  <si>
    <t>Aa3</t>
  </si>
  <si>
    <t>3.041</t>
  </si>
  <si>
    <t>31/01/2030</t>
  </si>
  <si>
    <t>ביג אגח כ</t>
  </si>
  <si>
    <t>IL0011861882</t>
  </si>
  <si>
    <t>4.233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</si>
  <si>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</si>
  <si>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</si>
  <si>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</si>
  <si>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</si>
  <si>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</si>
  <si>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2.094</t>
  </si>
  <si>
    <t>חברת גב-ים לקרקעות בע"מ</t>
  </si>
  <si>
    <t>520001736</t>
  </si>
  <si>
    <t>גב ים אגח י</t>
  </si>
  <si>
    <t>IL0075902846</t>
  </si>
  <si>
    <t>3.721</t>
  </si>
  <si>
    <t>01/07/2035</t>
  </si>
  <si>
    <t>ג'י סיטי בע"מ</t>
  </si>
  <si>
    <t>520033234</t>
  </si>
  <si>
    <t>ג'י סיטי  אגח יג</t>
  </si>
  <si>
    <t>IL0012606526</t>
  </si>
  <si>
    <t>A-</t>
  </si>
  <si>
    <t>1.765</t>
  </si>
  <si>
    <t>30/06/2028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</si>
  <si>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</si>
  <si>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</si>
  <si>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</si>
  <si>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</si>
  <si>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</si>
  <si>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</si>
  <si>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</si>
  <si>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</si>
  <si>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</si>
  <si>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</si>
  <si>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אגח יד</t>
  </si>
  <si>
    <t>IL0074801635</t>
  </si>
  <si>
    <t>2.543</t>
  </si>
  <si>
    <t>05/12/2030</t>
  </si>
  <si>
    <t>דיסקונט מנ נד י</t>
  </si>
  <si>
    <t>IL0012110693</t>
  </si>
  <si>
    <t>4.358</t>
  </si>
  <si>
    <t>30/11/2030</t>
  </si>
  <si>
    <t>חברת הכשרת הישוב בישראל בע"מ</t>
  </si>
  <si>
    <t>520020116</t>
  </si>
  <si>
    <t>הכשרת הישוב אגח 25</t>
  </si>
  <si>
    <t>IL0011915274</t>
  </si>
  <si>
    <t>2.456</t>
  </si>
  <si>
    <t>31/12/2029</t>
  </si>
  <si>
    <t>הכשרת ישוב אגח 21</t>
  </si>
  <si>
    <t>IL0061202243</t>
  </si>
  <si>
    <t>1.651</t>
  </si>
  <si>
    <t>31/12/2027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</si>
  <si>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</si>
  <si>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</si>
  <si>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</si>
  <si>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</si>
  <si>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</si>
  <si>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</si>
  <si>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</si>
  <si>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</si>
  <si>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</si>
  <si>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</si>
  <si>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</si>
  <si>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31/12/2035</t>
  </si>
  <si>
    <t>החברה לישראל בע"מ</t>
  </si>
  <si>
    <t>520028010</t>
  </si>
  <si>
    <t>חברה לישראל אגח 14</t>
  </si>
  <si>
    <t>IL0057603016</t>
  </si>
  <si>
    <t>1.326</t>
  </si>
  <si>
    <t xml:space="preserve">קבוצת חג'ג' ייזום נדל"ן בע"מ </t>
  </si>
  <si>
    <t>520033309</t>
  </si>
  <si>
    <t>חג'ג' אגח יד 01/01/2028</t>
  </si>
  <si>
    <t>IL0012066069</t>
  </si>
  <si>
    <t>1.236</t>
  </si>
  <si>
    <t>01/01/2028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</si>
  <si>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</si>
  <si>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</si>
  <si>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</si>
  <si>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</si>
  <si>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</si>
  <si>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</si>
  <si>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31</t>
  </si>
  <si>
    <t>IL0060002859</t>
  </si>
  <si>
    <t>4.479</t>
  </si>
  <si>
    <t>19/09/2031</t>
  </si>
  <si>
    <t>חשמל אגח 34</t>
  </si>
  <si>
    <t>IL0011967812</t>
  </si>
  <si>
    <t>6.481</t>
  </si>
  <si>
    <t>12/06/2033</t>
  </si>
  <si>
    <t>יוניברסל מוטורס  ישראל בע"מ</t>
  </si>
  <si>
    <t>511809071</t>
  </si>
  <si>
    <t>יוניברסל  אגח ג</t>
  </si>
  <si>
    <t>IL0011606709</t>
  </si>
  <si>
    <t>0.723</t>
  </si>
  <si>
    <t>10/08/2027</t>
  </si>
  <si>
    <t>יוניברסל אגח ד</t>
  </si>
  <si>
    <t>IL0011722530</t>
  </si>
  <si>
    <t>1.429</t>
  </si>
  <si>
    <t>11/02/2029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</si>
  <si>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</si>
  <si>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</si>
  <si>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</si>
  <si>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</si>
  <si>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</si>
  <si>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</si>
  <si>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ישרס אגח יח</t>
  </si>
  <si>
    <t>IL0061302803</t>
  </si>
  <si>
    <t>3.647</t>
  </si>
  <si>
    <t>10/04/2030</t>
  </si>
  <si>
    <t>520024647</t>
  </si>
  <si>
    <t>כלל הון אגח טו</t>
  </si>
  <si>
    <t>IL0012303090</t>
  </si>
  <si>
    <t>8.153</t>
  </si>
  <si>
    <t>31/10/2036</t>
  </si>
  <si>
    <t>כללביט מימון בע"מ</t>
  </si>
  <si>
    <t>513754069</t>
  </si>
  <si>
    <t>כלל מימון אגח יב</t>
  </si>
  <si>
    <t>IL0011799280</t>
  </si>
  <si>
    <t>5.577</t>
  </si>
  <si>
    <t>31/03/2032</t>
  </si>
  <si>
    <t>לאומי אגח  185</t>
  </si>
  <si>
    <t>IL0012018219</t>
  </si>
  <si>
    <t>1.872</t>
  </si>
  <si>
    <t>31/08/2029</t>
  </si>
  <si>
    <t>לאומי אגח 182</t>
  </si>
  <si>
    <t>IL0060405391</t>
  </si>
  <si>
    <t>1.646</t>
  </si>
  <si>
    <t>25/11/2027</t>
  </si>
  <si>
    <t>לאומי אגח 184</t>
  </si>
  <si>
    <t>IL0060406043</t>
  </si>
  <si>
    <t>1.977</t>
  </si>
  <si>
    <t>05/05/2030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</si>
  <si>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</si>
  <si>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</si>
  <si>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</si>
  <si>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</si>
  <si>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</si>
  <si>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</si>
  <si>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</si>
  <si>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</si>
  <si>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</si>
  <si>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</si>
  <si>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</si>
  <si>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</si>
  <si>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אגח סד' 188</t>
  </si>
  <si>
    <t>IL0012286675</t>
  </si>
  <si>
    <t>6.209</t>
  </si>
  <si>
    <t>01/08/2036</t>
  </si>
  <si>
    <t>לאומי התח נדח' סד' 406</t>
  </si>
  <si>
    <t>IL0012164237</t>
  </si>
  <si>
    <t>4.620</t>
  </si>
  <si>
    <t>28/02/2036</t>
  </si>
  <si>
    <t>לאומי התח נדח סד 407</t>
  </si>
  <si>
    <t>IL0012381955</t>
  </si>
  <si>
    <t>5.355</t>
  </si>
  <si>
    <t>מבנה נדל"ן (כ.ד)  בע"מ</t>
  </si>
  <si>
    <t>520024126</t>
  </si>
  <si>
    <t>מבני תעשיה  אגח כ</t>
  </si>
  <si>
    <t>IL0022604958</t>
  </si>
  <si>
    <t>2.415</t>
  </si>
  <si>
    <t>מגדל ביטוח גיוס הון בע"מ</t>
  </si>
  <si>
    <t>513230029</t>
  </si>
  <si>
    <t>מגדל הון אגח ז</t>
  </si>
  <si>
    <t>IL0011560419</t>
  </si>
  <si>
    <t>0.745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</si>
  <si>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</si>
  <si>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</si>
  <si>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</si>
  <si>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</si>
  <si>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</si>
  <si>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</si>
  <si>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</si>
  <si>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</si>
  <si>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</si>
  <si>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</si>
  <si>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</si>
  <si>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</si>
  <si>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</si>
  <si>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</si>
  <si>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מגה אור אגח ט</t>
  </si>
  <si>
    <t>IL0011651416</t>
  </si>
  <si>
    <t>2.862</t>
  </si>
  <si>
    <t>28/02/2030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</si>
  <si>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</si>
  <si>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</si>
  <si>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</si>
  <si>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</si>
  <si>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</si>
  <si>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</si>
  <si>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 אגח 63</t>
  </si>
  <si>
    <t>IL0023105484</t>
  </si>
  <si>
    <t>2.329</t>
  </si>
  <si>
    <t>13/04/2031</t>
  </si>
  <si>
    <t>מז טפ הנפ אגח61</t>
  </si>
  <si>
    <t>IL0023104644</t>
  </si>
  <si>
    <t>0.671</t>
  </si>
  <si>
    <t>04/12/2026</t>
  </si>
  <si>
    <t>מז טפ הנפק 52</t>
  </si>
  <si>
    <t>IL0023103810</t>
  </si>
  <si>
    <t>4.225</t>
  </si>
  <si>
    <t>01/07/2030</t>
  </si>
  <si>
    <t>מזרחי טפחות הנפק אגח 64</t>
  </si>
  <si>
    <t>IL0023105559</t>
  </si>
  <si>
    <t>2.457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</si>
  <si>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</si>
  <si>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</si>
  <si>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</si>
  <si>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</si>
  <si>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</si>
  <si>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</si>
  <si>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</si>
  <si>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</si>
  <si>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</si>
  <si>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</si>
  <si>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</si>
  <si>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</si>
  <si>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</si>
  <si>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</si>
  <si>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</si>
  <si>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</si>
  <si>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</si>
  <si>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</si>
  <si>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</si>
  <si>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יד</t>
  </si>
  <si>
    <t>IL0032302320</t>
  </si>
  <si>
    <t>0.066</t>
  </si>
  <si>
    <t>27/04/2026</t>
  </si>
  <si>
    <t>מליסרון אגח יז</t>
  </si>
  <si>
    <t>IL0032302734</t>
  </si>
  <si>
    <t>2.860</t>
  </si>
  <si>
    <t>01/01/2032</t>
  </si>
  <si>
    <t>מליסרון אגח כ</t>
  </si>
  <si>
    <t>IL0032304227</t>
  </si>
  <si>
    <t>3.999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</si>
  <si>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</si>
  <si>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</si>
  <si>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</si>
  <si>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</si>
  <si>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</si>
  <si>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</si>
  <si>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אגח ז</t>
  </si>
  <si>
    <t>IL0011841918</t>
  </si>
  <si>
    <t>4.416</t>
  </si>
  <si>
    <t>31/12/2030</t>
  </si>
  <si>
    <t>מנורה הון התח סד' י</t>
  </si>
  <si>
    <t>IL0012290040</t>
  </si>
  <si>
    <t>7.555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</si>
  <si>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</si>
  <si>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</si>
  <si>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</si>
  <si>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</si>
  <si>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</si>
  <si>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</si>
  <si>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</si>
  <si>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ז</t>
  </si>
  <si>
    <t>IL0011786725</t>
  </si>
  <si>
    <t>5.701</t>
  </si>
  <si>
    <t>02/07/2036</t>
  </si>
  <si>
    <t>בנק הפועלים בע"מ</t>
  </si>
  <si>
    <t>520000118</t>
  </si>
  <si>
    <t>פועלים אגח 100</t>
  </si>
  <si>
    <t>IL0066204889</t>
  </si>
  <si>
    <t>2.995</t>
  </si>
  <si>
    <t>09/12/2031</t>
  </si>
  <si>
    <t>פועלים אגח 200</t>
  </si>
  <si>
    <t>IL0066204962</t>
  </si>
  <si>
    <t>3.116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</si>
  <si>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</si>
  <si>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</si>
  <si>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</si>
  <si>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</si>
  <si>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</si>
  <si>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</si>
  <si>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</si>
  <si>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</si>
  <si>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</si>
  <si>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</si>
  <si>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</si>
  <si>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</si>
  <si>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אגח 204</t>
  </si>
  <si>
    <t>IL0012274531</t>
  </si>
  <si>
    <t>4.495</t>
  </si>
  <si>
    <t>21/08/2035</t>
  </si>
  <si>
    <t>פועלים התח נד יב</t>
  </si>
  <si>
    <t>IL0012141219</t>
  </si>
  <si>
    <t>6.012</t>
  </si>
  <si>
    <t>28/11/2032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</si>
  <si>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</si>
  <si>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</si>
  <si>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</si>
  <si>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</si>
  <si>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</si>
  <si>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</si>
  <si>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פז קמעונאות ואנרגיה בע"מ</t>
  </si>
  <si>
    <t>510216054</t>
  </si>
  <si>
    <t>פז נפט  ו</t>
  </si>
  <si>
    <t>IL0011395428</t>
  </si>
  <si>
    <t>1.628</t>
  </si>
  <si>
    <t>30/11/2028</t>
  </si>
  <si>
    <t>קרסו מוטורס בע"מ</t>
  </si>
  <si>
    <t>514065283</t>
  </si>
  <si>
    <t>קרסו מוטורס אגח ד</t>
  </si>
  <si>
    <t>IL0011735664</t>
  </si>
  <si>
    <t>1.340</t>
  </si>
  <si>
    <t>01/10/2028</t>
  </si>
  <si>
    <t>ריט 1 בע"מ</t>
  </si>
  <si>
    <t>513821488</t>
  </si>
  <si>
    <t>ריט 1 אגח ז</t>
  </si>
  <si>
    <t>IL0011712713</t>
  </si>
  <si>
    <t>5.398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</si>
  <si>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</si>
  <si>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</si>
  <si>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</si>
  <si>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</si>
  <si>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</si>
  <si>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3.637</t>
  </si>
  <si>
    <t>30/06/2034</t>
  </si>
  <si>
    <t>ש.שלמה החזקות בע"מ</t>
  </si>
  <si>
    <t>520034372</t>
  </si>
  <si>
    <t>שלמה החז אגח כ</t>
  </si>
  <si>
    <t>IL0011927493</t>
  </si>
  <si>
    <t>2.838</t>
  </si>
  <si>
    <t>21/12/2031</t>
  </si>
  <si>
    <t>בנק מזרחי טפחות בע"מ</t>
  </si>
  <si>
    <t>520000522</t>
  </si>
  <si>
    <t>MZRHIT 3.077 04/07/3</t>
  </si>
  <si>
    <t>IL0069508369</t>
  </si>
  <si>
    <t>BBB-</t>
  </si>
  <si>
    <t>0.178</t>
  </si>
  <si>
    <t>07/04/2031</t>
  </si>
  <si>
    <t>אלבר אגח יט</t>
  </si>
  <si>
    <t>IL0011918245</t>
  </si>
  <si>
    <t>1.097</t>
  </si>
  <si>
    <t>15/05/2028</t>
  </si>
  <si>
    <t>אלדן תחבורה בע"מ</t>
  </si>
  <si>
    <t>510454333</t>
  </si>
  <si>
    <t>אלדן תחבורה אגח ח</t>
  </si>
  <si>
    <t>IL0011924425</t>
  </si>
  <si>
    <t>1.939</t>
  </si>
  <si>
    <t>30/09/2029</t>
  </si>
  <si>
    <t>אמות אגח י</t>
  </si>
  <si>
    <t>IL0012050048</t>
  </si>
  <si>
    <t>7.068</t>
  </si>
  <si>
    <t>05/01/2037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</si>
  <si>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</si>
  <si>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</si>
  <si>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</si>
  <si>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</si>
  <si>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</si>
  <si>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</si>
  <si>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גב ים אגח ח</t>
  </si>
  <si>
    <t>IL0075901517</t>
  </si>
  <si>
    <t>4.120</t>
  </si>
  <si>
    <t>גב ים אגח ט</t>
  </si>
  <si>
    <t>IL0075902192</t>
  </si>
  <si>
    <t>3.259</t>
  </si>
  <si>
    <t>30/06/2033</t>
  </si>
  <si>
    <t>גב ים אגח יא</t>
  </si>
  <si>
    <t>IL0012083395</t>
  </si>
  <si>
    <t>2.404</t>
  </si>
  <si>
    <t>ג'נריישן קפיטל בע"מ</t>
  </si>
  <si>
    <t>515846558</t>
  </si>
  <si>
    <t>ג'נריישן קפיטל אגח ב</t>
  </si>
  <si>
    <t>IL0011775264</t>
  </si>
  <si>
    <t>2.673</t>
  </si>
  <si>
    <t>30/06/2031</t>
  </si>
  <si>
    <t>יוניברסל אגח ו</t>
  </si>
  <si>
    <t>IL0011926164</t>
  </si>
  <si>
    <t>2.296</t>
  </si>
  <si>
    <t>10/02/2031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</si>
  <si>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</si>
  <si>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</si>
  <si>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</si>
  <si>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</si>
  <si>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</si>
  <si>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</si>
  <si>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כלל הון  אגח יד</t>
  </si>
  <si>
    <t>IL0012205246</t>
  </si>
  <si>
    <t>8.194</t>
  </si>
  <si>
    <t>30/09/2039</t>
  </si>
  <si>
    <t>לאומי אגח 179</t>
  </si>
  <si>
    <t>IL0060403727</t>
  </si>
  <si>
    <t>0.241</t>
  </si>
  <si>
    <t>30/06/2026</t>
  </si>
  <si>
    <t>מבנה אגח כה</t>
  </si>
  <si>
    <t>IL0022606367</t>
  </si>
  <si>
    <t>4.693</t>
  </si>
  <si>
    <t>30/09/2033</t>
  </si>
  <si>
    <t>מבני תעשיה אגח יז</t>
  </si>
  <si>
    <t>IL0022604461</t>
  </si>
  <si>
    <t>1.214</t>
  </si>
  <si>
    <t>מזרחי טפ הנפק התח 69</t>
  </si>
  <si>
    <t>IL0012021593</t>
  </si>
  <si>
    <t>3.042</t>
  </si>
  <si>
    <t>25/06/2029</t>
  </si>
  <si>
    <t>פועלים התחייבות נדחים ה'</t>
  </si>
  <si>
    <t>IL0066204624</t>
  </si>
  <si>
    <t>0.373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</si>
  <si>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</si>
  <si>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</si>
  <si>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</si>
  <si>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</si>
  <si>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</si>
  <si>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</si>
  <si>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</si>
  <si>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</si>
  <si>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4.710</t>
  </si>
  <si>
    <t>אמות אגח ד</t>
  </si>
  <si>
    <t>IL0011331498</t>
  </si>
  <si>
    <t>1.213</t>
  </si>
  <si>
    <t>02/07/2028</t>
  </si>
  <si>
    <t>ג'י סיטי אגח יב</t>
  </si>
  <si>
    <t>IL0012606039</t>
  </si>
  <si>
    <t>0.726</t>
  </si>
  <si>
    <t>הכשרת ישוב אגח 22</t>
  </si>
  <si>
    <t>IL0061202409</t>
  </si>
  <si>
    <t>0.735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</si>
  <si>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</si>
  <si>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</si>
  <si>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</si>
  <si>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</si>
  <si>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</si>
  <si>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</si>
  <si>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9.442</t>
  </si>
  <si>
    <t>לאומי התח נדח' סד' 405</t>
  </si>
  <si>
    <t>IL0060406209</t>
  </si>
  <si>
    <t>1.969</t>
  </si>
  <si>
    <t>27/03/2028</t>
  </si>
  <si>
    <t>מבני תעש אגח כג</t>
  </si>
  <si>
    <t>IL0022605450</t>
  </si>
  <si>
    <t>0.493</t>
  </si>
  <si>
    <t>30/09/2026</t>
  </si>
  <si>
    <t>מבני תעשיה אגח טז</t>
  </si>
  <si>
    <t>IL0022604388</t>
  </si>
  <si>
    <t>1.190</t>
  </si>
  <si>
    <t>מז טפ הנ אגח 67</t>
  </si>
  <si>
    <t>IL0011968075</t>
  </si>
  <si>
    <t>3.471</t>
  </si>
  <si>
    <t>מז טפ הנ אגח 68</t>
  </si>
  <si>
    <t>IL0012021429</t>
  </si>
  <si>
    <t>4.008</t>
  </si>
  <si>
    <t>25/12/2033</t>
  </si>
  <si>
    <t>מז טפ הנ אגח 70</t>
  </si>
  <si>
    <t>IL0012138835</t>
  </si>
  <si>
    <t>5.182</t>
  </si>
  <si>
    <t>28/11/2036</t>
  </si>
  <si>
    <t>מליסרון  אגח יח</t>
  </si>
  <si>
    <t>IL0032303724</t>
  </si>
  <si>
    <t>2.175</t>
  </si>
  <si>
    <t>מנורה מבטחים החזקות בע"מ</t>
  </si>
  <si>
    <t>520007469</t>
  </si>
  <si>
    <t>מנורה מב  אגח ג</t>
  </si>
  <si>
    <t>IL0056600633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</si>
  <si>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</si>
  <si>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</si>
  <si>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</si>
  <si>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</si>
  <si>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</si>
  <si>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</si>
  <si>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רבוע נדלן אגח ז</t>
  </si>
  <si>
    <t>IL0011406159</t>
  </si>
  <si>
    <t>0.656</t>
  </si>
  <si>
    <t>שיכון ובינוי בע"מ</t>
  </si>
  <si>
    <t>520036104</t>
  </si>
  <si>
    <t>שיכון ובינוי אגח 8</t>
  </si>
  <si>
    <t>IL0011358889</t>
  </si>
  <si>
    <t>1.513</t>
  </si>
  <si>
    <t>01/05/2029</t>
  </si>
  <si>
    <t>אאורה השקעות בע"מ</t>
  </si>
  <si>
    <t>520038274</t>
  </si>
  <si>
    <t>אאורה אגח טז</t>
  </si>
  <si>
    <t>IL0037305799</t>
  </si>
  <si>
    <t>0.980</t>
  </si>
  <si>
    <t>30/09/2027</t>
  </si>
  <si>
    <t>אאורה אגח יז %3.85 31/01/2029</t>
  </si>
  <si>
    <t>IL0011935801</t>
  </si>
  <si>
    <t>1.831</t>
  </si>
  <si>
    <t>31/01/2029</t>
  </si>
  <si>
    <t>אאורה אגח יט</t>
  </si>
  <si>
    <t>IL0012232968</t>
  </si>
  <si>
    <t>4.313</t>
  </si>
  <si>
    <t>30/08/2032</t>
  </si>
  <si>
    <t>אב-גד החזקות בע"מ</t>
  </si>
  <si>
    <t>514091685</t>
  </si>
  <si>
    <t>אבגד אגח ג</t>
  </si>
  <si>
    <t>IL0012117706</t>
  </si>
  <si>
    <t>2.028</t>
  </si>
  <si>
    <t>אדגר השקעות ופיתוח בע"מ</t>
  </si>
  <si>
    <t>520035171</t>
  </si>
  <si>
    <t>אדגר אגח י</t>
  </si>
  <si>
    <t>IL0018202080</t>
  </si>
  <si>
    <t>0.904</t>
  </si>
  <si>
    <t>01/09/2027</t>
  </si>
  <si>
    <t>אדגר אגח יב</t>
  </si>
  <si>
    <t>IL0018203310</t>
  </si>
  <si>
    <t>3.097</t>
  </si>
  <si>
    <t>31/03/2031</t>
  </si>
  <si>
    <t>אדגר אגח סד יא</t>
  </si>
  <si>
    <t>IL0018202817</t>
  </si>
  <si>
    <t>אזורים-חברה להשקעות בפתוח ובבנין בע"מ</t>
  </si>
  <si>
    <t>520025990</t>
  </si>
  <si>
    <t>אזורים סדרה 14</t>
  </si>
  <si>
    <t>IL0071504448</t>
  </si>
  <si>
    <t>1.541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</si>
  <si>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</si>
  <si>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</si>
  <si>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</si>
  <si>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</si>
  <si>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</si>
  <si>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</si>
  <si>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אלומיי אגח ו</t>
  </si>
  <si>
    <t>IL0012030743</t>
  </si>
  <si>
    <t>2.108</t>
  </si>
  <si>
    <t>אלוני חץ אגח יג</t>
  </si>
  <si>
    <t>IL0011894065</t>
  </si>
  <si>
    <t>5.485</t>
  </si>
  <si>
    <t>01/03/2037</t>
  </si>
  <si>
    <t>אלקטרה נדל"ן בע"מ</t>
  </si>
  <si>
    <t>אלקטרה נדלן אגח ז</t>
  </si>
  <si>
    <t>IL0012035536</t>
  </si>
  <si>
    <t>3.632</t>
  </si>
  <si>
    <t>30/11/2034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</si>
  <si>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</si>
  <si>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</si>
  <si>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</si>
  <si>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</si>
  <si>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</si>
  <si>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</si>
  <si>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יג</t>
  </si>
  <si>
    <t>IL0011782922</t>
  </si>
  <si>
    <t>2.699</t>
  </si>
  <si>
    <t>אפי קפיטל נדל"ן בע"מ</t>
  </si>
  <si>
    <t>513948216</t>
  </si>
  <si>
    <t>אפי קפיטל אגח ג</t>
  </si>
  <si>
    <t>IL0011997447</t>
  </si>
  <si>
    <t>0.721</t>
  </si>
  <si>
    <t>אפקון החזקות בע"מ</t>
  </si>
  <si>
    <t>520033473</t>
  </si>
  <si>
    <t>אפקון החזקות אגח ד</t>
  </si>
  <si>
    <t>IL0057801685</t>
  </si>
  <si>
    <t>1.877</t>
  </si>
  <si>
    <t>01/04/2029</t>
  </si>
  <si>
    <t>אקויטל בע"מ</t>
  </si>
  <si>
    <t>520030859</t>
  </si>
  <si>
    <t>אקויטל אגח 3</t>
  </si>
  <si>
    <t>IL0075501481</t>
  </si>
  <si>
    <t>2.538</t>
  </si>
  <si>
    <t>25/07/2034</t>
  </si>
  <si>
    <t>אשטרום נכסים בע"מ</t>
  </si>
  <si>
    <t>520036617</t>
  </si>
  <si>
    <t>אשטרום נכ אגח 12</t>
  </si>
  <si>
    <t>IL0025102794</t>
  </si>
  <si>
    <t>2.786</t>
  </si>
  <si>
    <t>קבוצת אשטרום</t>
  </si>
  <si>
    <t>510381601</t>
  </si>
  <si>
    <t>אשטרום קבוצה אגח ד</t>
  </si>
  <si>
    <t>IL0011829897</t>
  </si>
  <si>
    <t>2.284</t>
  </si>
  <si>
    <t>אשטרום קבוצה אגח ה</t>
  </si>
  <si>
    <t>IL0011995797</t>
  </si>
  <si>
    <t>4.525</t>
  </si>
  <si>
    <t>31/12/2032</t>
  </si>
  <si>
    <t>בזק החברה הישראלית לתקשורת בע"מ</t>
  </si>
  <si>
    <t>520031931</t>
  </si>
  <si>
    <t>בזק אגח 13</t>
  </si>
  <si>
    <t>IL0023003093</t>
  </si>
  <si>
    <t>6.784</t>
  </si>
  <si>
    <t>02/12/2035</t>
  </si>
  <si>
    <t>בזק אגח 14</t>
  </si>
  <si>
    <t>IL0023003176</t>
  </si>
  <si>
    <t>6.959</t>
  </si>
  <si>
    <t>01/06/2035</t>
  </si>
  <si>
    <t>ביג אג"ח ט'</t>
  </si>
  <si>
    <t>IL0011410508</t>
  </si>
  <si>
    <t>0.710</t>
  </si>
  <si>
    <t>20/12/2026</t>
  </si>
  <si>
    <t>ביג אגח יח</t>
  </si>
  <si>
    <t>IL0011742264</t>
  </si>
  <si>
    <t>3.583</t>
  </si>
  <si>
    <t>30/03/2031</t>
  </si>
  <si>
    <t>בתי זקוק לנפט בע"מ</t>
  </si>
  <si>
    <t>520036658</t>
  </si>
  <si>
    <t>בתי זיקוק אגח יג</t>
  </si>
  <si>
    <t>IL0011953465</t>
  </si>
  <si>
    <t>3.586</t>
  </si>
  <si>
    <t>26/09/2032</t>
  </si>
  <si>
    <t>ג'י סיטי אגח יד</t>
  </si>
  <si>
    <t>IL0012607367</t>
  </si>
  <si>
    <t>4.226</t>
  </si>
  <si>
    <t>30/09/2031</t>
  </si>
  <si>
    <t>דיסקונט מנפיקים הת ד</t>
  </si>
  <si>
    <t>IL0074800496</t>
  </si>
  <si>
    <t>0.010</t>
  </si>
  <si>
    <t>30/10/2022</t>
  </si>
  <si>
    <t>דליה חברות אנרגיה בע"מ</t>
  </si>
  <si>
    <t>516269248</t>
  </si>
  <si>
    <t>דליה אגח א</t>
  </si>
  <si>
    <t>IL0011849515</t>
  </si>
  <si>
    <t>2.993</t>
  </si>
  <si>
    <t>דליה אנרגיה אגח ב</t>
  </si>
  <si>
    <t>IL0011935983</t>
  </si>
  <si>
    <t>5.295</t>
  </si>
  <si>
    <t>01/10/2034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</si>
  <si>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</si>
  <si>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</si>
  <si>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</si>
  <si>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</si>
  <si>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</si>
  <si>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</si>
  <si>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</si>
  <si>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</si>
  <si>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31/03/2035</t>
  </si>
  <si>
    <t>דלק קבוצה אגח לט</t>
  </si>
  <si>
    <t>IL0012057720</t>
  </si>
  <si>
    <t>0.038</t>
  </si>
  <si>
    <t>דלתא-גליל תעשיות בע"מ</t>
  </si>
  <si>
    <t>520025602</t>
  </si>
  <si>
    <t>דלתא אגח א</t>
  </si>
  <si>
    <t>IL0062701441</t>
  </si>
  <si>
    <t>1.364</t>
  </si>
  <si>
    <t>31/08/2028</t>
  </si>
  <si>
    <t>דלתא גליל אגח ו</t>
  </si>
  <si>
    <t>IL0062701938</t>
  </si>
  <si>
    <t>0.736</t>
  </si>
  <si>
    <t>520042177</t>
  </si>
  <si>
    <t>הכשרה חברה לביטוח ד</t>
  </si>
  <si>
    <t>IL0011560252</t>
  </si>
  <si>
    <t>Baa2</t>
  </si>
  <si>
    <t>1.652</t>
  </si>
  <si>
    <t>02/01/2028</t>
  </si>
  <si>
    <t>הראל הנפק אגח יח</t>
  </si>
  <si>
    <t>IL0011826661</t>
  </si>
  <si>
    <t>6.146</t>
  </si>
  <si>
    <t>הראל הנפק אגח כ 31/12/2036</t>
  </si>
  <si>
    <t>IL0012079849</t>
  </si>
  <si>
    <t>6.297</t>
  </si>
  <si>
    <t>01/01/2034</t>
  </si>
  <si>
    <t>חג'ג' אגח יב</t>
  </si>
  <si>
    <t>IL0082303772</t>
  </si>
  <si>
    <t>0.737</t>
  </si>
  <si>
    <t>חשמל אגח 35</t>
  </si>
  <si>
    <t>IL0011967994</t>
  </si>
  <si>
    <t>9.452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</si>
  <si>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</si>
  <si>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</si>
  <si>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</si>
  <si>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</si>
  <si>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</si>
  <si>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3.209</t>
  </si>
  <si>
    <t>31/01/2031</t>
  </si>
  <si>
    <t>ישראל קנדה (ט.ר) בעמ</t>
  </si>
  <si>
    <t>520039298</t>
  </si>
  <si>
    <t>ישראל קנדה אגח ז</t>
  </si>
  <si>
    <t>IL0043402127</t>
  </si>
  <si>
    <t>ישראל קנדה אגחח</t>
  </si>
  <si>
    <t>IL0012078361</t>
  </si>
  <si>
    <t>3.288</t>
  </si>
  <si>
    <t>01/07/2031</t>
  </si>
  <si>
    <t>מגדל ביטוח הון אגח יד</t>
  </si>
  <si>
    <t>IL0012075219</t>
  </si>
  <si>
    <t>6.286</t>
  </si>
  <si>
    <t>מגדל הון אגח יב</t>
  </si>
  <si>
    <t>IL0011975732</t>
  </si>
  <si>
    <t>4.972</t>
  </si>
  <si>
    <t>מגדל הון אגח יג 31/12/2032</t>
  </si>
  <si>
    <t>IL0012075136</t>
  </si>
  <si>
    <t>5.613</t>
  </si>
  <si>
    <t>מגה אור אגח י</t>
  </si>
  <si>
    <t>IL0011783672</t>
  </si>
  <si>
    <t>4.805</t>
  </si>
  <si>
    <t>מגה אור אגח יא</t>
  </si>
  <si>
    <t>IL0011783755</t>
  </si>
  <si>
    <t>4.752</t>
  </si>
  <si>
    <t>מגה אור אגח יב</t>
  </si>
  <si>
    <t>IL0012112830</t>
  </si>
  <si>
    <t>4.345</t>
  </si>
  <si>
    <t>30/04/2033</t>
  </si>
  <si>
    <t>מז  הנפק    46 1.22% 9/2027</t>
  </si>
  <si>
    <t>IL0023102259</t>
  </si>
  <si>
    <t>1.476</t>
  </si>
  <si>
    <t>28/09/2027</t>
  </si>
  <si>
    <t>מזרחי טפ הנפק התח 71</t>
  </si>
  <si>
    <t>IL0012138918</t>
  </si>
  <si>
    <t>4.346</t>
  </si>
  <si>
    <t>25/11/2035</t>
  </si>
  <si>
    <t>מזרחי טפחות הנפק 49</t>
  </si>
  <si>
    <t>IL0023102820</t>
  </si>
  <si>
    <t>0.222</t>
  </si>
  <si>
    <t>23/06/2026</t>
  </si>
  <si>
    <t>מימון ישיר אגח ז</t>
  </si>
  <si>
    <t>IL0012201286</t>
  </si>
  <si>
    <t>4.749</t>
  </si>
  <si>
    <t>מישורים השקעות נדלן בעמ</t>
  </si>
  <si>
    <t>511491839</t>
  </si>
  <si>
    <t>מישורים אגח ט</t>
  </si>
  <si>
    <t>IL0011787970</t>
  </si>
  <si>
    <t>1.998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</si>
  <si>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</si>
  <si>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</si>
  <si>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</si>
  <si>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</si>
  <si>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</si>
  <si>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</si>
  <si>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</si>
  <si>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</si>
  <si>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</si>
  <si>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</si>
  <si>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2.836</t>
  </si>
  <si>
    <t>15/04/2032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</si>
  <si>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</si>
  <si>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</si>
  <si>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</si>
  <si>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</si>
  <si>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</si>
  <si>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</si>
  <si>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נאוויטס פטרוליום, שותפות מוגבלת</t>
  </si>
  <si>
    <t>550263107</t>
  </si>
  <si>
    <t>נאוויטס אגח ז</t>
  </si>
  <si>
    <t>IL0012160433</t>
  </si>
  <si>
    <t>BBB+</t>
  </si>
  <si>
    <t>3.357</t>
  </si>
  <si>
    <t>30/06/2030</t>
  </si>
  <si>
    <t>נאוויטס פטרו אגח ו</t>
  </si>
  <si>
    <t>IL0012048257</t>
  </si>
  <si>
    <t>נורסטאר החזקות אינק  לשעבר גזית אינק</t>
  </si>
  <si>
    <t>511865008</t>
  </si>
  <si>
    <t>נורסטאר   יד</t>
  </si>
  <si>
    <t>IL0012235854</t>
  </si>
  <si>
    <t>3.712</t>
  </si>
  <si>
    <t>חברה לנכסים ולבנין בע"מ</t>
  </si>
  <si>
    <t>520025438</t>
  </si>
  <si>
    <t>נכסים ובנין אגח י</t>
  </si>
  <si>
    <t>IL0011936304</t>
  </si>
  <si>
    <t>2.910</t>
  </si>
  <si>
    <t>סלקום ישראל בע"מ</t>
  </si>
  <si>
    <t>511930125</t>
  </si>
  <si>
    <t>סלקום אגח יב</t>
  </si>
  <si>
    <t>IL0011430803</t>
  </si>
  <si>
    <t>1.242</t>
  </si>
  <si>
    <t>עזריאלי אגח ה</t>
  </si>
  <si>
    <t>IL0011566036</t>
  </si>
  <si>
    <t>1.221</t>
  </si>
  <si>
    <t>עמרם אברהם חברה לבנין בע"מ</t>
  </si>
  <si>
    <t>513201582</t>
  </si>
  <si>
    <t>עמרם אברהם אגח א</t>
  </si>
  <si>
    <t>IL0011880445</t>
  </si>
  <si>
    <t>0.660</t>
  </si>
  <si>
    <t>פועלים אגח 102</t>
  </si>
  <si>
    <t>IL0012234527</t>
  </si>
  <si>
    <t>4.044</t>
  </si>
  <si>
    <t>17/06/2035</t>
  </si>
  <si>
    <t>פניקס הון אגח טז</t>
  </si>
  <si>
    <t>IL0012203340</t>
  </si>
  <si>
    <t>4.838</t>
  </si>
  <si>
    <t>01/11/2034</t>
  </si>
  <si>
    <t>פניקס הון אגח יא</t>
  </si>
  <si>
    <t>IL0011593592</t>
  </si>
  <si>
    <t>2.939</t>
  </si>
  <si>
    <t>פניקס הון אגח יב</t>
  </si>
  <si>
    <t>IL0011955858</t>
  </si>
  <si>
    <t>5.509</t>
  </si>
  <si>
    <t>05/02/2032</t>
  </si>
  <si>
    <t>פרשקובסקי השקעות ובניין בע"מ</t>
  </si>
  <si>
    <t>513817817</t>
  </si>
  <si>
    <t>פרשקובסקי אגח טז</t>
  </si>
  <si>
    <t>IL0012234113</t>
  </si>
  <si>
    <t>4.156</t>
  </si>
  <si>
    <t>פתאל החזקות 1998 בע"מ</t>
  </si>
  <si>
    <t>512607888</t>
  </si>
  <si>
    <t>פתאל החזקות אגח ג</t>
  </si>
  <si>
    <t>IL0011617854</t>
  </si>
  <si>
    <t>2.776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</si>
  <si>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</si>
  <si>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</si>
  <si>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</si>
  <si>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</si>
  <si>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</si>
  <si>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</si>
  <si>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</si>
  <si>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1.720</t>
  </si>
  <si>
    <t>צבי צרפתי השקעות ובנין (1992) בע"מ</t>
  </si>
  <si>
    <t>520039090</t>
  </si>
  <si>
    <t>צרּפתי אגח יב</t>
  </si>
  <si>
    <t>IL0042502703</t>
  </si>
  <si>
    <t>קיסטון אינפרא בע"מ</t>
  </si>
  <si>
    <t>515983476</t>
  </si>
  <si>
    <t>קיסטון ריט אגח א</t>
  </si>
  <si>
    <t>IL0011821878</t>
  </si>
  <si>
    <t>3.258</t>
  </si>
  <si>
    <t>קרסו מוט' אגח ו'</t>
  </si>
  <si>
    <t>IL0012262247</t>
  </si>
  <si>
    <t>3.218</t>
  </si>
  <si>
    <t>28/01/2033</t>
  </si>
  <si>
    <t>קרסו מוטורס   אגח ג</t>
  </si>
  <si>
    <t>IL0011418295</t>
  </si>
  <si>
    <t>0.899</t>
  </si>
  <si>
    <t>קרסו נדלן</t>
  </si>
  <si>
    <t>510488190</t>
  </si>
  <si>
    <t>קרסו נדלן אגח א</t>
  </si>
  <si>
    <t>IL0011900086</t>
  </si>
  <si>
    <t>2.009</t>
  </si>
  <si>
    <t>30/11/2029</t>
  </si>
  <si>
    <t>קרסו נדלן אגח ב</t>
  </si>
  <si>
    <t>IL0012162330</t>
  </si>
  <si>
    <t>4.564</t>
  </si>
  <si>
    <t>ריבוע נדלן אגח ט</t>
  </si>
  <si>
    <t>IL0011745564</t>
  </si>
  <si>
    <t>4.936</t>
  </si>
  <si>
    <t>רני צים מרכזי קניות בע"מ</t>
  </si>
  <si>
    <t>514353671</t>
  </si>
  <si>
    <t>רני צים ג</t>
  </si>
  <si>
    <t>IL0011831935</t>
  </si>
  <si>
    <t>2.522</t>
  </si>
  <si>
    <t>שיכון בנוי11</t>
  </si>
  <si>
    <t>IL0012287665</t>
  </si>
  <si>
    <t>5.029</t>
  </si>
  <si>
    <t>31/03/2033</t>
  </si>
  <si>
    <t>שיכון ובינוי אגח 10</t>
  </si>
  <si>
    <t>IL0011751323</t>
  </si>
  <si>
    <t>1.938</t>
  </si>
  <si>
    <t>30/04/2030</t>
  </si>
  <si>
    <t>שכון ובי אגח 9</t>
  </si>
  <si>
    <t>IL0011673865</t>
  </si>
  <si>
    <t>3.445</t>
  </si>
  <si>
    <t>שפיר הנדסה ותעשיה בע"מ</t>
  </si>
  <si>
    <t>514892801</t>
  </si>
  <si>
    <t>שפיר הנדס אגח ג</t>
  </si>
  <si>
    <t>IL0011784175</t>
  </si>
  <si>
    <t>5.350</t>
  </si>
  <si>
    <t>30/11/2037</t>
  </si>
  <si>
    <t>HAPOAL 3.255 01/21/32</t>
  </si>
  <si>
    <t>IL0066204707</t>
  </si>
  <si>
    <t>0.959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</si>
  <si>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</si>
  <si>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</si>
  <si>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</si>
  <si>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</si>
  <si>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</si>
  <si>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31/07/2024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</si>
  <si>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</si>
  <si>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</si>
  <si>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</si>
  <si>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</si>
  <si>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</si>
  <si>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</si>
  <si>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</si>
  <si>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</si>
  <si>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בזק</t>
  </si>
  <si>
    <t>IL0002300114</t>
  </si>
  <si>
    <t>ביג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</si>
  <si>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</si>
  <si>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</si>
  <si>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</si>
  <si>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</si>
  <si>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</si>
  <si>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</si>
  <si>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</si>
  <si>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</si>
  <si>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</si>
  <si>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</si>
  <si>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</si>
  <si>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</si>
  <si>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</si>
  <si>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</si>
  <si>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</t>
  </si>
  <si>
    <t>IL0004340191</t>
  </si>
  <si>
    <t>לאומי</t>
  </si>
  <si>
    <t>IL0006046119</t>
  </si>
  <si>
    <t>מגה אור</t>
  </si>
  <si>
    <t>IL0011044885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</si>
  <si>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</si>
  <si>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</si>
  <si>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</si>
  <si>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</si>
  <si>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</si>
  <si>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</si>
  <si>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</si>
  <si>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</si>
  <si>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</si>
  <si>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</si>
  <si>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</si>
  <si>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</si>
  <si>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</si>
  <si>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</si>
  <si>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</si>
  <si>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</si>
  <si>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</si>
  <si>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</si>
  <si>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</si>
  <si>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</si>
  <si>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</si>
  <si>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</si>
  <si>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</si>
  <si>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</si>
  <si>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</si>
  <si>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</si>
  <si>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</si>
  <si>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</si>
  <si>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</si>
  <si>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</si>
  <si>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</si>
  <si>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</si>
  <si>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</si>
  <si>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</si>
  <si>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</si>
  <si>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</si>
  <si>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</si>
  <si>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</si>
  <si>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</si>
  <si>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</si>
  <si>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</si>
  <si>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</si>
  <si>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</si>
  <si>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</si>
  <si>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</si>
  <si>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</si>
  <si>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</si>
  <si>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</si>
  <si>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</si>
  <si>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</si>
  <si>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</si>
  <si>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</si>
  <si>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</si>
  <si>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</si>
  <si>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</si>
  <si>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</si>
  <si>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</si>
  <si>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</si>
  <si>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</si>
  <si>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</si>
  <si>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</si>
  <si>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</si>
  <si>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</si>
  <si>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</si>
  <si>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</si>
  <si>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>max sp 500</t>
  </si>
  <si>
    <t>5299001OU9CSE29O6S05</t>
  </si>
  <si>
    <t>RHEINMETALL AG</t>
  </si>
  <si>
    <t>DE0007030009</t>
  </si>
  <si>
    <t>TESLA MOTORS INC</t>
  </si>
  <si>
    <t>54930043XZGB27CTOV49</t>
  </si>
  <si>
    <t>US88160R1014</t>
  </si>
  <si>
    <t>אמות</t>
  </si>
  <si>
    <t>IL0010972789</t>
  </si>
  <si>
    <t>אנרג'יקס</t>
  </si>
  <si>
    <t>IL0011233553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</si>
  <si>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</si>
  <si>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</si>
  <si>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</si>
  <si>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</si>
  <si>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</si>
  <si>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</si>
  <si>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</si>
  <si>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</si>
  <si>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</si>
  <si>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</si>
  <si>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מזרחי טפחות</t>
  </si>
  <si>
    <t>IL0006954379</t>
  </si>
  <si>
    <t>נייס מערכות בע"מ</t>
  </si>
  <si>
    <t>520036872</t>
  </si>
  <si>
    <t>נייס</t>
  </si>
  <si>
    <t>IL0002730112</t>
  </si>
  <si>
    <t>Palo alto networks inc</t>
  </si>
  <si>
    <t>549300QXR2YVZV231H43</t>
  </si>
  <si>
    <t>Palo alto networks</t>
  </si>
  <si>
    <t>US6974351057</t>
  </si>
  <si>
    <t xml:space="preserve">אורמת טכנולגיות אינק </t>
  </si>
  <si>
    <t>5493000TSHHWY24VHM09</t>
  </si>
  <si>
    <t>אורמת טכנולוגיות</t>
  </si>
  <si>
    <t>US6866881021</t>
  </si>
  <si>
    <t>כלל ביטוח</t>
  </si>
  <si>
    <t>IL0002240146</t>
  </si>
  <si>
    <t>נובה</t>
  </si>
  <si>
    <t>קמטק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</si>
  <si>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</si>
  <si>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</si>
  <si>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</si>
  <si>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</si>
  <si>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</si>
  <si>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</si>
  <si>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Advanced Micro Devices</t>
  </si>
  <si>
    <t>US0079031078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</si>
  <si>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</si>
  <si>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</si>
  <si>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</si>
  <si>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</si>
  <si>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</si>
  <si>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</si>
  <si>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</si>
  <si>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</si>
  <si>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</si>
  <si>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</si>
  <si>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</si>
  <si>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</si>
  <si>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Ormat Technologies</t>
  </si>
  <si>
    <t>TAIWAN Semiconductor</t>
  </si>
  <si>
    <t>549300KB6NK5SBD14S87</t>
  </si>
  <si>
    <t>Taiwan Semiconductor Adr</t>
  </si>
  <si>
    <t>US8740391003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</si>
  <si>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</si>
  <si>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</si>
  <si>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</si>
  <si>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</si>
  <si>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</si>
  <si>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</si>
  <si>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</si>
  <si>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</si>
  <si>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</t>
  </si>
  <si>
    <t>IL0003730194</t>
  </si>
  <si>
    <t>אב-גד</t>
  </si>
  <si>
    <t>IL0011718181</t>
  </si>
  <si>
    <t>או.פי.סי. אנרגיה בע"מ</t>
  </si>
  <si>
    <t>514401702</t>
  </si>
  <si>
    <t>או פי סי אנרגיה</t>
  </si>
  <si>
    <t>IL0011415713</t>
  </si>
  <si>
    <t>טכנופלס ונצ'רס בע"מ</t>
  </si>
  <si>
    <t>520044298</t>
  </si>
  <si>
    <t>אוטונומוס גארד בע"מ</t>
  </si>
  <si>
    <t>IL0010834195</t>
  </si>
  <si>
    <t>אטראו שוקי הון בע"מ לשעבר לידר</t>
  </si>
  <si>
    <t>513773564</t>
  </si>
  <si>
    <t>אטראו שוקי הון</t>
  </si>
  <si>
    <t>IL0010961063</t>
  </si>
  <si>
    <t>אימאג'סט אינטרנשיונל(אי.אס.איי)בע"מ</t>
  </si>
  <si>
    <t>512737560</t>
  </si>
  <si>
    <t>אימאג'סט</t>
  </si>
  <si>
    <t>IL0011838138</t>
  </si>
  <si>
    <t>אל על נתיבי אויר לישראל בע"מ</t>
  </si>
  <si>
    <t>520017146</t>
  </si>
  <si>
    <t>אל על</t>
  </si>
  <si>
    <t>IL0010878242</t>
  </si>
  <si>
    <t>אלקטרה מוצרי צריכה בע"מ</t>
  </si>
  <si>
    <t>520039967</t>
  </si>
  <si>
    <t>אלקטרה צריכה</t>
  </si>
  <si>
    <t>IL0050101299</t>
  </si>
  <si>
    <t>ארית תעשיות בע"מ</t>
  </si>
  <si>
    <t>520033358</t>
  </si>
  <si>
    <t>ארית</t>
  </si>
  <si>
    <t>IL0005870147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</si>
  <si>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</si>
  <si>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</si>
  <si>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</si>
  <si>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</si>
  <si>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</si>
  <si>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</si>
  <si>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</si>
  <si>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</si>
  <si>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ג'נריישן קפיטל</t>
  </si>
  <si>
    <t>IL0011569261</t>
  </si>
  <si>
    <t>קבוצת דוראל משאבי אנרגיה מתחדשת בעמ</t>
  </si>
  <si>
    <t>515364891</t>
  </si>
  <si>
    <t>דוראל אנרגיה</t>
  </si>
  <si>
    <t>IL0011667685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</si>
  <si>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</si>
  <si>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</si>
  <si>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</si>
  <si>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</si>
  <si>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</si>
  <si>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</si>
  <si>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חילן בע"מ</t>
  </si>
  <si>
    <t>520039942</t>
  </si>
  <si>
    <t>חילן</t>
  </si>
  <si>
    <t>IL0010846983</t>
  </si>
  <si>
    <t>ישרס</t>
  </si>
  <si>
    <t>IL0006130343</t>
  </si>
  <si>
    <t>יוחננוף</t>
  </si>
  <si>
    <t>511344186</t>
  </si>
  <si>
    <t>מ. יוחננוף</t>
  </si>
  <si>
    <t>IL0011612640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</si>
  <si>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</si>
  <si>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</si>
  <si>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</si>
  <si>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</si>
  <si>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</si>
  <si>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</si>
  <si>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</si>
  <si>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פורמולה מערכות</t>
  </si>
  <si>
    <t>IL0002560162</t>
  </si>
  <si>
    <t>פלסאון תעשיות בע"מ</t>
  </si>
  <si>
    <t>520042912</t>
  </si>
  <si>
    <t>פלסאון תעשיות</t>
  </si>
  <si>
    <t>IL0010816036</t>
  </si>
  <si>
    <t>פריורטק בע"מ</t>
  </si>
  <si>
    <t>520037797</t>
  </si>
  <si>
    <t>פריורטק</t>
  </si>
  <si>
    <t>IL0003280133</t>
  </si>
  <si>
    <t>צרפתי</t>
  </si>
  <si>
    <t>IL0004250176</t>
  </si>
  <si>
    <t>קווליטאו בע"מ</t>
  </si>
  <si>
    <t>511896540</t>
  </si>
  <si>
    <t>קווליטאו</t>
  </si>
  <si>
    <t>IL0010839558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</si>
  <si>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</si>
  <si>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</si>
  <si>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</si>
  <si>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</si>
  <si>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</si>
  <si>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</si>
  <si>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רפק תקשורת ותשתיות בע"מ</t>
  </si>
  <si>
    <t>520029505</t>
  </si>
  <si>
    <t>רפק</t>
  </si>
  <si>
    <t>IL0007690261</t>
  </si>
  <si>
    <t>שוב אנרגיה</t>
  </si>
  <si>
    <t>IL0011882425</t>
  </si>
  <si>
    <t>שופר-סל בע"מ</t>
  </si>
  <si>
    <t>520022732</t>
  </si>
  <si>
    <t>שופרסל</t>
  </si>
  <si>
    <t>IL0007770378</t>
  </si>
  <si>
    <t>COSTCO WHOLESAL</t>
  </si>
  <si>
    <t>29DX7H14B9S6O3FD6V18</t>
  </si>
  <si>
    <t>COSTCO WHOLESALE CORP</t>
  </si>
  <si>
    <t>US22160K1051</t>
  </si>
  <si>
    <t>JD.com Inc</t>
  </si>
  <si>
    <t>549300HVTWB0GJZ16V92</t>
  </si>
  <si>
    <t>JD.COM INC-CL A</t>
  </si>
  <si>
    <t>KYG8208B1014</t>
  </si>
  <si>
    <t>Samsung Electronics co ltd</t>
  </si>
  <si>
    <t>9884007ER46L6N7EI764</t>
  </si>
  <si>
    <t>Samsung electronics</t>
  </si>
  <si>
    <t>US7960508882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</si>
  <si>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</si>
  <si>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</si>
  <si>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</si>
  <si>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</si>
  <si>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</si>
  <si>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</si>
  <si>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</si>
  <si>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</si>
  <si>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</si>
  <si>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</si>
  <si>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Meta Platforms Inc</t>
  </si>
  <si>
    <t>BQ4BKCS1HXDV9HN80Z93</t>
  </si>
  <si>
    <t>Meta Platforms, Inc</t>
  </si>
  <si>
    <t>US30303M1027</t>
  </si>
  <si>
    <t>PPHE HOTEL GROUP LTD</t>
  </si>
  <si>
    <t>2138003H1BZGR6KM5823</t>
  </si>
  <si>
    <t>PARK PLAZA HOTELS</t>
  </si>
  <si>
    <t>GG00B1Z5FH87</t>
  </si>
  <si>
    <t>SHL TELEMEDICINE LTD</t>
  </si>
  <si>
    <t>512527383</t>
  </si>
  <si>
    <t>SHL Telemedicine Ltd</t>
  </si>
  <si>
    <t>IL0010855885</t>
  </si>
  <si>
    <t>Teva Pharm</t>
  </si>
  <si>
    <t>US8816242098</t>
  </si>
  <si>
    <t>Vbare Iberian Properties SOCIM</t>
  </si>
  <si>
    <t>959800X1MGWGZZW5ZS47</t>
  </si>
  <si>
    <t>VBARE IBERIAN PR</t>
  </si>
  <si>
    <t>ES0105196002</t>
  </si>
  <si>
    <t>חג'ג' נדלן</t>
  </si>
  <si>
    <t>IL0008230133</t>
  </si>
  <si>
    <t>מגדל קרנות נאמנות בע"מ</t>
  </si>
  <si>
    <t>511303661</t>
  </si>
  <si>
    <t>MTF סל תא 125</t>
  </si>
  <si>
    <t>IL0011502833</t>
  </si>
  <si>
    <t>MTF סל תלבונד 60</t>
  </si>
  <si>
    <t>IL0011499964</t>
  </si>
  <si>
    <t>MTF500SP ממ</t>
  </si>
  <si>
    <t>IL0011505729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</si>
  <si>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</si>
  <si>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</si>
  <si>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</si>
  <si>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</si>
  <si>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</si>
  <si>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</si>
  <si>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</si>
  <si>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</si>
  <si>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סל.תא 35</t>
  </si>
  <si>
    <t>IL0011489072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</si>
  <si>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</si>
  <si>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</si>
  <si>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</si>
  <si>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</si>
  <si>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</si>
  <si>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</si>
  <si>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)4A( ת"א35-</t>
  </si>
  <si>
    <t>IL0011943805</t>
  </si>
  <si>
    <t>מור סל S&amp;P 500 ממ</t>
  </si>
  <si>
    <t>IL0011658288</t>
  </si>
  <si>
    <t>מור סל אי.בנקים מש</t>
  </si>
  <si>
    <t>IL0011877649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</si>
  <si>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</si>
  <si>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</si>
  <si>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</si>
  <si>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</si>
  <si>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</si>
  <si>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</si>
  <si>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</si>
  <si>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</si>
  <si>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</si>
  <si>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</si>
  <si>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</si>
  <si>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</si>
  <si>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</si>
  <si>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</si>
  <si>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</si>
  <si>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</si>
  <si>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>First trust</t>
  </si>
  <si>
    <t>549300ZLB3EUU3H8NE60</t>
  </si>
  <si>
    <t>FIRST TR NCESGII</t>
  </si>
  <si>
    <t>US33737A1088</t>
  </si>
  <si>
    <t xml:space="preserve">BlackRock  Asset Managment </t>
  </si>
  <si>
    <t>549300LRIF3NWCU26A80</t>
  </si>
  <si>
    <t>ISH CORE ERSTX50</t>
  </si>
  <si>
    <t>DE0005933956</t>
  </si>
  <si>
    <t>ISH S&amp;P US BANKS</t>
  </si>
  <si>
    <t>IE00BD3V0B10</t>
  </si>
  <si>
    <t>Ishares core s&amp;p 500 etf</t>
  </si>
  <si>
    <t>US4642872000</t>
  </si>
  <si>
    <t>ISHARES EXPANDED</t>
  </si>
  <si>
    <t>US4642875151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</si>
  <si>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</si>
  <si>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</si>
  <si>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</si>
  <si>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</si>
  <si>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</si>
  <si>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</si>
  <si>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</si>
  <si>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</si>
  <si>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EUR STX BNKS</t>
  </si>
  <si>
    <t>LU1829219390</t>
  </si>
  <si>
    <t>SSGA SPOR ETFS</t>
  </si>
  <si>
    <t>SPDR MSCI EM</t>
  </si>
  <si>
    <t>IE00B469F816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</si>
  <si>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</si>
  <si>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</si>
  <si>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</si>
  <si>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</si>
  <si>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</si>
  <si>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</si>
  <si>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</si>
  <si>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</si>
  <si>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</si>
  <si>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</si>
  <si>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</si>
  <si>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</si>
  <si>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MTF.תלבונדשקלי</t>
  </si>
  <si>
    <t>IL0011500027</t>
  </si>
  <si>
    <t>איישרס חוץ S&amp;P500 INDEX</t>
  </si>
  <si>
    <t>IE00B5BMR087</t>
  </si>
  <si>
    <t>הראל סל תל בונד 60</t>
  </si>
  <si>
    <t>IL0011504730</t>
  </si>
  <si>
    <t>מור סל )4D(י NASDAQ 100</t>
  </si>
  <si>
    <t>IL0011658361</t>
  </si>
  <si>
    <t>תכלית קרן סל תא 125</t>
  </si>
  <si>
    <t>IL0011437188</t>
  </si>
  <si>
    <t>Invesco investment management limited</t>
  </si>
  <si>
    <t>635400KZRKKKNVCJXD85</t>
  </si>
  <si>
    <t>INVESCO S&amp;P 500 UCITS ETF</t>
  </si>
  <si>
    <t>IE00B3YCGJ38</t>
  </si>
  <si>
    <t>MSCI Emerging Markets (4D) ETF קסם</t>
  </si>
  <si>
    <t>IL0011458127</t>
  </si>
  <si>
    <t>הראל סל 4A S&amp;P 500 מנוטרלת</t>
  </si>
  <si>
    <t>IL0011491375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</si>
  <si>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</si>
  <si>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</si>
  <si>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</si>
  <si>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</si>
  <si>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</si>
  <si>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</si>
  <si>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</si>
  <si>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</si>
  <si>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</si>
  <si>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</si>
  <si>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</si>
  <si>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</si>
  <si>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תכלית קרן סל תא 35</t>
  </si>
  <si>
    <t>IL0011437006</t>
  </si>
  <si>
    <t>CEF ishares russell</t>
  </si>
  <si>
    <t>US4642876555</t>
  </si>
  <si>
    <t>Invesco QQQ  trust NAS1</t>
  </si>
  <si>
    <t>US46090E1038</t>
  </si>
  <si>
    <t>INVESCO S&amp;P 500 EQUITY</t>
  </si>
  <si>
    <t>LYXETF S&amp;P500</t>
  </si>
  <si>
    <t>LU1135865084</t>
  </si>
  <si>
    <t>SPDR S&amp;P 500 UCITS</t>
  </si>
  <si>
    <t>IE000XZSV718</t>
  </si>
  <si>
    <t>SPDR US HEALTH</t>
  </si>
  <si>
    <t>IE00BWBXM617</t>
  </si>
  <si>
    <t>Van Eck ETF</t>
  </si>
  <si>
    <t>549300ZLFKNTXC51ZN76</t>
  </si>
  <si>
    <t>VANECK VECTORS SEMICONDUCTOR</t>
  </si>
  <si>
    <t>US92189F6768</t>
  </si>
  <si>
    <t>VANG FTSE EM $A</t>
  </si>
  <si>
    <t>IE00BK5BR733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</si>
  <si>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</si>
  <si>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</si>
  <si>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</si>
  <si>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</si>
  <si>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</si>
  <si>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</si>
  <si>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</si>
  <si>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</si>
  <si>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</si>
  <si>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</si>
  <si>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תכלית 500 PR P&amp;S</t>
  </si>
  <si>
    <t>IL0011443855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</si>
  <si>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</si>
  <si>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</si>
  <si>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</si>
  <si>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</si>
  <si>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</si>
  <si>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</si>
  <si>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</si>
  <si>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</si>
  <si>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ISH $ CORP BD $A</t>
  </si>
  <si>
    <t>IE00BYXYYJ35</t>
  </si>
  <si>
    <t>Ishares $ Short Duration Corp Bond</t>
  </si>
  <si>
    <t>IE00BYXYYP94</t>
  </si>
  <si>
    <t>ISHARES NASDAQ100 ETF USD</t>
  </si>
  <si>
    <t>IE00B53SZB19</t>
  </si>
  <si>
    <t>LYX CORE EURSTX</t>
  </si>
  <si>
    <t>LU0908500753</t>
  </si>
  <si>
    <t>VANG $CORPBD $A</t>
  </si>
  <si>
    <t>IE00BGYWFK87</t>
  </si>
  <si>
    <t>SPDR US TECH</t>
  </si>
  <si>
    <t>IE00BWBXM948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</si>
  <si>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</si>
  <si>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</si>
  <si>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</si>
  <si>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</si>
  <si>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</si>
  <si>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</si>
  <si>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Indxx Top 10 Europ( מנוטרלת אי</t>
  </si>
  <si>
    <t>IL0012224395</t>
  </si>
  <si>
    <t>Indxx Top 10 US Oil Industry(</t>
  </si>
  <si>
    <t>IL0012216706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</si>
  <si>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</si>
  <si>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</si>
  <si>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</si>
  <si>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</si>
  <si>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</si>
  <si>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</si>
  <si>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</si>
  <si>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</si>
  <si>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</si>
  <si>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</si>
  <si>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</si>
  <si>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</si>
  <si>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ס US Top10 Pure Cyber Security</t>
  </si>
  <si>
    <t>IL0012175613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</si>
  <si>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</si>
  <si>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</si>
  <si>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</si>
  <si>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</si>
  <si>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</si>
  <si>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</si>
  <si>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תכלית סל תלבונד תשו</t>
  </si>
  <si>
    <t>IL0011452591</t>
  </si>
  <si>
    <t>SPDR BLOOMBERG SASB</t>
  </si>
  <si>
    <t>IE0004TYCC17</t>
  </si>
  <si>
    <t>SPDR SASB US CORP</t>
  </si>
  <si>
    <t>IE00BLF7VX27</t>
  </si>
  <si>
    <t>SPDR US ENERGY</t>
  </si>
  <si>
    <t>IE00BWBXM492</t>
  </si>
  <si>
    <t>VANG FTSE EM USDA</t>
  </si>
  <si>
    <t>Financial sel sector spdr</t>
  </si>
  <si>
    <t>US81369Y6059</t>
  </si>
  <si>
    <t>Ishares phlx sox semicon</t>
  </si>
  <si>
    <t>US4642875235</t>
  </si>
  <si>
    <t>Lyxor STOXX Europe 600 Basic R</t>
  </si>
  <si>
    <t>529900KKTR2O8XKSJV77</t>
  </si>
  <si>
    <t>SELECT STOXX EUR</t>
  </si>
  <si>
    <t>US84858T7726</t>
  </si>
  <si>
    <t>SPDR BBG 0-3 $CP</t>
  </si>
  <si>
    <t>IE00BC7GZX26</t>
  </si>
  <si>
    <t>Spdr s&amp;p 500 etf trust</t>
  </si>
  <si>
    <t>US78462F1030</t>
  </si>
  <si>
    <t>הראל סל תא בנקים</t>
  </si>
  <si>
    <t>IL0011489494</t>
  </si>
  <si>
    <t>Artemis Funds Lux - US Smaller</t>
  </si>
  <si>
    <t>213800SJ3IH3EXMXSJ47</t>
  </si>
  <si>
    <t>ALGEIAU LX</t>
  </si>
  <si>
    <t>LU1846577242</t>
  </si>
  <si>
    <t>MTF ת"א 100 קרן נאמנות</t>
  </si>
  <si>
    <t>IL0051098890</t>
  </si>
  <si>
    <t>ARTEMIS SMARTGA</t>
  </si>
  <si>
    <t>GB00B2PLJD73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</si>
  <si>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</si>
  <si>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</si>
  <si>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</si>
  <si>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</si>
  <si>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</si>
  <si>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</si>
  <si>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</si>
  <si>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</si>
  <si>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INV-US SEN-G</t>
  </si>
  <si>
    <t>LU0564079282</t>
  </si>
  <si>
    <t>CREDIT SUISSE</t>
  </si>
  <si>
    <t>EXD7DEVFDH4HOFFQ7349</t>
  </si>
  <si>
    <t>CS NOVA LUX GLB SEN</t>
  </si>
  <si>
    <t>LU0635707705</t>
  </si>
  <si>
    <t>19/12/2023</t>
  </si>
  <si>
    <t>10/12/2018</t>
  </si>
  <si>
    <t>Blue Owl RE Fund</t>
  </si>
  <si>
    <t>שותפות</t>
  </si>
  <si>
    <t>27970058</t>
  </si>
  <si>
    <t>86.22%</t>
  </si>
  <si>
    <t>0001981081</t>
  </si>
  <si>
    <t>27970057</t>
  </si>
  <si>
    <t>81.73%</t>
  </si>
  <si>
    <t>Private Equity</t>
  </si>
  <si>
    <t>Coller Investment Management Ltd</t>
  </si>
  <si>
    <t>27970056</t>
  </si>
  <si>
    <t>65.88%</t>
  </si>
  <si>
    <t>862034928</t>
  </si>
  <si>
    <t>EQT Infrastructure V (יורו)</t>
  </si>
  <si>
    <t>27970026</t>
  </si>
  <si>
    <t>17.54%</t>
  </si>
  <si>
    <t>נדל"ן</t>
  </si>
  <si>
    <t>Faro Point</t>
  </si>
  <si>
    <t>27970049</t>
  </si>
  <si>
    <t>5.00%</t>
  </si>
  <si>
    <t>הראל פיננסים אלטרנטיב בע"מ</t>
  </si>
  <si>
    <t>27970059</t>
  </si>
  <si>
    <t>76.72%</t>
  </si>
  <si>
    <t>Venture Capital</t>
  </si>
  <si>
    <t>Insight Partners XII</t>
  </si>
  <si>
    <t>27970023</t>
  </si>
  <si>
    <t>4.25%</t>
  </si>
  <si>
    <t>PGCO VI  פנתאון</t>
  </si>
  <si>
    <t>27970051</t>
  </si>
  <si>
    <t>81.20%</t>
  </si>
  <si>
    <t>חוב</t>
  </si>
  <si>
    <t>Phoenix</t>
  </si>
  <si>
    <t>774764930</t>
  </si>
  <si>
    <t>The Phoenix Anchor Fund</t>
  </si>
  <si>
    <t>27970050</t>
  </si>
  <si>
    <t>0.00%</t>
  </si>
  <si>
    <t>10948</t>
  </si>
  <si>
    <t>פורטיסימו VI</t>
  </si>
  <si>
    <t>27970046</t>
  </si>
  <si>
    <t>54.50%</t>
  </si>
  <si>
    <t>קדמה</t>
  </si>
  <si>
    <t>540328218</t>
  </si>
  <si>
    <t>ח.פ</t>
  </si>
  <si>
    <t>קדמה 4</t>
  </si>
  <si>
    <t>27970052</t>
  </si>
  <si>
    <t>69.63%</t>
  </si>
  <si>
    <t>27970053</t>
  </si>
  <si>
    <t>63.99%</t>
  </si>
  <si>
    <t>Cheyne European strategic value crdit raif</t>
  </si>
  <si>
    <t>27970028</t>
  </si>
  <si>
    <t>24.71%</t>
  </si>
  <si>
    <t>87-4615747</t>
  </si>
  <si>
    <t>Electra Capital PM II  Feeder 3</t>
  </si>
  <si>
    <t>27970040</t>
  </si>
  <si>
    <t>2.00%</t>
  </si>
  <si>
    <t>27970039</t>
  </si>
  <si>
    <t>51.41%</t>
  </si>
  <si>
    <t>Invesco Direct Lending</t>
  </si>
  <si>
    <t>949417</t>
  </si>
  <si>
    <t>27970048</t>
  </si>
  <si>
    <t>67.23%</t>
  </si>
  <si>
    <t>KLIRMARK FUND 4 GENERAL PARTNER LTD</t>
  </si>
  <si>
    <t>516738689</t>
  </si>
  <si>
    <t>27970038</t>
  </si>
  <si>
    <t>53.00%</t>
  </si>
  <si>
    <t>More Alternative Credit  CLO</t>
  </si>
  <si>
    <t>27970045</t>
  </si>
  <si>
    <t>Viola Credit GL II, Limited Partnership</t>
  </si>
  <si>
    <t>27970055</t>
  </si>
  <si>
    <t>45.00%</t>
  </si>
  <si>
    <t>גידור</t>
  </si>
  <si>
    <t>550251409</t>
  </si>
  <si>
    <t>נוקד אגח</t>
  </si>
  <si>
    <t>27970034</t>
  </si>
  <si>
    <t>נוקד אופורטוניטי</t>
  </si>
  <si>
    <t>27970033</t>
  </si>
  <si>
    <t>Frux Capital III GP</t>
  </si>
  <si>
    <t>B285365</t>
  </si>
  <si>
    <t>Frux Fund III SCSp RAIF</t>
  </si>
  <si>
    <t>60390077</t>
  </si>
  <si>
    <t>Alto III</t>
  </si>
  <si>
    <t>62000074</t>
  </si>
  <si>
    <t>550254411</t>
  </si>
  <si>
    <t>60398484</t>
  </si>
  <si>
    <t>29.73%</t>
  </si>
  <si>
    <t>ARES CIP Management II</t>
  </si>
  <si>
    <t>92-0923619</t>
  </si>
  <si>
    <t>27970054</t>
  </si>
  <si>
    <t>41.17%</t>
  </si>
  <si>
    <t>Blue Atlantic PTNR</t>
  </si>
  <si>
    <t>811259854</t>
  </si>
  <si>
    <t>60408978</t>
  </si>
  <si>
    <t>27970041</t>
  </si>
  <si>
    <t>34.29%</t>
  </si>
  <si>
    <t>34250659</t>
  </si>
  <si>
    <t>Brack Capital</t>
  </si>
  <si>
    <t>98405711</t>
  </si>
  <si>
    <t>6.16%</t>
  </si>
  <si>
    <t>27970042</t>
  </si>
  <si>
    <t>26.46%</t>
  </si>
  <si>
    <t>86-3692159</t>
  </si>
  <si>
    <t>27970032</t>
  </si>
  <si>
    <t>30.00%</t>
  </si>
  <si>
    <t>Fimi Israel Opportunity 6</t>
  </si>
  <si>
    <t>604008921</t>
  </si>
  <si>
    <t>10.73%</t>
  </si>
  <si>
    <t>232962336</t>
  </si>
  <si>
    <t>Hamilton Co-invest IV</t>
  </si>
  <si>
    <t>62012828</t>
  </si>
  <si>
    <t>20.61%</t>
  </si>
  <si>
    <t>Hanaco II</t>
  </si>
  <si>
    <t>27970025</t>
  </si>
  <si>
    <t>10.00%</t>
  </si>
  <si>
    <t>HarbourVest Partners LLC</t>
  </si>
  <si>
    <t>5493001MCDH7I6NIXC24</t>
  </si>
  <si>
    <t>HarbourVest Dover  X</t>
  </si>
  <si>
    <t>27970005</t>
  </si>
  <si>
    <t>18.00%</t>
  </si>
  <si>
    <t>HarbourVest Dover XI</t>
  </si>
  <si>
    <t>27970043</t>
  </si>
  <si>
    <t>Madison Realty Capital Debt VI</t>
  </si>
  <si>
    <t>27905</t>
  </si>
  <si>
    <t>27970036</t>
  </si>
  <si>
    <t>29.66%</t>
  </si>
  <si>
    <t>PGIF IV  פנתאון</t>
  </si>
  <si>
    <t>27970044</t>
  </si>
  <si>
    <t>17.83%</t>
  </si>
  <si>
    <t>Pagaya Technologies Ltd</t>
  </si>
  <si>
    <t>51‑542127‑9</t>
  </si>
  <si>
    <t>27970021</t>
  </si>
  <si>
    <t>Pantheon Access Feeder 2017</t>
  </si>
  <si>
    <t>62007091</t>
  </si>
  <si>
    <t>14.95%</t>
  </si>
  <si>
    <t>Peregrine Ventures Growth</t>
  </si>
  <si>
    <t>27970022</t>
  </si>
  <si>
    <t>22.20%</t>
  </si>
  <si>
    <t>Starlight investment Uk am group ltd</t>
  </si>
  <si>
    <t>Starlight Bond FP I</t>
  </si>
  <si>
    <t>27970037</t>
  </si>
  <si>
    <t>66.86%</t>
  </si>
  <si>
    <t>Target Global Growth Fund</t>
  </si>
  <si>
    <t>27970030</t>
  </si>
  <si>
    <t>17.48%</t>
  </si>
  <si>
    <t>VERTEX Israel Opportunity GP, Limited Partnership</t>
  </si>
  <si>
    <t>540283272</t>
  </si>
  <si>
    <t>Vertex Israel Opportunity II</t>
  </si>
  <si>
    <t>27970027</t>
  </si>
  <si>
    <t>8.50%</t>
  </si>
  <si>
    <t>364800114</t>
  </si>
  <si>
    <t>27970004</t>
  </si>
  <si>
    <t>13.00%</t>
  </si>
  <si>
    <t>Vintage IV</t>
  </si>
  <si>
    <t>604066001</t>
  </si>
  <si>
    <t>7.00%</t>
  </si>
  <si>
    <t>Vintage Secondary IV</t>
  </si>
  <si>
    <t>62007406</t>
  </si>
  <si>
    <t>Viola Credit GL II</t>
  </si>
  <si>
    <t>27970035</t>
  </si>
  <si>
    <t>34.67%</t>
  </si>
  <si>
    <t>אלקטרה II</t>
  </si>
  <si>
    <t>62012539</t>
  </si>
  <si>
    <t>550257596</t>
  </si>
  <si>
    <t>נוי 2</t>
  </si>
  <si>
    <t>47845</t>
  </si>
  <si>
    <t>8.90%</t>
  </si>
  <si>
    <t>פורטיסימו 2</t>
  </si>
  <si>
    <t>9840783</t>
  </si>
  <si>
    <t>6.00%</t>
  </si>
  <si>
    <t>פורטיסימו V</t>
  </si>
  <si>
    <t>27970010</t>
  </si>
  <si>
    <t>3.00%</t>
  </si>
  <si>
    <t>62011879</t>
  </si>
  <si>
    <t>1.54%</t>
  </si>
  <si>
    <t>קומרה אופורטוניטי</t>
  </si>
  <si>
    <t>27970018</t>
  </si>
  <si>
    <t>15.00%</t>
  </si>
  <si>
    <t>774258386</t>
  </si>
  <si>
    <t>60416385</t>
  </si>
  <si>
    <t>Coller Credit Opportunities I</t>
  </si>
  <si>
    <t>27970029</t>
  </si>
  <si>
    <t>26.45%</t>
  </si>
  <si>
    <t>98-1506678</t>
  </si>
  <si>
    <t>Electra Capital PM I  Feeder 4</t>
  </si>
  <si>
    <t>27970020</t>
  </si>
  <si>
    <t>ICG Europe VII</t>
  </si>
  <si>
    <t>62007695</t>
  </si>
  <si>
    <t>17.05%</t>
  </si>
  <si>
    <t>12787</t>
  </si>
  <si>
    <t>ICG North American Private Debt II</t>
  </si>
  <si>
    <t>62011416</t>
  </si>
  <si>
    <t>24.94%</t>
  </si>
  <si>
    <t>Klirmark Fund III</t>
  </si>
  <si>
    <t>27970001</t>
  </si>
  <si>
    <t>18.65%</t>
  </si>
  <si>
    <t>27971038</t>
  </si>
  <si>
    <t>Liquidity Capital  II</t>
  </si>
  <si>
    <t>27970016</t>
  </si>
  <si>
    <t>58.04%</t>
  </si>
  <si>
    <t>יסודות נדלן ב</t>
  </si>
  <si>
    <t>78923</t>
  </si>
  <si>
    <t>8.06%</t>
  </si>
  <si>
    <t>יסודות נדלן ג</t>
  </si>
  <si>
    <t>27970003</t>
  </si>
  <si>
    <t>קוגיטו קפיטל</t>
  </si>
  <si>
    <t>27970031</t>
  </si>
  <si>
    <t>66.22%</t>
  </si>
  <si>
    <t>35196</t>
  </si>
  <si>
    <t>27970014</t>
  </si>
  <si>
    <t>36434</t>
  </si>
  <si>
    <t>550258947</t>
  </si>
  <si>
    <t>נוקד אקוויטי</t>
  </si>
  <si>
    <t>27970047</t>
  </si>
  <si>
    <t>מירב מגן</t>
  </si>
  <si>
    <t>03-7286343</t>
  </si>
  <si>
    <t>merav@ami2.co.il</t>
  </si>
  <si>
    <t>90301001</t>
  </si>
  <si>
    <t>90301000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</si>
</sst>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4" fillId="0" borderId="20"/>
  </cellStyleXfs>
  <cellXfs count="16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7" fillId="3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4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4" fontId="0" fillId="0" borderId="0" xfId="0" applyNumberFormat="1" applyFill="1" applyBorder="1" applyAlignment="1">
      <alignment horizontal="left"/>
    </xf>
    <xf numFmtId="10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166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1674</v>
      </c>
    </row>
    <row r="4" spans="1:4"/>
    <row r="5" spans="1:4">
      <c r="A5" t="s">
        <v>2</v>
      </c>
      <c r="D5" s="88" t="s">
        <v>1685</v>
      </c>
    </row>
    <row r="6" spans="1:4"/>
    <row r="7" spans="1:4">
      <c r="A7" t="s">
        <v>3</v>
      </c>
      <c r="D7" s="88" t="s">
        <v>1689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1750</v>
      </c>
    </row>
    <row r="12" spans="1:4"/>
    <row r="13" spans="1:4">
      <c r="A13" t="s">
        <v>6</v>
      </c>
      <c r="D13" s="89">
        <f>IFERROR(VLOOKUP(D11,'File Name Info'!A35:B130,2,0),"תא מחושב")</f>
        <v>520042581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3582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3583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3584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294</v>
      </c>
      <c r="D1" s="92"/>
      <c r="E1" s="31"/>
    </row>
    <row r="2" spans="1:5" ht="25.5">
      <c r="A2" s="31" t="s">
        <v>295</v>
      </c>
      <c r="B2" s="31" t="s">
        <v>36</v>
      </c>
      <c r="C2" s="31" t="s">
        <v>104</v>
      </c>
      <c r="D2" s="31" t="s">
        <v>105</v>
      </c>
      <c r="E2" s="31" t="s">
        <v>296</v>
      </c>
    </row>
    <row r="3" spans="1:5">
      <c r="A3" s="33" t="s">
        <v>297</v>
      </c>
      <c r="B3" s="146">
        <f>SUM('מזומנים ושווי מזומנים'!O:O)</f>
        <v>83428.000000000029</v>
      </c>
      <c r="C3" s="34"/>
      <c r="D3" s="34"/>
      <c r="E3" s="148">
        <f>SUM('מזומנים ושווי מזומנים'!O:O)/B30</f>
        <v>3.675676019256166E-2</v>
      </c>
    </row>
    <row r="4" spans="1:5">
      <c r="A4" s="33" t="s">
        <v>298</v>
      </c>
      <c r="B4" s="146">
        <f>SUM('איגרות חוב ממשלתיות'!U:U)</f>
        <v>497625.978</v>
      </c>
      <c r="C4" s="34"/>
      <c r="D4" s="34"/>
      <c r="E4" s="148">
        <f>SUM('איגרות חוב ממשלתיות'!U:U)/B30</f>
        <v>0.21924436327054417</v>
      </c>
    </row>
    <row r="5" spans="1:5">
      <c r="A5" s="33" t="s">
        <v>299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300</v>
      </c>
      <c r="B6" s="146">
        <f>SUM('איגרות חוב'!AD:AD)</f>
        <v>391791.04500000004</v>
      </c>
      <c r="C6" s="34"/>
      <c r="D6" s="34"/>
      <c r="E6" s="148">
        <f>SUM('איגרות חוב'!AD:AD)/B30</f>
        <v>0.17261554258352269</v>
      </c>
    </row>
    <row r="7" spans="1:5">
      <c r="A7" s="33" t="s">
        <v>301</v>
      </c>
      <c r="B7" s="146">
        <f>SUM('מניות מבכ ויהש'!U:U)</f>
        <v>473458.89599999983</v>
      </c>
      <c r="C7" s="34"/>
      <c r="D7" s="34"/>
      <c r="E7" s="148">
        <f>SUM('מניות מבכ ויהש'!U:U)/B30</f>
        <v>0.2085968152335784</v>
      </c>
    </row>
    <row r="8" spans="1:5">
      <c r="A8" s="33" t="s">
        <v>302</v>
      </c>
      <c r="B8" s="146">
        <f>SUM('קרנות סל'!T:T)</f>
        <v>480132.27499999997</v>
      </c>
      <c r="C8" s="34"/>
      <c r="D8" s="34"/>
      <c r="E8" s="148">
        <f>SUM('קרנות סל'!T:T)/B30</f>
        <v>0.21153697670906724</v>
      </c>
    </row>
    <row r="9" spans="1:5">
      <c r="A9" s="33" t="s">
        <v>303</v>
      </c>
      <c r="B9" s="146">
        <f>SUM('קרנות נאמנות'!T:T)</f>
        <v>35888.764999999999</v>
      </c>
      <c r="C9" s="34"/>
      <c r="D9" s="34"/>
      <c r="E9" s="148">
        <f>SUM('קרנות נאמנות'!T:T)/B30</f>
        <v>1.5811894432471111E-2</v>
      </c>
    </row>
    <row r="10" spans="1:5">
      <c r="A10" s="33" t="s">
        <v>304</v>
      </c>
      <c r="B10" s="146">
        <f>SUM('כתבי אופציה'!W:W)</f>
        <v>437.78199999999998</v>
      </c>
      <c r="C10" s="34"/>
      <c r="D10" s="34"/>
      <c r="E10" s="148">
        <f>SUM('כתבי אופציה'!W:W)/B30</f>
        <v>1.9287826617706312E-4</v>
      </c>
    </row>
    <row r="11" spans="1:5">
      <c r="A11" s="33" t="s">
        <v>305</v>
      </c>
      <c r="B11" s="146">
        <f>SUM(אופציות!V:V)</f>
        <v>0</v>
      </c>
      <c r="C11" s="34"/>
      <c r="D11" s="34"/>
      <c r="E11" s="148">
        <f>SUM(אופציות!V:V)/B30</f>
        <v>0</v>
      </c>
    </row>
    <row r="12" spans="1:5">
      <c r="A12" s="33" t="s">
        <v>306</v>
      </c>
      <c r="B12" s="146">
        <f>SUM('חוזים עתידיים'!R:R)</f>
        <v>-4500.5510000000004</v>
      </c>
      <c r="C12" s="34"/>
      <c r="D12" s="34"/>
      <c r="E12" s="148">
        <f>SUM('חוזים עתידיים'!R:R)/B30</f>
        <v>-1.9828555621780879E-3</v>
      </c>
    </row>
    <row r="13" spans="1:5">
      <c r="A13" s="33" t="s">
        <v>307</v>
      </c>
      <c r="B13" s="146">
        <f>SUM('מוצרים מובנים'!Z:Z)</f>
        <v>4213.17</v>
      </c>
      <c r="C13" s="34"/>
      <c r="D13" s="34"/>
      <c r="E13" s="148">
        <f>SUM('מוצרים מובנים'!Z:Z)/B30</f>
        <v>1.8562410622392357E-3</v>
      </c>
    </row>
    <row r="14" spans="1:5">
      <c r="A14" s="33" t="s">
        <v>308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309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310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311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312</v>
      </c>
      <c r="B18" s="146">
        <f>SUM('לא סחיר איגרות חוב'!AG:AG)</f>
        <v>15950.311000000002</v>
      </c>
      <c r="C18" s="34"/>
      <c r="D18" s="34"/>
      <c r="E18" s="148">
        <f>SUM('לא סחיר איגרות חוב'!AG:AG)/B30</f>
        <v>7.0273979530107184E-3</v>
      </c>
    </row>
    <row r="19" spans="1:5">
      <c r="A19" s="33" t="s">
        <v>313</v>
      </c>
      <c r="B19" s="146">
        <f>SUM('לא סחיר מניות מבכ ויהש'!X:X)</f>
        <v>1644.3620000000003</v>
      </c>
      <c r="C19" s="34"/>
      <c r="D19" s="34"/>
      <c r="E19" s="148">
        <f>SUM('לא סחיר מניות מבכ ויהש'!X:X)/B30</f>
        <v>7.2447403394257403E-4</v>
      </c>
    </row>
    <row r="20" spans="1:5">
      <c r="A20" s="33" t="s">
        <v>314</v>
      </c>
      <c r="B20" s="146">
        <f>SUM('קרנות השקעה'!W:W)</f>
        <v>259038.36799999996</v>
      </c>
      <c r="C20" s="34"/>
      <c r="D20" s="34"/>
      <c r="E20" s="148">
        <f>SUM('קרנות השקעה'!W:W)/B30</f>
        <v>0.11412728548267409</v>
      </c>
    </row>
    <row r="21" spans="1:5">
      <c r="A21" s="33" t="s">
        <v>315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316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317</v>
      </c>
      <c r="B23" s="146">
        <f>SUM('לא סחיר נגזרים אחרים'!R:R)</f>
        <v>1911.7427799999998</v>
      </c>
      <c r="C23" s="34"/>
      <c r="D23" s="34"/>
      <c r="E23" s="148">
        <f>SUM('לא סחיר נגזרים אחרים'!R:R)/B30</f>
        <v>8.4227682449922246E-4</v>
      </c>
    </row>
    <row r="24" spans="1:5">
      <c r="A24" s="33" t="s">
        <v>318</v>
      </c>
      <c r="B24" s="146">
        <f>SUM(הלוואות!AT:AT)</f>
        <v>28958.322999999997</v>
      </c>
      <c r="C24" s="34"/>
      <c r="D24" s="34"/>
      <c r="E24" s="148">
        <f>SUM(הלוואות!AT:AT)/B30</f>
        <v>1.2758475980363214E-2</v>
      </c>
    </row>
    <row r="25" spans="1:5">
      <c r="A25" s="33" t="s">
        <v>319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320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321</v>
      </c>
      <c r="B27" s="146">
        <f>SUM('זכויות מקרקעין'!S:S)</f>
        <v>567.50400000000002</v>
      </c>
      <c r="C27" s="34"/>
      <c r="D27" s="34"/>
      <c r="E27" s="148">
        <f>SUM('זכויות מקרקעין'!S:S)/B30</f>
        <v>2.5003126571797844E-4</v>
      </c>
    </row>
    <row r="28" spans="1:5">
      <c r="A28" s="33" t="s">
        <v>322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323</v>
      </c>
      <c r="B29" s="147">
        <f>SUM('נכסים אחרים'!N:N)</f>
        <v>-813.83</v>
      </c>
      <c r="C29" s="126"/>
      <c r="D29" s="126"/>
      <c r="E29" s="149">
        <f>SUM('נכסים אחרים'!N:N)/B30</f>
        <v>-3.5855772819092446E-4</v>
      </c>
    </row>
    <row r="30" spans="1:5" ht="15">
      <c r="A30" s="32" t="s">
        <v>324</v>
      </c>
      <c r="B30" s="151">
        <f>IF(SUM(B3:B29)=0,0.0001,SUM(B3:B29))</f>
        <v>2269732.1407799991</v>
      </c>
      <c r="C30" s="127">
        <f t="shared" ref="C30:D30" si="0">SUM(C3:C29)</f>
        <v>0</v>
      </c>
      <c r="D30" s="127">
        <f t="shared" si="0"/>
        <v>0</v>
      </c>
      <c r="E30" s="150">
        <f>SUM(E3:E29)</f>
        <v>1.0000000000000004</v>
      </c>
    </row>
    <row r="31" spans="1:5" s="96" customFormat="1">
      <c r="A31" s="35" t="s">
        <v>325</v>
      </c>
      <c r="B31" s="36"/>
      <c r="C31" s="36"/>
      <c r="D31" s="36"/>
      <c r="E31" s="36"/>
    </row>
    <row r="32" spans="1:5">
      <c r="A32" s="35" t="s">
        <v>326</v>
      </c>
      <c r="B32" s="146">
        <f>SUM('יתרות התחייבות להשקעה'!O:O)</f>
        <v>96834.130717942011</v>
      </c>
      <c r="C32" s="36"/>
      <c r="D32" s="36"/>
      <c r="E32" s="146">
        <f>SUM('יתרות התחייבות להשקעה'!O:O)</f>
        <v>96834.130717942011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6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762</v>
      </c>
      <c r="D1" s="14" t="s">
        <v>763</v>
      </c>
      <c r="E1" s="14" t="s">
        <v>764</v>
      </c>
      <c r="F1" s="14" t="s">
        <v>60</v>
      </c>
      <c r="G1" s="14" t="s">
        <v>22</v>
      </c>
      <c r="H1" s="14" t="s">
        <v>29</v>
      </c>
      <c r="I1" s="14" t="s">
        <v>766</v>
      </c>
      <c r="J1" s="14" t="s">
        <v>86</v>
      </c>
      <c r="K1" s="14" t="s">
        <v>30</v>
      </c>
      <c r="L1" s="14" t="s">
        <v>767</v>
      </c>
      <c r="M1" s="134" t="s">
        <v>34</v>
      </c>
      <c r="N1" s="136" t="s">
        <v>83</v>
      </c>
      <c r="O1" s="14" t="s">
        <v>36</v>
      </c>
      <c r="P1" s="136" t="s">
        <v>37</v>
      </c>
      <c r="Q1" s="136" t="s">
        <v>38</v>
      </c>
    </row>
    <row r="2" spans="1:17">
      <c r="A2">
        <v>14076</v>
      </c>
      <c r="B2">
        <v>14077</v>
      </c>
      <c r="C2" t="s">
        <v>216</v>
      </c>
      <c r="D2" t="s">
        <v>807</v>
      </c>
      <c r="E2" t="s">
        <v>808</v>
      </c>
      <c r="F2" t="s">
        <v>809</v>
      </c>
      <c r="G2" t="s">
        <v>45</v>
      </c>
      <c r="H2" t="s">
        <v>51</v>
      </c>
      <c r="I2" t="s">
        <v>95</v>
      </c>
      <c r="J2" t="s">
        <v>96</v>
      </c>
      <c r="K2" t="s">
        <v>72</v>
      </c>
      <c r="L2" s="133">
        <v>31.044</v>
      </c>
      <c r="M2" s="135">
        <v>3.165</v>
      </c>
      <c r="N2" s="137">
        <v>0</v>
      </c>
      <c r="O2" s="133">
        <v>98.254000000000005</v>
      </c>
      <c r="P2" s="137">
        <v>0.117803357877626</v>
      </c>
      <c r="Q2" s="137">
        <v>3.2622574127489398E-3</v>
      </c>
    </row>
    <row r="3" spans="1:17">
      <c r="A3">
        <v>14076</v>
      </c>
      <c r="B3">
        <v>14077</v>
      </c>
      <c r="C3" t="s">
        <v>216</v>
      </c>
      <c r="D3" t="s">
        <v>807</v>
      </c>
      <c r="E3" t="s">
        <v>808</v>
      </c>
      <c r="F3" t="s">
        <v>809</v>
      </c>
      <c r="G3" t="s">
        <v>45</v>
      </c>
      <c r="H3" t="s">
        <v>51</v>
      </c>
      <c r="I3" t="s">
        <v>95</v>
      </c>
      <c r="J3" t="s">
        <v>96</v>
      </c>
      <c r="K3" t="s">
        <v>395</v>
      </c>
      <c r="L3" s="133">
        <v>3.1629999999999998</v>
      </c>
      <c r="M3" s="135">
        <v>3.6360000000000001</v>
      </c>
      <c r="N3" s="137">
        <v>0</v>
      </c>
      <c r="O3" s="133">
        <v>11.5</v>
      </c>
      <c r="P3" s="137">
        <v>1.3788125161008399E-2</v>
      </c>
      <c r="Q3" s="137">
        <v>3.8182624268771301E-4</v>
      </c>
    </row>
    <row r="4" spans="1:17">
      <c r="A4">
        <v>14076</v>
      </c>
      <c r="B4">
        <v>14077</v>
      </c>
      <c r="C4" t="s">
        <v>216</v>
      </c>
      <c r="D4" t="s">
        <v>807</v>
      </c>
      <c r="E4" t="s">
        <v>808</v>
      </c>
      <c r="F4" t="s">
        <v>810</v>
      </c>
      <c r="G4" t="s">
        <v>45</v>
      </c>
      <c r="H4" t="s">
        <v>51</v>
      </c>
      <c r="I4" t="s">
        <v>95</v>
      </c>
      <c r="J4" t="s">
        <v>96</v>
      </c>
      <c r="K4" t="s">
        <v>52</v>
      </c>
      <c r="L4" s="133">
        <v>724.29600000000005</v>
      </c>
      <c r="M4" s="135">
        <v>1</v>
      </c>
      <c r="N4" s="137">
        <v>3.3000000000000002E-2</v>
      </c>
      <c r="O4" s="133">
        <v>724.29600000000005</v>
      </c>
      <c r="P4" s="137">
        <v>0.86840851696136601</v>
      </c>
      <c r="Q4" s="137">
        <v>2.40483138408875E-2</v>
      </c>
    </row>
    <row r="5" spans="1:17">
      <c r="A5">
        <v>14076</v>
      </c>
      <c r="B5">
        <v>14078</v>
      </c>
      <c r="C5" t="s">
        <v>216</v>
      </c>
      <c r="D5" t="s">
        <v>807</v>
      </c>
      <c r="E5" t="s">
        <v>808</v>
      </c>
      <c r="F5" t="s">
        <v>810</v>
      </c>
      <c r="G5" t="s">
        <v>45</v>
      </c>
      <c r="H5" t="s">
        <v>51</v>
      </c>
      <c r="I5" t="s">
        <v>95</v>
      </c>
      <c r="J5" t="s">
        <v>96</v>
      </c>
      <c r="K5" t="s">
        <v>52</v>
      </c>
      <c r="L5" s="133">
        <v>250.232</v>
      </c>
      <c r="M5" s="135">
        <v>1</v>
      </c>
      <c r="N5" s="137">
        <v>3.3000000000000002E-2</v>
      </c>
      <c r="O5" s="133">
        <v>250.232</v>
      </c>
      <c r="P5" s="137">
        <v>1</v>
      </c>
      <c r="Q5" s="137">
        <v>6.1310823157401502E-2</v>
      </c>
    </row>
    <row r="6" spans="1:17">
      <c r="A6">
        <v>14076</v>
      </c>
      <c r="B6">
        <v>14079</v>
      </c>
      <c r="C6" t="s">
        <v>216</v>
      </c>
      <c r="D6" t="s">
        <v>807</v>
      </c>
      <c r="E6" t="s">
        <v>808</v>
      </c>
      <c r="F6" t="s">
        <v>809</v>
      </c>
      <c r="G6" t="s">
        <v>45</v>
      </c>
      <c r="H6" t="s">
        <v>51</v>
      </c>
      <c r="I6" t="s">
        <v>95</v>
      </c>
      <c r="J6" t="s">
        <v>96</v>
      </c>
      <c r="K6" t="s">
        <v>72</v>
      </c>
      <c r="L6" s="133">
        <v>25.457999999999998</v>
      </c>
      <c r="M6" s="135">
        <v>3.165</v>
      </c>
      <c r="N6" s="137">
        <v>0</v>
      </c>
      <c r="O6" s="133">
        <v>80.575000000000003</v>
      </c>
      <c r="P6" s="137">
        <v>0.19499560035388999</v>
      </c>
      <c r="Q6" s="137">
        <v>5.6769747767808198E-3</v>
      </c>
    </row>
    <row r="7" spans="1:17">
      <c r="A7">
        <v>14076</v>
      </c>
      <c r="B7">
        <v>14079</v>
      </c>
      <c r="C7" t="s">
        <v>216</v>
      </c>
      <c r="D7" t="s">
        <v>807</v>
      </c>
      <c r="E7" t="s">
        <v>808</v>
      </c>
      <c r="F7" t="s">
        <v>809</v>
      </c>
      <c r="G7" t="s">
        <v>45</v>
      </c>
      <c r="H7" t="s">
        <v>51</v>
      </c>
      <c r="I7" t="s">
        <v>95</v>
      </c>
      <c r="J7" t="s">
        <v>96</v>
      </c>
      <c r="K7" t="s">
        <v>395</v>
      </c>
      <c r="L7" s="133">
        <v>2.306</v>
      </c>
      <c r="M7" s="135">
        <v>3.6360000000000001</v>
      </c>
      <c r="N7" s="137">
        <v>0</v>
      </c>
      <c r="O7" s="133">
        <v>8.3829999999999991</v>
      </c>
      <c r="P7" s="137">
        <v>2.0287026218629399E-2</v>
      </c>
      <c r="Q7" s="137">
        <v>5.9062325473002795E-4</v>
      </c>
    </row>
    <row r="8" spans="1:17">
      <c r="A8">
        <v>14076</v>
      </c>
      <c r="B8">
        <v>14079</v>
      </c>
      <c r="C8" t="s">
        <v>216</v>
      </c>
      <c r="D8" t="s">
        <v>807</v>
      </c>
      <c r="E8" t="s">
        <v>808</v>
      </c>
      <c r="F8" t="s">
        <v>810</v>
      </c>
      <c r="G8" t="s">
        <v>45</v>
      </c>
      <c r="H8" t="s">
        <v>51</v>
      </c>
      <c r="I8" t="s">
        <v>95</v>
      </c>
      <c r="J8" t="s">
        <v>96</v>
      </c>
      <c r="K8" t="s">
        <v>52</v>
      </c>
      <c r="L8" s="133">
        <v>324.25599999999997</v>
      </c>
      <c r="M8" s="135">
        <v>1</v>
      </c>
      <c r="N8" s="137">
        <v>3.3000000000000002E-2</v>
      </c>
      <c r="O8" s="133">
        <v>324.25599999999997</v>
      </c>
      <c r="P8" s="137">
        <v>0.78471737342748105</v>
      </c>
      <c r="Q8" s="137">
        <v>2.2845749995203099E-2</v>
      </c>
    </row>
    <row r="9" spans="1:17">
      <c r="A9">
        <v>14076</v>
      </c>
      <c r="B9">
        <v>15394</v>
      </c>
      <c r="C9" t="s">
        <v>216</v>
      </c>
      <c r="D9" t="s">
        <v>807</v>
      </c>
      <c r="E9" t="s">
        <v>808</v>
      </c>
      <c r="F9" t="s">
        <v>810</v>
      </c>
      <c r="G9" t="s">
        <v>45</v>
      </c>
      <c r="H9" t="s">
        <v>51</v>
      </c>
      <c r="I9" t="s">
        <v>95</v>
      </c>
      <c r="J9" t="s">
        <v>96</v>
      </c>
      <c r="K9" t="s">
        <v>52</v>
      </c>
      <c r="L9" s="133">
        <v>45.453000000000003</v>
      </c>
      <c r="M9" s="135">
        <v>1</v>
      </c>
      <c r="N9" s="137">
        <v>3.3000000000000002E-2</v>
      </c>
      <c r="O9" s="133">
        <v>45.453000000000003</v>
      </c>
      <c r="P9" s="137">
        <v>0.99999977999193901</v>
      </c>
      <c r="Q9" s="137">
        <v>7.7030113666254297E-3</v>
      </c>
    </row>
    <row r="10" spans="1:17">
      <c r="A10">
        <v>14076</v>
      </c>
      <c r="B10">
        <v>15394</v>
      </c>
      <c r="C10" t="s">
        <v>216</v>
      </c>
      <c r="D10" t="s">
        <v>807</v>
      </c>
      <c r="E10" t="s">
        <v>808</v>
      </c>
      <c r="F10" t="s">
        <v>810</v>
      </c>
      <c r="G10" t="s">
        <v>45</v>
      </c>
      <c r="H10" t="s">
        <v>51</v>
      </c>
      <c r="I10" t="s">
        <v>95</v>
      </c>
      <c r="J10" t="s">
        <v>96</v>
      </c>
      <c r="K10" t="s">
        <v>52</v>
      </c>
      <c r="L10" s="133">
        <v>0</v>
      </c>
      <c r="M10" s="135">
        <v>1</v>
      </c>
      <c r="N10" s="137">
        <v>0</v>
      </c>
      <c r="O10" s="133">
        <v>0</v>
      </c>
      <c r="P10" s="137">
        <v>2.20008061095359E-7</v>
      </c>
      <c r="Q10" s="137">
        <v>1.6947249682199201E-9</v>
      </c>
    </row>
    <row r="11" spans="1:17">
      <c r="A11">
        <v>161</v>
      </c>
      <c r="B11">
        <v>1434</v>
      </c>
      <c r="C11" t="s">
        <v>216</v>
      </c>
      <c r="D11" t="s">
        <v>807</v>
      </c>
      <c r="E11" t="s">
        <v>808</v>
      </c>
      <c r="F11" t="s">
        <v>809</v>
      </c>
      <c r="G11" t="s">
        <v>45</v>
      </c>
      <c r="H11" t="s">
        <v>51</v>
      </c>
      <c r="I11" t="s">
        <v>95</v>
      </c>
      <c r="J11" t="s">
        <v>96</v>
      </c>
      <c r="K11" t="s">
        <v>72</v>
      </c>
      <c r="L11" s="133">
        <v>47.539000000000001</v>
      </c>
      <c r="M11" s="135">
        <v>3.165</v>
      </c>
      <c r="N11" s="137">
        <v>0</v>
      </c>
      <c r="O11" s="133">
        <v>150.46100000000001</v>
      </c>
      <c r="P11" s="137">
        <v>0.142533600160547</v>
      </c>
      <c r="Q11" s="137">
        <v>6.3169154533494103E-3</v>
      </c>
    </row>
    <row r="12" spans="1:17">
      <c r="A12">
        <v>161</v>
      </c>
      <c r="B12">
        <v>1434</v>
      </c>
      <c r="C12" t="s">
        <v>216</v>
      </c>
      <c r="D12" t="s">
        <v>807</v>
      </c>
      <c r="E12" t="s">
        <v>808</v>
      </c>
      <c r="F12" t="s">
        <v>809</v>
      </c>
      <c r="G12" t="s">
        <v>45</v>
      </c>
      <c r="H12" t="s">
        <v>51</v>
      </c>
      <c r="I12" t="s">
        <v>95</v>
      </c>
      <c r="J12" t="s">
        <v>96</v>
      </c>
      <c r="K12" t="s">
        <v>395</v>
      </c>
      <c r="L12" s="133">
        <v>12.358000000000001</v>
      </c>
      <c r="M12" s="135">
        <v>3.6360000000000001</v>
      </c>
      <c r="N12" s="137">
        <v>0</v>
      </c>
      <c r="O12" s="133">
        <v>44.933</v>
      </c>
      <c r="P12" s="137">
        <v>4.2565720644318697E-2</v>
      </c>
      <c r="Q12" s="137">
        <v>1.8864608640922901E-3</v>
      </c>
    </row>
    <row r="13" spans="1:17">
      <c r="A13">
        <v>161</v>
      </c>
      <c r="B13">
        <v>1434</v>
      </c>
      <c r="C13" t="s">
        <v>216</v>
      </c>
      <c r="D13" t="s">
        <v>807</v>
      </c>
      <c r="E13" t="s">
        <v>808</v>
      </c>
      <c r="F13" t="s">
        <v>810</v>
      </c>
      <c r="G13" t="s">
        <v>45</v>
      </c>
      <c r="H13" t="s">
        <v>51</v>
      </c>
      <c r="I13" t="s">
        <v>95</v>
      </c>
      <c r="J13" t="s">
        <v>96</v>
      </c>
      <c r="K13" t="s">
        <v>52</v>
      </c>
      <c r="L13" s="133">
        <v>860.22500000000002</v>
      </c>
      <c r="M13" s="135">
        <v>1</v>
      </c>
      <c r="N13" s="137">
        <v>3.3000000000000002E-2</v>
      </c>
      <c r="O13" s="133">
        <v>860.22500000000002</v>
      </c>
      <c r="P13" s="137">
        <v>0.81490067919513398</v>
      </c>
      <c r="Q13" s="137">
        <v>3.6115404982084598E-2</v>
      </c>
    </row>
    <row r="14" spans="1:17">
      <c r="A14">
        <v>161</v>
      </c>
      <c r="B14">
        <v>9938</v>
      </c>
      <c r="C14" t="s">
        <v>216</v>
      </c>
      <c r="D14" t="s">
        <v>807</v>
      </c>
      <c r="E14" t="s">
        <v>808</v>
      </c>
      <c r="F14" t="s">
        <v>809</v>
      </c>
      <c r="G14" t="s">
        <v>45</v>
      </c>
      <c r="H14" t="s">
        <v>51</v>
      </c>
      <c r="I14" t="s">
        <v>95</v>
      </c>
      <c r="J14" t="s">
        <v>96</v>
      </c>
      <c r="K14" t="s">
        <v>72</v>
      </c>
      <c r="L14" s="133">
        <v>114.309</v>
      </c>
      <c r="M14" s="135">
        <v>3.165</v>
      </c>
      <c r="N14" s="137">
        <v>0</v>
      </c>
      <c r="O14" s="133">
        <v>361.78899999999999</v>
      </c>
      <c r="P14" s="137">
        <v>0.158549040433761</v>
      </c>
      <c r="Q14" s="137">
        <v>4.1457210588013004E-3</v>
      </c>
    </row>
    <row r="15" spans="1:17">
      <c r="A15">
        <v>161</v>
      </c>
      <c r="B15">
        <v>9938</v>
      </c>
      <c r="C15" t="s">
        <v>216</v>
      </c>
      <c r="D15" t="s">
        <v>807</v>
      </c>
      <c r="E15" t="s">
        <v>808</v>
      </c>
      <c r="F15" t="s">
        <v>809</v>
      </c>
      <c r="G15" t="s">
        <v>45</v>
      </c>
      <c r="H15" t="s">
        <v>51</v>
      </c>
      <c r="I15" t="s">
        <v>95</v>
      </c>
      <c r="J15" t="s">
        <v>96</v>
      </c>
      <c r="K15" t="s">
        <v>811</v>
      </c>
      <c r="L15" s="133">
        <v>5</v>
      </c>
      <c r="M15" s="135">
        <v>0.40439999999999998</v>
      </c>
      <c r="N15" s="137">
        <v>0</v>
      </c>
      <c r="O15" s="133">
        <v>2.0219999999999998</v>
      </c>
      <c r="P15" s="137">
        <v>8.8611292575850999E-4</v>
      </c>
      <c r="Q15" s="137">
        <v>2.31699731940531E-5</v>
      </c>
    </row>
    <row r="16" spans="1:17">
      <c r="A16">
        <v>161</v>
      </c>
      <c r="B16">
        <v>9938</v>
      </c>
      <c r="C16" t="s">
        <v>216</v>
      </c>
      <c r="D16" t="s">
        <v>807</v>
      </c>
      <c r="E16" t="s">
        <v>808</v>
      </c>
      <c r="F16" t="s">
        <v>809</v>
      </c>
      <c r="G16" t="s">
        <v>45</v>
      </c>
      <c r="H16" t="s">
        <v>51</v>
      </c>
      <c r="I16" t="s">
        <v>95</v>
      </c>
      <c r="J16" t="s">
        <v>96</v>
      </c>
      <c r="K16" t="s">
        <v>812</v>
      </c>
      <c r="L16" s="133">
        <v>0.98199999999999998</v>
      </c>
      <c r="M16" s="135">
        <v>2.4567000000000001</v>
      </c>
      <c r="N16" s="137">
        <v>0</v>
      </c>
      <c r="O16" s="133">
        <v>2.411</v>
      </c>
      <c r="P16" s="137">
        <v>1.0567505283555999E-3</v>
      </c>
      <c r="Q16" s="137">
        <v>2.7631784508550801E-5</v>
      </c>
    </row>
    <row r="17" spans="1:17">
      <c r="A17">
        <v>161</v>
      </c>
      <c r="B17">
        <v>9938</v>
      </c>
      <c r="C17" t="s">
        <v>216</v>
      </c>
      <c r="D17" t="s">
        <v>807</v>
      </c>
      <c r="E17" t="s">
        <v>808</v>
      </c>
      <c r="F17" t="s">
        <v>809</v>
      </c>
      <c r="G17" t="s">
        <v>45</v>
      </c>
      <c r="H17" t="s">
        <v>51</v>
      </c>
      <c r="I17" t="s">
        <v>95</v>
      </c>
      <c r="J17" t="s">
        <v>96</v>
      </c>
      <c r="K17" t="s">
        <v>395</v>
      </c>
      <c r="L17" s="133">
        <v>13.414999999999999</v>
      </c>
      <c r="M17" s="135">
        <v>3.6360000000000001</v>
      </c>
      <c r="N17" s="137">
        <v>0</v>
      </c>
      <c r="O17" s="133">
        <v>48.774999999999999</v>
      </c>
      <c r="P17" s="137">
        <v>2.13751194822503E-2</v>
      </c>
      <c r="Q17" s="137">
        <v>5.5891402893088501E-4</v>
      </c>
    </row>
    <row r="18" spans="1:17">
      <c r="A18">
        <v>161</v>
      </c>
      <c r="B18">
        <v>9938</v>
      </c>
      <c r="C18" t="s">
        <v>216</v>
      </c>
      <c r="D18" t="s">
        <v>807</v>
      </c>
      <c r="E18" t="s">
        <v>808</v>
      </c>
      <c r="F18" t="s">
        <v>809</v>
      </c>
      <c r="G18" t="s">
        <v>45</v>
      </c>
      <c r="H18" t="s">
        <v>51</v>
      </c>
      <c r="I18" t="s">
        <v>95</v>
      </c>
      <c r="J18" t="s">
        <v>96</v>
      </c>
      <c r="K18" t="s">
        <v>813</v>
      </c>
      <c r="L18" s="133">
        <v>3.3130000000000002</v>
      </c>
      <c r="M18" s="135">
        <v>0.48670000000000002</v>
      </c>
      <c r="N18" s="137">
        <v>0</v>
      </c>
      <c r="O18" s="133">
        <v>1.6120000000000001</v>
      </c>
      <c r="P18" s="137">
        <v>7.0663417132413298E-4</v>
      </c>
      <c r="Q18" s="137">
        <v>1.8476984514775199E-5</v>
      </c>
    </row>
    <row r="19" spans="1:17">
      <c r="A19">
        <v>161</v>
      </c>
      <c r="B19">
        <v>9938</v>
      </c>
      <c r="C19" t="s">
        <v>216</v>
      </c>
      <c r="D19" t="s">
        <v>807</v>
      </c>
      <c r="E19" t="s">
        <v>808</v>
      </c>
      <c r="F19" t="s">
        <v>809</v>
      </c>
      <c r="G19" t="s">
        <v>45</v>
      </c>
      <c r="H19" t="s">
        <v>51</v>
      </c>
      <c r="I19" t="s">
        <v>95</v>
      </c>
      <c r="J19" t="s">
        <v>96</v>
      </c>
      <c r="K19" t="s">
        <v>622</v>
      </c>
      <c r="L19" s="133">
        <v>22.327000000000002</v>
      </c>
      <c r="M19" s="135">
        <v>4.1872999999999996</v>
      </c>
      <c r="N19" s="137">
        <v>0</v>
      </c>
      <c r="O19" s="133">
        <v>93.489000000000004</v>
      </c>
      <c r="P19" s="137">
        <v>4.09700721664229E-2</v>
      </c>
      <c r="Q19" s="137">
        <v>1.0712804725671601E-3</v>
      </c>
    </row>
    <row r="20" spans="1:17">
      <c r="A20">
        <v>161</v>
      </c>
      <c r="B20">
        <v>9938</v>
      </c>
      <c r="C20" t="s">
        <v>216</v>
      </c>
      <c r="D20" t="s">
        <v>807</v>
      </c>
      <c r="E20" t="s">
        <v>808</v>
      </c>
      <c r="F20" t="s">
        <v>810</v>
      </c>
      <c r="G20" t="s">
        <v>45</v>
      </c>
      <c r="H20" t="s">
        <v>51</v>
      </c>
      <c r="I20" t="s">
        <v>95</v>
      </c>
      <c r="J20" t="s">
        <v>96</v>
      </c>
      <c r="K20" t="s">
        <v>52</v>
      </c>
      <c r="L20" s="133">
        <v>1757.7190000000001</v>
      </c>
      <c r="M20" s="135">
        <v>1</v>
      </c>
      <c r="N20" s="137">
        <v>3.3000000000000002E-2</v>
      </c>
      <c r="O20" s="133">
        <v>1757.7190000000001</v>
      </c>
      <c r="P20" s="137">
        <v>0.77029556482931405</v>
      </c>
      <c r="Q20" s="137">
        <v>2.0141594902608698E-2</v>
      </c>
    </row>
    <row r="21" spans="1:17">
      <c r="A21">
        <v>161</v>
      </c>
      <c r="B21">
        <v>9938</v>
      </c>
      <c r="C21" t="s">
        <v>216</v>
      </c>
      <c r="D21" t="s">
        <v>807</v>
      </c>
      <c r="E21" t="s">
        <v>808</v>
      </c>
      <c r="F21" t="s">
        <v>809</v>
      </c>
      <c r="G21" t="s">
        <v>45</v>
      </c>
      <c r="H21" t="s">
        <v>51</v>
      </c>
      <c r="I21" t="s">
        <v>95</v>
      </c>
      <c r="J21" t="s">
        <v>96</v>
      </c>
      <c r="K21" t="s">
        <v>814</v>
      </c>
      <c r="L21" s="133">
        <v>3.55</v>
      </c>
      <c r="M21" s="135">
        <v>3.9594999999999998</v>
      </c>
      <c r="N21" s="137">
        <v>0</v>
      </c>
      <c r="O21" s="133">
        <v>14.058</v>
      </c>
      <c r="P21" s="137">
        <v>6.1607054540489198E-3</v>
      </c>
      <c r="Q21" s="137">
        <v>1.61089378201523E-4</v>
      </c>
    </row>
    <row r="22" spans="1:17">
      <c r="A22">
        <v>161</v>
      </c>
      <c r="B22">
        <v>9938</v>
      </c>
      <c r="C22" t="s">
        <v>216</v>
      </c>
      <c r="D22" t="s">
        <v>807</v>
      </c>
      <c r="E22" t="s">
        <v>808</v>
      </c>
      <c r="F22" t="s">
        <v>810</v>
      </c>
      <c r="G22" t="s">
        <v>45</v>
      </c>
      <c r="H22" t="s">
        <v>51</v>
      </c>
      <c r="I22" t="s">
        <v>95</v>
      </c>
      <c r="J22" t="s">
        <v>96</v>
      </c>
      <c r="K22" t="s">
        <v>52</v>
      </c>
      <c r="L22" s="133">
        <v>0</v>
      </c>
      <c r="M22" s="135">
        <v>1</v>
      </c>
      <c r="N22" s="137">
        <v>0</v>
      </c>
      <c r="O22" s="133">
        <v>0</v>
      </c>
      <c r="P22" s="137">
        <v>8.7647173665530197E-12</v>
      </c>
      <c r="Q22" s="137">
        <v>2.29178765519814E-13</v>
      </c>
    </row>
    <row r="23" spans="1:17">
      <c r="A23">
        <v>161</v>
      </c>
      <c r="B23">
        <v>9942</v>
      </c>
      <c r="C23" t="s">
        <v>216</v>
      </c>
      <c r="D23" t="s">
        <v>807</v>
      </c>
      <c r="E23" t="s">
        <v>808</v>
      </c>
      <c r="F23" t="s">
        <v>809</v>
      </c>
      <c r="G23" t="s">
        <v>45</v>
      </c>
      <c r="H23" t="s">
        <v>51</v>
      </c>
      <c r="I23" t="s">
        <v>95</v>
      </c>
      <c r="J23" t="s">
        <v>96</v>
      </c>
      <c r="K23" t="s">
        <v>72</v>
      </c>
      <c r="L23" s="133">
        <v>56.841999999999999</v>
      </c>
      <c r="M23" s="135">
        <v>3.165</v>
      </c>
      <c r="N23" s="137">
        <v>0</v>
      </c>
      <c r="O23" s="133">
        <v>179.904</v>
      </c>
      <c r="P23" s="137">
        <v>5.6292581591104403E-2</v>
      </c>
      <c r="Q23" s="137">
        <v>1.7812164827285799E-3</v>
      </c>
    </row>
    <row r="24" spans="1:17">
      <c r="A24">
        <v>161</v>
      </c>
      <c r="B24">
        <v>9942</v>
      </c>
      <c r="C24" t="s">
        <v>216</v>
      </c>
      <c r="D24" t="s">
        <v>807</v>
      </c>
      <c r="E24" t="s">
        <v>808</v>
      </c>
      <c r="F24" t="s">
        <v>809</v>
      </c>
      <c r="G24" t="s">
        <v>45</v>
      </c>
      <c r="H24" t="s">
        <v>51</v>
      </c>
      <c r="I24" t="s">
        <v>95</v>
      </c>
      <c r="J24" t="s">
        <v>96</v>
      </c>
      <c r="K24" t="s">
        <v>811</v>
      </c>
      <c r="L24" s="133">
        <v>8.35</v>
      </c>
      <c r="M24" s="135">
        <v>0.40439999999999998</v>
      </c>
      <c r="N24" s="137">
        <v>0</v>
      </c>
      <c r="O24" s="133">
        <v>3.3769999999999998</v>
      </c>
      <c r="P24" s="137">
        <v>1.0565922104919601E-3</v>
      </c>
      <c r="Q24" s="137">
        <v>3.34328149048384E-5</v>
      </c>
    </row>
    <row r="25" spans="1:17">
      <c r="A25">
        <v>161</v>
      </c>
      <c r="B25">
        <v>9942</v>
      </c>
      <c r="C25" t="s">
        <v>216</v>
      </c>
      <c r="D25" t="s">
        <v>807</v>
      </c>
      <c r="E25" t="s">
        <v>808</v>
      </c>
      <c r="F25" t="s">
        <v>809</v>
      </c>
      <c r="G25" t="s">
        <v>45</v>
      </c>
      <c r="H25" t="s">
        <v>51</v>
      </c>
      <c r="I25" t="s">
        <v>95</v>
      </c>
      <c r="J25" t="s">
        <v>96</v>
      </c>
      <c r="K25" t="s">
        <v>812</v>
      </c>
      <c r="L25" s="133">
        <v>1.9330000000000001</v>
      </c>
      <c r="M25" s="135">
        <v>2.4567000000000001</v>
      </c>
      <c r="N25" s="137">
        <v>0</v>
      </c>
      <c r="O25" s="133">
        <v>4.7489999999999997</v>
      </c>
      <c r="P25" s="137">
        <v>1.4860142315803199E-3</v>
      </c>
      <c r="Q25" s="137">
        <v>4.7020636965748701E-5</v>
      </c>
    </row>
    <row r="26" spans="1:17">
      <c r="A26">
        <v>161</v>
      </c>
      <c r="B26">
        <v>9942</v>
      </c>
      <c r="C26" t="s">
        <v>216</v>
      </c>
      <c r="D26" t="s">
        <v>807</v>
      </c>
      <c r="E26" t="s">
        <v>808</v>
      </c>
      <c r="F26" t="s">
        <v>809</v>
      </c>
      <c r="G26" t="s">
        <v>45</v>
      </c>
      <c r="H26" t="s">
        <v>51</v>
      </c>
      <c r="I26" t="s">
        <v>95</v>
      </c>
      <c r="J26" t="s">
        <v>96</v>
      </c>
      <c r="K26" t="s">
        <v>395</v>
      </c>
      <c r="L26" s="133">
        <v>26.170999999999999</v>
      </c>
      <c r="M26" s="135">
        <v>3.6360000000000001</v>
      </c>
      <c r="N26" s="137">
        <v>0</v>
      </c>
      <c r="O26" s="133">
        <v>95.159000000000006</v>
      </c>
      <c r="P26" s="137">
        <v>2.97754582926728E-2</v>
      </c>
      <c r="Q26" s="137">
        <v>9.4215855078295301E-4</v>
      </c>
    </row>
    <row r="27" spans="1:17">
      <c r="A27">
        <v>161</v>
      </c>
      <c r="B27">
        <v>9942</v>
      </c>
      <c r="C27" t="s">
        <v>216</v>
      </c>
      <c r="D27" t="s">
        <v>807</v>
      </c>
      <c r="E27" t="s">
        <v>808</v>
      </c>
      <c r="F27" t="s">
        <v>809</v>
      </c>
      <c r="G27" t="s">
        <v>45</v>
      </c>
      <c r="H27" t="s">
        <v>51</v>
      </c>
      <c r="I27" t="s">
        <v>95</v>
      </c>
      <c r="J27" t="s">
        <v>96</v>
      </c>
      <c r="K27" t="s">
        <v>813</v>
      </c>
      <c r="L27" s="133">
        <v>6.91</v>
      </c>
      <c r="M27" s="135">
        <v>0.48670000000000002</v>
      </c>
      <c r="N27" s="137">
        <v>0</v>
      </c>
      <c r="O27" s="133">
        <v>3.363</v>
      </c>
      <c r="P27" s="137">
        <v>1.05239028188063E-3</v>
      </c>
      <c r="Q27" s="137">
        <v>3.3299856985869097E-5</v>
      </c>
    </row>
    <row r="28" spans="1:17">
      <c r="A28">
        <v>161</v>
      </c>
      <c r="B28">
        <v>9942</v>
      </c>
      <c r="C28" t="s">
        <v>216</v>
      </c>
      <c r="D28" t="s">
        <v>807</v>
      </c>
      <c r="E28" t="s">
        <v>808</v>
      </c>
      <c r="F28" t="s">
        <v>809</v>
      </c>
      <c r="G28" t="s">
        <v>45</v>
      </c>
      <c r="H28" t="s">
        <v>51</v>
      </c>
      <c r="I28" t="s">
        <v>95</v>
      </c>
      <c r="J28" t="s">
        <v>96</v>
      </c>
      <c r="K28" t="s">
        <v>622</v>
      </c>
      <c r="L28" s="133">
        <v>1E-3</v>
      </c>
      <c r="M28" s="135">
        <v>4.1872999999999996</v>
      </c>
      <c r="N28" s="137">
        <v>0</v>
      </c>
      <c r="O28" s="133">
        <v>3.0000000000000001E-3</v>
      </c>
      <c r="P28" s="137">
        <v>1.03507292973829E-6</v>
      </c>
      <c r="Q28" s="137">
        <v>3.2751899294086503E-8</v>
      </c>
    </row>
    <row r="29" spans="1:17">
      <c r="A29">
        <v>161</v>
      </c>
      <c r="B29">
        <v>9942</v>
      </c>
      <c r="C29" t="s">
        <v>216</v>
      </c>
      <c r="D29" t="s">
        <v>807</v>
      </c>
      <c r="E29" t="s">
        <v>808</v>
      </c>
      <c r="F29" t="s">
        <v>810</v>
      </c>
      <c r="G29" t="s">
        <v>45</v>
      </c>
      <c r="H29" t="s">
        <v>51</v>
      </c>
      <c r="I29" t="s">
        <v>95</v>
      </c>
      <c r="J29" t="s">
        <v>96</v>
      </c>
      <c r="K29" t="s">
        <v>52</v>
      </c>
      <c r="L29" s="133">
        <v>2707.64</v>
      </c>
      <c r="M29" s="135">
        <v>1</v>
      </c>
      <c r="N29" s="137">
        <v>3.3000000000000002E-2</v>
      </c>
      <c r="O29" s="133">
        <v>2707.64</v>
      </c>
      <c r="P29" s="137">
        <v>0.84722886794080499</v>
      </c>
      <c r="Q29" s="137">
        <v>2.68081154135257E-2</v>
      </c>
    </row>
    <row r="30" spans="1:17">
      <c r="A30">
        <v>161</v>
      </c>
      <c r="B30">
        <v>9942</v>
      </c>
      <c r="C30" t="s">
        <v>216</v>
      </c>
      <c r="D30" t="s">
        <v>807</v>
      </c>
      <c r="E30" t="s">
        <v>808</v>
      </c>
      <c r="F30" t="s">
        <v>809</v>
      </c>
      <c r="G30" t="s">
        <v>45</v>
      </c>
      <c r="H30" t="s">
        <v>51</v>
      </c>
      <c r="I30" t="s">
        <v>95</v>
      </c>
      <c r="J30" t="s">
        <v>96</v>
      </c>
      <c r="K30" t="s">
        <v>814</v>
      </c>
      <c r="L30" s="133">
        <v>50.936</v>
      </c>
      <c r="M30" s="135">
        <v>3.9594999999999998</v>
      </c>
      <c r="N30" s="137">
        <v>0</v>
      </c>
      <c r="O30" s="133">
        <v>201.68199999999999</v>
      </c>
      <c r="P30" s="137">
        <v>6.3107060378534696E-2</v>
      </c>
      <c r="Q30" s="137">
        <v>1.9968410214207801E-3</v>
      </c>
    </row>
    <row r="31" spans="1:17">
      <c r="A31">
        <v>161</v>
      </c>
      <c r="B31">
        <v>9943</v>
      </c>
      <c r="C31" t="s">
        <v>216</v>
      </c>
      <c r="D31" t="s">
        <v>807</v>
      </c>
      <c r="E31" t="s">
        <v>808</v>
      </c>
      <c r="F31" t="s">
        <v>809</v>
      </c>
      <c r="G31" t="s">
        <v>45</v>
      </c>
      <c r="H31" t="s">
        <v>51</v>
      </c>
      <c r="I31" t="s">
        <v>95</v>
      </c>
      <c r="J31" t="s">
        <v>96</v>
      </c>
      <c r="K31" t="s">
        <v>72</v>
      </c>
      <c r="L31" s="133">
        <v>1093.6959999999999</v>
      </c>
      <c r="M31" s="135">
        <v>3.165</v>
      </c>
      <c r="N31" s="137">
        <v>0</v>
      </c>
      <c r="O31" s="133">
        <v>3461.547</v>
      </c>
      <c r="P31" s="137">
        <v>4.6393846097309899E-2</v>
      </c>
      <c r="Q31" s="137">
        <v>1.76641141972484E-3</v>
      </c>
    </row>
    <row r="32" spans="1:17">
      <c r="A32">
        <v>161</v>
      </c>
      <c r="B32">
        <v>9943</v>
      </c>
      <c r="C32" t="s">
        <v>216</v>
      </c>
      <c r="D32" t="s">
        <v>807</v>
      </c>
      <c r="E32" t="s">
        <v>808</v>
      </c>
      <c r="F32" t="s">
        <v>809</v>
      </c>
      <c r="G32" t="s">
        <v>45</v>
      </c>
      <c r="H32" t="s">
        <v>51</v>
      </c>
      <c r="I32" t="s">
        <v>95</v>
      </c>
      <c r="J32" t="s">
        <v>96</v>
      </c>
      <c r="K32" t="s">
        <v>811</v>
      </c>
      <c r="L32" s="133">
        <v>19.123000000000001</v>
      </c>
      <c r="M32" s="135">
        <v>0.40439999999999998</v>
      </c>
      <c r="N32" s="137">
        <v>0</v>
      </c>
      <c r="O32" s="133">
        <v>7.7329999999999997</v>
      </c>
      <c r="P32" s="137">
        <v>1.03645249542134E-4</v>
      </c>
      <c r="Q32" s="137">
        <v>3.9462163151433997E-6</v>
      </c>
    </row>
    <row r="33" spans="1:17">
      <c r="A33">
        <v>161</v>
      </c>
      <c r="B33">
        <v>9943</v>
      </c>
      <c r="C33" t="s">
        <v>216</v>
      </c>
      <c r="D33" t="s">
        <v>807</v>
      </c>
      <c r="E33" t="s">
        <v>808</v>
      </c>
      <c r="F33" t="s">
        <v>809</v>
      </c>
      <c r="G33" t="s">
        <v>45</v>
      </c>
      <c r="H33" t="s">
        <v>51</v>
      </c>
      <c r="I33" t="s">
        <v>95</v>
      </c>
      <c r="J33" t="s">
        <v>96</v>
      </c>
      <c r="K33" t="s">
        <v>812</v>
      </c>
      <c r="L33" s="133">
        <v>1.502</v>
      </c>
      <c r="M33" s="135">
        <v>2.4567000000000001</v>
      </c>
      <c r="N33" s="137">
        <v>0</v>
      </c>
      <c r="O33" s="133">
        <v>3.69</v>
      </c>
      <c r="P33" s="137">
        <v>4.9455231237924703E-5</v>
      </c>
      <c r="Q33" s="137">
        <v>1.8829713975549901E-6</v>
      </c>
    </row>
    <row r="34" spans="1:17">
      <c r="A34">
        <v>161</v>
      </c>
      <c r="B34">
        <v>9943</v>
      </c>
      <c r="C34" t="s">
        <v>216</v>
      </c>
      <c r="D34" t="s">
        <v>807</v>
      </c>
      <c r="E34" t="s">
        <v>808</v>
      </c>
      <c r="F34" t="s">
        <v>809</v>
      </c>
      <c r="G34" t="s">
        <v>45</v>
      </c>
      <c r="H34" t="s">
        <v>51</v>
      </c>
      <c r="I34" t="s">
        <v>95</v>
      </c>
      <c r="J34" t="s">
        <v>96</v>
      </c>
      <c r="K34" t="s">
        <v>395</v>
      </c>
      <c r="L34" s="133">
        <v>102.92</v>
      </c>
      <c r="M34" s="135">
        <v>3.6360000000000001</v>
      </c>
      <c r="N34" s="137">
        <v>0</v>
      </c>
      <c r="O34" s="133">
        <v>374.21699999999998</v>
      </c>
      <c r="P34" s="137">
        <v>5.01549240668267E-3</v>
      </c>
      <c r="Q34" s="137">
        <v>1.9096116851629599E-4</v>
      </c>
    </row>
    <row r="35" spans="1:17">
      <c r="A35">
        <v>161</v>
      </c>
      <c r="B35">
        <v>9943</v>
      </c>
      <c r="C35" t="s">
        <v>216</v>
      </c>
      <c r="D35" t="s">
        <v>807</v>
      </c>
      <c r="E35" t="s">
        <v>808</v>
      </c>
      <c r="F35" t="s">
        <v>809</v>
      </c>
      <c r="G35" t="s">
        <v>45</v>
      </c>
      <c r="H35" t="s">
        <v>51</v>
      </c>
      <c r="I35" t="s">
        <v>95</v>
      </c>
      <c r="J35" t="s">
        <v>96</v>
      </c>
      <c r="K35" t="s">
        <v>813</v>
      </c>
      <c r="L35" s="133">
        <v>0.26</v>
      </c>
      <c r="M35" s="135">
        <v>0.48670000000000002</v>
      </c>
      <c r="N35" s="137">
        <v>0</v>
      </c>
      <c r="O35" s="133">
        <v>0.127</v>
      </c>
      <c r="P35" s="137">
        <v>1.69612665224006E-6</v>
      </c>
      <c r="Q35" s="137">
        <v>6.4578769381015505E-8</v>
      </c>
    </row>
    <row r="36" spans="1:17">
      <c r="A36">
        <v>161</v>
      </c>
      <c r="B36">
        <v>9943</v>
      </c>
      <c r="C36" t="s">
        <v>216</v>
      </c>
      <c r="D36" t="s">
        <v>807</v>
      </c>
      <c r="E36" t="s">
        <v>808</v>
      </c>
      <c r="F36" t="s">
        <v>809</v>
      </c>
      <c r="G36" t="s">
        <v>45</v>
      </c>
      <c r="H36" t="s">
        <v>51</v>
      </c>
      <c r="I36" t="s">
        <v>95</v>
      </c>
      <c r="J36" t="s">
        <v>96</v>
      </c>
      <c r="K36" t="s">
        <v>622</v>
      </c>
      <c r="L36" s="133">
        <v>139.905</v>
      </c>
      <c r="M36" s="135">
        <v>4.1872999999999996</v>
      </c>
      <c r="N36" s="137">
        <v>0</v>
      </c>
      <c r="O36" s="133">
        <v>585.82399999999996</v>
      </c>
      <c r="P36" s="137">
        <v>7.8515889179033693E-3</v>
      </c>
      <c r="Q36" s="137">
        <v>2.9894344819956001E-4</v>
      </c>
    </row>
    <row r="37" spans="1:17">
      <c r="A37">
        <v>161</v>
      </c>
      <c r="B37">
        <v>9943</v>
      </c>
      <c r="C37" t="s">
        <v>216</v>
      </c>
      <c r="D37" t="s">
        <v>807</v>
      </c>
      <c r="E37" t="s">
        <v>808</v>
      </c>
      <c r="F37" t="s">
        <v>810</v>
      </c>
      <c r="G37" t="s">
        <v>45</v>
      </c>
      <c r="H37" t="s">
        <v>51</v>
      </c>
      <c r="I37" t="s">
        <v>95</v>
      </c>
      <c r="J37" t="s">
        <v>96</v>
      </c>
      <c r="K37" t="s">
        <v>52</v>
      </c>
      <c r="L37" s="133">
        <v>10518.528</v>
      </c>
      <c r="M37" s="135">
        <v>1</v>
      </c>
      <c r="N37" s="137">
        <v>3.3000000000000002E-2</v>
      </c>
      <c r="O37" s="133">
        <v>10518.528</v>
      </c>
      <c r="P37" s="137">
        <v>0.140975984651348</v>
      </c>
      <c r="Q37" s="137">
        <v>5.3675564787790597E-3</v>
      </c>
    </row>
    <row r="38" spans="1:17">
      <c r="A38">
        <v>161</v>
      </c>
      <c r="B38">
        <v>9943</v>
      </c>
      <c r="C38" t="s">
        <v>216</v>
      </c>
      <c r="D38" t="s">
        <v>807</v>
      </c>
      <c r="E38" t="s">
        <v>808</v>
      </c>
      <c r="F38" t="s">
        <v>809</v>
      </c>
      <c r="G38" t="s">
        <v>45</v>
      </c>
      <c r="H38" t="s">
        <v>51</v>
      </c>
      <c r="I38" t="s">
        <v>95</v>
      </c>
      <c r="J38" t="s">
        <v>96</v>
      </c>
      <c r="K38" t="s">
        <v>814</v>
      </c>
      <c r="L38" s="133">
        <v>35.017000000000003</v>
      </c>
      <c r="M38" s="135">
        <v>3.9594999999999998</v>
      </c>
      <c r="N38" s="137">
        <v>0</v>
      </c>
      <c r="O38" s="133">
        <v>138.648</v>
      </c>
      <c r="P38" s="137">
        <v>1.8582536602806E-3</v>
      </c>
      <c r="Q38" s="137">
        <v>7.0751635451398194E-5</v>
      </c>
    </row>
    <row r="39" spans="1:17">
      <c r="A39">
        <v>161</v>
      </c>
      <c r="B39">
        <v>9943</v>
      </c>
      <c r="C39" t="s">
        <v>216</v>
      </c>
      <c r="D39" t="s">
        <v>807</v>
      </c>
      <c r="E39" t="s">
        <v>808</v>
      </c>
      <c r="F39" t="s">
        <v>809</v>
      </c>
      <c r="G39" t="s">
        <v>45</v>
      </c>
      <c r="H39" t="s">
        <v>51</v>
      </c>
      <c r="I39" t="s">
        <v>95</v>
      </c>
      <c r="J39" t="s">
        <v>96</v>
      </c>
      <c r="K39" t="s">
        <v>72</v>
      </c>
      <c r="L39" s="133">
        <v>5651.9669999999996</v>
      </c>
      <c r="M39" s="135">
        <v>3.165</v>
      </c>
      <c r="N39" s="137">
        <v>0</v>
      </c>
      <c r="O39" s="133">
        <v>17888.476999999999</v>
      </c>
      <c r="P39" s="137">
        <v>0.23975272098988901</v>
      </c>
      <c r="Q39" s="137">
        <v>9.1284077499925106E-3</v>
      </c>
    </row>
    <row r="40" spans="1:17">
      <c r="A40">
        <v>161</v>
      </c>
      <c r="B40">
        <v>9943</v>
      </c>
      <c r="C40" t="s">
        <v>216</v>
      </c>
      <c r="D40" t="s">
        <v>807</v>
      </c>
      <c r="E40" t="s">
        <v>808</v>
      </c>
      <c r="F40" t="s">
        <v>809</v>
      </c>
      <c r="G40" t="s">
        <v>45</v>
      </c>
      <c r="H40" t="s">
        <v>51</v>
      </c>
      <c r="I40" t="s">
        <v>95</v>
      </c>
      <c r="J40" t="s">
        <v>96</v>
      </c>
      <c r="K40" t="s">
        <v>811</v>
      </c>
      <c r="L40" s="133">
        <v>5.0359999999999996</v>
      </c>
      <c r="M40" s="135">
        <v>0.40439999999999998</v>
      </c>
      <c r="N40" s="137">
        <v>0</v>
      </c>
      <c r="O40" s="133">
        <v>2.0369999999999999</v>
      </c>
      <c r="P40" s="137">
        <v>2.7296874139779202E-5</v>
      </c>
      <c r="Q40" s="137">
        <v>1.0393083190853099E-6</v>
      </c>
    </row>
    <row r="41" spans="1:17">
      <c r="A41">
        <v>161</v>
      </c>
      <c r="B41">
        <v>9943</v>
      </c>
      <c r="C41" t="s">
        <v>216</v>
      </c>
      <c r="D41" t="s">
        <v>807</v>
      </c>
      <c r="E41" t="s">
        <v>808</v>
      </c>
      <c r="F41" t="s">
        <v>809</v>
      </c>
      <c r="G41" t="s">
        <v>45</v>
      </c>
      <c r="H41" t="s">
        <v>51</v>
      </c>
      <c r="I41" t="s">
        <v>95</v>
      </c>
      <c r="J41" t="s">
        <v>96</v>
      </c>
      <c r="K41" t="s">
        <v>812</v>
      </c>
      <c r="L41" s="133">
        <v>0.39700000000000002</v>
      </c>
      <c r="M41" s="135">
        <v>2.4567000000000001</v>
      </c>
      <c r="N41" s="137">
        <v>0</v>
      </c>
      <c r="O41" s="133">
        <v>0.97499999999999998</v>
      </c>
      <c r="P41" s="137">
        <v>1.3071063712936999E-5</v>
      </c>
      <c r="Q41" s="137">
        <v>4.9767109547362301E-7</v>
      </c>
    </row>
    <row r="42" spans="1:17">
      <c r="A42">
        <v>161</v>
      </c>
      <c r="B42">
        <v>9943</v>
      </c>
      <c r="C42" t="s">
        <v>216</v>
      </c>
      <c r="D42" t="s">
        <v>807</v>
      </c>
      <c r="E42" t="s">
        <v>808</v>
      </c>
      <c r="F42" t="s">
        <v>809</v>
      </c>
      <c r="G42" t="s">
        <v>45</v>
      </c>
      <c r="H42" t="s">
        <v>51</v>
      </c>
      <c r="I42" t="s">
        <v>95</v>
      </c>
      <c r="J42" t="s">
        <v>96</v>
      </c>
      <c r="K42" t="s">
        <v>395</v>
      </c>
      <c r="L42" s="133">
        <v>30.917999999999999</v>
      </c>
      <c r="M42" s="135">
        <v>3.6360000000000001</v>
      </c>
      <c r="N42" s="137">
        <v>0</v>
      </c>
      <c r="O42" s="133">
        <v>112.416</v>
      </c>
      <c r="P42" s="137">
        <v>1.5066758495278199E-3</v>
      </c>
      <c r="Q42" s="137">
        <v>5.7365570012180703E-5</v>
      </c>
    </row>
    <row r="43" spans="1:17">
      <c r="A43">
        <v>161</v>
      </c>
      <c r="B43">
        <v>9943</v>
      </c>
      <c r="C43" t="s">
        <v>216</v>
      </c>
      <c r="D43" t="s">
        <v>807</v>
      </c>
      <c r="E43" t="s">
        <v>808</v>
      </c>
      <c r="F43" t="s">
        <v>809</v>
      </c>
      <c r="G43" t="s">
        <v>45</v>
      </c>
      <c r="H43" t="s">
        <v>51</v>
      </c>
      <c r="I43" t="s">
        <v>95</v>
      </c>
      <c r="J43" t="s">
        <v>96</v>
      </c>
      <c r="K43" t="s">
        <v>813</v>
      </c>
      <c r="L43" s="133">
        <v>0.57599999999999996</v>
      </c>
      <c r="M43" s="135">
        <v>0.48670000000000002</v>
      </c>
      <c r="N43" s="137">
        <v>0</v>
      </c>
      <c r="O43" s="133">
        <v>0.28000000000000003</v>
      </c>
      <c r="P43" s="137">
        <v>3.7563054099393798E-6</v>
      </c>
      <c r="Q43" s="137">
        <v>1.43018553757625E-7</v>
      </c>
    </row>
    <row r="44" spans="1:17">
      <c r="A44">
        <v>161</v>
      </c>
      <c r="B44">
        <v>9943</v>
      </c>
      <c r="C44" t="s">
        <v>216</v>
      </c>
      <c r="D44" t="s">
        <v>807</v>
      </c>
      <c r="E44" t="s">
        <v>808</v>
      </c>
      <c r="F44" t="s">
        <v>809</v>
      </c>
      <c r="G44" t="s">
        <v>45</v>
      </c>
      <c r="H44" t="s">
        <v>51</v>
      </c>
      <c r="I44" t="s">
        <v>95</v>
      </c>
      <c r="J44" t="s">
        <v>96</v>
      </c>
      <c r="K44" t="s">
        <v>622</v>
      </c>
      <c r="L44" s="133">
        <v>0.86</v>
      </c>
      <c r="M44" s="135">
        <v>4.1872999999999996</v>
      </c>
      <c r="N44" s="137">
        <v>0</v>
      </c>
      <c r="O44" s="133">
        <v>3.5990000000000002</v>
      </c>
      <c r="P44" s="137">
        <v>4.8239239523163798E-5</v>
      </c>
      <c r="Q44" s="137">
        <v>1.8366734112501E-6</v>
      </c>
    </row>
    <row r="45" spans="1:17">
      <c r="A45">
        <v>161</v>
      </c>
      <c r="B45">
        <v>9943</v>
      </c>
      <c r="C45" t="s">
        <v>216</v>
      </c>
      <c r="D45" t="s">
        <v>807</v>
      </c>
      <c r="E45" t="s">
        <v>808</v>
      </c>
      <c r="F45" t="s">
        <v>810</v>
      </c>
      <c r="G45" t="s">
        <v>45</v>
      </c>
      <c r="H45" t="s">
        <v>51</v>
      </c>
      <c r="I45" t="s">
        <v>95</v>
      </c>
      <c r="J45" t="s">
        <v>96</v>
      </c>
      <c r="K45" t="s">
        <v>52</v>
      </c>
      <c r="L45" s="133">
        <v>4953.2650000000003</v>
      </c>
      <c r="M45" s="135">
        <v>1</v>
      </c>
      <c r="N45" s="137">
        <v>3.3000000000000002E-2</v>
      </c>
      <c r="O45" s="133">
        <v>4953.2650000000003</v>
      </c>
      <c r="P45" s="137">
        <v>6.6386799398360202E-2</v>
      </c>
      <c r="Q45" s="137">
        <v>2.5276283481710602E-3</v>
      </c>
    </row>
    <row r="46" spans="1:17">
      <c r="A46">
        <v>161</v>
      </c>
      <c r="B46">
        <v>9943</v>
      </c>
      <c r="C46" t="s">
        <v>216</v>
      </c>
      <c r="D46" t="s">
        <v>807</v>
      </c>
      <c r="E46" t="s">
        <v>808</v>
      </c>
      <c r="F46" t="s">
        <v>809</v>
      </c>
      <c r="G46" t="s">
        <v>45</v>
      </c>
      <c r="H46" t="s">
        <v>51</v>
      </c>
      <c r="I46" t="s">
        <v>95</v>
      </c>
      <c r="J46" t="s">
        <v>96</v>
      </c>
      <c r="K46" t="s">
        <v>72</v>
      </c>
      <c r="L46" s="133">
        <v>5394.277</v>
      </c>
      <c r="M46" s="135">
        <v>3.165</v>
      </c>
      <c r="N46" s="137">
        <v>0</v>
      </c>
      <c r="O46" s="133">
        <v>17072.887999999999</v>
      </c>
      <c r="P46" s="137">
        <v>0.22882168205151801</v>
      </c>
      <c r="Q46" s="137">
        <v>8.7122165170066407E-3</v>
      </c>
    </row>
    <row r="47" spans="1:17">
      <c r="A47">
        <v>161</v>
      </c>
      <c r="B47">
        <v>9943</v>
      </c>
      <c r="C47" t="s">
        <v>216</v>
      </c>
      <c r="D47" t="s">
        <v>807</v>
      </c>
      <c r="E47" t="s">
        <v>808</v>
      </c>
      <c r="F47" t="s">
        <v>809</v>
      </c>
      <c r="G47" t="s">
        <v>45</v>
      </c>
      <c r="H47" t="s">
        <v>51</v>
      </c>
      <c r="I47" t="s">
        <v>95</v>
      </c>
      <c r="J47" t="s">
        <v>96</v>
      </c>
      <c r="K47" t="s">
        <v>395</v>
      </c>
      <c r="L47" s="133">
        <v>1910.0630000000001</v>
      </c>
      <c r="M47" s="135">
        <v>3.6360000000000001</v>
      </c>
      <c r="N47" s="137">
        <v>0</v>
      </c>
      <c r="O47" s="133">
        <v>6944.9889999999996</v>
      </c>
      <c r="P47" s="137">
        <v>9.3081150480952404E-2</v>
      </c>
      <c r="Q47" s="137">
        <v>3.5439960469286201E-3</v>
      </c>
    </row>
    <row r="48" spans="1:17">
      <c r="A48">
        <v>161</v>
      </c>
      <c r="B48">
        <v>9943</v>
      </c>
      <c r="C48" t="s">
        <v>216</v>
      </c>
      <c r="D48" t="s">
        <v>807</v>
      </c>
      <c r="E48" t="s">
        <v>808</v>
      </c>
      <c r="F48" t="s">
        <v>809</v>
      </c>
      <c r="G48" t="s">
        <v>45</v>
      </c>
      <c r="H48" t="s">
        <v>51</v>
      </c>
      <c r="I48" t="s">
        <v>95</v>
      </c>
      <c r="J48" t="s">
        <v>96</v>
      </c>
      <c r="K48" t="s">
        <v>622</v>
      </c>
      <c r="L48" s="133">
        <v>119.056</v>
      </c>
      <c r="M48" s="135">
        <v>4.1872999999999996</v>
      </c>
      <c r="N48" s="137">
        <v>0</v>
      </c>
      <c r="O48" s="133">
        <v>498.524</v>
      </c>
      <c r="P48" s="137">
        <v>6.6815325707986796E-3</v>
      </c>
      <c r="Q48" s="137">
        <v>2.5439441708642097E-4</v>
      </c>
    </row>
    <row r="49" spans="1:17">
      <c r="A49">
        <v>161</v>
      </c>
      <c r="B49">
        <v>9943</v>
      </c>
      <c r="C49" t="s">
        <v>216</v>
      </c>
      <c r="D49" t="s">
        <v>807</v>
      </c>
      <c r="E49" t="s">
        <v>808</v>
      </c>
      <c r="F49" t="s">
        <v>810</v>
      </c>
      <c r="G49" t="s">
        <v>45</v>
      </c>
      <c r="H49" t="s">
        <v>51</v>
      </c>
      <c r="I49" t="s">
        <v>95</v>
      </c>
      <c r="J49" t="s">
        <v>96</v>
      </c>
      <c r="K49" t="s">
        <v>52</v>
      </c>
      <c r="L49" s="133">
        <v>12044.432000000001</v>
      </c>
      <c r="M49" s="135">
        <v>1</v>
      </c>
      <c r="N49" s="137">
        <v>3.3000000000000002E-2</v>
      </c>
      <c r="O49" s="133">
        <v>12044.432000000001</v>
      </c>
      <c r="P49" s="137">
        <v>0.16142712125407699</v>
      </c>
      <c r="Q49" s="137">
        <v>6.1462183979836696E-3</v>
      </c>
    </row>
    <row r="50" spans="1:17">
      <c r="A50">
        <v>161</v>
      </c>
      <c r="B50">
        <v>12468</v>
      </c>
      <c r="C50" t="s">
        <v>216</v>
      </c>
      <c r="D50" t="s">
        <v>807</v>
      </c>
      <c r="E50" t="s">
        <v>808</v>
      </c>
      <c r="F50" t="s">
        <v>809</v>
      </c>
      <c r="G50" t="s">
        <v>45</v>
      </c>
      <c r="H50" t="s">
        <v>51</v>
      </c>
      <c r="I50" t="s">
        <v>95</v>
      </c>
      <c r="J50" t="s">
        <v>96</v>
      </c>
      <c r="K50" t="s">
        <v>72</v>
      </c>
      <c r="L50" s="133">
        <v>58.674999999999997</v>
      </c>
      <c r="M50" s="135">
        <v>3.165</v>
      </c>
      <c r="N50" s="137">
        <v>0</v>
      </c>
      <c r="O50" s="133">
        <v>185.70599999999999</v>
      </c>
      <c r="P50" s="137">
        <v>0.27128038054520898</v>
      </c>
      <c r="Q50" s="137">
        <v>5.7524286435112603E-3</v>
      </c>
    </row>
    <row r="51" spans="1:17">
      <c r="A51">
        <v>161</v>
      </c>
      <c r="B51">
        <v>12468</v>
      </c>
      <c r="C51" t="s">
        <v>216</v>
      </c>
      <c r="D51" t="s">
        <v>807</v>
      </c>
      <c r="E51" t="s">
        <v>808</v>
      </c>
      <c r="F51" t="s">
        <v>809</v>
      </c>
      <c r="G51" t="s">
        <v>45</v>
      </c>
      <c r="H51" t="s">
        <v>51</v>
      </c>
      <c r="I51" t="s">
        <v>95</v>
      </c>
      <c r="J51" t="s">
        <v>96</v>
      </c>
      <c r="K51" t="s">
        <v>395</v>
      </c>
      <c r="L51" s="133">
        <v>6.1779999999999999</v>
      </c>
      <c r="M51" s="135">
        <v>3.6360000000000001</v>
      </c>
      <c r="N51" s="137">
        <v>0</v>
      </c>
      <c r="O51" s="133">
        <v>22.463000000000001</v>
      </c>
      <c r="P51" s="137">
        <v>3.2813784540028902E-2</v>
      </c>
      <c r="Q51" s="137">
        <v>6.9580761318127301E-4</v>
      </c>
    </row>
    <row r="52" spans="1:17">
      <c r="A52">
        <v>161</v>
      </c>
      <c r="B52">
        <v>12468</v>
      </c>
      <c r="C52" t="s">
        <v>216</v>
      </c>
      <c r="D52" t="s">
        <v>807</v>
      </c>
      <c r="E52" t="s">
        <v>808</v>
      </c>
      <c r="F52" t="s">
        <v>809</v>
      </c>
      <c r="G52" t="s">
        <v>45</v>
      </c>
      <c r="H52" t="s">
        <v>51</v>
      </c>
      <c r="I52" t="s">
        <v>95</v>
      </c>
      <c r="J52" t="s">
        <v>96</v>
      </c>
      <c r="K52" t="s">
        <v>622</v>
      </c>
      <c r="L52" s="133">
        <v>3.3380000000000001</v>
      </c>
      <c r="M52" s="135">
        <v>4.1872999999999996</v>
      </c>
      <c r="N52" s="137">
        <v>0</v>
      </c>
      <c r="O52" s="133">
        <v>13.978999999999999</v>
      </c>
      <c r="P52" s="137">
        <v>2.0420695369144801E-2</v>
      </c>
      <c r="Q52" s="137">
        <v>4.3301543858720001E-4</v>
      </c>
    </row>
    <row r="53" spans="1:17">
      <c r="A53">
        <v>161</v>
      </c>
      <c r="B53">
        <v>12468</v>
      </c>
      <c r="C53" t="s">
        <v>216</v>
      </c>
      <c r="D53" t="s">
        <v>807</v>
      </c>
      <c r="E53" t="s">
        <v>808</v>
      </c>
      <c r="F53" t="s">
        <v>810</v>
      </c>
      <c r="G53" t="s">
        <v>45</v>
      </c>
      <c r="H53" t="s">
        <v>51</v>
      </c>
      <c r="I53" t="s">
        <v>95</v>
      </c>
      <c r="J53" t="s">
        <v>96</v>
      </c>
      <c r="K53" t="s">
        <v>52</v>
      </c>
      <c r="L53" s="133">
        <v>459.21199999999999</v>
      </c>
      <c r="M53" s="135">
        <v>1</v>
      </c>
      <c r="N53" s="137">
        <v>3.3000000000000002E-2</v>
      </c>
      <c r="O53" s="133">
        <v>459.21199999999999</v>
      </c>
      <c r="P53" s="137">
        <v>0.67081856927225403</v>
      </c>
      <c r="Q53" s="137">
        <v>1.42245301511507E-2</v>
      </c>
    </row>
    <row r="54" spans="1:17">
      <c r="A54">
        <v>161</v>
      </c>
      <c r="B54">
        <v>12468</v>
      </c>
      <c r="C54" t="s">
        <v>216</v>
      </c>
      <c r="D54" t="s">
        <v>807</v>
      </c>
      <c r="E54" t="s">
        <v>808</v>
      </c>
      <c r="F54" t="s">
        <v>809</v>
      </c>
      <c r="G54" t="s">
        <v>45</v>
      </c>
      <c r="H54" t="s">
        <v>51</v>
      </c>
      <c r="I54" t="s">
        <v>95</v>
      </c>
      <c r="J54" t="s">
        <v>96</v>
      </c>
      <c r="K54" t="s">
        <v>814</v>
      </c>
      <c r="L54" s="133">
        <v>0.80700000000000005</v>
      </c>
      <c r="M54" s="135">
        <v>3.9594999999999998</v>
      </c>
      <c r="N54" s="137">
        <v>0</v>
      </c>
      <c r="O54" s="133">
        <v>3.1949999999999998</v>
      </c>
      <c r="P54" s="137">
        <v>4.6665702733631603E-3</v>
      </c>
      <c r="Q54" s="137">
        <v>9.8953387095307603E-5</v>
      </c>
    </row>
    <row r="55" spans="1:17">
      <c r="A55">
        <v>161</v>
      </c>
      <c r="B55">
        <v>15391</v>
      </c>
      <c r="C55" t="s">
        <v>216</v>
      </c>
      <c r="D55" t="s">
        <v>807</v>
      </c>
      <c r="E55" t="s">
        <v>808</v>
      </c>
      <c r="F55" t="s">
        <v>810</v>
      </c>
      <c r="G55" t="s">
        <v>45</v>
      </c>
      <c r="H55" t="s">
        <v>51</v>
      </c>
      <c r="I55" t="s">
        <v>95</v>
      </c>
      <c r="J55" t="s">
        <v>96</v>
      </c>
      <c r="K55" t="s">
        <v>52</v>
      </c>
      <c r="L55" s="133">
        <v>54.929000000000002</v>
      </c>
      <c r="M55" s="135">
        <v>1</v>
      </c>
      <c r="N55" s="137">
        <v>3.3000000000000002E-2</v>
      </c>
      <c r="O55" s="133">
        <v>54.929000000000002</v>
      </c>
      <c r="P55" s="137">
        <v>0.99999981794567705</v>
      </c>
      <c r="Q55" s="137">
        <v>5.7778542945916798E-3</v>
      </c>
    </row>
    <row r="56" spans="1:17">
      <c r="A56">
        <v>161</v>
      </c>
      <c r="B56">
        <v>15391</v>
      </c>
      <c r="C56" t="s">
        <v>216</v>
      </c>
      <c r="D56" t="s">
        <v>807</v>
      </c>
      <c r="E56" t="s">
        <v>808</v>
      </c>
      <c r="F56" t="s">
        <v>810</v>
      </c>
      <c r="G56" t="s">
        <v>45</v>
      </c>
      <c r="H56" t="s">
        <v>51</v>
      </c>
      <c r="I56" t="s">
        <v>95</v>
      </c>
      <c r="J56" t="s">
        <v>96</v>
      </c>
      <c r="K56" t="s">
        <v>52</v>
      </c>
      <c r="L56" s="133">
        <v>0</v>
      </c>
      <c r="M56" s="135">
        <v>1</v>
      </c>
      <c r="N56" s="137">
        <v>0</v>
      </c>
      <c r="O56" s="133">
        <v>0</v>
      </c>
      <c r="P56" s="137">
        <v>1.82054322825279E-7</v>
      </c>
      <c r="Q56" s="137">
        <v>1.05188354248497E-9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6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60</v>
      </c>
      <c r="G1" s="14" t="s">
        <v>22</v>
      </c>
      <c r="H1" s="14" t="s">
        <v>23</v>
      </c>
      <c r="I1" s="14" t="s">
        <v>25</v>
      </c>
      <c r="J1" s="14" t="s">
        <v>85</v>
      </c>
      <c r="K1" s="14" t="s">
        <v>86</v>
      </c>
      <c r="L1" s="14" t="s">
        <v>30</v>
      </c>
      <c r="M1" s="14" t="s">
        <v>82</v>
      </c>
      <c r="N1" s="14" t="s">
        <v>103</v>
      </c>
      <c r="O1" s="136" t="s">
        <v>83</v>
      </c>
      <c r="P1" s="136" t="s">
        <v>84</v>
      </c>
      <c r="Q1" s="14" t="s">
        <v>1636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104</v>
      </c>
      <c r="W1" s="14" t="s">
        <v>105</v>
      </c>
      <c r="X1" s="136" t="s">
        <v>1637</v>
      </c>
      <c r="Y1" s="136" t="s">
        <v>37</v>
      </c>
      <c r="Z1" s="136" t="s">
        <v>38</v>
      </c>
    </row>
    <row r="2" spans="1:26">
      <c r="A2">
        <v>14076</v>
      </c>
      <c r="B2">
        <v>14077</v>
      </c>
      <c r="C2" t="s">
        <v>1791</v>
      </c>
      <c r="D2" t="s">
        <v>1792</v>
      </c>
      <c r="E2" t="s">
        <v>1793</v>
      </c>
      <c r="F2" t="s">
        <v>1498</v>
      </c>
      <c r="G2" t="s">
        <v>45</v>
      </c>
      <c r="H2" t="s">
        <v>45</v>
      </c>
      <c r="I2" t="s">
        <v>47</v>
      </c>
      <c r="J2" t="s">
        <v>1794</v>
      </c>
      <c r="K2" t="s">
        <v>220</v>
      </c>
      <c r="L2" t="s">
        <v>52</v>
      </c>
      <c r="M2" t="s">
        <v>1795</v>
      </c>
      <c r="N2" t="s">
        <v>1796</v>
      </c>
      <c r="O2" s="137">
        <v>1E-3</v>
      </c>
      <c r="P2" s="137">
        <v>1.9359999999999999E-2</v>
      </c>
      <c r="R2" s="133">
        <v>1468803</v>
      </c>
      <c r="S2" s="135">
        <v>1</v>
      </c>
      <c r="T2" s="139">
        <v>106.48</v>
      </c>
      <c r="U2" s="133">
        <v>1563.981</v>
      </c>
      <c r="W2" t="s">
        <v>135</v>
      </c>
      <c r="X2" s="137">
        <v>4.3000000000000002E-5</v>
      </c>
      <c r="Y2" s="137">
        <v>0.214139535295926</v>
      </c>
      <c r="Z2" s="137">
        <v>5.1927855718479701E-2</v>
      </c>
    </row>
    <row r="3" spans="1:26">
      <c r="A3">
        <v>14076</v>
      </c>
      <c r="B3">
        <v>14077</v>
      </c>
      <c r="C3" t="s">
        <v>1791</v>
      </c>
      <c r="D3" t="s">
        <v>1797</v>
      </c>
      <c r="E3" t="s">
        <v>1798</v>
      </c>
      <c r="F3" t="s">
        <v>1501</v>
      </c>
      <c r="G3" t="s">
        <v>45</v>
      </c>
      <c r="H3" t="s">
        <v>45</v>
      </c>
      <c r="I3" t="s">
        <v>47</v>
      </c>
      <c r="J3" t="s">
        <v>1794</v>
      </c>
      <c r="K3" t="s">
        <v>220</v>
      </c>
      <c r="L3" t="s">
        <v>52</v>
      </c>
      <c r="M3" t="s">
        <v>1799</v>
      </c>
      <c r="N3" t="s">
        <v>1800</v>
      </c>
      <c r="O3" s="137">
        <v>0.04</v>
      </c>
      <c r="P3" s="137">
        <v>4.07E-2</v>
      </c>
      <c r="R3" s="133">
        <v>300000</v>
      </c>
      <c r="S3" s="135">
        <v>1</v>
      </c>
      <c r="T3" s="139">
        <v>99.51</v>
      </c>
      <c r="U3" s="133">
        <v>298.52999999999997</v>
      </c>
      <c r="W3" t="s">
        <v>135</v>
      </c>
      <c r="X3" s="137">
        <v>7.9999999999999996E-6</v>
      </c>
      <c r="Y3" s="137">
        <v>4.0874574381643901E-2</v>
      </c>
      <c r="Z3" s="137">
        <v>9.9118969232424893E-3</v>
      </c>
    </row>
    <row r="4" spans="1:26">
      <c r="A4">
        <v>14076</v>
      </c>
      <c r="B4">
        <v>14077</v>
      </c>
      <c r="C4" t="s">
        <v>1791</v>
      </c>
      <c r="D4" t="s">
        <v>1801</v>
      </c>
      <c r="E4" t="s">
        <v>1802</v>
      </c>
      <c r="F4" t="s">
        <v>1501</v>
      </c>
      <c r="G4" t="s">
        <v>45</v>
      </c>
      <c r="H4" t="s">
        <v>45</v>
      </c>
      <c r="I4" t="s">
        <v>47</v>
      </c>
      <c r="J4" t="s">
        <v>1794</v>
      </c>
      <c r="K4" t="s">
        <v>220</v>
      </c>
      <c r="L4" t="s">
        <v>52</v>
      </c>
      <c r="M4" t="s">
        <v>1803</v>
      </c>
      <c r="N4" t="s">
        <v>1804</v>
      </c>
      <c r="O4" s="137">
        <v>3.7499999999999999E-2</v>
      </c>
      <c r="P4" s="137">
        <v>4.4139999999999999E-2</v>
      </c>
      <c r="R4" s="133">
        <v>995000</v>
      </c>
      <c r="S4" s="135">
        <v>1</v>
      </c>
      <c r="T4" s="139">
        <v>91.06</v>
      </c>
      <c r="U4" s="133">
        <v>906.04700000000003</v>
      </c>
      <c r="W4" t="s">
        <v>135</v>
      </c>
      <c r="X4" s="137">
        <v>3.6999999999999998E-5</v>
      </c>
      <c r="Y4" s="137">
        <v>0.12405549021795199</v>
      </c>
      <c r="Z4" s="137">
        <v>3.0082887721880801E-2</v>
      </c>
    </row>
    <row r="5" spans="1:26">
      <c r="A5">
        <v>14076</v>
      </c>
      <c r="B5">
        <v>14077</v>
      </c>
      <c r="C5" t="s">
        <v>1791</v>
      </c>
      <c r="D5" t="s">
        <v>1805</v>
      </c>
      <c r="E5" t="s">
        <v>1806</v>
      </c>
      <c r="F5" t="s">
        <v>1501</v>
      </c>
      <c r="G5" t="s">
        <v>45</v>
      </c>
      <c r="H5" t="s">
        <v>45</v>
      </c>
      <c r="I5" t="s">
        <v>47</v>
      </c>
      <c r="J5" t="s">
        <v>1794</v>
      </c>
      <c r="K5" t="s">
        <v>220</v>
      </c>
      <c r="L5" t="s">
        <v>52</v>
      </c>
      <c r="M5" t="s">
        <v>1807</v>
      </c>
      <c r="N5" t="s">
        <v>1808</v>
      </c>
      <c r="O5" s="137">
        <v>5.5E-2</v>
      </c>
      <c r="P5" s="137">
        <v>4.2549999999999998E-2</v>
      </c>
      <c r="R5" s="133">
        <v>822000</v>
      </c>
      <c r="S5" s="135">
        <v>1</v>
      </c>
      <c r="T5" s="139">
        <v>115.07</v>
      </c>
      <c r="U5" s="133">
        <v>945.875</v>
      </c>
      <c r="W5" t="s">
        <v>135</v>
      </c>
      <c r="X5" s="137">
        <v>2.4000000000000001E-5</v>
      </c>
      <c r="Y5" s="137">
        <v>0.12950877430431501</v>
      </c>
      <c r="Z5" s="137">
        <v>3.1405284115602297E-2</v>
      </c>
    </row>
    <row r="6" spans="1:26">
      <c r="A6">
        <v>14076</v>
      </c>
      <c r="B6">
        <v>14077</v>
      </c>
      <c r="C6" t="s">
        <v>1791</v>
      </c>
      <c r="D6" t="s">
        <v>1809</v>
      </c>
      <c r="E6" t="s">
        <v>1810</v>
      </c>
      <c r="F6" t="s">
        <v>1498</v>
      </c>
      <c r="G6" t="s">
        <v>45</v>
      </c>
      <c r="H6" t="s">
        <v>45</v>
      </c>
      <c r="I6" t="s">
        <v>47</v>
      </c>
      <c r="J6" t="s">
        <v>1794</v>
      </c>
      <c r="K6" t="s">
        <v>220</v>
      </c>
      <c r="L6" t="s">
        <v>52</v>
      </c>
      <c r="M6" t="s">
        <v>1811</v>
      </c>
      <c r="N6" t="s">
        <v>1812</v>
      </c>
      <c r="O6" s="137">
        <v>5.0000000000000001E-3</v>
      </c>
      <c r="P6" s="137">
        <v>1.8280000000000001E-2</v>
      </c>
      <c r="R6" s="133">
        <v>1307155</v>
      </c>
      <c r="S6" s="135">
        <v>1</v>
      </c>
      <c r="T6" s="139">
        <v>113.68</v>
      </c>
      <c r="U6" s="133">
        <v>1485.9739999999999</v>
      </c>
      <c r="W6" t="s">
        <v>135</v>
      </c>
      <c r="X6" s="137">
        <v>4.3000000000000002E-5</v>
      </c>
      <c r="Y6" s="137">
        <v>0.203458770578408</v>
      </c>
      <c r="Z6" s="137">
        <v>4.9337819233867798E-2</v>
      </c>
    </row>
    <row r="7" spans="1:26">
      <c r="A7">
        <v>14076</v>
      </c>
      <c r="B7">
        <v>14077</v>
      </c>
      <c r="C7" t="s">
        <v>1791</v>
      </c>
      <c r="D7" t="s">
        <v>1813</v>
      </c>
      <c r="E7" t="s">
        <v>1814</v>
      </c>
      <c r="F7" t="s">
        <v>1498</v>
      </c>
      <c r="G7" t="s">
        <v>45</v>
      </c>
      <c r="H7" t="s">
        <v>45</v>
      </c>
      <c r="I7" t="s">
        <v>47</v>
      </c>
      <c r="J7" t="s">
        <v>1794</v>
      </c>
      <c r="K7" t="s">
        <v>220</v>
      </c>
      <c r="L7" t="s">
        <v>52</v>
      </c>
      <c r="M7" t="s">
        <v>1815</v>
      </c>
      <c r="N7" t="s">
        <v>1816</v>
      </c>
      <c r="O7" s="137">
        <v>1E-3</v>
      </c>
      <c r="P7" s="137">
        <v>1E-4</v>
      </c>
      <c r="R7" s="133">
        <v>374917</v>
      </c>
      <c r="S7" s="135">
        <v>1</v>
      </c>
      <c r="T7" s="139">
        <v>118.24</v>
      </c>
      <c r="U7" s="133">
        <v>443.30200000000002</v>
      </c>
      <c r="W7" t="s">
        <v>135</v>
      </c>
      <c r="X7" s="137">
        <v>2.0999999999999999E-5</v>
      </c>
      <c r="Y7" s="137">
        <v>6.06966632592729E-2</v>
      </c>
      <c r="Z7" s="137">
        <v>1.47186626139121E-2</v>
      </c>
    </row>
    <row r="8" spans="1:26">
      <c r="A8">
        <v>14076</v>
      </c>
      <c r="B8">
        <v>14077</v>
      </c>
      <c r="C8" t="s">
        <v>1791</v>
      </c>
      <c r="D8" t="s">
        <v>1817</v>
      </c>
      <c r="E8" t="s">
        <v>1818</v>
      </c>
      <c r="F8" t="s">
        <v>1498</v>
      </c>
      <c r="G8" t="s">
        <v>45</v>
      </c>
      <c r="H8" t="s">
        <v>45</v>
      </c>
      <c r="I8" t="s">
        <v>47</v>
      </c>
      <c r="J8" t="s">
        <v>1794</v>
      </c>
      <c r="K8" t="s">
        <v>220</v>
      </c>
      <c r="L8" t="s">
        <v>52</v>
      </c>
      <c r="M8" t="s">
        <v>1819</v>
      </c>
      <c r="N8" t="s">
        <v>1820</v>
      </c>
      <c r="O8" s="137">
        <v>1.0999999999999999E-2</v>
      </c>
      <c r="P8" s="137">
        <v>1.7829999999999999E-2</v>
      </c>
      <c r="R8" s="133">
        <v>150000</v>
      </c>
      <c r="S8" s="135">
        <v>1</v>
      </c>
      <c r="T8" s="139">
        <v>105.35</v>
      </c>
      <c r="U8" s="133">
        <v>158.02500000000001</v>
      </c>
      <c r="W8" t="s">
        <v>135</v>
      </c>
      <c r="X8" s="137">
        <v>3.9999999999999998E-6</v>
      </c>
      <c r="Y8" s="137">
        <v>2.1636701894815501E-2</v>
      </c>
      <c r="Z8" s="137">
        <v>5.2468010293618599E-3</v>
      </c>
    </row>
    <row r="9" spans="1:26">
      <c r="A9">
        <v>14076</v>
      </c>
      <c r="B9">
        <v>14077</v>
      </c>
      <c r="C9" t="s">
        <v>1791</v>
      </c>
      <c r="D9" t="s">
        <v>1821</v>
      </c>
      <c r="E9" t="s">
        <v>1822</v>
      </c>
      <c r="F9" t="s">
        <v>1501</v>
      </c>
      <c r="G9" t="s">
        <v>45</v>
      </c>
      <c r="H9" t="s">
        <v>45</v>
      </c>
      <c r="I9" t="s">
        <v>47</v>
      </c>
      <c r="J9" t="s">
        <v>1794</v>
      </c>
      <c r="K9" t="s">
        <v>220</v>
      </c>
      <c r="L9" t="s">
        <v>52</v>
      </c>
      <c r="M9" t="s">
        <v>1823</v>
      </c>
      <c r="N9" t="s">
        <v>1824</v>
      </c>
      <c r="O9" s="137">
        <v>0.01</v>
      </c>
      <c r="P9" s="137">
        <v>3.9210000000000002E-2</v>
      </c>
      <c r="R9" s="133">
        <v>170000</v>
      </c>
      <c r="S9" s="135">
        <v>1</v>
      </c>
      <c r="T9" s="139">
        <v>89.4</v>
      </c>
      <c r="U9" s="133">
        <v>151.97999999999999</v>
      </c>
      <c r="W9" t="s">
        <v>135</v>
      </c>
      <c r="X9" s="137">
        <v>5.0000000000000004E-6</v>
      </c>
      <c r="Y9" s="137">
        <v>2.0809023597367901E-2</v>
      </c>
      <c r="Z9" s="137">
        <v>5.0460928362120903E-3</v>
      </c>
    </row>
    <row r="10" spans="1:26">
      <c r="A10">
        <v>14076</v>
      </c>
      <c r="B10">
        <v>14077</v>
      </c>
      <c r="C10" t="s">
        <v>1791</v>
      </c>
      <c r="D10" t="s">
        <v>1825</v>
      </c>
      <c r="E10" t="s">
        <v>1826</v>
      </c>
      <c r="F10" t="s">
        <v>1501</v>
      </c>
      <c r="G10" t="s">
        <v>45</v>
      </c>
      <c r="H10" t="s">
        <v>45</v>
      </c>
      <c r="I10" t="s">
        <v>47</v>
      </c>
      <c r="J10" t="s">
        <v>1794</v>
      </c>
      <c r="K10" t="s">
        <v>220</v>
      </c>
      <c r="L10" t="s">
        <v>52</v>
      </c>
      <c r="M10" t="s">
        <v>1827</v>
      </c>
      <c r="N10" t="s">
        <v>1828</v>
      </c>
      <c r="O10" s="137">
        <v>1.2999999999999999E-2</v>
      </c>
      <c r="P10" s="137">
        <v>3.9649999999999998E-2</v>
      </c>
      <c r="R10" s="133">
        <v>1550658</v>
      </c>
      <c r="S10" s="135">
        <v>1</v>
      </c>
      <c r="T10" s="139">
        <v>87.05</v>
      </c>
      <c r="U10" s="133">
        <v>1349.848</v>
      </c>
      <c r="W10" t="s">
        <v>135</v>
      </c>
      <c r="X10" s="137">
        <v>3.8000000000000002E-5</v>
      </c>
      <c r="Y10" s="137">
        <v>0.18482046647029801</v>
      </c>
      <c r="Z10" s="137">
        <v>4.4818115923474303E-2</v>
      </c>
    </row>
    <row r="11" spans="1:26">
      <c r="A11">
        <v>14076</v>
      </c>
      <c r="B11">
        <v>14078</v>
      </c>
      <c r="C11" t="s">
        <v>1791</v>
      </c>
      <c r="D11" t="s">
        <v>1792</v>
      </c>
      <c r="E11" t="s">
        <v>1793</v>
      </c>
      <c r="F11" t="s">
        <v>1498</v>
      </c>
      <c r="G11" t="s">
        <v>45</v>
      </c>
      <c r="H11" t="s">
        <v>45</v>
      </c>
      <c r="I11" t="s">
        <v>47</v>
      </c>
      <c r="J11" t="s">
        <v>1794</v>
      </c>
      <c r="K11" t="s">
        <v>220</v>
      </c>
      <c r="L11" t="s">
        <v>52</v>
      </c>
      <c r="M11" t="s">
        <v>1795</v>
      </c>
      <c r="N11" t="s">
        <v>1796</v>
      </c>
      <c r="O11" s="137">
        <v>1E-3</v>
      </c>
      <c r="P11" s="137">
        <v>1.9359999999999999E-2</v>
      </c>
      <c r="Q11" s="133">
        <v>2.7E-2</v>
      </c>
      <c r="R11" s="133">
        <v>0</v>
      </c>
      <c r="S11" s="135">
        <v>1</v>
      </c>
      <c r="T11" s="139">
        <v>0</v>
      </c>
      <c r="U11" s="133">
        <v>2.7E-2</v>
      </c>
      <c r="W11" t="s">
        <v>135</v>
      </c>
      <c r="X11" s="137">
        <v>0</v>
      </c>
      <c r="Y11" s="137">
        <v>2.1348180490995301E-5</v>
      </c>
      <c r="Z11" s="137">
        <v>6.70364783586635E-6</v>
      </c>
    </row>
    <row r="12" spans="1:26">
      <c r="A12">
        <v>14076</v>
      </c>
      <c r="B12">
        <v>14078</v>
      </c>
      <c r="C12" t="s">
        <v>1791</v>
      </c>
      <c r="D12" t="s">
        <v>1797</v>
      </c>
      <c r="E12" t="s">
        <v>1798</v>
      </c>
      <c r="F12" t="s">
        <v>1501</v>
      </c>
      <c r="G12" t="s">
        <v>45</v>
      </c>
      <c r="H12" t="s">
        <v>45</v>
      </c>
      <c r="I12" t="s">
        <v>47</v>
      </c>
      <c r="J12" t="s">
        <v>1794</v>
      </c>
      <c r="K12" t="s">
        <v>220</v>
      </c>
      <c r="L12" t="s">
        <v>52</v>
      </c>
      <c r="M12" t="s">
        <v>1799</v>
      </c>
      <c r="N12" t="s">
        <v>1800</v>
      </c>
      <c r="O12" s="137">
        <v>0.04</v>
      </c>
      <c r="P12" s="137">
        <v>4.07E-2</v>
      </c>
      <c r="R12" s="133">
        <v>186491</v>
      </c>
      <c r="S12" s="135">
        <v>1</v>
      </c>
      <c r="T12" s="139">
        <v>99.51</v>
      </c>
      <c r="U12" s="133">
        <v>185.577</v>
      </c>
      <c r="W12" t="s">
        <v>135</v>
      </c>
      <c r="X12" s="137">
        <v>5.0000000000000004E-6</v>
      </c>
      <c r="Y12" s="137">
        <v>0.14480027173462201</v>
      </c>
      <c r="Z12" s="137">
        <v>4.54694501321131E-2</v>
      </c>
    </row>
    <row r="13" spans="1:26">
      <c r="A13">
        <v>14076</v>
      </c>
      <c r="B13">
        <v>14078</v>
      </c>
      <c r="C13" t="s">
        <v>1791</v>
      </c>
      <c r="D13" t="s">
        <v>1809</v>
      </c>
      <c r="E13" t="s">
        <v>1810</v>
      </c>
      <c r="F13" t="s">
        <v>1498</v>
      </c>
      <c r="G13" t="s">
        <v>45</v>
      </c>
      <c r="H13" t="s">
        <v>45</v>
      </c>
      <c r="I13" t="s">
        <v>47</v>
      </c>
      <c r="J13" t="s">
        <v>1794</v>
      </c>
      <c r="K13" t="s">
        <v>220</v>
      </c>
      <c r="L13" t="s">
        <v>52</v>
      </c>
      <c r="M13" t="s">
        <v>1811</v>
      </c>
      <c r="N13" t="s">
        <v>1812</v>
      </c>
      <c r="O13" s="137">
        <v>5.0000000000000001E-3</v>
      </c>
      <c r="P13" s="137">
        <v>1.8280000000000001E-2</v>
      </c>
      <c r="R13" s="133">
        <v>248059</v>
      </c>
      <c r="S13" s="135">
        <v>1</v>
      </c>
      <c r="T13" s="139">
        <v>113.68</v>
      </c>
      <c r="U13" s="133">
        <v>281.99299999999999</v>
      </c>
      <c r="W13" t="s">
        <v>135</v>
      </c>
      <c r="X13" s="137">
        <v>7.9999999999999996E-6</v>
      </c>
      <c r="Y13" s="137">
        <v>0.22003097662499599</v>
      </c>
      <c r="Z13" s="137">
        <v>6.9093016189266096E-2</v>
      </c>
    </row>
    <row r="14" spans="1:26">
      <c r="A14">
        <v>14076</v>
      </c>
      <c r="B14">
        <v>14078</v>
      </c>
      <c r="C14" t="s">
        <v>1791</v>
      </c>
      <c r="D14" t="s">
        <v>1817</v>
      </c>
      <c r="E14" t="s">
        <v>1818</v>
      </c>
      <c r="F14" t="s">
        <v>1498</v>
      </c>
      <c r="G14" t="s">
        <v>45</v>
      </c>
      <c r="H14" t="s">
        <v>45</v>
      </c>
      <c r="I14" t="s">
        <v>47</v>
      </c>
      <c r="J14" t="s">
        <v>1794</v>
      </c>
      <c r="K14" t="s">
        <v>220</v>
      </c>
      <c r="L14" t="s">
        <v>52</v>
      </c>
      <c r="M14" t="s">
        <v>1819</v>
      </c>
      <c r="N14" t="s">
        <v>1820</v>
      </c>
      <c r="O14" s="137">
        <v>1.0999999999999999E-2</v>
      </c>
      <c r="P14" s="137">
        <v>1.7829999999999999E-2</v>
      </c>
      <c r="R14" s="133">
        <v>206707</v>
      </c>
      <c r="S14" s="135">
        <v>1</v>
      </c>
      <c r="T14" s="139">
        <v>105.35</v>
      </c>
      <c r="U14" s="133">
        <v>217.76599999999999</v>
      </c>
      <c r="W14" t="s">
        <v>135</v>
      </c>
      <c r="X14" s="137">
        <v>6.0000000000000002E-6</v>
      </c>
      <c r="Y14" s="137">
        <v>0.169916086483787</v>
      </c>
      <c r="Z14" s="137">
        <v>5.3356191452305399E-2</v>
      </c>
    </row>
    <row r="15" spans="1:26">
      <c r="A15">
        <v>14076</v>
      </c>
      <c r="B15">
        <v>14078</v>
      </c>
      <c r="C15" t="s">
        <v>1791</v>
      </c>
      <c r="D15" t="s">
        <v>1829</v>
      </c>
      <c r="E15" t="s">
        <v>1830</v>
      </c>
      <c r="F15" t="s">
        <v>1498</v>
      </c>
      <c r="G15" t="s">
        <v>45</v>
      </c>
      <c r="H15" t="s">
        <v>45</v>
      </c>
      <c r="I15" t="s">
        <v>47</v>
      </c>
      <c r="J15" t="s">
        <v>1794</v>
      </c>
      <c r="K15" t="s">
        <v>220</v>
      </c>
      <c r="L15" t="s">
        <v>52</v>
      </c>
      <c r="M15" t="s">
        <v>1831</v>
      </c>
      <c r="N15" t="s">
        <v>1832</v>
      </c>
      <c r="O15" s="137">
        <v>1.6E-2</v>
      </c>
      <c r="P15" s="137">
        <v>2.0389999999999998E-2</v>
      </c>
      <c r="R15" s="133">
        <v>232259</v>
      </c>
      <c r="S15" s="135">
        <v>1</v>
      </c>
      <c r="T15" s="139">
        <v>103.34</v>
      </c>
      <c r="U15" s="133">
        <v>240.01599999999999</v>
      </c>
      <c r="W15" t="s">
        <v>135</v>
      </c>
      <c r="X15" s="137">
        <v>6.9999999999999999E-6</v>
      </c>
      <c r="Y15" s="137">
        <v>0.18727757705470999</v>
      </c>
      <c r="Z15" s="137">
        <v>5.8807959051060399E-2</v>
      </c>
    </row>
    <row r="16" spans="1:26">
      <c r="A16">
        <v>14076</v>
      </c>
      <c r="B16">
        <v>14078</v>
      </c>
      <c r="C16" t="s">
        <v>1791</v>
      </c>
      <c r="D16" t="s">
        <v>1825</v>
      </c>
      <c r="E16" t="s">
        <v>1826</v>
      </c>
      <c r="F16" t="s">
        <v>1501</v>
      </c>
      <c r="G16" t="s">
        <v>45</v>
      </c>
      <c r="H16" t="s">
        <v>45</v>
      </c>
      <c r="I16" t="s">
        <v>47</v>
      </c>
      <c r="J16" t="s">
        <v>1794</v>
      </c>
      <c r="K16" t="s">
        <v>220</v>
      </c>
      <c r="L16" t="s">
        <v>52</v>
      </c>
      <c r="M16" t="s">
        <v>1827</v>
      </c>
      <c r="N16" t="s">
        <v>1828</v>
      </c>
      <c r="O16" s="137">
        <v>1.2999999999999999E-2</v>
      </c>
      <c r="P16" s="137">
        <v>3.9649999999999998E-2</v>
      </c>
      <c r="R16" s="133">
        <v>409222</v>
      </c>
      <c r="S16" s="135">
        <v>1</v>
      </c>
      <c r="T16" s="139">
        <v>87.05</v>
      </c>
      <c r="U16" s="133">
        <v>356.22800000000001</v>
      </c>
      <c r="W16" t="s">
        <v>135</v>
      </c>
      <c r="X16" s="137">
        <v>1.0000000000000001E-5</v>
      </c>
      <c r="Y16" s="137">
        <v>0.27795373992139399</v>
      </c>
      <c r="Z16" s="137">
        <v>8.7281629826998802E-2</v>
      </c>
    </row>
    <row r="17" spans="1:26">
      <c r="A17">
        <v>161</v>
      </c>
      <c r="B17">
        <v>1434</v>
      </c>
      <c r="C17" t="s">
        <v>1791</v>
      </c>
      <c r="D17" t="s">
        <v>1792</v>
      </c>
      <c r="E17" t="s">
        <v>1793</v>
      </c>
      <c r="F17" t="s">
        <v>1498</v>
      </c>
      <c r="G17" t="s">
        <v>45</v>
      </c>
      <c r="H17" t="s">
        <v>45</v>
      </c>
      <c r="I17" t="s">
        <v>47</v>
      </c>
      <c r="J17" t="s">
        <v>1794</v>
      </c>
      <c r="K17" t="s">
        <v>220</v>
      </c>
      <c r="L17" t="s">
        <v>52</v>
      </c>
      <c r="M17" t="s">
        <v>1795</v>
      </c>
      <c r="N17" t="s">
        <v>1796</v>
      </c>
      <c r="O17" s="137">
        <v>1E-3</v>
      </c>
      <c r="P17" s="137">
        <v>1.9359999999999999E-2</v>
      </c>
      <c r="R17" s="133">
        <v>1040000</v>
      </c>
      <c r="S17" s="135">
        <v>1</v>
      </c>
      <c r="T17" s="139">
        <v>106.48</v>
      </c>
      <c r="U17" s="133">
        <v>1107.3920000000001</v>
      </c>
      <c r="W17" t="s">
        <v>135</v>
      </c>
      <c r="X17" s="137">
        <v>3.0000000000000001E-5</v>
      </c>
      <c r="Y17" s="137">
        <v>9.1215244082812896E-2</v>
      </c>
      <c r="Z17" s="137">
        <v>4.6492369939060398E-2</v>
      </c>
    </row>
    <row r="18" spans="1:26">
      <c r="A18">
        <v>161</v>
      </c>
      <c r="B18">
        <v>1434</v>
      </c>
      <c r="C18" t="s">
        <v>1791</v>
      </c>
      <c r="D18" t="s">
        <v>1797</v>
      </c>
      <c r="E18" t="s">
        <v>1798</v>
      </c>
      <c r="F18" t="s">
        <v>1501</v>
      </c>
      <c r="G18" t="s">
        <v>45</v>
      </c>
      <c r="H18" t="s">
        <v>45</v>
      </c>
      <c r="I18" t="s">
        <v>47</v>
      </c>
      <c r="J18" t="s">
        <v>1794</v>
      </c>
      <c r="K18" t="s">
        <v>220</v>
      </c>
      <c r="L18" t="s">
        <v>52</v>
      </c>
      <c r="M18" t="s">
        <v>1799</v>
      </c>
      <c r="N18" t="s">
        <v>1800</v>
      </c>
      <c r="O18" s="137">
        <v>0.04</v>
      </c>
      <c r="P18" s="137">
        <v>4.07E-2</v>
      </c>
      <c r="R18" s="133">
        <v>2126000</v>
      </c>
      <c r="S18" s="135">
        <v>1</v>
      </c>
      <c r="T18" s="139">
        <v>99.51</v>
      </c>
      <c r="U18" s="133">
        <v>2115.5830000000001</v>
      </c>
      <c r="W18" t="s">
        <v>135</v>
      </c>
      <c r="X18" s="137">
        <v>5.5000000000000002E-5</v>
      </c>
      <c r="Y18" s="137">
        <v>0.17425932572779301</v>
      </c>
      <c r="Z18" s="137">
        <v>8.8819901964109493E-2</v>
      </c>
    </row>
    <row r="19" spans="1:26">
      <c r="A19">
        <v>161</v>
      </c>
      <c r="B19">
        <v>1434</v>
      </c>
      <c r="C19" t="s">
        <v>1791</v>
      </c>
      <c r="D19" t="s">
        <v>1801</v>
      </c>
      <c r="E19" t="s">
        <v>1802</v>
      </c>
      <c r="F19" t="s">
        <v>1501</v>
      </c>
      <c r="G19" t="s">
        <v>45</v>
      </c>
      <c r="H19" t="s">
        <v>45</v>
      </c>
      <c r="I19" t="s">
        <v>47</v>
      </c>
      <c r="J19" t="s">
        <v>1794</v>
      </c>
      <c r="K19" t="s">
        <v>220</v>
      </c>
      <c r="L19" t="s">
        <v>52</v>
      </c>
      <c r="M19" t="s">
        <v>1803</v>
      </c>
      <c r="N19" t="s">
        <v>1804</v>
      </c>
      <c r="O19" s="137">
        <v>3.7499999999999999E-2</v>
      </c>
      <c r="P19" s="137">
        <v>4.4139999999999999E-2</v>
      </c>
      <c r="R19" s="133">
        <v>445000</v>
      </c>
      <c r="S19" s="135">
        <v>1</v>
      </c>
      <c r="T19" s="139">
        <v>91.06</v>
      </c>
      <c r="U19" s="133">
        <v>405.21699999999998</v>
      </c>
      <c r="W19" t="s">
        <v>135</v>
      </c>
      <c r="X19" s="137">
        <v>1.5999999999999999E-5</v>
      </c>
      <c r="Y19" s="137">
        <v>3.3377491946397699E-2</v>
      </c>
      <c r="Z19" s="137">
        <v>1.70124930192707E-2</v>
      </c>
    </row>
    <row r="20" spans="1:26">
      <c r="A20">
        <v>161</v>
      </c>
      <c r="B20">
        <v>1434</v>
      </c>
      <c r="C20" t="s">
        <v>1791</v>
      </c>
      <c r="D20" t="s">
        <v>1833</v>
      </c>
      <c r="E20" t="s">
        <v>1834</v>
      </c>
      <c r="F20" t="s">
        <v>1498</v>
      </c>
      <c r="G20" t="s">
        <v>45</v>
      </c>
      <c r="H20" t="s">
        <v>45</v>
      </c>
      <c r="I20" t="s">
        <v>47</v>
      </c>
      <c r="J20" t="s">
        <v>1794</v>
      </c>
      <c r="K20" t="s">
        <v>220</v>
      </c>
      <c r="L20" t="s">
        <v>52</v>
      </c>
      <c r="M20" t="s">
        <v>1835</v>
      </c>
      <c r="N20" t="s">
        <v>1836</v>
      </c>
      <c r="O20" s="137">
        <v>2.75E-2</v>
      </c>
      <c r="P20" s="137">
        <v>2.189E-2</v>
      </c>
      <c r="R20" s="133">
        <v>121000</v>
      </c>
      <c r="S20" s="135">
        <v>1</v>
      </c>
      <c r="T20" s="139">
        <v>137.41999999999999</v>
      </c>
      <c r="U20" s="133">
        <v>166.27799999999999</v>
      </c>
      <c r="W20" t="s">
        <v>135</v>
      </c>
      <c r="X20" s="137">
        <v>6.0000000000000002E-6</v>
      </c>
      <c r="Y20" s="137">
        <v>1.36962399932912E-2</v>
      </c>
      <c r="Z20" s="137">
        <v>6.9809675229738598E-3</v>
      </c>
    </row>
    <row r="21" spans="1:26">
      <c r="A21">
        <v>161</v>
      </c>
      <c r="B21">
        <v>1434</v>
      </c>
      <c r="C21" t="s">
        <v>1791</v>
      </c>
      <c r="D21" t="s">
        <v>1805</v>
      </c>
      <c r="E21" t="s">
        <v>1806</v>
      </c>
      <c r="F21" t="s">
        <v>1501</v>
      </c>
      <c r="G21" t="s">
        <v>45</v>
      </c>
      <c r="H21" t="s">
        <v>45</v>
      </c>
      <c r="I21" t="s">
        <v>47</v>
      </c>
      <c r="J21" t="s">
        <v>1794</v>
      </c>
      <c r="K21" t="s">
        <v>220</v>
      </c>
      <c r="L21" t="s">
        <v>52</v>
      </c>
      <c r="M21" t="s">
        <v>1807</v>
      </c>
      <c r="N21" t="s">
        <v>1808</v>
      </c>
      <c r="O21" s="137">
        <v>5.5E-2</v>
      </c>
      <c r="P21" s="137">
        <v>4.2549999999999998E-2</v>
      </c>
      <c r="R21" s="133">
        <v>287954</v>
      </c>
      <c r="S21" s="135">
        <v>1</v>
      </c>
      <c r="T21" s="139">
        <v>115.07</v>
      </c>
      <c r="U21" s="133">
        <v>331.34899999999999</v>
      </c>
      <c r="W21" t="s">
        <v>135</v>
      </c>
      <c r="X21" s="137">
        <v>7.9999999999999996E-6</v>
      </c>
      <c r="Y21" s="137">
        <v>2.72929997777588E-2</v>
      </c>
      <c r="Z21" s="137">
        <v>1.3911230027101901E-2</v>
      </c>
    </row>
    <row r="22" spans="1:26">
      <c r="A22">
        <v>161</v>
      </c>
      <c r="B22">
        <v>1434</v>
      </c>
      <c r="C22" t="s">
        <v>1791</v>
      </c>
      <c r="D22" t="s">
        <v>1809</v>
      </c>
      <c r="E22" t="s">
        <v>1810</v>
      </c>
      <c r="F22" t="s">
        <v>1498</v>
      </c>
      <c r="G22" t="s">
        <v>45</v>
      </c>
      <c r="H22" t="s">
        <v>45</v>
      </c>
      <c r="I22" t="s">
        <v>47</v>
      </c>
      <c r="J22" t="s">
        <v>1794</v>
      </c>
      <c r="K22" t="s">
        <v>220</v>
      </c>
      <c r="L22" t="s">
        <v>52</v>
      </c>
      <c r="M22" t="s">
        <v>1811</v>
      </c>
      <c r="N22" t="s">
        <v>1812</v>
      </c>
      <c r="O22" s="137">
        <v>5.0000000000000001E-3</v>
      </c>
      <c r="P22" s="137">
        <v>1.8280000000000001E-2</v>
      </c>
      <c r="R22" s="133">
        <v>1387000</v>
      </c>
      <c r="S22" s="135">
        <v>1</v>
      </c>
      <c r="T22" s="139">
        <v>113.68</v>
      </c>
      <c r="U22" s="133">
        <v>1576.742</v>
      </c>
      <c r="W22" t="s">
        <v>135</v>
      </c>
      <c r="X22" s="137">
        <v>4.6E-5</v>
      </c>
      <c r="Y22" s="137">
        <v>0.12987530151881599</v>
      </c>
      <c r="Z22" s="137">
        <v>6.6197384273595894E-2</v>
      </c>
    </row>
    <row r="23" spans="1:26">
      <c r="A23">
        <v>161</v>
      </c>
      <c r="B23">
        <v>1434</v>
      </c>
      <c r="C23" t="s">
        <v>1791</v>
      </c>
      <c r="D23" t="s">
        <v>1817</v>
      </c>
      <c r="E23" t="s">
        <v>1818</v>
      </c>
      <c r="F23" t="s">
        <v>1498</v>
      </c>
      <c r="G23" t="s">
        <v>45</v>
      </c>
      <c r="H23" t="s">
        <v>45</v>
      </c>
      <c r="I23" t="s">
        <v>47</v>
      </c>
      <c r="J23" t="s">
        <v>1794</v>
      </c>
      <c r="K23" t="s">
        <v>220</v>
      </c>
      <c r="L23" t="s">
        <v>52</v>
      </c>
      <c r="M23" t="s">
        <v>1819</v>
      </c>
      <c r="N23" t="s">
        <v>1820</v>
      </c>
      <c r="O23" s="137">
        <v>1.0999999999999999E-2</v>
      </c>
      <c r="P23" s="137">
        <v>1.7829999999999999E-2</v>
      </c>
      <c r="R23" s="133">
        <v>1960000</v>
      </c>
      <c r="S23" s="135">
        <v>1</v>
      </c>
      <c r="T23" s="139">
        <v>105.35</v>
      </c>
      <c r="U23" s="133">
        <v>2064.86</v>
      </c>
      <c r="W23" t="s">
        <v>135</v>
      </c>
      <c r="X23" s="137">
        <v>5.8E-5</v>
      </c>
      <c r="Y23" s="137">
        <v>0.17008133424915201</v>
      </c>
      <c r="Z23" s="137">
        <v>8.6690381538216094E-2</v>
      </c>
    </row>
    <row r="24" spans="1:26">
      <c r="A24">
        <v>161</v>
      </c>
      <c r="B24">
        <v>1434</v>
      </c>
      <c r="C24" t="s">
        <v>1791</v>
      </c>
      <c r="D24" t="s">
        <v>1837</v>
      </c>
      <c r="E24" t="s">
        <v>1838</v>
      </c>
      <c r="F24" t="s">
        <v>1501</v>
      </c>
      <c r="G24" t="s">
        <v>45</v>
      </c>
      <c r="H24" t="s">
        <v>45</v>
      </c>
      <c r="I24" t="s">
        <v>47</v>
      </c>
      <c r="J24" t="s">
        <v>1794</v>
      </c>
      <c r="K24" t="s">
        <v>220</v>
      </c>
      <c r="L24" t="s">
        <v>52</v>
      </c>
      <c r="M24" t="s">
        <v>1839</v>
      </c>
      <c r="N24" t="s">
        <v>1840</v>
      </c>
      <c r="O24" s="137">
        <v>1.4999999999999999E-2</v>
      </c>
      <c r="P24" s="137">
        <v>4.165E-2</v>
      </c>
      <c r="R24" s="133">
        <v>450000</v>
      </c>
      <c r="S24" s="135">
        <v>1</v>
      </c>
      <c r="T24" s="139">
        <v>77.84</v>
      </c>
      <c r="U24" s="133">
        <v>350.28</v>
      </c>
      <c r="W24" t="s">
        <v>135</v>
      </c>
      <c r="X24" s="137">
        <v>1.1E-5</v>
      </c>
      <c r="Y24" s="137">
        <v>2.8852362756212498E-2</v>
      </c>
      <c r="Z24" s="137">
        <v>1.47060366539166E-2</v>
      </c>
    </row>
    <row r="25" spans="1:26">
      <c r="A25">
        <v>161</v>
      </c>
      <c r="B25">
        <v>1434</v>
      </c>
      <c r="C25" t="s">
        <v>1791</v>
      </c>
      <c r="D25" t="s">
        <v>1821</v>
      </c>
      <c r="E25" t="s">
        <v>1822</v>
      </c>
      <c r="F25" t="s">
        <v>1501</v>
      </c>
      <c r="G25" t="s">
        <v>45</v>
      </c>
      <c r="H25" t="s">
        <v>45</v>
      </c>
      <c r="I25" t="s">
        <v>47</v>
      </c>
      <c r="J25" t="s">
        <v>1794</v>
      </c>
      <c r="K25" t="s">
        <v>220</v>
      </c>
      <c r="L25" t="s">
        <v>52</v>
      </c>
      <c r="M25" t="s">
        <v>1823</v>
      </c>
      <c r="N25" t="s">
        <v>1824</v>
      </c>
      <c r="O25" s="137">
        <v>0.01</v>
      </c>
      <c r="P25" s="137">
        <v>3.9210000000000002E-2</v>
      </c>
      <c r="R25" s="133">
        <v>724011</v>
      </c>
      <c r="S25" s="135">
        <v>1</v>
      </c>
      <c r="T25" s="139">
        <v>89.4</v>
      </c>
      <c r="U25" s="133">
        <v>647.26599999999996</v>
      </c>
      <c r="W25" t="s">
        <v>135</v>
      </c>
      <c r="X25" s="137">
        <v>1.9000000000000001E-5</v>
      </c>
      <c r="Y25" s="137">
        <v>5.33149156168507E-2</v>
      </c>
      <c r="Z25" s="137">
        <v>2.7174589127646202E-2</v>
      </c>
    </row>
    <row r="26" spans="1:26">
      <c r="A26">
        <v>161</v>
      </c>
      <c r="B26">
        <v>1434</v>
      </c>
      <c r="C26" t="s">
        <v>1791</v>
      </c>
      <c r="D26" t="s">
        <v>1825</v>
      </c>
      <c r="E26" t="s">
        <v>1826</v>
      </c>
      <c r="F26" t="s">
        <v>1501</v>
      </c>
      <c r="G26" t="s">
        <v>45</v>
      </c>
      <c r="H26" t="s">
        <v>45</v>
      </c>
      <c r="I26" t="s">
        <v>47</v>
      </c>
      <c r="J26" t="s">
        <v>1794</v>
      </c>
      <c r="K26" t="s">
        <v>220</v>
      </c>
      <c r="L26" t="s">
        <v>52</v>
      </c>
      <c r="M26" t="s">
        <v>1827</v>
      </c>
      <c r="N26" t="s">
        <v>1828</v>
      </c>
      <c r="O26" s="137">
        <v>1.2999999999999999E-2</v>
      </c>
      <c r="P26" s="137">
        <v>3.9649999999999998E-2</v>
      </c>
      <c r="R26" s="133">
        <v>2290000</v>
      </c>
      <c r="S26" s="135">
        <v>1</v>
      </c>
      <c r="T26" s="139">
        <v>87.05</v>
      </c>
      <c r="U26" s="133">
        <v>1993.4449999999999</v>
      </c>
      <c r="W26" t="s">
        <v>135</v>
      </c>
      <c r="X26" s="137">
        <v>5.5999999999999999E-5</v>
      </c>
      <c r="Y26" s="137">
        <v>0.16419892164713401</v>
      </c>
      <c r="Z26" s="137">
        <v>8.3692118412603794E-2</v>
      </c>
    </row>
    <row r="27" spans="1:26">
      <c r="A27">
        <v>161</v>
      </c>
      <c r="B27">
        <v>1434</v>
      </c>
      <c r="C27" t="s">
        <v>1791</v>
      </c>
      <c r="D27" t="s">
        <v>1841</v>
      </c>
      <c r="E27" t="s">
        <v>1842</v>
      </c>
      <c r="F27" t="s">
        <v>1505</v>
      </c>
      <c r="G27" t="s">
        <v>45</v>
      </c>
      <c r="H27" t="s">
        <v>45</v>
      </c>
      <c r="I27" t="s">
        <v>47</v>
      </c>
      <c r="J27" t="s">
        <v>1794</v>
      </c>
      <c r="K27" t="s">
        <v>220</v>
      </c>
      <c r="L27" t="s">
        <v>52</v>
      </c>
      <c r="M27" t="s">
        <v>1843</v>
      </c>
      <c r="N27" t="s">
        <v>1844</v>
      </c>
      <c r="O27" s="137">
        <v>0</v>
      </c>
      <c r="P27" s="137">
        <v>4.07E-2</v>
      </c>
      <c r="R27" s="133">
        <v>750000</v>
      </c>
      <c r="S27" s="135">
        <v>1</v>
      </c>
      <c r="T27" s="139">
        <v>99.64</v>
      </c>
      <c r="U27" s="133">
        <v>747.3</v>
      </c>
      <c r="W27" t="s">
        <v>135</v>
      </c>
      <c r="X27" s="137">
        <v>2.1999999999999999E-5</v>
      </c>
      <c r="Y27" s="137">
        <v>6.1554672512611701E-2</v>
      </c>
      <c r="Z27" s="137">
        <v>3.1374389606805698E-2</v>
      </c>
    </row>
    <row r="28" spans="1:26">
      <c r="A28">
        <v>161</v>
      </c>
      <c r="B28">
        <v>1434</v>
      </c>
      <c r="C28" t="s">
        <v>1791</v>
      </c>
      <c r="D28" t="s">
        <v>1845</v>
      </c>
      <c r="E28" t="s">
        <v>1846</v>
      </c>
      <c r="F28" t="s">
        <v>1505</v>
      </c>
      <c r="G28" t="s">
        <v>45</v>
      </c>
      <c r="H28" t="s">
        <v>45</v>
      </c>
      <c r="I28" t="s">
        <v>47</v>
      </c>
      <c r="J28" t="s">
        <v>1794</v>
      </c>
      <c r="K28" t="s">
        <v>220</v>
      </c>
      <c r="L28" t="s">
        <v>52</v>
      </c>
      <c r="M28" t="s">
        <v>1847</v>
      </c>
      <c r="N28" t="s">
        <v>1848</v>
      </c>
      <c r="O28" s="137">
        <v>0</v>
      </c>
      <c r="P28" s="137">
        <v>3.9269999999999999E-2</v>
      </c>
      <c r="R28" s="133">
        <v>160000</v>
      </c>
      <c r="S28" s="135">
        <v>1</v>
      </c>
      <c r="T28" s="139">
        <v>98.7</v>
      </c>
      <c r="U28" s="133">
        <v>157.91999999999999</v>
      </c>
      <c r="W28" t="s">
        <v>135</v>
      </c>
      <c r="X28" s="137">
        <v>9.0000000000000002E-6</v>
      </c>
      <c r="Y28" s="137">
        <v>1.3007779851721701E-2</v>
      </c>
      <c r="Z28" s="137">
        <v>6.6300596904947896E-3</v>
      </c>
    </row>
    <row r="29" spans="1:26">
      <c r="A29">
        <v>161</v>
      </c>
      <c r="B29">
        <v>1434</v>
      </c>
      <c r="C29" t="s">
        <v>1849</v>
      </c>
      <c r="D29" t="s">
        <v>1850</v>
      </c>
      <c r="E29" t="s">
        <v>1851</v>
      </c>
      <c r="F29" t="s">
        <v>1506</v>
      </c>
      <c r="G29" t="s">
        <v>68</v>
      </c>
      <c r="H29" t="s">
        <v>69</v>
      </c>
      <c r="I29" t="s">
        <v>1005</v>
      </c>
      <c r="J29" t="s">
        <v>1852</v>
      </c>
      <c r="K29" t="s">
        <v>1026</v>
      </c>
      <c r="L29" t="s">
        <v>72</v>
      </c>
      <c r="M29" t="s">
        <v>1853</v>
      </c>
      <c r="N29" t="s">
        <v>1854</v>
      </c>
      <c r="O29" s="137">
        <v>3.3750000000000002E-2</v>
      </c>
      <c r="P29" s="137">
        <v>4.0629999999999999E-2</v>
      </c>
      <c r="R29" s="133">
        <v>156000</v>
      </c>
      <c r="S29" s="135">
        <v>3.165</v>
      </c>
      <c r="T29" s="139">
        <v>96.567999999999998</v>
      </c>
      <c r="U29" s="133">
        <v>476.79599999999999</v>
      </c>
      <c r="W29" t="s">
        <v>135</v>
      </c>
      <c r="X29" s="137">
        <v>9.9999999999999995E-7</v>
      </c>
      <c r="Y29" s="137">
        <v>3.9273410319447401E-2</v>
      </c>
      <c r="Z29" s="137">
        <v>2.00176400304596E-2</v>
      </c>
    </row>
    <row r="30" spans="1:26">
      <c r="A30">
        <v>161</v>
      </c>
      <c r="B30">
        <v>9938</v>
      </c>
      <c r="C30" t="s">
        <v>1791</v>
      </c>
      <c r="D30" t="s">
        <v>1855</v>
      </c>
      <c r="E30" t="s">
        <v>1856</v>
      </c>
      <c r="F30" t="s">
        <v>1505</v>
      </c>
      <c r="G30" t="s">
        <v>45</v>
      </c>
      <c r="H30" t="s">
        <v>45</v>
      </c>
      <c r="I30" t="s">
        <v>47</v>
      </c>
      <c r="J30" t="s">
        <v>1794</v>
      </c>
      <c r="K30" t="s">
        <v>220</v>
      </c>
      <c r="L30" t="s">
        <v>52</v>
      </c>
      <c r="M30" t="s">
        <v>1857</v>
      </c>
      <c r="N30" t="s">
        <v>1858</v>
      </c>
      <c r="O30" s="137">
        <v>0</v>
      </c>
      <c r="P30" s="137">
        <v>3.9789999999999999E-2</v>
      </c>
      <c r="R30" s="133">
        <v>3100000</v>
      </c>
      <c r="S30" s="135">
        <v>1</v>
      </c>
      <c r="T30" s="139">
        <v>99.35</v>
      </c>
      <c r="U30" s="133">
        <v>3079.85</v>
      </c>
      <c r="W30" t="s">
        <v>135</v>
      </c>
      <c r="X30" s="137">
        <v>9.1000000000000003E-5</v>
      </c>
      <c r="Y30" s="137">
        <v>9.7127351125245107E-2</v>
      </c>
      <c r="Z30" s="137">
        <v>3.5291811049309903E-2</v>
      </c>
    </row>
    <row r="31" spans="1:26">
      <c r="A31">
        <v>161</v>
      </c>
      <c r="B31">
        <v>9938</v>
      </c>
      <c r="C31" t="s">
        <v>1791</v>
      </c>
      <c r="D31" t="s">
        <v>1859</v>
      </c>
      <c r="E31" t="s">
        <v>1860</v>
      </c>
      <c r="F31" t="s">
        <v>1505</v>
      </c>
      <c r="G31" t="s">
        <v>45</v>
      </c>
      <c r="H31" t="s">
        <v>45</v>
      </c>
      <c r="I31" t="s">
        <v>47</v>
      </c>
      <c r="J31" t="s">
        <v>1794</v>
      </c>
      <c r="K31" t="s">
        <v>220</v>
      </c>
      <c r="L31" t="s">
        <v>52</v>
      </c>
      <c r="M31" t="s">
        <v>1861</v>
      </c>
      <c r="N31" t="s">
        <v>1862</v>
      </c>
      <c r="O31" s="137">
        <v>0</v>
      </c>
      <c r="P31" s="137">
        <v>3.9239999999999997E-2</v>
      </c>
      <c r="R31" s="133">
        <v>1000000</v>
      </c>
      <c r="S31" s="135">
        <v>1</v>
      </c>
      <c r="T31" s="139">
        <v>98.41</v>
      </c>
      <c r="U31" s="133">
        <v>984.1</v>
      </c>
      <c r="W31" t="s">
        <v>135</v>
      </c>
      <c r="X31" s="137">
        <v>5.5999999999999999E-5</v>
      </c>
      <c r="Y31" s="137">
        <v>3.1034961521617499E-2</v>
      </c>
      <c r="Z31" s="137">
        <v>1.12767411574024E-2</v>
      </c>
    </row>
    <row r="32" spans="1:26">
      <c r="A32">
        <v>161</v>
      </c>
      <c r="B32">
        <v>9938</v>
      </c>
      <c r="C32" t="s">
        <v>1791</v>
      </c>
      <c r="D32" t="s">
        <v>1792</v>
      </c>
      <c r="E32" t="s">
        <v>1793</v>
      </c>
      <c r="F32" t="s">
        <v>1498</v>
      </c>
      <c r="G32" t="s">
        <v>45</v>
      </c>
      <c r="H32" t="s">
        <v>45</v>
      </c>
      <c r="I32" t="s">
        <v>47</v>
      </c>
      <c r="J32" t="s">
        <v>1794</v>
      </c>
      <c r="K32" t="s">
        <v>220</v>
      </c>
      <c r="L32" t="s">
        <v>52</v>
      </c>
      <c r="M32" t="s">
        <v>1795</v>
      </c>
      <c r="N32" t="s">
        <v>1796</v>
      </c>
      <c r="O32" s="137">
        <v>1E-3</v>
      </c>
      <c r="P32" s="137">
        <v>1.9359999999999999E-2</v>
      </c>
      <c r="R32" s="133">
        <v>1490000</v>
      </c>
      <c r="S32" s="135">
        <v>1</v>
      </c>
      <c r="T32" s="139">
        <v>106.48</v>
      </c>
      <c r="U32" s="133">
        <v>1586.5519999999999</v>
      </c>
      <c r="W32" t="s">
        <v>135</v>
      </c>
      <c r="X32" s="137">
        <v>4.3999999999999999E-5</v>
      </c>
      <c r="Y32" s="137">
        <v>5.0034122824962203E-2</v>
      </c>
      <c r="Z32" s="137">
        <v>1.8180201439649601E-2</v>
      </c>
    </row>
    <row r="33" spans="1:26">
      <c r="A33">
        <v>161</v>
      </c>
      <c r="B33">
        <v>9938</v>
      </c>
      <c r="C33" t="s">
        <v>1791</v>
      </c>
      <c r="D33" t="s">
        <v>1863</v>
      </c>
      <c r="E33" t="s">
        <v>1864</v>
      </c>
      <c r="F33" t="s">
        <v>1501</v>
      </c>
      <c r="G33" t="s">
        <v>45</v>
      </c>
      <c r="H33" t="s">
        <v>45</v>
      </c>
      <c r="I33" t="s">
        <v>47</v>
      </c>
      <c r="J33" t="s">
        <v>1794</v>
      </c>
      <c r="K33" t="s">
        <v>220</v>
      </c>
      <c r="L33" t="s">
        <v>52</v>
      </c>
      <c r="M33" t="s">
        <v>1865</v>
      </c>
      <c r="N33" t="s">
        <v>1866</v>
      </c>
      <c r="O33" s="137">
        <v>0.02</v>
      </c>
      <c r="P33" s="137">
        <v>3.7850000000000002E-2</v>
      </c>
      <c r="R33" s="133">
        <v>1000000</v>
      </c>
      <c r="S33" s="135">
        <v>1</v>
      </c>
      <c r="T33" s="139">
        <v>98.31</v>
      </c>
      <c r="U33" s="133">
        <v>983.1</v>
      </c>
      <c r="W33" t="s">
        <v>135</v>
      </c>
      <c r="X33" s="137">
        <v>3.4999999999999997E-5</v>
      </c>
      <c r="Y33" s="137">
        <v>3.1003425131492901E-2</v>
      </c>
      <c r="Z33" s="137">
        <v>1.1265282219126401E-2</v>
      </c>
    </row>
    <row r="34" spans="1:26">
      <c r="A34">
        <v>161</v>
      </c>
      <c r="B34">
        <v>9938</v>
      </c>
      <c r="C34" t="s">
        <v>1791</v>
      </c>
      <c r="D34" t="s">
        <v>1797</v>
      </c>
      <c r="E34" t="s">
        <v>1798</v>
      </c>
      <c r="F34" t="s">
        <v>1501</v>
      </c>
      <c r="G34" t="s">
        <v>45</v>
      </c>
      <c r="H34" t="s">
        <v>45</v>
      </c>
      <c r="I34" t="s">
        <v>47</v>
      </c>
      <c r="J34" t="s">
        <v>1794</v>
      </c>
      <c r="K34" t="s">
        <v>220</v>
      </c>
      <c r="L34" t="s">
        <v>52</v>
      </c>
      <c r="M34" t="s">
        <v>1799</v>
      </c>
      <c r="N34" t="s">
        <v>1800</v>
      </c>
      <c r="O34" s="137">
        <v>0.04</v>
      </c>
      <c r="P34" s="137">
        <v>4.07E-2</v>
      </c>
      <c r="R34" s="133">
        <v>5776000</v>
      </c>
      <c r="S34" s="135">
        <v>1</v>
      </c>
      <c r="T34" s="139">
        <v>99.51</v>
      </c>
      <c r="U34" s="133">
        <v>5747.6980000000003</v>
      </c>
      <c r="W34" t="s">
        <v>135</v>
      </c>
      <c r="X34" s="137">
        <v>1.4799999999999999E-4</v>
      </c>
      <c r="Y34" s="137">
        <v>0.18126163383181901</v>
      </c>
      <c r="Z34" s="137">
        <v>6.5862512027459796E-2</v>
      </c>
    </row>
    <row r="35" spans="1:26">
      <c r="A35">
        <v>161</v>
      </c>
      <c r="B35">
        <v>9938</v>
      </c>
      <c r="C35" t="s">
        <v>1791</v>
      </c>
      <c r="D35" t="s">
        <v>1801</v>
      </c>
      <c r="E35" t="s">
        <v>1802</v>
      </c>
      <c r="F35" t="s">
        <v>1501</v>
      </c>
      <c r="G35" t="s">
        <v>45</v>
      </c>
      <c r="H35" t="s">
        <v>45</v>
      </c>
      <c r="I35" t="s">
        <v>47</v>
      </c>
      <c r="J35" t="s">
        <v>1794</v>
      </c>
      <c r="K35" t="s">
        <v>220</v>
      </c>
      <c r="L35" t="s">
        <v>52</v>
      </c>
      <c r="M35" t="s">
        <v>1803</v>
      </c>
      <c r="N35" t="s">
        <v>1804</v>
      </c>
      <c r="O35" s="137">
        <v>3.7499999999999999E-2</v>
      </c>
      <c r="P35" s="137">
        <v>4.4139999999999999E-2</v>
      </c>
      <c r="R35" s="133">
        <v>665000</v>
      </c>
      <c r="S35" s="135">
        <v>1</v>
      </c>
      <c r="T35" s="139">
        <v>91.06</v>
      </c>
      <c r="U35" s="133">
        <v>605.54899999999998</v>
      </c>
      <c r="W35" t="s">
        <v>135</v>
      </c>
      <c r="X35" s="137">
        <v>2.5000000000000001E-5</v>
      </c>
      <c r="Y35" s="137">
        <v>1.9096829503560599E-2</v>
      </c>
      <c r="Z35" s="137">
        <v>6.9389486140878798E-3</v>
      </c>
    </row>
    <row r="36" spans="1:26">
      <c r="A36">
        <v>161</v>
      </c>
      <c r="B36">
        <v>9938</v>
      </c>
      <c r="C36" t="s">
        <v>1791</v>
      </c>
      <c r="D36" t="s">
        <v>1867</v>
      </c>
      <c r="E36" t="s">
        <v>1868</v>
      </c>
      <c r="F36" t="s">
        <v>1501</v>
      </c>
      <c r="G36" t="s">
        <v>45</v>
      </c>
      <c r="H36" t="s">
        <v>45</v>
      </c>
      <c r="I36" t="s">
        <v>47</v>
      </c>
      <c r="J36" t="s">
        <v>1794</v>
      </c>
      <c r="K36" t="s">
        <v>220</v>
      </c>
      <c r="L36" t="s">
        <v>52</v>
      </c>
      <c r="M36" t="s">
        <v>1869</v>
      </c>
      <c r="N36" t="s">
        <v>1870</v>
      </c>
      <c r="O36" s="137">
        <v>6.25E-2</v>
      </c>
      <c r="P36" s="137">
        <v>3.7789999999999997E-2</v>
      </c>
      <c r="R36" s="133">
        <v>190000</v>
      </c>
      <c r="S36" s="135">
        <v>1</v>
      </c>
      <c r="T36" s="139">
        <v>103.99</v>
      </c>
      <c r="U36" s="133">
        <v>197.58099999999999</v>
      </c>
      <c r="W36" t="s">
        <v>135</v>
      </c>
      <c r="X36" s="137">
        <v>1.2999999999999999E-5</v>
      </c>
      <c r="Y36" s="137">
        <v>6.2309914972083196E-3</v>
      </c>
      <c r="Z36" s="137">
        <v>2.2640684835085099E-3</v>
      </c>
    </row>
    <row r="37" spans="1:26">
      <c r="A37">
        <v>161</v>
      </c>
      <c r="B37">
        <v>9938</v>
      </c>
      <c r="C37" t="s">
        <v>1791</v>
      </c>
      <c r="D37" t="s">
        <v>1805</v>
      </c>
      <c r="E37" t="s">
        <v>1806</v>
      </c>
      <c r="F37" t="s">
        <v>1501</v>
      </c>
      <c r="G37" t="s">
        <v>45</v>
      </c>
      <c r="H37" t="s">
        <v>45</v>
      </c>
      <c r="I37" t="s">
        <v>47</v>
      </c>
      <c r="J37" t="s">
        <v>1794</v>
      </c>
      <c r="K37" t="s">
        <v>220</v>
      </c>
      <c r="L37" t="s">
        <v>52</v>
      </c>
      <c r="M37" t="s">
        <v>1807</v>
      </c>
      <c r="N37" t="s">
        <v>1808</v>
      </c>
      <c r="O37" s="137">
        <v>5.5E-2</v>
      </c>
      <c r="P37" s="137">
        <v>4.2549999999999998E-2</v>
      </c>
      <c r="R37" s="133">
        <v>2565850</v>
      </c>
      <c r="S37" s="135">
        <v>1</v>
      </c>
      <c r="T37" s="139">
        <v>115.07</v>
      </c>
      <c r="U37" s="133">
        <v>2952.5239999999999</v>
      </c>
      <c r="W37" t="s">
        <v>135</v>
      </c>
      <c r="X37" s="137">
        <v>7.3999999999999996E-5</v>
      </c>
      <c r="Y37" s="137">
        <v>9.3111935944002397E-2</v>
      </c>
      <c r="Z37" s="137">
        <v>3.3832785633511102E-2</v>
      </c>
    </row>
    <row r="38" spans="1:26">
      <c r="A38">
        <v>161</v>
      </c>
      <c r="B38">
        <v>9938</v>
      </c>
      <c r="C38" t="s">
        <v>1791</v>
      </c>
      <c r="D38" t="s">
        <v>1809</v>
      </c>
      <c r="E38" t="s">
        <v>1810</v>
      </c>
      <c r="F38" t="s">
        <v>1498</v>
      </c>
      <c r="G38" t="s">
        <v>45</v>
      </c>
      <c r="H38" t="s">
        <v>45</v>
      </c>
      <c r="I38" t="s">
        <v>47</v>
      </c>
      <c r="J38" t="s">
        <v>1794</v>
      </c>
      <c r="K38" t="s">
        <v>220</v>
      </c>
      <c r="L38" t="s">
        <v>52</v>
      </c>
      <c r="M38" t="s">
        <v>1811</v>
      </c>
      <c r="N38" t="s">
        <v>1812</v>
      </c>
      <c r="O38" s="137">
        <v>5.0000000000000001E-3</v>
      </c>
      <c r="P38" s="137">
        <v>1.8280000000000001E-2</v>
      </c>
      <c r="R38" s="133">
        <v>1063000</v>
      </c>
      <c r="S38" s="135">
        <v>1</v>
      </c>
      <c r="T38" s="139">
        <v>113.68</v>
      </c>
      <c r="U38" s="133">
        <v>1208.4179999999999</v>
      </c>
      <c r="W38" t="s">
        <v>135</v>
      </c>
      <c r="X38" s="137">
        <v>3.4999999999999997E-5</v>
      </c>
      <c r="Y38" s="137">
        <v>3.8109154096143301E-2</v>
      </c>
      <c r="Z38" s="137">
        <v>1.38471918571714E-2</v>
      </c>
    </row>
    <row r="39" spans="1:26">
      <c r="A39">
        <v>161</v>
      </c>
      <c r="B39">
        <v>9938</v>
      </c>
      <c r="C39" t="s">
        <v>1791</v>
      </c>
      <c r="D39" t="s">
        <v>1829</v>
      </c>
      <c r="E39" t="s">
        <v>1830</v>
      </c>
      <c r="F39" t="s">
        <v>1498</v>
      </c>
      <c r="G39" t="s">
        <v>45</v>
      </c>
      <c r="H39" t="s">
        <v>45</v>
      </c>
      <c r="I39" t="s">
        <v>47</v>
      </c>
      <c r="J39" t="s">
        <v>1794</v>
      </c>
      <c r="K39" t="s">
        <v>220</v>
      </c>
      <c r="L39" t="s">
        <v>52</v>
      </c>
      <c r="M39" t="s">
        <v>1831</v>
      </c>
      <c r="N39" t="s">
        <v>1832</v>
      </c>
      <c r="O39" s="137">
        <v>1.6E-2</v>
      </c>
      <c r="P39" s="137">
        <v>2.0389999999999998E-2</v>
      </c>
      <c r="R39" s="133">
        <v>3200000</v>
      </c>
      <c r="S39" s="135">
        <v>1</v>
      </c>
      <c r="T39" s="139">
        <v>103.34</v>
      </c>
      <c r="U39" s="133">
        <v>3306.88</v>
      </c>
      <c r="W39" t="s">
        <v>135</v>
      </c>
      <c r="X39" s="137">
        <v>1E-4</v>
      </c>
      <c r="Y39" s="137">
        <v>0.10428705777523301</v>
      </c>
      <c r="Z39" s="137">
        <v>3.7893333806108001E-2</v>
      </c>
    </row>
    <row r="40" spans="1:26">
      <c r="A40">
        <v>161</v>
      </c>
      <c r="B40">
        <v>9938</v>
      </c>
      <c r="C40" t="s">
        <v>1791</v>
      </c>
      <c r="D40" t="s">
        <v>1837</v>
      </c>
      <c r="E40" t="s">
        <v>1838</v>
      </c>
      <c r="F40" t="s">
        <v>1501</v>
      </c>
      <c r="G40" t="s">
        <v>45</v>
      </c>
      <c r="H40" t="s">
        <v>45</v>
      </c>
      <c r="I40" t="s">
        <v>47</v>
      </c>
      <c r="J40" t="s">
        <v>1794</v>
      </c>
      <c r="K40" t="s">
        <v>220</v>
      </c>
      <c r="L40" t="s">
        <v>52</v>
      </c>
      <c r="M40" t="s">
        <v>1839</v>
      </c>
      <c r="N40" t="s">
        <v>1840</v>
      </c>
      <c r="O40" s="137">
        <v>1.4999999999999999E-2</v>
      </c>
      <c r="P40" s="137">
        <v>4.165E-2</v>
      </c>
      <c r="R40" s="133">
        <v>770000</v>
      </c>
      <c r="S40" s="135">
        <v>1</v>
      </c>
      <c r="T40" s="139">
        <v>77.84</v>
      </c>
      <c r="U40" s="133">
        <v>599.36800000000005</v>
      </c>
      <c r="W40" t="s">
        <v>135</v>
      </c>
      <c r="X40" s="137">
        <v>1.8E-5</v>
      </c>
      <c r="Y40" s="137">
        <v>1.8901903076200401E-2</v>
      </c>
      <c r="Z40" s="137">
        <v>6.8681209166039803E-3</v>
      </c>
    </row>
    <row r="41" spans="1:26">
      <c r="A41">
        <v>161</v>
      </c>
      <c r="B41">
        <v>9938</v>
      </c>
      <c r="C41" t="s">
        <v>1791</v>
      </c>
      <c r="D41" t="s">
        <v>1841</v>
      </c>
      <c r="E41" t="s">
        <v>1842</v>
      </c>
      <c r="F41" t="s">
        <v>1505</v>
      </c>
      <c r="G41" t="s">
        <v>45</v>
      </c>
      <c r="H41" t="s">
        <v>45</v>
      </c>
      <c r="I41" t="s">
        <v>47</v>
      </c>
      <c r="J41" t="s">
        <v>1794</v>
      </c>
      <c r="K41" t="s">
        <v>220</v>
      </c>
      <c r="L41" t="s">
        <v>52</v>
      </c>
      <c r="M41" t="s">
        <v>1843</v>
      </c>
      <c r="N41" t="s">
        <v>1844</v>
      </c>
      <c r="O41" s="137">
        <v>0</v>
      </c>
      <c r="P41" s="137">
        <v>4.07E-2</v>
      </c>
      <c r="R41" s="133">
        <v>7000000</v>
      </c>
      <c r="S41" s="135">
        <v>1</v>
      </c>
      <c r="T41" s="139">
        <v>99.64</v>
      </c>
      <c r="U41" s="133">
        <v>6974.8</v>
      </c>
      <c r="W41" t="s">
        <v>135</v>
      </c>
      <c r="X41" s="137">
        <v>2.0599999999999999E-4</v>
      </c>
      <c r="Y41" s="137">
        <v>0.21996001384105099</v>
      </c>
      <c r="Z41" s="137">
        <v>7.9923802687379794E-2</v>
      </c>
    </row>
    <row r="42" spans="1:26">
      <c r="A42">
        <v>161</v>
      </c>
      <c r="B42">
        <v>9938</v>
      </c>
      <c r="C42" t="s">
        <v>1791</v>
      </c>
      <c r="D42" t="s">
        <v>1845</v>
      </c>
      <c r="E42" t="s">
        <v>1846</v>
      </c>
      <c r="F42" t="s">
        <v>1505</v>
      </c>
      <c r="G42" t="s">
        <v>45</v>
      </c>
      <c r="H42" t="s">
        <v>45</v>
      </c>
      <c r="I42" t="s">
        <v>47</v>
      </c>
      <c r="J42" t="s">
        <v>1794</v>
      </c>
      <c r="K42" t="s">
        <v>220</v>
      </c>
      <c r="L42" t="s">
        <v>52</v>
      </c>
      <c r="M42" t="s">
        <v>1847</v>
      </c>
      <c r="N42" t="s">
        <v>1848</v>
      </c>
      <c r="O42" s="137">
        <v>0</v>
      </c>
      <c r="P42" s="137">
        <v>3.9269999999999999E-2</v>
      </c>
      <c r="R42" s="133">
        <v>2400000</v>
      </c>
      <c r="S42" s="135">
        <v>1</v>
      </c>
      <c r="T42" s="139">
        <v>98.7</v>
      </c>
      <c r="U42" s="133">
        <v>2368.8000000000002</v>
      </c>
      <c r="W42" t="s">
        <v>135</v>
      </c>
      <c r="X42" s="137">
        <v>1.3300000000000001E-4</v>
      </c>
      <c r="Y42" s="137">
        <v>7.4703400927149194E-2</v>
      </c>
      <c r="Z42" s="137">
        <v>2.71439329881667E-2</v>
      </c>
    </row>
    <row r="43" spans="1:26">
      <c r="A43">
        <v>161</v>
      </c>
      <c r="B43">
        <v>9938</v>
      </c>
      <c r="C43" t="s">
        <v>1849</v>
      </c>
      <c r="D43" t="s">
        <v>1850</v>
      </c>
      <c r="E43" t="s">
        <v>1851</v>
      </c>
      <c r="F43" t="s">
        <v>1506</v>
      </c>
      <c r="G43" t="s">
        <v>68</v>
      </c>
      <c r="H43" t="s">
        <v>69</v>
      </c>
      <c r="I43" t="s">
        <v>1005</v>
      </c>
      <c r="J43" t="s">
        <v>1852</v>
      </c>
      <c r="K43" t="s">
        <v>1026</v>
      </c>
      <c r="L43" t="s">
        <v>72</v>
      </c>
      <c r="M43" t="s">
        <v>1853</v>
      </c>
      <c r="N43" t="s">
        <v>1854</v>
      </c>
      <c r="O43" s="137">
        <v>3.3750000000000002E-2</v>
      </c>
      <c r="P43" s="137">
        <v>4.0629999999999999E-2</v>
      </c>
      <c r="R43" s="133">
        <v>246000</v>
      </c>
      <c r="S43" s="135">
        <v>3.165</v>
      </c>
      <c r="T43" s="139">
        <v>96.567999999999998</v>
      </c>
      <c r="U43" s="133">
        <v>751.87099999999998</v>
      </c>
      <c r="W43" t="s">
        <v>135</v>
      </c>
      <c r="X43" s="137">
        <v>1.9999999999999999E-6</v>
      </c>
      <c r="Y43" s="137">
        <v>2.3711283357003801E-2</v>
      </c>
      <c r="Z43" s="137">
        <v>8.6156383580662001E-3</v>
      </c>
    </row>
    <row r="44" spans="1:26">
      <c r="A44">
        <v>161</v>
      </c>
      <c r="B44">
        <v>9938</v>
      </c>
      <c r="C44" t="s">
        <v>1849</v>
      </c>
      <c r="D44" t="s">
        <v>1871</v>
      </c>
      <c r="E44" t="s">
        <v>1872</v>
      </c>
      <c r="F44" t="s">
        <v>1506</v>
      </c>
      <c r="G44" t="s">
        <v>68</v>
      </c>
      <c r="H44" t="s">
        <v>69</v>
      </c>
      <c r="I44" t="s">
        <v>1005</v>
      </c>
      <c r="J44" t="s">
        <v>1852</v>
      </c>
      <c r="K44" t="s">
        <v>1026</v>
      </c>
      <c r="L44" t="s">
        <v>72</v>
      </c>
      <c r="M44" t="s">
        <v>1873</v>
      </c>
      <c r="N44" t="s">
        <v>1874</v>
      </c>
      <c r="O44" s="137">
        <v>3.875E-2</v>
      </c>
      <c r="P44" s="137">
        <v>4.1669999999999999E-2</v>
      </c>
      <c r="R44" s="133">
        <v>80000</v>
      </c>
      <c r="S44" s="135">
        <v>3.165</v>
      </c>
      <c r="T44" s="139">
        <v>97.942999999999998</v>
      </c>
      <c r="U44" s="133">
        <v>247.99199999999999</v>
      </c>
      <c r="W44" t="s">
        <v>135</v>
      </c>
      <c r="X44" s="137">
        <v>9.9999999999999995E-7</v>
      </c>
      <c r="Y44" s="137">
        <v>7.8207602457355703E-3</v>
      </c>
      <c r="Z44" s="137">
        <v>2.8417205828926901E-3</v>
      </c>
    </row>
    <row r="45" spans="1:26">
      <c r="A45">
        <v>161</v>
      </c>
      <c r="B45">
        <v>9938</v>
      </c>
      <c r="C45" t="s">
        <v>1875</v>
      </c>
      <c r="D45" t="s">
        <v>1876</v>
      </c>
      <c r="E45" t="s">
        <v>1877</v>
      </c>
      <c r="F45" t="s">
        <v>1506</v>
      </c>
      <c r="G45" t="s">
        <v>68</v>
      </c>
      <c r="H45" t="s">
        <v>69</v>
      </c>
      <c r="I45" t="s">
        <v>1005</v>
      </c>
      <c r="J45" t="s">
        <v>1852</v>
      </c>
      <c r="K45" t="s">
        <v>1026</v>
      </c>
      <c r="L45" t="s">
        <v>72</v>
      </c>
      <c r="M45" t="s">
        <v>1878</v>
      </c>
      <c r="N45" t="s">
        <v>1879</v>
      </c>
      <c r="O45" s="137">
        <v>4.6249999999999999E-2</v>
      </c>
      <c r="P45" s="137">
        <v>4.2020000000000002E-2</v>
      </c>
      <c r="R45" s="133">
        <v>35000</v>
      </c>
      <c r="S45" s="135">
        <v>3.165</v>
      </c>
      <c r="T45" s="139">
        <v>103.19799999999999</v>
      </c>
      <c r="U45" s="133">
        <v>114.318</v>
      </c>
      <c r="W45" t="s">
        <v>135</v>
      </c>
      <c r="X45" s="137">
        <v>0</v>
      </c>
      <c r="Y45" s="137">
        <v>3.6051753015761499E-3</v>
      </c>
      <c r="Z45" s="137">
        <v>1.30996227189186E-3</v>
      </c>
    </row>
    <row r="46" spans="1:26">
      <c r="A46">
        <v>161</v>
      </c>
      <c r="B46">
        <v>9942</v>
      </c>
      <c r="C46" t="s">
        <v>1791</v>
      </c>
      <c r="D46" t="s">
        <v>1880</v>
      </c>
      <c r="E46" t="s">
        <v>1881</v>
      </c>
      <c r="F46" t="s">
        <v>1498</v>
      </c>
      <c r="G46" t="s">
        <v>45</v>
      </c>
      <c r="H46" t="s">
        <v>45</v>
      </c>
      <c r="I46" t="s">
        <v>47</v>
      </c>
      <c r="J46" t="s">
        <v>1794</v>
      </c>
      <c r="K46" t="s">
        <v>220</v>
      </c>
      <c r="L46" t="s">
        <v>52</v>
      </c>
      <c r="M46" t="s">
        <v>1882</v>
      </c>
      <c r="N46" t="s">
        <v>1883</v>
      </c>
      <c r="O46" s="137">
        <v>0.01</v>
      </c>
      <c r="P46" s="137">
        <v>2.23E-2</v>
      </c>
      <c r="R46" s="133">
        <v>172756</v>
      </c>
      <c r="S46" s="135">
        <v>1</v>
      </c>
      <c r="T46" s="139">
        <v>97.28</v>
      </c>
      <c r="U46" s="133">
        <v>168.05699999999999</v>
      </c>
      <c r="W46" t="s">
        <v>135</v>
      </c>
      <c r="X46" s="137">
        <v>7.9999999999999996E-6</v>
      </c>
      <c r="Y46" s="137">
        <v>3.1804720102760098E-3</v>
      </c>
      <c r="Z46" s="137">
        <v>1.66391839608321E-3</v>
      </c>
    </row>
    <row r="47" spans="1:26">
      <c r="A47">
        <v>161</v>
      </c>
      <c r="B47">
        <v>9942</v>
      </c>
      <c r="C47" t="s">
        <v>1791</v>
      </c>
      <c r="D47" t="s">
        <v>1792</v>
      </c>
      <c r="E47" t="s">
        <v>1793</v>
      </c>
      <c r="F47" t="s">
        <v>1498</v>
      </c>
      <c r="G47" t="s">
        <v>45</v>
      </c>
      <c r="H47" t="s">
        <v>45</v>
      </c>
      <c r="I47" t="s">
        <v>47</v>
      </c>
      <c r="J47" t="s">
        <v>1794</v>
      </c>
      <c r="K47" t="s">
        <v>220</v>
      </c>
      <c r="L47" t="s">
        <v>52</v>
      </c>
      <c r="M47" t="s">
        <v>1795</v>
      </c>
      <c r="N47" t="s">
        <v>1796</v>
      </c>
      <c r="O47" s="137">
        <v>1E-3</v>
      </c>
      <c r="P47" s="137">
        <v>1.9359999999999999E-2</v>
      </c>
      <c r="R47" s="133">
        <v>1910000</v>
      </c>
      <c r="S47" s="135">
        <v>1</v>
      </c>
      <c r="T47" s="139">
        <v>106.48</v>
      </c>
      <c r="U47" s="133">
        <v>2033.768</v>
      </c>
      <c r="W47" t="s">
        <v>135</v>
      </c>
      <c r="X47" s="137">
        <v>5.5999999999999999E-5</v>
      </c>
      <c r="Y47" s="137">
        <v>3.84889697126626E-2</v>
      </c>
      <c r="Z47" s="137">
        <v>2.0136163608505099E-2</v>
      </c>
    </row>
    <row r="48" spans="1:26">
      <c r="A48">
        <v>161</v>
      </c>
      <c r="B48">
        <v>9942</v>
      </c>
      <c r="C48" t="s">
        <v>1791</v>
      </c>
      <c r="D48" t="s">
        <v>1884</v>
      </c>
      <c r="E48" t="s">
        <v>1885</v>
      </c>
      <c r="F48" t="s">
        <v>1501</v>
      </c>
      <c r="G48" t="s">
        <v>45</v>
      </c>
      <c r="H48" t="s">
        <v>45</v>
      </c>
      <c r="I48" t="s">
        <v>47</v>
      </c>
      <c r="J48" t="s">
        <v>1794</v>
      </c>
      <c r="K48" t="s">
        <v>220</v>
      </c>
      <c r="L48" t="s">
        <v>52</v>
      </c>
      <c r="M48" t="s">
        <v>1886</v>
      </c>
      <c r="N48" t="s">
        <v>1887</v>
      </c>
      <c r="O48" s="137">
        <v>2.2499999999999999E-2</v>
      </c>
      <c r="P48" s="137">
        <v>3.9239999999999997E-2</v>
      </c>
      <c r="R48" s="133">
        <v>2500000</v>
      </c>
      <c r="S48" s="135">
        <v>1</v>
      </c>
      <c r="T48" s="139">
        <v>97.23</v>
      </c>
      <c r="U48" s="133">
        <v>2430.75</v>
      </c>
      <c r="W48" t="s">
        <v>135</v>
      </c>
      <c r="X48" s="137">
        <v>7.2000000000000002E-5</v>
      </c>
      <c r="Y48" s="137">
        <v>4.6001836556113798E-2</v>
      </c>
      <c r="Z48" s="137">
        <v>2.4066648551542599E-2</v>
      </c>
    </row>
    <row r="49" spans="1:26">
      <c r="A49">
        <v>161</v>
      </c>
      <c r="B49">
        <v>9942</v>
      </c>
      <c r="C49" t="s">
        <v>1791</v>
      </c>
      <c r="D49" t="s">
        <v>1797</v>
      </c>
      <c r="E49" t="s">
        <v>1798</v>
      </c>
      <c r="F49" t="s">
        <v>1501</v>
      </c>
      <c r="G49" t="s">
        <v>45</v>
      </c>
      <c r="H49" t="s">
        <v>45</v>
      </c>
      <c r="I49" t="s">
        <v>47</v>
      </c>
      <c r="J49" t="s">
        <v>1794</v>
      </c>
      <c r="K49" t="s">
        <v>220</v>
      </c>
      <c r="L49" t="s">
        <v>52</v>
      </c>
      <c r="M49" t="s">
        <v>1799</v>
      </c>
      <c r="N49" t="s">
        <v>1800</v>
      </c>
      <c r="O49" s="137">
        <v>0.04</v>
      </c>
      <c r="P49" s="137">
        <v>4.07E-2</v>
      </c>
      <c r="R49" s="133">
        <v>6183000</v>
      </c>
      <c r="S49" s="135">
        <v>1</v>
      </c>
      <c r="T49" s="139">
        <v>99.51</v>
      </c>
      <c r="U49" s="133">
        <v>6152.7030000000004</v>
      </c>
      <c r="W49" t="s">
        <v>135</v>
      </c>
      <c r="X49" s="137">
        <v>1.5899999999999999E-4</v>
      </c>
      <c r="Y49" s="137">
        <v>0.116439638623825</v>
      </c>
      <c r="Z49" s="137">
        <v>6.0917390913510901E-2</v>
      </c>
    </row>
    <row r="50" spans="1:26">
      <c r="A50">
        <v>161</v>
      </c>
      <c r="B50">
        <v>9942</v>
      </c>
      <c r="C50" t="s">
        <v>1791</v>
      </c>
      <c r="D50" t="s">
        <v>1801</v>
      </c>
      <c r="E50" t="s">
        <v>1802</v>
      </c>
      <c r="F50" t="s">
        <v>1501</v>
      </c>
      <c r="G50" t="s">
        <v>45</v>
      </c>
      <c r="H50" t="s">
        <v>45</v>
      </c>
      <c r="I50" t="s">
        <v>47</v>
      </c>
      <c r="J50" t="s">
        <v>1794</v>
      </c>
      <c r="K50" t="s">
        <v>220</v>
      </c>
      <c r="L50" t="s">
        <v>52</v>
      </c>
      <c r="M50" t="s">
        <v>1803</v>
      </c>
      <c r="N50" t="s">
        <v>1804</v>
      </c>
      <c r="O50" s="137">
        <v>3.7499999999999999E-2</v>
      </c>
      <c r="P50" s="137">
        <v>4.4139999999999999E-2</v>
      </c>
      <c r="R50" s="133">
        <v>1450000</v>
      </c>
      <c r="S50" s="135">
        <v>1</v>
      </c>
      <c r="T50" s="139">
        <v>91.06</v>
      </c>
      <c r="U50" s="133">
        <v>1320.37</v>
      </c>
      <c r="W50" t="s">
        <v>135</v>
      </c>
      <c r="X50" s="137">
        <v>5.3000000000000001E-5</v>
      </c>
      <c r="Y50" s="137">
        <v>2.4987944022872001E-2</v>
      </c>
      <c r="Z50" s="137">
        <v>1.30728708209402E-2</v>
      </c>
    </row>
    <row r="51" spans="1:26">
      <c r="A51">
        <v>161</v>
      </c>
      <c r="B51">
        <v>9942</v>
      </c>
      <c r="C51" t="s">
        <v>1791</v>
      </c>
      <c r="D51" t="s">
        <v>1833</v>
      </c>
      <c r="E51" t="s">
        <v>1834</v>
      </c>
      <c r="F51" t="s">
        <v>1498</v>
      </c>
      <c r="G51" t="s">
        <v>45</v>
      </c>
      <c r="H51" t="s">
        <v>45</v>
      </c>
      <c r="I51" t="s">
        <v>47</v>
      </c>
      <c r="J51" t="s">
        <v>1794</v>
      </c>
      <c r="K51" t="s">
        <v>220</v>
      </c>
      <c r="L51" t="s">
        <v>52</v>
      </c>
      <c r="M51" t="s">
        <v>1835</v>
      </c>
      <c r="N51" t="s">
        <v>1836</v>
      </c>
      <c r="O51" s="137">
        <v>2.75E-2</v>
      </c>
      <c r="P51" s="137">
        <v>2.189E-2</v>
      </c>
      <c r="R51" s="133">
        <v>311624</v>
      </c>
      <c r="S51" s="135">
        <v>1</v>
      </c>
      <c r="T51" s="139">
        <v>137.41999999999999</v>
      </c>
      <c r="U51" s="133">
        <v>428.23399999999998</v>
      </c>
      <c r="W51" t="s">
        <v>135</v>
      </c>
      <c r="X51" s="137">
        <v>1.5E-5</v>
      </c>
      <c r="Y51" s="137">
        <v>8.1043039029194096E-3</v>
      </c>
      <c r="Z51" s="137">
        <v>4.2399053687463004E-3</v>
      </c>
    </row>
    <row r="52" spans="1:26">
      <c r="A52">
        <v>161</v>
      </c>
      <c r="B52">
        <v>9942</v>
      </c>
      <c r="C52" t="s">
        <v>1791</v>
      </c>
      <c r="D52" t="s">
        <v>1867</v>
      </c>
      <c r="E52" t="s">
        <v>1868</v>
      </c>
      <c r="F52" t="s">
        <v>1501</v>
      </c>
      <c r="G52" t="s">
        <v>45</v>
      </c>
      <c r="H52" t="s">
        <v>45</v>
      </c>
      <c r="I52" t="s">
        <v>47</v>
      </c>
      <c r="J52" t="s">
        <v>1794</v>
      </c>
      <c r="K52" t="s">
        <v>220</v>
      </c>
      <c r="L52" t="s">
        <v>52</v>
      </c>
      <c r="M52" t="s">
        <v>1869</v>
      </c>
      <c r="N52" t="s">
        <v>1870</v>
      </c>
      <c r="O52" s="137">
        <v>6.25E-2</v>
      </c>
      <c r="P52" s="137">
        <v>3.7789999999999997E-2</v>
      </c>
      <c r="R52" s="133">
        <v>230000</v>
      </c>
      <c r="S52" s="135">
        <v>1</v>
      </c>
      <c r="T52" s="139">
        <v>103.99</v>
      </c>
      <c r="U52" s="133">
        <v>239.17699999999999</v>
      </c>
      <c r="W52" t="s">
        <v>135</v>
      </c>
      <c r="X52" s="137">
        <v>1.5E-5</v>
      </c>
      <c r="Y52" s="137">
        <v>4.5264141775096696E-3</v>
      </c>
      <c r="Z52" s="137">
        <v>2.3680710894219098E-3</v>
      </c>
    </row>
    <row r="53" spans="1:26">
      <c r="A53">
        <v>161</v>
      </c>
      <c r="B53">
        <v>9942</v>
      </c>
      <c r="C53" t="s">
        <v>1791</v>
      </c>
      <c r="D53" t="s">
        <v>1805</v>
      </c>
      <c r="E53" t="s">
        <v>1806</v>
      </c>
      <c r="F53" t="s">
        <v>1501</v>
      </c>
      <c r="G53" t="s">
        <v>45</v>
      </c>
      <c r="H53" t="s">
        <v>45</v>
      </c>
      <c r="I53" t="s">
        <v>47</v>
      </c>
      <c r="J53" t="s">
        <v>1794</v>
      </c>
      <c r="K53" t="s">
        <v>220</v>
      </c>
      <c r="L53" t="s">
        <v>52</v>
      </c>
      <c r="M53" t="s">
        <v>1807</v>
      </c>
      <c r="N53" t="s">
        <v>1808</v>
      </c>
      <c r="O53" s="137">
        <v>5.5E-2</v>
      </c>
      <c r="P53" s="137">
        <v>4.2549999999999998E-2</v>
      </c>
      <c r="R53" s="133">
        <v>3452119</v>
      </c>
      <c r="S53" s="135">
        <v>1</v>
      </c>
      <c r="T53" s="139">
        <v>115.07</v>
      </c>
      <c r="U53" s="133">
        <v>3972.3530000000001</v>
      </c>
      <c r="W53" t="s">
        <v>135</v>
      </c>
      <c r="X53" s="137">
        <v>9.8999999999999994E-5</v>
      </c>
      <c r="Y53" s="137">
        <v>7.5176611655497494E-2</v>
      </c>
      <c r="Z53" s="137">
        <v>3.9329931747436001E-2</v>
      </c>
    </row>
    <row r="54" spans="1:26">
      <c r="A54">
        <v>161</v>
      </c>
      <c r="B54">
        <v>9942</v>
      </c>
      <c r="C54" t="s">
        <v>1791</v>
      </c>
      <c r="D54" t="s">
        <v>1809</v>
      </c>
      <c r="E54" t="s">
        <v>1810</v>
      </c>
      <c r="F54" t="s">
        <v>1498</v>
      </c>
      <c r="G54" t="s">
        <v>45</v>
      </c>
      <c r="H54" t="s">
        <v>45</v>
      </c>
      <c r="I54" t="s">
        <v>47</v>
      </c>
      <c r="J54" t="s">
        <v>1794</v>
      </c>
      <c r="K54" t="s">
        <v>220</v>
      </c>
      <c r="L54" t="s">
        <v>52</v>
      </c>
      <c r="M54" t="s">
        <v>1811</v>
      </c>
      <c r="N54" t="s">
        <v>1812</v>
      </c>
      <c r="O54" s="137">
        <v>5.0000000000000001E-3</v>
      </c>
      <c r="P54" s="137">
        <v>1.8280000000000001E-2</v>
      </c>
      <c r="R54" s="133">
        <v>5753000</v>
      </c>
      <c r="S54" s="135">
        <v>1</v>
      </c>
      <c r="T54" s="139">
        <v>113.68</v>
      </c>
      <c r="U54" s="133">
        <v>6540.01</v>
      </c>
      <c r="W54" t="s">
        <v>135</v>
      </c>
      <c r="X54" s="137">
        <v>1.9100000000000001E-4</v>
      </c>
      <c r="Y54" s="137">
        <v>0.12376940841143</v>
      </c>
      <c r="Z54" s="137">
        <v>6.4752085496342204E-2</v>
      </c>
    </row>
    <row r="55" spans="1:26">
      <c r="A55">
        <v>161</v>
      </c>
      <c r="B55">
        <v>9942</v>
      </c>
      <c r="C55" t="s">
        <v>1791</v>
      </c>
      <c r="D55" t="s">
        <v>1817</v>
      </c>
      <c r="E55" t="s">
        <v>1818</v>
      </c>
      <c r="F55" t="s">
        <v>1498</v>
      </c>
      <c r="G55" t="s">
        <v>45</v>
      </c>
      <c r="H55" t="s">
        <v>45</v>
      </c>
      <c r="I55" t="s">
        <v>47</v>
      </c>
      <c r="J55" t="s">
        <v>1794</v>
      </c>
      <c r="K55" t="s">
        <v>220</v>
      </c>
      <c r="L55" t="s">
        <v>52</v>
      </c>
      <c r="M55" t="s">
        <v>1819</v>
      </c>
      <c r="N55" t="s">
        <v>1820</v>
      </c>
      <c r="O55" s="137">
        <v>1.0999999999999999E-2</v>
      </c>
      <c r="P55" s="137">
        <v>1.7829999999999999E-2</v>
      </c>
      <c r="R55" s="133">
        <v>8109212</v>
      </c>
      <c r="S55" s="135">
        <v>1</v>
      </c>
      <c r="T55" s="139">
        <v>105.35</v>
      </c>
      <c r="U55" s="133">
        <v>8543.0550000000003</v>
      </c>
      <c r="W55" t="s">
        <v>135</v>
      </c>
      <c r="X55" s="137">
        <v>2.41E-4</v>
      </c>
      <c r="Y55" s="137">
        <v>0.161676936143824</v>
      </c>
      <c r="Z55" s="137">
        <v>8.4584057775982102E-2</v>
      </c>
    </row>
    <row r="56" spans="1:26">
      <c r="A56">
        <v>161</v>
      </c>
      <c r="B56">
        <v>9942</v>
      </c>
      <c r="C56" t="s">
        <v>1791</v>
      </c>
      <c r="D56" t="s">
        <v>1829</v>
      </c>
      <c r="E56" t="s">
        <v>1830</v>
      </c>
      <c r="F56" t="s">
        <v>1498</v>
      </c>
      <c r="G56" t="s">
        <v>45</v>
      </c>
      <c r="H56" t="s">
        <v>45</v>
      </c>
      <c r="I56" t="s">
        <v>47</v>
      </c>
      <c r="J56" t="s">
        <v>1794</v>
      </c>
      <c r="K56" t="s">
        <v>220</v>
      </c>
      <c r="L56" t="s">
        <v>52</v>
      </c>
      <c r="M56" t="s">
        <v>1831</v>
      </c>
      <c r="N56" t="s">
        <v>1832</v>
      </c>
      <c r="O56" s="137">
        <v>1.6E-2</v>
      </c>
      <c r="P56" s="137">
        <v>2.0389999999999998E-2</v>
      </c>
      <c r="R56" s="133">
        <v>880000</v>
      </c>
      <c r="S56" s="135">
        <v>1</v>
      </c>
      <c r="T56" s="139">
        <v>103.34</v>
      </c>
      <c r="U56" s="133">
        <v>909.39200000000005</v>
      </c>
      <c r="W56" t="s">
        <v>135</v>
      </c>
      <c r="X56" s="137">
        <v>2.6999999999999999E-5</v>
      </c>
      <c r="Y56" s="137">
        <v>1.7210203496631701E-2</v>
      </c>
      <c r="Z56" s="137">
        <v>9.0038126749293207E-3</v>
      </c>
    </row>
    <row r="57" spans="1:26">
      <c r="A57">
        <v>161</v>
      </c>
      <c r="B57">
        <v>9942</v>
      </c>
      <c r="C57" t="s">
        <v>1791</v>
      </c>
      <c r="D57" t="s">
        <v>1837</v>
      </c>
      <c r="E57" t="s">
        <v>1838</v>
      </c>
      <c r="F57" t="s">
        <v>1501</v>
      </c>
      <c r="G57" t="s">
        <v>45</v>
      </c>
      <c r="H57" t="s">
        <v>45</v>
      </c>
      <c r="I57" t="s">
        <v>47</v>
      </c>
      <c r="J57" t="s">
        <v>1794</v>
      </c>
      <c r="K57" t="s">
        <v>220</v>
      </c>
      <c r="L57" t="s">
        <v>52</v>
      </c>
      <c r="M57" t="s">
        <v>1839</v>
      </c>
      <c r="N57" t="s">
        <v>1840</v>
      </c>
      <c r="O57" s="137">
        <v>1.4999999999999999E-2</v>
      </c>
      <c r="P57" s="137">
        <v>4.165E-2</v>
      </c>
      <c r="R57" s="133">
        <v>1550000</v>
      </c>
      <c r="S57" s="135">
        <v>1</v>
      </c>
      <c r="T57" s="139">
        <v>77.84</v>
      </c>
      <c r="U57" s="133">
        <v>1206.52</v>
      </c>
      <c r="W57" t="s">
        <v>135</v>
      </c>
      <c r="X57" s="137">
        <v>3.6999999999999998E-5</v>
      </c>
      <c r="Y57" s="137">
        <v>2.2833337793554401E-2</v>
      </c>
      <c r="Z57" s="137">
        <v>1.19456516755763E-2</v>
      </c>
    </row>
    <row r="58" spans="1:26">
      <c r="A58">
        <v>161</v>
      </c>
      <c r="B58">
        <v>9942</v>
      </c>
      <c r="C58" t="s">
        <v>1791</v>
      </c>
      <c r="D58" t="s">
        <v>1821</v>
      </c>
      <c r="E58" t="s">
        <v>1822</v>
      </c>
      <c r="F58" t="s">
        <v>1501</v>
      </c>
      <c r="G58" t="s">
        <v>45</v>
      </c>
      <c r="H58" t="s">
        <v>45</v>
      </c>
      <c r="I58" t="s">
        <v>47</v>
      </c>
      <c r="J58" t="s">
        <v>1794</v>
      </c>
      <c r="K58" t="s">
        <v>220</v>
      </c>
      <c r="L58" t="s">
        <v>52</v>
      </c>
      <c r="M58" t="s">
        <v>1823</v>
      </c>
      <c r="N58" t="s">
        <v>1824</v>
      </c>
      <c r="O58" s="137">
        <v>0.01</v>
      </c>
      <c r="P58" s="137">
        <v>3.9210000000000002E-2</v>
      </c>
      <c r="R58" s="133">
        <v>5700000</v>
      </c>
      <c r="S58" s="135">
        <v>1</v>
      </c>
      <c r="T58" s="139">
        <v>89.4</v>
      </c>
      <c r="U58" s="133">
        <v>5095.8</v>
      </c>
      <c r="W58" t="s">
        <v>135</v>
      </c>
      <c r="X58" s="137">
        <v>1.5100000000000001E-4</v>
      </c>
      <c r="Y58" s="137">
        <v>9.6437790279808602E-2</v>
      </c>
      <c r="Z58" s="137">
        <v>5.0453081431225302E-2</v>
      </c>
    </row>
    <row r="59" spans="1:26">
      <c r="A59">
        <v>161</v>
      </c>
      <c r="B59">
        <v>9942</v>
      </c>
      <c r="C59" t="s">
        <v>1791</v>
      </c>
      <c r="D59" t="s">
        <v>1825</v>
      </c>
      <c r="E59" t="s">
        <v>1826</v>
      </c>
      <c r="F59" t="s">
        <v>1501</v>
      </c>
      <c r="G59" t="s">
        <v>45</v>
      </c>
      <c r="H59" t="s">
        <v>45</v>
      </c>
      <c r="I59" t="s">
        <v>47</v>
      </c>
      <c r="J59" t="s">
        <v>1794</v>
      </c>
      <c r="K59" t="s">
        <v>220</v>
      </c>
      <c r="L59" t="s">
        <v>52</v>
      </c>
      <c r="M59" t="s">
        <v>1827</v>
      </c>
      <c r="N59" t="s">
        <v>1828</v>
      </c>
      <c r="O59" s="137">
        <v>1.2999999999999999E-2</v>
      </c>
      <c r="P59" s="137">
        <v>3.9649999999999998E-2</v>
      </c>
      <c r="R59" s="133">
        <v>3350000</v>
      </c>
      <c r="S59" s="135">
        <v>1</v>
      </c>
      <c r="T59" s="139">
        <v>87.05</v>
      </c>
      <c r="U59" s="133">
        <v>2916.1750000000002</v>
      </c>
      <c r="W59" t="s">
        <v>135</v>
      </c>
      <c r="X59" s="137">
        <v>8.2000000000000001E-5</v>
      </c>
      <c r="Y59" s="137">
        <v>5.5188483274308503E-2</v>
      </c>
      <c r="Z59" s="137">
        <v>2.8872800098650502E-2</v>
      </c>
    </row>
    <row r="60" spans="1:26">
      <c r="A60">
        <v>161</v>
      </c>
      <c r="B60">
        <v>9942</v>
      </c>
      <c r="C60" t="s">
        <v>1791</v>
      </c>
      <c r="D60" t="s">
        <v>1841</v>
      </c>
      <c r="E60" t="s">
        <v>1842</v>
      </c>
      <c r="F60" t="s">
        <v>1505</v>
      </c>
      <c r="G60" t="s">
        <v>45</v>
      </c>
      <c r="H60" t="s">
        <v>45</v>
      </c>
      <c r="I60" t="s">
        <v>47</v>
      </c>
      <c r="J60" t="s">
        <v>1794</v>
      </c>
      <c r="K60" t="s">
        <v>220</v>
      </c>
      <c r="L60" t="s">
        <v>52</v>
      </c>
      <c r="M60" t="s">
        <v>1843</v>
      </c>
      <c r="N60" t="s">
        <v>1844</v>
      </c>
      <c r="O60" s="137">
        <v>0</v>
      </c>
      <c r="P60" s="137">
        <v>4.07E-2</v>
      </c>
      <c r="R60" s="133">
        <v>10000000</v>
      </c>
      <c r="S60" s="135">
        <v>1</v>
      </c>
      <c r="T60" s="139">
        <v>99.64</v>
      </c>
      <c r="U60" s="133">
        <v>9964</v>
      </c>
      <c r="W60" t="s">
        <v>135</v>
      </c>
      <c r="X60" s="137">
        <v>2.9399999999999999E-4</v>
      </c>
      <c r="Y60" s="137">
        <v>0.188568260596572</v>
      </c>
      <c r="Z60" s="137">
        <v>9.8652714663198901E-2</v>
      </c>
    </row>
    <row r="61" spans="1:26">
      <c r="A61">
        <v>161</v>
      </c>
      <c r="B61">
        <v>9942</v>
      </c>
      <c r="C61" t="s">
        <v>1849</v>
      </c>
      <c r="D61" t="s">
        <v>1850</v>
      </c>
      <c r="E61" t="s">
        <v>1851</v>
      </c>
      <c r="F61" t="s">
        <v>1506</v>
      </c>
      <c r="G61" t="s">
        <v>68</v>
      </c>
      <c r="H61" t="s">
        <v>69</v>
      </c>
      <c r="I61" t="s">
        <v>1005</v>
      </c>
      <c r="J61" t="s">
        <v>1852</v>
      </c>
      <c r="K61" t="s">
        <v>1026</v>
      </c>
      <c r="L61" t="s">
        <v>72</v>
      </c>
      <c r="M61" t="s">
        <v>1853</v>
      </c>
      <c r="N61" t="s">
        <v>1854</v>
      </c>
      <c r="O61" s="137">
        <v>3.3750000000000002E-2</v>
      </c>
      <c r="P61" s="137">
        <v>4.0629999999999999E-2</v>
      </c>
      <c r="R61" s="133">
        <v>239000</v>
      </c>
      <c r="S61" s="135">
        <v>3.165</v>
      </c>
      <c r="T61" s="139">
        <v>96.567999999999998</v>
      </c>
      <c r="U61" s="133">
        <v>730.476</v>
      </c>
      <c r="W61" t="s">
        <v>135</v>
      </c>
      <c r="X61" s="137">
        <v>1.9999999999999999E-6</v>
      </c>
      <c r="Y61" s="137">
        <v>1.3824223644921099E-2</v>
      </c>
      <c r="Z61" s="137">
        <v>7.2323793323860897E-3</v>
      </c>
    </row>
    <row r="62" spans="1:26">
      <c r="A62">
        <v>161</v>
      </c>
      <c r="B62">
        <v>9942</v>
      </c>
      <c r="C62" t="s">
        <v>1875</v>
      </c>
      <c r="D62" t="s">
        <v>1876</v>
      </c>
      <c r="E62" t="s">
        <v>1877</v>
      </c>
      <c r="F62" t="s">
        <v>1506</v>
      </c>
      <c r="G62" t="s">
        <v>68</v>
      </c>
      <c r="H62" t="s">
        <v>69</v>
      </c>
      <c r="I62" t="s">
        <v>1005</v>
      </c>
      <c r="J62" t="s">
        <v>1852</v>
      </c>
      <c r="K62" t="s">
        <v>1026</v>
      </c>
      <c r="L62" t="s">
        <v>72</v>
      </c>
      <c r="M62" t="s">
        <v>1878</v>
      </c>
      <c r="N62" t="s">
        <v>1879</v>
      </c>
      <c r="O62" s="137">
        <v>4.6249999999999999E-2</v>
      </c>
      <c r="P62" s="137">
        <v>4.2020000000000002E-2</v>
      </c>
      <c r="R62" s="133">
        <v>58000</v>
      </c>
      <c r="S62" s="135">
        <v>3.165</v>
      </c>
      <c r="T62" s="139">
        <v>103.19799999999999</v>
      </c>
      <c r="U62" s="133">
        <v>189.441</v>
      </c>
      <c r="W62" t="s">
        <v>135</v>
      </c>
      <c r="X62" s="137">
        <v>0</v>
      </c>
      <c r="Y62" s="137">
        <v>3.5851656972725201E-3</v>
      </c>
      <c r="Z62" s="137">
        <v>1.87564082860158E-3</v>
      </c>
    </row>
    <row r="63" spans="1:26">
      <c r="A63">
        <v>161</v>
      </c>
      <c r="B63">
        <v>9943</v>
      </c>
      <c r="C63" t="s">
        <v>1791</v>
      </c>
      <c r="D63" t="s">
        <v>1859</v>
      </c>
      <c r="E63" t="s">
        <v>1860</v>
      </c>
      <c r="F63" t="s">
        <v>1505</v>
      </c>
      <c r="G63" t="s">
        <v>45</v>
      </c>
      <c r="H63" t="s">
        <v>45</v>
      </c>
      <c r="I63" t="s">
        <v>47</v>
      </c>
      <c r="J63" t="s">
        <v>1794</v>
      </c>
      <c r="K63" t="s">
        <v>220</v>
      </c>
      <c r="L63" t="s">
        <v>52</v>
      </c>
      <c r="M63" t="s">
        <v>1861</v>
      </c>
      <c r="N63" t="s">
        <v>1862</v>
      </c>
      <c r="O63" s="137">
        <v>0</v>
      </c>
      <c r="P63" s="137">
        <v>3.9239999999999997E-2</v>
      </c>
      <c r="R63" s="133">
        <v>8600000</v>
      </c>
      <c r="S63" s="135">
        <v>1</v>
      </c>
      <c r="T63" s="139">
        <v>98.41</v>
      </c>
      <c r="U63" s="133">
        <v>8463.26</v>
      </c>
      <c r="W63" t="s">
        <v>135</v>
      </c>
      <c r="X63" s="137">
        <v>4.7800000000000002E-4</v>
      </c>
      <c r="Y63" s="137">
        <v>2.1978806055931201E-2</v>
      </c>
      <c r="Z63" s="137">
        <v>4.3187627579371899E-3</v>
      </c>
    </row>
    <row r="64" spans="1:26">
      <c r="A64">
        <v>161</v>
      </c>
      <c r="B64">
        <v>9943</v>
      </c>
      <c r="C64" t="s">
        <v>1791</v>
      </c>
      <c r="D64" t="s">
        <v>1880</v>
      </c>
      <c r="E64" t="s">
        <v>1881</v>
      </c>
      <c r="F64" t="s">
        <v>1498</v>
      </c>
      <c r="G64" t="s">
        <v>45</v>
      </c>
      <c r="H64" t="s">
        <v>45</v>
      </c>
      <c r="I64" t="s">
        <v>47</v>
      </c>
      <c r="J64" t="s">
        <v>1794</v>
      </c>
      <c r="K64" t="s">
        <v>220</v>
      </c>
      <c r="L64" t="s">
        <v>52</v>
      </c>
      <c r="M64" t="s">
        <v>1882</v>
      </c>
      <c r="N64" t="s">
        <v>1883</v>
      </c>
      <c r="O64" s="137">
        <v>0.01</v>
      </c>
      <c r="P64" s="137">
        <v>2.23E-2</v>
      </c>
      <c r="R64" s="133">
        <v>251406</v>
      </c>
      <c r="S64" s="135">
        <v>1</v>
      </c>
      <c r="T64" s="139">
        <v>97.28</v>
      </c>
      <c r="U64" s="133">
        <v>244.56800000000001</v>
      </c>
      <c r="W64" t="s">
        <v>135</v>
      </c>
      <c r="X64" s="137">
        <v>1.1E-5</v>
      </c>
      <c r="Y64" s="137">
        <v>6.3513436834521705E-4</v>
      </c>
      <c r="Z64" s="137">
        <v>1.2480180448905999E-4</v>
      </c>
    </row>
    <row r="65" spans="1:26">
      <c r="A65">
        <v>161</v>
      </c>
      <c r="B65">
        <v>9943</v>
      </c>
      <c r="C65" t="s">
        <v>1791</v>
      </c>
      <c r="D65" t="s">
        <v>1792</v>
      </c>
      <c r="E65" t="s">
        <v>1793</v>
      </c>
      <c r="F65" t="s">
        <v>1498</v>
      </c>
      <c r="G65" t="s">
        <v>45</v>
      </c>
      <c r="H65" t="s">
        <v>45</v>
      </c>
      <c r="I65" t="s">
        <v>47</v>
      </c>
      <c r="J65" t="s">
        <v>1794</v>
      </c>
      <c r="K65" t="s">
        <v>220</v>
      </c>
      <c r="L65" t="s">
        <v>52</v>
      </c>
      <c r="M65" t="s">
        <v>1795</v>
      </c>
      <c r="N65" t="s">
        <v>1796</v>
      </c>
      <c r="O65" s="137">
        <v>1E-3</v>
      </c>
      <c r="P65" s="137">
        <v>1.9359999999999999E-2</v>
      </c>
      <c r="R65" s="133">
        <v>7460000</v>
      </c>
      <c r="S65" s="135">
        <v>1</v>
      </c>
      <c r="T65" s="139">
        <v>106.48</v>
      </c>
      <c r="U65" s="133">
        <v>7943.4080000000004</v>
      </c>
      <c r="W65" t="s">
        <v>135</v>
      </c>
      <c r="X65" s="137">
        <v>2.1800000000000001E-4</v>
      </c>
      <c r="Y65" s="137">
        <v>2.06287676208851E-2</v>
      </c>
      <c r="Z65" s="137">
        <v>4.0534846668423604E-3</v>
      </c>
    </row>
    <row r="66" spans="1:26">
      <c r="A66">
        <v>161</v>
      </c>
      <c r="B66">
        <v>9943</v>
      </c>
      <c r="C66" t="s">
        <v>1791</v>
      </c>
      <c r="D66" t="s">
        <v>1797</v>
      </c>
      <c r="E66" t="s">
        <v>1798</v>
      </c>
      <c r="F66" t="s">
        <v>1501</v>
      </c>
      <c r="G66" t="s">
        <v>45</v>
      </c>
      <c r="H66" t="s">
        <v>45</v>
      </c>
      <c r="I66" t="s">
        <v>47</v>
      </c>
      <c r="J66" t="s">
        <v>1794</v>
      </c>
      <c r="K66" t="s">
        <v>220</v>
      </c>
      <c r="L66" t="s">
        <v>52</v>
      </c>
      <c r="M66" t="s">
        <v>1799</v>
      </c>
      <c r="N66" t="s">
        <v>1800</v>
      </c>
      <c r="O66" s="137">
        <v>0.04</v>
      </c>
      <c r="P66" s="137">
        <v>4.07E-2</v>
      </c>
      <c r="R66" s="133">
        <v>20948000</v>
      </c>
      <c r="S66" s="135">
        <v>1</v>
      </c>
      <c r="T66" s="139">
        <v>99.51</v>
      </c>
      <c r="U66" s="133">
        <v>20845.355</v>
      </c>
      <c r="W66" t="s">
        <v>135</v>
      </c>
      <c r="X66" s="137">
        <v>5.3700000000000004E-4</v>
      </c>
      <c r="Y66" s="137">
        <v>5.4134696360063801E-2</v>
      </c>
      <c r="Z66" s="137">
        <v>1.0637288939040901E-2</v>
      </c>
    </row>
    <row r="67" spans="1:26">
      <c r="A67">
        <v>161</v>
      </c>
      <c r="B67">
        <v>9943</v>
      </c>
      <c r="C67" t="s">
        <v>1791</v>
      </c>
      <c r="D67" t="s">
        <v>1801</v>
      </c>
      <c r="E67" t="s">
        <v>1802</v>
      </c>
      <c r="F67" t="s">
        <v>1501</v>
      </c>
      <c r="G67" t="s">
        <v>45</v>
      </c>
      <c r="H67" t="s">
        <v>45</v>
      </c>
      <c r="I67" t="s">
        <v>47</v>
      </c>
      <c r="J67" t="s">
        <v>1794</v>
      </c>
      <c r="K67" t="s">
        <v>220</v>
      </c>
      <c r="L67" t="s">
        <v>52</v>
      </c>
      <c r="M67" t="s">
        <v>1803</v>
      </c>
      <c r="N67" t="s">
        <v>1804</v>
      </c>
      <c r="O67" s="137">
        <v>3.7499999999999999E-2</v>
      </c>
      <c r="P67" s="137">
        <v>4.4139999999999999E-2</v>
      </c>
      <c r="R67" s="133">
        <v>22096012</v>
      </c>
      <c r="S67" s="135">
        <v>1</v>
      </c>
      <c r="T67" s="139">
        <v>91.06</v>
      </c>
      <c r="U67" s="133">
        <v>20120.629000000001</v>
      </c>
      <c r="W67" t="s">
        <v>135</v>
      </c>
      <c r="X67" s="137">
        <v>8.1499999999999997E-4</v>
      </c>
      <c r="Y67" s="137">
        <v>5.2252606220624699E-2</v>
      </c>
      <c r="Z67" s="137">
        <v>1.02674644462725E-2</v>
      </c>
    </row>
    <row r="68" spans="1:26">
      <c r="A68">
        <v>161</v>
      </c>
      <c r="B68">
        <v>9943</v>
      </c>
      <c r="C68" t="s">
        <v>1791</v>
      </c>
      <c r="D68" t="s">
        <v>1805</v>
      </c>
      <c r="E68" t="s">
        <v>1806</v>
      </c>
      <c r="F68" t="s">
        <v>1501</v>
      </c>
      <c r="G68" t="s">
        <v>45</v>
      </c>
      <c r="H68" t="s">
        <v>45</v>
      </c>
      <c r="I68" t="s">
        <v>47</v>
      </c>
      <c r="J68" t="s">
        <v>1794</v>
      </c>
      <c r="K68" t="s">
        <v>220</v>
      </c>
      <c r="L68" t="s">
        <v>52</v>
      </c>
      <c r="M68" t="s">
        <v>1807</v>
      </c>
      <c r="N68" t="s">
        <v>1808</v>
      </c>
      <c r="O68" s="137">
        <v>5.5E-2</v>
      </c>
      <c r="P68" s="137">
        <v>4.2549999999999998E-2</v>
      </c>
      <c r="R68" s="133">
        <v>17760751</v>
      </c>
      <c r="S68" s="135">
        <v>1</v>
      </c>
      <c r="T68" s="139">
        <v>115.07</v>
      </c>
      <c r="U68" s="133">
        <v>20437.295999999998</v>
      </c>
      <c r="W68" t="s">
        <v>135</v>
      </c>
      <c r="X68" s="137">
        <v>5.1099999999999995E-4</v>
      </c>
      <c r="Y68" s="137">
        <v>5.3074981620951499E-2</v>
      </c>
      <c r="Z68" s="137">
        <v>1.0429058494781601E-2</v>
      </c>
    </row>
    <row r="69" spans="1:26">
      <c r="A69">
        <v>161</v>
      </c>
      <c r="B69">
        <v>9943</v>
      </c>
      <c r="C69" t="s">
        <v>1791</v>
      </c>
      <c r="D69" t="s">
        <v>1809</v>
      </c>
      <c r="E69" t="s">
        <v>1810</v>
      </c>
      <c r="F69" t="s">
        <v>1498</v>
      </c>
      <c r="G69" t="s">
        <v>45</v>
      </c>
      <c r="H69" t="s">
        <v>45</v>
      </c>
      <c r="I69" t="s">
        <v>47</v>
      </c>
      <c r="J69" t="s">
        <v>1794</v>
      </c>
      <c r="K69" t="s">
        <v>220</v>
      </c>
      <c r="L69" t="s">
        <v>52</v>
      </c>
      <c r="M69" t="s">
        <v>1811</v>
      </c>
      <c r="N69" t="s">
        <v>1812</v>
      </c>
      <c r="O69" s="137">
        <v>5.0000000000000001E-3</v>
      </c>
      <c r="P69" s="137">
        <v>1.8280000000000001E-2</v>
      </c>
      <c r="R69" s="133">
        <v>20714255</v>
      </c>
      <c r="S69" s="135">
        <v>1</v>
      </c>
      <c r="T69" s="139">
        <v>113.68</v>
      </c>
      <c r="U69" s="133">
        <v>23547.965</v>
      </c>
      <c r="W69" t="s">
        <v>135</v>
      </c>
      <c r="X69" s="137">
        <v>6.8800000000000003E-4</v>
      </c>
      <c r="Y69" s="137">
        <v>6.1153285801579402E-2</v>
      </c>
      <c r="Z69" s="137">
        <v>1.2016418570383601E-2</v>
      </c>
    </row>
    <row r="70" spans="1:26">
      <c r="A70">
        <v>161</v>
      </c>
      <c r="B70">
        <v>9943</v>
      </c>
      <c r="C70" t="s">
        <v>1791</v>
      </c>
      <c r="D70" t="s">
        <v>1817</v>
      </c>
      <c r="E70" t="s">
        <v>1818</v>
      </c>
      <c r="F70" t="s">
        <v>1498</v>
      </c>
      <c r="G70" t="s">
        <v>45</v>
      </c>
      <c r="H70" t="s">
        <v>45</v>
      </c>
      <c r="I70" t="s">
        <v>47</v>
      </c>
      <c r="J70" t="s">
        <v>1794</v>
      </c>
      <c r="K70" t="s">
        <v>220</v>
      </c>
      <c r="L70" t="s">
        <v>52</v>
      </c>
      <c r="M70" t="s">
        <v>1819</v>
      </c>
      <c r="N70" t="s">
        <v>1820</v>
      </c>
      <c r="O70" s="137">
        <v>1.0999999999999999E-2</v>
      </c>
      <c r="P70" s="137">
        <v>1.7829999999999999E-2</v>
      </c>
      <c r="R70" s="133">
        <v>10311379</v>
      </c>
      <c r="S70" s="135">
        <v>1</v>
      </c>
      <c r="T70" s="139">
        <v>105.35</v>
      </c>
      <c r="U70" s="133">
        <v>10863.038</v>
      </c>
      <c r="W70" t="s">
        <v>135</v>
      </c>
      <c r="X70" s="137">
        <v>3.0600000000000001E-4</v>
      </c>
      <c r="Y70" s="137">
        <v>2.8210949500304498E-2</v>
      </c>
      <c r="Z70" s="137">
        <v>5.5433583497627396E-3</v>
      </c>
    </row>
    <row r="71" spans="1:26">
      <c r="A71">
        <v>161</v>
      </c>
      <c r="B71">
        <v>9943</v>
      </c>
      <c r="C71" t="s">
        <v>1791</v>
      </c>
      <c r="D71" t="s">
        <v>1837</v>
      </c>
      <c r="E71" t="s">
        <v>1838</v>
      </c>
      <c r="F71" t="s">
        <v>1501</v>
      </c>
      <c r="G71" t="s">
        <v>45</v>
      </c>
      <c r="H71" t="s">
        <v>45</v>
      </c>
      <c r="I71" t="s">
        <v>47</v>
      </c>
      <c r="J71" t="s">
        <v>1794</v>
      </c>
      <c r="K71" t="s">
        <v>220</v>
      </c>
      <c r="L71" t="s">
        <v>52</v>
      </c>
      <c r="M71" t="s">
        <v>1839</v>
      </c>
      <c r="N71" t="s">
        <v>1840</v>
      </c>
      <c r="O71" s="137">
        <v>1.4999999999999999E-2</v>
      </c>
      <c r="P71" s="137">
        <v>4.165E-2</v>
      </c>
      <c r="R71" s="133">
        <v>25415265</v>
      </c>
      <c r="S71" s="135">
        <v>1</v>
      </c>
      <c r="T71" s="139">
        <v>77.84</v>
      </c>
      <c r="U71" s="133">
        <v>19783.241999999998</v>
      </c>
      <c r="W71" t="s">
        <v>135</v>
      </c>
      <c r="X71" s="137">
        <v>6.0700000000000001E-4</v>
      </c>
      <c r="Y71" s="137">
        <v>5.1376425294945703E-2</v>
      </c>
      <c r="Z71" s="137">
        <v>1.0095297789839501E-2</v>
      </c>
    </row>
    <row r="72" spans="1:26">
      <c r="A72">
        <v>161</v>
      </c>
      <c r="B72">
        <v>9943</v>
      </c>
      <c r="C72" t="s">
        <v>1791</v>
      </c>
      <c r="D72" t="s">
        <v>1821</v>
      </c>
      <c r="E72" t="s">
        <v>1822</v>
      </c>
      <c r="F72" t="s">
        <v>1501</v>
      </c>
      <c r="G72" t="s">
        <v>45</v>
      </c>
      <c r="H72" t="s">
        <v>45</v>
      </c>
      <c r="I72" t="s">
        <v>47</v>
      </c>
      <c r="J72" t="s">
        <v>1794</v>
      </c>
      <c r="K72" t="s">
        <v>220</v>
      </c>
      <c r="L72" t="s">
        <v>52</v>
      </c>
      <c r="M72" t="s">
        <v>1823</v>
      </c>
      <c r="N72" t="s">
        <v>1824</v>
      </c>
      <c r="O72" s="137">
        <v>0.01</v>
      </c>
      <c r="P72" s="137">
        <v>3.9210000000000002E-2</v>
      </c>
      <c r="R72" s="133">
        <v>26873458</v>
      </c>
      <c r="S72" s="135">
        <v>1</v>
      </c>
      <c r="T72" s="139">
        <v>89.4</v>
      </c>
      <c r="U72" s="133">
        <v>24024.870999999999</v>
      </c>
      <c r="W72" t="s">
        <v>135</v>
      </c>
      <c r="X72" s="137">
        <v>7.1199999999999996E-4</v>
      </c>
      <c r="Y72" s="137">
        <v>6.23917958519749E-2</v>
      </c>
      <c r="Z72" s="137">
        <v>1.2259781702455799E-2</v>
      </c>
    </row>
    <row r="73" spans="1:26">
      <c r="A73">
        <v>161</v>
      </c>
      <c r="B73">
        <v>9943</v>
      </c>
      <c r="C73" t="s">
        <v>1791</v>
      </c>
      <c r="D73" t="s">
        <v>1825</v>
      </c>
      <c r="E73" t="s">
        <v>1826</v>
      </c>
      <c r="F73" t="s">
        <v>1501</v>
      </c>
      <c r="G73" t="s">
        <v>45</v>
      </c>
      <c r="H73" t="s">
        <v>45</v>
      </c>
      <c r="I73" t="s">
        <v>47</v>
      </c>
      <c r="J73" t="s">
        <v>1794</v>
      </c>
      <c r="K73" t="s">
        <v>220</v>
      </c>
      <c r="L73" t="s">
        <v>52</v>
      </c>
      <c r="M73" t="s">
        <v>1827</v>
      </c>
      <c r="N73" t="s">
        <v>1828</v>
      </c>
      <c r="O73" s="137">
        <v>1.2999999999999999E-2</v>
      </c>
      <c r="P73" s="137">
        <v>3.9649999999999998E-2</v>
      </c>
      <c r="R73" s="133">
        <v>26945743</v>
      </c>
      <c r="S73" s="135">
        <v>1</v>
      </c>
      <c r="T73" s="139">
        <v>87.05</v>
      </c>
      <c r="U73" s="133">
        <v>23456.269</v>
      </c>
      <c r="W73" t="s">
        <v>135</v>
      </c>
      <c r="X73" s="137">
        <v>6.5600000000000001E-4</v>
      </c>
      <c r="Y73" s="137">
        <v>6.0915154837944699E-2</v>
      </c>
      <c r="Z73" s="137">
        <v>1.1969626622966601E-2</v>
      </c>
    </row>
    <row r="74" spans="1:26">
      <c r="A74">
        <v>161</v>
      </c>
      <c r="B74">
        <v>9943</v>
      </c>
      <c r="C74" t="s">
        <v>1791</v>
      </c>
      <c r="D74" t="s">
        <v>1841</v>
      </c>
      <c r="E74" t="s">
        <v>1842</v>
      </c>
      <c r="F74" t="s">
        <v>1505</v>
      </c>
      <c r="G74" t="s">
        <v>45</v>
      </c>
      <c r="H74" t="s">
        <v>45</v>
      </c>
      <c r="I74" t="s">
        <v>47</v>
      </c>
      <c r="J74" t="s">
        <v>1794</v>
      </c>
      <c r="K74" t="s">
        <v>220</v>
      </c>
      <c r="L74" t="s">
        <v>52</v>
      </c>
      <c r="M74" t="s">
        <v>1843</v>
      </c>
      <c r="N74" t="s">
        <v>1844</v>
      </c>
      <c r="O74" s="137">
        <v>0</v>
      </c>
      <c r="P74" s="137">
        <v>4.07E-2</v>
      </c>
      <c r="R74" s="133">
        <v>20000000</v>
      </c>
      <c r="S74" s="135">
        <v>1</v>
      </c>
      <c r="T74" s="139">
        <v>99.64</v>
      </c>
      <c r="U74" s="133">
        <v>19928</v>
      </c>
      <c r="W74" t="s">
        <v>135</v>
      </c>
      <c r="X74" s="137">
        <v>5.8799999999999998E-4</v>
      </c>
      <c r="Y74" s="137">
        <v>5.1752356312177103E-2</v>
      </c>
      <c r="Z74" s="137">
        <v>1.01691669924086E-2</v>
      </c>
    </row>
    <row r="75" spans="1:26">
      <c r="A75">
        <v>161</v>
      </c>
      <c r="B75">
        <v>9943</v>
      </c>
      <c r="C75" t="s">
        <v>1791</v>
      </c>
      <c r="D75" t="s">
        <v>1888</v>
      </c>
      <c r="E75" t="s">
        <v>1889</v>
      </c>
      <c r="F75" t="s">
        <v>1498</v>
      </c>
      <c r="G75" t="s">
        <v>45</v>
      </c>
      <c r="H75" t="s">
        <v>45</v>
      </c>
      <c r="I75" t="s">
        <v>47</v>
      </c>
      <c r="J75" t="s">
        <v>1794</v>
      </c>
      <c r="K75" t="s">
        <v>220</v>
      </c>
      <c r="L75" t="s">
        <v>52</v>
      </c>
      <c r="M75" t="s">
        <v>1890</v>
      </c>
      <c r="N75" t="s">
        <v>1891</v>
      </c>
      <c r="O75" s="137">
        <v>7.4999999999999997E-3</v>
      </c>
      <c r="P75" s="137">
        <v>1.069E-2</v>
      </c>
      <c r="R75" s="133">
        <v>4500000</v>
      </c>
      <c r="S75" s="135">
        <v>1</v>
      </c>
      <c r="T75" s="139">
        <v>119.45</v>
      </c>
      <c r="U75" s="133">
        <v>5375.25</v>
      </c>
      <c r="W75" t="s">
        <v>135</v>
      </c>
      <c r="X75" s="137">
        <v>1.85E-4</v>
      </c>
      <c r="Y75" s="137">
        <v>1.39593463100677E-2</v>
      </c>
      <c r="Z75" s="137">
        <v>2.7429654193067299E-3</v>
      </c>
    </row>
    <row r="76" spans="1:26">
      <c r="A76">
        <v>161</v>
      </c>
      <c r="B76">
        <v>9943</v>
      </c>
      <c r="C76" t="s">
        <v>1791</v>
      </c>
      <c r="D76" t="s">
        <v>1880</v>
      </c>
      <c r="E76" t="s">
        <v>1881</v>
      </c>
      <c r="F76" t="s">
        <v>1498</v>
      </c>
      <c r="G76" t="s">
        <v>45</v>
      </c>
      <c r="H76" t="s">
        <v>45</v>
      </c>
      <c r="I76" t="s">
        <v>47</v>
      </c>
      <c r="J76" t="s">
        <v>1794</v>
      </c>
      <c r="K76" t="s">
        <v>220</v>
      </c>
      <c r="L76" t="s">
        <v>52</v>
      </c>
      <c r="M76" t="s">
        <v>1882</v>
      </c>
      <c r="N76" t="s">
        <v>1883</v>
      </c>
      <c r="O76" s="137">
        <v>0.01</v>
      </c>
      <c r="P76" s="137">
        <v>2.23E-2</v>
      </c>
      <c r="R76" s="133">
        <v>66216</v>
      </c>
      <c r="S76" s="135">
        <v>1</v>
      </c>
      <c r="T76" s="139">
        <v>97.28</v>
      </c>
      <c r="U76" s="133">
        <v>64.415000000000006</v>
      </c>
      <c r="W76" t="s">
        <v>135</v>
      </c>
      <c r="X76" s="137">
        <v>3.0000000000000001E-6</v>
      </c>
      <c r="Y76" s="137">
        <v>1.67283427342016E-4</v>
      </c>
      <c r="Z76" s="137">
        <v>3.2870640661112203E-5</v>
      </c>
    </row>
    <row r="77" spans="1:26">
      <c r="A77">
        <v>161</v>
      </c>
      <c r="B77">
        <v>9943</v>
      </c>
      <c r="C77" t="s">
        <v>1791</v>
      </c>
      <c r="D77" t="s">
        <v>1792</v>
      </c>
      <c r="E77" t="s">
        <v>1793</v>
      </c>
      <c r="F77" t="s">
        <v>1498</v>
      </c>
      <c r="G77" t="s">
        <v>45</v>
      </c>
      <c r="H77" t="s">
        <v>45</v>
      </c>
      <c r="I77" t="s">
        <v>47</v>
      </c>
      <c r="J77" t="s">
        <v>1794</v>
      </c>
      <c r="K77" t="s">
        <v>220</v>
      </c>
      <c r="L77" t="s">
        <v>52</v>
      </c>
      <c r="M77" t="s">
        <v>1795</v>
      </c>
      <c r="N77" t="s">
        <v>1796</v>
      </c>
      <c r="O77" s="137">
        <v>1E-3</v>
      </c>
      <c r="P77" s="137">
        <v>1.9359999999999999E-2</v>
      </c>
      <c r="R77" s="133">
        <v>4793841</v>
      </c>
      <c r="S77" s="135">
        <v>1</v>
      </c>
      <c r="T77" s="139">
        <v>106.48</v>
      </c>
      <c r="U77" s="133">
        <v>5104.482</v>
      </c>
      <c r="W77" t="s">
        <v>135</v>
      </c>
      <c r="X77" s="137">
        <v>1.3999999999999999E-4</v>
      </c>
      <c r="Y77" s="137">
        <v>1.3256170509446601E-2</v>
      </c>
      <c r="Z77" s="137">
        <v>2.6047936982279201E-3</v>
      </c>
    </row>
    <row r="78" spans="1:26">
      <c r="A78">
        <v>161</v>
      </c>
      <c r="B78">
        <v>9943</v>
      </c>
      <c r="C78" t="s">
        <v>1791</v>
      </c>
      <c r="D78" t="s">
        <v>1884</v>
      </c>
      <c r="E78" t="s">
        <v>1885</v>
      </c>
      <c r="F78" t="s">
        <v>1501</v>
      </c>
      <c r="G78" t="s">
        <v>45</v>
      </c>
      <c r="H78" t="s">
        <v>45</v>
      </c>
      <c r="I78" t="s">
        <v>47</v>
      </c>
      <c r="J78" t="s">
        <v>1794</v>
      </c>
      <c r="K78" t="s">
        <v>220</v>
      </c>
      <c r="L78" t="s">
        <v>52</v>
      </c>
      <c r="M78" t="s">
        <v>1886</v>
      </c>
      <c r="N78" t="s">
        <v>1887</v>
      </c>
      <c r="O78" s="137">
        <v>2.2499999999999999E-2</v>
      </c>
      <c r="P78" s="137">
        <v>3.9239999999999997E-2</v>
      </c>
      <c r="R78" s="133">
        <v>16480319</v>
      </c>
      <c r="S78" s="135">
        <v>1</v>
      </c>
      <c r="T78" s="139">
        <v>97.23</v>
      </c>
      <c r="U78" s="133">
        <v>16023.814</v>
      </c>
      <c r="W78" t="s">
        <v>135</v>
      </c>
      <c r="X78" s="137">
        <v>4.75E-4</v>
      </c>
      <c r="Y78" s="137">
        <v>4.1613314937771602E-2</v>
      </c>
      <c r="Z78" s="137">
        <v>8.1768788682250095E-3</v>
      </c>
    </row>
    <row r="79" spans="1:26">
      <c r="A79">
        <v>161</v>
      </c>
      <c r="B79">
        <v>9943</v>
      </c>
      <c r="C79" t="s">
        <v>1791</v>
      </c>
      <c r="D79" t="s">
        <v>1863</v>
      </c>
      <c r="E79" t="s">
        <v>1864</v>
      </c>
      <c r="F79" t="s">
        <v>1501</v>
      </c>
      <c r="G79" t="s">
        <v>45</v>
      </c>
      <c r="H79" t="s">
        <v>45</v>
      </c>
      <c r="I79" t="s">
        <v>47</v>
      </c>
      <c r="J79" t="s">
        <v>1794</v>
      </c>
      <c r="K79" t="s">
        <v>220</v>
      </c>
      <c r="L79" t="s">
        <v>52</v>
      </c>
      <c r="M79" t="s">
        <v>1865</v>
      </c>
      <c r="N79" t="s">
        <v>1866</v>
      </c>
      <c r="O79" s="137">
        <v>0.02</v>
      </c>
      <c r="P79" s="137">
        <v>3.7850000000000002E-2</v>
      </c>
      <c r="R79" s="133">
        <v>14100000</v>
      </c>
      <c r="S79" s="135">
        <v>1</v>
      </c>
      <c r="T79" s="139">
        <v>98.31</v>
      </c>
      <c r="U79" s="133">
        <v>13861.71</v>
      </c>
      <c r="W79" t="s">
        <v>135</v>
      </c>
      <c r="X79" s="137">
        <v>4.9899999999999999E-4</v>
      </c>
      <c r="Y79" s="137">
        <v>3.5998401997996199E-2</v>
      </c>
      <c r="Z79" s="137">
        <v>7.0735670308280096E-3</v>
      </c>
    </row>
    <row r="80" spans="1:26">
      <c r="A80">
        <v>161</v>
      </c>
      <c r="B80">
        <v>9943</v>
      </c>
      <c r="C80" t="s">
        <v>1791</v>
      </c>
      <c r="D80" t="s">
        <v>1797</v>
      </c>
      <c r="E80" t="s">
        <v>1798</v>
      </c>
      <c r="F80" t="s">
        <v>1501</v>
      </c>
      <c r="G80" t="s">
        <v>45</v>
      </c>
      <c r="H80" t="s">
        <v>45</v>
      </c>
      <c r="I80" t="s">
        <v>47</v>
      </c>
      <c r="J80" t="s">
        <v>1794</v>
      </c>
      <c r="K80" t="s">
        <v>220</v>
      </c>
      <c r="L80" t="s">
        <v>52</v>
      </c>
      <c r="M80" t="s">
        <v>1799</v>
      </c>
      <c r="N80" t="s">
        <v>1800</v>
      </c>
      <c r="O80" s="137">
        <v>0.04</v>
      </c>
      <c r="P80" s="137">
        <v>4.07E-2</v>
      </c>
      <c r="R80" s="133">
        <v>3500000</v>
      </c>
      <c r="S80" s="135">
        <v>1</v>
      </c>
      <c r="T80" s="139">
        <v>99.51</v>
      </c>
      <c r="U80" s="133">
        <v>3482.85</v>
      </c>
      <c r="W80" t="s">
        <v>135</v>
      </c>
      <c r="X80" s="137">
        <v>9.0000000000000006E-5</v>
      </c>
      <c r="Y80" s="137">
        <v>9.0448461552522091E-3</v>
      </c>
      <c r="Z80" s="137">
        <v>1.77728237954187E-3</v>
      </c>
    </row>
    <row r="81" spans="1:26">
      <c r="A81">
        <v>161</v>
      </c>
      <c r="B81">
        <v>9943</v>
      </c>
      <c r="C81" t="s">
        <v>1791</v>
      </c>
      <c r="D81" t="s">
        <v>1892</v>
      </c>
      <c r="E81" t="s">
        <v>1893</v>
      </c>
      <c r="F81" t="s">
        <v>1498</v>
      </c>
      <c r="G81" t="s">
        <v>45</v>
      </c>
      <c r="H81" t="s">
        <v>45</v>
      </c>
      <c r="I81" t="s">
        <v>47</v>
      </c>
      <c r="J81" t="s">
        <v>1794</v>
      </c>
      <c r="K81" t="s">
        <v>220</v>
      </c>
      <c r="L81" t="s">
        <v>52</v>
      </c>
      <c r="M81" t="s">
        <v>1894</v>
      </c>
      <c r="N81" t="s">
        <v>1895</v>
      </c>
      <c r="O81" s="137">
        <v>0.04</v>
      </c>
      <c r="P81" s="137">
        <v>2.1080000000000002E-2</v>
      </c>
      <c r="R81" s="133">
        <v>981021</v>
      </c>
      <c r="S81" s="135">
        <v>1</v>
      </c>
      <c r="T81" s="139">
        <v>168.94</v>
      </c>
      <c r="U81" s="133">
        <v>1657.337</v>
      </c>
      <c r="W81" t="s">
        <v>135</v>
      </c>
      <c r="X81" s="137">
        <v>6.2000000000000003E-5</v>
      </c>
      <c r="Y81" s="137">
        <v>4.3040490068504498E-3</v>
      </c>
      <c r="Z81" s="137">
        <v>8.4573140651132402E-4</v>
      </c>
    </row>
    <row r="82" spans="1:26">
      <c r="A82">
        <v>161</v>
      </c>
      <c r="B82">
        <v>9943</v>
      </c>
      <c r="C82" t="s">
        <v>1791</v>
      </c>
      <c r="D82" t="s">
        <v>1805</v>
      </c>
      <c r="E82" t="s">
        <v>1806</v>
      </c>
      <c r="F82" t="s">
        <v>1501</v>
      </c>
      <c r="G82" t="s">
        <v>45</v>
      </c>
      <c r="H82" t="s">
        <v>45</v>
      </c>
      <c r="I82" t="s">
        <v>47</v>
      </c>
      <c r="J82" t="s">
        <v>1794</v>
      </c>
      <c r="K82" t="s">
        <v>220</v>
      </c>
      <c r="L82" t="s">
        <v>52</v>
      </c>
      <c r="M82" t="s">
        <v>1807</v>
      </c>
      <c r="N82" t="s">
        <v>1808</v>
      </c>
      <c r="O82" s="137">
        <v>5.5E-2</v>
      </c>
      <c r="P82" s="137">
        <v>4.2549999999999998E-2</v>
      </c>
      <c r="R82" s="133">
        <v>46906139</v>
      </c>
      <c r="S82" s="135">
        <v>1</v>
      </c>
      <c r="T82" s="139">
        <v>115.07</v>
      </c>
      <c r="U82" s="133">
        <v>53974.894</v>
      </c>
      <c r="W82" t="s">
        <v>135</v>
      </c>
      <c r="X82" s="137">
        <v>1.3489999999999999E-3</v>
      </c>
      <c r="Y82" s="137">
        <v>0.140171013339177</v>
      </c>
      <c r="Z82" s="137">
        <v>2.7543140906336399E-2</v>
      </c>
    </row>
    <row r="83" spans="1:26">
      <c r="A83">
        <v>161</v>
      </c>
      <c r="B83">
        <v>9943</v>
      </c>
      <c r="C83" t="s">
        <v>1791</v>
      </c>
      <c r="D83" t="s">
        <v>1809</v>
      </c>
      <c r="E83" t="s">
        <v>1810</v>
      </c>
      <c r="F83" t="s">
        <v>1498</v>
      </c>
      <c r="G83" t="s">
        <v>45</v>
      </c>
      <c r="H83" t="s">
        <v>45</v>
      </c>
      <c r="I83" t="s">
        <v>47</v>
      </c>
      <c r="J83" t="s">
        <v>1794</v>
      </c>
      <c r="K83" t="s">
        <v>220</v>
      </c>
      <c r="L83" t="s">
        <v>52</v>
      </c>
      <c r="M83" t="s">
        <v>1811</v>
      </c>
      <c r="N83" t="s">
        <v>1812</v>
      </c>
      <c r="O83" s="137">
        <v>5.0000000000000001E-3</v>
      </c>
      <c r="P83" s="137">
        <v>1.8280000000000001E-2</v>
      </c>
      <c r="R83" s="133">
        <v>6168496</v>
      </c>
      <c r="S83" s="135">
        <v>1</v>
      </c>
      <c r="T83" s="139">
        <v>113.68</v>
      </c>
      <c r="U83" s="133">
        <v>7012.3459999999995</v>
      </c>
      <c r="W83" t="s">
        <v>135</v>
      </c>
      <c r="X83" s="137">
        <v>2.05E-4</v>
      </c>
      <c r="Y83" s="137">
        <v>1.82108310848688E-2</v>
      </c>
      <c r="Z83" s="137">
        <v>3.5783681279262401E-3</v>
      </c>
    </row>
    <row r="84" spans="1:26">
      <c r="A84">
        <v>161</v>
      </c>
      <c r="B84">
        <v>9943</v>
      </c>
      <c r="C84" t="s">
        <v>1791</v>
      </c>
      <c r="D84" t="s">
        <v>1813</v>
      </c>
      <c r="E84" t="s">
        <v>1814</v>
      </c>
      <c r="F84" t="s">
        <v>1498</v>
      </c>
      <c r="G84" t="s">
        <v>45</v>
      </c>
      <c r="H84" t="s">
        <v>45</v>
      </c>
      <c r="I84" t="s">
        <v>47</v>
      </c>
      <c r="J84" t="s">
        <v>1794</v>
      </c>
      <c r="K84" t="s">
        <v>220</v>
      </c>
      <c r="L84" t="s">
        <v>52</v>
      </c>
      <c r="M84" t="s">
        <v>1815</v>
      </c>
      <c r="N84" t="s">
        <v>1816</v>
      </c>
      <c r="O84" s="137">
        <v>1E-3</v>
      </c>
      <c r="P84" s="137">
        <v>1E-4</v>
      </c>
      <c r="R84" s="133">
        <v>21056980</v>
      </c>
      <c r="S84" s="135">
        <v>1</v>
      </c>
      <c r="T84" s="139">
        <v>118.24</v>
      </c>
      <c r="U84" s="133">
        <v>24897.773000000001</v>
      </c>
      <c r="W84" t="s">
        <v>135</v>
      </c>
      <c r="X84" s="137">
        <v>1.194E-3</v>
      </c>
      <c r="Y84" s="137">
        <v>6.4658692670717596E-2</v>
      </c>
      <c r="Z84" s="137">
        <v>1.27052194360596E-2</v>
      </c>
    </row>
    <row r="85" spans="1:26">
      <c r="A85">
        <v>161</v>
      </c>
      <c r="B85">
        <v>9943</v>
      </c>
      <c r="C85" t="s">
        <v>1791</v>
      </c>
      <c r="D85" t="s">
        <v>1817</v>
      </c>
      <c r="E85" t="s">
        <v>1818</v>
      </c>
      <c r="F85" t="s">
        <v>1498</v>
      </c>
      <c r="G85" t="s">
        <v>45</v>
      </c>
      <c r="H85" t="s">
        <v>45</v>
      </c>
      <c r="I85" t="s">
        <v>47</v>
      </c>
      <c r="J85" t="s">
        <v>1794</v>
      </c>
      <c r="K85" t="s">
        <v>220</v>
      </c>
      <c r="L85" t="s">
        <v>52</v>
      </c>
      <c r="M85" t="s">
        <v>1819</v>
      </c>
      <c r="N85" t="s">
        <v>1820</v>
      </c>
      <c r="O85" s="137">
        <v>1.0999999999999999E-2</v>
      </c>
      <c r="P85" s="137">
        <v>1.7829999999999999E-2</v>
      </c>
      <c r="R85" s="133">
        <v>3355521</v>
      </c>
      <c r="S85" s="135">
        <v>1</v>
      </c>
      <c r="T85" s="139">
        <v>105.35</v>
      </c>
      <c r="U85" s="133">
        <v>3535.0410000000002</v>
      </c>
      <c r="W85" t="s">
        <v>135</v>
      </c>
      <c r="X85" s="137">
        <v>1E-4</v>
      </c>
      <c r="Y85" s="137">
        <v>9.1803854245112396E-3</v>
      </c>
      <c r="Z85" s="137">
        <v>1.80391539804271E-3</v>
      </c>
    </row>
    <row r="86" spans="1:26">
      <c r="A86">
        <v>161</v>
      </c>
      <c r="B86">
        <v>9943</v>
      </c>
      <c r="C86" t="s">
        <v>1791</v>
      </c>
      <c r="D86" t="s">
        <v>1837</v>
      </c>
      <c r="E86" t="s">
        <v>1838</v>
      </c>
      <c r="F86" t="s">
        <v>1501</v>
      </c>
      <c r="G86" t="s">
        <v>45</v>
      </c>
      <c r="H86" t="s">
        <v>45</v>
      </c>
      <c r="I86" t="s">
        <v>47</v>
      </c>
      <c r="J86" t="s">
        <v>1794</v>
      </c>
      <c r="K86" t="s">
        <v>220</v>
      </c>
      <c r="L86" t="s">
        <v>52</v>
      </c>
      <c r="M86" t="s">
        <v>1839</v>
      </c>
      <c r="N86" t="s">
        <v>1840</v>
      </c>
      <c r="O86" s="137">
        <v>1.4999999999999999E-2</v>
      </c>
      <c r="P86" s="137">
        <v>4.165E-2</v>
      </c>
      <c r="R86" s="133">
        <v>2084735</v>
      </c>
      <c r="S86" s="135">
        <v>1</v>
      </c>
      <c r="T86" s="139">
        <v>77.84</v>
      </c>
      <c r="U86" s="133">
        <v>1622.758</v>
      </c>
      <c r="W86" t="s">
        <v>135</v>
      </c>
      <c r="X86" s="137">
        <v>5.0000000000000002E-5</v>
      </c>
      <c r="Y86" s="137">
        <v>4.2142480901638697E-3</v>
      </c>
      <c r="Z86" s="137">
        <v>8.2808582314215903E-4</v>
      </c>
    </row>
    <row r="87" spans="1:26">
      <c r="A87">
        <v>161</v>
      </c>
      <c r="B87">
        <v>9943</v>
      </c>
      <c r="C87" t="s">
        <v>1791</v>
      </c>
      <c r="D87" t="s">
        <v>1821</v>
      </c>
      <c r="E87" t="s">
        <v>1822</v>
      </c>
      <c r="F87" t="s">
        <v>1501</v>
      </c>
      <c r="G87" t="s">
        <v>45</v>
      </c>
      <c r="H87" t="s">
        <v>45</v>
      </c>
      <c r="I87" t="s">
        <v>47</v>
      </c>
      <c r="J87" t="s">
        <v>1794</v>
      </c>
      <c r="K87" t="s">
        <v>220</v>
      </c>
      <c r="L87" t="s">
        <v>52</v>
      </c>
      <c r="M87" t="s">
        <v>1823</v>
      </c>
      <c r="N87" t="s">
        <v>1824</v>
      </c>
      <c r="O87" s="137">
        <v>0.01</v>
      </c>
      <c r="P87" s="137">
        <v>3.9210000000000002E-2</v>
      </c>
      <c r="R87" s="133">
        <v>6011874</v>
      </c>
      <c r="S87" s="135">
        <v>1</v>
      </c>
      <c r="T87" s="139">
        <v>89.4</v>
      </c>
      <c r="U87" s="133">
        <v>5374.6149999999998</v>
      </c>
      <c r="W87" t="s">
        <v>135</v>
      </c>
      <c r="X87" s="137">
        <v>1.5899999999999999E-4</v>
      </c>
      <c r="Y87" s="137">
        <v>1.3957698160608699E-2</v>
      </c>
      <c r="Z87" s="137">
        <v>2.74264156338457E-3</v>
      </c>
    </row>
    <row r="88" spans="1:26">
      <c r="A88">
        <v>161</v>
      </c>
      <c r="B88">
        <v>9943</v>
      </c>
      <c r="C88" t="s">
        <v>1791</v>
      </c>
      <c r="D88" t="s">
        <v>1825</v>
      </c>
      <c r="E88" t="s">
        <v>1826</v>
      </c>
      <c r="F88" t="s">
        <v>1501</v>
      </c>
      <c r="G88" t="s">
        <v>45</v>
      </c>
      <c r="H88" t="s">
        <v>45</v>
      </c>
      <c r="I88" t="s">
        <v>47</v>
      </c>
      <c r="J88" t="s">
        <v>1794</v>
      </c>
      <c r="K88" t="s">
        <v>220</v>
      </c>
      <c r="L88" t="s">
        <v>52</v>
      </c>
      <c r="M88" t="s">
        <v>1827</v>
      </c>
      <c r="N88" t="s">
        <v>1828</v>
      </c>
      <c r="O88" s="137">
        <v>1.2999999999999999E-2</v>
      </c>
      <c r="P88" s="137">
        <v>3.9649999999999998E-2</v>
      </c>
      <c r="R88" s="133">
        <v>19064257</v>
      </c>
      <c r="S88" s="135">
        <v>1</v>
      </c>
      <c r="T88" s="139">
        <v>87.05</v>
      </c>
      <c r="U88" s="133">
        <v>16595.436000000002</v>
      </c>
      <c r="W88" t="s">
        <v>135</v>
      </c>
      <c r="X88" s="137">
        <v>4.64E-4</v>
      </c>
      <c r="Y88" s="137">
        <v>4.30977971928765E-2</v>
      </c>
      <c r="Z88" s="137">
        <v>8.4685747256728894E-3</v>
      </c>
    </row>
    <row r="89" spans="1:26">
      <c r="A89">
        <v>161</v>
      </c>
      <c r="B89">
        <v>9943</v>
      </c>
      <c r="C89" t="s">
        <v>1791</v>
      </c>
      <c r="D89" t="s">
        <v>1896</v>
      </c>
      <c r="E89" t="s">
        <v>1897</v>
      </c>
      <c r="F89" t="s">
        <v>1506</v>
      </c>
      <c r="G89" t="s">
        <v>68</v>
      </c>
      <c r="H89" t="s">
        <v>45</v>
      </c>
      <c r="I89" t="s">
        <v>215</v>
      </c>
      <c r="J89" t="s">
        <v>1898</v>
      </c>
      <c r="K89" t="s">
        <v>1026</v>
      </c>
      <c r="L89" t="s">
        <v>72</v>
      </c>
      <c r="M89" t="s">
        <v>1899</v>
      </c>
      <c r="N89" t="s">
        <v>1900</v>
      </c>
      <c r="O89" s="137">
        <v>0.05</v>
      </c>
      <c r="P89" s="137">
        <v>5.219E-2</v>
      </c>
      <c r="R89" s="133">
        <v>2650000</v>
      </c>
      <c r="S89" s="135">
        <v>3.165</v>
      </c>
      <c r="T89" s="139">
        <v>97.405000000000001</v>
      </c>
      <c r="U89" s="133">
        <v>8169.5749999999998</v>
      </c>
      <c r="W89" t="s">
        <v>135</v>
      </c>
      <c r="X89" s="137">
        <v>1.325E-3</v>
      </c>
      <c r="Y89" s="137">
        <v>2.1216116459319E-2</v>
      </c>
      <c r="Z89" s="137">
        <v>4.16889677261785E-3</v>
      </c>
    </row>
    <row r="90" spans="1:26">
      <c r="A90">
        <v>161</v>
      </c>
      <c r="B90">
        <v>9943</v>
      </c>
      <c r="C90" t="s">
        <v>1791</v>
      </c>
      <c r="D90" t="s">
        <v>1901</v>
      </c>
      <c r="E90" t="s">
        <v>1902</v>
      </c>
      <c r="F90" t="s">
        <v>1506</v>
      </c>
      <c r="G90" t="s">
        <v>68</v>
      </c>
      <c r="H90" t="s">
        <v>45</v>
      </c>
      <c r="I90" t="s">
        <v>215</v>
      </c>
      <c r="J90" t="s">
        <v>1898</v>
      </c>
      <c r="K90" t="s">
        <v>1026</v>
      </c>
      <c r="L90" t="s">
        <v>72</v>
      </c>
      <c r="M90" t="s">
        <v>1903</v>
      </c>
      <c r="N90" t="s">
        <v>1904</v>
      </c>
      <c r="O90" s="137">
        <v>5.5E-2</v>
      </c>
      <c r="P90" s="137">
        <v>5.0590000000000003E-2</v>
      </c>
      <c r="R90" s="133">
        <v>690000</v>
      </c>
      <c r="S90" s="135">
        <v>3.165</v>
      </c>
      <c r="T90" s="139">
        <v>101.452</v>
      </c>
      <c r="U90" s="133">
        <v>2215.5529999999999</v>
      </c>
      <c r="W90" t="s">
        <v>135</v>
      </c>
      <c r="X90" s="137">
        <v>2.3000000000000001E-4</v>
      </c>
      <c r="Y90" s="137">
        <v>5.7537176696198199E-3</v>
      </c>
      <c r="Z90" s="137">
        <v>1.1305865081116899E-3</v>
      </c>
    </row>
    <row r="91" spans="1:26">
      <c r="A91">
        <v>161</v>
      </c>
      <c r="B91">
        <v>9943</v>
      </c>
      <c r="C91" t="s">
        <v>1849</v>
      </c>
      <c r="D91" t="s">
        <v>1871</v>
      </c>
      <c r="E91" t="s">
        <v>1872</v>
      </c>
      <c r="F91" t="s">
        <v>1506</v>
      </c>
      <c r="G91" t="s">
        <v>68</v>
      </c>
      <c r="H91" t="s">
        <v>69</v>
      </c>
      <c r="I91" t="s">
        <v>1005</v>
      </c>
      <c r="J91" t="s">
        <v>1852</v>
      </c>
      <c r="K91" t="s">
        <v>1026</v>
      </c>
      <c r="L91" t="s">
        <v>72</v>
      </c>
      <c r="M91" t="s">
        <v>1873</v>
      </c>
      <c r="N91" t="s">
        <v>1874</v>
      </c>
      <c r="O91" s="137">
        <v>3.875E-2</v>
      </c>
      <c r="P91" s="137">
        <v>4.1669999999999999E-2</v>
      </c>
      <c r="R91" s="133">
        <v>1384000</v>
      </c>
      <c r="S91" s="135">
        <v>3.165</v>
      </c>
      <c r="T91" s="139">
        <v>97.942999999999998</v>
      </c>
      <c r="U91" s="133">
        <v>4290.2550000000001</v>
      </c>
      <c r="W91" t="s">
        <v>135</v>
      </c>
      <c r="X91" s="137">
        <v>1.1E-5</v>
      </c>
      <c r="Y91" s="137">
        <v>1.11416499518193E-2</v>
      </c>
      <c r="Z91" s="137">
        <v>2.1892973963845001E-3</v>
      </c>
    </row>
    <row r="92" spans="1:26">
      <c r="A92">
        <v>161</v>
      </c>
      <c r="B92">
        <v>9943</v>
      </c>
      <c r="C92" t="s">
        <v>1875</v>
      </c>
      <c r="D92" t="s">
        <v>1876</v>
      </c>
      <c r="E92" t="s">
        <v>1877</v>
      </c>
      <c r="F92" t="s">
        <v>1506</v>
      </c>
      <c r="G92" t="s">
        <v>68</v>
      </c>
      <c r="H92" t="s">
        <v>69</v>
      </c>
      <c r="I92" t="s">
        <v>1005</v>
      </c>
      <c r="J92" t="s">
        <v>1852</v>
      </c>
      <c r="K92" t="s">
        <v>1026</v>
      </c>
      <c r="L92" t="s">
        <v>72</v>
      </c>
      <c r="M92" t="s">
        <v>1878</v>
      </c>
      <c r="N92" t="s">
        <v>1879</v>
      </c>
      <c r="O92" s="137">
        <v>4.6249999999999999E-2</v>
      </c>
      <c r="P92" s="137">
        <v>4.2020000000000002E-2</v>
      </c>
      <c r="R92" s="133">
        <v>679000</v>
      </c>
      <c r="S92" s="135">
        <v>3.165</v>
      </c>
      <c r="T92" s="139">
        <v>103.19799999999999</v>
      </c>
      <c r="U92" s="133">
        <v>2217.768</v>
      </c>
      <c r="W92" t="s">
        <v>135</v>
      </c>
      <c r="X92" s="137">
        <v>5.0000000000000004E-6</v>
      </c>
      <c r="Y92" s="137">
        <v>5.7594704015367596E-3</v>
      </c>
      <c r="Z92" s="137">
        <v>1.1317169009226601E-3</v>
      </c>
    </row>
    <row r="93" spans="1:26">
      <c r="A93">
        <v>161</v>
      </c>
      <c r="B93">
        <v>9943</v>
      </c>
      <c r="C93" t="s">
        <v>1875</v>
      </c>
      <c r="D93" t="s">
        <v>1905</v>
      </c>
      <c r="E93" t="s">
        <v>1906</v>
      </c>
      <c r="F93" t="s">
        <v>1506</v>
      </c>
      <c r="G93" t="s">
        <v>68</v>
      </c>
      <c r="H93" t="s">
        <v>69</v>
      </c>
      <c r="I93" t="s">
        <v>1005</v>
      </c>
      <c r="J93" t="s">
        <v>1852</v>
      </c>
      <c r="K93" t="s">
        <v>1026</v>
      </c>
      <c r="L93" t="s">
        <v>72</v>
      </c>
      <c r="M93" t="s">
        <v>1907</v>
      </c>
      <c r="N93" t="s">
        <v>1820</v>
      </c>
      <c r="O93" s="137">
        <v>4.8750000000000002E-2</v>
      </c>
      <c r="P93" s="137">
        <v>3.5970000000000002E-2</v>
      </c>
      <c r="R93" s="133">
        <v>3000000</v>
      </c>
      <c r="S93" s="135">
        <v>3.165</v>
      </c>
      <c r="T93" s="139">
        <v>104.59</v>
      </c>
      <c r="U93" s="133">
        <v>9930.8189999999995</v>
      </c>
      <c r="W93" t="s">
        <v>135</v>
      </c>
      <c r="X93" s="137">
        <v>5.8E-5</v>
      </c>
      <c r="Y93" s="137">
        <v>2.5790007364327301E-2</v>
      </c>
      <c r="Z93" s="137">
        <v>5.0676512203867204E-3</v>
      </c>
    </row>
    <row r="94" spans="1:26">
      <c r="A94">
        <v>161</v>
      </c>
      <c r="B94">
        <v>12468</v>
      </c>
      <c r="C94" t="s">
        <v>1791</v>
      </c>
      <c r="D94" t="s">
        <v>1859</v>
      </c>
      <c r="E94" t="s">
        <v>1860</v>
      </c>
      <c r="F94" t="s">
        <v>1505</v>
      </c>
      <c r="G94" t="s">
        <v>45</v>
      </c>
      <c r="H94" t="s">
        <v>45</v>
      </c>
      <c r="I94" t="s">
        <v>47</v>
      </c>
      <c r="J94" t="s">
        <v>1794</v>
      </c>
      <c r="K94" t="s">
        <v>220</v>
      </c>
      <c r="L94" t="s">
        <v>52</v>
      </c>
      <c r="M94" t="s">
        <v>1861</v>
      </c>
      <c r="N94" t="s">
        <v>1862</v>
      </c>
      <c r="O94" s="137">
        <v>0</v>
      </c>
      <c r="P94" s="137">
        <v>3.9239999999999997E-2</v>
      </c>
      <c r="R94" s="133">
        <v>3670000</v>
      </c>
      <c r="S94" s="135">
        <v>1</v>
      </c>
      <c r="T94" s="139">
        <v>98.41</v>
      </c>
      <c r="U94" s="133">
        <v>3611.6469999999999</v>
      </c>
      <c r="W94" t="s">
        <v>135</v>
      </c>
      <c r="X94" s="137">
        <v>2.04E-4</v>
      </c>
      <c r="Y94" s="137">
        <v>0.49568953626401602</v>
      </c>
      <c r="Z94" s="137">
        <v>0.111874143540045</v>
      </c>
    </row>
    <row r="95" spans="1:26">
      <c r="A95">
        <v>161</v>
      </c>
      <c r="B95">
        <v>12468</v>
      </c>
      <c r="C95" t="s">
        <v>1791</v>
      </c>
      <c r="D95" t="s">
        <v>1841</v>
      </c>
      <c r="E95" t="s">
        <v>1842</v>
      </c>
      <c r="F95" t="s">
        <v>1505</v>
      </c>
      <c r="G95" t="s">
        <v>45</v>
      </c>
      <c r="H95" t="s">
        <v>45</v>
      </c>
      <c r="I95" t="s">
        <v>47</v>
      </c>
      <c r="J95" t="s">
        <v>1794</v>
      </c>
      <c r="K95" t="s">
        <v>220</v>
      </c>
      <c r="L95" t="s">
        <v>52</v>
      </c>
      <c r="M95" t="s">
        <v>1843</v>
      </c>
      <c r="N95" t="s">
        <v>1844</v>
      </c>
      <c r="O95" s="137">
        <v>0</v>
      </c>
      <c r="P95" s="137">
        <v>4.07E-2</v>
      </c>
      <c r="R95" s="133">
        <v>2400000</v>
      </c>
      <c r="S95" s="135">
        <v>1</v>
      </c>
      <c r="T95" s="139">
        <v>99.64</v>
      </c>
      <c r="U95" s="133">
        <v>2391.36</v>
      </c>
      <c r="W95" t="s">
        <v>135</v>
      </c>
      <c r="X95" s="137">
        <v>7.1000000000000005E-5</v>
      </c>
      <c r="Y95" s="137">
        <v>0.32820819128788498</v>
      </c>
      <c r="Z95" s="137">
        <v>7.4074612467919201E-2</v>
      </c>
    </row>
    <row r="96" spans="1:26">
      <c r="A96">
        <v>161</v>
      </c>
      <c r="B96">
        <v>12468</v>
      </c>
      <c r="C96" t="s">
        <v>1791</v>
      </c>
      <c r="D96" t="s">
        <v>1845</v>
      </c>
      <c r="E96" t="s">
        <v>1846</v>
      </c>
      <c r="F96" t="s">
        <v>1505</v>
      </c>
      <c r="G96" t="s">
        <v>45</v>
      </c>
      <c r="H96" t="s">
        <v>45</v>
      </c>
      <c r="I96" t="s">
        <v>47</v>
      </c>
      <c r="J96" t="s">
        <v>1794</v>
      </c>
      <c r="K96" t="s">
        <v>220</v>
      </c>
      <c r="L96" t="s">
        <v>52</v>
      </c>
      <c r="M96" t="s">
        <v>1847</v>
      </c>
      <c r="N96" t="s">
        <v>1848</v>
      </c>
      <c r="O96" s="137">
        <v>0</v>
      </c>
      <c r="P96" s="137">
        <v>3.9269999999999999E-2</v>
      </c>
      <c r="R96" s="133">
        <v>1300000</v>
      </c>
      <c r="S96" s="135">
        <v>1</v>
      </c>
      <c r="T96" s="139">
        <v>98.7</v>
      </c>
      <c r="U96" s="133">
        <v>1283.0999999999999</v>
      </c>
      <c r="W96" t="s">
        <v>135</v>
      </c>
      <c r="X96" s="137">
        <v>7.2000000000000002E-5</v>
      </c>
      <c r="Y96" s="137">
        <v>0.17610227244809901</v>
      </c>
      <c r="Z96" s="137">
        <v>3.9745222491631198E-2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85</v>
      </c>
      <c r="P1" s="14" t="s">
        <v>86</v>
      </c>
      <c r="Q1" s="14" t="s">
        <v>87</v>
      </c>
      <c r="R1" s="14" t="s">
        <v>30</v>
      </c>
      <c r="S1" s="14" t="s">
        <v>82</v>
      </c>
      <c r="T1" s="14" t="s">
        <v>111</v>
      </c>
      <c r="U1" s="14" t="s">
        <v>103</v>
      </c>
      <c r="V1" s="14" t="s">
        <v>83</v>
      </c>
      <c r="W1" s="14" t="s">
        <v>84</v>
      </c>
      <c r="X1" s="14" t="s">
        <v>112</v>
      </c>
      <c r="Y1" s="14" t="s">
        <v>113</v>
      </c>
      <c r="Z1" s="14" t="s">
        <v>33</v>
      </c>
      <c r="AA1" s="14" t="s">
        <v>34</v>
      </c>
      <c r="AB1" s="14" t="s">
        <v>35</v>
      </c>
      <c r="AC1" s="14" t="s">
        <v>1636</v>
      </c>
      <c r="AD1" s="14" t="s">
        <v>36</v>
      </c>
      <c r="AE1" s="14" t="s">
        <v>104</v>
      </c>
      <c r="AF1" s="14" t="s">
        <v>119</v>
      </c>
      <c r="AG1" s="14" t="s">
        <v>105</v>
      </c>
      <c r="AH1" s="14" t="s">
        <v>1637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03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85</v>
      </c>
      <c r="Q1" s="14" t="s">
        <v>86</v>
      </c>
      <c r="R1" s="14" t="s">
        <v>87</v>
      </c>
      <c r="S1" s="14" t="s">
        <v>30</v>
      </c>
      <c r="T1" s="14" t="s">
        <v>82</v>
      </c>
      <c r="U1" s="14" t="s">
        <v>103</v>
      </c>
      <c r="V1" s="136" t="s">
        <v>83</v>
      </c>
      <c r="W1" s="136" t="s">
        <v>84</v>
      </c>
      <c r="X1" s="14" t="s">
        <v>112</v>
      </c>
      <c r="Y1" s="14" t="s">
        <v>113</v>
      </c>
      <c r="Z1" s="14" t="s">
        <v>33</v>
      </c>
      <c r="AA1" s="134" t="s">
        <v>34</v>
      </c>
      <c r="AB1" s="138" t="s">
        <v>35</v>
      </c>
      <c r="AC1" s="14" t="s">
        <v>1636</v>
      </c>
      <c r="AD1" s="14" t="s">
        <v>36</v>
      </c>
      <c r="AE1" s="14" t="s">
        <v>104</v>
      </c>
      <c r="AF1" s="14" t="s">
        <v>119</v>
      </c>
      <c r="AG1" s="14" t="s">
        <v>105</v>
      </c>
      <c r="AH1" s="136" t="s">
        <v>1637</v>
      </c>
      <c r="AI1" s="136" t="s">
        <v>37</v>
      </c>
      <c r="AJ1" s="136" t="s">
        <v>38</v>
      </c>
    </row>
    <row r="2" spans="1:36">
      <c r="A2">
        <v>161</v>
      </c>
      <c r="B2">
        <v>1434</v>
      </c>
      <c r="C2" t="s">
        <v>1908</v>
      </c>
      <c r="D2" t="s">
        <v>1909</v>
      </c>
      <c r="E2" t="s">
        <v>41</v>
      </c>
      <c r="F2" t="s">
        <v>1910</v>
      </c>
      <c r="G2" t="s">
        <v>1911</v>
      </c>
      <c r="H2" t="s">
        <v>44</v>
      </c>
      <c r="I2" t="s">
        <v>1509</v>
      </c>
      <c r="J2" t="s">
        <v>45</v>
      </c>
      <c r="K2" t="s">
        <v>45</v>
      </c>
      <c r="L2" t="s">
        <v>46</v>
      </c>
      <c r="M2" t="s">
        <v>47</v>
      </c>
      <c r="N2" t="s">
        <v>1037</v>
      </c>
      <c r="O2" t="s">
        <v>51</v>
      </c>
      <c r="P2" t="s">
        <v>1912</v>
      </c>
      <c r="Q2" t="s">
        <v>167</v>
      </c>
      <c r="R2" t="s">
        <v>97</v>
      </c>
      <c r="S2" t="s">
        <v>52</v>
      </c>
      <c r="T2" t="s">
        <v>1913</v>
      </c>
      <c r="U2" t="s">
        <v>1914</v>
      </c>
      <c r="V2" s="137">
        <v>5.1299999999999998E-2</v>
      </c>
      <c r="W2" s="137">
        <v>4.6969999999999998E-2</v>
      </c>
      <c r="X2" t="s">
        <v>131</v>
      </c>
      <c r="Y2" t="s">
        <v>51</v>
      </c>
      <c r="Z2" s="133">
        <v>60000</v>
      </c>
      <c r="AA2" s="135">
        <v>1</v>
      </c>
      <c r="AB2" s="139">
        <v>102.82</v>
      </c>
      <c r="AD2" s="133">
        <v>61.692</v>
      </c>
      <c r="AG2" t="s">
        <v>135</v>
      </c>
      <c r="AH2" s="137">
        <v>1.76E-4</v>
      </c>
      <c r="AI2" s="137">
        <v>9.3133865285195006E-3</v>
      </c>
      <c r="AJ2" s="137">
        <v>2.5900559930724701E-3</v>
      </c>
    </row>
    <row r="3" spans="1:36">
      <c r="A3">
        <v>161</v>
      </c>
      <c r="B3">
        <v>1434</v>
      </c>
      <c r="C3" t="s">
        <v>1915</v>
      </c>
      <c r="D3" t="s">
        <v>1916</v>
      </c>
      <c r="E3" t="s">
        <v>41</v>
      </c>
      <c r="F3" t="s">
        <v>1917</v>
      </c>
      <c r="G3" t="s">
        <v>1918</v>
      </c>
      <c r="H3" t="s">
        <v>44</v>
      </c>
      <c r="I3" t="s">
        <v>1331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1919</v>
      </c>
      <c r="Q3" t="s">
        <v>96</v>
      </c>
      <c r="R3" t="s">
        <v>97</v>
      </c>
      <c r="S3" t="s">
        <v>52</v>
      </c>
      <c r="T3" t="s">
        <v>1920</v>
      </c>
      <c r="U3" t="s">
        <v>1921</v>
      </c>
      <c r="V3" s="137">
        <v>2.3400000000000001E-2</v>
      </c>
      <c r="W3" s="137">
        <v>2.3099999999999999E-2</v>
      </c>
      <c r="X3" t="s">
        <v>131</v>
      </c>
      <c r="Y3" t="s">
        <v>51</v>
      </c>
      <c r="Z3" s="133">
        <v>54563.69</v>
      </c>
      <c r="AA3" s="135">
        <v>1</v>
      </c>
      <c r="AB3" s="139">
        <v>117.91</v>
      </c>
      <c r="AD3" s="133">
        <v>64.335999999999999</v>
      </c>
      <c r="AG3" t="s">
        <v>135</v>
      </c>
      <c r="AH3" s="137">
        <v>4.6999999999999997E-5</v>
      </c>
      <c r="AI3" s="137">
        <v>9.7125473692063497E-3</v>
      </c>
      <c r="AJ3" s="137">
        <v>2.7010627599939299E-3</v>
      </c>
    </row>
    <row r="4" spans="1:36">
      <c r="A4">
        <v>161</v>
      </c>
      <c r="B4">
        <v>1434</v>
      </c>
      <c r="C4" t="s">
        <v>1915</v>
      </c>
      <c r="D4" t="s">
        <v>1916</v>
      </c>
      <c r="E4" t="s">
        <v>41</v>
      </c>
      <c r="F4" t="s">
        <v>1922</v>
      </c>
      <c r="G4" t="s">
        <v>1923</v>
      </c>
      <c r="H4" t="s">
        <v>44</v>
      </c>
      <c r="I4" t="s">
        <v>1509</v>
      </c>
      <c r="J4" t="s">
        <v>45</v>
      </c>
      <c r="K4" t="s">
        <v>45</v>
      </c>
      <c r="L4" t="s">
        <v>46</v>
      </c>
      <c r="M4" t="s">
        <v>47</v>
      </c>
      <c r="N4" t="s">
        <v>58</v>
      </c>
      <c r="O4" t="s">
        <v>51</v>
      </c>
      <c r="P4" t="s">
        <v>1919</v>
      </c>
      <c r="Q4" t="s">
        <v>96</v>
      </c>
      <c r="R4" t="s">
        <v>97</v>
      </c>
      <c r="S4" t="s">
        <v>52</v>
      </c>
      <c r="T4" t="s">
        <v>1924</v>
      </c>
      <c r="U4" t="s">
        <v>1925</v>
      </c>
      <c r="V4" s="137">
        <v>0.05</v>
      </c>
      <c r="W4" s="137">
        <v>4.5440000000000001E-2</v>
      </c>
      <c r="X4" t="s">
        <v>131</v>
      </c>
      <c r="Y4" t="s">
        <v>51</v>
      </c>
      <c r="Z4" s="133">
        <v>79375</v>
      </c>
      <c r="AA4" s="135">
        <v>1</v>
      </c>
      <c r="AB4" s="139">
        <v>102.97</v>
      </c>
      <c r="AD4" s="133">
        <v>81.731999999999999</v>
      </c>
      <c r="AG4" t="s">
        <v>135</v>
      </c>
      <c r="AH4" s="137">
        <v>1.6100000000000001E-4</v>
      </c>
      <c r="AI4" s="137">
        <v>1.23388086357317E-2</v>
      </c>
      <c r="AJ4" s="137">
        <v>3.4314269204320899E-3</v>
      </c>
    </row>
    <row r="5" spans="1:36">
      <c r="A5">
        <v>161</v>
      </c>
      <c r="B5">
        <v>1434</v>
      </c>
      <c r="C5" t="s">
        <v>1926</v>
      </c>
      <c r="D5" t="s">
        <v>1927</v>
      </c>
      <c r="E5" t="s">
        <v>41</v>
      </c>
      <c r="F5" t="s">
        <v>1928</v>
      </c>
      <c r="G5" t="s">
        <v>1929</v>
      </c>
      <c r="H5" t="s">
        <v>44</v>
      </c>
      <c r="I5" t="s">
        <v>1509</v>
      </c>
      <c r="J5" t="s">
        <v>45</v>
      </c>
      <c r="K5" t="s">
        <v>45</v>
      </c>
      <c r="L5" t="s">
        <v>46</v>
      </c>
      <c r="M5" t="s">
        <v>47</v>
      </c>
      <c r="N5" t="s">
        <v>1062</v>
      </c>
      <c r="O5" t="s">
        <v>51</v>
      </c>
      <c r="P5" t="s">
        <v>128</v>
      </c>
      <c r="Q5" t="s">
        <v>96</v>
      </c>
      <c r="R5" t="s">
        <v>97</v>
      </c>
      <c r="S5" t="s">
        <v>52</v>
      </c>
      <c r="T5" t="s">
        <v>1930</v>
      </c>
      <c r="U5" t="s">
        <v>1931</v>
      </c>
      <c r="V5" s="137">
        <v>5.7000000000000002E-2</v>
      </c>
      <c r="W5" s="137">
        <v>5.083E-2</v>
      </c>
      <c r="X5" t="s">
        <v>131</v>
      </c>
      <c r="Y5" t="s">
        <v>51</v>
      </c>
      <c r="Z5" s="133">
        <v>10350</v>
      </c>
      <c r="AA5" s="135">
        <v>1</v>
      </c>
      <c r="AB5" s="139">
        <v>101.02</v>
      </c>
      <c r="AD5" s="133">
        <v>10.456</v>
      </c>
      <c r="AG5" t="s">
        <v>135</v>
      </c>
      <c r="AH5" s="137">
        <v>1.8E-5</v>
      </c>
      <c r="AI5" s="137">
        <v>1.5784342343576601E-3</v>
      </c>
      <c r="AJ5" s="137">
        <v>4.3896310282514299E-4</v>
      </c>
    </row>
    <row r="6" spans="1:36">
      <c r="A6">
        <v>161</v>
      </c>
      <c r="B6">
        <v>1434</v>
      </c>
      <c r="C6" t="s">
        <v>1932</v>
      </c>
      <c r="D6" t="s">
        <v>1933</v>
      </c>
      <c r="E6" t="s">
        <v>41</v>
      </c>
      <c r="F6" t="s">
        <v>1934</v>
      </c>
      <c r="G6" t="s">
        <v>1935</v>
      </c>
      <c r="H6" t="s">
        <v>44</v>
      </c>
      <c r="I6" t="s">
        <v>1331</v>
      </c>
      <c r="J6" t="s">
        <v>45</v>
      </c>
      <c r="K6" t="s">
        <v>45</v>
      </c>
      <c r="L6" t="s">
        <v>46</v>
      </c>
      <c r="M6" t="s">
        <v>47</v>
      </c>
      <c r="N6" t="s">
        <v>58</v>
      </c>
      <c r="O6" t="s">
        <v>51</v>
      </c>
      <c r="P6" t="s">
        <v>1936</v>
      </c>
      <c r="Q6" t="s">
        <v>96</v>
      </c>
      <c r="R6" t="s">
        <v>97</v>
      </c>
      <c r="S6" t="s">
        <v>52</v>
      </c>
      <c r="T6" t="s">
        <v>1937</v>
      </c>
      <c r="U6" t="s">
        <v>1938</v>
      </c>
      <c r="V6" s="137">
        <v>2.5600000000000001E-2</v>
      </c>
      <c r="W6" s="137">
        <v>3.0120000000000001E-2</v>
      </c>
      <c r="X6" t="s">
        <v>131</v>
      </c>
      <c r="Y6" t="s">
        <v>51</v>
      </c>
      <c r="Z6" s="133">
        <v>45000</v>
      </c>
      <c r="AA6" s="135">
        <v>1</v>
      </c>
      <c r="AB6" s="139">
        <v>107.35</v>
      </c>
      <c r="AD6" s="133">
        <v>48.307000000000002</v>
      </c>
      <c r="AG6" t="s">
        <v>135</v>
      </c>
      <c r="AH6" s="137">
        <v>4.3000000000000002E-5</v>
      </c>
      <c r="AI6" s="137">
        <v>7.2927838249117498E-3</v>
      </c>
      <c r="AJ6" s="137">
        <v>2.0281256870477299E-3</v>
      </c>
    </row>
    <row r="7" spans="1:36">
      <c r="A7">
        <v>161</v>
      </c>
      <c r="B7">
        <v>1434</v>
      </c>
      <c r="C7" t="s">
        <v>1932</v>
      </c>
      <c r="D7" t="s">
        <v>1933</v>
      </c>
      <c r="E7" t="s">
        <v>41</v>
      </c>
      <c r="F7" t="s">
        <v>1939</v>
      </c>
      <c r="G7" t="s">
        <v>1940</v>
      </c>
      <c r="H7" t="s">
        <v>44</v>
      </c>
      <c r="I7" t="s">
        <v>1509</v>
      </c>
      <c r="J7" t="s">
        <v>45</v>
      </c>
      <c r="K7" t="s">
        <v>45</v>
      </c>
      <c r="L7" t="s">
        <v>46</v>
      </c>
      <c r="M7" t="s">
        <v>47</v>
      </c>
      <c r="N7" t="s">
        <v>58</v>
      </c>
      <c r="O7" t="s">
        <v>51</v>
      </c>
      <c r="P7" t="s">
        <v>1936</v>
      </c>
      <c r="Q7" t="s">
        <v>96</v>
      </c>
      <c r="R7" t="s">
        <v>97</v>
      </c>
      <c r="S7" t="s">
        <v>52</v>
      </c>
      <c r="T7" t="s">
        <v>1941</v>
      </c>
      <c r="U7" t="s">
        <v>1942</v>
      </c>
      <c r="V7" s="137">
        <v>2.41E-2</v>
      </c>
      <c r="W7" s="137">
        <v>4.8550000000000003E-2</v>
      </c>
      <c r="X7" t="s">
        <v>131</v>
      </c>
      <c r="Y7" t="s">
        <v>51</v>
      </c>
      <c r="Z7" s="133">
        <v>80000</v>
      </c>
      <c r="AA7" s="135">
        <v>1</v>
      </c>
      <c r="AB7" s="139">
        <v>93.27</v>
      </c>
      <c r="AD7" s="133">
        <v>74.616</v>
      </c>
      <c r="AG7" t="s">
        <v>135</v>
      </c>
      <c r="AH7" s="137">
        <v>3.8999999999999999E-5</v>
      </c>
      <c r="AI7" s="137">
        <v>1.12644694484214E-2</v>
      </c>
      <c r="AJ7" s="137">
        <v>3.132652823366E-3</v>
      </c>
    </row>
    <row r="8" spans="1:36">
      <c r="A8">
        <v>161</v>
      </c>
      <c r="B8">
        <v>1434</v>
      </c>
      <c r="C8" t="s">
        <v>1943</v>
      </c>
      <c r="D8" t="s">
        <v>479</v>
      </c>
      <c r="E8" t="s">
        <v>41</v>
      </c>
      <c r="F8" t="s">
        <v>1944</v>
      </c>
      <c r="G8" t="s">
        <v>1945</v>
      </c>
      <c r="H8" t="s">
        <v>44</v>
      </c>
      <c r="I8" t="s">
        <v>1509</v>
      </c>
      <c r="J8" t="s">
        <v>45</v>
      </c>
      <c r="K8" t="s">
        <v>45</v>
      </c>
      <c r="L8" t="s">
        <v>46</v>
      </c>
      <c r="M8" t="s">
        <v>47</v>
      </c>
      <c r="N8" t="s">
        <v>150</v>
      </c>
      <c r="O8" t="s">
        <v>51</v>
      </c>
      <c r="P8" t="s">
        <v>128</v>
      </c>
      <c r="Q8" t="s">
        <v>96</v>
      </c>
      <c r="R8" t="s">
        <v>97</v>
      </c>
      <c r="S8" t="s">
        <v>52</v>
      </c>
      <c r="T8" t="s">
        <v>1946</v>
      </c>
      <c r="U8" t="s">
        <v>1947</v>
      </c>
      <c r="V8" s="137">
        <v>0.04</v>
      </c>
      <c r="W8" s="137">
        <v>4.786E-2</v>
      </c>
      <c r="X8" t="s">
        <v>131</v>
      </c>
      <c r="Y8" t="s">
        <v>51</v>
      </c>
      <c r="Z8" s="133">
        <v>35714.300000000003</v>
      </c>
      <c r="AA8" s="135">
        <v>1</v>
      </c>
      <c r="AB8" s="139">
        <v>99.05</v>
      </c>
      <c r="AD8" s="133">
        <v>35.375</v>
      </c>
      <c r="AG8" t="s">
        <v>135</v>
      </c>
      <c r="AH8" s="137">
        <v>7.3999999999999996E-5</v>
      </c>
      <c r="AI8" s="137">
        <v>5.3404198312714301E-3</v>
      </c>
      <c r="AJ8" s="137">
        <v>1.4851725897074299E-3</v>
      </c>
    </row>
    <row r="9" spans="1:36">
      <c r="A9">
        <v>161</v>
      </c>
      <c r="B9">
        <v>1434</v>
      </c>
      <c r="C9" t="s">
        <v>1948</v>
      </c>
      <c r="D9" t="s">
        <v>1949</v>
      </c>
      <c r="E9" t="s">
        <v>41</v>
      </c>
      <c r="F9" t="s">
        <v>1950</v>
      </c>
      <c r="G9" t="s">
        <v>1951</v>
      </c>
      <c r="H9" t="s">
        <v>44</v>
      </c>
      <c r="I9" t="s">
        <v>1331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1919</v>
      </c>
      <c r="Q9" t="s">
        <v>96</v>
      </c>
      <c r="R9" t="s">
        <v>97</v>
      </c>
      <c r="S9" t="s">
        <v>52</v>
      </c>
      <c r="T9" t="s">
        <v>1952</v>
      </c>
      <c r="U9" t="s">
        <v>1953</v>
      </c>
      <c r="V9" s="137">
        <v>1.14E-2</v>
      </c>
      <c r="W9" s="137">
        <v>2.3810000000000001E-2</v>
      </c>
      <c r="X9" t="s">
        <v>131</v>
      </c>
      <c r="Y9" t="s">
        <v>51</v>
      </c>
      <c r="Z9" s="133">
        <v>98100</v>
      </c>
      <c r="AA9" s="135">
        <v>1</v>
      </c>
      <c r="AB9" s="139">
        <v>113.75</v>
      </c>
      <c r="AD9" s="133">
        <v>111.589</v>
      </c>
      <c r="AG9" t="s">
        <v>135</v>
      </c>
      <c r="AH9" s="137">
        <v>4.6E-5</v>
      </c>
      <c r="AI9" s="137">
        <v>1.6846092864299E-2</v>
      </c>
      <c r="AJ9" s="137">
        <v>4.68490421281472E-3</v>
      </c>
    </row>
    <row r="10" spans="1:36">
      <c r="A10">
        <v>161</v>
      </c>
      <c r="B10">
        <v>1434</v>
      </c>
      <c r="C10" t="s">
        <v>1948</v>
      </c>
      <c r="D10" t="s">
        <v>1949</v>
      </c>
      <c r="E10" t="s">
        <v>41</v>
      </c>
      <c r="F10" t="s">
        <v>1954</v>
      </c>
      <c r="G10" t="s">
        <v>1955</v>
      </c>
      <c r="H10" t="s">
        <v>44</v>
      </c>
      <c r="I10" t="s">
        <v>1509</v>
      </c>
      <c r="J10" t="s">
        <v>45</v>
      </c>
      <c r="K10" t="s">
        <v>45</v>
      </c>
      <c r="L10" t="s">
        <v>46</v>
      </c>
      <c r="M10" t="s">
        <v>47</v>
      </c>
      <c r="N10" t="s">
        <v>58</v>
      </c>
      <c r="O10" t="s">
        <v>51</v>
      </c>
      <c r="P10" t="s">
        <v>1919</v>
      </c>
      <c r="Q10" t="s">
        <v>96</v>
      </c>
      <c r="R10" t="s">
        <v>97</v>
      </c>
      <c r="S10" t="s">
        <v>52</v>
      </c>
      <c r="T10" t="s">
        <v>1956</v>
      </c>
      <c r="U10" t="s">
        <v>1957</v>
      </c>
      <c r="V10" s="137">
        <v>2.4400000000000002E-2</v>
      </c>
      <c r="W10" s="137">
        <v>4.6190000000000002E-2</v>
      </c>
      <c r="X10" t="s">
        <v>131</v>
      </c>
      <c r="Y10" t="s">
        <v>51</v>
      </c>
      <c r="Z10" s="133">
        <v>160000</v>
      </c>
      <c r="AA10" s="135">
        <v>1</v>
      </c>
      <c r="AB10" s="139">
        <v>92.36</v>
      </c>
      <c r="AD10" s="133">
        <v>147.77600000000001</v>
      </c>
      <c r="AG10" t="s">
        <v>135</v>
      </c>
      <c r="AH10" s="137">
        <v>1.3200000000000001E-4</v>
      </c>
      <c r="AI10" s="137">
        <v>2.2309132588317699E-2</v>
      </c>
      <c r="AJ10" s="137">
        <v>6.2041774368196499E-3</v>
      </c>
    </row>
    <row r="11" spans="1:36">
      <c r="A11">
        <v>161</v>
      </c>
      <c r="B11">
        <v>1434</v>
      </c>
      <c r="C11" t="s">
        <v>1948</v>
      </c>
      <c r="D11" t="s">
        <v>1949</v>
      </c>
      <c r="E11" t="s">
        <v>41</v>
      </c>
      <c r="F11" t="s">
        <v>1958</v>
      </c>
      <c r="G11" t="s">
        <v>1959</v>
      </c>
      <c r="H11" t="s">
        <v>44</v>
      </c>
      <c r="I11" t="s">
        <v>1331</v>
      </c>
      <c r="J11" t="s">
        <v>45</v>
      </c>
      <c r="K11" t="s">
        <v>45</v>
      </c>
      <c r="L11" t="s">
        <v>46</v>
      </c>
      <c r="M11" t="s">
        <v>47</v>
      </c>
      <c r="N11" t="s">
        <v>58</v>
      </c>
      <c r="O11" t="s">
        <v>51</v>
      </c>
      <c r="P11" t="s">
        <v>1919</v>
      </c>
      <c r="Q11" t="s">
        <v>96</v>
      </c>
      <c r="R11" t="s">
        <v>97</v>
      </c>
      <c r="S11" t="s">
        <v>52</v>
      </c>
      <c r="T11" t="s">
        <v>1960</v>
      </c>
      <c r="U11" t="s">
        <v>1957</v>
      </c>
      <c r="V11" s="137">
        <v>9.1999999999999998E-3</v>
      </c>
      <c r="W11" s="137">
        <v>2.7480000000000001E-2</v>
      </c>
      <c r="X11" t="s">
        <v>131</v>
      </c>
      <c r="Y11" t="s">
        <v>51</v>
      </c>
      <c r="Z11" s="133">
        <v>70000</v>
      </c>
      <c r="AA11" s="135">
        <v>1</v>
      </c>
      <c r="AB11" s="139">
        <v>109.79</v>
      </c>
      <c r="AD11" s="133">
        <v>76.852999999999994</v>
      </c>
      <c r="AG11" t="s">
        <v>135</v>
      </c>
      <c r="AH11" s="137">
        <v>2.6999999999999999E-5</v>
      </c>
      <c r="AI11" s="137">
        <v>1.1602180102384599E-2</v>
      </c>
      <c r="AJ11" s="137">
        <v>3.2265702722492199E-3</v>
      </c>
    </row>
    <row r="12" spans="1:36">
      <c r="A12">
        <v>161</v>
      </c>
      <c r="B12">
        <v>1434</v>
      </c>
      <c r="C12" t="s">
        <v>1961</v>
      </c>
      <c r="D12" t="s">
        <v>1962</v>
      </c>
      <c r="E12" t="s">
        <v>41</v>
      </c>
      <c r="F12" t="s">
        <v>1963</v>
      </c>
      <c r="G12" t="s">
        <v>1964</v>
      </c>
      <c r="H12" t="s">
        <v>44</v>
      </c>
      <c r="I12" t="s">
        <v>1509</v>
      </c>
      <c r="J12" t="s">
        <v>45</v>
      </c>
      <c r="K12" t="s">
        <v>69</v>
      </c>
      <c r="L12" t="s">
        <v>46</v>
      </c>
      <c r="M12" t="s">
        <v>47</v>
      </c>
      <c r="N12" t="s">
        <v>49</v>
      </c>
      <c r="O12" t="s">
        <v>51</v>
      </c>
      <c r="P12" t="s">
        <v>158</v>
      </c>
      <c r="Q12" t="s">
        <v>96</v>
      </c>
      <c r="R12" t="s">
        <v>97</v>
      </c>
      <c r="S12" t="s">
        <v>52</v>
      </c>
      <c r="T12" t="s">
        <v>1965</v>
      </c>
      <c r="U12" t="s">
        <v>1966</v>
      </c>
      <c r="V12" s="137">
        <v>3.4500000000000003E-2</v>
      </c>
      <c r="W12" s="137">
        <v>5.0569999999999997E-2</v>
      </c>
      <c r="X12" t="s">
        <v>131</v>
      </c>
      <c r="Y12" t="s">
        <v>51</v>
      </c>
      <c r="Z12" s="133">
        <v>77490.19</v>
      </c>
      <c r="AA12" s="135">
        <v>1</v>
      </c>
      <c r="AB12" s="139">
        <v>99.67</v>
      </c>
      <c r="AD12" s="133">
        <v>77.233999999999995</v>
      </c>
      <c r="AG12" t="s">
        <v>135</v>
      </c>
      <c r="AH12" s="137">
        <v>1.3899999999999999E-4</v>
      </c>
      <c r="AI12" s="137">
        <v>1.16597694115284E-2</v>
      </c>
      <c r="AJ12" s="137">
        <v>3.2425858789061602E-3</v>
      </c>
    </row>
    <row r="13" spans="1:36">
      <c r="A13">
        <v>161</v>
      </c>
      <c r="B13">
        <v>1434</v>
      </c>
      <c r="C13" t="s">
        <v>1961</v>
      </c>
      <c r="D13" t="s">
        <v>1962</v>
      </c>
      <c r="E13" t="s">
        <v>41</v>
      </c>
      <c r="F13" t="s">
        <v>1967</v>
      </c>
      <c r="G13" t="s">
        <v>1968</v>
      </c>
      <c r="H13" t="s">
        <v>44</v>
      </c>
      <c r="I13" t="s">
        <v>1509</v>
      </c>
      <c r="J13" t="s">
        <v>45</v>
      </c>
      <c r="K13" t="s">
        <v>69</v>
      </c>
      <c r="L13" t="s">
        <v>46</v>
      </c>
      <c r="M13" t="s">
        <v>47</v>
      </c>
      <c r="N13" t="s">
        <v>49</v>
      </c>
      <c r="O13" t="s">
        <v>51</v>
      </c>
      <c r="P13" t="s">
        <v>158</v>
      </c>
      <c r="Q13" t="s">
        <v>96</v>
      </c>
      <c r="R13" t="s">
        <v>97</v>
      </c>
      <c r="S13" t="s">
        <v>52</v>
      </c>
      <c r="T13" t="s">
        <v>1969</v>
      </c>
      <c r="U13" t="s">
        <v>1970</v>
      </c>
      <c r="V13" s="137">
        <v>1.4999999999999999E-2</v>
      </c>
      <c r="W13" s="137">
        <v>4.8719999999999999E-2</v>
      </c>
      <c r="X13" t="s">
        <v>131</v>
      </c>
      <c r="Y13" t="s">
        <v>51</v>
      </c>
      <c r="Z13" s="133">
        <v>26000</v>
      </c>
      <c r="AA13" s="135">
        <v>1</v>
      </c>
      <c r="AB13" s="139">
        <v>92.72</v>
      </c>
      <c r="AD13" s="133">
        <v>24.106999999999999</v>
      </c>
      <c r="AG13" t="s">
        <v>135</v>
      </c>
      <c r="AH13" s="137">
        <v>2.1999999999999999E-5</v>
      </c>
      <c r="AI13" s="137">
        <v>3.6393644511496701E-3</v>
      </c>
      <c r="AJ13" s="137">
        <v>1.0121085041204199E-3</v>
      </c>
    </row>
    <row r="14" spans="1:36">
      <c r="A14">
        <v>161</v>
      </c>
      <c r="B14">
        <v>1434</v>
      </c>
      <c r="C14" t="s">
        <v>1915</v>
      </c>
      <c r="D14" t="s">
        <v>1916</v>
      </c>
      <c r="E14" t="s">
        <v>41</v>
      </c>
      <c r="F14" t="s">
        <v>1971</v>
      </c>
      <c r="G14" t="s">
        <v>1972</v>
      </c>
      <c r="H14" t="s">
        <v>44</v>
      </c>
      <c r="I14" t="s">
        <v>1331</v>
      </c>
      <c r="J14" t="s">
        <v>45</v>
      </c>
      <c r="K14" t="s">
        <v>45</v>
      </c>
      <c r="L14" t="s">
        <v>46</v>
      </c>
      <c r="M14" t="s">
        <v>47</v>
      </c>
      <c r="N14" t="s">
        <v>58</v>
      </c>
      <c r="O14" t="s">
        <v>51</v>
      </c>
      <c r="P14" t="s">
        <v>1919</v>
      </c>
      <c r="Q14" t="s">
        <v>96</v>
      </c>
      <c r="R14" t="s">
        <v>97</v>
      </c>
      <c r="S14" t="s">
        <v>52</v>
      </c>
      <c r="T14" t="s">
        <v>1973</v>
      </c>
      <c r="U14" t="s">
        <v>1974</v>
      </c>
      <c r="V14" s="137">
        <v>6.4999999999999997E-3</v>
      </c>
      <c r="W14" s="137">
        <v>2.7640000000000001E-2</v>
      </c>
      <c r="X14" t="s">
        <v>131</v>
      </c>
      <c r="Y14" t="s">
        <v>51</v>
      </c>
      <c r="Z14" s="133">
        <v>59025.45</v>
      </c>
      <c r="AA14" s="135">
        <v>1</v>
      </c>
      <c r="AB14" s="139">
        <v>106.82</v>
      </c>
      <c r="AD14" s="133">
        <v>63.051000000000002</v>
      </c>
      <c r="AG14" t="s">
        <v>135</v>
      </c>
      <c r="AH14" s="137">
        <v>2.8E-5</v>
      </c>
      <c r="AI14" s="137">
        <v>9.5185469872126408E-3</v>
      </c>
      <c r="AJ14" s="137">
        <v>2.6471111871151998E-3</v>
      </c>
    </row>
    <row r="15" spans="1:36">
      <c r="A15">
        <v>161</v>
      </c>
      <c r="B15">
        <v>1434</v>
      </c>
      <c r="C15" t="s">
        <v>53</v>
      </c>
      <c r="D15" t="s">
        <v>54</v>
      </c>
      <c r="E15" t="s">
        <v>41</v>
      </c>
      <c r="F15" t="s">
        <v>1975</v>
      </c>
      <c r="G15" t="s">
        <v>1976</v>
      </c>
      <c r="H15" t="s">
        <v>44</v>
      </c>
      <c r="I15" t="s">
        <v>1331</v>
      </c>
      <c r="J15" t="s">
        <v>45</v>
      </c>
      <c r="K15" t="s">
        <v>45</v>
      </c>
      <c r="L15" t="s">
        <v>46</v>
      </c>
      <c r="M15" t="s">
        <v>47</v>
      </c>
      <c r="N15" t="s">
        <v>58</v>
      </c>
      <c r="O15" t="s">
        <v>51</v>
      </c>
      <c r="P15" t="s">
        <v>1977</v>
      </c>
      <c r="Q15" t="s">
        <v>167</v>
      </c>
      <c r="R15" t="s">
        <v>97</v>
      </c>
      <c r="S15" t="s">
        <v>52</v>
      </c>
      <c r="T15" t="s">
        <v>1978</v>
      </c>
      <c r="U15" t="s">
        <v>1979</v>
      </c>
      <c r="V15" s="137">
        <v>1.17E-2</v>
      </c>
      <c r="W15" s="137">
        <v>2.6040000000000001E-2</v>
      </c>
      <c r="X15" t="s">
        <v>131</v>
      </c>
      <c r="Y15" t="s">
        <v>51</v>
      </c>
      <c r="Z15" s="133">
        <v>16800</v>
      </c>
      <c r="AA15" s="135">
        <v>1</v>
      </c>
      <c r="AB15" s="139">
        <v>112.45</v>
      </c>
      <c r="AD15" s="133">
        <v>18.891999999999999</v>
      </c>
      <c r="AG15" t="s">
        <v>135</v>
      </c>
      <c r="AH15" s="137">
        <v>2.4000000000000001E-5</v>
      </c>
      <c r="AI15" s="137">
        <v>2.8519868531119001E-3</v>
      </c>
      <c r="AJ15" s="137">
        <v>7.9313852361291505E-4</v>
      </c>
    </row>
    <row r="16" spans="1:36">
      <c r="A16">
        <v>161</v>
      </c>
      <c r="B16">
        <v>1434</v>
      </c>
      <c r="C16" t="s">
        <v>53</v>
      </c>
      <c r="D16" t="s">
        <v>54</v>
      </c>
      <c r="E16" t="s">
        <v>41</v>
      </c>
      <c r="F16" t="s">
        <v>1980</v>
      </c>
      <c r="G16" t="s">
        <v>1981</v>
      </c>
      <c r="H16" t="s">
        <v>44</v>
      </c>
      <c r="I16" t="s">
        <v>1331</v>
      </c>
      <c r="J16" t="s">
        <v>45</v>
      </c>
      <c r="K16" t="s">
        <v>45</v>
      </c>
      <c r="L16" t="s">
        <v>46</v>
      </c>
      <c r="M16" t="s">
        <v>47</v>
      </c>
      <c r="N16" t="s">
        <v>58</v>
      </c>
      <c r="O16" t="s">
        <v>51</v>
      </c>
      <c r="P16" t="s">
        <v>1936</v>
      </c>
      <c r="Q16" t="s">
        <v>96</v>
      </c>
      <c r="R16" t="s">
        <v>97</v>
      </c>
      <c r="S16" t="s">
        <v>52</v>
      </c>
      <c r="T16" t="s">
        <v>1982</v>
      </c>
      <c r="U16" t="s">
        <v>1983</v>
      </c>
      <c r="V16" s="137">
        <v>1.8700000000000001E-2</v>
      </c>
      <c r="W16" s="137">
        <v>2.7820000000000001E-2</v>
      </c>
      <c r="X16" t="s">
        <v>131</v>
      </c>
      <c r="Y16" t="s">
        <v>51</v>
      </c>
      <c r="Z16" s="133">
        <v>63000</v>
      </c>
      <c r="AA16" s="135">
        <v>1</v>
      </c>
      <c r="AB16" s="139">
        <v>109.77</v>
      </c>
      <c r="AD16" s="133">
        <v>69.155000000000001</v>
      </c>
      <c r="AG16" t="s">
        <v>135</v>
      </c>
      <c r="AH16" s="137">
        <v>6.3999999999999997E-5</v>
      </c>
      <c r="AI16" s="137">
        <v>1.0440059922168499E-2</v>
      </c>
      <c r="AJ16" s="137">
        <v>2.90338425090005E-3</v>
      </c>
    </row>
    <row r="17" spans="1:36">
      <c r="A17">
        <v>161</v>
      </c>
      <c r="B17">
        <v>1434</v>
      </c>
      <c r="C17" t="s">
        <v>1984</v>
      </c>
      <c r="D17" t="s">
        <v>1985</v>
      </c>
      <c r="E17" t="s">
        <v>41</v>
      </c>
      <c r="F17" t="s">
        <v>1986</v>
      </c>
      <c r="G17" t="s">
        <v>1987</v>
      </c>
      <c r="H17" t="s">
        <v>44</v>
      </c>
      <c r="I17" t="s">
        <v>1509</v>
      </c>
      <c r="J17" t="s">
        <v>45</v>
      </c>
      <c r="K17" t="s">
        <v>45</v>
      </c>
      <c r="L17" t="s">
        <v>46</v>
      </c>
      <c r="M17" t="s">
        <v>47</v>
      </c>
      <c r="N17" t="s">
        <v>1034</v>
      </c>
      <c r="O17" t="s">
        <v>51</v>
      </c>
      <c r="P17" t="s">
        <v>1898</v>
      </c>
      <c r="Q17" t="s">
        <v>167</v>
      </c>
      <c r="R17" t="s">
        <v>97</v>
      </c>
      <c r="S17" t="s">
        <v>52</v>
      </c>
      <c r="T17" t="s">
        <v>1988</v>
      </c>
      <c r="U17" t="s">
        <v>1925</v>
      </c>
      <c r="V17" s="137">
        <v>7.2499999999999995E-2</v>
      </c>
      <c r="W17" s="137">
        <v>6.0470000000000003E-2</v>
      </c>
      <c r="X17" t="s">
        <v>131</v>
      </c>
      <c r="Y17" t="s">
        <v>51</v>
      </c>
      <c r="Z17" s="133">
        <v>96000</v>
      </c>
      <c r="AA17" s="135">
        <v>1</v>
      </c>
      <c r="AB17" s="139">
        <v>106.43</v>
      </c>
      <c r="AD17" s="133">
        <v>102.173</v>
      </c>
      <c r="AG17" t="s">
        <v>135</v>
      </c>
      <c r="AH17" s="137">
        <v>1.4999999999999999E-4</v>
      </c>
      <c r="AI17" s="137">
        <v>1.54246057689995E-2</v>
      </c>
      <c r="AJ17" s="137">
        <v>4.2895881632787902E-3</v>
      </c>
    </row>
    <row r="18" spans="1:36">
      <c r="A18">
        <v>161</v>
      </c>
      <c r="B18">
        <v>1434</v>
      </c>
      <c r="C18" t="s">
        <v>1989</v>
      </c>
      <c r="D18" t="s">
        <v>1990</v>
      </c>
      <c r="E18" t="s">
        <v>41</v>
      </c>
      <c r="F18" t="s">
        <v>1991</v>
      </c>
      <c r="G18" t="s">
        <v>1992</v>
      </c>
      <c r="H18" t="s">
        <v>44</v>
      </c>
      <c r="I18" t="s">
        <v>1331</v>
      </c>
      <c r="J18" t="s">
        <v>45</v>
      </c>
      <c r="K18" t="s">
        <v>45</v>
      </c>
      <c r="L18" t="s">
        <v>46</v>
      </c>
      <c r="M18" t="s">
        <v>47</v>
      </c>
      <c r="N18" t="s">
        <v>58</v>
      </c>
      <c r="O18" t="s">
        <v>51</v>
      </c>
      <c r="P18" t="s">
        <v>1919</v>
      </c>
      <c r="Q18" t="s">
        <v>96</v>
      </c>
      <c r="R18" t="s">
        <v>97</v>
      </c>
      <c r="S18" t="s">
        <v>52</v>
      </c>
      <c r="T18" t="s">
        <v>1993</v>
      </c>
      <c r="U18" t="s">
        <v>1994</v>
      </c>
      <c r="V18" s="137">
        <v>5.8999999999999999E-3</v>
      </c>
      <c r="W18" s="137">
        <v>2.716E-2</v>
      </c>
      <c r="X18" t="s">
        <v>131</v>
      </c>
      <c r="Y18" t="s">
        <v>51</v>
      </c>
      <c r="Z18" s="133">
        <v>40000</v>
      </c>
      <c r="AA18" s="135">
        <v>1</v>
      </c>
      <c r="AB18" s="139">
        <v>105.93</v>
      </c>
      <c r="AD18" s="133">
        <v>42.372</v>
      </c>
      <c r="AG18" t="s">
        <v>135</v>
      </c>
      <c r="AH18" s="137">
        <v>2.9E-5</v>
      </c>
      <c r="AI18" s="137">
        <v>6.3967258961685203E-3</v>
      </c>
      <c r="AJ18" s="137">
        <v>1.77893166923534E-3</v>
      </c>
    </row>
    <row r="19" spans="1:36">
      <c r="A19">
        <v>161</v>
      </c>
      <c r="B19">
        <v>1434</v>
      </c>
      <c r="C19" t="s">
        <v>1995</v>
      </c>
      <c r="D19" t="s">
        <v>1996</v>
      </c>
      <c r="E19" t="s">
        <v>41</v>
      </c>
      <c r="F19" t="s">
        <v>1997</v>
      </c>
      <c r="G19" t="s">
        <v>1998</v>
      </c>
      <c r="H19" t="s">
        <v>44</v>
      </c>
      <c r="I19" t="s">
        <v>1331</v>
      </c>
      <c r="J19" t="s">
        <v>45</v>
      </c>
      <c r="K19" t="s">
        <v>264</v>
      </c>
      <c r="L19" t="s">
        <v>46</v>
      </c>
      <c r="M19" t="s">
        <v>47</v>
      </c>
      <c r="N19" t="s">
        <v>1050</v>
      </c>
      <c r="O19" t="s">
        <v>51</v>
      </c>
      <c r="P19" t="s">
        <v>1999</v>
      </c>
      <c r="Q19" t="s">
        <v>96</v>
      </c>
      <c r="R19" t="s">
        <v>97</v>
      </c>
      <c r="S19" t="s">
        <v>52</v>
      </c>
      <c r="T19" t="s">
        <v>2000</v>
      </c>
      <c r="U19" t="s">
        <v>2001</v>
      </c>
      <c r="V19" s="137">
        <v>3.2800000000000003E-2</v>
      </c>
      <c r="W19" s="137">
        <v>5.5480000000000002E-2</v>
      </c>
      <c r="X19" t="s">
        <v>131</v>
      </c>
      <c r="Y19" t="s">
        <v>51</v>
      </c>
      <c r="Z19" s="133">
        <v>31250</v>
      </c>
      <c r="AA19" s="135">
        <v>1</v>
      </c>
      <c r="AB19" s="139">
        <v>115.88</v>
      </c>
      <c r="AD19" s="133">
        <v>36.212000000000003</v>
      </c>
      <c r="AG19" t="s">
        <v>135</v>
      </c>
      <c r="AH19" s="137">
        <v>2.3E-5</v>
      </c>
      <c r="AI19" s="137">
        <v>5.4668516122676003E-3</v>
      </c>
      <c r="AJ19" s="137">
        <v>1.52033331143644E-3</v>
      </c>
    </row>
    <row r="20" spans="1:36">
      <c r="A20">
        <v>161</v>
      </c>
      <c r="B20">
        <v>1434</v>
      </c>
      <c r="C20" t="s">
        <v>2002</v>
      </c>
      <c r="D20" t="s">
        <v>2003</v>
      </c>
      <c r="E20" t="s">
        <v>41</v>
      </c>
      <c r="F20" t="s">
        <v>2004</v>
      </c>
      <c r="G20" t="s">
        <v>2005</v>
      </c>
      <c r="H20" t="s">
        <v>44</v>
      </c>
      <c r="I20" t="s">
        <v>1331</v>
      </c>
      <c r="J20" t="s">
        <v>45</v>
      </c>
      <c r="K20" t="s">
        <v>45</v>
      </c>
      <c r="L20" t="s">
        <v>46</v>
      </c>
      <c r="M20" t="s">
        <v>47</v>
      </c>
      <c r="N20" t="s">
        <v>221</v>
      </c>
      <c r="O20" t="s">
        <v>51</v>
      </c>
      <c r="P20" t="s">
        <v>95</v>
      </c>
      <c r="Q20" t="s">
        <v>96</v>
      </c>
      <c r="R20" t="s">
        <v>97</v>
      </c>
      <c r="S20" t="s">
        <v>52</v>
      </c>
      <c r="T20" t="s">
        <v>2006</v>
      </c>
      <c r="U20" t="s">
        <v>2007</v>
      </c>
      <c r="V20" s="137">
        <v>2E-3</v>
      </c>
      <c r="W20" s="137">
        <v>2.4199999999999999E-2</v>
      </c>
      <c r="X20" t="s">
        <v>131</v>
      </c>
      <c r="Y20" t="s">
        <v>51</v>
      </c>
      <c r="Z20" s="133">
        <v>120488.23</v>
      </c>
      <c r="AA20" s="135">
        <v>1</v>
      </c>
      <c r="AB20" s="139">
        <v>106.92</v>
      </c>
      <c r="AD20" s="133">
        <v>128.82599999999999</v>
      </c>
      <c r="AG20" t="s">
        <v>135</v>
      </c>
      <c r="AH20" s="137">
        <v>4.1E-5</v>
      </c>
      <c r="AI20" s="137">
        <v>1.9448331670711898E-2</v>
      </c>
      <c r="AJ20" s="137">
        <v>5.4085877188430097E-3</v>
      </c>
    </row>
    <row r="21" spans="1:36">
      <c r="A21">
        <v>161</v>
      </c>
      <c r="B21">
        <v>1434</v>
      </c>
      <c r="C21" t="s">
        <v>2002</v>
      </c>
      <c r="D21" t="s">
        <v>2003</v>
      </c>
      <c r="E21" t="s">
        <v>41</v>
      </c>
      <c r="F21" t="s">
        <v>2008</v>
      </c>
      <c r="G21" t="s">
        <v>2009</v>
      </c>
      <c r="H21" t="s">
        <v>44</v>
      </c>
      <c r="I21" t="s">
        <v>1331</v>
      </c>
      <c r="J21" t="s">
        <v>45</v>
      </c>
      <c r="K21" t="s">
        <v>45</v>
      </c>
      <c r="L21" t="s">
        <v>46</v>
      </c>
      <c r="M21" t="s">
        <v>47</v>
      </c>
      <c r="N21" t="s">
        <v>221</v>
      </c>
      <c r="O21" t="s">
        <v>51</v>
      </c>
      <c r="P21" t="s">
        <v>95</v>
      </c>
      <c r="Q21" t="s">
        <v>96</v>
      </c>
      <c r="R21" t="s">
        <v>97</v>
      </c>
      <c r="S21" t="s">
        <v>52</v>
      </c>
      <c r="T21" t="s">
        <v>2010</v>
      </c>
      <c r="U21" t="s">
        <v>2011</v>
      </c>
      <c r="V21" s="137">
        <v>2.4E-2</v>
      </c>
      <c r="W21" s="137">
        <v>2.563E-2</v>
      </c>
      <c r="X21" t="s">
        <v>131</v>
      </c>
      <c r="Y21" t="s">
        <v>51</v>
      </c>
      <c r="Z21" s="133">
        <v>36000</v>
      </c>
      <c r="AA21" s="135">
        <v>1</v>
      </c>
      <c r="AB21" s="139">
        <v>101.59</v>
      </c>
      <c r="AD21" s="133">
        <v>36.572000000000003</v>
      </c>
      <c r="AG21" t="s">
        <v>135</v>
      </c>
      <c r="AH21" s="137">
        <v>1.0000000000000001E-5</v>
      </c>
      <c r="AI21" s="137">
        <v>5.52118422932676E-3</v>
      </c>
      <c r="AJ21" s="137">
        <v>1.53544323090585E-3</v>
      </c>
    </row>
    <row r="22" spans="1:36">
      <c r="A22">
        <v>161</v>
      </c>
      <c r="B22">
        <v>1434</v>
      </c>
      <c r="C22" t="s">
        <v>2002</v>
      </c>
      <c r="D22" t="s">
        <v>2003</v>
      </c>
      <c r="E22" t="s">
        <v>41</v>
      </c>
      <c r="F22" t="s">
        <v>2012</v>
      </c>
      <c r="G22" t="s">
        <v>2013</v>
      </c>
      <c r="H22" t="s">
        <v>44</v>
      </c>
      <c r="I22" t="s">
        <v>1509</v>
      </c>
      <c r="J22" t="s">
        <v>45</v>
      </c>
      <c r="K22" t="s">
        <v>45</v>
      </c>
      <c r="L22" t="s">
        <v>46</v>
      </c>
      <c r="M22" t="s">
        <v>47</v>
      </c>
      <c r="N22" t="s">
        <v>221</v>
      </c>
      <c r="O22" t="s">
        <v>51</v>
      </c>
      <c r="P22" t="s">
        <v>95</v>
      </c>
      <c r="Q22" t="s">
        <v>96</v>
      </c>
      <c r="R22" t="s">
        <v>97</v>
      </c>
      <c r="S22" t="s">
        <v>52</v>
      </c>
      <c r="T22" t="s">
        <v>2014</v>
      </c>
      <c r="U22" t="s">
        <v>2015</v>
      </c>
      <c r="V22" s="137">
        <v>2.6800000000000001E-2</v>
      </c>
      <c r="W22" s="137">
        <v>4.3880000000000002E-2</v>
      </c>
      <c r="X22" t="s">
        <v>131</v>
      </c>
      <c r="Y22" t="s">
        <v>51</v>
      </c>
      <c r="Z22" s="133">
        <v>108363.99</v>
      </c>
      <c r="AA22" s="135">
        <v>1</v>
      </c>
      <c r="AB22" s="139">
        <v>96.69</v>
      </c>
      <c r="AD22" s="133">
        <v>104.777</v>
      </c>
      <c r="AG22" t="s">
        <v>135</v>
      </c>
      <c r="AH22" s="137">
        <v>4.6E-5</v>
      </c>
      <c r="AI22" s="137">
        <v>1.5817772517619001E-2</v>
      </c>
      <c r="AJ22" s="137">
        <v>4.3989279711371303E-3</v>
      </c>
    </row>
    <row r="23" spans="1:36">
      <c r="A23">
        <v>161</v>
      </c>
      <c r="B23">
        <v>1434</v>
      </c>
      <c r="C23" t="s">
        <v>2002</v>
      </c>
      <c r="D23" t="s">
        <v>2003</v>
      </c>
      <c r="E23" t="s">
        <v>41</v>
      </c>
      <c r="F23" t="s">
        <v>2016</v>
      </c>
      <c r="G23" t="s">
        <v>2017</v>
      </c>
      <c r="H23" t="s">
        <v>44</v>
      </c>
      <c r="I23" t="s">
        <v>1331</v>
      </c>
      <c r="J23" t="s">
        <v>45</v>
      </c>
      <c r="K23" t="s">
        <v>45</v>
      </c>
      <c r="L23" t="s">
        <v>46</v>
      </c>
      <c r="M23" t="s">
        <v>47</v>
      </c>
      <c r="N23" t="s">
        <v>221</v>
      </c>
      <c r="O23" t="s">
        <v>51</v>
      </c>
      <c r="P23" t="s">
        <v>1936</v>
      </c>
      <c r="Q23" t="s">
        <v>96</v>
      </c>
      <c r="R23" t="s">
        <v>97</v>
      </c>
      <c r="S23" t="s">
        <v>52</v>
      </c>
      <c r="T23" t="s">
        <v>2018</v>
      </c>
      <c r="U23" t="s">
        <v>2019</v>
      </c>
      <c r="V23" s="137">
        <v>3.3203000000000003E-2</v>
      </c>
      <c r="W23" s="137">
        <v>2.8549999999999999E-2</v>
      </c>
      <c r="X23" t="s">
        <v>131</v>
      </c>
      <c r="Y23" t="s">
        <v>51</v>
      </c>
      <c r="Z23" s="133">
        <v>70000</v>
      </c>
      <c r="AA23" s="135">
        <v>1</v>
      </c>
      <c r="AB23" s="139">
        <v>106.32</v>
      </c>
      <c r="AD23" s="133">
        <v>74.424000000000007</v>
      </c>
      <c r="AG23" t="s">
        <v>135</v>
      </c>
      <c r="AH23" s="137">
        <v>5.5999999999999999E-5</v>
      </c>
      <c r="AI23" s="137">
        <v>1.12354840011434E-2</v>
      </c>
      <c r="AJ23" s="137">
        <v>3.1245919605204201E-3</v>
      </c>
    </row>
    <row r="24" spans="1:36">
      <c r="A24">
        <v>161</v>
      </c>
      <c r="B24">
        <v>1434</v>
      </c>
      <c r="C24" t="s">
        <v>2020</v>
      </c>
      <c r="D24" t="s">
        <v>2021</v>
      </c>
      <c r="E24" t="s">
        <v>41</v>
      </c>
      <c r="F24" t="s">
        <v>2022</v>
      </c>
      <c r="G24" t="s">
        <v>2023</v>
      </c>
      <c r="H24" t="s">
        <v>44</v>
      </c>
      <c r="I24" t="s">
        <v>1331</v>
      </c>
      <c r="J24" t="s">
        <v>45</v>
      </c>
      <c r="K24" t="s">
        <v>45</v>
      </c>
      <c r="L24" t="s">
        <v>46</v>
      </c>
      <c r="M24" t="s">
        <v>47</v>
      </c>
      <c r="N24" t="s">
        <v>58</v>
      </c>
      <c r="O24" t="s">
        <v>51</v>
      </c>
      <c r="P24" t="s">
        <v>158</v>
      </c>
      <c r="Q24" t="s">
        <v>96</v>
      </c>
      <c r="R24" t="s">
        <v>97</v>
      </c>
      <c r="S24" t="s">
        <v>52</v>
      </c>
      <c r="T24" t="s">
        <v>2024</v>
      </c>
      <c r="U24" t="s">
        <v>2025</v>
      </c>
      <c r="V24" s="137">
        <v>2.7E-2</v>
      </c>
      <c r="W24" s="137">
        <v>2.6870000000000002E-2</v>
      </c>
      <c r="X24" t="s">
        <v>131</v>
      </c>
      <c r="Y24" t="s">
        <v>51</v>
      </c>
      <c r="Z24" s="133">
        <v>12000</v>
      </c>
      <c r="AA24" s="135">
        <v>1</v>
      </c>
      <c r="AB24" s="139">
        <v>110.23</v>
      </c>
      <c r="AD24" s="133">
        <v>13.228</v>
      </c>
      <c r="AG24" t="s">
        <v>135</v>
      </c>
      <c r="AH24" s="137">
        <v>2.8E-5</v>
      </c>
      <c r="AI24" s="137">
        <v>1.9969161584102398E-3</v>
      </c>
      <c r="AJ24" s="137">
        <v>5.5534306966811603E-4</v>
      </c>
    </row>
    <row r="25" spans="1:36">
      <c r="A25">
        <v>161</v>
      </c>
      <c r="B25">
        <v>1434</v>
      </c>
      <c r="C25" t="s">
        <v>2020</v>
      </c>
      <c r="D25" t="s">
        <v>2021</v>
      </c>
      <c r="E25" t="s">
        <v>41</v>
      </c>
      <c r="F25" t="s">
        <v>2026</v>
      </c>
      <c r="G25" t="s">
        <v>2027</v>
      </c>
      <c r="H25" t="s">
        <v>44</v>
      </c>
      <c r="I25" t="s">
        <v>1331</v>
      </c>
      <c r="J25" t="s">
        <v>45</v>
      </c>
      <c r="K25" t="s">
        <v>45</v>
      </c>
      <c r="L25" t="s">
        <v>46</v>
      </c>
      <c r="M25" t="s">
        <v>47</v>
      </c>
      <c r="N25" t="s">
        <v>58</v>
      </c>
      <c r="O25" t="s">
        <v>51</v>
      </c>
      <c r="P25" t="s">
        <v>158</v>
      </c>
      <c r="Q25" t="s">
        <v>96</v>
      </c>
      <c r="R25" t="s">
        <v>97</v>
      </c>
      <c r="S25" t="s">
        <v>52</v>
      </c>
      <c r="T25" t="s">
        <v>2028</v>
      </c>
      <c r="U25" t="s">
        <v>2029</v>
      </c>
      <c r="V25" s="137">
        <v>1.7999999999999999E-2</v>
      </c>
      <c r="W25" s="137">
        <v>2.179E-2</v>
      </c>
      <c r="X25" t="s">
        <v>131</v>
      </c>
      <c r="Y25" t="s">
        <v>51</v>
      </c>
      <c r="Z25" s="133">
        <v>71842.100000000006</v>
      </c>
      <c r="AA25" s="135">
        <v>1</v>
      </c>
      <c r="AB25" s="139">
        <v>118.2</v>
      </c>
      <c r="AD25" s="133">
        <v>84.917000000000002</v>
      </c>
      <c r="AG25" t="s">
        <v>135</v>
      </c>
      <c r="AH25" s="137">
        <v>1.0399999999999999E-4</v>
      </c>
      <c r="AI25" s="137">
        <v>1.2819623567900101E-2</v>
      </c>
      <c r="AJ25" s="137">
        <v>3.5651417182457298E-3</v>
      </c>
    </row>
    <row r="26" spans="1:36">
      <c r="A26">
        <v>161</v>
      </c>
      <c r="B26">
        <v>1434</v>
      </c>
      <c r="C26" t="s">
        <v>2030</v>
      </c>
      <c r="D26" t="s">
        <v>2031</v>
      </c>
      <c r="E26" t="s">
        <v>41</v>
      </c>
      <c r="F26" t="s">
        <v>2032</v>
      </c>
      <c r="G26" t="s">
        <v>2033</v>
      </c>
      <c r="H26" t="s">
        <v>44</v>
      </c>
      <c r="I26" t="s">
        <v>1331</v>
      </c>
      <c r="J26" t="s">
        <v>45</v>
      </c>
      <c r="K26" t="s">
        <v>45</v>
      </c>
      <c r="L26" t="s">
        <v>46</v>
      </c>
      <c r="M26" t="s">
        <v>47</v>
      </c>
      <c r="N26" t="s">
        <v>1037</v>
      </c>
      <c r="O26" t="s">
        <v>51</v>
      </c>
      <c r="P26" t="s">
        <v>1919</v>
      </c>
      <c r="Q26" t="s">
        <v>96</v>
      </c>
      <c r="R26" t="s">
        <v>97</v>
      </c>
      <c r="S26" t="s">
        <v>52</v>
      </c>
      <c r="T26" t="s">
        <v>2034</v>
      </c>
      <c r="U26" t="s">
        <v>2035</v>
      </c>
      <c r="V26" s="137">
        <v>4.4000000000000003E-3</v>
      </c>
      <c r="W26" s="137">
        <v>2.4420000000000001E-2</v>
      </c>
      <c r="X26" t="s">
        <v>131</v>
      </c>
      <c r="Y26" t="s">
        <v>51</v>
      </c>
      <c r="Z26" s="133">
        <v>40000</v>
      </c>
      <c r="AA26" s="135">
        <v>1</v>
      </c>
      <c r="AB26" s="139">
        <v>110.89</v>
      </c>
      <c r="AD26" s="133">
        <v>44.356000000000002</v>
      </c>
      <c r="AG26" t="s">
        <v>135</v>
      </c>
      <c r="AH26" s="137">
        <v>3.4999999999999997E-5</v>
      </c>
      <c r="AI26" s="137">
        <v>6.6962421847080802E-3</v>
      </c>
      <c r="AJ26" s="137">
        <v>1.8622272519730699E-3</v>
      </c>
    </row>
    <row r="27" spans="1:36">
      <c r="A27">
        <v>161</v>
      </c>
      <c r="B27">
        <v>1434</v>
      </c>
      <c r="C27" t="s">
        <v>2036</v>
      </c>
      <c r="D27" t="s">
        <v>2037</v>
      </c>
      <c r="E27" t="s">
        <v>41</v>
      </c>
      <c r="F27" t="s">
        <v>2038</v>
      </c>
      <c r="G27" t="s">
        <v>2039</v>
      </c>
      <c r="H27" t="s">
        <v>44</v>
      </c>
      <c r="I27" t="s">
        <v>1509</v>
      </c>
      <c r="J27" t="s">
        <v>45</v>
      </c>
      <c r="K27" t="s">
        <v>45</v>
      </c>
      <c r="L27" t="s">
        <v>46</v>
      </c>
      <c r="M27" t="s">
        <v>47</v>
      </c>
      <c r="N27" t="s">
        <v>1037</v>
      </c>
      <c r="O27" t="s">
        <v>51</v>
      </c>
      <c r="P27" t="s">
        <v>183</v>
      </c>
      <c r="Q27" t="s">
        <v>167</v>
      </c>
      <c r="R27" t="s">
        <v>97</v>
      </c>
      <c r="S27" t="s">
        <v>52</v>
      </c>
      <c r="T27" t="s">
        <v>2040</v>
      </c>
      <c r="U27" t="s">
        <v>2041</v>
      </c>
      <c r="V27" s="137">
        <v>1.95E-2</v>
      </c>
      <c r="W27" s="137">
        <v>4.4400000000000002E-2</v>
      </c>
      <c r="X27" t="s">
        <v>131</v>
      </c>
      <c r="Y27" t="s">
        <v>51</v>
      </c>
      <c r="Z27" s="133">
        <v>159570.29</v>
      </c>
      <c r="AA27" s="135">
        <v>1</v>
      </c>
      <c r="AB27" s="139">
        <v>89.99</v>
      </c>
      <c r="AD27" s="133">
        <v>143.59700000000001</v>
      </c>
      <c r="AG27" t="s">
        <v>135</v>
      </c>
      <c r="AH27" s="137">
        <v>1.75E-4</v>
      </c>
      <c r="AI27" s="137">
        <v>2.1678292101653899E-2</v>
      </c>
      <c r="AJ27" s="137">
        <v>6.02874048076149E-3</v>
      </c>
    </row>
    <row r="28" spans="1:36">
      <c r="A28">
        <v>161</v>
      </c>
      <c r="B28">
        <v>1434</v>
      </c>
      <c r="C28" t="s">
        <v>2042</v>
      </c>
      <c r="D28" t="s">
        <v>2043</v>
      </c>
      <c r="E28" t="s">
        <v>41</v>
      </c>
      <c r="F28" t="s">
        <v>2044</v>
      </c>
      <c r="G28" t="s">
        <v>2045</v>
      </c>
      <c r="H28" t="s">
        <v>44</v>
      </c>
      <c r="I28" t="s">
        <v>1509</v>
      </c>
      <c r="J28" t="s">
        <v>45</v>
      </c>
      <c r="K28" t="s">
        <v>45</v>
      </c>
      <c r="L28" t="s">
        <v>46</v>
      </c>
      <c r="M28" t="s">
        <v>47</v>
      </c>
      <c r="N28" t="s">
        <v>1043</v>
      </c>
      <c r="O28" t="s">
        <v>51</v>
      </c>
      <c r="P28" t="s">
        <v>128</v>
      </c>
      <c r="Q28" t="s">
        <v>96</v>
      </c>
      <c r="R28" t="s">
        <v>97</v>
      </c>
      <c r="S28" t="s">
        <v>52</v>
      </c>
      <c r="T28" t="s">
        <v>2046</v>
      </c>
      <c r="U28" t="s">
        <v>2001</v>
      </c>
      <c r="V28" s="137">
        <v>2.1999999999999999E-2</v>
      </c>
      <c r="W28" s="137">
        <v>4.6530000000000002E-2</v>
      </c>
      <c r="X28" t="s">
        <v>131</v>
      </c>
      <c r="Y28" t="s">
        <v>51</v>
      </c>
      <c r="Z28" s="133">
        <v>112000</v>
      </c>
      <c r="AA28" s="135">
        <v>1</v>
      </c>
      <c r="AB28" s="139">
        <v>97.45</v>
      </c>
      <c r="AD28" s="133">
        <v>109.14400000000001</v>
      </c>
      <c r="AG28" t="s">
        <v>135</v>
      </c>
      <c r="AH28" s="137">
        <v>1.2899999999999999E-4</v>
      </c>
      <c r="AI28" s="137">
        <v>1.6477019050585701E-2</v>
      </c>
      <c r="AJ28" s="137">
        <v>4.5822646584306199E-3</v>
      </c>
    </row>
    <row r="29" spans="1:36">
      <c r="A29">
        <v>161</v>
      </c>
      <c r="B29">
        <v>1434</v>
      </c>
      <c r="C29" t="s">
        <v>2047</v>
      </c>
      <c r="D29" t="s">
        <v>2048</v>
      </c>
      <c r="E29" t="s">
        <v>41</v>
      </c>
      <c r="F29" t="s">
        <v>2049</v>
      </c>
      <c r="G29" t="s">
        <v>2050</v>
      </c>
      <c r="H29" t="s">
        <v>44</v>
      </c>
      <c r="I29" t="s">
        <v>1509</v>
      </c>
      <c r="J29" t="s">
        <v>45</v>
      </c>
      <c r="K29" t="s">
        <v>45</v>
      </c>
      <c r="L29" t="s">
        <v>46</v>
      </c>
      <c r="M29" t="s">
        <v>47</v>
      </c>
      <c r="N29" t="s">
        <v>1038</v>
      </c>
      <c r="O29" t="s">
        <v>51</v>
      </c>
      <c r="P29" t="s">
        <v>733</v>
      </c>
      <c r="Q29" t="s">
        <v>733</v>
      </c>
      <c r="R29" t="s">
        <v>733</v>
      </c>
      <c r="S29" t="s">
        <v>52</v>
      </c>
      <c r="T29" t="s">
        <v>2051</v>
      </c>
      <c r="U29" t="s">
        <v>2052</v>
      </c>
      <c r="V29" s="137">
        <v>6.5000000000000002E-2</v>
      </c>
      <c r="W29" s="137">
        <v>6.1179999999999998E-2</v>
      </c>
      <c r="X29" t="s">
        <v>131</v>
      </c>
      <c r="Y29" t="s">
        <v>51</v>
      </c>
      <c r="Z29" s="133">
        <v>21000</v>
      </c>
      <c r="AA29" s="135">
        <v>1</v>
      </c>
      <c r="AB29" s="139">
        <v>102.2</v>
      </c>
      <c r="AD29" s="133">
        <v>21.462</v>
      </c>
      <c r="AG29" t="s">
        <v>135</v>
      </c>
      <c r="AH29" s="137">
        <v>5.8E-5</v>
      </c>
      <c r="AI29" s="137">
        <v>3.2400295285464199E-3</v>
      </c>
      <c r="AJ29" s="137">
        <v>9.0105332495820202E-4</v>
      </c>
    </row>
    <row r="30" spans="1:36">
      <c r="A30">
        <v>161</v>
      </c>
      <c r="B30">
        <v>1434</v>
      </c>
      <c r="C30" t="s">
        <v>2053</v>
      </c>
      <c r="D30" t="s">
        <v>2054</v>
      </c>
      <c r="E30" t="s">
        <v>41</v>
      </c>
      <c r="F30" t="s">
        <v>2055</v>
      </c>
      <c r="G30" t="s">
        <v>2056</v>
      </c>
      <c r="H30" t="s">
        <v>44</v>
      </c>
      <c r="I30" t="s">
        <v>1331</v>
      </c>
      <c r="J30" t="s">
        <v>45</v>
      </c>
      <c r="K30" t="s">
        <v>45</v>
      </c>
      <c r="L30" t="s">
        <v>46</v>
      </c>
      <c r="M30" t="s">
        <v>47</v>
      </c>
      <c r="N30" t="s">
        <v>1034</v>
      </c>
      <c r="O30" t="s">
        <v>51</v>
      </c>
      <c r="P30" t="s">
        <v>95</v>
      </c>
      <c r="Q30" t="s">
        <v>96</v>
      </c>
      <c r="R30" t="s">
        <v>97</v>
      </c>
      <c r="S30" t="s">
        <v>52</v>
      </c>
      <c r="T30" t="s">
        <v>2057</v>
      </c>
      <c r="U30" t="s">
        <v>2058</v>
      </c>
      <c r="V30" s="137">
        <v>3.85E-2</v>
      </c>
      <c r="W30" s="137">
        <v>2.231E-2</v>
      </c>
      <c r="X30" t="s">
        <v>131</v>
      </c>
      <c r="Y30" t="s">
        <v>51</v>
      </c>
      <c r="Z30" s="133">
        <v>131086.95000000001</v>
      </c>
      <c r="AA30" s="135">
        <v>1</v>
      </c>
      <c r="AB30" s="139">
        <v>122.64</v>
      </c>
      <c r="AC30" s="133">
        <v>4.7560000000000002</v>
      </c>
      <c r="AD30" s="133">
        <v>165.52099999999999</v>
      </c>
      <c r="AG30" t="s">
        <v>135</v>
      </c>
      <c r="AH30" s="137">
        <v>5.1999999999999997E-5</v>
      </c>
      <c r="AI30" s="137">
        <v>2.4987954866117101E-2</v>
      </c>
      <c r="AJ30" s="137">
        <v>6.9491588325497396E-3</v>
      </c>
    </row>
    <row r="31" spans="1:36">
      <c r="A31">
        <v>161</v>
      </c>
      <c r="B31">
        <v>1434</v>
      </c>
      <c r="C31" t="s">
        <v>2053</v>
      </c>
      <c r="D31" t="s">
        <v>2054</v>
      </c>
      <c r="E31" t="s">
        <v>41</v>
      </c>
      <c r="F31" t="s">
        <v>2059</v>
      </c>
      <c r="G31" t="s">
        <v>2060</v>
      </c>
      <c r="H31" t="s">
        <v>44</v>
      </c>
      <c r="I31" t="s">
        <v>1331</v>
      </c>
      <c r="J31" t="s">
        <v>45</v>
      </c>
      <c r="K31" t="s">
        <v>45</v>
      </c>
      <c r="L31" t="s">
        <v>46</v>
      </c>
      <c r="M31" t="s">
        <v>47</v>
      </c>
      <c r="N31" t="s">
        <v>1034</v>
      </c>
      <c r="O31" t="s">
        <v>51</v>
      </c>
      <c r="P31" t="s">
        <v>95</v>
      </c>
      <c r="Q31" t="s">
        <v>96</v>
      </c>
      <c r="R31" t="s">
        <v>97</v>
      </c>
      <c r="S31" t="s">
        <v>52</v>
      </c>
      <c r="T31" t="s">
        <v>2061</v>
      </c>
      <c r="U31" t="s">
        <v>2062</v>
      </c>
      <c r="V31" s="137">
        <v>2.3900000000000001E-2</v>
      </c>
      <c r="W31" s="137">
        <v>2.555E-2</v>
      </c>
      <c r="X31" t="s">
        <v>131</v>
      </c>
      <c r="Y31" t="s">
        <v>51</v>
      </c>
      <c r="Z31" s="133">
        <v>125000</v>
      </c>
      <c r="AA31" s="135">
        <v>1</v>
      </c>
      <c r="AB31" s="139">
        <v>116.8</v>
      </c>
      <c r="AD31" s="133">
        <v>146</v>
      </c>
      <c r="AG31" t="s">
        <v>135</v>
      </c>
      <c r="AH31" s="137">
        <v>3.1999999999999999E-5</v>
      </c>
      <c r="AI31" s="137">
        <v>2.2041017200996001E-2</v>
      </c>
      <c r="AJ31" s="137">
        <v>6.1296144554979703E-3</v>
      </c>
    </row>
    <row r="32" spans="1:36">
      <c r="A32">
        <v>161</v>
      </c>
      <c r="B32">
        <v>1434</v>
      </c>
      <c r="C32" t="s">
        <v>2053</v>
      </c>
      <c r="D32" t="s">
        <v>2054</v>
      </c>
      <c r="E32" t="s">
        <v>41</v>
      </c>
      <c r="F32" t="s">
        <v>2063</v>
      </c>
      <c r="G32" t="s">
        <v>2064</v>
      </c>
      <c r="H32" t="s">
        <v>44</v>
      </c>
      <c r="I32" t="s">
        <v>1331</v>
      </c>
      <c r="J32" t="s">
        <v>45</v>
      </c>
      <c r="K32" t="s">
        <v>45</v>
      </c>
      <c r="L32" t="s">
        <v>46</v>
      </c>
      <c r="M32" t="s">
        <v>47</v>
      </c>
      <c r="N32" t="s">
        <v>1034</v>
      </c>
      <c r="O32" t="s">
        <v>51</v>
      </c>
      <c r="P32" t="s">
        <v>95</v>
      </c>
      <c r="Q32" t="s">
        <v>96</v>
      </c>
      <c r="R32" t="s">
        <v>97</v>
      </c>
      <c r="S32" t="s">
        <v>52</v>
      </c>
      <c r="T32" t="s">
        <v>2065</v>
      </c>
      <c r="U32" t="s">
        <v>2066</v>
      </c>
      <c r="V32" s="137">
        <v>0.03</v>
      </c>
      <c r="W32" s="137">
        <v>2.5870000000000001E-2</v>
      </c>
      <c r="X32" t="s">
        <v>131</v>
      </c>
      <c r="Y32" t="s">
        <v>51</v>
      </c>
      <c r="Z32" s="133">
        <v>85000</v>
      </c>
      <c r="AA32" s="135">
        <v>1</v>
      </c>
      <c r="AB32" s="139">
        <v>110.85</v>
      </c>
      <c r="AD32" s="133">
        <v>94.221999999999994</v>
      </c>
      <c r="AG32" t="s">
        <v>135</v>
      </c>
      <c r="AH32" s="137">
        <v>2.0999999999999999E-5</v>
      </c>
      <c r="AI32" s="137">
        <v>1.42243818028825E-2</v>
      </c>
      <c r="AJ32" s="137">
        <v>3.9558054659805299E-3</v>
      </c>
    </row>
    <row r="33" spans="1:36">
      <c r="A33">
        <v>161</v>
      </c>
      <c r="B33">
        <v>1434</v>
      </c>
      <c r="C33" t="s">
        <v>2067</v>
      </c>
      <c r="D33" t="s">
        <v>2068</v>
      </c>
      <c r="E33" t="s">
        <v>41</v>
      </c>
      <c r="F33" t="s">
        <v>2069</v>
      </c>
      <c r="G33" t="s">
        <v>2070</v>
      </c>
      <c r="H33" t="s">
        <v>44</v>
      </c>
      <c r="I33" t="s">
        <v>1331</v>
      </c>
      <c r="J33" t="s">
        <v>45</v>
      </c>
      <c r="K33" t="s">
        <v>45</v>
      </c>
      <c r="L33" t="s">
        <v>46</v>
      </c>
      <c r="M33" t="s">
        <v>47</v>
      </c>
      <c r="N33" t="s">
        <v>270</v>
      </c>
      <c r="O33" t="s">
        <v>51</v>
      </c>
      <c r="P33" t="s">
        <v>1936</v>
      </c>
      <c r="Q33" t="s">
        <v>96</v>
      </c>
      <c r="R33" t="s">
        <v>97</v>
      </c>
      <c r="S33" t="s">
        <v>52</v>
      </c>
      <c r="T33" t="s">
        <v>2071</v>
      </c>
      <c r="U33" t="s">
        <v>2072</v>
      </c>
      <c r="V33" s="137">
        <v>1.0500000000000001E-2</v>
      </c>
      <c r="W33" s="137">
        <v>2.1870000000000001E-2</v>
      </c>
      <c r="X33" t="s">
        <v>131</v>
      </c>
      <c r="Y33" t="s">
        <v>51</v>
      </c>
      <c r="Z33" s="133">
        <v>20000.009999999998</v>
      </c>
      <c r="AA33" s="135">
        <v>1</v>
      </c>
      <c r="AB33" s="139">
        <v>116.14</v>
      </c>
      <c r="AD33" s="133">
        <v>23.228000000000002</v>
      </c>
      <c r="AG33" t="s">
        <v>135</v>
      </c>
      <c r="AH33" s="137">
        <v>7.2999999999999999E-5</v>
      </c>
      <c r="AI33" s="137">
        <v>3.50663701047335E-3</v>
      </c>
      <c r="AJ33" s="137">
        <v>9.7519695727156996E-4</v>
      </c>
    </row>
    <row r="34" spans="1:36">
      <c r="A34">
        <v>161</v>
      </c>
      <c r="B34">
        <v>1434</v>
      </c>
      <c r="C34" t="s">
        <v>2067</v>
      </c>
      <c r="D34" t="s">
        <v>2068</v>
      </c>
      <c r="E34" t="s">
        <v>41</v>
      </c>
      <c r="F34" t="s">
        <v>2073</v>
      </c>
      <c r="G34" t="s">
        <v>2074</v>
      </c>
      <c r="H34" t="s">
        <v>44</v>
      </c>
      <c r="I34" t="s">
        <v>1509</v>
      </c>
      <c r="J34" t="s">
        <v>45</v>
      </c>
      <c r="K34" t="s">
        <v>45</v>
      </c>
      <c r="L34" t="s">
        <v>46</v>
      </c>
      <c r="M34" t="s">
        <v>47</v>
      </c>
      <c r="N34" t="s">
        <v>270</v>
      </c>
      <c r="O34" t="s">
        <v>51</v>
      </c>
      <c r="P34" t="s">
        <v>1936</v>
      </c>
      <c r="Q34" t="s">
        <v>96</v>
      </c>
      <c r="R34" t="s">
        <v>97</v>
      </c>
      <c r="S34" t="s">
        <v>52</v>
      </c>
      <c r="T34" t="s">
        <v>2075</v>
      </c>
      <c r="U34" t="s">
        <v>2076</v>
      </c>
      <c r="V34" s="137">
        <v>2.18E-2</v>
      </c>
      <c r="W34" s="137">
        <v>4.8599999999999997E-2</v>
      </c>
      <c r="X34" t="s">
        <v>131</v>
      </c>
      <c r="Y34" t="s">
        <v>51</v>
      </c>
      <c r="Z34" s="133">
        <v>67619.039999999994</v>
      </c>
      <c r="AA34" s="135">
        <v>1</v>
      </c>
      <c r="AB34" s="139">
        <v>96.67</v>
      </c>
      <c r="AD34" s="133">
        <v>65.367000000000004</v>
      </c>
      <c r="AG34" t="s">
        <v>135</v>
      </c>
      <c r="AH34" s="137">
        <v>2.9599999999999998E-4</v>
      </c>
      <c r="AI34" s="137">
        <v>9.8682353153685103E-3</v>
      </c>
      <c r="AJ34" s="137">
        <v>2.7443596313061701E-3</v>
      </c>
    </row>
    <row r="35" spans="1:36">
      <c r="A35">
        <v>161</v>
      </c>
      <c r="B35">
        <v>1434</v>
      </c>
      <c r="C35" t="s">
        <v>2077</v>
      </c>
      <c r="D35" t="s">
        <v>2078</v>
      </c>
      <c r="E35" t="s">
        <v>41</v>
      </c>
      <c r="F35" t="s">
        <v>2079</v>
      </c>
      <c r="G35" t="s">
        <v>2080</v>
      </c>
      <c r="H35" t="s">
        <v>44</v>
      </c>
      <c r="I35" t="s">
        <v>1331</v>
      </c>
      <c r="J35" t="s">
        <v>45</v>
      </c>
      <c r="K35" t="s">
        <v>45</v>
      </c>
      <c r="L35" t="s">
        <v>46</v>
      </c>
      <c r="M35" t="s">
        <v>47</v>
      </c>
      <c r="N35" t="s">
        <v>58</v>
      </c>
      <c r="O35" t="s">
        <v>51</v>
      </c>
      <c r="P35" t="s">
        <v>1919</v>
      </c>
      <c r="Q35" t="s">
        <v>96</v>
      </c>
      <c r="R35" t="s">
        <v>97</v>
      </c>
      <c r="S35" t="s">
        <v>52</v>
      </c>
      <c r="T35" t="s">
        <v>2081</v>
      </c>
      <c r="U35" t="s">
        <v>2082</v>
      </c>
      <c r="V35" s="137">
        <v>1.5800000000000002E-2</v>
      </c>
      <c r="W35" s="137">
        <v>1.5440000000000001E-2</v>
      </c>
      <c r="X35" t="s">
        <v>131</v>
      </c>
      <c r="Y35" t="s">
        <v>51</v>
      </c>
      <c r="Z35" s="133">
        <v>16998.14</v>
      </c>
      <c r="AA35" s="135">
        <v>1</v>
      </c>
      <c r="AB35" s="139">
        <v>119.78</v>
      </c>
      <c r="AD35" s="133">
        <v>20.36</v>
      </c>
      <c r="AG35" t="s">
        <v>135</v>
      </c>
      <c r="AH35" s="137">
        <v>4.3000000000000002E-5</v>
      </c>
      <c r="AI35" s="137">
        <v>3.0737213116332298E-3</v>
      </c>
      <c r="AJ35" s="137">
        <v>8.5480295270164901E-4</v>
      </c>
    </row>
    <row r="36" spans="1:36">
      <c r="A36">
        <v>161</v>
      </c>
      <c r="B36">
        <v>1434</v>
      </c>
      <c r="C36" t="s">
        <v>2077</v>
      </c>
      <c r="D36" t="s">
        <v>2078</v>
      </c>
      <c r="E36" t="s">
        <v>41</v>
      </c>
      <c r="F36" t="s">
        <v>2083</v>
      </c>
      <c r="G36" t="s">
        <v>2084</v>
      </c>
      <c r="H36" t="s">
        <v>44</v>
      </c>
      <c r="I36" t="s">
        <v>1331</v>
      </c>
      <c r="J36" t="s">
        <v>45</v>
      </c>
      <c r="K36" t="s">
        <v>45</v>
      </c>
      <c r="L36" t="s">
        <v>46</v>
      </c>
      <c r="M36" t="s">
        <v>47</v>
      </c>
      <c r="N36" t="s">
        <v>58</v>
      </c>
      <c r="O36" t="s">
        <v>51</v>
      </c>
      <c r="P36" t="s">
        <v>1919</v>
      </c>
      <c r="Q36" t="s">
        <v>96</v>
      </c>
      <c r="R36" t="s">
        <v>97</v>
      </c>
      <c r="S36" t="s">
        <v>52</v>
      </c>
      <c r="T36" t="s">
        <v>2085</v>
      </c>
      <c r="U36" t="s">
        <v>2086</v>
      </c>
      <c r="V36" s="137">
        <v>8.3999999999999995E-3</v>
      </c>
      <c r="W36" s="137">
        <v>2.647E-2</v>
      </c>
      <c r="X36" t="s">
        <v>131</v>
      </c>
      <c r="Y36" t="s">
        <v>51</v>
      </c>
      <c r="Z36" s="133">
        <v>39648.35</v>
      </c>
      <c r="AA36" s="135">
        <v>1</v>
      </c>
      <c r="AB36" s="139">
        <v>110</v>
      </c>
      <c r="AD36" s="133">
        <v>43.613</v>
      </c>
      <c r="AG36" t="s">
        <v>135</v>
      </c>
      <c r="AH36" s="137">
        <v>5.3999999999999998E-5</v>
      </c>
      <c r="AI36" s="137">
        <v>6.5841024710631699E-3</v>
      </c>
      <c r="AJ36" s="137">
        <v>1.8310411590843E-3</v>
      </c>
    </row>
    <row r="37" spans="1:36">
      <c r="A37">
        <v>161</v>
      </c>
      <c r="B37">
        <v>1434</v>
      </c>
      <c r="C37" t="s">
        <v>1696</v>
      </c>
      <c r="D37" t="s">
        <v>2087</v>
      </c>
      <c r="E37" t="s">
        <v>41</v>
      </c>
      <c r="F37" t="s">
        <v>2088</v>
      </c>
      <c r="G37" t="s">
        <v>2089</v>
      </c>
      <c r="H37" t="s">
        <v>44</v>
      </c>
      <c r="I37" t="s">
        <v>1509</v>
      </c>
      <c r="J37" t="s">
        <v>45</v>
      </c>
      <c r="K37" t="s">
        <v>45</v>
      </c>
      <c r="L37" t="s">
        <v>46</v>
      </c>
      <c r="M37" t="s">
        <v>47</v>
      </c>
      <c r="N37" t="s">
        <v>1037</v>
      </c>
      <c r="O37" t="s">
        <v>51</v>
      </c>
      <c r="P37" t="s">
        <v>128</v>
      </c>
      <c r="Q37" t="s">
        <v>96</v>
      </c>
      <c r="R37" t="s">
        <v>97</v>
      </c>
      <c r="S37" t="s">
        <v>52</v>
      </c>
      <c r="T37" t="s">
        <v>2090</v>
      </c>
      <c r="U37" t="s">
        <v>2091</v>
      </c>
      <c r="V37" s="137">
        <v>5.1200000000000002E-2</v>
      </c>
      <c r="W37" s="137">
        <v>4.9020000000000001E-2</v>
      </c>
      <c r="X37" t="s">
        <v>131</v>
      </c>
      <c r="Y37" t="s">
        <v>51</v>
      </c>
      <c r="Z37" s="133">
        <v>25000</v>
      </c>
      <c r="AA37" s="135">
        <v>1</v>
      </c>
      <c r="AB37" s="139">
        <v>104.5</v>
      </c>
      <c r="AD37" s="133">
        <v>26.125</v>
      </c>
      <c r="AG37" t="s">
        <v>135</v>
      </c>
      <c r="AH37" s="137">
        <v>1.4E-5</v>
      </c>
      <c r="AI37" s="137">
        <v>3.9439833861371299E-3</v>
      </c>
      <c r="AJ37" s="137">
        <v>1.0968231345882501E-3</v>
      </c>
    </row>
    <row r="38" spans="1:36">
      <c r="A38">
        <v>161</v>
      </c>
      <c r="B38">
        <v>1434</v>
      </c>
      <c r="C38" t="s">
        <v>2092</v>
      </c>
      <c r="D38" t="s">
        <v>2093</v>
      </c>
      <c r="E38" t="s">
        <v>41</v>
      </c>
      <c r="F38" t="s">
        <v>2094</v>
      </c>
      <c r="G38" t="s">
        <v>2095</v>
      </c>
      <c r="H38" t="s">
        <v>44</v>
      </c>
      <c r="I38" t="s">
        <v>1509</v>
      </c>
      <c r="J38" t="s">
        <v>45</v>
      </c>
      <c r="K38" t="s">
        <v>45</v>
      </c>
      <c r="L38" t="s">
        <v>46</v>
      </c>
      <c r="M38" t="s">
        <v>47</v>
      </c>
      <c r="N38" t="s">
        <v>1037</v>
      </c>
      <c r="O38" t="s">
        <v>51</v>
      </c>
      <c r="P38" t="s">
        <v>1936</v>
      </c>
      <c r="Q38" t="s">
        <v>96</v>
      </c>
      <c r="R38" t="s">
        <v>97</v>
      </c>
      <c r="S38" t="s">
        <v>52</v>
      </c>
      <c r="T38" t="s">
        <v>2096</v>
      </c>
      <c r="U38" t="s">
        <v>2097</v>
      </c>
      <c r="V38" s="137">
        <v>2.5000000000000001E-2</v>
      </c>
      <c r="W38" s="137">
        <v>4.6129999999999997E-2</v>
      </c>
      <c r="X38" t="s">
        <v>131</v>
      </c>
      <c r="Y38" t="s">
        <v>51</v>
      </c>
      <c r="Z38" s="133">
        <v>90000</v>
      </c>
      <c r="AA38" s="135">
        <v>1</v>
      </c>
      <c r="AB38" s="139">
        <v>89.3</v>
      </c>
      <c r="AD38" s="133">
        <v>80.37</v>
      </c>
      <c r="AG38" t="s">
        <v>135</v>
      </c>
      <c r="AH38" s="137">
        <v>6.7000000000000002E-5</v>
      </c>
      <c r="AI38" s="137">
        <v>1.21331270715346E-2</v>
      </c>
      <c r="AJ38" s="137">
        <v>3.3742268067696699E-3</v>
      </c>
    </row>
    <row r="39" spans="1:36">
      <c r="A39">
        <v>161</v>
      </c>
      <c r="B39">
        <v>1434</v>
      </c>
      <c r="C39" t="s">
        <v>216</v>
      </c>
      <c r="D39" t="s">
        <v>217</v>
      </c>
      <c r="E39" t="s">
        <v>41</v>
      </c>
      <c r="F39" t="s">
        <v>2098</v>
      </c>
      <c r="G39" t="s">
        <v>2099</v>
      </c>
      <c r="H39" t="s">
        <v>44</v>
      </c>
      <c r="I39" t="s">
        <v>1331</v>
      </c>
      <c r="J39" t="s">
        <v>45</v>
      </c>
      <c r="K39" t="s">
        <v>45</v>
      </c>
      <c r="L39" t="s">
        <v>46</v>
      </c>
      <c r="M39" t="s">
        <v>47</v>
      </c>
      <c r="N39" t="s">
        <v>221</v>
      </c>
      <c r="O39" t="s">
        <v>51</v>
      </c>
      <c r="P39" t="s">
        <v>95</v>
      </c>
      <c r="Q39" t="s">
        <v>96</v>
      </c>
      <c r="R39" t="s">
        <v>97</v>
      </c>
      <c r="S39" t="s">
        <v>52</v>
      </c>
      <c r="T39" t="s">
        <v>2100</v>
      </c>
      <c r="U39" t="s">
        <v>2101</v>
      </c>
      <c r="V39" s="137">
        <v>1.8599999999999998E-2</v>
      </c>
      <c r="W39" s="137">
        <v>2.0230000000000001E-2</v>
      </c>
      <c r="X39" t="s">
        <v>131</v>
      </c>
      <c r="Y39" t="s">
        <v>51</v>
      </c>
      <c r="Z39" s="133">
        <v>23800</v>
      </c>
      <c r="AA39" s="135">
        <v>1</v>
      </c>
      <c r="AB39" s="139">
        <v>105.64</v>
      </c>
      <c r="AD39" s="133">
        <v>25.141999999999999</v>
      </c>
      <c r="AG39" t="s">
        <v>135</v>
      </c>
      <c r="AH39" s="137">
        <v>1.1E-5</v>
      </c>
      <c r="AI39" s="137">
        <v>3.79563224378731E-3</v>
      </c>
      <c r="AJ39" s="137">
        <v>1.05556663093668E-3</v>
      </c>
    </row>
    <row r="40" spans="1:36">
      <c r="A40">
        <v>161</v>
      </c>
      <c r="B40">
        <v>1434</v>
      </c>
      <c r="C40" t="s">
        <v>216</v>
      </c>
      <c r="D40" t="s">
        <v>217</v>
      </c>
      <c r="E40" t="s">
        <v>41</v>
      </c>
      <c r="F40" t="s">
        <v>2102</v>
      </c>
      <c r="G40" t="s">
        <v>2103</v>
      </c>
      <c r="H40" t="s">
        <v>44</v>
      </c>
      <c r="I40" t="s">
        <v>1331</v>
      </c>
      <c r="J40" t="s">
        <v>45</v>
      </c>
      <c r="K40" t="s">
        <v>45</v>
      </c>
      <c r="L40" t="s">
        <v>46</v>
      </c>
      <c r="M40" t="s">
        <v>47</v>
      </c>
      <c r="N40" t="s">
        <v>221</v>
      </c>
      <c r="O40" t="s">
        <v>51</v>
      </c>
      <c r="P40" t="s">
        <v>95</v>
      </c>
      <c r="Q40" t="s">
        <v>96</v>
      </c>
      <c r="R40" t="s">
        <v>97</v>
      </c>
      <c r="S40" t="s">
        <v>52</v>
      </c>
      <c r="T40" t="s">
        <v>2104</v>
      </c>
      <c r="U40" t="s">
        <v>2105</v>
      </c>
      <c r="V40" s="137">
        <v>1E-3</v>
      </c>
      <c r="W40" s="137">
        <v>1.8589999999999999E-2</v>
      </c>
      <c r="X40" t="s">
        <v>131</v>
      </c>
      <c r="Y40" t="s">
        <v>51</v>
      </c>
      <c r="Z40" s="133">
        <v>38000</v>
      </c>
      <c r="AA40" s="135">
        <v>1</v>
      </c>
      <c r="AB40" s="139">
        <v>111.75</v>
      </c>
      <c r="AD40" s="133">
        <v>42.465000000000003</v>
      </c>
      <c r="AG40" t="s">
        <v>135</v>
      </c>
      <c r="AH40" s="137">
        <v>1.2E-5</v>
      </c>
      <c r="AI40" s="137">
        <v>6.4107657221938097E-3</v>
      </c>
      <c r="AJ40" s="137">
        <v>1.78283614967617E-3</v>
      </c>
    </row>
    <row r="41" spans="1:36">
      <c r="A41">
        <v>161</v>
      </c>
      <c r="B41">
        <v>1434</v>
      </c>
      <c r="C41" t="s">
        <v>216</v>
      </c>
      <c r="D41" t="s">
        <v>217</v>
      </c>
      <c r="E41" t="s">
        <v>41</v>
      </c>
      <c r="F41" t="s">
        <v>2106</v>
      </c>
      <c r="G41" t="s">
        <v>2107</v>
      </c>
      <c r="H41" t="s">
        <v>44</v>
      </c>
      <c r="I41" t="s">
        <v>1509</v>
      </c>
      <c r="J41" t="s">
        <v>45</v>
      </c>
      <c r="K41" t="s">
        <v>45</v>
      </c>
      <c r="L41" t="s">
        <v>46</v>
      </c>
      <c r="M41" t="s">
        <v>47</v>
      </c>
      <c r="N41" t="s">
        <v>221</v>
      </c>
      <c r="O41" t="s">
        <v>51</v>
      </c>
      <c r="P41" t="s">
        <v>95</v>
      </c>
      <c r="Q41" t="s">
        <v>96</v>
      </c>
      <c r="R41" t="s">
        <v>97</v>
      </c>
      <c r="S41" t="s">
        <v>52</v>
      </c>
      <c r="T41" t="s">
        <v>2108</v>
      </c>
      <c r="U41" t="s">
        <v>2109</v>
      </c>
      <c r="V41" s="137">
        <v>2.76E-2</v>
      </c>
      <c r="W41" s="137">
        <v>4.3610000000000003E-2</v>
      </c>
      <c r="X41" t="s">
        <v>131</v>
      </c>
      <c r="Y41" t="s">
        <v>51</v>
      </c>
      <c r="Z41" s="133">
        <v>117000</v>
      </c>
      <c r="AA41" s="135">
        <v>1</v>
      </c>
      <c r="AB41" s="139">
        <v>98.1</v>
      </c>
      <c r="AD41" s="133">
        <v>114.777</v>
      </c>
      <c r="AG41" t="s">
        <v>135</v>
      </c>
      <c r="AH41" s="137">
        <v>6.0000000000000002E-5</v>
      </c>
      <c r="AI41" s="137">
        <v>1.73274098032789E-2</v>
      </c>
      <c r="AJ41" s="137">
        <v>4.8187586188951402E-3</v>
      </c>
    </row>
    <row r="42" spans="1:36">
      <c r="A42">
        <v>161</v>
      </c>
      <c r="B42">
        <v>1434</v>
      </c>
      <c r="C42" t="s">
        <v>216</v>
      </c>
      <c r="D42" t="s">
        <v>217</v>
      </c>
      <c r="E42" t="s">
        <v>41</v>
      </c>
      <c r="F42" t="s">
        <v>2110</v>
      </c>
      <c r="G42" t="s">
        <v>2111</v>
      </c>
      <c r="H42" t="s">
        <v>44</v>
      </c>
      <c r="I42" t="s">
        <v>1331</v>
      </c>
      <c r="J42" t="s">
        <v>45</v>
      </c>
      <c r="K42" t="s">
        <v>45</v>
      </c>
      <c r="L42" t="s">
        <v>46</v>
      </c>
      <c r="M42" t="s">
        <v>47</v>
      </c>
      <c r="N42" t="s">
        <v>221</v>
      </c>
      <c r="O42" t="s">
        <v>51</v>
      </c>
      <c r="P42" t="s">
        <v>95</v>
      </c>
      <c r="Q42" t="s">
        <v>96</v>
      </c>
      <c r="R42" t="s">
        <v>97</v>
      </c>
      <c r="S42" t="s">
        <v>52</v>
      </c>
      <c r="T42" t="s">
        <v>2112</v>
      </c>
      <c r="U42" t="s">
        <v>2113</v>
      </c>
      <c r="V42" s="137">
        <v>2.0199999999999999E-2</v>
      </c>
      <c r="W42" s="137">
        <v>2.4549999999999999E-2</v>
      </c>
      <c r="X42" t="s">
        <v>131</v>
      </c>
      <c r="Y42" t="s">
        <v>51</v>
      </c>
      <c r="Z42" s="133">
        <v>34000</v>
      </c>
      <c r="AA42" s="135">
        <v>1</v>
      </c>
      <c r="AB42" s="139">
        <v>104.86</v>
      </c>
      <c r="AD42" s="133">
        <v>35.652000000000001</v>
      </c>
      <c r="AG42" t="s">
        <v>135</v>
      </c>
      <c r="AH42" s="137">
        <v>6.0000000000000002E-6</v>
      </c>
      <c r="AI42" s="137">
        <v>5.3822956277862401E-3</v>
      </c>
      <c r="AJ42" s="137">
        <v>1.49681826310408E-3</v>
      </c>
    </row>
    <row r="43" spans="1:36">
      <c r="A43">
        <v>161</v>
      </c>
      <c r="B43">
        <v>1434</v>
      </c>
      <c r="C43" t="s">
        <v>216</v>
      </c>
      <c r="D43" t="s">
        <v>217</v>
      </c>
      <c r="E43" t="s">
        <v>41</v>
      </c>
      <c r="F43" t="s">
        <v>2114</v>
      </c>
      <c r="G43" t="s">
        <v>2115</v>
      </c>
      <c r="H43" t="s">
        <v>44</v>
      </c>
      <c r="I43" t="s">
        <v>1331</v>
      </c>
      <c r="J43" t="s">
        <v>45</v>
      </c>
      <c r="K43" t="s">
        <v>45</v>
      </c>
      <c r="L43" t="s">
        <v>46</v>
      </c>
      <c r="M43" t="s">
        <v>47</v>
      </c>
      <c r="N43" t="s">
        <v>221</v>
      </c>
      <c r="O43" t="s">
        <v>51</v>
      </c>
      <c r="P43" t="s">
        <v>95</v>
      </c>
      <c r="Q43" t="s">
        <v>96</v>
      </c>
      <c r="R43" t="s">
        <v>97</v>
      </c>
      <c r="S43" t="s">
        <v>52</v>
      </c>
      <c r="T43" t="s">
        <v>2116</v>
      </c>
      <c r="U43" t="s">
        <v>2117</v>
      </c>
      <c r="V43" s="137">
        <v>1E-3</v>
      </c>
      <c r="W43" s="137">
        <v>2.4170000000000001E-2</v>
      </c>
      <c r="X43" t="s">
        <v>131</v>
      </c>
      <c r="Y43" t="s">
        <v>51</v>
      </c>
      <c r="Z43" s="133">
        <v>200000</v>
      </c>
      <c r="AA43" s="135">
        <v>1</v>
      </c>
      <c r="AB43" s="139">
        <v>105.8</v>
      </c>
      <c r="AD43" s="133">
        <v>211.6</v>
      </c>
      <c r="AG43" t="s">
        <v>135</v>
      </c>
      <c r="AH43" s="137">
        <v>4.6999999999999997E-5</v>
      </c>
      <c r="AI43" s="137">
        <v>3.1944378354320298E-2</v>
      </c>
      <c r="AJ43" s="137">
        <v>8.8837425944066507E-3</v>
      </c>
    </row>
    <row r="44" spans="1:36">
      <c r="A44">
        <v>161</v>
      </c>
      <c r="B44">
        <v>1434</v>
      </c>
      <c r="C44" t="s">
        <v>216</v>
      </c>
      <c r="D44" t="s">
        <v>217</v>
      </c>
      <c r="E44" t="s">
        <v>41</v>
      </c>
      <c r="F44" t="s">
        <v>2118</v>
      </c>
      <c r="G44" t="s">
        <v>2119</v>
      </c>
      <c r="H44" t="s">
        <v>44</v>
      </c>
      <c r="I44" t="s">
        <v>1509</v>
      </c>
      <c r="J44" t="s">
        <v>45</v>
      </c>
      <c r="K44" t="s">
        <v>45</v>
      </c>
      <c r="L44" t="s">
        <v>46</v>
      </c>
      <c r="M44" t="s">
        <v>47</v>
      </c>
      <c r="N44" t="s">
        <v>221</v>
      </c>
      <c r="O44" t="s">
        <v>51</v>
      </c>
      <c r="P44" t="s">
        <v>202</v>
      </c>
      <c r="Q44" t="s">
        <v>167</v>
      </c>
      <c r="R44" t="s">
        <v>97</v>
      </c>
      <c r="S44" t="s">
        <v>52</v>
      </c>
      <c r="T44" t="s">
        <v>2120</v>
      </c>
      <c r="U44" t="s">
        <v>2121</v>
      </c>
      <c r="V44" s="137">
        <v>4.5900000000000003E-2</v>
      </c>
      <c r="W44" s="137">
        <v>4.4519999999999997E-2</v>
      </c>
      <c r="X44" t="s">
        <v>131</v>
      </c>
      <c r="Y44" t="s">
        <v>51</v>
      </c>
      <c r="Z44" s="133">
        <v>140000</v>
      </c>
      <c r="AA44" s="135">
        <v>1</v>
      </c>
      <c r="AB44" s="139">
        <v>103.3</v>
      </c>
      <c r="AD44" s="133">
        <v>144.62</v>
      </c>
      <c r="AG44" t="s">
        <v>135</v>
      </c>
      <c r="AH44" s="137">
        <v>3.1999999999999999E-5</v>
      </c>
      <c r="AI44" s="137">
        <v>2.18326842986853E-2</v>
      </c>
      <c r="AJ44" s="137">
        <v>6.0716770037953201E-3</v>
      </c>
    </row>
    <row r="45" spans="1:36">
      <c r="A45">
        <v>161</v>
      </c>
      <c r="B45">
        <v>1434</v>
      </c>
      <c r="C45" t="s">
        <v>216</v>
      </c>
      <c r="D45" t="s">
        <v>217</v>
      </c>
      <c r="E45" t="s">
        <v>41</v>
      </c>
      <c r="F45" t="s">
        <v>2122</v>
      </c>
      <c r="G45" t="s">
        <v>2123</v>
      </c>
      <c r="H45" t="s">
        <v>44</v>
      </c>
      <c r="I45" t="s">
        <v>1331</v>
      </c>
      <c r="J45" t="s">
        <v>45</v>
      </c>
      <c r="K45" t="s">
        <v>45</v>
      </c>
      <c r="L45" t="s">
        <v>46</v>
      </c>
      <c r="M45" t="s">
        <v>47</v>
      </c>
      <c r="N45" t="s">
        <v>221</v>
      </c>
      <c r="O45" t="s">
        <v>51</v>
      </c>
      <c r="P45" t="s">
        <v>202</v>
      </c>
      <c r="Q45" t="s">
        <v>167</v>
      </c>
      <c r="R45" t="s">
        <v>97</v>
      </c>
      <c r="S45" t="s">
        <v>52</v>
      </c>
      <c r="T45" t="s">
        <v>2124</v>
      </c>
      <c r="U45" t="s">
        <v>2125</v>
      </c>
      <c r="V45" s="137">
        <v>2.5999999999999999E-2</v>
      </c>
      <c r="W45" s="137">
        <v>2.5020000000000001E-2</v>
      </c>
      <c r="X45" t="s">
        <v>131</v>
      </c>
      <c r="Y45" t="s">
        <v>51</v>
      </c>
      <c r="Z45" s="133">
        <v>140000</v>
      </c>
      <c r="AA45" s="135">
        <v>1</v>
      </c>
      <c r="AB45" s="139">
        <v>102.06</v>
      </c>
      <c r="AD45" s="133">
        <v>142.88399999999999</v>
      </c>
      <c r="AG45" t="s">
        <v>135</v>
      </c>
      <c r="AH45" s="137">
        <v>7.6000000000000004E-5</v>
      </c>
      <c r="AI45" s="137">
        <v>2.1570607546213101E-2</v>
      </c>
      <c r="AJ45" s="137">
        <v>5.9987933688998097E-3</v>
      </c>
    </row>
    <row r="46" spans="1:36">
      <c r="A46">
        <v>161</v>
      </c>
      <c r="B46">
        <v>1434</v>
      </c>
      <c r="C46" t="s">
        <v>216</v>
      </c>
      <c r="D46" t="s">
        <v>217</v>
      </c>
      <c r="E46" t="s">
        <v>41</v>
      </c>
      <c r="F46" t="s">
        <v>2126</v>
      </c>
      <c r="G46" t="s">
        <v>2127</v>
      </c>
      <c r="H46" t="s">
        <v>44</v>
      </c>
      <c r="I46" t="s">
        <v>1331</v>
      </c>
      <c r="J46" t="s">
        <v>45</v>
      </c>
      <c r="K46" t="s">
        <v>45</v>
      </c>
      <c r="L46" t="s">
        <v>46</v>
      </c>
      <c r="M46" t="s">
        <v>47</v>
      </c>
      <c r="N46" t="s">
        <v>221</v>
      </c>
      <c r="O46" t="s">
        <v>51</v>
      </c>
      <c r="P46" t="s">
        <v>1936</v>
      </c>
      <c r="Q46" t="s">
        <v>96</v>
      </c>
      <c r="R46" t="s">
        <v>97</v>
      </c>
      <c r="S46" t="s">
        <v>52</v>
      </c>
      <c r="T46" t="s">
        <v>2128</v>
      </c>
      <c r="U46" t="s">
        <v>2129</v>
      </c>
      <c r="V46" s="137">
        <v>3.1E-2</v>
      </c>
      <c r="W46" s="137">
        <v>2.8199999999999999E-2</v>
      </c>
      <c r="X46" t="s">
        <v>131</v>
      </c>
      <c r="Y46" t="s">
        <v>51</v>
      </c>
      <c r="Z46" s="133">
        <v>70000</v>
      </c>
      <c r="AA46" s="135">
        <v>1</v>
      </c>
      <c r="AB46" s="139">
        <v>104.13</v>
      </c>
      <c r="AD46" s="133">
        <v>72.891000000000005</v>
      </c>
      <c r="AG46" t="s">
        <v>135</v>
      </c>
      <c r="AH46" s="137">
        <v>3.1000000000000001E-5</v>
      </c>
      <c r="AI46" s="137">
        <v>1.10040533205329E-2</v>
      </c>
      <c r="AJ46" s="137">
        <v>3.0602310087376899E-3</v>
      </c>
    </row>
    <row r="47" spans="1:36">
      <c r="A47">
        <v>161</v>
      </c>
      <c r="B47">
        <v>1434</v>
      </c>
      <c r="C47" t="s">
        <v>216</v>
      </c>
      <c r="D47" t="s">
        <v>217</v>
      </c>
      <c r="E47" t="s">
        <v>41</v>
      </c>
      <c r="F47" t="s">
        <v>2130</v>
      </c>
      <c r="G47" t="s">
        <v>2131</v>
      </c>
      <c r="H47" t="s">
        <v>44</v>
      </c>
      <c r="I47" t="s">
        <v>1509</v>
      </c>
      <c r="J47" t="s">
        <v>45</v>
      </c>
      <c r="K47" t="s">
        <v>45</v>
      </c>
      <c r="L47" t="s">
        <v>46</v>
      </c>
      <c r="M47" t="s">
        <v>47</v>
      </c>
      <c r="N47" t="s">
        <v>221</v>
      </c>
      <c r="O47" t="s">
        <v>51</v>
      </c>
      <c r="P47" t="s">
        <v>183</v>
      </c>
      <c r="Q47" t="s">
        <v>167</v>
      </c>
      <c r="R47" t="s">
        <v>97</v>
      </c>
      <c r="S47" t="s">
        <v>52</v>
      </c>
      <c r="T47" t="s">
        <v>2132</v>
      </c>
      <c r="U47" t="s">
        <v>2097</v>
      </c>
      <c r="V47" s="137">
        <v>4.6899999999999997E-2</v>
      </c>
      <c r="W47" s="137">
        <v>4.8120000000000003E-2</v>
      </c>
      <c r="X47" t="s">
        <v>131</v>
      </c>
      <c r="Y47" t="s">
        <v>51</v>
      </c>
      <c r="Z47" s="133">
        <v>60000</v>
      </c>
      <c r="AA47" s="135">
        <v>1</v>
      </c>
      <c r="AB47" s="139">
        <v>99.54</v>
      </c>
      <c r="AD47" s="133">
        <v>59.723999999999997</v>
      </c>
      <c r="AG47" t="s">
        <v>135</v>
      </c>
      <c r="AH47" s="137">
        <v>5.1999999999999997E-5</v>
      </c>
      <c r="AI47" s="137">
        <v>9.0162856939197799E-3</v>
      </c>
      <c r="AJ47" s="137">
        <v>2.5074321489052102E-3</v>
      </c>
    </row>
    <row r="48" spans="1:36">
      <c r="A48">
        <v>161</v>
      </c>
      <c r="B48">
        <v>1434</v>
      </c>
      <c r="C48" t="s">
        <v>2133</v>
      </c>
      <c r="D48" t="s">
        <v>2134</v>
      </c>
      <c r="E48" t="s">
        <v>41</v>
      </c>
      <c r="F48" t="s">
        <v>2135</v>
      </c>
      <c r="G48" t="s">
        <v>2136</v>
      </c>
      <c r="H48" t="s">
        <v>44</v>
      </c>
      <c r="I48" t="s">
        <v>1331</v>
      </c>
      <c r="J48" t="s">
        <v>45</v>
      </c>
      <c r="K48" t="s">
        <v>45</v>
      </c>
      <c r="L48" t="s">
        <v>46</v>
      </c>
      <c r="M48" t="s">
        <v>47</v>
      </c>
      <c r="N48" t="s">
        <v>58</v>
      </c>
      <c r="O48" t="s">
        <v>51</v>
      </c>
      <c r="P48" t="s">
        <v>1919</v>
      </c>
      <c r="Q48" t="s">
        <v>96</v>
      </c>
      <c r="R48" t="s">
        <v>97</v>
      </c>
      <c r="S48" t="s">
        <v>52</v>
      </c>
      <c r="T48" t="s">
        <v>2137</v>
      </c>
      <c r="U48" t="s">
        <v>2025</v>
      </c>
      <c r="V48" s="137">
        <v>2.81E-2</v>
      </c>
      <c r="W48" s="137">
        <v>2.5319999999999999E-2</v>
      </c>
      <c r="X48" t="s">
        <v>131</v>
      </c>
      <c r="Y48" t="s">
        <v>51</v>
      </c>
      <c r="Z48" s="133">
        <v>20312.5</v>
      </c>
      <c r="AA48" s="135">
        <v>1</v>
      </c>
      <c r="AB48" s="139">
        <v>120.94</v>
      </c>
      <c r="AD48" s="133">
        <v>24.565999999999999</v>
      </c>
      <c r="AG48" t="s">
        <v>135</v>
      </c>
      <c r="AH48" s="137">
        <v>1.7E-5</v>
      </c>
      <c r="AI48" s="137">
        <v>3.70861815750749E-3</v>
      </c>
      <c r="AJ48" s="137">
        <v>1.0313679836497201E-3</v>
      </c>
    </row>
    <row r="49" spans="1:36">
      <c r="A49">
        <v>161</v>
      </c>
      <c r="B49">
        <v>1434</v>
      </c>
      <c r="C49" t="s">
        <v>2138</v>
      </c>
      <c r="D49" t="s">
        <v>2139</v>
      </c>
      <c r="E49" t="s">
        <v>41</v>
      </c>
      <c r="F49" t="s">
        <v>2140</v>
      </c>
      <c r="G49" t="s">
        <v>2141</v>
      </c>
      <c r="H49" t="s">
        <v>44</v>
      </c>
      <c r="I49" t="s">
        <v>1509</v>
      </c>
      <c r="J49" t="s">
        <v>45</v>
      </c>
      <c r="K49" t="s">
        <v>45</v>
      </c>
      <c r="L49" t="s">
        <v>46</v>
      </c>
      <c r="M49" t="s">
        <v>47</v>
      </c>
      <c r="N49" t="s">
        <v>1037</v>
      </c>
      <c r="O49" t="s">
        <v>51</v>
      </c>
      <c r="P49" t="s">
        <v>166</v>
      </c>
      <c r="Q49" t="s">
        <v>167</v>
      </c>
      <c r="R49" t="s">
        <v>97</v>
      </c>
      <c r="S49" t="s">
        <v>52</v>
      </c>
      <c r="T49" t="s">
        <v>2142</v>
      </c>
      <c r="U49" t="s">
        <v>241</v>
      </c>
      <c r="V49" s="137">
        <v>4.1000000000000002E-2</v>
      </c>
      <c r="W49" s="137">
        <v>4.836E-2</v>
      </c>
      <c r="X49" t="s">
        <v>131</v>
      </c>
      <c r="Y49" t="s">
        <v>51</v>
      </c>
      <c r="Z49" s="133">
        <v>45000</v>
      </c>
      <c r="AA49" s="135">
        <v>1</v>
      </c>
      <c r="AB49" s="139">
        <v>100.5</v>
      </c>
      <c r="AD49" s="133">
        <v>45.225000000000001</v>
      </c>
      <c r="AG49" t="s">
        <v>135</v>
      </c>
      <c r="AH49" s="137">
        <v>6.3E-5</v>
      </c>
      <c r="AI49" s="137">
        <v>6.8274315268153796E-3</v>
      </c>
      <c r="AJ49" s="137">
        <v>1.8987110530814799E-3</v>
      </c>
    </row>
    <row r="50" spans="1:36">
      <c r="A50">
        <v>161</v>
      </c>
      <c r="B50">
        <v>1434</v>
      </c>
      <c r="C50" t="s">
        <v>2138</v>
      </c>
      <c r="D50" t="s">
        <v>2139</v>
      </c>
      <c r="E50" t="s">
        <v>41</v>
      </c>
      <c r="F50" t="s">
        <v>2143</v>
      </c>
      <c r="G50" t="s">
        <v>2144</v>
      </c>
      <c r="H50" t="s">
        <v>44</v>
      </c>
      <c r="I50" t="s">
        <v>1509</v>
      </c>
      <c r="J50" t="s">
        <v>45</v>
      </c>
      <c r="K50" t="s">
        <v>45</v>
      </c>
      <c r="L50" t="s">
        <v>46</v>
      </c>
      <c r="M50" t="s">
        <v>47</v>
      </c>
      <c r="N50" t="s">
        <v>1037</v>
      </c>
      <c r="O50" t="s">
        <v>51</v>
      </c>
      <c r="P50" t="s">
        <v>166</v>
      </c>
      <c r="Q50" t="s">
        <v>167</v>
      </c>
      <c r="R50" t="s">
        <v>97</v>
      </c>
      <c r="S50" t="s">
        <v>52</v>
      </c>
      <c r="T50" t="s">
        <v>2145</v>
      </c>
      <c r="U50" t="s">
        <v>2146</v>
      </c>
      <c r="V50" s="137">
        <v>4.7800000000000002E-2</v>
      </c>
      <c r="W50" s="137">
        <v>4.727E-2</v>
      </c>
      <c r="X50" t="s">
        <v>131</v>
      </c>
      <c r="Y50" t="s">
        <v>51</v>
      </c>
      <c r="Z50" s="133">
        <v>20000</v>
      </c>
      <c r="AA50" s="135">
        <v>1</v>
      </c>
      <c r="AB50" s="139">
        <v>102.2</v>
      </c>
      <c r="AD50" s="133">
        <v>20.440000000000001</v>
      </c>
      <c r="AG50" t="s">
        <v>135</v>
      </c>
      <c r="AH50" s="137">
        <v>7.4999999999999993E-5</v>
      </c>
      <c r="AI50" s="137">
        <v>3.08574240813945E-3</v>
      </c>
      <c r="AJ50" s="137">
        <v>8.5814602376971597E-4</v>
      </c>
    </row>
    <row r="51" spans="1:36">
      <c r="A51">
        <v>161</v>
      </c>
      <c r="B51">
        <v>1434</v>
      </c>
      <c r="C51" t="s">
        <v>2138</v>
      </c>
      <c r="D51" t="s">
        <v>2139</v>
      </c>
      <c r="E51" t="s">
        <v>41</v>
      </c>
      <c r="F51" t="s">
        <v>2147</v>
      </c>
      <c r="G51" t="s">
        <v>2148</v>
      </c>
      <c r="H51" t="s">
        <v>44</v>
      </c>
      <c r="I51" t="s">
        <v>1509</v>
      </c>
      <c r="J51" t="s">
        <v>45</v>
      </c>
      <c r="K51" t="s">
        <v>45</v>
      </c>
      <c r="L51" t="s">
        <v>46</v>
      </c>
      <c r="M51" t="s">
        <v>47</v>
      </c>
      <c r="N51" t="s">
        <v>1037</v>
      </c>
      <c r="O51" t="s">
        <v>51</v>
      </c>
      <c r="P51" t="s">
        <v>166</v>
      </c>
      <c r="Q51" t="s">
        <v>167</v>
      </c>
      <c r="R51" t="s">
        <v>97</v>
      </c>
      <c r="S51" t="s">
        <v>52</v>
      </c>
      <c r="T51" t="s">
        <v>2149</v>
      </c>
      <c r="U51" t="s">
        <v>2150</v>
      </c>
      <c r="V51" s="137">
        <v>4.7800000000000002E-2</v>
      </c>
      <c r="W51" s="137">
        <v>4.7370000000000002E-2</v>
      </c>
      <c r="X51" t="s">
        <v>131</v>
      </c>
      <c r="Y51" t="s">
        <v>51</v>
      </c>
      <c r="Z51" s="133">
        <v>20000</v>
      </c>
      <c r="AA51" s="135">
        <v>1</v>
      </c>
      <c r="AB51" s="139">
        <v>102.19</v>
      </c>
      <c r="AD51" s="133">
        <v>20.437999999999999</v>
      </c>
      <c r="AG51" t="s">
        <v>135</v>
      </c>
      <c r="AH51" s="137">
        <v>7.4999999999999993E-5</v>
      </c>
      <c r="AI51" s="137">
        <v>3.0854404763969701E-3</v>
      </c>
      <c r="AJ51" s="137">
        <v>8.5806205644840805E-4</v>
      </c>
    </row>
    <row r="52" spans="1:36">
      <c r="A52">
        <v>161</v>
      </c>
      <c r="B52">
        <v>1434</v>
      </c>
      <c r="C52" t="s">
        <v>2151</v>
      </c>
      <c r="D52" t="s">
        <v>2152</v>
      </c>
      <c r="E52" t="s">
        <v>41</v>
      </c>
      <c r="F52" t="s">
        <v>2153</v>
      </c>
      <c r="G52" t="s">
        <v>2154</v>
      </c>
      <c r="H52" t="s">
        <v>44</v>
      </c>
      <c r="I52" t="s">
        <v>1331</v>
      </c>
      <c r="J52" t="s">
        <v>45</v>
      </c>
      <c r="K52" t="s">
        <v>45</v>
      </c>
      <c r="L52" t="s">
        <v>46</v>
      </c>
      <c r="M52" t="s">
        <v>47</v>
      </c>
      <c r="N52" t="s">
        <v>58</v>
      </c>
      <c r="O52" t="s">
        <v>51</v>
      </c>
      <c r="P52" t="s">
        <v>128</v>
      </c>
      <c r="Q52" t="s">
        <v>96</v>
      </c>
      <c r="R52" t="s">
        <v>97</v>
      </c>
      <c r="S52" t="s">
        <v>52</v>
      </c>
      <c r="T52" t="s">
        <v>2155</v>
      </c>
      <c r="U52" t="s">
        <v>2156</v>
      </c>
      <c r="V52" s="137">
        <v>2.0500000000000001E-2</v>
      </c>
      <c r="W52" s="137">
        <v>1.7149999999999999E-2</v>
      </c>
      <c r="X52" t="s">
        <v>131</v>
      </c>
      <c r="Y52" t="s">
        <v>51</v>
      </c>
      <c r="Z52" s="133">
        <v>26117.78</v>
      </c>
      <c r="AA52" s="135">
        <v>1</v>
      </c>
      <c r="AB52" s="139">
        <v>119.96</v>
      </c>
      <c r="AD52" s="133">
        <v>31.331</v>
      </c>
      <c r="AG52" t="s">
        <v>135</v>
      </c>
      <c r="AH52" s="137">
        <v>5.1999999999999997E-5</v>
      </c>
      <c r="AI52" s="137">
        <v>4.7298949376911202E-3</v>
      </c>
      <c r="AJ52" s="137">
        <v>1.3153854070649699E-3</v>
      </c>
    </row>
    <row r="53" spans="1:36">
      <c r="A53">
        <v>161</v>
      </c>
      <c r="B53">
        <v>1434</v>
      </c>
      <c r="C53" t="s">
        <v>2151</v>
      </c>
      <c r="D53" t="s">
        <v>2152</v>
      </c>
      <c r="E53" t="s">
        <v>41</v>
      </c>
      <c r="F53" t="s">
        <v>2157</v>
      </c>
      <c r="G53" t="s">
        <v>2158</v>
      </c>
      <c r="H53" t="s">
        <v>44</v>
      </c>
      <c r="I53" t="s">
        <v>1331</v>
      </c>
      <c r="J53" t="s">
        <v>45</v>
      </c>
      <c r="K53" t="s">
        <v>45</v>
      </c>
      <c r="L53" t="s">
        <v>46</v>
      </c>
      <c r="M53" t="s">
        <v>47</v>
      </c>
      <c r="N53" t="s">
        <v>58</v>
      </c>
      <c r="O53" t="s">
        <v>51</v>
      </c>
      <c r="P53" t="s">
        <v>128</v>
      </c>
      <c r="Q53" t="s">
        <v>96</v>
      </c>
      <c r="R53" t="s">
        <v>97</v>
      </c>
      <c r="S53" t="s">
        <v>52</v>
      </c>
      <c r="T53" t="s">
        <v>2159</v>
      </c>
      <c r="U53" t="s">
        <v>2160</v>
      </c>
      <c r="V53" s="137">
        <v>8.3999999999999995E-3</v>
      </c>
      <c r="W53" s="137">
        <v>2.6249999999999999E-2</v>
      </c>
      <c r="X53" t="s">
        <v>131</v>
      </c>
      <c r="Y53" t="s">
        <v>51</v>
      </c>
      <c r="Z53" s="133">
        <v>60000</v>
      </c>
      <c r="AA53" s="135">
        <v>1</v>
      </c>
      <c r="AB53" s="139">
        <v>111.92</v>
      </c>
      <c r="AD53" s="133">
        <v>67.152000000000001</v>
      </c>
      <c r="AG53" t="s">
        <v>135</v>
      </c>
      <c r="AH53" s="137">
        <v>4.8000000000000001E-5</v>
      </c>
      <c r="AI53" s="137">
        <v>1.01376601854883E-2</v>
      </c>
      <c r="AJ53" s="137">
        <v>2.8192867802438399E-3</v>
      </c>
    </row>
    <row r="54" spans="1:36">
      <c r="A54">
        <v>161</v>
      </c>
      <c r="B54">
        <v>1434</v>
      </c>
      <c r="C54" t="s">
        <v>2161</v>
      </c>
      <c r="D54" t="s">
        <v>2162</v>
      </c>
      <c r="E54" t="s">
        <v>41</v>
      </c>
      <c r="F54" t="s">
        <v>2163</v>
      </c>
      <c r="G54" t="s">
        <v>2164</v>
      </c>
      <c r="H54" t="s">
        <v>44</v>
      </c>
      <c r="I54" t="s">
        <v>1331</v>
      </c>
      <c r="J54" t="s">
        <v>45</v>
      </c>
      <c r="K54" t="s">
        <v>45</v>
      </c>
      <c r="L54" t="s">
        <v>46</v>
      </c>
      <c r="M54" t="s">
        <v>47</v>
      </c>
      <c r="N54" t="s">
        <v>221</v>
      </c>
      <c r="O54" t="s">
        <v>51</v>
      </c>
      <c r="P54" t="s">
        <v>95</v>
      </c>
      <c r="Q54" t="s">
        <v>96</v>
      </c>
      <c r="R54" t="s">
        <v>97</v>
      </c>
      <c r="S54" t="s">
        <v>52</v>
      </c>
      <c r="T54" t="s">
        <v>2165</v>
      </c>
      <c r="U54" t="s">
        <v>2166</v>
      </c>
      <c r="V54" s="137">
        <v>1E-3</v>
      </c>
      <c r="W54" s="137">
        <v>2.3130000000000001E-2</v>
      </c>
      <c r="X54" t="s">
        <v>131</v>
      </c>
      <c r="Y54" t="s">
        <v>51</v>
      </c>
      <c r="Z54" s="133">
        <v>161998</v>
      </c>
      <c r="AA54" s="135">
        <v>1</v>
      </c>
      <c r="AB54" s="139">
        <v>108.87</v>
      </c>
      <c r="AD54" s="133">
        <v>176.36699999999999</v>
      </c>
      <c r="AG54" t="s">
        <v>135</v>
      </c>
      <c r="AH54" s="137">
        <v>4.8000000000000001E-5</v>
      </c>
      <c r="AI54" s="137">
        <v>2.66254314179349E-2</v>
      </c>
      <c r="AJ54" s="137">
        <v>7.4045416241437598E-3</v>
      </c>
    </row>
    <row r="55" spans="1:36">
      <c r="A55">
        <v>161</v>
      </c>
      <c r="B55">
        <v>1434</v>
      </c>
      <c r="C55" t="s">
        <v>2161</v>
      </c>
      <c r="D55" t="s">
        <v>2162</v>
      </c>
      <c r="E55" t="s">
        <v>41</v>
      </c>
      <c r="F55" t="s">
        <v>2167</v>
      </c>
      <c r="G55" t="s">
        <v>2168</v>
      </c>
      <c r="H55" t="s">
        <v>44</v>
      </c>
      <c r="I55" t="s">
        <v>1509</v>
      </c>
      <c r="J55" t="s">
        <v>45</v>
      </c>
      <c r="K55" t="s">
        <v>45</v>
      </c>
      <c r="L55" t="s">
        <v>46</v>
      </c>
      <c r="M55" t="s">
        <v>47</v>
      </c>
      <c r="N55" t="s">
        <v>221</v>
      </c>
      <c r="O55" t="s">
        <v>51</v>
      </c>
      <c r="P55" t="s">
        <v>95</v>
      </c>
      <c r="Q55" t="s">
        <v>96</v>
      </c>
      <c r="R55" t="s">
        <v>97</v>
      </c>
      <c r="S55" t="s">
        <v>52</v>
      </c>
      <c r="T55" t="s">
        <v>2169</v>
      </c>
      <c r="U55" t="s">
        <v>2170</v>
      </c>
      <c r="V55" s="137">
        <v>2.7400000000000001E-2</v>
      </c>
      <c r="W55" s="137">
        <v>4.3900000000000002E-2</v>
      </c>
      <c r="X55" t="s">
        <v>131</v>
      </c>
      <c r="Y55" t="s">
        <v>51</v>
      </c>
      <c r="Z55" s="133">
        <v>158572.25</v>
      </c>
      <c r="AA55" s="135">
        <v>1</v>
      </c>
      <c r="AB55" s="139">
        <v>98.89</v>
      </c>
      <c r="AD55" s="133">
        <v>156.81200000000001</v>
      </c>
      <c r="AG55" t="s">
        <v>135</v>
      </c>
      <c r="AH55" s="137">
        <v>6.0000000000000002E-5</v>
      </c>
      <c r="AI55" s="137">
        <v>2.36732749992692E-2</v>
      </c>
      <c r="AJ55" s="137">
        <v>6.5835459099383899E-3</v>
      </c>
    </row>
    <row r="56" spans="1:36">
      <c r="A56">
        <v>161</v>
      </c>
      <c r="B56">
        <v>1434</v>
      </c>
      <c r="C56" t="s">
        <v>2161</v>
      </c>
      <c r="D56" t="s">
        <v>2162</v>
      </c>
      <c r="E56" t="s">
        <v>41</v>
      </c>
      <c r="F56" t="s">
        <v>2171</v>
      </c>
      <c r="G56" t="s">
        <v>2172</v>
      </c>
      <c r="H56" t="s">
        <v>44</v>
      </c>
      <c r="I56" t="s">
        <v>1331</v>
      </c>
      <c r="J56" t="s">
        <v>45</v>
      </c>
      <c r="K56" t="s">
        <v>45</v>
      </c>
      <c r="L56" t="s">
        <v>46</v>
      </c>
      <c r="M56" t="s">
        <v>47</v>
      </c>
      <c r="N56" t="s">
        <v>221</v>
      </c>
      <c r="O56" t="s">
        <v>51</v>
      </c>
      <c r="P56" t="s">
        <v>202</v>
      </c>
      <c r="Q56" t="s">
        <v>167</v>
      </c>
      <c r="R56" t="s">
        <v>97</v>
      </c>
      <c r="S56" t="s">
        <v>52</v>
      </c>
      <c r="T56" t="s">
        <v>2173</v>
      </c>
      <c r="U56" t="s">
        <v>2174</v>
      </c>
      <c r="V56" s="137">
        <v>5.0000000000000001E-3</v>
      </c>
      <c r="W56" s="137">
        <v>1.523E-2</v>
      </c>
      <c r="X56" t="s">
        <v>131</v>
      </c>
      <c r="Y56" t="s">
        <v>51</v>
      </c>
      <c r="Z56" s="133">
        <v>39000</v>
      </c>
      <c r="AA56" s="135">
        <v>1</v>
      </c>
      <c r="AB56" s="139">
        <v>116.07</v>
      </c>
      <c r="AD56" s="133">
        <v>45.267000000000003</v>
      </c>
      <c r="AG56" t="s">
        <v>135</v>
      </c>
      <c r="AH56" s="137">
        <v>5.1E-5</v>
      </c>
      <c r="AI56" s="137">
        <v>6.8338173831688203E-3</v>
      </c>
      <c r="AJ56" s="137">
        <v>1.90048696192715E-3</v>
      </c>
    </row>
    <row r="57" spans="1:36">
      <c r="A57">
        <v>161</v>
      </c>
      <c r="B57">
        <v>1434</v>
      </c>
      <c r="C57" t="s">
        <v>2161</v>
      </c>
      <c r="D57" t="s">
        <v>2162</v>
      </c>
      <c r="E57" t="s">
        <v>41</v>
      </c>
      <c r="F57" t="s">
        <v>2175</v>
      </c>
      <c r="G57" t="s">
        <v>2176</v>
      </c>
      <c r="H57" t="s">
        <v>44</v>
      </c>
      <c r="I57" t="s">
        <v>1331</v>
      </c>
      <c r="J57" t="s">
        <v>45</v>
      </c>
      <c r="K57" t="s">
        <v>45</v>
      </c>
      <c r="L57" t="s">
        <v>46</v>
      </c>
      <c r="M57" t="s">
        <v>47</v>
      </c>
      <c r="N57" t="s">
        <v>221</v>
      </c>
      <c r="O57" t="s">
        <v>51</v>
      </c>
      <c r="P57" t="s">
        <v>95</v>
      </c>
      <c r="Q57" t="s">
        <v>96</v>
      </c>
      <c r="R57" t="s">
        <v>97</v>
      </c>
      <c r="S57" t="s">
        <v>52</v>
      </c>
      <c r="T57" t="s">
        <v>2177</v>
      </c>
      <c r="U57" t="s">
        <v>2178</v>
      </c>
      <c r="V57" s="137">
        <v>2E-3</v>
      </c>
      <c r="W57" s="137">
        <v>2.495E-2</v>
      </c>
      <c r="X57" t="s">
        <v>131</v>
      </c>
      <c r="Y57" t="s">
        <v>51</v>
      </c>
      <c r="Z57" s="133">
        <v>356000</v>
      </c>
      <c r="AA57" s="135">
        <v>1</v>
      </c>
      <c r="AB57" s="139">
        <v>107.35</v>
      </c>
      <c r="AD57" s="133">
        <v>382.166</v>
      </c>
      <c r="AG57" t="s">
        <v>135</v>
      </c>
      <c r="AH57" s="137">
        <v>1.03E-4</v>
      </c>
      <c r="AI57" s="137">
        <v>5.7694023148190797E-2</v>
      </c>
      <c r="AJ57" s="137">
        <v>1.6044727657533099E-2</v>
      </c>
    </row>
    <row r="58" spans="1:36">
      <c r="A58">
        <v>161</v>
      </c>
      <c r="B58">
        <v>1434</v>
      </c>
      <c r="C58" t="s">
        <v>2161</v>
      </c>
      <c r="D58" t="s">
        <v>2162</v>
      </c>
      <c r="E58" t="s">
        <v>41</v>
      </c>
      <c r="F58" t="s">
        <v>2179</v>
      </c>
      <c r="G58" t="s">
        <v>2180</v>
      </c>
      <c r="H58" t="s">
        <v>44</v>
      </c>
      <c r="I58" t="s">
        <v>1331</v>
      </c>
      <c r="J58" t="s">
        <v>45</v>
      </c>
      <c r="K58" t="s">
        <v>45</v>
      </c>
      <c r="L58" t="s">
        <v>46</v>
      </c>
      <c r="M58" t="s">
        <v>47</v>
      </c>
      <c r="N58" t="s">
        <v>221</v>
      </c>
      <c r="O58" t="s">
        <v>51</v>
      </c>
      <c r="P58" t="s">
        <v>95</v>
      </c>
      <c r="Q58" t="s">
        <v>96</v>
      </c>
      <c r="R58" t="s">
        <v>97</v>
      </c>
      <c r="S58" t="s">
        <v>52</v>
      </c>
      <c r="T58" t="s">
        <v>2181</v>
      </c>
      <c r="U58" t="s">
        <v>2170</v>
      </c>
      <c r="V58" s="137">
        <v>1E-3</v>
      </c>
      <c r="W58" s="137">
        <v>2.334E-2</v>
      </c>
      <c r="X58" t="s">
        <v>131</v>
      </c>
      <c r="Y58" t="s">
        <v>51</v>
      </c>
      <c r="Z58" s="133">
        <v>97716.38</v>
      </c>
      <c r="AA58" s="135">
        <v>1</v>
      </c>
      <c r="AB58" s="139">
        <v>107.76</v>
      </c>
      <c r="AD58" s="133">
        <v>105.29900000000001</v>
      </c>
      <c r="AG58" t="s">
        <v>135</v>
      </c>
      <c r="AH58" s="137">
        <v>5.3000000000000001E-5</v>
      </c>
      <c r="AI58" s="137">
        <v>1.5896581104117999E-2</v>
      </c>
      <c r="AJ58" s="137">
        <v>4.4208446661161598E-3</v>
      </c>
    </row>
    <row r="59" spans="1:36">
      <c r="A59">
        <v>161</v>
      </c>
      <c r="B59">
        <v>1434</v>
      </c>
      <c r="C59" t="s">
        <v>2182</v>
      </c>
      <c r="D59" t="s">
        <v>2183</v>
      </c>
      <c r="E59" t="s">
        <v>41</v>
      </c>
      <c r="F59" t="s">
        <v>2184</v>
      </c>
      <c r="G59" t="s">
        <v>2185</v>
      </c>
      <c r="H59" t="s">
        <v>44</v>
      </c>
      <c r="I59" t="s">
        <v>1331</v>
      </c>
      <c r="J59" t="s">
        <v>45</v>
      </c>
      <c r="K59" t="s">
        <v>45</v>
      </c>
      <c r="L59" t="s">
        <v>46</v>
      </c>
      <c r="M59" t="s">
        <v>47</v>
      </c>
      <c r="N59" t="s">
        <v>1035</v>
      </c>
      <c r="O59" t="s">
        <v>51</v>
      </c>
      <c r="P59" t="s">
        <v>166</v>
      </c>
      <c r="Q59" t="s">
        <v>167</v>
      </c>
      <c r="R59" t="s">
        <v>97</v>
      </c>
      <c r="S59" t="s">
        <v>52</v>
      </c>
      <c r="T59" t="s">
        <v>2186</v>
      </c>
      <c r="U59" t="s">
        <v>2187</v>
      </c>
      <c r="V59" s="137">
        <v>0.01</v>
      </c>
      <c r="W59" s="137">
        <v>2.8559999999999999E-2</v>
      </c>
      <c r="X59" t="s">
        <v>131</v>
      </c>
      <c r="Y59" t="s">
        <v>51</v>
      </c>
      <c r="Z59" s="133">
        <v>62095.82</v>
      </c>
      <c r="AA59" s="135">
        <v>1</v>
      </c>
      <c r="AB59" s="139">
        <v>109.85</v>
      </c>
      <c r="AD59" s="133">
        <v>68.212000000000003</v>
      </c>
      <c r="AG59" t="s">
        <v>135</v>
      </c>
      <c r="AH59" s="137">
        <v>3.6999999999999998E-5</v>
      </c>
      <c r="AI59" s="137">
        <v>1.02977229989579E-2</v>
      </c>
      <c r="AJ59" s="137">
        <v>2.8638003036572102E-3</v>
      </c>
    </row>
    <row r="60" spans="1:36">
      <c r="A60">
        <v>161</v>
      </c>
      <c r="B60">
        <v>1434</v>
      </c>
      <c r="C60" t="s">
        <v>2182</v>
      </c>
      <c r="D60" t="s">
        <v>2183</v>
      </c>
      <c r="E60" t="s">
        <v>41</v>
      </c>
      <c r="F60" t="s">
        <v>2188</v>
      </c>
      <c r="G60" t="s">
        <v>2189</v>
      </c>
      <c r="H60" t="s">
        <v>44</v>
      </c>
      <c r="I60" t="s">
        <v>1331</v>
      </c>
      <c r="J60" t="s">
        <v>45</v>
      </c>
      <c r="K60" t="s">
        <v>45</v>
      </c>
      <c r="L60" t="s">
        <v>46</v>
      </c>
      <c r="M60" t="s">
        <v>47</v>
      </c>
      <c r="N60" t="s">
        <v>1035</v>
      </c>
      <c r="O60" t="s">
        <v>51</v>
      </c>
      <c r="P60" t="s">
        <v>166</v>
      </c>
      <c r="Q60" t="s">
        <v>167</v>
      </c>
      <c r="R60" t="s">
        <v>97</v>
      </c>
      <c r="S60" t="s">
        <v>52</v>
      </c>
      <c r="T60" t="s">
        <v>2190</v>
      </c>
      <c r="U60" t="s">
        <v>1866</v>
      </c>
      <c r="V60" s="137">
        <v>3.5400000000000001E-2</v>
      </c>
      <c r="W60" s="137">
        <v>2.3179999999999999E-2</v>
      </c>
      <c r="X60" t="s">
        <v>131</v>
      </c>
      <c r="Y60" t="s">
        <v>51</v>
      </c>
      <c r="Z60" s="133">
        <v>24000</v>
      </c>
      <c r="AA60" s="135">
        <v>1</v>
      </c>
      <c r="AB60" s="139">
        <v>110.42</v>
      </c>
      <c r="AD60" s="133">
        <v>26.501000000000001</v>
      </c>
      <c r="AG60" t="s">
        <v>135</v>
      </c>
      <c r="AH60" s="137">
        <v>4.3000000000000002E-5</v>
      </c>
      <c r="AI60" s="137">
        <v>4.0007163605490104E-3</v>
      </c>
      <c r="AJ60" s="137">
        <v>1.11260059426206E-3</v>
      </c>
    </row>
    <row r="61" spans="1:36">
      <c r="A61">
        <v>161</v>
      </c>
      <c r="B61">
        <v>1434</v>
      </c>
      <c r="C61" t="s">
        <v>2191</v>
      </c>
      <c r="D61" t="s">
        <v>2192</v>
      </c>
      <c r="E61" t="s">
        <v>41</v>
      </c>
      <c r="F61" t="s">
        <v>2193</v>
      </c>
      <c r="G61" t="s">
        <v>2194</v>
      </c>
      <c r="H61" t="s">
        <v>44</v>
      </c>
      <c r="I61" t="s">
        <v>1331</v>
      </c>
      <c r="J61" t="s">
        <v>45</v>
      </c>
      <c r="K61" t="s">
        <v>45</v>
      </c>
      <c r="L61" t="s">
        <v>46</v>
      </c>
      <c r="M61" t="s">
        <v>47</v>
      </c>
      <c r="N61" t="s">
        <v>58</v>
      </c>
      <c r="O61" t="s">
        <v>51</v>
      </c>
      <c r="P61" t="s">
        <v>1919</v>
      </c>
      <c r="Q61" t="s">
        <v>96</v>
      </c>
      <c r="R61" t="s">
        <v>97</v>
      </c>
      <c r="S61" t="s">
        <v>52</v>
      </c>
      <c r="T61" t="s">
        <v>2195</v>
      </c>
      <c r="U61" t="s">
        <v>2196</v>
      </c>
      <c r="V61" s="137">
        <v>1.43E-2</v>
      </c>
      <c r="W61" s="137">
        <v>2.5870000000000001E-2</v>
      </c>
      <c r="X61" t="s">
        <v>131</v>
      </c>
      <c r="Y61" t="s">
        <v>51</v>
      </c>
      <c r="Z61" s="133">
        <v>99194.01</v>
      </c>
      <c r="AA61" s="135">
        <v>1</v>
      </c>
      <c r="AB61" s="139">
        <v>114.25</v>
      </c>
      <c r="AD61" s="133">
        <v>113.32899999999999</v>
      </c>
      <c r="AG61" t="s">
        <v>135</v>
      </c>
      <c r="AH61" s="137">
        <v>5.1999999999999997E-5</v>
      </c>
      <c r="AI61" s="137">
        <v>1.7108834836560199E-2</v>
      </c>
      <c r="AJ61" s="137">
        <v>4.7579728455621299E-3</v>
      </c>
    </row>
    <row r="62" spans="1:36">
      <c r="A62">
        <v>161</v>
      </c>
      <c r="B62">
        <v>1434</v>
      </c>
      <c r="C62" t="s">
        <v>2191</v>
      </c>
      <c r="D62" t="s">
        <v>2192</v>
      </c>
      <c r="E62" t="s">
        <v>41</v>
      </c>
      <c r="F62" t="s">
        <v>2197</v>
      </c>
      <c r="G62" t="s">
        <v>2198</v>
      </c>
      <c r="H62" t="s">
        <v>44</v>
      </c>
      <c r="I62" t="s">
        <v>1331</v>
      </c>
      <c r="J62" t="s">
        <v>45</v>
      </c>
      <c r="K62" t="s">
        <v>45</v>
      </c>
      <c r="L62" t="s">
        <v>46</v>
      </c>
      <c r="M62" t="s">
        <v>47</v>
      </c>
      <c r="N62" t="s">
        <v>58</v>
      </c>
      <c r="O62" t="s">
        <v>51</v>
      </c>
      <c r="P62" t="s">
        <v>1919</v>
      </c>
      <c r="Q62" t="s">
        <v>96</v>
      </c>
      <c r="R62" t="s">
        <v>97</v>
      </c>
      <c r="S62" t="s">
        <v>52</v>
      </c>
      <c r="T62" t="s">
        <v>2199</v>
      </c>
      <c r="U62" t="s">
        <v>2200</v>
      </c>
      <c r="V62" s="137">
        <v>3.61E-2</v>
      </c>
      <c r="W62" s="137">
        <v>2.8160000000000001E-2</v>
      </c>
      <c r="X62" t="s">
        <v>131</v>
      </c>
      <c r="Y62" t="s">
        <v>51</v>
      </c>
      <c r="Z62" s="133">
        <v>138358.98000000001</v>
      </c>
      <c r="AA62" s="135">
        <v>1</v>
      </c>
      <c r="AB62" s="139">
        <v>113.57</v>
      </c>
      <c r="AD62" s="133">
        <v>157.13399999999999</v>
      </c>
      <c r="AG62" t="s">
        <v>135</v>
      </c>
      <c r="AH62" s="137">
        <v>5.7000000000000003E-5</v>
      </c>
      <c r="AI62" s="137">
        <v>2.3721915532845101E-2</v>
      </c>
      <c r="AJ62" s="137">
        <v>6.5970728590356697E-3</v>
      </c>
    </row>
    <row r="63" spans="1:36">
      <c r="A63">
        <v>161</v>
      </c>
      <c r="B63">
        <v>1434</v>
      </c>
      <c r="C63" t="s">
        <v>2191</v>
      </c>
      <c r="D63" t="s">
        <v>2192</v>
      </c>
      <c r="E63" t="s">
        <v>41</v>
      </c>
      <c r="F63" t="s">
        <v>2201</v>
      </c>
      <c r="G63" t="s">
        <v>2202</v>
      </c>
      <c r="H63" t="s">
        <v>44</v>
      </c>
      <c r="I63" t="s">
        <v>1331</v>
      </c>
      <c r="J63" t="s">
        <v>45</v>
      </c>
      <c r="K63" t="s">
        <v>45</v>
      </c>
      <c r="L63" t="s">
        <v>46</v>
      </c>
      <c r="M63" t="s">
        <v>47</v>
      </c>
      <c r="N63" t="s">
        <v>58</v>
      </c>
      <c r="O63" t="s">
        <v>51</v>
      </c>
      <c r="P63" t="s">
        <v>1919</v>
      </c>
      <c r="Q63" t="s">
        <v>96</v>
      </c>
      <c r="R63" t="s">
        <v>97</v>
      </c>
      <c r="S63" t="s">
        <v>52</v>
      </c>
      <c r="T63" t="s">
        <v>2203</v>
      </c>
      <c r="U63" t="s">
        <v>2204</v>
      </c>
      <c r="V63" s="137">
        <v>2.1499999999999998E-2</v>
      </c>
      <c r="W63" s="137">
        <v>1E-4</v>
      </c>
      <c r="X63" t="s">
        <v>131</v>
      </c>
      <c r="Y63" t="s">
        <v>51</v>
      </c>
      <c r="Z63" s="133">
        <v>0.67</v>
      </c>
      <c r="AA63" s="135">
        <v>1</v>
      </c>
      <c r="AB63" s="139">
        <v>121.27</v>
      </c>
      <c r="AD63" s="133">
        <v>1E-3</v>
      </c>
      <c r="AG63" t="s">
        <v>135</v>
      </c>
      <c r="AH63" s="137">
        <v>0</v>
      </c>
      <c r="AI63" s="137">
        <v>1.22661129075097E-7</v>
      </c>
      <c r="AJ63" s="137">
        <v>3.4112102134398599E-8</v>
      </c>
    </row>
    <row r="64" spans="1:36">
      <c r="A64">
        <v>161</v>
      </c>
      <c r="B64">
        <v>1434</v>
      </c>
      <c r="C64" t="s">
        <v>2191</v>
      </c>
      <c r="D64" t="s">
        <v>2192</v>
      </c>
      <c r="E64" t="s">
        <v>41</v>
      </c>
      <c r="F64" t="s">
        <v>2205</v>
      </c>
      <c r="G64" t="s">
        <v>2206</v>
      </c>
      <c r="H64" t="s">
        <v>44</v>
      </c>
      <c r="I64" t="s">
        <v>1331</v>
      </c>
      <c r="J64" t="s">
        <v>45</v>
      </c>
      <c r="K64" t="s">
        <v>45</v>
      </c>
      <c r="L64" t="s">
        <v>46</v>
      </c>
      <c r="M64" t="s">
        <v>47</v>
      </c>
      <c r="N64" t="s">
        <v>58</v>
      </c>
      <c r="O64" t="s">
        <v>51</v>
      </c>
      <c r="P64" t="s">
        <v>1919</v>
      </c>
      <c r="Q64" t="s">
        <v>96</v>
      </c>
      <c r="R64" t="s">
        <v>97</v>
      </c>
      <c r="S64" t="s">
        <v>52</v>
      </c>
      <c r="T64" t="s">
        <v>2207</v>
      </c>
      <c r="U64" t="s">
        <v>2208</v>
      </c>
      <c r="V64" s="137">
        <v>2.2499999999999999E-2</v>
      </c>
      <c r="W64" s="137">
        <v>2.5839999999999998E-2</v>
      </c>
      <c r="X64" t="s">
        <v>131</v>
      </c>
      <c r="Y64" t="s">
        <v>51</v>
      </c>
      <c r="Z64" s="133">
        <v>84999.99</v>
      </c>
      <c r="AA64" s="135">
        <v>1</v>
      </c>
      <c r="AB64" s="139">
        <v>118.97</v>
      </c>
      <c r="AD64" s="133">
        <v>101.124</v>
      </c>
      <c r="AG64" t="s">
        <v>135</v>
      </c>
      <c r="AH64" s="137">
        <v>5.3000000000000001E-5</v>
      </c>
      <c r="AI64" s="137">
        <v>1.5266346450138E-2</v>
      </c>
      <c r="AJ64" s="137">
        <v>4.2455761923354896E-3</v>
      </c>
    </row>
    <row r="65" spans="1:36">
      <c r="A65">
        <v>161</v>
      </c>
      <c r="B65">
        <v>1434</v>
      </c>
      <c r="C65" t="s">
        <v>2191</v>
      </c>
      <c r="D65" t="s">
        <v>2192</v>
      </c>
      <c r="E65" t="s">
        <v>41</v>
      </c>
      <c r="F65" t="s">
        <v>2209</v>
      </c>
      <c r="G65" t="s">
        <v>2210</v>
      </c>
      <c r="H65" t="s">
        <v>44</v>
      </c>
      <c r="I65" t="s">
        <v>1331</v>
      </c>
      <c r="J65" t="s">
        <v>45</v>
      </c>
      <c r="K65" t="s">
        <v>45</v>
      </c>
      <c r="L65" t="s">
        <v>46</v>
      </c>
      <c r="M65" t="s">
        <v>47</v>
      </c>
      <c r="N65" t="s">
        <v>58</v>
      </c>
      <c r="O65" t="s">
        <v>51</v>
      </c>
      <c r="P65" t="s">
        <v>1919</v>
      </c>
      <c r="Q65" t="s">
        <v>96</v>
      </c>
      <c r="R65" t="s">
        <v>97</v>
      </c>
      <c r="S65" t="s">
        <v>52</v>
      </c>
      <c r="T65" t="s">
        <v>2211</v>
      </c>
      <c r="U65" t="s">
        <v>2178</v>
      </c>
      <c r="V65" s="137">
        <v>2.5000000000000001E-3</v>
      </c>
      <c r="W65" s="137">
        <v>2.6980000000000001E-2</v>
      </c>
      <c r="X65" t="s">
        <v>131</v>
      </c>
      <c r="Y65" t="s">
        <v>51</v>
      </c>
      <c r="Z65" s="133">
        <v>80050</v>
      </c>
      <c r="AA65" s="135">
        <v>1</v>
      </c>
      <c r="AB65" s="139">
        <v>105.05</v>
      </c>
      <c r="AD65" s="133">
        <v>84.093000000000004</v>
      </c>
      <c r="AG65" t="s">
        <v>135</v>
      </c>
      <c r="AH65" s="137">
        <v>6.0999999999999999E-5</v>
      </c>
      <c r="AI65" s="137">
        <v>1.2695101301371201E-2</v>
      </c>
      <c r="AJ65" s="137">
        <v>3.5305120331460601E-3</v>
      </c>
    </row>
    <row r="66" spans="1:36">
      <c r="A66">
        <v>161</v>
      </c>
      <c r="B66">
        <v>1434</v>
      </c>
      <c r="C66" t="s">
        <v>2191</v>
      </c>
      <c r="D66" t="s">
        <v>2192</v>
      </c>
      <c r="E66" t="s">
        <v>41</v>
      </c>
      <c r="F66" t="s">
        <v>2212</v>
      </c>
      <c r="G66" t="s">
        <v>2213</v>
      </c>
      <c r="H66" t="s">
        <v>44</v>
      </c>
      <c r="I66" t="s">
        <v>1331</v>
      </c>
      <c r="J66" t="s">
        <v>45</v>
      </c>
      <c r="K66" t="s">
        <v>45</v>
      </c>
      <c r="L66" t="s">
        <v>46</v>
      </c>
      <c r="M66" t="s">
        <v>47</v>
      </c>
      <c r="N66" t="s">
        <v>58</v>
      </c>
      <c r="O66" t="s">
        <v>51</v>
      </c>
      <c r="P66" t="s">
        <v>1919</v>
      </c>
      <c r="Q66" t="s">
        <v>96</v>
      </c>
      <c r="R66" t="s">
        <v>97</v>
      </c>
      <c r="S66" t="s">
        <v>52</v>
      </c>
      <c r="T66" t="s">
        <v>2214</v>
      </c>
      <c r="U66" t="s">
        <v>2215</v>
      </c>
      <c r="V66" s="137">
        <v>2.9499999999999998E-2</v>
      </c>
      <c r="W66" s="137">
        <v>2.5760000000000002E-2</v>
      </c>
      <c r="X66" t="s">
        <v>131</v>
      </c>
      <c r="Y66" t="s">
        <v>51</v>
      </c>
      <c r="Z66" s="133">
        <v>35000</v>
      </c>
      <c r="AA66" s="135">
        <v>1</v>
      </c>
      <c r="AB66" s="139">
        <v>103.14</v>
      </c>
      <c r="AD66" s="133">
        <v>36.098999999999997</v>
      </c>
      <c r="AG66" t="s">
        <v>135</v>
      </c>
      <c r="AH66" s="137">
        <v>7.8999999999999996E-5</v>
      </c>
      <c r="AI66" s="137">
        <v>5.4497169858818903E-3</v>
      </c>
      <c r="AJ66" s="137">
        <v>1.5155681659522E-3</v>
      </c>
    </row>
    <row r="67" spans="1:36">
      <c r="A67">
        <v>161</v>
      </c>
      <c r="B67">
        <v>1434</v>
      </c>
      <c r="C67" t="s">
        <v>2216</v>
      </c>
      <c r="D67" t="s">
        <v>2217</v>
      </c>
      <c r="E67" t="s">
        <v>41</v>
      </c>
      <c r="F67" t="s">
        <v>2218</v>
      </c>
      <c r="G67" t="s">
        <v>2219</v>
      </c>
      <c r="H67" t="s">
        <v>44</v>
      </c>
      <c r="I67" t="s">
        <v>1509</v>
      </c>
      <c r="J67" t="s">
        <v>45</v>
      </c>
      <c r="K67" t="s">
        <v>45</v>
      </c>
      <c r="L67" t="s">
        <v>46</v>
      </c>
      <c r="M67" t="s">
        <v>47</v>
      </c>
      <c r="N67" t="s">
        <v>1037</v>
      </c>
      <c r="O67" t="s">
        <v>51</v>
      </c>
      <c r="P67" t="s">
        <v>1977</v>
      </c>
      <c r="Q67" t="s">
        <v>167</v>
      </c>
      <c r="R67" t="s">
        <v>97</v>
      </c>
      <c r="S67" t="s">
        <v>52</v>
      </c>
      <c r="T67" t="s">
        <v>2220</v>
      </c>
      <c r="U67" t="s">
        <v>2221</v>
      </c>
      <c r="V67" s="137">
        <v>2.98E-2</v>
      </c>
      <c r="W67" s="137">
        <v>4.5220000000000003E-2</v>
      </c>
      <c r="X67" t="s">
        <v>131</v>
      </c>
      <c r="Y67" t="s">
        <v>51</v>
      </c>
      <c r="Z67" s="133">
        <v>110000</v>
      </c>
      <c r="AA67" s="135">
        <v>1</v>
      </c>
      <c r="AB67" s="139">
        <v>94.43</v>
      </c>
      <c r="AD67" s="133">
        <v>103.873</v>
      </c>
      <c r="AG67" t="s">
        <v>135</v>
      </c>
      <c r="AH67" s="137">
        <v>2.7999999999999998E-4</v>
      </c>
      <c r="AI67" s="137">
        <v>1.56812779432812E-2</v>
      </c>
      <c r="AJ67" s="137">
        <v>4.3609687831228797E-3</v>
      </c>
    </row>
    <row r="68" spans="1:36">
      <c r="A68">
        <v>161</v>
      </c>
      <c r="B68">
        <v>1434</v>
      </c>
      <c r="C68" t="s">
        <v>2216</v>
      </c>
      <c r="D68" t="s">
        <v>2217</v>
      </c>
      <c r="E68" t="s">
        <v>41</v>
      </c>
      <c r="F68" t="s">
        <v>2222</v>
      </c>
      <c r="G68" t="s">
        <v>2223</v>
      </c>
      <c r="H68" t="s">
        <v>44</v>
      </c>
      <c r="I68" t="s">
        <v>1509</v>
      </c>
      <c r="J68" t="s">
        <v>45</v>
      </c>
      <c r="K68" t="s">
        <v>45</v>
      </c>
      <c r="L68" t="s">
        <v>46</v>
      </c>
      <c r="M68" t="s">
        <v>47</v>
      </c>
      <c r="N68" t="s">
        <v>1037</v>
      </c>
      <c r="O68" t="s">
        <v>51</v>
      </c>
      <c r="P68" t="s">
        <v>166</v>
      </c>
      <c r="Q68" t="s">
        <v>167</v>
      </c>
      <c r="R68" t="s">
        <v>97</v>
      </c>
      <c r="S68" t="s">
        <v>52</v>
      </c>
      <c r="T68" t="s">
        <v>2224</v>
      </c>
      <c r="U68" t="s">
        <v>2225</v>
      </c>
      <c r="V68" s="137">
        <v>5.1799999999999999E-2</v>
      </c>
      <c r="W68" s="137">
        <v>4.836E-2</v>
      </c>
      <c r="X68" t="s">
        <v>131</v>
      </c>
      <c r="Y68" t="s">
        <v>51</v>
      </c>
      <c r="Z68" s="133">
        <v>70000</v>
      </c>
      <c r="AA68" s="135">
        <v>1</v>
      </c>
      <c r="AB68" s="139">
        <v>105.88</v>
      </c>
      <c r="AD68" s="133">
        <v>74.116</v>
      </c>
      <c r="AG68" t="s">
        <v>135</v>
      </c>
      <c r="AH68" s="137">
        <v>8.7000000000000001E-5</v>
      </c>
      <c r="AI68" s="137">
        <v>1.1188986512801501E-2</v>
      </c>
      <c r="AJ68" s="137">
        <v>3.1116609930389601E-3</v>
      </c>
    </row>
    <row r="69" spans="1:36">
      <c r="A69">
        <v>161</v>
      </c>
      <c r="B69">
        <v>1434</v>
      </c>
      <c r="C69" t="s">
        <v>2226</v>
      </c>
      <c r="D69" t="s">
        <v>2227</v>
      </c>
      <c r="E69" t="s">
        <v>41</v>
      </c>
      <c r="F69" t="s">
        <v>2228</v>
      </c>
      <c r="G69" t="s">
        <v>2229</v>
      </c>
      <c r="H69" t="s">
        <v>44</v>
      </c>
      <c r="I69" t="s">
        <v>1331</v>
      </c>
      <c r="J69" t="s">
        <v>45</v>
      </c>
      <c r="K69" t="s">
        <v>45</v>
      </c>
      <c r="L69" t="s">
        <v>46</v>
      </c>
      <c r="M69" t="s">
        <v>47</v>
      </c>
      <c r="N69" t="s">
        <v>58</v>
      </c>
      <c r="O69" t="s">
        <v>51</v>
      </c>
      <c r="P69" t="s">
        <v>227</v>
      </c>
      <c r="Q69" t="s">
        <v>96</v>
      </c>
      <c r="R69" t="s">
        <v>97</v>
      </c>
      <c r="S69" t="s">
        <v>52</v>
      </c>
      <c r="T69" t="s">
        <v>2230</v>
      </c>
      <c r="U69" t="s">
        <v>2231</v>
      </c>
      <c r="V69" s="137">
        <v>1.34E-2</v>
      </c>
      <c r="W69" s="137">
        <v>2.4719999999999999E-2</v>
      </c>
      <c r="X69" t="s">
        <v>131</v>
      </c>
      <c r="Y69" t="s">
        <v>51</v>
      </c>
      <c r="Z69" s="133">
        <v>87187.5</v>
      </c>
      <c r="AA69" s="135">
        <v>1</v>
      </c>
      <c r="AB69" s="139">
        <v>116.87</v>
      </c>
      <c r="AD69" s="133">
        <v>101.896</v>
      </c>
      <c r="AG69" t="s">
        <v>135</v>
      </c>
      <c r="AH69" s="137">
        <v>4.3999999999999999E-5</v>
      </c>
      <c r="AI69" s="137">
        <v>1.53828231335238E-2</v>
      </c>
      <c r="AJ69" s="137">
        <v>4.2779683979991302E-3</v>
      </c>
    </row>
    <row r="70" spans="1:36">
      <c r="A70">
        <v>161</v>
      </c>
      <c r="B70">
        <v>1434</v>
      </c>
      <c r="C70" t="s">
        <v>2226</v>
      </c>
      <c r="D70" t="s">
        <v>2227</v>
      </c>
      <c r="E70" t="s">
        <v>41</v>
      </c>
      <c r="F70" t="s">
        <v>2232</v>
      </c>
      <c r="G70" t="s">
        <v>2233</v>
      </c>
      <c r="H70" t="s">
        <v>44</v>
      </c>
      <c r="I70" t="s">
        <v>1331</v>
      </c>
      <c r="J70" t="s">
        <v>45</v>
      </c>
      <c r="K70" t="s">
        <v>45</v>
      </c>
      <c r="L70" t="s">
        <v>46</v>
      </c>
      <c r="M70" t="s">
        <v>47</v>
      </c>
      <c r="N70" t="s">
        <v>58</v>
      </c>
      <c r="O70" t="s">
        <v>51</v>
      </c>
      <c r="P70" t="s">
        <v>227</v>
      </c>
      <c r="Q70" t="s">
        <v>96</v>
      </c>
      <c r="R70" t="s">
        <v>97</v>
      </c>
      <c r="S70" t="s">
        <v>52</v>
      </c>
      <c r="T70" t="s">
        <v>2234</v>
      </c>
      <c r="U70" t="s">
        <v>2235</v>
      </c>
      <c r="V70" s="137">
        <v>8.9999999999999993E-3</v>
      </c>
      <c r="W70" s="137">
        <v>2.6929999999999999E-2</v>
      </c>
      <c r="X70" t="s">
        <v>131</v>
      </c>
      <c r="Y70" t="s">
        <v>51</v>
      </c>
      <c r="Z70" s="133">
        <v>242080</v>
      </c>
      <c r="AA70" s="135">
        <v>1</v>
      </c>
      <c r="AB70" s="139">
        <v>105.15</v>
      </c>
      <c r="AD70" s="133">
        <v>254.547</v>
      </c>
      <c r="AG70" t="s">
        <v>135</v>
      </c>
      <c r="AH70" s="137">
        <v>9.0000000000000006E-5</v>
      </c>
      <c r="AI70" s="137">
        <v>3.8427927742356198E-2</v>
      </c>
      <c r="AJ70" s="137">
        <v>1.0686819906557401E-2</v>
      </c>
    </row>
    <row r="71" spans="1:36">
      <c r="A71">
        <v>161</v>
      </c>
      <c r="B71">
        <v>1434</v>
      </c>
      <c r="C71" t="s">
        <v>2236</v>
      </c>
      <c r="D71" t="s">
        <v>2237</v>
      </c>
      <c r="E71" t="s">
        <v>41</v>
      </c>
      <c r="F71" t="s">
        <v>2238</v>
      </c>
      <c r="G71" t="s">
        <v>2239</v>
      </c>
      <c r="H71" t="s">
        <v>44</v>
      </c>
      <c r="I71" t="s">
        <v>1509</v>
      </c>
      <c r="J71" t="s">
        <v>45</v>
      </c>
      <c r="K71" t="s">
        <v>45</v>
      </c>
      <c r="L71" t="s">
        <v>46</v>
      </c>
      <c r="M71" t="s">
        <v>47</v>
      </c>
      <c r="N71" t="s">
        <v>221</v>
      </c>
      <c r="O71" t="s">
        <v>51</v>
      </c>
      <c r="P71" t="s">
        <v>95</v>
      </c>
      <c r="Q71" t="s">
        <v>96</v>
      </c>
      <c r="R71" t="s">
        <v>97</v>
      </c>
      <c r="S71" t="s">
        <v>52</v>
      </c>
      <c r="T71" t="s">
        <v>2240</v>
      </c>
      <c r="U71" t="s">
        <v>2241</v>
      </c>
      <c r="V71" s="137">
        <v>2.5000000000000001E-2</v>
      </c>
      <c r="W71" s="137">
        <v>4.3869999999999999E-2</v>
      </c>
      <c r="X71" t="s">
        <v>131</v>
      </c>
      <c r="Y71" t="s">
        <v>51</v>
      </c>
      <c r="Z71" s="133">
        <v>127500.01</v>
      </c>
      <c r="AA71" s="135">
        <v>1</v>
      </c>
      <c r="AB71" s="139">
        <v>95.37</v>
      </c>
      <c r="AD71" s="133">
        <v>121.59699999999999</v>
      </c>
      <c r="AG71" t="s">
        <v>135</v>
      </c>
      <c r="AH71" s="137">
        <v>7.2999999999999999E-5</v>
      </c>
      <c r="AI71" s="137">
        <v>1.8356960743427402E-2</v>
      </c>
      <c r="AJ71" s="137">
        <v>5.1050770890390803E-3</v>
      </c>
    </row>
    <row r="72" spans="1:36">
      <c r="A72">
        <v>161</v>
      </c>
      <c r="B72">
        <v>1434</v>
      </c>
      <c r="C72" t="s">
        <v>2236</v>
      </c>
      <c r="D72" t="s">
        <v>2237</v>
      </c>
      <c r="E72" t="s">
        <v>41</v>
      </c>
      <c r="F72" t="s">
        <v>2242</v>
      </c>
      <c r="G72" t="s">
        <v>2243</v>
      </c>
      <c r="H72" t="s">
        <v>44</v>
      </c>
      <c r="I72" t="s">
        <v>1331</v>
      </c>
      <c r="J72" t="s">
        <v>45</v>
      </c>
      <c r="K72" t="s">
        <v>45</v>
      </c>
      <c r="L72" t="s">
        <v>46</v>
      </c>
      <c r="M72" t="s">
        <v>47</v>
      </c>
      <c r="N72" t="s">
        <v>221</v>
      </c>
      <c r="O72" t="s">
        <v>51</v>
      </c>
      <c r="P72" t="s">
        <v>95</v>
      </c>
      <c r="Q72" t="s">
        <v>96</v>
      </c>
      <c r="R72" t="s">
        <v>97</v>
      </c>
      <c r="S72" t="s">
        <v>52</v>
      </c>
      <c r="T72" t="s">
        <v>2244</v>
      </c>
      <c r="U72" t="s">
        <v>2241</v>
      </c>
      <c r="V72" s="137">
        <v>1E-3</v>
      </c>
      <c r="W72" s="137">
        <v>2.3619999999999999E-2</v>
      </c>
      <c r="X72" t="s">
        <v>131</v>
      </c>
      <c r="Y72" t="s">
        <v>51</v>
      </c>
      <c r="Z72" s="133">
        <v>88377</v>
      </c>
      <c r="AA72" s="135">
        <v>1</v>
      </c>
      <c r="AB72" s="139">
        <v>107.18</v>
      </c>
      <c r="AD72" s="133">
        <v>94.721999999999994</v>
      </c>
      <c r="AG72" t="s">
        <v>135</v>
      </c>
      <c r="AH72" s="137">
        <v>1.05E-4</v>
      </c>
      <c r="AI72" s="137">
        <v>1.4299859998174E-2</v>
      </c>
      <c r="AJ72" s="137">
        <v>3.9767959780206402E-3</v>
      </c>
    </row>
    <row r="73" spans="1:36">
      <c r="A73">
        <v>161</v>
      </c>
      <c r="B73">
        <v>1434</v>
      </c>
      <c r="C73" t="s">
        <v>2236</v>
      </c>
      <c r="D73" t="s">
        <v>2237</v>
      </c>
      <c r="E73" t="s">
        <v>41</v>
      </c>
      <c r="F73" t="s">
        <v>2245</v>
      </c>
      <c r="G73" t="s">
        <v>2246</v>
      </c>
      <c r="H73" t="s">
        <v>44</v>
      </c>
      <c r="I73" t="s">
        <v>1331</v>
      </c>
      <c r="J73" t="s">
        <v>45</v>
      </c>
      <c r="K73" t="s">
        <v>45</v>
      </c>
      <c r="L73" t="s">
        <v>46</v>
      </c>
      <c r="M73" t="s">
        <v>47</v>
      </c>
      <c r="N73" t="s">
        <v>221</v>
      </c>
      <c r="O73" t="s">
        <v>51</v>
      </c>
      <c r="P73" t="s">
        <v>95</v>
      </c>
      <c r="Q73" t="s">
        <v>96</v>
      </c>
      <c r="R73" t="s">
        <v>97</v>
      </c>
      <c r="S73" t="s">
        <v>52</v>
      </c>
      <c r="T73" t="s">
        <v>2247</v>
      </c>
      <c r="U73" t="s">
        <v>2248</v>
      </c>
      <c r="V73" s="137">
        <v>1.3899999999999999E-2</v>
      </c>
      <c r="W73" s="137">
        <v>2.4320000000000001E-2</v>
      </c>
      <c r="X73" t="s">
        <v>131</v>
      </c>
      <c r="Y73" t="s">
        <v>51</v>
      </c>
      <c r="Z73" s="133">
        <v>111377.78</v>
      </c>
      <c r="AA73" s="135">
        <v>1</v>
      </c>
      <c r="AB73" s="139">
        <v>106.02</v>
      </c>
      <c r="AD73" s="133">
        <v>118.083</v>
      </c>
      <c r="AG73" t="s">
        <v>135</v>
      </c>
      <c r="AH73" s="137">
        <v>3.6000000000000001E-5</v>
      </c>
      <c r="AI73" s="137">
        <v>1.7826461058828999E-2</v>
      </c>
      <c r="AJ73" s="137">
        <v>4.9575449445061004E-3</v>
      </c>
    </row>
    <row r="74" spans="1:36">
      <c r="A74">
        <v>161</v>
      </c>
      <c r="B74">
        <v>1434</v>
      </c>
      <c r="C74" t="s">
        <v>2236</v>
      </c>
      <c r="D74" t="s">
        <v>2237</v>
      </c>
      <c r="E74" t="s">
        <v>41</v>
      </c>
      <c r="F74" t="s">
        <v>2249</v>
      </c>
      <c r="G74" t="s">
        <v>2250</v>
      </c>
      <c r="H74" t="s">
        <v>44</v>
      </c>
      <c r="I74" t="s">
        <v>1331</v>
      </c>
      <c r="J74" t="s">
        <v>45</v>
      </c>
      <c r="K74" t="s">
        <v>45</v>
      </c>
      <c r="L74" t="s">
        <v>46</v>
      </c>
      <c r="M74" t="s">
        <v>47</v>
      </c>
      <c r="N74" t="s">
        <v>221</v>
      </c>
      <c r="O74" t="s">
        <v>51</v>
      </c>
      <c r="P74" t="s">
        <v>95</v>
      </c>
      <c r="Q74" t="s">
        <v>96</v>
      </c>
      <c r="R74" t="s">
        <v>97</v>
      </c>
      <c r="S74" t="s">
        <v>52</v>
      </c>
      <c r="T74" t="s">
        <v>2251</v>
      </c>
      <c r="U74" t="s">
        <v>2252</v>
      </c>
      <c r="V74" s="137">
        <v>6.0000000000000001E-3</v>
      </c>
      <c r="W74" s="137">
        <v>1.687E-2</v>
      </c>
      <c r="X74" t="s">
        <v>131</v>
      </c>
      <c r="Y74" t="s">
        <v>51</v>
      </c>
      <c r="Z74" s="133">
        <v>54164.62</v>
      </c>
      <c r="AA74" s="135">
        <v>1</v>
      </c>
      <c r="AB74" s="139">
        <v>118.2</v>
      </c>
      <c r="AD74" s="133">
        <v>64.022999999999996</v>
      </c>
      <c r="AG74" t="s">
        <v>135</v>
      </c>
      <c r="AH74" s="137">
        <v>8.1000000000000004E-5</v>
      </c>
      <c r="AI74" s="137">
        <v>9.6652246955246501E-3</v>
      </c>
      <c r="AJ74" s="137">
        <v>2.6879023081859701E-3</v>
      </c>
    </row>
    <row r="75" spans="1:36">
      <c r="A75">
        <v>161</v>
      </c>
      <c r="B75">
        <v>1434</v>
      </c>
      <c r="C75" t="s">
        <v>2236</v>
      </c>
      <c r="D75" t="s">
        <v>2237</v>
      </c>
      <c r="E75" t="s">
        <v>41</v>
      </c>
      <c r="F75" t="s">
        <v>2253</v>
      </c>
      <c r="G75" t="s">
        <v>2254</v>
      </c>
      <c r="H75" t="s">
        <v>44</v>
      </c>
      <c r="I75" t="s">
        <v>1331</v>
      </c>
      <c r="J75" t="s">
        <v>45</v>
      </c>
      <c r="K75" t="s">
        <v>45</v>
      </c>
      <c r="L75" t="s">
        <v>46</v>
      </c>
      <c r="M75" t="s">
        <v>47</v>
      </c>
      <c r="N75" t="s">
        <v>221</v>
      </c>
      <c r="O75" t="s">
        <v>51</v>
      </c>
      <c r="P75" t="s">
        <v>95</v>
      </c>
      <c r="Q75" t="s">
        <v>96</v>
      </c>
      <c r="R75" t="s">
        <v>97</v>
      </c>
      <c r="S75" t="s">
        <v>52</v>
      </c>
      <c r="T75" t="s">
        <v>2255</v>
      </c>
      <c r="U75" t="s">
        <v>2256</v>
      </c>
      <c r="V75" s="137">
        <v>1.7500000000000002E-2</v>
      </c>
      <c r="W75" s="137">
        <v>2.359E-2</v>
      </c>
      <c r="X75" t="s">
        <v>131</v>
      </c>
      <c r="Y75" t="s">
        <v>51</v>
      </c>
      <c r="Z75" s="133">
        <v>104491.31</v>
      </c>
      <c r="AA75" s="135">
        <v>1</v>
      </c>
      <c r="AB75" s="139">
        <v>116.01</v>
      </c>
      <c r="AD75" s="133">
        <v>121.22</v>
      </c>
      <c r="AG75" t="s">
        <v>135</v>
      </c>
      <c r="AH75" s="137">
        <v>5.5999999999999999E-5</v>
      </c>
      <c r="AI75" s="137">
        <v>1.8300138577473E-2</v>
      </c>
      <c r="AJ75" s="137">
        <v>5.0892748251666602E-3</v>
      </c>
    </row>
    <row r="76" spans="1:36">
      <c r="A76">
        <v>161</v>
      </c>
      <c r="B76">
        <v>1434</v>
      </c>
      <c r="C76" t="s">
        <v>2236</v>
      </c>
      <c r="D76" t="s">
        <v>2237</v>
      </c>
      <c r="E76" t="s">
        <v>41</v>
      </c>
      <c r="F76" t="s">
        <v>2257</v>
      </c>
      <c r="G76" t="s">
        <v>2258</v>
      </c>
      <c r="H76" t="s">
        <v>44</v>
      </c>
      <c r="I76" t="s">
        <v>1331</v>
      </c>
      <c r="J76" t="s">
        <v>45</v>
      </c>
      <c r="K76" t="s">
        <v>45</v>
      </c>
      <c r="L76" t="s">
        <v>46</v>
      </c>
      <c r="M76" t="s">
        <v>47</v>
      </c>
      <c r="N76" t="s">
        <v>221</v>
      </c>
      <c r="O76" t="s">
        <v>51</v>
      </c>
      <c r="P76" t="s">
        <v>95</v>
      </c>
      <c r="Q76" t="s">
        <v>96</v>
      </c>
      <c r="R76" t="s">
        <v>97</v>
      </c>
      <c r="S76" t="s">
        <v>52</v>
      </c>
      <c r="T76" t="s">
        <v>2259</v>
      </c>
      <c r="U76" t="s">
        <v>2260</v>
      </c>
      <c r="V76" s="137">
        <v>2.6100000000000002E-2</v>
      </c>
      <c r="W76" s="137">
        <v>2.5270000000000001E-2</v>
      </c>
      <c r="X76" t="s">
        <v>131</v>
      </c>
      <c r="Y76" t="s">
        <v>51</v>
      </c>
      <c r="Z76" s="133">
        <v>70000</v>
      </c>
      <c r="AA76" s="135">
        <v>1</v>
      </c>
      <c r="AB76" s="139">
        <v>101.96</v>
      </c>
      <c r="AD76" s="133">
        <v>71.372</v>
      </c>
      <c r="AG76" t="s">
        <v>135</v>
      </c>
      <c r="AH76" s="137">
        <v>2.0000000000000002E-5</v>
      </c>
      <c r="AI76" s="137">
        <v>1.07747361621198E-2</v>
      </c>
      <c r="AJ76" s="137">
        <v>2.99645782820412E-3</v>
      </c>
    </row>
    <row r="77" spans="1:36">
      <c r="A77">
        <v>161</v>
      </c>
      <c r="B77">
        <v>1434</v>
      </c>
      <c r="C77" t="s">
        <v>2236</v>
      </c>
      <c r="D77" t="s">
        <v>2237</v>
      </c>
      <c r="E77" t="s">
        <v>41</v>
      </c>
      <c r="F77" t="s">
        <v>2261</v>
      </c>
      <c r="G77" t="s">
        <v>2262</v>
      </c>
      <c r="H77" t="s">
        <v>44</v>
      </c>
      <c r="I77" t="s">
        <v>1331</v>
      </c>
      <c r="J77" t="s">
        <v>45</v>
      </c>
      <c r="K77" t="s">
        <v>45</v>
      </c>
      <c r="L77" t="s">
        <v>46</v>
      </c>
      <c r="M77" t="s">
        <v>47</v>
      </c>
      <c r="N77" t="s">
        <v>221</v>
      </c>
      <c r="O77" t="s">
        <v>51</v>
      </c>
      <c r="P77" t="s">
        <v>1936</v>
      </c>
      <c r="Q77" t="s">
        <v>96</v>
      </c>
      <c r="R77" t="s">
        <v>97</v>
      </c>
      <c r="S77" t="s">
        <v>52</v>
      </c>
      <c r="T77" t="s">
        <v>2263</v>
      </c>
      <c r="U77" t="s">
        <v>2264</v>
      </c>
      <c r="V77" s="137">
        <v>3.4500000000000003E-2</v>
      </c>
      <c r="W77" s="137">
        <v>2.7990000000000001E-2</v>
      </c>
      <c r="X77" t="s">
        <v>131</v>
      </c>
      <c r="Y77" t="s">
        <v>51</v>
      </c>
      <c r="Z77" s="133">
        <v>50000</v>
      </c>
      <c r="AA77" s="135">
        <v>1</v>
      </c>
      <c r="AB77" s="139">
        <v>107.05</v>
      </c>
      <c r="AD77" s="133">
        <v>53.524999999999999</v>
      </c>
      <c r="AG77" t="s">
        <v>135</v>
      </c>
      <c r="AH77" s="137">
        <v>3.4E-5</v>
      </c>
      <c r="AI77" s="137">
        <v>8.08044825810488E-3</v>
      </c>
      <c r="AJ77" s="137">
        <v>2.2471754365104698E-3</v>
      </c>
    </row>
    <row r="78" spans="1:36">
      <c r="A78">
        <v>161</v>
      </c>
      <c r="B78">
        <v>1434</v>
      </c>
      <c r="C78" t="s">
        <v>2265</v>
      </c>
      <c r="D78" t="s">
        <v>2266</v>
      </c>
      <c r="E78" t="s">
        <v>41</v>
      </c>
      <c r="F78" t="s">
        <v>2267</v>
      </c>
      <c r="G78" t="s">
        <v>2268</v>
      </c>
      <c r="H78" t="s">
        <v>44</v>
      </c>
      <c r="I78" t="s">
        <v>1509</v>
      </c>
      <c r="J78" t="s">
        <v>45</v>
      </c>
      <c r="K78" t="s">
        <v>45</v>
      </c>
      <c r="L78" t="s">
        <v>46</v>
      </c>
      <c r="M78" t="s">
        <v>47</v>
      </c>
      <c r="N78" t="s">
        <v>1061</v>
      </c>
      <c r="O78" t="s">
        <v>51</v>
      </c>
      <c r="P78" t="s">
        <v>1936</v>
      </c>
      <c r="Q78" t="s">
        <v>96</v>
      </c>
      <c r="R78" t="s">
        <v>97</v>
      </c>
      <c r="S78" t="s">
        <v>52</v>
      </c>
      <c r="T78" t="s">
        <v>2269</v>
      </c>
      <c r="U78" t="s">
        <v>2270</v>
      </c>
      <c r="V78" s="137">
        <v>2.29E-2</v>
      </c>
      <c r="W78" s="137">
        <v>5.0180000000000002E-2</v>
      </c>
      <c r="X78" t="s">
        <v>131</v>
      </c>
      <c r="Y78" t="s">
        <v>51</v>
      </c>
      <c r="Z78" s="133">
        <v>10961.54</v>
      </c>
      <c r="AA78" s="135">
        <v>1</v>
      </c>
      <c r="AB78" s="139">
        <v>99.05</v>
      </c>
      <c r="AD78" s="133">
        <v>10.856999999999999</v>
      </c>
      <c r="AG78" t="s">
        <v>135</v>
      </c>
      <c r="AH78" s="137">
        <v>6.6000000000000005E-5</v>
      </c>
      <c r="AI78" s="137">
        <v>1.6390976610846401E-3</v>
      </c>
      <c r="AJ78" s="137">
        <v>4.5583362263803602E-4</v>
      </c>
    </row>
    <row r="79" spans="1:36">
      <c r="A79">
        <v>161</v>
      </c>
      <c r="B79">
        <v>1434</v>
      </c>
      <c r="C79" t="s">
        <v>2271</v>
      </c>
      <c r="D79" t="s">
        <v>2272</v>
      </c>
      <c r="E79" t="s">
        <v>41</v>
      </c>
      <c r="F79" t="s">
        <v>2273</v>
      </c>
      <c r="G79" t="s">
        <v>2274</v>
      </c>
      <c r="H79" t="s">
        <v>44</v>
      </c>
      <c r="I79" t="s">
        <v>1331</v>
      </c>
      <c r="J79" t="s">
        <v>45</v>
      </c>
      <c r="K79" t="s">
        <v>45</v>
      </c>
      <c r="L79" t="s">
        <v>46</v>
      </c>
      <c r="M79" t="s">
        <v>47</v>
      </c>
      <c r="N79" t="s">
        <v>1034</v>
      </c>
      <c r="O79" t="s">
        <v>51</v>
      </c>
      <c r="P79" t="s">
        <v>1936</v>
      </c>
      <c r="Q79" t="s">
        <v>96</v>
      </c>
      <c r="R79" t="s">
        <v>97</v>
      </c>
      <c r="S79" t="s">
        <v>52</v>
      </c>
      <c r="T79" t="s">
        <v>2275</v>
      </c>
      <c r="U79" t="s">
        <v>2276</v>
      </c>
      <c r="V79" s="137">
        <v>1.9400000000000001E-2</v>
      </c>
      <c r="W79" s="137">
        <v>1.9230000000000001E-2</v>
      </c>
      <c r="X79" t="s">
        <v>131</v>
      </c>
      <c r="Y79" t="s">
        <v>51</v>
      </c>
      <c r="Z79" s="133">
        <v>24015.360000000001</v>
      </c>
      <c r="AA79" s="135">
        <v>1</v>
      </c>
      <c r="AB79" s="139">
        <v>119.6</v>
      </c>
      <c r="AD79" s="133">
        <v>28.722000000000001</v>
      </c>
      <c r="AG79" t="s">
        <v>135</v>
      </c>
      <c r="AH79" s="137">
        <v>1.3300000000000001E-4</v>
      </c>
      <c r="AI79" s="137">
        <v>4.3360976956598801E-3</v>
      </c>
      <c r="AJ79" s="137">
        <v>1.2058702587722299E-3</v>
      </c>
    </row>
    <row r="80" spans="1:36">
      <c r="A80">
        <v>161</v>
      </c>
      <c r="B80">
        <v>1434</v>
      </c>
      <c r="C80" t="s">
        <v>2277</v>
      </c>
      <c r="D80" t="s">
        <v>2278</v>
      </c>
      <c r="E80" t="s">
        <v>41</v>
      </c>
      <c r="F80" t="s">
        <v>2279</v>
      </c>
      <c r="G80" t="s">
        <v>2280</v>
      </c>
      <c r="H80" t="s">
        <v>44</v>
      </c>
      <c r="I80" t="s">
        <v>1509</v>
      </c>
      <c r="J80" t="s">
        <v>45</v>
      </c>
      <c r="K80" t="s">
        <v>45</v>
      </c>
      <c r="L80" t="s">
        <v>46</v>
      </c>
      <c r="M80" t="s">
        <v>47</v>
      </c>
      <c r="N80" t="s">
        <v>270</v>
      </c>
      <c r="O80" t="s">
        <v>51</v>
      </c>
      <c r="P80" t="s">
        <v>1936</v>
      </c>
      <c r="Q80" t="s">
        <v>96</v>
      </c>
      <c r="R80" t="s">
        <v>97</v>
      </c>
      <c r="S80" t="s">
        <v>52</v>
      </c>
      <c r="T80" t="s">
        <v>2281</v>
      </c>
      <c r="U80" t="s">
        <v>2282</v>
      </c>
      <c r="V80" s="137">
        <v>2.1499999999999998E-2</v>
      </c>
      <c r="W80" s="137">
        <v>4.7739999999999998E-2</v>
      </c>
      <c r="X80" t="s">
        <v>131</v>
      </c>
      <c r="Y80" t="s">
        <v>51</v>
      </c>
      <c r="Z80" s="133">
        <v>80079.91</v>
      </c>
      <c r="AA80" s="135">
        <v>1</v>
      </c>
      <c r="AB80" s="139">
        <v>96.67</v>
      </c>
      <c r="AC80" s="133">
        <v>8.4570000000000007</v>
      </c>
      <c r="AD80" s="133">
        <v>85.870999999999995</v>
      </c>
      <c r="AG80" t="s">
        <v>135</v>
      </c>
      <c r="AH80" s="137">
        <v>1.47E-4</v>
      </c>
      <c r="AI80" s="137">
        <v>1.29635313011156E-2</v>
      </c>
      <c r="AJ80" s="137">
        <v>3.60516250829059E-3</v>
      </c>
    </row>
    <row r="81" spans="1:36">
      <c r="A81">
        <v>161</v>
      </c>
      <c r="B81">
        <v>1434</v>
      </c>
      <c r="C81" t="s">
        <v>2283</v>
      </c>
      <c r="D81" t="s">
        <v>2284</v>
      </c>
      <c r="E81" t="s">
        <v>41</v>
      </c>
      <c r="F81" t="s">
        <v>2285</v>
      </c>
      <c r="G81" t="s">
        <v>2286</v>
      </c>
      <c r="H81" t="s">
        <v>44</v>
      </c>
      <c r="I81" t="s">
        <v>1331</v>
      </c>
      <c r="J81" t="s">
        <v>45</v>
      </c>
      <c r="K81" t="s">
        <v>45</v>
      </c>
      <c r="L81" t="s">
        <v>46</v>
      </c>
      <c r="M81" t="s">
        <v>47</v>
      </c>
      <c r="N81" t="s">
        <v>58</v>
      </c>
      <c r="O81" t="s">
        <v>51</v>
      </c>
      <c r="P81" t="s">
        <v>1919</v>
      </c>
      <c r="Q81" t="s">
        <v>96</v>
      </c>
      <c r="R81" t="s">
        <v>97</v>
      </c>
      <c r="S81" t="s">
        <v>52</v>
      </c>
      <c r="T81" t="s">
        <v>2287</v>
      </c>
      <c r="U81" t="s">
        <v>2288</v>
      </c>
      <c r="V81" s="137">
        <v>2.5000000000000001E-2</v>
      </c>
      <c r="W81" s="137">
        <v>2.7720000000000002E-2</v>
      </c>
      <c r="X81" t="s">
        <v>131</v>
      </c>
      <c r="Y81" t="s">
        <v>51</v>
      </c>
      <c r="Z81" s="133">
        <v>19950</v>
      </c>
      <c r="AA81" s="135">
        <v>1</v>
      </c>
      <c r="AB81" s="139">
        <v>116.35</v>
      </c>
      <c r="AD81" s="133">
        <v>23.212</v>
      </c>
      <c r="AG81" t="s">
        <v>135</v>
      </c>
      <c r="AH81" s="137">
        <v>1.5E-5</v>
      </c>
      <c r="AI81" s="137">
        <v>3.5041933841884199E-3</v>
      </c>
      <c r="AJ81" s="137">
        <v>9.7451738396225505E-4</v>
      </c>
    </row>
    <row r="82" spans="1:36">
      <c r="A82">
        <v>161</v>
      </c>
      <c r="B82">
        <v>1434</v>
      </c>
      <c r="C82" t="s">
        <v>2289</v>
      </c>
      <c r="D82" t="s">
        <v>2290</v>
      </c>
      <c r="E82" t="s">
        <v>41</v>
      </c>
      <c r="F82" t="s">
        <v>2291</v>
      </c>
      <c r="G82" t="s">
        <v>2292</v>
      </c>
      <c r="H82" t="s">
        <v>44</v>
      </c>
      <c r="I82" t="s">
        <v>1509</v>
      </c>
      <c r="J82" t="s">
        <v>45</v>
      </c>
      <c r="K82" t="s">
        <v>45</v>
      </c>
      <c r="L82" t="s">
        <v>46</v>
      </c>
      <c r="M82" t="s">
        <v>47</v>
      </c>
      <c r="N82" t="s">
        <v>1034</v>
      </c>
      <c r="O82" t="s">
        <v>51</v>
      </c>
      <c r="P82" t="s">
        <v>175</v>
      </c>
      <c r="Q82" t="s">
        <v>167</v>
      </c>
      <c r="R82" t="s">
        <v>97</v>
      </c>
      <c r="S82" t="s">
        <v>52</v>
      </c>
      <c r="T82" t="s">
        <v>2293</v>
      </c>
      <c r="U82" t="s">
        <v>2294</v>
      </c>
      <c r="V82" s="137">
        <v>6.7699999999999996E-2</v>
      </c>
      <c r="W82" s="137">
        <v>5.0470000000000001E-2</v>
      </c>
      <c r="X82" t="s">
        <v>131</v>
      </c>
      <c r="Y82" t="s">
        <v>51</v>
      </c>
      <c r="Z82" s="133">
        <v>111000</v>
      </c>
      <c r="AA82" s="135">
        <v>1</v>
      </c>
      <c r="AB82" s="139">
        <v>108.24</v>
      </c>
      <c r="AD82" s="133">
        <v>120.146</v>
      </c>
      <c r="AG82" t="s">
        <v>135</v>
      </c>
      <c r="AH82" s="137">
        <v>1.64E-4</v>
      </c>
      <c r="AI82" s="137">
        <v>1.81380059523134E-2</v>
      </c>
      <c r="AJ82" s="137">
        <v>5.04418568641124E-3</v>
      </c>
    </row>
    <row r="83" spans="1:36">
      <c r="A83">
        <v>161</v>
      </c>
      <c r="B83">
        <v>1434</v>
      </c>
      <c r="C83" t="s">
        <v>2295</v>
      </c>
      <c r="D83" t="s">
        <v>2296</v>
      </c>
      <c r="E83" t="s">
        <v>41</v>
      </c>
      <c r="F83" t="s">
        <v>2297</v>
      </c>
      <c r="G83" t="s">
        <v>2298</v>
      </c>
      <c r="H83" t="s">
        <v>44</v>
      </c>
      <c r="I83" t="s">
        <v>1331</v>
      </c>
      <c r="J83" t="s">
        <v>45</v>
      </c>
      <c r="K83" t="s">
        <v>45</v>
      </c>
      <c r="L83" t="s">
        <v>46</v>
      </c>
      <c r="M83" t="s">
        <v>47</v>
      </c>
      <c r="N83" s="125" t="s">
        <v>1062</v>
      </c>
      <c r="O83" t="s">
        <v>51</v>
      </c>
      <c r="P83" t="s">
        <v>1919</v>
      </c>
      <c r="Q83" t="s">
        <v>96</v>
      </c>
      <c r="R83" t="s">
        <v>97</v>
      </c>
      <c r="S83" t="s">
        <v>52</v>
      </c>
      <c r="T83" t="s">
        <v>2299</v>
      </c>
      <c r="U83" t="s">
        <v>2300</v>
      </c>
      <c r="V83" s="137">
        <v>2.1999999999999999E-2</v>
      </c>
      <c r="W83" s="137">
        <v>2.6589999999999999E-2</v>
      </c>
      <c r="X83" t="s">
        <v>131</v>
      </c>
      <c r="Y83" t="s">
        <v>51</v>
      </c>
      <c r="Z83" s="133">
        <v>71300.039999999994</v>
      </c>
      <c r="AA83" s="135">
        <v>1</v>
      </c>
      <c r="AB83" s="139">
        <v>107.75</v>
      </c>
      <c r="AD83" s="133">
        <v>76.825999999999993</v>
      </c>
      <c r="AG83" t="s">
        <v>135</v>
      </c>
      <c r="AH83" s="137">
        <v>6.9999999999999994E-5</v>
      </c>
      <c r="AI83" s="137">
        <v>1.15980727890223E-2</v>
      </c>
      <c r="AJ83" s="137">
        <v>3.22542802699217E-3</v>
      </c>
    </row>
    <row r="84" spans="1:36">
      <c r="A84">
        <v>161</v>
      </c>
      <c r="B84">
        <v>1434</v>
      </c>
      <c r="C84" t="s">
        <v>2301</v>
      </c>
      <c r="D84" t="s">
        <v>2302</v>
      </c>
      <c r="E84" t="s">
        <v>41</v>
      </c>
      <c r="F84" t="s">
        <v>2303</v>
      </c>
      <c r="G84" t="s">
        <v>2304</v>
      </c>
      <c r="H84" t="s">
        <v>44</v>
      </c>
      <c r="I84" t="s">
        <v>124</v>
      </c>
      <c r="J84" t="s">
        <v>68</v>
      </c>
      <c r="K84" t="s">
        <v>45</v>
      </c>
      <c r="L84" t="s">
        <v>46</v>
      </c>
      <c r="M84" t="s">
        <v>215</v>
      </c>
      <c r="N84" t="s">
        <v>1119</v>
      </c>
      <c r="O84" t="s">
        <v>51</v>
      </c>
      <c r="P84" t="s">
        <v>2305</v>
      </c>
      <c r="Q84" t="s">
        <v>159</v>
      </c>
      <c r="R84" t="s">
        <v>97</v>
      </c>
      <c r="S84" t="s">
        <v>72</v>
      </c>
      <c r="T84" t="s">
        <v>2306</v>
      </c>
      <c r="U84" t="s">
        <v>2307</v>
      </c>
      <c r="V84" s="137">
        <v>3.0769999999999999E-2</v>
      </c>
      <c r="W84" s="137">
        <v>6.0539999999999997E-2</v>
      </c>
      <c r="X84" t="s">
        <v>131</v>
      </c>
      <c r="Y84" t="s">
        <v>51</v>
      </c>
      <c r="Z84" s="133">
        <v>5000</v>
      </c>
      <c r="AA84" s="135">
        <v>3.165</v>
      </c>
      <c r="AB84" s="139">
        <v>101.44</v>
      </c>
      <c r="AD84" s="133">
        <v>16.053000000000001</v>
      </c>
      <c r="AG84" t="s">
        <v>135</v>
      </c>
      <c r="AH84" s="137">
        <v>7.9999999999999996E-6</v>
      </c>
      <c r="AI84" s="137">
        <v>2.4234291312911298E-3</v>
      </c>
      <c r="AJ84" s="137">
        <v>6.7395647394920103E-4</v>
      </c>
    </row>
    <row r="85" spans="1:36">
      <c r="A85">
        <v>161</v>
      </c>
      <c r="B85">
        <v>9938</v>
      </c>
      <c r="C85" t="s">
        <v>1908</v>
      </c>
      <c r="D85" t="s">
        <v>1909</v>
      </c>
      <c r="E85" t="s">
        <v>41</v>
      </c>
      <c r="F85" t="s">
        <v>1910</v>
      </c>
      <c r="G85" t="s">
        <v>1911</v>
      </c>
      <c r="H85" t="s">
        <v>44</v>
      </c>
      <c r="I85" t="s">
        <v>1509</v>
      </c>
      <c r="J85" t="s">
        <v>45</v>
      </c>
      <c r="K85" t="s">
        <v>45</v>
      </c>
      <c r="L85" t="s">
        <v>46</v>
      </c>
      <c r="M85" t="s">
        <v>47</v>
      </c>
      <c r="N85" t="s">
        <v>1037</v>
      </c>
      <c r="O85" t="s">
        <v>51</v>
      </c>
      <c r="P85" t="s">
        <v>1912</v>
      </c>
      <c r="Q85" t="s">
        <v>167</v>
      </c>
      <c r="R85" t="s">
        <v>97</v>
      </c>
      <c r="S85" t="s">
        <v>52</v>
      </c>
      <c r="T85" t="s">
        <v>1913</v>
      </c>
      <c r="U85" t="s">
        <v>1914</v>
      </c>
      <c r="V85" s="137">
        <v>5.1299999999999998E-2</v>
      </c>
      <c r="W85" s="137">
        <v>4.6969999999999998E-2</v>
      </c>
      <c r="X85" t="s">
        <v>131</v>
      </c>
      <c r="Y85" t="s">
        <v>51</v>
      </c>
      <c r="Z85" s="133">
        <v>80000</v>
      </c>
      <c r="AA85" s="135">
        <v>1</v>
      </c>
      <c r="AB85" s="139">
        <v>102.82</v>
      </c>
      <c r="AD85" s="133">
        <v>82.256</v>
      </c>
      <c r="AG85" t="s">
        <v>135</v>
      </c>
      <c r="AH85" s="137">
        <v>2.3499999999999999E-4</v>
      </c>
      <c r="AI85" s="137">
        <v>6.1418012015974103E-3</v>
      </c>
      <c r="AJ85" s="137">
        <v>9.4256642682988897E-4</v>
      </c>
    </row>
    <row r="86" spans="1:36">
      <c r="A86">
        <v>161</v>
      </c>
      <c r="B86">
        <v>9938</v>
      </c>
      <c r="C86" t="s">
        <v>1915</v>
      </c>
      <c r="D86" t="s">
        <v>1916</v>
      </c>
      <c r="E86" t="s">
        <v>41</v>
      </c>
      <c r="F86" t="s">
        <v>1917</v>
      </c>
      <c r="G86" t="s">
        <v>1918</v>
      </c>
      <c r="H86" t="s">
        <v>44</v>
      </c>
      <c r="I86" t="s">
        <v>1331</v>
      </c>
      <c r="J86" t="s">
        <v>45</v>
      </c>
      <c r="K86" t="s">
        <v>45</v>
      </c>
      <c r="L86" t="s">
        <v>46</v>
      </c>
      <c r="M86" t="s">
        <v>47</v>
      </c>
      <c r="N86" t="s">
        <v>58</v>
      </c>
      <c r="O86" t="s">
        <v>51</v>
      </c>
      <c r="P86" t="s">
        <v>1919</v>
      </c>
      <c r="Q86" t="s">
        <v>96</v>
      </c>
      <c r="R86" t="s">
        <v>97</v>
      </c>
      <c r="S86" t="s">
        <v>52</v>
      </c>
      <c r="T86" t="s">
        <v>1920</v>
      </c>
      <c r="U86" t="s">
        <v>1921</v>
      </c>
      <c r="V86" s="137">
        <v>2.3400000000000001E-2</v>
      </c>
      <c r="W86" s="137">
        <v>2.3099999999999999E-2</v>
      </c>
      <c r="X86" t="s">
        <v>131</v>
      </c>
      <c r="Y86" t="s">
        <v>51</v>
      </c>
      <c r="Z86" s="133">
        <v>136322.12</v>
      </c>
      <c r="AA86" s="135">
        <v>1</v>
      </c>
      <c r="AB86" s="139">
        <v>117.91</v>
      </c>
      <c r="AD86" s="133">
        <v>160.73699999999999</v>
      </c>
      <c r="AG86" t="s">
        <v>135</v>
      </c>
      <c r="AH86" s="137">
        <v>1.18E-4</v>
      </c>
      <c r="AI86" s="137">
        <v>1.20017655644765E-2</v>
      </c>
      <c r="AJ86" s="137">
        <v>1.84188007922113E-3</v>
      </c>
    </row>
    <row r="87" spans="1:36">
      <c r="A87">
        <v>161</v>
      </c>
      <c r="B87">
        <v>9938</v>
      </c>
      <c r="C87" t="s">
        <v>1915</v>
      </c>
      <c r="D87" t="s">
        <v>1916</v>
      </c>
      <c r="E87" t="s">
        <v>41</v>
      </c>
      <c r="F87" t="s">
        <v>1922</v>
      </c>
      <c r="G87" t="s">
        <v>1923</v>
      </c>
      <c r="H87" t="s">
        <v>44</v>
      </c>
      <c r="I87" t="s">
        <v>1509</v>
      </c>
      <c r="J87" t="s">
        <v>45</v>
      </c>
      <c r="K87" t="s">
        <v>45</v>
      </c>
      <c r="L87" t="s">
        <v>46</v>
      </c>
      <c r="M87" t="s">
        <v>47</v>
      </c>
      <c r="N87" t="s">
        <v>58</v>
      </c>
      <c r="O87" t="s">
        <v>51</v>
      </c>
      <c r="P87" t="s">
        <v>1919</v>
      </c>
      <c r="Q87" t="s">
        <v>96</v>
      </c>
      <c r="R87" t="s">
        <v>97</v>
      </c>
      <c r="S87" t="s">
        <v>52</v>
      </c>
      <c r="T87" t="s">
        <v>1924</v>
      </c>
      <c r="U87" t="s">
        <v>1925</v>
      </c>
      <c r="V87" s="137">
        <v>0.05</v>
      </c>
      <c r="W87" s="137">
        <v>4.5440000000000001E-2</v>
      </c>
      <c r="X87" t="s">
        <v>131</v>
      </c>
      <c r="Y87" t="s">
        <v>51</v>
      </c>
      <c r="Z87" s="133">
        <v>255000</v>
      </c>
      <c r="AA87" s="135">
        <v>1</v>
      </c>
      <c r="AB87" s="139">
        <v>102.97</v>
      </c>
      <c r="AD87" s="133">
        <v>262.57400000000001</v>
      </c>
      <c r="AG87" t="s">
        <v>135</v>
      </c>
      <c r="AH87" s="137">
        <v>5.1699999999999999E-4</v>
      </c>
      <c r="AI87" s="137">
        <v>1.96055514224815E-2</v>
      </c>
      <c r="AJ87" s="137">
        <v>3.0088135294108402E-3</v>
      </c>
    </row>
    <row r="88" spans="1:36">
      <c r="A88">
        <v>161</v>
      </c>
      <c r="B88">
        <v>9938</v>
      </c>
      <c r="C88" t="s">
        <v>1926</v>
      </c>
      <c r="D88" t="s">
        <v>1927</v>
      </c>
      <c r="E88" t="s">
        <v>41</v>
      </c>
      <c r="F88" t="s">
        <v>2308</v>
      </c>
      <c r="G88" t="s">
        <v>2309</v>
      </c>
      <c r="H88" t="s">
        <v>44</v>
      </c>
      <c r="I88" t="s">
        <v>1331</v>
      </c>
      <c r="J88" t="s">
        <v>45</v>
      </c>
      <c r="K88" t="s">
        <v>45</v>
      </c>
      <c r="L88" t="s">
        <v>46</v>
      </c>
      <c r="M88" t="s">
        <v>47</v>
      </c>
      <c r="N88" s="125" t="s">
        <v>1062</v>
      </c>
      <c r="O88" t="s">
        <v>51</v>
      </c>
      <c r="P88" t="s">
        <v>128</v>
      </c>
      <c r="Q88" t="s">
        <v>96</v>
      </c>
      <c r="R88" t="s">
        <v>97</v>
      </c>
      <c r="S88" t="s">
        <v>52</v>
      </c>
      <c r="T88" t="s">
        <v>2310</v>
      </c>
      <c r="U88" t="s">
        <v>2311</v>
      </c>
      <c r="V88" s="137">
        <v>3.2000000000000001E-2</v>
      </c>
      <c r="W88" s="137">
        <v>2.1870000000000001E-2</v>
      </c>
      <c r="X88" t="s">
        <v>131</v>
      </c>
      <c r="Y88" t="s">
        <v>51</v>
      </c>
      <c r="Z88" s="133">
        <v>24750</v>
      </c>
      <c r="AA88" s="135">
        <v>1</v>
      </c>
      <c r="AB88" s="139">
        <v>111.1</v>
      </c>
      <c r="AD88" s="133">
        <v>27.497</v>
      </c>
      <c r="AG88" t="s">
        <v>135</v>
      </c>
      <c r="AH88" s="137">
        <v>5.0000000000000002E-5</v>
      </c>
      <c r="AI88" s="137">
        <v>2.0531346417358501E-3</v>
      </c>
      <c r="AJ88" s="137">
        <v>3.1508929050948502E-4</v>
      </c>
    </row>
    <row r="89" spans="1:36">
      <c r="A89">
        <v>161</v>
      </c>
      <c r="B89">
        <v>9938</v>
      </c>
      <c r="C89" t="s">
        <v>1926</v>
      </c>
      <c r="D89" t="s">
        <v>1927</v>
      </c>
      <c r="E89" t="s">
        <v>41</v>
      </c>
      <c r="F89" t="s">
        <v>1928</v>
      </c>
      <c r="G89" t="s">
        <v>1929</v>
      </c>
      <c r="H89" t="s">
        <v>44</v>
      </c>
      <c r="I89" t="s">
        <v>1509</v>
      </c>
      <c r="J89" t="s">
        <v>45</v>
      </c>
      <c r="K89" t="s">
        <v>45</v>
      </c>
      <c r="L89" t="s">
        <v>46</v>
      </c>
      <c r="M89" t="s">
        <v>47</v>
      </c>
      <c r="N89" s="125" t="s">
        <v>1062</v>
      </c>
      <c r="O89" t="s">
        <v>51</v>
      </c>
      <c r="P89" t="s">
        <v>128</v>
      </c>
      <c r="Q89" t="s">
        <v>96</v>
      </c>
      <c r="R89" t="s">
        <v>97</v>
      </c>
      <c r="S89" t="s">
        <v>52</v>
      </c>
      <c r="T89" t="s">
        <v>1930</v>
      </c>
      <c r="U89" t="s">
        <v>1931</v>
      </c>
      <c r="V89" s="137">
        <v>5.7000000000000002E-2</v>
      </c>
      <c r="W89" s="137">
        <v>5.083E-2</v>
      </c>
      <c r="X89" t="s">
        <v>131</v>
      </c>
      <c r="Y89" t="s">
        <v>51</v>
      </c>
      <c r="Z89" s="133">
        <v>24300</v>
      </c>
      <c r="AA89" s="135">
        <v>1</v>
      </c>
      <c r="AB89" s="139">
        <v>101.02</v>
      </c>
      <c r="AD89" s="133">
        <v>24.547999999999998</v>
      </c>
      <c r="AG89" t="s">
        <v>135</v>
      </c>
      <c r="AH89" s="137">
        <v>4.1E-5</v>
      </c>
      <c r="AI89" s="137">
        <v>1.83291280933482E-3</v>
      </c>
      <c r="AJ89" s="137">
        <v>2.8129241254766101E-4</v>
      </c>
    </row>
    <row r="90" spans="1:36">
      <c r="A90">
        <v>161</v>
      </c>
      <c r="B90">
        <v>9938</v>
      </c>
      <c r="C90" t="s">
        <v>2312</v>
      </c>
      <c r="D90" t="s">
        <v>2313</v>
      </c>
      <c r="E90" t="s">
        <v>41</v>
      </c>
      <c r="F90" t="s">
        <v>2314</v>
      </c>
      <c r="G90" t="s">
        <v>2315</v>
      </c>
      <c r="H90" t="s">
        <v>44</v>
      </c>
      <c r="I90" t="s">
        <v>1331</v>
      </c>
      <c r="J90" t="s">
        <v>45</v>
      </c>
      <c r="K90" t="s">
        <v>45</v>
      </c>
      <c r="L90" t="s">
        <v>46</v>
      </c>
      <c r="M90" t="s">
        <v>47</v>
      </c>
      <c r="N90" s="125" t="s">
        <v>1062</v>
      </c>
      <c r="O90" t="s">
        <v>51</v>
      </c>
      <c r="P90" t="s">
        <v>128</v>
      </c>
      <c r="Q90" t="s">
        <v>96</v>
      </c>
      <c r="R90" t="s">
        <v>97</v>
      </c>
      <c r="S90" t="s">
        <v>52</v>
      </c>
      <c r="T90" t="s">
        <v>2316</v>
      </c>
      <c r="U90" t="s">
        <v>2317</v>
      </c>
      <c r="V90" s="137">
        <v>3.2300000000000002E-2</v>
      </c>
      <c r="W90" s="137">
        <v>2.4060000000000002E-2</v>
      </c>
      <c r="X90" t="s">
        <v>131</v>
      </c>
      <c r="Y90" t="s">
        <v>51</v>
      </c>
      <c r="Z90" s="133">
        <v>36040</v>
      </c>
      <c r="AA90" s="135">
        <v>1</v>
      </c>
      <c r="AB90" s="139">
        <v>111.06</v>
      </c>
      <c r="AD90" s="133">
        <v>40.026000000000003</v>
      </c>
      <c r="AG90" t="s">
        <v>135</v>
      </c>
      <c r="AH90" s="137">
        <v>8.6000000000000003E-5</v>
      </c>
      <c r="AI90" s="137">
        <v>2.98861945995875E-3</v>
      </c>
      <c r="AJ90" s="137">
        <v>4.5865573844932201E-4</v>
      </c>
    </row>
    <row r="91" spans="1:36">
      <c r="A91">
        <v>161</v>
      </c>
      <c r="B91">
        <v>9938</v>
      </c>
      <c r="C91" t="s">
        <v>1932</v>
      </c>
      <c r="D91" t="s">
        <v>1933</v>
      </c>
      <c r="E91" t="s">
        <v>41</v>
      </c>
      <c r="F91" t="s">
        <v>1934</v>
      </c>
      <c r="G91" t="s">
        <v>1935</v>
      </c>
      <c r="H91" t="s">
        <v>44</v>
      </c>
      <c r="I91" t="s">
        <v>1331</v>
      </c>
      <c r="J91" t="s">
        <v>45</v>
      </c>
      <c r="K91" t="s">
        <v>45</v>
      </c>
      <c r="L91" t="s">
        <v>46</v>
      </c>
      <c r="M91" t="s">
        <v>47</v>
      </c>
      <c r="N91" t="s">
        <v>58</v>
      </c>
      <c r="O91" t="s">
        <v>51</v>
      </c>
      <c r="P91" t="s">
        <v>1936</v>
      </c>
      <c r="Q91" t="s">
        <v>96</v>
      </c>
      <c r="R91" t="s">
        <v>97</v>
      </c>
      <c r="S91" t="s">
        <v>52</v>
      </c>
      <c r="T91" t="s">
        <v>1937</v>
      </c>
      <c r="U91" t="s">
        <v>1938</v>
      </c>
      <c r="V91" s="137">
        <v>2.5600000000000001E-2</v>
      </c>
      <c r="W91" s="137">
        <v>3.0120000000000001E-2</v>
      </c>
      <c r="X91" t="s">
        <v>131</v>
      </c>
      <c r="Y91" t="s">
        <v>51</v>
      </c>
      <c r="Z91" s="133">
        <v>130000</v>
      </c>
      <c r="AA91" s="135">
        <v>1</v>
      </c>
      <c r="AB91" s="139">
        <v>107.35</v>
      </c>
      <c r="AD91" s="133">
        <v>139.55500000000001</v>
      </c>
      <c r="AG91" t="s">
        <v>135</v>
      </c>
      <c r="AH91" s="137">
        <v>1.2400000000000001E-4</v>
      </c>
      <c r="AI91" s="137">
        <v>1.0420140375035599E-2</v>
      </c>
      <c r="AJ91" s="137">
        <v>1.59915213110588E-3</v>
      </c>
    </row>
    <row r="92" spans="1:36">
      <c r="A92">
        <v>161</v>
      </c>
      <c r="B92">
        <v>9938</v>
      </c>
      <c r="C92" t="s">
        <v>1932</v>
      </c>
      <c r="D92" t="s">
        <v>1933</v>
      </c>
      <c r="E92" t="s">
        <v>41</v>
      </c>
      <c r="F92" t="s">
        <v>1939</v>
      </c>
      <c r="G92" t="s">
        <v>1940</v>
      </c>
      <c r="H92" t="s">
        <v>44</v>
      </c>
      <c r="I92" t="s">
        <v>1509</v>
      </c>
      <c r="J92" t="s">
        <v>45</v>
      </c>
      <c r="K92" t="s">
        <v>45</v>
      </c>
      <c r="L92" t="s">
        <v>46</v>
      </c>
      <c r="M92" t="s">
        <v>47</v>
      </c>
      <c r="N92" t="s">
        <v>58</v>
      </c>
      <c r="O92" t="s">
        <v>51</v>
      </c>
      <c r="P92" t="s">
        <v>1936</v>
      </c>
      <c r="Q92" t="s">
        <v>96</v>
      </c>
      <c r="R92" t="s">
        <v>97</v>
      </c>
      <c r="S92" t="s">
        <v>52</v>
      </c>
      <c r="T92" t="s">
        <v>1941</v>
      </c>
      <c r="U92" t="s">
        <v>1942</v>
      </c>
      <c r="V92" s="137">
        <v>2.41E-2</v>
      </c>
      <c r="W92" s="137">
        <v>4.8550000000000003E-2</v>
      </c>
      <c r="X92" t="s">
        <v>131</v>
      </c>
      <c r="Y92" t="s">
        <v>51</v>
      </c>
      <c r="Z92" s="133">
        <v>150000</v>
      </c>
      <c r="AA92" s="135">
        <v>1</v>
      </c>
      <c r="AB92" s="139">
        <v>93.27</v>
      </c>
      <c r="AD92" s="133">
        <v>139.905</v>
      </c>
      <c r="AG92" t="s">
        <v>135</v>
      </c>
      <c r="AH92" s="137">
        <v>7.2999999999999999E-5</v>
      </c>
      <c r="AI92" s="137">
        <v>1.04462737929085E-2</v>
      </c>
      <c r="AJ92" s="137">
        <v>1.60316275950248E-3</v>
      </c>
    </row>
    <row r="93" spans="1:36">
      <c r="A93">
        <v>161</v>
      </c>
      <c r="B93">
        <v>9938</v>
      </c>
      <c r="C93" t="s">
        <v>1943</v>
      </c>
      <c r="D93" t="s">
        <v>479</v>
      </c>
      <c r="E93" t="s">
        <v>41</v>
      </c>
      <c r="F93" t="s">
        <v>1944</v>
      </c>
      <c r="G93" t="s">
        <v>1945</v>
      </c>
      <c r="H93" t="s">
        <v>44</v>
      </c>
      <c r="I93" t="s">
        <v>1509</v>
      </c>
      <c r="J93" t="s">
        <v>45</v>
      </c>
      <c r="K93" t="s">
        <v>45</v>
      </c>
      <c r="L93" t="s">
        <v>46</v>
      </c>
      <c r="M93" t="s">
        <v>47</v>
      </c>
      <c r="N93" t="s">
        <v>150</v>
      </c>
      <c r="O93" t="s">
        <v>51</v>
      </c>
      <c r="P93" t="s">
        <v>128</v>
      </c>
      <c r="Q93" t="s">
        <v>96</v>
      </c>
      <c r="R93" t="s">
        <v>97</v>
      </c>
      <c r="S93" t="s">
        <v>52</v>
      </c>
      <c r="T93" t="s">
        <v>1946</v>
      </c>
      <c r="U93" t="s">
        <v>1947</v>
      </c>
      <c r="V93" s="137">
        <v>0.04</v>
      </c>
      <c r="W93" s="137">
        <v>4.786E-2</v>
      </c>
      <c r="X93" t="s">
        <v>131</v>
      </c>
      <c r="Y93" t="s">
        <v>51</v>
      </c>
      <c r="Z93" s="133">
        <v>127857.22</v>
      </c>
      <c r="AA93" s="135">
        <v>1</v>
      </c>
      <c r="AB93" s="139">
        <v>99.05</v>
      </c>
      <c r="AD93" s="133">
        <v>126.643</v>
      </c>
      <c r="AG93" t="s">
        <v>135</v>
      </c>
      <c r="AH93" s="137">
        <v>2.6400000000000002E-4</v>
      </c>
      <c r="AI93" s="137">
        <v>9.4560096280919201E-3</v>
      </c>
      <c r="AJ93" s="137">
        <v>1.4511894661946201E-3</v>
      </c>
    </row>
    <row r="94" spans="1:36">
      <c r="A94">
        <v>161</v>
      </c>
      <c r="B94">
        <v>9938</v>
      </c>
      <c r="C94" t="s">
        <v>1948</v>
      </c>
      <c r="D94" t="s">
        <v>1949</v>
      </c>
      <c r="E94" t="s">
        <v>41</v>
      </c>
      <c r="F94" t="s">
        <v>1950</v>
      </c>
      <c r="G94" t="s">
        <v>1951</v>
      </c>
      <c r="H94" t="s">
        <v>44</v>
      </c>
      <c r="I94" t="s">
        <v>1331</v>
      </c>
      <c r="J94" t="s">
        <v>45</v>
      </c>
      <c r="K94" t="s">
        <v>45</v>
      </c>
      <c r="L94" t="s">
        <v>46</v>
      </c>
      <c r="M94" t="s">
        <v>47</v>
      </c>
      <c r="N94" t="s">
        <v>58</v>
      </c>
      <c r="O94" t="s">
        <v>51</v>
      </c>
      <c r="P94" t="s">
        <v>1919</v>
      </c>
      <c r="Q94" t="s">
        <v>96</v>
      </c>
      <c r="R94" t="s">
        <v>97</v>
      </c>
      <c r="S94" t="s">
        <v>52</v>
      </c>
      <c r="T94" t="s">
        <v>1952</v>
      </c>
      <c r="U94" t="s">
        <v>1953</v>
      </c>
      <c r="V94" s="137">
        <v>1.14E-2</v>
      </c>
      <c r="W94" s="137">
        <v>2.3810000000000001E-2</v>
      </c>
      <c r="X94" t="s">
        <v>131</v>
      </c>
      <c r="Y94" t="s">
        <v>51</v>
      </c>
      <c r="Z94" s="133">
        <v>185198.4</v>
      </c>
      <c r="AA94" s="135">
        <v>1</v>
      </c>
      <c r="AB94" s="139">
        <v>113.75</v>
      </c>
      <c r="AD94" s="133">
        <v>210.66300000000001</v>
      </c>
      <c r="AG94" t="s">
        <v>135</v>
      </c>
      <c r="AH94" s="137">
        <v>8.7000000000000001E-5</v>
      </c>
      <c r="AI94" s="137">
        <v>1.5729568323968199E-2</v>
      </c>
      <c r="AJ94" s="137">
        <v>2.41397637664391E-3</v>
      </c>
    </row>
    <row r="95" spans="1:36">
      <c r="A95">
        <v>161</v>
      </c>
      <c r="B95">
        <v>9938</v>
      </c>
      <c r="C95" t="s">
        <v>1948</v>
      </c>
      <c r="D95" t="s">
        <v>1949</v>
      </c>
      <c r="E95" t="s">
        <v>41</v>
      </c>
      <c r="F95" t="s">
        <v>1954</v>
      </c>
      <c r="G95" t="s">
        <v>1955</v>
      </c>
      <c r="H95" t="s">
        <v>44</v>
      </c>
      <c r="I95" t="s">
        <v>1509</v>
      </c>
      <c r="J95" t="s">
        <v>45</v>
      </c>
      <c r="K95" t="s">
        <v>45</v>
      </c>
      <c r="L95" t="s">
        <v>46</v>
      </c>
      <c r="M95" t="s">
        <v>47</v>
      </c>
      <c r="N95" t="s">
        <v>58</v>
      </c>
      <c r="O95" t="s">
        <v>51</v>
      </c>
      <c r="P95" t="s">
        <v>1919</v>
      </c>
      <c r="Q95" t="s">
        <v>96</v>
      </c>
      <c r="R95" t="s">
        <v>97</v>
      </c>
      <c r="S95" t="s">
        <v>52</v>
      </c>
      <c r="T95" t="s">
        <v>1956</v>
      </c>
      <c r="U95" t="s">
        <v>1957</v>
      </c>
      <c r="V95" s="137">
        <v>2.4400000000000002E-2</v>
      </c>
      <c r="W95" s="137">
        <v>4.6190000000000002E-2</v>
      </c>
      <c r="X95" t="s">
        <v>131</v>
      </c>
      <c r="Y95" t="s">
        <v>51</v>
      </c>
      <c r="Z95" s="133">
        <v>150000</v>
      </c>
      <c r="AA95" s="135">
        <v>1</v>
      </c>
      <c r="AB95" s="139">
        <v>92.36</v>
      </c>
      <c r="AD95" s="133">
        <v>138.54</v>
      </c>
      <c r="AG95" t="s">
        <v>135</v>
      </c>
      <c r="AH95" s="137">
        <v>1.2300000000000001E-4</v>
      </c>
      <c r="AI95" s="137">
        <v>1.0344353463204E-2</v>
      </c>
      <c r="AJ95" s="137">
        <v>1.5875213087557501E-3</v>
      </c>
    </row>
    <row r="96" spans="1:36">
      <c r="A96">
        <v>161</v>
      </c>
      <c r="B96">
        <v>9938</v>
      </c>
      <c r="C96" t="s">
        <v>1948</v>
      </c>
      <c r="D96" t="s">
        <v>1949</v>
      </c>
      <c r="E96" t="s">
        <v>41</v>
      </c>
      <c r="F96" t="s">
        <v>1958</v>
      </c>
      <c r="G96" t="s">
        <v>1959</v>
      </c>
      <c r="H96" t="s">
        <v>44</v>
      </c>
      <c r="I96" t="s">
        <v>1331</v>
      </c>
      <c r="J96" t="s">
        <v>45</v>
      </c>
      <c r="K96" t="s">
        <v>45</v>
      </c>
      <c r="L96" t="s">
        <v>46</v>
      </c>
      <c r="M96" t="s">
        <v>47</v>
      </c>
      <c r="N96" t="s">
        <v>58</v>
      </c>
      <c r="O96" t="s">
        <v>51</v>
      </c>
      <c r="P96" t="s">
        <v>1919</v>
      </c>
      <c r="Q96" t="s">
        <v>96</v>
      </c>
      <c r="R96" t="s">
        <v>97</v>
      </c>
      <c r="S96" t="s">
        <v>52</v>
      </c>
      <c r="T96" t="s">
        <v>1960</v>
      </c>
      <c r="U96" t="s">
        <v>1957</v>
      </c>
      <c r="V96" s="137">
        <v>9.1999999999999998E-3</v>
      </c>
      <c r="W96" s="137">
        <v>2.7480000000000001E-2</v>
      </c>
      <c r="X96" t="s">
        <v>131</v>
      </c>
      <c r="Y96" t="s">
        <v>51</v>
      </c>
      <c r="Z96" s="133">
        <v>200000</v>
      </c>
      <c r="AA96" s="135">
        <v>1</v>
      </c>
      <c r="AB96" s="139">
        <v>109.79</v>
      </c>
      <c r="AD96" s="133">
        <v>219.58</v>
      </c>
      <c r="AG96" t="s">
        <v>135</v>
      </c>
      <c r="AH96" s="137">
        <v>7.7000000000000001E-5</v>
      </c>
      <c r="AI96" s="137">
        <v>1.6395359704419799E-2</v>
      </c>
      <c r="AJ96" s="137">
        <v>2.5161536666420299E-3</v>
      </c>
    </row>
    <row r="97" spans="1:36">
      <c r="A97">
        <v>161</v>
      </c>
      <c r="B97">
        <v>9938</v>
      </c>
      <c r="C97" t="s">
        <v>1948</v>
      </c>
      <c r="D97" t="s">
        <v>1949</v>
      </c>
      <c r="E97" t="s">
        <v>41</v>
      </c>
      <c r="F97" t="s">
        <v>2318</v>
      </c>
      <c r="G97" t="s">
        <v>2319</v>
      </c>
      <c r="H97" t="s">
        <v>44</v>
      </c>
      <c r="I97" t="s">
        <v>1509</v>
      </c>
      <c r="J97" t="s">
        <v>45</v>
      </c>
      <c r="K97" t="s">
        <v>45</v>
      </c>
      <c r="L97" t="s">
        <v>46</v>
      </c>
      <c r="M97" t="s">
        <v>47</v>
      </c>
      <c r="N97" t="s">
        <v>58</v>
      </c>
      <c r="O97" t="s">
        <v>51</v>
      </c>
      <c r="P97" t="s">
        <v>1919</v>
      </c>
      <c r="Q97" t="s">
        <v>96</v>
      </c>
      <c r="R97" t="s">
        <v>97</v>
      </c>
      <c r="S97" t="s">
        <v>52</v>
      </c>
      <c r="T97" t="s">
        <v>2320</v>
      </c>
      <c r="U97" t="s">
        <v>2321</v>
      </c>
      <c r="V97" s="137">
        <v>5.79E-2</v>
      </c>
      <c r="W97" s="137">
        <v>4.8039999999999999E-2</v>
      </c>
      <c r="X97" t="s">
        <v>131</v>
      </c>
      <c r="Y97" t="s">
        <v>51</v>
      </c>
      <c r="Z97" s="133">
        <v>150000</v>
      </c>
      <c r="AA97" s="135">
        <v>1</v>
      </c>
      <c r="AB97" s="139">
        <v>108.23</v>
      </c>
      <c r="AD97" s="133">
        <v>162.345</v>
      </c>
      <c r="AG97" t="s">
        <v>135</v>
      </c>
      <c r="AH97" s="137">
        <v>1.66E-4</v>
      </c>
      <c r="AI97" s="137">
        <v>1.2121799213107E-2</v>
      </c>
      <c r="AJ97" s="137">
        <v>1.8603013344157099E-3</v>
      </c>
    </row>
    <row r="98" spans="1:36">
      <c r="A98">
        <v>161</v>
      </c>
      <c r="B98">
        <v>9938</v>
      </c>
      <c r="C98" t="s">
        <v>1961</v>
      </c>
      <c r="D98" t="s">
        <v>1962</v>
      </c>
      <c r="E98" t="s">
        <v>41</v>
      </c>
      <c r="F98" t="s">
        <v>1963</v>
      </c>
      <c r="G98" t="s">
        <v>1964</v>
      </c>
      <c r="H98" t="s">
        <v>44</v>
      </c>
      <c r="I98" t="s">
        <v>1509</v>
      </c>
      <c r="J98" t="s">
        <v>45</v>
      </c>
      <c r="K98" t="s">
        <v>69</v>
      </c>
      <c r="L98" t="s">
        <v>46</v>
      </c>
      <c r="M98" t="s">
        <v>47</v>
      </c>
      <c r="N98" t="s">
        <v>49</v>
      </c>
      <c r="O98" t="s">
        <v>51</v>
      </c>
      <c r="P98" t="s">
        <v>158</v>
      </c>
      <c r="Q98" t="s">
        <v>96</v>
      </c>
      <c r="R98" t="s">
        <v>97</v>
      </c>
      <c r="S98" t="s">
        <v>52</v>
      </c>
      <c r="T98" t="s">
        <v>1965</v>
      </c>
      <c r="U98" t="s">
        <v>1966</v>
      </c>
      <c r="V98" s="137">
        <v>3.4500000000000003E-2</v>
      </c>
      <c r="W98" s="137">
        <v>5.0569999999999997E-2</v>
      </c>
      <c r="X98" t="s">
        <v>131</v>
      </c>
      <c r="Y98" t="s">
        <v>51</v>
      </c>
      <c r="Z98" s="133">
        <v>157784.32000000001</v>
      </c>
      <c r="AA98" s="135">
        <v>1</v>
      </c>
      <c r="AB98" s="139">
        <v>99.67</v>
      </c>
      <c r="AD98" s="133">
        <v>157.26400000000001</v>
      </c>
      <c r="AG98" t="s">
        <v>135</v>
      </c>
      <c r="AH98" s="137">
        <v>2.8299999999999999E-4</v>
      </c>
      <c r="AI98" s="137">
        <v>1.17423891559627E-2</v>
      </c>
      <c r="AJ98" s="137">
        <v>1.80207424921262E-3</v>
      </c>
    </row>
    <row r="99" spans="1:36">
      <c r="A99">
        <v>161</v>
      </c>
      <c r="B99">
        <v>9938</v>
      </c>
      <c r="C99" t="s">
        <v>1961</v>
      </c>
      <c r="D99" t="s">
        <v>1962</v>
      </c>
      <c r="E99" t="s">
        <v>41</v>
      </c>
      <c r="F99" t="s">
        <v>1967</v>
      </c>
      <c r="G99" t="s">
        <v>1968</v>
      </c>
      <c r="H99" t="s">
        <v>44</v>
      </c>
      <c r="I99" t="s">
        <v>1509</v>
      </c>
      <c r="J99" t="s">
        <v>45</v>
      </c>
      <c r="K99" t="s">
        <v>69</v>
      </c>
      <c r="L99" t="s">
        <v>46</v>
      </c>
      <c r="M99" t="s">
        <v>47</v>
      </c>
      <c r="N99" t="s">
        <v>49</v>
      </c>
      <c r="O99" t="s">
        <v>51</v>
      </c>
      <c r="P99" t="s">
        <v>158</v>
      </c>
      <c r="Q99" t="s">
        <v>96</v>
      </c>
      <c r="R99" t="s">
        <v>97</v>
      </c>
      <c r="S99" t="s">
        <v>52</v>
      </c>
      <c r="T99" t="s">
        <v>1969</v>
      </c>
      <c r="U99" t="s">
        <v>1970</v>
      </c>
      <c r="V99" s="137">
        <v>1.4999999999999999E-2</v>
      </c>
      <c r="W99" s="137">
        <v>4.8719999999999999E-2</v>
      </c>
      <c r="X99" t="s">
        <v>131</v>
      </c>
      <c r="Y99" t="s">
        <v>51</v>
      </c>
      <c r="Z99" s="133">
        <v>68000</v>
      </c>
      <c r="AA99" s="135">
        <v>1</v>
      </c>
      <c r="AB99" s="139">
        <v>92.72</v>
      </c>
      <c r="AD99" s="133">
        <v>63.05</v>
      </c>
      <c r="AG99" t="s">
        <v>135</v>
      </c>
      <c r="AH99" s="137">
        <v>5.8E-5</v>
      </c>
      <c r="AI99" s="137">
        <v>4.7077186957818996E-3</v>
      </c>
      <c r="AJ99" s="137">
        <v>7.22481474725902E-4</v>
      </c>
    </row>
    <row r="100" spans="1:36">
      <c r="A100">
        <v>161</v>
      </c>
      <c r="B100">
        <v>9938</v>
      </c>
      <c r="C100" t="s">
        <v>2322</v>
      </c>
      <c r="D100" t="s">
        <v>2323</v>
      </c>
      <c r="E100" t="s">
        <v>41</v>
      </c>
      <c r="F100" t="s">
        <v>2324</v>
      </c>
      <c r="G100" t="s">
        <v>2325</v>
      </c>
      <c r="H100" t="s">
        <v>44</v>
      </c>
      <c r="I100" t="s">
        <v>1509</v>
      </c>
      <c r="J100" t="s">
        <v>45</v>
      </c>
      <c r="K100" t="s">
        <v>45</v>
      </c>
      <c r="L100" t="s">
        <v>46</v>
      </c>
      <c r="M100" t="s">
        <v>47</v>
      </c>
      <c r="N100" t="s">
        <v>49</v>
      </c>
      <c r="O100" t="s">
        <v>51</v>
      </c>
      <c r="P100" t="s">
        <v>158</v>
      </c>
      <c r="Q100" t="s">
        <v>96</v>
      </c>
      <c r="R100" t="s">
        <v>97</v>
      </c>
      <c r="S100" t="s">
        <v>52</v>
      </c>
      <c r="T100" t="s">
        <v>2326</v>
      </c>
      <c r="U100" t="s">
        <v>2327</v>
      </c>
      <c r="V100" s="137">
        <v>2.0500000000000001E-2</v>
      </c>
      <c r="W100" s="137">
        <v>4.845E-2</v>
      </c>
      <c r="X100" t="s">
        <v>131</v>
      </c>
      <c r="Y100" t="s">
        <v>51</v>
      </c>
      <c r="Z100" s="133">
        <v>130909.15</v>
      </c>
      <c r="AA100" s="135">
        <v>1</v>
      </c>
      <c r="AB100" s="139">
        <v>94.46</v>
      </c>
      <c r="AD100" s="133">
        <v>123.657</v>
      </c>
      <c r="AG100" t="s">
        <v>135</v>
      </c>
      <c r="AH100" s="137">
        <v>1.6699999999999999E-4</v>
      </c>
      <c r="AI100" s="137">
        <v>9.2330696723379596E-3</v>
      </c>
      <c r="AJ100" s="137">
        <v>1.4169754448358799E-3</v>
      </c>
    </row>
    <row r="101" spans="1:36">
      <c r="A101">
        <v>161</v>
      </c>
      <c r="B101">
        <v>9938</v>
      </c>
      <c r="C101" t="s">
        <v>1915</v>
      </c>
      <c r="D101" t="s">
        <v>1916</v>
      </c>
      <c r="E101" t="s">
        <v>41</v>
      </c>
      <c r="F101" t="s">
        <v>1971</v>
      </c>
      <c r="G101" t="s">
        <v>1972</v>
      </c>
      <c r="H101" t="s">
        <v>44</v>
      </c>
      <c r="I101" t="s">
        <v>1331</v>
      </c>
      <c r="J101" t="s">
        <v>45</v>
      </c>
      <c r="K101" t="s">
        <v>45</v>
      </c>
      <c r="L101" t="s">
        <v>46</v>
      </c>
      <c r="M101" t="s">
        <v>47</v>
      </c>
      <c r="N101" t="s">
        <v>58</v>
      </c>
      <c r="O101" t="s">
        <v>51</v>
      </c>
      <c r="P101" t="s">
        <v>1919</v>
      </c>
      <c r="Q101" t="s">
        <v>96</v>
      </c>
      <c r="R101" t="s">
        <v>97</v>
      </c>
      <c r="S101" t="s">
        <v>52</v>
      </c>
      <c r="T101" t="s">
        <v>1973</v>
      </c>
      <c r="U101" t="s">
        <v>1974</v>
      </c>
      <c r="V101" s="137">
        <v>6.4999999999999997E-3</v>
      </c>
      <c r="W101" s="137">
        <v>2.7640000000000001E-2</v>
      </c>
      <c r="X101" t="s">
        <v>131</v>
      </c>
      <c r="Y101" t="s">
        <v>51</v>
      </c>
      <c r="Z101" s="133">
        <v>139108.98000000001</v>
      </c>
      <c r="AA101" s="135">
        <v>1</v>
      </c>
      <c r="AB101" s="139">
        <v>106.82</v>
      </c>
      <c r="AD101" s="133">
        <v>148.596</v>
      </c>
      <c r="AG101" t="s">
        <v>135</v>
      </c>
      <c r="AH101" s="137">
        <v>6.7000000000000002E-5</v>
      </c>
      <c r="AI101" s="137">
        <v>1.1095219754087801E-2</v>
      </c>
      <c r="AJ101" s="137">
        <v>1.70275482635012E-3</v>
      </c>
    </row>
    <row r="102" spans="1:36">
      <c r="A102">
        <v>161</v>
      </c>
      <c r="B102">
        <v>9938</v>
      </c>
      <c r="C102" t="s">
        <v>53</v>
      </c>
      <c r="D102" t="s">
        <v>54</v>
      </c>
      <c r="E102" t="s">
        <v>41</v>
      </c>
      <c r="F102" t="s">
        <v>1975</v>
      </c>
      <c r="G102" t="s">
        <v>1976</v>
      </c>
      <c r="H102" t="s">
        <v>44</v>
      </c>
      <c r="I102" t="s">
        <v>1331</v>
      </c>
      <c r="J102" t="s">
        <v>45</v>
      </c>
      <c r="K102" t="s">
        <v>45</v>
      </c>
      <c r="L102" t="s">
        <v>46</v>
      </c>
      <c r="M102" t="s">
        <v>47</v>
      </c>
      <c r="N102" t="s">
        <v>58</v>
      </c>
      <c r="O102" t="s">
        <v>51</v>
      </c>
      <c r="P102" t="s">
        <v>1977</v>
      </c>
      <c r="Q102" t="s">
        <v>167</v>
      </c>
      <c r="R102" t="s">
        <v>97</v>
      </c>
      <c r="S102" t="s">
        <v>52</v>
      </c>
      <c r="T102" t="s">
        <v>1978</v>
      </c>
      <c r="U102" t="s">
        <v>1979</v>
      </c>
      <c r="V102" s="137">
        <v>1.17E-2</v>
      </c>
      <c r="W102" s="137">
        <v>2.6040000000000001E-2</v>
      </c>
      <c r="X102" t="s">
        <v>131</v>
      </c>
      <c r="Y102" t="s">
        <v>51</v>
      </c>
      <c r="Z102" s="133">
        <v>41160</v>
      </c>
      <c r="AA102" s="135">
        <v>1</v>
      </c>
      <c r="AB102" s="139">
        <v>112.45</v>
      </c>
      <c r="AD102" s="133">
        <v>46.283999999999999</v>
      </c>
      <c r="AG102" t="s">
        <v>135</v>
      </c>
      <c r="AH102" s="137">
        <v>6.0000000000000002E-5</v>
      </c>
      <c r="AI102" s="137">
        <v>3.4559145396231201E-3</v>
      </c>
      <c r="AJ102" s="137">
        <v>5.3037031192002795E-4</v>
      </c>
    </row>
    <row r="103" spans="1:36">
      <c r="A103">
        <v>161</v>
      </c>
      <c r="B103">
        <v>9938</v>
      </c>
      <c r="C103" t="s">
        <v>53</v>
      </c>
      <c r="D103" t="s">
        <v>54</v>
      </c>
      <c r="E103" t="s">
        <v>41</v>
      </c>
      <c r="F103" t="s">
        <v>1980</v>
      </c>
      <c r="G103" t="s">
        <v>1981</v>
      </c>
      <c r="H103" t="s">
        <v>44</v>
      </c>
      <c r="I103" t="s">
        <v>1331</v>
      </c>
      <c r="J103" t="s">
        <v>45</v>
      </c>
      <c r="K103" t="s">
        <v>45</v>
      </c>
      <c r="L103" t="s">
        <v>46</v>
      </c>
      <c r="M103" t="s">
        <v>47</v>
      </c>
      <c r="N103" t="s">
        <v>58</v>
      </c>
      <c r="O103" t="s">
        <v>51</v>
      </c>
      <c r="P103" t="s">
        <v>1936</v>
      </c>
      <c r="Q103" t="s">
        <v>96</v>
      </c>
      <c r="R103" t="s">
        <v>97</v>
      </c>
      <c r="S103" t="s">
        <v>52</v>
      </c>
      <c r="T103" t="s">
        <v>1982</v>
      </c>
      <c r="U103" t="s">
        <v>1983</v>
      </c>
      <c r="V103" s="137">
        <v>1.8700000000000001E-2</v>
      </c>
      <c r="W103" s="137">
        <v>2.7820000000000001E-2</v>
      </c>
      <c r="X103" t="s">
        <v>131</v>
      </c>
      <c r="Y103" t="s">
        <v>51</v>
      </c>
      <c r="Z103" s="133">
        <v>406800.37</v>
      </c>
      <c r="AA103" s="135">
        <v>1</v>
      </c>
      <c r="AB103" s="139">
        <v>109.77</v>
      </c>
      <c r="AD103" s="133">
        <v>446.54500000000002</v>
      </c>
      <c r="AG103" t="s">
        <v>135</v>
      </c>
      <c r="AH103" s="137">
        <v>4.1599999999999997E-4</v>
      </c>
      <c r="AI103" s="137">
        <v>3.3342117065028203E-2</v>
      </c>
      <c r="AJ103" s="137">
        <v>5.1169289127680796E-3</v>
      </c>
    </row>
    <row r="104" spans="1:36">
      <c r="A104">
        <v>161</v>
      </c>
      <c r="B104">
        <v>9938</v>
      </c>
      <c r="C104" t="s">
        <v>1984</v>
      </c>
      <c r="D104" t="s">
        <v>1985</v>
      </c>
      <c r="E104" t="s">
        <v>41</v>
      </c>
      <c r="F104" t="s">
        <v>1986</v>
      </c>
      <c r="G104" t="s">
        <v>1987</v>
      </c>
      <c r="H104" t="s">
        <v>44</v>
      </c>
      <c r="I104" t="s">
        <v>1509</v>
      </c>
      <c r="J104" t="s">
        <v>45</v>
      </c>
      <c r="K104" t="s">
        <v>45</v>
      </c>
      <c r="L104" t="s">
        <v>46</v>
      </c>
      <c r="M104" t="s">
        <v>47</v>
      </c>
      <c r="N104" t="s">
        <v>1034</v>
      </c>
      <c r="O104" t="s">
        <v>51</v>
      </c>
      <c r="P104" t="s">
        <v>1898</v>
      </c>
      <c r="Q104" t="s">
        <v>167</v>
      </c>
      <c r="R104" t="s">
        <v>97</v>
      </c>
      <c r="S104" t="s">
        <v>52</v>
      </c>
      <c r="T104" t="s">
        <v>1988</v>
      </c>
      <c r="U104" t="s">
        <v>1925</v>
      </c>
      <c r="V104" s="137">
        <v>7.2499999999999995E-2</v>
      </c>
      <c r="W104" s="137">
        <v>6.0470000000000003E-2</v>
      </c>
      <c r="X104" t="s">
        <v>131</v>
      </c>
      <c r="Y104" t="s">
        <v>51</v>
      </c>
      <c r="Z104" s="133">
        <v>214400</v>
      </c>
      <c r="AA104" s="135">
        <v>1</v>
      </c>
      <c r="AB104" s="139">
        <v>106.43</v>
      </c>
      <c r="AD104" s="133">
        <v>228.18600000000001</v>
      </c>
      <c r="AG104" t="s">
        <v>135</v>
      </c>
      <c r="AH104" s="137">
        <v>3.3500000000000001E-4</v>
      </c>
      <c r="AI104" s="137">
        <v>1.7037937143109399E-2</v>
      </c>
      <c r="AJ104" s="137">
        <v>2.6147683727301501E-3</v>
      </c>
    </row>
    <row r="105" spans="1:36">
      <c r="A105">
        <v>161</v>
      </c>
      <c r="B105">
        <v>9938</v>
      </c>
      <c r="C105" t="s">
        <v>1989</v>
      </c>
      <c r="D105" t="s">
        <v>1990</v>
      </c>
      <c r="E105" t="s">
        <v>41</v>
      </c>
      <c r="F105" t="s">
        <v>2328</v>
      </c>
      <c r="G105" t="s">
        <v>2329</v>
      </c>
      <c r="H105" t="s">
        <v>44</v>
      </c>
      <c r="I105" t="s">
        <v>1509</v>
      </c>
      <c r="J105" t="s">
        <v>45</v>
      </c>
      <c r="K105" t="s">
        <v>45</v>
      </c>
      <c r="L105" t="s">
        <v>46</v>
      </c>
      <c r="M105" t="s">
        <v>47</v>
      </c>
      <c r="N105" t="s">
        <v>58</v>
      </c>
      <c r="O105" t="s">
        <v>51</v>
      </c>
      <c r="P105" t="s">
        <v>1919</v>
      </c>
      <c r="Q105" t="s">
        <v>96</v>
      </c>
      <c r="R105" t="s">
        <v>97</v>
      </c>
      <c r="S105" t="s">
        <v>52</v>
      </c>
      <c r="T105" t="s">
        <v>2330</v>
      </c>
      <c r="U105" t="s">
        <v>2294</v>
      </c>
      <c r="V105" s="137">
        <v>2.5499999999999998E-2</v>
      </c>
      <c r="W105" s="137">
        <v>4.7719999999999999E-2</v>
      </c>
      <c r="X105" t="s">
        <v>131</v>
      </c>
      <c r="Y105" t="s">
        <v>51</v>
      </c>
      <c r="Z105" s="133">
        <v>163461.54</v>
      </c>
      <c r="AA105" s="135">
        <v>1</v>
      </c>
      <c r="AB105" s="139">
        <v>92.08</v>
      </c>
      <c r="AD105" s="133">
        <v>150.51499999999999</v>
      </c>
      <c r="AG105" t="s">
        <v>135</v>
      </c>
      <c r="AH105" s="137">
        <v>4.8000000000000001E-5</v>
      </c>
      <c r="AI105" s="137">
        <v>1.12385185128165E-2</v>
      </c>
      <c r="AJ105" s="137">
        <v>1.7247465181275999E-3</v>
      </c>
    </row>
    <row r="106" spans="1:36">
      <c r="A106">
        <v>161</v>
      </c>
      <c r="B106">
        <v>9938</v>
      </c>
      <c r="C106" t="s">
        <v>1989</v>
      </c>
      <c r="D106" t="s">
        <v>1990</v>
      </c>
      <c r="E106" t="s">
        <v>41</v>
      </c>
      <c r="F106" t="s">
        <v>2331</v>
      </c>
      <c r="G106" t="s">
        <v>2332</v>
      </c>
      <c r="H106" t="s">
        <v>44</v>
      </c>
      <c r="I106" t="s">
        <v>1331</v>
      </c>
      <c r="J106" t="s">
        <v>45</v>
      </c>
      <c r="K106" t="s">
        <v>45</v>
      </c>
      <c r="L106" t="s">
        <v>46</v>
      </c>
      <c r="M106" t="s">
        <v>47</v>
      </c>
      <c r="N106" t="s">
        <v>58</v>
      </c>
      <c r="O106" t="s">
        <v>51</v>
      </c>
      <c r="P106" t="s">
        <v>1919</v>
      </c>
      <c r="Q106" t="s">
        <v>96</v>
      </c>
      <c r="R106" t="s">
        <v>97</v>
      </c>
      <c r="S106" t="s">
        <v>52</v>
      </c>
      <c r="T106" t="s">
        <v>2333</v>
      </c>
      <c r="U106" t="s">
        <v>2334</v>
      </c>
      <c r="V106" s="137">
        <v>5.0000000000000001E-3</v>
      </c>
      <c r="W106" s="137">
        <v>2.681E-2</v>
      </c>
      <c r="X106" t="s">
        <v>131</v>
      </c>
      <c r="Y106" t="s">
        <v>51</v>
      </c>
      <c r="Z106" s="133">
        <v>186792.46</v>
      </c>
      <c r="AA106" s="135">
        <v>1</v>
      </c>
      <c r="AB106" s="139">
        <v>109.65</v>
      </c>
      <c r="AD106" s="133">
        <v>204.81800000000001</v>
      </c>
      <c r="AG106" t="s">
        <v>135</v>
      </c>
      <c r="AH106" s="137">
        <v>1.3999999999999999E-4</v>
      </c>
      <c r="AI106" s="137">
        <v>1.5293121757216499E-2</v>
      </c>
      <c r="AJ106" s="137">
        <v>2.34699604507304E-3</v>
      </c>
    </row>
    <row r="107" spans="1:36">
      <c r="A107">
        <v>161</v>
      </c>
      <c r="B107">
        <v>9938</v>
      </c>
      <c r="C107" t="s">
        <v>1989</v>
      </c>
      <c r="D107" t="s">
        <v>1990</v>
      </c>
      <c r="E107" t="s">
        <v>41</v>
      </c>
      <c r="F107" t="s">
        <v>1991</v>
      </c>
      <c r="G107" t="s">
        <v>1992</v>
      </c>
      <c r="H107" t="s">
        <v>44</v>
      </c>
      <c r="I107" t="s">
        <v>1331</v>
      </c>
      <c r="J107" t="s">
        <v>45</v>
      </c>
      <c r="K107" t="s">
        <v>45</v>
      </c>
      <c r="L107" t="s">
        <v>46</v>
      </c>
      <c r="M107" t="s">
        <v>47</v>
      </c>
      <c r="N107" t="s">
        <v>58</v>
      </c>
      <c r="O107" t="s">
        <v>51</v>
      </c>
      <c r="P107" t="s">
        <v>1919</v>
      </c>
      <c r="Q107" t="s">
        <v>96</v>
      </c>
      <c r="R107" t="s">
        <v>97</v>
      </c>
      <c r="S107" t="s">
        <v>52</v>
      </c>
      <c r="T107" t="s">
        <v>1993</v>
      </c>
      <c r="U107" t="s">
        <v>1994</v>
      </c>
      <c r="V107" s="137">
        <v>5.8999999999999999E-3</v>
      </c>
      <c r="W107" s="137">
        <v>2.716E-2</v>
      </c>
      <c r="X107" t="s">
        <v>131</v>
      </c>
      <c r="Y107" t="s">
        <v>51</v>
      </c>
      <c r="Z107" s="133">
        <v>250000</v>
      </c>
      <c r="AA107" s="135">
        <v>1</v>
      </c>
      <c r="AB107" s="139">
        <v>105.93</v>
      </c>
      <c r="AD107" s="133">
        <v>264.82499999999999</v>
      </c>
      <c r="AG107" t="s">
        <v>135</v>
      </c>
      <c r="AH107" s="137">
        <v>1.7899999999999999E-4</v>
      </c>
      <c r="AI107" s="137">
        <v>1.9773663966312902E-2</v>
      </c>
      <c r="AJ107" s="137">
        <v>3.0346133289392298E-3</v>
      </c>
    </row>
    <row r="108" spans="1:36">
      <c r="A108">
        <v>161</v>
      </c>
      <c r="B108">
        <v>9938</v>
      </c>
      <c r="C108" t="s">
        <v>1989</v>
      </c>
      <c r="D108" t="s">
        <v>1990</v>
      </c>
      <c r="E108" t="s">
        <v>41</v>
      </c>
      <c r="F108" t="s">
        <v>2335</v>
      </c>
      <c r="G108" t="s">
        <v>2336</v>
      </c>
      <c r="H108" t="s">
        <v>44</v>
      </c>
      <c r="I108" t="s">
        <v>1331</v>
      </c>
      <c r="J108" t="s">
        <v>45</v>
      </c>
      <c r="K108" t="s">
        <v>45</v>
      </c>
      <c r="L108" t="s">
        <v>46</v>
      </c>
      <c r="M108" t="s">
        <v>47</v>
      </c>
      <c r="N108" t="s">
        <v>58</v>
      </c>
      <c r="O108" t="s">
        <v>51</v>
      </c>
      <c r="P108" t="s">
        <v>1919</v>
      </c>
      <c r="Q108" t="s">
        <v>96</v>
      </c>
      <c r="R108" t="s">
        <v>97</v>
      </c>
      <c r="S108" t="s">
        <v>52</v>
      </c>
      <c r="T108" t="s">
        <v>2337</v>
      </c>
      <c r="U108" t="s">
        <v>1824</v>
      </c>
      <c r="V108" s="137">
        <v>3.3399999999999999E-2</v>
      </c>
      <c r="W108" s="137">
        <v>2.581E-2</v>
      </c>
      <c r="X108" t="s">
        <v>131</v>
      </c>
      <c r="Y108" t="s">
        <v>51</v>
      </c>
      <c r="Z108" s="133">
        <v>180000</v>
      </c>
      <c r="AA108" s="135">
        <v>1</v>
      </c>
      <c r="AB108" s="139">
        <v>105.73</v>
      </c>
      <c r="AD108" s="133">
        <v>190.31399999999999</v>
      </c>
      <c r="AG108" t="s">
        <v>135</v>
      </c>
      <c r="AH108" s="137">
        <v>1.6699999999999999E-4</v>
      </c>
      <c r="AI108" s="137">
        <v>1.42101579687902E-2</v>
      </c>
      <c r="AJ108" s="137">
        <v>2.1807963790568901E-3</v>
      </c>
    </row>
    <row r="109" spans="1:36">
      <c r="A109">
        <v>161</v>
      </c>
      <c r="B109">
        <v>9938</v>
      </c>
      <c r="C109" t="s">
        <v>1995</v>
      </c>
      <c r="D109" t="s">
        <v>1996</v>
      </c>
      <c r="E109" t="s">
        <v>41</v>
      </c>
      <c r="F109" t="s">
        <v>1997</v>
      </c>
      <c r="G109" t="s">
        <v>1998</v>
      </c>
      <c r="H109" t="s">
        <v>44</v>
      </c>
      <c r="I109" t="s">
        <v>1331</v>
      </c>
      <c r="J109" t="s">
        <v>45</v>
      </c>
      <c r="K109" t="s">
        <v>264</v>
      </c>
      <c r="L109" t="s">
        <v>46</v>
      </c>
      <c r="M109" t="s">
        <v>47</v>
      </c>
      <c r="N109" t="s">
        <v>1050</v>
      </c>
      <c r="O109" t="s">
        <v>51</v>
      </c>
      <c r="P109" t="s">
        <v>1999</v>
      </c>
      <c r="Q109" t="s">
        <v>96</v>
      </c>
      <c r="R109" t="s">
        <v>97</v>
      </c>
      <c r="S109" t="s">
        <v>52</v>
      </c>
      <c r="T109" t="s">
        <v>2000</v>
      </c>
      <c r="U109" t="s">
        <v>2001</v>
      </c>
      <c r="V109" s="137">
        <v>3.2800000000000003E-2</v>
      </c>
      <c r="W109" s="137">
        <v>5.5480000000000002E-2</v>
      </c>
      <c r="X109" t="s">
        <v>131</v>
      </c>
      <c r="Y109" t="s">
        <v>51</v>
      </c>
      <c r="Z109" s="133">
        <v>93750</v>
      </c>
      <c r="AA109" s="135">
        <v>1</v>
      </c>
      <c r="AB109" s="139">
        <v>115.88</v>
      </c>
      <c r="AD109" s="133">
        <v>108.63800000000001</v>
      </c>
      <c r="AG109" t="s">
        <v>135</v>
      </c>
      <c r="AH109" s="137">
        <v>6.8999999999999997E-5</v>
      </c>
      <c r="AI109" s="137">
        <v>8.1116262404996396E-3</v>
      </c>
      <c r="AJ109" s="137">
        <v>1.2448704069579399E-3</v>
      </c>
    </row>
    <row r="110" spans="1:36">
      <c r="A110">
        <v>161</v>
      </c>
      <c r="B110">
        <v>9938</v>
      </c>
      <c r="C110" t="s">
        <v>2338</v>
      </c>
      <c r="D110" t="s">
        <v>2339</v>
      </c>
      <c r="E110" t="s">
        <v>41</v>
      </c>
      <c r="F110" t="s">
        <v>2340</v>
      </c>
      <c r="G110" t="s">
        <v>2341</v>
      </c>
      <c r="H110" t="s">
        <v>44</v>
      </c>
      <c r="I110" t="s">
        <v>1331</v>
      </c>
      <c r="J110" t="s">
        <v>45</v>
      </c>
      <c r="K110" t="s">
        <v>45</v>
      </c>
      <c r="L110" t="s">
        <v>46</v>
      </c>
      <c r="M110" t="s">
        <v>47</v>
      </c>
      <c r="N110" t="s">
        <v>150</v>
      </c>
      <c r="O110" t="s">
        <v>51</v>
      </c>
      <c r="P110" t="s">
        <v>128</v>
      </c>
      <c r="Q110" t="s">
        <v>96</v>
      </c>
      <c r="R110" t="s">
        <v>97</v>
      </c>
      <c r="S110" t="s">
        <v>52</v>
      </c>
      <c r="T110" t="s">
        <v>2342</v>
      </c>
      <c r="U110" t="s">
        <v>2343</v>
      </c>
      <c r="V110" s="137">
        <v>7.4999999999999997E-3</v>
      </c>
      <c r="W110" s="137">
        <v>2.699E-2</v>
      </c>
      <c r="X110" t="s">
        <v>131</v>
      </c>
      <c r="Y110" t="s">
        <v>51</v>
      </c>
      <c r="Z110" s="133">
        <v>0</v>
      </c>
      <c r="AA110" s="135">
        <v>1</v>
      </c>
      <c r="AB110" s="139">
        <v>0</v>
      </c>
      <c r="AC110" s="133">
        <v>0.39700000000000002</v>
      </c>
      <c r="AD110" s="133">
        <v>0.39700000000000002</v>
      </c>
      <c r="AG110" t="s">
        <v>135</v>
      </c>
      <c r="AH110" s="137">
        <v>0</v>
      </c>
      <c r="AI110" s="137">
        <v>2.96061757737477E-5</v>
      </c>
      <c r="AJ110" s="137">
        <v>4.5435836158130597E-6</v>
      </c>
    </row>
    <row r="111" spans="1:36">
      <c r="A111">
        <v>161</v>
      </c>
      <c r="B111">
        <v>9938</v>
      </c>
      <c r="C111" t="s">
        <v>2002</v>
      </c>
      <c r="D111" t="s">
        <v>2003</v>
      </c>
      <c r="E111" t="s">
        <v>41</v>
      </c>
      <c r="F111" t="s">
        <v>2004</v>
      </c>
      <c r="G111" t="s">
        <v>2005</v>
      </c>
      <c r="H111" t="s">
        <v>44</v>
      </c>
      <c r="I111" t="s">
        <v>1331</v>
      </c>
      <c r="J111" t="s">
        <v>45</v>
      </c>
      <c r="K111" t="s">
        <v>45</v>
      </c>
      <c r="L111" t="s">
        <v>46</v>
      </c>
      <c r="M111" t="s">
        <v>47</v>
      </c>
      <c r="N111" t="s">
        <v>221</v>
      </c>
      <c r="O111" t="s">
        <v>51</v>
      </c>
      <c r="P111" t="s">
        <v>95</v>
      </c>
      <c r="Q111" t="s">
        <v>96</v>
      </c>
      <c r="R111" t="s">
        <v>97</v>
      </c>
      <c r="S111" t="s">
        <v>52</v>
      </c>
      <c r="T111" t="s">
        <v>2006</v>
      </c>
      <c r="U111" t="s">
        <v>2007</v>
      </c>
      <c r="V111" s="137">
        <v>2E-3</v>
      </c>
      <c r="W111" s="137">
        <v>2.4199999999999999E-2</v>
      </c>
      <c r="X111" t="s">
        <v>131</v>
      </c>
      <c r="Y111" t="s">
        <v>51</v>
      </c>
      <c r="Z111" s="133">
        <v>221963.69</v>
      </c>
      <c r="AA111" s="135">
        <v>1</v>
      </c>
      <c r="AB111" s="139">
        <v>106.92</v>
      </c>
      <c r="AD111" s="133">
        <v>237.32400000000001</v>
      </c>
      <c r="AG111" t="s">
        <v>135</v>
      </c>
      <c r="AH111" s="137">
        <v>7.4999999999999993E-5</v>
      </c>
      <c r="AI111" s="137">
        <v>1.7720217765553201E-2</v>
      </c>
      <c r="AJ111" s="137">
        <v>2.7194762242680301E-3</v>
      </c>
    </row>
    <row r="112" spans="1:36">
      <c r="A112">
        <v>161</v>
      </c>
      <c r="B112">
        <v>9938</v>
      </c>
      <c r="C112" t="s">
        <v>2002</v>
      </c>
      <c r="D112" t="s">
        <v>2003</v>
      </c>
      <c r="E112" t="s">
        <v>41</v>
      </c>
      <c r="F112" t="s">
        <v>2008</v>
      </c>
      <c r="G112" t="s">
        <v>2009</v>
      </c>
      <c r="H112" t="s">
        <v>44</v>
      </c>
      <c r="I112" t="s">
        <v>1331</v>
      </c>
      <c r="J112" t="s">
        <v>45</v>
      </c>
      <c r="K112" t="s">
        <v>45</v>
      </c>
      <c r="L112" t="s">
        <v>46</v>
      </c>
      <c r="M112" t="s">
        <v>47</v>
      </c>
      <c r="N112" t="s">
        <v>221</v>
      </c>
      <c r="O112" t="s">
        <v>51</v>
      </c>
      <c r="P112" t="s">
        <v>95</v>
      </c>
      <c r="Q112" t="s">
        <v>96</v>
      </c>
      <c r="R112" t="s">
        <v>97</v>
      </c>
      <c r="S112" t="s">
        <v>52</v>
      </c>
      <c r="T112" t="s">
        <v>2010</v>
      </c>
      <c r="U112" t="s">
        <v>2011</v>
      </c>
      <c r="V112" s="137">
        <v>2.4E-2</v>
      </c>
      <c r="W112" s="137">
        <v>2.563E-2</v>
      </c>
      <c r="X112" t="s">
        <v>131</v>
      </c>
      <c r="Y112" t="s">
        <v>51</v>
      </c>
      <c r="Z112" s="133">
        <v>279000</v>
      </c>
      <c r="AA112" s="135">
        <v>1</v>
      </c>
      <c r="AB112" s="139">
        <v>101.59</v>
      </c>
      <c r="AD112" s="133">
        <v>283.43599999999998</v>
      </c>
      <c r="AG112" t="s">
        <v>135</v>
      </c>
      <c r="AH112" s="137">
        <v>7.3999999999999996E-5</v>
      </c>
      <c r="AI112" s="137">
        <v>2.11632972616719E-2</v>
      </c>
      <c r="AJ112" s="137">
        <v>3.24787677508752E-3</v>
      </c>
    </row>
    <row r="113" spans="1:36">
      <c r="A113">
        <v>161</v>
      </c>
      <c r="B113">
        <v>9938</v>
      </c>
      <c r="C113" t="s">
        <v>2002</v>
      </c>
      <c r="D113" t="s">
        <v>2003</v>
      </c>
      <c r="E113" t="s">
        <v>41</v>
      </c>
      <c r="F113" t="s">
        <v>2012</v>
      </c>
      <c r="G113" t="s">
        <v>2013</v>
      </c>
      <c r="H113" t="s">
        <v>44</v>
      </c>
      <c r="I113" t="s">
        <v>1509</v>
      </c>
      <c r="J113" t="s">
        <v>45</v>
      </c>
      <c r="K113" t="s">
        <v>45</v>
      </c>
      <c r="L113" t="s">
        <v>46</v>
      </c>
      <c r="M113" t="s">
        <v>47</v>
      </c>
      <c r="N113" t="s">
        <v>221</v>
      </c>
      <c r="O113" t="s">
        <v>51</v>
      </c>
      <c r="P113" t="s">
        <v>95</v>
      </c>
      <c r="Q113" t="s">
        <v>96</v>
      </c>
      <c r="R113" t="s">
        <v>97</v>
      </c>
      <c r="S113" t="s">
        <v>52</v>
      </c>
      <c r="T113" t="s">
        <v>2014</v>
      </c>
      <c r="U113" t="s">
        <v>2015</v>
      </c>
      <c r="V113" s="137">
        <v>2.6800000000000001E-2</v>
      </c>
      <c r="W113" s="137">
        <v>4.3880000000000002E-2</v>
      </c>
      <c r="X113" t="s">
        <v>131</v>
      </c>
      <c r="Y113" t="s">
        <v>51</v>
      </c>
      <c r="Z113" s="133">
        <v>121461.87</v>
      </c>
      <c r="AA113" s="135">
        <v>1</v>
      </c>
      <c r="AB113" s="139">
        <v>96.69</v>
      </c>
      <c r="AD113" s="133">
        <v>117.441</v>
      </c>
      <c r="AG113" t="s">
        <v>135</v>
      </c>
      <c r="AH113" s="137">
        <v>5.1999999999999997E-5</v>
      </c>
      <c r="AI113" s="137">
        <v>8.7689923640535093E-3</v>
      </c>
      <c r="AJ113" s="137">
        <v>1.3457546944591399E-3</v>
      </c>
    </row>
    <row r="114" spans="1:36">
      <c r="A114">
        <v>161</v>
      </c>
      <c r="B114">
        <v>9938</v>
      </c>
      <c r="C114" t="s">
        <v>2002</v>
      </c>
      <c r="D114" t="s">
        <v>2003</v>
      </c>
      <c r="E114" t="s">
        <v>41</v>
      </c>
      <c r="F114" t="s">
        <v>2016</v>
      </c>
      <c r="G114" t="s">
        <v>2017</v>
      </c>
      <c r="H114" t="s">
        <v>44</v>
      </c>
      <c r="I114" t="s">
        <v>1331</v>
      </c>
      <c r="J114" t="s">
        <v>45</v>
      </c>
      <c r="K114" t="s">
        <v>45</v>
      </c>
      <c r="L114" t="s">
        <v>46</v>
      </c>
      <c r="M114" t="s">
        <v>47</v>
      </c>
      <c r="N114" t="s">
        <v>221</v>
      </c>
      <c r="O114" t="s">
        <v>51</v>
      </c>
      <c r="P114" t="s">
        <v>1936</v>
      </c>
      <c r="Q114" t="s">
        <v>96</v>
      </c>
      <c r="R114" t="s">
        <v>97</v>
      </c>
      <c r="S114" t="s">
        <v>52</v>
      </c>
      <c r="T114" t="s">
        <v>2018</v>
      </c>
      <c r="U114" t="s">
        <v>2019</v>
      </c>
      <c r="V114" s="137">
        <v>3.3203000000000003E-2</v>
      </c>
      <c r="W114" s="137">
        <v>2.8549999999999999E-2</v>
      </c>
      <c r="X114" t="s">
        <v>131</v>
      </c>
      <c r="Y114" t="s">
        <v>51</v>
      </c>
      <c r="Z114" s="133">
        <v>190000</v>
      </c>
      <c r="AA114" s="135">
        <v>1</v>
      </c>
      <c r="AB114" s="139">
        <v>106.32</v>
      </c>
      <c r="AD114" s="133">
        <v>202.00800000000001</v>
      </c>
      <c r="AG114" t="s">
        <v>135</v>
      </c>
      <c r="AH114" s="137">
        <v>1.5200000000000001E-4</v>
      </c>
      <c r="AI114" s="137">
        <v>1.50833127933803E-2</v>
      </c>
      <c r="AJ114" s="137">
        <v>2.3147972032563201E-3</v>
      </c>
    </row>
    <row r="115" spans="1:36">
      <c r="A115">
        <v>161</v>
      </c>
      <c r="B115">
        <v>9938</v>
      </c>
      <c r="C115" t="s">
        <v>2020</v>
      </c>
      <c r="D115" t="s">
        <v>2021</v>
      </c>
      <c r="E115" t="s">
        <v>41</v>
      </c>
      <c r="F115" t="s">
        <v>2022</v>
      </c>
      <c r="G115" t="s">
        <v>2023</v>
      </c>
      <c r="H115" t="s">
        <v>44</v>
      </c>
      <c r="I115" t="s">
        <v>1331</v>
      </c>
      <c r="J115" t="s">
        <v>45</v>
      </c>
      <c r="K115" t="s">
        <v>45</v>
      </c>
      <c r="L115" t="s">
        <v>46</v>
      </c>
      <c r="M115" t="s">
        <v>47</v>
      </c>
      <c r="N115" t="s">
        <v>58</v>
      </c>
      <c r="O115" t="s">
        <v>51</v>
      </c>
      <c r="P115" t="s">
        <v>158</v>
      </c>
      <c r="Q115" t="s">
        <v>96</v>
      </c>
      <c r="R115" t="s">
        <v>97</v>
      </c>
      <c r="S115" t="s">
        <v>52</v>
      </c>
      <c r="T115" t="s">
        <v>2024</v>
      </c>
      <c r="U115" t="s">
        <v>2025</v>
      </c>
      <c r="V115" s="137">
        <v>2.7E-2</v>
      </c>
      <c r="W115" s="137">
        <v>2.6870000000000002E-2</v>
      </c>
      <c r="X115" t="s">
        <v>131</v>
      </c>
      <c r="Y115" t="s">
        <v>51</v>
      </c>
      <c r="Z115" s="133">
        <v>30400</v>
      </c>
      <c r="AA115" s="135">
        <v>1</v>
      </c>
      <c r="AB115" s="139">
        <v>110.23</v>
      </c>
      <c r="AD115" s="133">
        <v>33.51</v>
      </c>
      <c r="AG115" t="s">
        <v>135</v>
      </c>
      <c r="AH115" s="137">
        <v>7.2000000000000002E-5</v>
      </c>
      <c r="AI115" s="137">
        <v>2.5020821207137802E-3</v>
      </c>
      <c r="AJ115" s="137">
        <v>3.8398810491338601E-4</v>
      </c>
    </row>
    <row r="116" spans="1:36">
      <c r="A116">
        <v>161</v>
      </c>
      <c r="B116">
        <v>9938</v>
      </c>
      <c r="C116" t="s">
        <v>2020</v>
      </c>
      <c r="D116" t="s">
        <v>2021</v>
      </c>
      <c r="E116" t="s">
        <v>41</v>
      </c>
      <c r="F116" t="s">
        <v>2026</v>
      </c>
      <c r="G116" t="s">
        <v>2027</v>
      </c>
      <c r="H116" t="s">
        <v>44</v>
      </c>
      <c r="I116" t="s">
        <v>1331</v>
      </c>
      <c r="J116" t="s">
        <v>45</v>
      </c>
      <c r="K116" t="s">
        <v>45</v>
      </c>
      <c r="L116" t="s">
        <v>46</v>
      </c>
      <c r="M116" t="s">
        <v>47</v>
      </c>
      <c r="N116" t="s">
        <v>58</v>
      </c>
      <c r="O116" t="s">
        <v>51</v>
      </c>
      <c r="P116" t="s">
        <v>158</v>
      </c>
      <c r="Q116" t="s">
        <v>96</v>
      </c>
      <c r="R116" t="s">
        <v>97</v>
      </c>
      <c r="S116" t="s">
        <v>52</v>
      </c>
      <c r="T116" t="s">
        <v>2028</v>
      </c>
      <c r="U116" t="s">
        <v>2029</v>
      </c>
      <c r="V116" s="137">
        <v>1.7999999999999999E-2</v>
      </c>
      <c r="W116" s="137">
        <v>2.179E-2</v>
      </c>
      <c r="X116" t="s">
        <v>131</v>
      </c>
      <c r="Y116" t="s">
        <v>51</v>
      </c>
      <c r="Z116" s="133">
        <v>78750</v>
      </c>
      <c r="AA116" s="135">
        <v>1</v>
      </c>
      <c r="AB116" s="139">
        <v>118.2</v>
      </c>
      <c r="AD116" s="133">
        <v>93.081999999999994</v>
      </c>
      <c r="AG116" t="s">
        <v>135</v>
      </c>
      <c r="AH116" s="137">
        <v>1.1400000000000001E-4</v>
      </c>
      <c r="AI116" s="137">
        <v>6.9501824833166003E-3</v>
      </c>
      <c r="AJ116" s="137">
        <v>1.0666266220749E-3</v>
      </c>
    </row>
    <row r="117" spans="1:36">
      <c r="A117">
        <v>161</v>
      </c>
      <c r="B117">
        <v>9938</v>
      </c>
      <c r="C117" t="s">
        <v>2030</v>
      </c>
      <c r="D117" t="s">
        <v>2031</v>
      </c>
      <c r="E117" t="s">
        <v>41</v>
      </c>
      <c r="F117" t="s">
        <v>2032</v>
      </c>
      <c r="G117" t="s">
        <v>2033</v>
      </c>
      <c r="H117" t="s">
        <v>44</v>
      </c>
      <c r="I117" t="s">
        <v>1331</v>
      </c>
      <c r="J117" t="s">
        <v>45</v>
      </c>
      <c r="K117" t="s">
        <v>45</v>
      </c>
      <c r="L117" t="s">
        <v>46</v>
      </c>
      <c r="M117" t="s">
        <v>47</v>
      </c>
      <c r="N117" t="s">
        <v>1037</v>
      </c>
      <c r="O117" t="s">
        <v>51</v>
      </c>
      <c r="P117" t="s">
        <v>1919</v>
      </c>
      <c r="Q117" t="s">
        <v>96</v>
      </c>
      <c r="R117" t="s">
        <v>97</v>
      </c>
      <c r="S117" t="s">
        <v>52</v>
      </c>
      <c r="T117" t="s">
        <v>2034</v>
      </c>
      <c r="U117" t="s">
        <v>2035</v>
      </c>
      <c r="V117" s="137">
        <v>4.4000000000000003E-3</v>
      </c>
      <c r="W117" s="137">
        <v>2.4420000000000001E-2</v>
      </c>
      <c r="X117" t="s">
        <v>131</v>
      </c>
      <c r="Y117" t="s">
        <v>51</v>
      </c>
      <c r="Z117" s="133">
        <v>120000</v>
      </c>
      <c r="AA117" s="135">
        <v>1</v>
      </c>
      <c r="AB117" s="139">
        <v>110.89</v>
      </c>
      <c r="AD117" s="133">
        <v>133.06800000000001</v>
      </c>
      <c r="AG117" t="s">
        <v>135</v>
      </c>
      <c r="AH117" s="137">
        <v>1.06E-4</v>
      </c>
      <c r="AI117" s="137">
        <v>9.9357761414871106E-3</v>
      </c>
      <c r="AJ117" s="137">
        <v>1.52481799850953E-3</v>
      </c>
    </row>
    <row r="118" spans="1:36">
      <c r="A118">
        <v>161</v>
      </c>
      <c r="B118">
        <v>9938</v>
      </c>
      <c r="C118" t="s">
        <v>2036</v>
      </c>
      <c r="D118" t="s">
        <v>2037</v>
      </c>
      <c r="E118" t="s">
        <v>41</v>
      </c>
      <c r="F118" t="s">
        <v>2038</v>
      </c>
      <c r="G118" t="s">
        <v>2039</v>
      </c>
      <c r="H118" t="s">
        <v>44</v>
      </c>
      <c r="I118" t="s">
        <v>1509</v>
      </c>
      <c r="J118" t="s">
        <v>45</v>
      </c>
      <c r="K118" t="s">
        <v>45</v>
      </c>
      <c r="L118" t="s">
        <v>46</v>
      </c>
      <c r="M118" t="s">
        <v>47</v>
      </c>
      <c r="N118" t="s">
        <v>1037</v>
      </c>
      <c r="O118" t="s">
        <v>51</v>
      </c>
      <c r="P118" t="s">
        <v>183</v>
      </c>
      <c r="Q118" t="s">
        <v>167</v>
      </c>
      <c r="R118" t="s">
        <v>97</v>
      </c>
      <c r="S118" t="s">
        <v>52</v>
      </c>
      <c r="T118" t="s">
        <v>2040</v>
      </c>
      <c r="U118" t="s">
        <v>2041</v>
      </c>
      <c r="V118" s="137">
        <v>1.95E-2</v>
      </c>
      <c r="W118" s="137">
        <v>4.4400000000000002E-2</v>
      </c>
      <c r="X118" t="s">
        <v>131</v>
      </c>
      <c r="Y118" t="s">
        <v>51</v>
      </c>
      <c r="Z118" s="133">
        <v>191318.31</v>
      </c>
      <c r="AA118" s="135">
        <v>1</v>
      </c>
      <c r="AB118" s="139">
        <v>89.99</v>
      </c>
      <c r="AD118" s="133">
        <v>172.167</v>
      </c>
      <c r="AG118" t="s">
        <v>135</v>
      </c>
      <c r="AH118" s="137">
        <v>2.1000000000000001E-4</v>
      </c>
      <c r="AI118" s="137">
        <v>1.2855203507566601E-2</v>
      </c>
      <c r="AJ118" s="137">
        <v>1.97285500435063E-3</v>
      </c>
    </row>
    <row r="119" spans="1:36">
      <c r="A119">
        <v>161</v>
      </c>
      <c r="B119">
        <v>9938</v>
      </c>
      <c r="C119" t="s">
        <v>2042</v>
      </c>
      <c r="D119" t="s">
        <v>2043</v>
      </c>
      <c r="E119" t="s">
        <v>41</v>
      </c>
      <c r="F119" t="s">
        <v>2044</v>
      </c>
      <c r="G119" t="s">
        <v>2045</v>
      </c>
      <c r="H119" t="s">
        <v>44</v>
      </c>
      <c r="I119" t="s">
        <v>1509</v>
      </c>
      <c r="J119" t="s">
        <v>45</v>
      </c>
      <c r="K119" t="s">
        <v>45</v>
      </c>
      <c r="L119" t="s">
        <v>46</v>
      </c>
      <c r="M119" t="s">
        <v>47</v>
      </c>
      <c r="N119" t="s">
        <v>1043</v>
      </c>
      <c r="O119" t="s">
        <v>51</v>
      </c>
      <c r="P119" t="s">
        <v>128</v>
      </c>
      <c r="Q119" t="s">
        <v>96</v>
      </c>
      <c r="R119" t="s">
        <v>97</v>
      </c>
      <c r="S119" t="s">
        <v>52</v>
      </c>
      <c r="T119" t="s">
        <v>2046</v>
      </c>
      <c r="U119" t="s">
        <v>2001</v>
      </c>
      <c r="V119" s="137">
        <v>2.1999999999999999E-2</v>
      </c>
      <c r="W119" s="137">
        <v>4.6530000000000002E-2</v>
      </c>
      <c r="X119" t="s">
        <v>131</v>
      </c>
      <c r="Y119" t="s">
        <v>51</v>
      </c>
      <c r="Z119" s="133">
        <v>204000</v>
      </c>
      <c r="AA119" s="135">
        <v>1</v>
      </c>
      <c r="AB119" s="139">
        <v>97.45</v>
      </c>
      <c r="AD119" s="133">
        <v>198.798</v>
      </c>
      <c r="AG119" t="s">
        <v>135</v>
      </c>
      <c r="AH119" s="137">
        <v>2.3499999999999999E-4</v>
      </c>
      <c r="AI119" s="137">
        <v>1.4843632018030999E-2</v>
      </c>
      <c r="AJ119" s="137">
        <v>2.27801401139039E-3</v>
      </c>
    </row>
    <row r="120" spans="1:36">
      <c r="A120">
        <v>161</v>
      </c>
      <c r="B120">
        <v>9938</v>
      </c>
      <c r="C120" t="s">
        <v>2047</v>
      </c>
      <c r="D120" t="s">
        <v>2048</v>
      </c>
      <c r="E120" t="s">
        <v>41</v>
      </c>
      <c r="F120" t="s">
        <v>2049</v>
      </c>
      <c r="G120" t="s">
        <v>2050</v>
      </c>
      <c r="H120" t="s">
        <v>44</v>
      </c>
      <c r="I120" t="s">
        <v>1509</v>
      </c>
      <c r="J120" t="s">
        <v>45</v>
      </c>
      <c r="K120" t="s">
        <v>45</v>
      </c>
      <c r="L120" t="s">
        <v>46</v>
      </c>
      <c r="M120" t="s">
        <v>47</v>
      </c>
      <c r="N120" t="s">
        <v>1038</v>
      </c>
      <c r="O120" t="s">
        <v>51</v>
      </c>
      <c r="P120" t="s">
        <v>733</v>
      </c>
      <c r="Q120" t="s">
        <v>733</v>
      </c>
      <c r="R120" t="s">
        <v>733</v>
      </c>
      <c r="S120" t="s">
        <v>52</v>
      </c>
      <c r="T120" t="s">
        <v>2051</v>
      </c>
      <c r="U120" t="s">
        <v>2052</v>
      </c>
      <c r="V120" s="137">
        <v>6.5000000000000002E-2</v>
      </c>
      <c r="W120" s="137">
        <v>6.1179999999999998E-2</v>
      </c>
      <c r="X120" t="s">
        <v>131</v>
      </c>
      <c r="Y120" t="s">
        <v>51</v>
      </c>
      <c r="Z120" s="133">
        <v>54000</v>
      </c>
      <c r="AA120" s="135">
        <v>1</v>
      </c>
      <c r="AB120" s="139">
        <v>102.2</v>
      </c>
      <c r="AD120" s="133">
        <v>55.188000000000002</v>
      </c>
      <c r="AG120" t="s">
        <v>135</v>
      </c>
      <c r="AH120" s="137">
        <v>1.4899999999999999E-4</v>
      </c>
      <c r="AI120" s="137">
        <v>4.1207173302100497E-3</v>
      </c>
      <c r="AJ120" s="137">
        <v>6.32395885575374E-4</v>
      </c>
    </row>
    <row r="121" spans="1:36">
      <c r="A121">
        <v>161</v>
      </c>
      <c r="B121">
        <v>9938</v>
      </c>
      <c r="C121" t="s">
        <v>2053</v>
      </c>
      <c r="D121" t="s">
        <v>2054</v>
      </c>
      <c r="E121" t="s">
        <v>41</v>
      </c>
      <c r="F121" t="s">
        <v>2059</v>
      </c>
      <c r="G121" t="s">
        <v>2060</v>
      </c>
      <c r="H121" t="s">
        <v>44</v>
      </c>
      <c r="I121" t="s">
        <v>1331</v>
      </c>
      <c r="J121" t="s">
        <v>45</v>
      </c>
      <c r="K121" t="s">
        <v>45</v>
      </c>
      <c r="L121" t="s">
        <v>46</v>
      </c>
      <c r="M121" t="s">
        <v>47</v>
      </c>
      <c r="N121" t="s">
        <v>1034</v>
      </c>
      <c r="O121" t="s">
        <v>51</v>
      </c>
      <c r="P121" t="s">
        <v>95</v>
      </c>
      <c r="Q121" t="s">
        <v>96</v>
      </c>
      <c r="R121" t="s">
        <v>97</v>
      </c>
      <c r="S121" t="s">
        <v>52</v>
      </c>
      <c r="T121" t="s">
        <v>2061</v>
      </c>
      <c r="U121" t="s">
        <v>2062</v>
      </c>
      <c r="V121" s="137">
        <v>2.3900000000000001E-2</v>
      </c>
      <c r="W121" s="137">
        <v>2.555E-2</v>
      </c>
      <c r="X121" t="s">
        <v>131</v>
      </c>
      <c r="Y121" t="s">
        <v>51</v>
      </c>
      <c r="Z121" s="133">
        <v>145000</v>
      </c>
      <c r="AA121" s="135">
        <v>1</v>
      </c>
      <c r="AB121" s="139">
        <v>116.8</v>
      </c>
      <c r="AD121" s="133">
        <v>169.36</v>
      </c>
      <c r="AG121" t="s">
        <v>135</v>
      </c>
      <c r="AH121" s="137">
        <v>3.6999999999999998E-5</v>
      </c>
      <c r="AI121" s="137">
        <v>1.26455875741896E-2</v>
      </c>
      <c r="AJ121" s="137">
        <v>1.9406857864217801E-3</v>
      </c>
    </row>
    <row r="122" spans="1:36">
      <c r="A122">
        <v>161</v>
      </c>
      <c r="B122">
        <v>9938</v>
      </c>
      <c r="C122" t="s">
        <v>2053</v>
      </c>
      <c r="D122" t="s">
        <v>2054</v>
      </c>
      <c r="E122" t="s">
        <v>41</v>
      </c>
      <c r="F122" t="s">
        <v>2063</v>
      </c>
      <c r="G122" t="s">
        <v>2064</v>
      </c>
      <c r="H122" t="s">
        <v>44</v>
      </c>
      <c r="I122" t="s">
        <v>1331</v>
      </c>
      <c r="J122" t="s">
        <v>45</v>
      </c>
      <c r="K122" t="s">
        <v>45</v>
      </c>
      <c r="L122" t="s">
        <v>46</v>
      </c>
      <c r="M122" t="s">
        <v>47</v>
      </c>
      <c r="N122" t="s">
        <v>1034</v>
      </c>
      <c r="O122" t="s">
        <v>51</v>
      </c>
      <c r="P122" t="s">
        <v>95</v>
      </c>
      <c r="Q122" t="s">
        <v>96</v>
      </c>
      <c r="R122" t="s">
        <v>97</v>
      </c>
      <c r="S122" t="s">
        <v>52</v>
      </c>
      <c r="T122" t="s">
        <v>2065</v>
      </c>
      <c r="U122" t="s">
        <v>2066</v>
      </c>
      <c r="V122" s="137">
        <v>0.03</v>
      </c>
      <c r="W122" s="137">
        <v>2.5870000000000001E-2</v>
      </c>
      <c r="X122" t="s">
        <v>131</v>
      </c>
      <c r="Y122" t="s">
        <v>51</v>
      </c>
      <c r="Z122" s="133">
        <v>120000</v>
      </c>
      <c r="AA122" s="135">
        <v>1</v>
      </c>
      <c r="AB122" s="139">
        <v>110.85</v>
      </c>
      <c r="AD122" s="133">
        <v>133.02000000000001</v>
      </c>
      <c r="AG122" t="s">
        <v>135</v>
      </c>
      <c r="AH122" s="137">
        <v>2.9E-5</v>
      </c>
      <c r="AI122" s="137">
        <v>9.9321921298930992E-3</v>
      </c>
      <c r="AJ122" s="137">
        <v>1.52426796947228E-3</v>
      </c>
    </row>
    <row r="123" spans="1:36">
      <c r="A123">
        <v>161</v>
      </c>
      <c r="B123">
        <v>9938</v>
      </c>
      <c r="C123" t="s">
        <v>2067</v>
      </c>
      <c r="D123" t="s">
        <v>2068</v>
      </c>
      <c r="E123" t="s">
        <v>41</v>
      </c>
      <c r="F123" t="s">
        <v>2069</v>
      </c>
      <c r="G123" t="s">
        <v>2070</v>
      </c>
      <c r="H123" t="s">
        <v>44</v>
      </c>
      <c r="I123" t="s">
        <v>1331</v>
      </c>
      <c r="J123" t="s">
        <v>45</v>
      </c>
      <c r="K123" t="s">
        <v>45</v>
      </c>
      <c r="L123" t="s">
        <v>46</v>
      </c>
      <c r="M123" t="s">
        <v>47</v>
      </c>
      <c r="N123" t="s">
        <v>270</v>
      </c>
      <c r="O123" t="s">
        <v>51</v>
      </c>
      <c r="P123" t="s">
        <v>1936</v>
      </c>
      <c r="Q123" t="s">
        <v>96</v>
      </c>
      <c r="R123" t="s">
        <v>97</v>
      </c>
      <c r="S123" t="s">
        <v>52</v>
      </c>
      <c r="T123" t="s">
        <v>2071</v>
      </c>
      <c r="U123" t="s">
        <v>2072</v>
      </c>
      <c r="V123" s="137">
        <v>1.0500000000000001E-2</v>
      </c>
      <c r="W123" s="137">
        <v>2.1870000000000001E-2</v>
      </c>
      <c r="X123" t="s">
        <v>131</v>
      </c>
      <c r="Y123" t="s">
        <v>51</v>
      </c>
      <c r="Z123" s="133">
        <v>55000</v>
      </c>
      <c r="AA123" s="135">
        <v>1</v>
      </c>
      <c r="AB123" s="139">
        <v>116.14</v>
      </c>
      <c r="AD123" s="133">
        <v>63.877000000000002</v>
      </c>
      <c r="AG123" t="s">
        <v>135</v>
      </c>
      <c r="AH123" s="137">
        <v>2.0000000000000001E-4</v>
      </c>
      <c r="AI123" s="137">
        <v>4.7694980956335996E-3</v>
      </c>
      <c r="AJ123" s="137">
        <v>7.3196260025545597E-4</v>
      </c>
    </row>
    <row r="124" spans="1:36">
      <c r="A124">
        <v>161</v>
      </c>
      <c r="B124">
        <v>9938</v>
      </c>
      <c r="C124" t="s">
        <v>2067</v>
      </c>
      <c r="D124" t="s">
        <v>2068</v>
      </c>
      <c r="E124" t="s">
        <v>41</v>
      </c>
      <c r="F124" t="s">
        <v>2073</v>
      </c>
      <c r="G124" t="s">
        <v>2074</v>
      </c>
      <c r="H124" t="s">
        <v>44</v>
      </c>
      <c r="I124" t="s">
        <v>1509</v>
      </c>
      <c r="J124" t="s">
        <v>45</v>
      </c>
      <c r="K124" t="s">
        <v>45</v>
      </c>
      <c r="L124" t="s">
        <v>46</v>
      </c>
      <c r="M124" t="s">
        <v>47</v>
      </c>
      <c r="N124" t="s">
        <v>270</v>
      </c>
      <c r="O124" t="s">
        <v>51</v>
      </c>
      <c r="P124" t="s">
        <v>1936</v>
      </c>
      <c r="Q124" t="s">
        <v>96</v>
      </c>
      <c r="R124" t="s">
        <v>97</v>
      </c>
      <c r="S124" t="s">
        <v>52</v>
      </c>
      <c r="T124" t="s">
        <v>2075</v>
      </c>
      <c r="U124" t="s">
        <v>2076</v>
      </c>
      <c r="V124" s="137">
        <v>2.18E-2</v>
      </c>
      <c r="W124" s="137">
        <v>4.8599999999999997E-2</v>
      </c>
      <c r="X124" t="s">
        <v>131</v>
      </c>
      <c r="Y124" t="s">
        <v>51</v>
      </c>
      <c r="Z124" s="133">
        <v>93333.33</v>
      </c>
      <c r="AA124" s="135">
        <v>1</v>
      </c>
      <c r="AB124" s="139">
        <v>96.67</v>
      </c>
      <c r="AD124" s="133">
        <v>90.224999999999994</v>
      </c>
      <c r="AG124" t="s">
        <v>135</v>
      </c>
      <c r="AH124" s="137">
        <v>4.0900000000000002E-4</v>
      </c>
      <c r="AI124" s="137">
        <v>6.7368464414785797E-3</v>
      </c>
      <c r="AJ124" s="137">
        <v>1.03388648867283E-3</v>
      </c>
    </row>
    <row r="125" spans="1:36">
      <c r="A125">
        <v>161</v>
      </c>
      <c r="B125">
        <v>9938</v>
      </c>
      <c r="C125" t="s">
        <v>2067</v>
      </c>
      <c r="D125" t="s">
        <v>2068</v>
      </c>
      <c r="E125" t="s">
        <v>41</v>
      </c>
      <c r="F125" t="s">
        <v>2344</v>
      </c>
      <c r="G125" t="s">
        <v>2345</v>
      </c>
      <c r="H125" t="s">
        <v>44</v>
      </c>
      <c r="I125" t="s">
        <v>1509</v>
      </c>
      <c r="J125" t="s">
        <v>45</v>
      </c>
      <c r="K125" t="s">
        <v>45</v>
      </c>
      <c r="L125" t="s">
        <v>46</v>
      </c>
      <c r="M125" t="s">
        <v>47</v>
      </c>
      <c r="N125" t="s">
        <v>270</v>
      </c>
      <c r="O125" t="s">
        <v>51</v>
      </c>
      <c r="P125" t="s">
        <v>1936</v>
      </c>
      <c r="Q125" t="s">
        <v>96</v>
      </c>
      <c r="R125" t="s">
        <v>97</v>
      </c>
      <c r="S125" t="s">
        <v>52</v>
      </c>
      <c r="T125" t="s">
        <v>2346</v>
      </c>
      <c r="U125" t="s">
        <v>2347</v>
      </c>
      <c r="V125" s="137">
        <v>4.6800000000000001E-2</v>
      </c>
      <c r="W125" s="137">
        <v>4.8719999999999999E-2</v>
      </c>
      <c r="X125" t="s">
        <v>131</v>
      </c>
      <c r="Y125" t="s">
        <v>51</v>
      </c>
      <c r="Z125" s="133">
        <v>123076.93</v>
      </c>
      <c r="AA125" s="135">
        <v>1</v>
      </c>
      <c r="AB125" s="139">
        <v>100.43</v>
      </c>
      <c r="AD125" s="133">
        <v>123.60599999999999</v>
      </c>
      <c r="AG125" t="s">
        <v>135</v>
      </c>
      <c r="AH125" s="137">
        <v>3.8099999999999999E-4</v>
      </c>
      <c r="AI125" s="137">
        <v>9.2292898623825698E-3</v>
      </c>
      <c r="AJ125" s="137">
        <v>1.4163953671279201E-3</v>
      </c>
    </row>
    <row r="126" spans="1:36">
      <c r="A126">
        <v>161</v>
      </c>
      <c r="B126">
        <v>9938</v>
      </c>
      <c r="C126" t="s">
        <v>2077</v>
      </c>
      <c r="D126" t="s">
        <v>2078</v>
      </c>
      <c r="E126" t="s">
        <v>41</v>
      </c>
      <c r="F126" t="s">
        <v>2079</v>
      </c>
      <c r="G126" t="s">
        <v>2080</v>
      </c>
      <c r="H126" t="s">
        <v>44</v>
      </c>
      <c r="I126" t="s">
        <v>1331</v>
      </c>
      <c r="J126" t="s">
        <v>45</v>
      </c>
      <c r="K126" t="s">
        <v>45</v>
      </c>
      <c r="L126" t="s">
        <v>46</v>
      </c>
      <c r="M126" t="s">
        <v>47</v>
      </c>
      <c r="N126" t="s">
        <v>58</v>
      </c>
      <c r="O126" t="s">
        <v>51</v>
      </c>
      <c r="P126" t="s">
        <v>1919</v>
      </c>
      <c r="Q126" t="s">
        <v>96</v>
      </c>
      <c r="R126" t="s">
        <v>97</v>
      </c>
      <c r="S126" t="s">
        <v>52</v>
      </c>
      <c r="T126" t="s">
        <v>2081</v>
      </c>
      <c r="U126" t="s">
        <v>2082</v>
      </c>
      <c r="V126" s="137">
        <v>1.5800000000000002E-2</v>
      </c>
      <c r="W126" s="137">
        <v>1.5440000000000001E-2</v>
      </c>
      <c r="X126" t="s">
        <v>131</v>
      </c>
      <c r="Y126" t="s">
        <v>51</v>
      </c>
      <c r="Z126" s="133">
        <v>40702.36</v>
      </c>
      <c r="AA126" s="135">
        <v>1</v>
      </c>
      <c r="AB126" s="139">
        <v>119.78</v>
      </c>
      <c r="AD126" s="133">
        <v>48.753</v>
      </c>
      <c r="AG126" t="s">
        <v>135</v>
      </c>
      <c r="AH126" s="137">
        <v>1.03E-4</v>
      </c>
      <c r="AI126" s="137">
        <v>3.64025719095504E-3</v>
      </c>
      <c r="AJ126" s="137">
        <v>5.5866090428454297E-4</v>
      </c>
    </row>
    <row r="127" spans="1:36">
      <c r="A127">
        <v>161</v>
      </c>
      <c r="B127">
        <v>9938</v>
      </c>
      <c r="C127" t="s">
        <v>2077</v>
      </c>
      <c r="D127" t="s">
        <v>2078</v>
      </c>
      <c r="E127" t="s">
        <v>41</v>
      </c>
      <c r="F127" t="s">
        <v>2083</v>
      </c>
      <c r="G127" t="s">
        <v>2084</v>
      </c>
      <c r="H127" t="s">
        <v>44</v>
      </c>
      <c r="I127" t="s">
        <v>1331</v>
      </c>
      <c r="J127" t="s">
        <v>45</v>
      </c>
      <c r="K127" t="s">
        <v>45</v>
      </c>
      <c r="L127" t="s">
        <v>46</v>
      </c>
      <c r="M127" t="s">
        <v>47</v>
      </c>
      <c r="N127" t="s">
        <v>58</v>
      </c>
      <c r="O127" t="s">
        <v>51</v>
      </c>
      <c r="P127" t="s">
        <v>1919</v>
      </c>
      <c r="Q127" t="s">
        <v>96</v>
      </c>
      <c r="R127" t="s">
        <v>97</v>
      </c>
      <c r="S127" t="s">
        <v>52</v>
      </c>
      <c r="T127" t="s">
        <v>2085</v>
      </c>
      <c r="U127" t="s">
        <v>2086</v>
      </c>
      <c r="V127" s="137">
        <v>8.3999999999999995E-3</v>
      </c>
      <c r="W127" s="137">
        <v>2.647E-2</v>
      </c>
      <c r="X127" t="s">
        <v>131</v>
      </c>
      <c r="Y127" t="s">
        <v>51</v>
      </c>
      <c r="Z127" s="133">
        <v>101824.19</v>
      </c>
      <c r="AA127" s="135">
        <v>1</v>
      </c>
      <c r="AB127" s="139">
        <v>110</v>
      </c>
      <c r="AD127" s="133">
        <v>112.00700000000001</v>
      </c>
      <c r="AG127" t="s">
        <v>135</v>
      </c>
      <c r="AH127" s="137">
        <v>1.3799999999999999E-4</v>
      </c>
      <c r="AI127" s="137">
        <v>8.3631871929470292E-3</v>
      </c>
      <c r="AJ127" s="137">
        <v>1.2834768190340201E-3</v>
      </c>
    </row>
    <row r="128" spans="1:36">
      <c r="A128">
        <v>161</v>
      </c>
      <c r="B128">
        <v>9938</v>
      </c>
      <c r="C128" t="s">
        <v>2348</v>
      </c>
      <c r="D128" t="s">
        <v>2349</v>
      </c>
      <c r="E128" t="s">
        <v>41</v>
      </c>
      <c r="F128" t="s">
        <v>2350</v>
      </c>
      <c r="G128" t="s">
        <v>2351</v>
      </c>
      <c r="H128" t="s">
        <v>44</v>
      </c>
      <c r="I128" t="s">
        <v>1509</v>
      </c>
      <c r="J128" t="s">
        <v>45</v>
      </c>
      <c r="K128" t="s">
        <v>45</v>
      </c>
      <c r="L128" t="s">
        <v>46</v>
      </c>
      <c r="M128" t="s">
        <v>47</v>
      </c>
      <c r="N128" t="s">
        <v>1037</v>
      </c>
      <c r="O128" t="s">
        <v>51</v>
      </c>
      <c r="P128" t="s">
        <v>1936</v>
      </c>
      <c r="Q128" t="s">
        <v>96</v>
      </c>
      <c r="R128" t="s">
        <v>97</v>
      </c>
      <c r="S128" t="s">
        <v>52</v>
      </c>
      <c r="T128" t="s">
        <v>2352</v>
      </c>
      <c r="U128" t="s">
        <v>2353</v>
      </c>
      <c r="V128" s="137">
        <v>4.7E-2</v>
      </c>
      <c r="W128" s="137">
        <v>4.5319999999999999E-2</v>
      </c>
      <c r="X128" t="s">
        <v>131</v>
      </c>
      <c r="Y128" t="s">
        <v>51</v>
      </c>
      <c r="Z128" s="133">
        <v>122144.38</v>
      </c>
      <c r="AA128" s="135">
        <v>1</v>
      </c>
      <c r="AB128" s="139">
        <v>100.73</v>
      </c>
      <c r="AD128" s="133">
        <v>123.036</v>
      </c>
      <c r="AG128" t="s">
        <v>135</v>
      </c>
      <c r="AH128" s="137">
        <v>2.22E-4</v>
      </c>
      <c r="AI128" s="137">
        <v>9.1867202550731004E-3</v>
      </c>
      <c r="AJ128" s="137">
        <v>1.4098623190307599E-3</v>
      </c>
    </row>
    <row r="129" spans="1:36">
      <c r="A129">
        <v>161</v>
      </c>
      <c r="B129">
        <v>9938</v>
      </c>
      <c r="C129" t="s">
        <v>2092</v>
      </c>
      <c r="D129" t="s">
        <v>2093</v>
      </c>
      <c r="E129" t="s">
        <v>41</v>
      </c>
      <c r="F129" t="s">
        <v>2354</v>
      </c>
      <c r="G129" t="s">
        <v>2355</v>
      </c>
      <c r="H129" t="s">
        <v>44</v>
      </c>
      <c r="I129" t="s">
        <v>1509</v>
      </c>
      <c r="J129" t="s">
        <v>45</v>
      </c>
      <c r="K129" t="s">
        <v>45</v>
      </c>
      <c r="L129" t="s">
        <v>46</v>
      </c>
      <c r="M129" t="s">
        <v>47</v>
      </c>
      <c r="N129" t="s">
        <v>1037</v>
      </c>
      <c r="O129" t="s">
        <v>51</v>
      </c>
      <c r="P129" t="s">
        <v>1936</v>
      </c>
      <c r="Q129" t="s">
        <v>96</v>
      </c>
      <c r="R129" t="s">
        <v>97</v>
      </c>
      <c r="S129" t="s">
        <v>52</v>
      </c>
      <c r="T129" t="s">
        <v>2356</v>
      </c>
      <c r="U129" t="s">
        <v>2357</v>
      </c>
      <c r="V129" s="137">
        <v>5.5100000000000003E-2</v>
      </c>
      <c r="W129" s="137">
        <v>4.7870000000000003E-2</v>
      </c>
      <c r="X129" t="s">
        <v>131</v>
      </c>
      <c r="Y129" t="s">
        <v>51</v>
      </c>
      <c r="Z129" s="133">
        <v>150000</v>
      </c>
      <c r="AA129" s="135">
        <v>1</v>
      </c>
      <c r="AB129" s="139">
        <v>106.39</v>
      </c>
      <c r="AD129" s="133">
        <v>159.58500000000001</v>
      </c>
      <c r="AG129" t="s">
        <v>135</v>
      </c>
      <c r="AH129" s="137">
        <v>2.9999999999999997E-4</v>
      </c>
      <c r="AI129" s="137">
        <v>1.19157185464516E-2</v>
      </c>
      <c r="AJ129" s="137">
        <v>1.82867466477397E-3</v>
      </c>
    </row>
    <row r="130" spans="1:36">
      <c r="A130">
        <v>161</v>
      </c>
      <c r="B130">
        <v>9938</v>
      </c>
      <c r="C130" t="s">
        <v>1696</v>
      </c>
      <c r="D130" t="s">
        <v>2087</v>
      </c>
      <c r="E130" t="s">
        <v>41</v>
      </c>
      <c r="F130" t="s">
        <v>2088</v>
      </c>
      <c r="G130" t="s">
        <v>2089</v>
      </c>
      <c r="H130" t="s">
        <v>44</v>
      </c>
      <c r="I130" t="s">
        <v>1509</v>
      </c>
      <c r="J130" t="s">
        <v>45</v>
      </c>
      <c r="K130" t="s">
        <v>45</v>
      </c>
      <c r="L130" t="s">
        <v>46</v>
      </c>
      <c r="M130" t="s">
        <v>47</v>
      </c>
      <c r="N130" t="s">
        <v>1037</v>
      </c>
      <c r="O130" t="s">
        <v>51</v>
      </c>
      <c r="P130" t="s">
        <v>128</v>
      </c>
      <c r="Q130" t="s">
        <v>96</v>
      </c>
      <c r="R130" t="s">
        <v>97</v>
      </c>
      <c r="S130" t="s">
        <v>52</v>
      </c>
      <c r="T130" t="s">
        <v>2090</v>
      </c>
      <c r="U130" t="s">
        <v>2091</v>
      </c>
      <c r="V130" s="137">
        <v>5.1200000000000002E-2</v>
      </c>
      <c r="W130" s="137">
        <v>4.9020000000000001E-2</v>
      </c>
      <c r="X130" t="s">
        <v>131</v>
      </c>
      <c r="Y130" t="s">
        <v>51</v>
      </c>
      <c r="Z130" s="133">
        <v>90000</v>
      </c>
      <c r="AA130" s="135">
        <v>1</v>
      </c>
      <c r="AB130" s="139">
        <v>104.5</v>
      </c>
      <c r="AD130" s="133">
        <v>94.05</v>
      </c>
      <c r="AG130" t="s">
        <v>135</v>
      </c>
      <c r="AH130" s="137">
        <v>5.1999999999999997E-5</v>
      </c>
      <c r="AI130" s="137">
        <v>7.0224227170083203E-3</v>
      </c>
      <c r="AJ130" s="137">
        <v>1.07771314485692E-3</v>
      </c>
    </row>
    <row r="131" spans="1:36">
      <c r="A131">
        <v>161</v>
      </c>
      <c r="B131">
        <v>9938</v>
      </c>
      <c r="C131" t="s">
        <v>2092</v>
      </c>
      <c r="D131" t="s">
        <v>2093</v>
      </c>
      <c r="E131" t="s">
        <v>41</v>
      </c>
      <c r="F131" t="s">
        <v>2094</v>
      </c>
      <c r="G131" t="s">
        <v>2095</v>
      </c>
      <c r="H131" t="s">
        <v>44</v>
      </c>
      <c r="I131" t="s">
        <v>1509</v>
      </c>
      <c r="J131" t="s">
        <v>45</v>
      </c>
      <c r="K131" t="s">
        <v>45</v>
      </c>
      <c r="L131" t="s">
        <v>46</v>
      </c>
      <c r="M131" t="s">
        <v>47</v>
      </c>
      <c r="N131" t="s">
        <v>1037</v>
      </c>
      <c r="O131" t="s">
        <v>51</v>
      </c>
      <c r="P131" t="s">
        <v>1936</v>
      </c>
      <c r="Q131" t="s">
        <v>96</v>
      </c>
      <c r="R131" t="s">
        <v>97</v>
      </c>
      <c r="S131" t="s">
        <v>52</v>
      </c>
      <c r="T131" t="s">
        <v>2096</v>
      </c>
      <c r="U131" t="s">
        <v>2097</v>
      </c>
      <c r="V131" s="137">
        <v>2.5000000000000001E-2</v>
      </c>
      <c r="W131" s="137">
        <v>4.6129999999999997E-2</v>
      </c>
      <c r="X131" t="s">
        <v>131</v>
      </c>
      <c r="Y131" t="s">
        <v>51</v>
      </c>
      <c r="Z131" s="133">
        <v>80000</v>
      </c>
      <c r="AA131" s="135">
        <v>1</v>
      </c>
      <c r="AB131" s="139">
        <v>89.3</v>
      </c>
      <c r="AD131" s="133">
        <v>71.44</v>
      </c>
      <c r="AG131" t="s">
        <v>135</v>
      </c>
      <c r="AH131" s="137">
        <v>6.0000000000000002E-5</v>
      </c>
      <c r="AI131" s="137">
        <v>5.3342039224144001E-3</v>
      </c>
      <c r="AJ131" s="137">
        <v>8.1862655043677399E-4</v>
      </c>
    </row>
    <row r="132" spans="1:36">
      <c r="A132">
        <v>161</v>
      </c>
      <c r="B132">
        <v>9938</v>
      </c>
      <c r="C132" t="s">
        <v>216</v>
      </c>
      <c r="D132" t="s">
        <v>217</v>
      </c>
      <c r="E132" t="s">
        <v>41</v>
      </c>
      <c r="F132" t="s">
        <v>2098</v>
      </c>
      <c r="G132" t="s">
        <v>2099</v>
      </c>
      <c r="H132" t="s">
        <v>44</v>
      </c>
      <c r="I132" t="s">
        <v>1331</v>
      </c>
      <c r="J132" t="s">
        <v>45</v>
      </c>
      <c r="K132" t="s">
        <v>45</v>
      </c>
      <c r="L132" t="s">
        <v>46</v>
      </c>
      <c r="M132" t="s">
        <v>47</v>
      </c>
      <c r="N132" t="s">
        <v>221</v>
      </c>
      <c r="O132" t="s">
        <v>51</v>
      </c>
      <c r="P132" t="s">
        <v>95</v>
      </c>
      <c r="Q132" t="s">
        <v>96</v>
      </c>
      <c r="R132" t="s">
        <v>97</v>
      </c>
      <c r="S132" t="s">
        <v>52</v>
      </c>
      <c r="T132" t="s">
        <v>2100</v>
      </c>
      <c r="U132" t="s">
        <v>2101</v>
      </c>
      <c r="V132" s="137">
        <v>1.8599999999999998E-2</v>
      </c>
      <c r="W132" s="137">
        <v>2.0230000000000001E-2</v>
      </c>
      <c r="X132" t="s">
        <v>131</v>
      </c>
      <c r="Y132" t="s">
        <v>51</v>
      </c>
      <c r="Z132" s="133">
        <v>58800</v>
      </c>
      <c r="AA132" s="135">
        <v>1</v>
      </c>
      <c r="AB132" s="139">
        <v>105.64</v>
      </c>
      <c r="AD132" s="133">
        <v>62.116</v>
      </c>
      <c r="AG132" t="s">
        <v>135</v>
      </c>
      <c r="AH132" s="137">
        <v>2.5999999999999998E-5</v>
      </c>
      <c r="AI132" s="137">
        <v>4.6380335636890804E-3</v>
      </c>
      <c r="AJ132" s="137">
        <v>7.1178707681168502E-4</v>
      </c>
    </row>
    <row r="133" spans="1:36">
      <c r="A133">
        <v>161</v>
      </c>
      <c r="B133">
        <v>9938</v>
      </c>
      <c r="C133" t="s">
        <v>216</v>
      </c>
      <c r="D133" t="s">
        <v>217</v>
      </c>
      <c r="E133" t="s">
        <v>41</v>
      </c>
      <c r="F133" t="s">
        <v>2358</v>
      </c>
      <c r="G133" t="s">
        <v>2359</v>
      </c>
      <c r="H133" t="s">
        <v>44</v>
      </c>
      <c r="I133" t="s">
        <v>1331</v>
      </c>
      <c r="J133" t="s">
        <v>45</v>
      </c>
      <c r="K133" t="s">
        <v>45</v>
      </c>
      <c r="L133" t="s">
        <v>46</v>
      </c>
      <c r="M133" t="s">
        <v>47</v>
      </c>
      <c r="N133" t="s">
        <v>221</v>
      </c>
      <c r="O133" t="s">
        <v>51</v>
      </c>
      <c r="P133" t="s">
        <v>95</v>
      </c>
      <c r="Q133" t="s">
        <v>96</v>
      </c>
      <c r="R133" t="s">
        <v>97</v>
      </c>
      <c r="S133" t="s">
        <v>52</v>
      </c>
      <c r="T133" t="s">
        <v>2360</v>
      </c>
      <c r="U133" t="s">
        <v>2361</v>
      </c>
      <c r="V133" s="137">
        <v>8.3000000000000001E-3</v>
      </c>
      <c r="W133" s="137">
        <v>1E-4</v>
      </c>
      <c r="X133" t="s">
        <v>131</v>
      </c>
      <c r="Y133" t="s">
        <v>51</v>
      </c>
      <c r="Z133" s="133">
        <v>0.5</v>
      </c>
      <c r="AA133" s="135">
        <v>1</v>
      </c>
      <c r="AB133" s="139">
        <v>119.06</v>
      </c>
      <c r="AD133" s="133">
        <v>1E-3</v>
      </c>
      <c r="AG133" t="s">
        <v>135</v>
      </c>
      <c r="AH133" s="137">
        <v>0</v>
      </c>
      <c r="AI133" s="137">
        <v>4.4449210456512997E-8</v>
      </c>
      <c r="AJ133" s="137">
        <v>6.8215059556972506E-9</v>
      </c>
    </row>
    <row r="134" spans="1:36">
      <c r="A134">
        <v>161</v>
      </c>
      <c r="B134">
        <v>9938</v>
      </c>
      <c r="C134" t="s">
        <v>216</v>
      </c>
      <c r="D134" t="s">
        <v>217</v>
      </c>
      <c r="E134" t="s">
        <v>41</v>
      </c>
      <c r="F134" t="s">
        <v>2102</v>
      </c>
      <c r="G134" t="s">
        <v>2103</v>
      </c>
      <c r="H134" t="s">
        <v>44</v>
      </c>
      <c r="I134" t="s">
        <v>1331</v>
      </c>
      <c r="J134" t="s">
        <v>45</v>
      </c>
      <c r="K134" t="s">
        <v>45</v>
      </c>
      <c r="L134" t="s">
        <v>46</v>
      </c>
      <c r="M134" t="s">
        <v>47</v>
      </c>
      <c r="N134" t="s">
        <v>221</v>
      </c>
      <c r="O134" t="s">
        <v>51</v>
      </c>
      <c r="P134" t="s">
        <v>95</v>
      </c>
      <c r="Q134" t="s">
        <v>96</v>
      </c>
      <c r="R134" t="s">
        <v>97</v>
      </c>
      <c r="S134" t="s">
        <v>52</v>
      </c>
      <c r="T134" t="s">
        <v>2104</v>
      </c>
      <c r="U134" t="s">
        <v>2105</v>
      </c>
      <c r="V134" s="137">
        <v>1E-3</v>
      </c>
      <c r="W134" s="137">
        <v>1.8589999999999999E-2</v>
      </c>
      <c r="X134" t="s">
        <v>131</v>
      </c>
      <c r="Y134" t="s">
        <v>51</v>
      </c>
      <c r="Z134" s="133">
        <v>85000</v>
      </c>
      <c r="AA134" s="135">
        <v>1</v>
      </c>
      <c r="AB134" s="139">
        <v>111.75</v>
      </c>
      <c r="AD134" s="133">
        <v>94.986999999999995</v>
      </c>
      <c r="AG134" t="s">
        <v>135</v>
      </c>
      <c r="AH134" s="137">
        <v>2.6999999999999999E-5</v>
      </c>
      <c r="AI134" s="137">
        <v>7.0924229434537701E-3</v>
      </c>
      <c r="AJ134" s="137">
        <v>1.08845589949066E-3</v>
      </c>
    </row>
    <row r="135" spans="1:36">
      <c r="A135">
        <v>161</v>
      </c>
      <c r="B135">
        <v>9938</v>
      </c>
      <c r="C135" t="s">
        <v>216</v>
      </c>
      <c r="D135" t="s">
        <v>217</v>
      </c>
      <c r="E135" t="s">
        <v>41</v>
      </c>
      <c r="F135" t="s">
        <v>2106</v>
      </c>
      <c r="G135" t="s">
        <v>2107</v>
      </c>
      <c r="H135" t="s">
        <v>44</v>
      </c>
      <c r="I135" t="s">
        <v>1509</v>
      </c>
      <c r="J135" t="s">
        <v>45</v>
      </c>
      <c r="K135" t="s">
        <v>45</v>
      </c>
      <c r="L135" t="s">
        <v>46</v>
      </c>
      <c r="M135" t="s">
        <v>47</v>
      </c>
      <c r="N135" t="s">
        <v>221</v>
      </c>
      <c r="O135" t="s">
        <v>51</v>
      </c>
      <c r="P135" t="s">
        <v>95</v>
      </c>
      <c r="Q135" t="s">
        <v>96</v>
      </c>
      <c r="R135" t="s">
        <v>97</v>
      </c>
      <c r="S135" t="s">
        <v>52</v>
      </c>
      <c r="T135" t="s">
        <v>2108</v>
      </c>
      <c r="U135" t="s">
        <v>2109</v>
      </c>
      <c r="V135" s="137">
        <v>2.76E-2</v>
      </c>
      <c r="W135" s="137">
        <v>4.3610000000000003E-2</v>
      </c>
      <c r="X135" t="s">
        <v>131</v>
      </c>
      <c r="Y135" t="s">
        <v>51</v>
      </c>
      <c r="Z135" s="133">
        <v>270000</v>
      </c>
      <c r="AA135" s="135">
        <v>1</v>
      </c>
      <c r="AB135" s="139">
        <v>98.1</v>
      </c>
      <c r="AD135" s="133">
        <v>264.87</v>
      </c>
      <c r="AG135" t="s">
        <v>135</v>
      </c>
      <c r="AH135" s="137">
        <v>1.3799999999999999E-4</v>
      </c>
      <c r="AI135" s="137">
        <v>1.9777023977182302E-2</v>
      </c>
      <c r="AJ135" s="137">
        <v>3.03512898116165E-3</v>
      </c>
    </row>
    <row r="136" spans="1:36">
      <c r="A136">
        <v>161</v>
      </c>
      <c r="B136">
        <v>9938</v>
      </c>
      <c r="C136" t="s">
        <v>216</v>
      </c>
      <c r="D136" t="s">
        <v>217</v>
      </c>
      <c r="E136" t="s">
        <v>41</v>
      </c>
      <c r="F136" t="s">
        <v>2110</v>
      </c>
      <c r="G136" t="s">
        <v>2111</v>
      </c>
      <c r="H136" t="s">
        <v>44</v>
      </c>
      <c r="I136" t="s">
        <v>1331</v>
      </c>
      <c r="J136" t="s">
        <v>45</v>
      </c>
      <c r="K136" t="s">
        <v>45</v>
      </c>
      <c r="L136" t="s">
        <v>46</v>
      </c>
      <c r="M136" t="s">
        <v>47</v>
      </c>
      <c r="N136" t="s">
        <v>221</v>
      </c>
      <c r="O136" t="s">
        <v>51</v>
      </c>
      <c r="P136" t="s">
        <v>95</v>
      </c>
      <c r="Q136" t="s">
        <v>96</v>
      </c>
      <c r="R136" t="s">
        <v>97</v>
      </c>
      <c r="S136" t="s">
        <v>52</v>
      </c>
      <c r="T136" t="s">
        <v>2112</v>
      </c>
      <c r="U136" t="s">
        <v>2113</v>
      </c>
      <c r="V136" s="137">
        <v>2.0199999999999999E-2</v>
      </c>
      <c r="W136" s="137">
        <v>2.4549999999999999E-2</v>
      </c>
      <c r="X136" t="s">
        <v>131</v>
      </c>
      <c r="Y136" t="s">
        <v>51</v>
      </c>
      <c r="Z136" s="133">
        <v>84000</v>
      </c>
      <c r="AA136" s="135">
        <v>1</v>
      </c>
      <c r="AB136" s="139">
        <v>104.86</v>
      </c>
      <c r="AD136" s="133">
        <v>88.081999999999994</v>
      </c>
      <c r="AG136" t="s">
        <v>135</v>
      </c>
      <c r="AH136" s="137">
        <v>1.5999999999999999E-5</v>
      </c>
      <c r="AI136" s="137">
        <v>6.5768404755833397E-3</v>
      </c>
      <c r="AJ136" s="137">
        <v>1.00933078480112E-3</v>
      </c>
    </row>
    <row r="137" spans="1:36">
      <c r="A137">
        <v>161</v>
      </c>
      <c r="B137">
        <v>9938</v>
      </c>
      <c r="C137" t="s">
        <v>216</v>
      </c>
      <c r="D137" t="s">
        <v>217</v>
      </c>
      <c r="E137" t="s">
        <v>41</v>
      </c>
      <c r="F137" t="s">
        <v>2114</v>
      </c>
      <c r="G137" t="s">
        <v>2115</v>
      </c>
      <c r="H137" t="s">
        <v>44</v>
      </c>
      <c r="I137" t="s">
        <v>1331</v>
      </c>
      <c r="J137" t="s">
        <v>45</v>
      </c>
      <c r="K137" t="s">
        <v>45</v>
      </c>
      <c r="L137" t="s">
        <v>46</v>
      </c>
      <c r="M137" t="s">
        <v>47</v>
      </c>
      <c r="N137" t="s">
        <v>221</v>
      </c>
      <c r="O137" t="s">
        <v>51</v>
      </c>
      <c r="P137" t="s">
        <v>95</v>
      </c>
      <c r="Q137" t="s">
        <v>96</v>
      </c>
      <c r="R137" t="s">
        <v>97</v>
      </c>
      <c r="S137" t="s">
        <v>52</v>
      </c>
      <c r="T137" t="s">
        <v>2116</v>
      </c>
      <c r="U137" t="s">
        <v>2117</v>
      </c>
      <c r="V137" s="137">
        <v>1E-3</v>
      </c>
      <c r="W137" s="137">
        <v>2.4170000000000001E-2</v>
      </c>
      <c r="X137" t="s">
        <v>131</v>
      </c>
      <c r="Y137" t="s">
        <v>51</v>
      </c>
      <c r="Z137" s="133">
        <v>339000</v>
      </c>
      <c r="AA137" s="135">
        <v>1</v>
      </c>
      <c r="AB137" s="139">
        <v>105.8</v>
      </c>
      <c r="AD137" s="133">
        <v>358.66199999999998</v>
      </c>
      <c r="AG137" t="s">
        <v>135</v>
      </c>
      <c r="AH137" s="137">
        <v>7.8999999999999996E-5</v>
      </c>
      <c r="AI137" s="137">
        <v>2.67801826318728E-2</v>
      </c>
      <c r="AJ137" s="137">
        <v>4.1098857199433703E-3</v>
      </c>
    </row>
    <row r="138" spans="1:36">
      <c r="A138">
        <v>161</v>
      </c>
      <c r="B138">
        <v>9938</v>
      </c>
      <c r="C138" t="s">
        <v>216</v>
      </c>
      <c r="D138" t="s">
        <v>217</v>
      </c>
      <c r="E138" t="s">
        <v>41</v>
      </c>
      <c r="F138" t="s">
        <v>2118</v>
      </c>
      <c r="G138" t="s">
        <v>2119</v>
      </c>
      <c r="H138" t="s">
        <v>44</v>
      </c>
      <c r="I138" t="s">
        <v>1509</v>
      </c>
      <c r="J138" t="s">
        <v>45</v>
      </c>
      <c r="K138" t="s">
        <v>45</v>
      </c>
      <c r="L138" t="s">
        <v>46</v>
      </c>
      <c r="M138" t="s">
        <v>47</v>
      </c>
      <c r="N138" t="s">
        <v>221</v>
      </c>
      <c r="O138" t="s">
        <v>51</v>
      </c>
      <c r="P138" t="s">
        <v>202</v>
      </c>
      <c r="Q138" t="s">
        <v>167</v>
      </c>
      <c r="R138" t="s">
        <v>97</v>
      </c>
      <c r="S138" t="s">
        <v>52</v>
      </c>
      <c r="T138" t="s">
        <v>2120</v>
      </c>
      <c r="U138" t="s">
        <v>2121</v>
      </c>
      <c r="V138" s="137">
        <v>4.5900000000000003E-2</v>
      </c>
      <c r="W138" s="137">
        <v>4.4519999999999997E-2</v>
      </c>
      <c r="X138" t="s">
        <v>131</v>
      </c>
      <c r="Y138" t="s">
        <v>51</v>
      </c>
      <c r="Z138" s="133">
        <v>250000</v>
      </c>
      <c r="AA138" s="135">
        <v>1</v>
      </c>
      <c r="AB138" s="139">
        <v>103.3</v>
      </c>
      <c r="AD138" s="133">
        <v>258.25</v>
      </c>
      <c r="AG138" t="s">
        <v>135</v>
      </c>
      <c r="AH138" s="137">
        <v>5.7000000000000003E-5</v>
      </c>
      <c r="AI138" s="137">
        <v>1.9282729044842101E-2</v>
      </c>
      <c r="AJ138" s="137">
        <v>2.9592708097745898E-3</v>
      </c>
    </row>
    <row r="139" spans="1:36">
      <c r="A139">
        <v>161</v>
      </c>
      <c r="B139">
        <v>9938</v>
      </c>
      <c r="C139" t="s">
        <v>216</v>
      </c>
      <c r="D139" t="s">
        <v>217</v>
      </c>
      <c r="E139" t="s">
        <v>41</v>
      </c>
      <c r="F139" t="s">
        <v>2122</v>
      </c>
      <c r="G139" t="s">
        <v>2123</v>
      </c>
      <c r="H139" t="s">
        <v>44</v>
      </c>
      <c r="I139" t="s">
        <v>1331</v>
      </c>
      <c r="J139" t="s">
        <v>45</v>
      </c>
      <c r="K139" t="s">
        <v>45</v>
      </c>
      <c r="L139" t="s">
        <v>46</v>
      </c>
      <c r="M139" t="s">
        <v>47</v>
      </c>
      <c r="N139" t="s">
        <v>221</v>
      </c>
      <c r="O139" t="s">
        <v>51</v>
      </c>
      <c r="P139" t="s">
        <v>202</v>
      </c>
      <c r="Q139" t="s">
        <v>167</v>
      </c>
      <c r="R139" t="s">
        <v>97</v>
      </c>
      <c r="S139" t="s">
        <v>52</v>
      </c>
      <c r="T139" t="s">
        <v>2124</v>
      </c>
      <c r="U139" t="s">
        <v>2125</v>
      </c>
      <c r="V139" s="137">
        <v>2.5999999999999999E-2</v>
      </c>
      <c r="W139" s="137">
        <v>2.5020000000000001E-2</v>
      </c>
      <c r="X139" t="s">
        <v>131</v>
      </c>
      <c r="Y139" t="s">
        <v>51</v>
      </c>
      <c r="Z139" s="133">
        <v>250000</v>
      </c>
      <c r="AA139" s="135">
        <v>1</v>
      </c>
      <c r="AB139" s="139">
        <v>102.06</v>
      </c>
      <c r="AD139" s="133">
        <v>255.15</v>
      </c>
      <c r="AG139" t="s">
        <v>135</v>
      </c>
      <c r="AH139" s="137">
        <v>1.36E-4</v>
      </c>
      <c r="AI139" s="137">
        <v>1.9051261629395799E-2</v>
      </c>
      <c r="AJ139" s="137">
        <v>2.9237481011190202E-3</v>
      </c>
    </row>
    <row r="140" spans="1:36">
      <c r="A140">
        <v>161</v>
      </c>
      <c r="B140">
        <v>9938</v>
      </c>
      <c r="C140" t="s">
        <v>216</v>
      </c>
      <c r="D140" t="s">
        <v>217</v>
      </c>
      <c r="E140" t="s">
        <v>41</v>
      </c>
      <c r="F140" t="s">
        <v>2126</v>
      </c>
      <c r="G140" t="s">
        <v>2127</v>
      </c>
      <c r="H140" t="s">
        <v>44</v>
      </c>
      <c r="I140" t="s">
        <v>1331</v>
      </c>
      <c r="J140" t="s">
        <v>45</v>
      </c>
      <c r="K140" t="s">
        <v>45</v>
      </c>
      <c r="L140" t="s">
        <v>46</v>
      </c>
      <c r="M140" t="s">
        <v>47</v>
      </c>
      <c r="N140" t="s">
        <v>221</v>
      </c>
      <c r="O140" t="s">
        <v>51</v>
      </c>
      <c r="P140" t="s">
        <v>1936</v>
      </c>
      <c r="Q140" t="s">
        <v>96</v>
      </c>
      <c r="R140" t="s">
        <v>97</v>
      </c>
      <c r="S140" t="s">
        <v>52</v>
      </c>
      <c r="T140" t="s">
        <v>2128</v>
      </c>
      <c r="U140" t="s">
        <v>2129</v>
      </c>
      <c r="V140" s="137">
        <v>3.1E-2</v>
      </c>
      <c r="W140" s="137">
        <v>2.8199999999999999E-2</v>
      </c>
      <c r="X140" t="s">
        <v>131</v>
      </c>
      <c r="Y140" t="s">
        <v>51</v>
      </c>
      <c r="Z140" s="133">
        <v>180000</v>
      </c>
      <c r="AA140" s="135">
        <v>1</v>
      </c>
      <c r="AB140" s="139">
        <v>104.13</v>
      </c>
      <c r="AD140" s="133">
        <v>187.434</v>
      </c>
      <c r="AG140" t="s">
        <v>135</v>
      </c>
      <c r="AH140" s="137">
        <v>7.8999999999999996E-5</v>
      </c>
      <c r="AI140" s="137">
        <v>1.3995117273149799E-2</v>
      </c>
      <c r="AJ140" s="137">
        <v>2.1477946368220402E-3</v>
      </c>
    </row>
    <row r="141" spans="1:36">
      <c r="A141">
        <v>161</v>
      </c>
      <c r="B141">
        <v>9938</v>
      </c>
      <c r="C141" t="s">
        <v>216</v>
      </c>
      <c r="D141" t="s">
        <v>217</v>
      </c>
      <c r="E141" t="s">
        <v>41</v>
      </c>
      <c r="F141" t="s">
        <v>2130</v>
      </c>
      <c r="G141" t="s">
        <v>2131</v>
      </c>
      <c r="H141" t="s">
        <v>44</v>
      </c>
      <c r="I141" t="s">
        <v>1509</v>
      </c>
      <c r="J141" t="s">
        <v>45</v>
      </c>
      <c r="K141" t="s">
        <v>45</v>
      </c>
      <c r="L141" t="s">
        <v>46</v>
      </c>
      <c r="M141" t="s">
        <v>47</v>
      </c>
      <c r="N141" t="s">
        <v>221</v>
      </c>
      <c r="O141" t="s">
        <v>51</v>
      </c>
      <c r="P141" t="s">
        <v>183</v>
      </c>
      <c r="Q141" t="s">
        <v>167</v>
      </c>
      <c r="R141" t="s">
        <v>97</v>
      </c>
      <c r="S141" t="s">
        <v>52</v>
      </c>
      <c r="T141" t="s">
        <v>2132</v>
      </c>
      <c r="U141" t="s">
        <v>2097</v>
      </c>
      <c r="V141" s="137">
        <v>4.6899999999999997E-2</v>
      </c>
      <c r="W141" s="137">
        <v>4.8120000000000003E-2</v>
      </c>
      <c r="X141" t="s">
        <v>131</v>
      </c>
      <c r="Y141" t="s">
        <v>51</v>
      </c>
      <c r="Z141" s="133">
        <v>220000</v>
      </c>
      <c r="AA141" s="135">
        <v>1</v>
      </c>
      <c r="AB141" s="139">
        <v>99.54</v>
      </c>
      <c r="AD141" s="133">
        <v>218.988</v>
      </c>
      <c r="AG141" t="s">
        <v>135</v>
      </c>
      <c r="AH141" s="137">
        <v>1.9000000000000001E-4</v>
      </c>
      <c r="AI141" s="137">
        <v>1.63511568947604E-2</v>
      </c>
      <c r="AJ141" s="137">
        <v>2.5093699751826499E-3</v>
      </c>
    </row>
    <row r="142" spans="1:36">
      <c r="A142">
        <v>161</v>
      </c>
      <c r="B142">
        <v>9938</v>
      </c>
      <c r="C142" t="s">
        <v>2133</v>
      </c>
      <c r="D142" t="s">
        <v>2134</v>
      </c>
      <c r="E142" t="s">
        <v>41</v>
      </c>
      <c r="F142" t="s">
        <v>2362</v>
      </c>
      <c r="G142" t="s">
        <v>2363</v>
      </c>
      <c r="H142" t="s">
        <v>44</v>
      </c>
      <c r="I142" t="s">
        <v>1331</v>
      </c>
      <c r="J142" t="s">
        <v>45</v>
      </c>
      <c r="K142" t="s">
        <v>45</v>
      </c>
      <c r="L142" t="s">
        <v>46</v>
      </c>
      <c r="M142" t="s">
        <v>47</v>
      </c>
      <c r="N142" t="s">
        <v>58</v>
      </c>
      <c r="O142" t="s">
        <v>51</v>
      </c>
      <c r="P142" t="s">
        <v>1919</v>
      </c>
      <c r="Q142" t="s">
        <v>96</v>
      </c>
      <c r="R142" t="s">
        <v>97</v>
      </c>
      <c r="S142" t="s">
        <v>52</v>
      </c>
      <c r="T142" t="s">
        <v>2364</v>
      </c>
      <c r="U142" t="s">
        <v>2365</v>
      </c>
      <c r="V142" s="137">
        <v>3.5000000000000001E-3</v>
      </c>
      <c r="W142" s="137">
        <v>2.819E-2</v>
      </c>
      <c r="X142" t="s">
        <v>131</v>
      </c>
      <c r="Y142" t="s">
        <v>51</v>
      </c>
      <c r="Z142" s="133">
        <v>236842.1</v>
      </c>
      <c r="AA142" s="135">
        <v>1</v>
      </c>
      <c r="AB142" s="139">
        <v>102.55</v>
      </c>
      <c r="AD142" s="133">
        <v>242.88200000000001</v>
      </c>
      <c r="AG142" t="s">
        <v>135</v>
      </c>
      <c r="AH142" s="137">
        <v>7.2000000000000002E-5</v>
      </c>
      <c r="AI142" s="137">
        <v>1.8135216157791002E-2</v>
      </c>
      <c r="AJ142" s="137">
        <v>2.7831649596849399E-3</v>
      </c>
    </row>
    <row r="143" spans="1:36">
      <c r="A143">
        <v>161</v>
      </c>
      <c r="B143">
        <v>9938</v>
      </c>
      <c r="C143" t="s">
        <v>2133</v>
      </c>
      <c r="D143" t="s">
        <v>2134</v>
      </c>
      <c r="E143" t="s">
        <v>41</v>
      </c>
      <c r="F143" t="s">
        <v>2135</v>
      </c>
      <c r="G143" t="s">
        <v>2136</v>
      </c>
      <c r="H143" t="s">
        <v>44</v>
      </c>
      <c r="I143" t="s">
        <v>1331</v>
      </c>
      <c r="J143" t="s">
        <v>45</v>
      </c>
      <c r="K143" t="s">
        <v>45</v>
      </c>
      <c r="L143" t="s">
        <v>46</v>
      </c>
      <c r="M143" t="s">
        <v>47</v>
      </c>
      <c r="N143" t="s">
        <v>58</v>
      </c>
      <c r="O143" t="s">
        <v>51</v>
      </c>
      <c r="P143" t="s">
        <v>1919</v>
      </c>
      <c r="Q143" t="s">
        <v>96</v>
      </c>
      <c r="R143" t="s">
        <v>97</v>
      </c>
      <c r="S143" t="s">
        <v>52</v>
      </c>
      <c r="T143" t="s">
        <v>2137</v>
      </c>
      <c r="U143" t="s">
        <v>2025</v>
      </c>
      <c r="V143" s="137">
        <v>2.81E-2</v>
      </c>
      <c r="W143" s="137">
        <v>2.5319999999999999E-2</v>
      </c>
      <c r="X143" t="s">
        <v>131</v>
      </c>
      <c r="Y143" t="s">
        <v>51</v>
      </c>
      <c r="Z143" s="133">
        <v>78411.240000000005</v>
      </c>
      <c r="AA143" s="135">
        <v>1</v>
      </c>
      <c r="AB143" s="139">
        <v>120.94</v>
      </c>
      <c r="AD143" s="133">
        <v>94.831000000000003</v>
      </c>
      <c r="AG143" t="s">
        <v>135</v>
      </c>
      <c r="AH143" s="137">
        <v>6.6000000000000005E-5</v>
      </c>
      <c r="AI143" s="137">
        <v>7.0807042451926702E-3</v>
      </c>
      <c r="AJ143" s="137">
        <v>1.08665746102213E-3</v>
      </c>
    </row>
    <row r="144" spans="1:36">
      <c r="A144">
        <v>161</v>
      </c>
      <c r="B144">
        <v>9938</v>
      </c>
      <c r="C144" t="s">
        <v>2133</v>
      </c>
      <c r="D144" t="s">
        <v>2134</v>
      </c>
      <c r="E144" t="s">
        <v>41</v>
      </c>
      <c r="F144" t="s">
        <v>2366</v>
      </c>
      <c r="G144" t="s">
        <v>2367</v>
      </c>
      <c r="H144" t="s">
        <v>44</v>
      </c>
      <c r="I144" t="s">
        <v>1331</v>
      </c>
      <c r="J144" t="s">
        <v>45</v>
      </c>
      <c r="K144" t="s">
        <v>45</v>
      </c>
      <c r="L144" t="s">
        <v>46</v>
      </c>
      <c r="M144" t="s">
        <v>47</v>
      </c>
      <c r="N144" t="s">
        <v>58</v>
      </c>
      <c r="O144" t="s">
        <v>51</v>
      </c>
      <c r="P144" t="s">
        <v>1919</v>
      </c>
      <c r="Q144" t="s">
        <v>96</v>
      </c>
      <c r="R144" t="s">
        <v>97</v>
      </c>
      <c r="S144" t="s">
        <v>52</v>
      </c>
      <c r="T144" t="s">
        <v>2368</v>
      </c>
      <c r="U144" t="s">
        <v>2001</v>
      </c>
      <c r="V144" s="137">
        <v>3.6999999999999998E-2</v>
      </c>
      <c r="W144" s="137">
        <v>2.1329999999999998E-2</v>
      </c>
      <c r="X144" t="s">
        <v>131</v>
      </c>
      <c r="Y144" t="s">
        <v>51</v>
      </c>
      <c r="Z144" s="133">
        <v>2491.89</v>
      </c>
      <c r="AA144" s="135">
        <v>1</v>
      </c>
      <c r="AB144" s="139">
        <v>121.32</v>
      </c>
      <c r="AD144" s="133">
        <v>3.0230000000000001</v>
      </c>
      <c r="AG144" t="s">
        <v>135</v>
      </c>
      <c r="AH144" s="137">
        <v>1.1E-5</v>
      </c>
      <c r="AI144" s="137">
        <v>2.25730081003802E-4</v>
      </c>
      <c r="AJ144" s="137">
        <v>3.4642214701517502E-5</v>
      </c>
    </row>
    <row r="145" spans="1:36">
      <c r="A145">
        <v>161</v>
      </c>
      <c r="B145">
        <v>9938</v>
      </c>
      <c r="C145" t="s">
        <v>2138</v>
      </c>
      <c r="D145" t="s">
        <v>2139</v>
      </c>
      <c r="E145" t="s">
        <v>41</v>
      </c>
      <c r="F145" t="s">
        <v>2140</v>
      </c>
      <c r="G145" t="s">
        <v>2141</v>
      </c>
      <c r="H145" t="s">
        <v>44</v>
      </c>
      <c r="I145" t="s">
        <v>1509</v>
      </c>
      <c r="J145" t="s">
        <v>45</v>
      </c>
      <c r="K145" t="s">
        <v>45</v>
      </c>
      <c r="L145" t="s">
        <v>46</v>
      </c>
      <c r="M145" t="s">
        <v>47</v>
      </c>
      <c r="N145" t="s">
        <v>1037</v>
      </c>
      <c r="O145" t="s">
        <v>51</v>
      </c>
      <c r="P145" t="s">
        <v>166</v>
      </c>
      <c r="Q145" t="s">
        <v>167</v>
      </c>
      <c r="R145" t="s">
        <v>97</v>
      </c>
      <c r="S145" t="s">
        <v>52</v>
      </c>
      <c r="T145" t="s">
        <v>2142</v>
      </c>
      <c r="U145" t="s">
        <v>241</v>
      </c>
      <c r="V145" s="137">
        <v>4.1000000000000002E-2</v>
      </c>
      <c r="W145" s="137">
        <v>4.836E-2</v>
      </c>
      <c r="X145" t="s">
        <v>131</v>
      </c>
      <c r="Y145" t="s">
        <v>51</v>
      </c>
      <c r="Z145" s="133">
        <v>100000</v>
      </c>
      <c r="AA145" s="135">
        <v>1</v>
      </c>
      <c r="AB145" s="139">
        <v>100.5</v>
      </c>
      <c r="AD145" s="133">
        <v>100.5</v>
      </c>
      <c r="AG145" t="s">
        <v>135</v>
      </c>
      <c r="AH145" s="137">
        <v>1.3999999999999999E-4</v>
      </c>
      <c r="AI145" s="137">
        <v>7.5040242749530601E-3</v>
      </c>
      <c r="AJ145" s="137">
        <v>1.1516232967370599E-3</v>
      </c>
    </row>
    <row r="146" spans="1:36">
      <c r="A146">
        <v>161</v>
      </c>
      <c r="B146">
        <v>9938</v>
      </c>
      <c r="C146" t="s">
        <v>2138</v>
      </c>
      <c r="D146" t="s">
        <v>2139</v>
      </c>
      <c r="E146" t="s">
        <v>41</v>
      </c>
      <c r="F146" t="s">
        <v>2143</v>
      </c>
      <c r="G146" t="s">
        <v>2144</v>
      </c>
      <c r="H146" t="s">
        <v>44</v>
      </c>
      <c r="I146" t="s">
        <v>1509</v>
      </c>
      <c r="J146" t="s">
        <v>45</v>
      </c>
      <c r="K146" t="s">
        <v>45</v>
      </c>
      <c r="L146" t="s">
        <v>46</v>
      </c>
      <c r="M146" t="s">
        <v>47</v>
      </c>
      <c r="N146" t="s">
        <v>1037</v>
      </c>
      <c r="O146" t="s">
        <v>51</v>
      </c>
      <c r="P146" t="s">
        <v>166</v>
      </c>
      <c r="Q146" t="s">
        <v>167</v>
      </c>
      <c r="R146" t="s">
        <v>97</v>
      </c>
      <c r="S146" t="s">
        <v>52</v>
      </c>
      <c r="T146" t="s">
        <v>2145</v>
      </c>
      <c r="U146" t="s">
        <v>2146</v>
      </c>
      <c r="V146" s="137">
        <v>4.7800000000000002E-2</v>
      </c>
      <c r="W146" s="137">
        <v>4.727E-2</v>
      </c>
      <c r="X146" t="s">
        <v>131</v>
      </c>
      <c r="Y146" t="s">
        <v>51</v>
      </c>
      <c r="Z146" s="133">
        <v>90000</v>
      </c>
      <c r="AA146" s="135">
        <v>1</v>
      </c>
      <c r="AB146" s="139">
        <v>102.2</v>
      </c>
      <c r="AD146" s="133">
        <v>91.98</v>
      </c>
      <c r="AG146" t="s">
        <v>135</v>
      </c>
      <c r="AH146" s="137">
        <v>3.3700000000000001E-4</v>
      </c>
      <c r="AI146" s="137">
        <v>6.8678622170167498E-3</v>
      </c>
      <c r="AJ146" s="137">
        <v>1.0539931426256199E-3</v>
      </c>
    </row>
    <row r="147" spans="1:36">
      <c r="A147">
        <v>161</v>
      </c>
      <c r="B147">
        <v>9938</v>
      </c>
      <c r="C147" t="s">
        <v>2138</v>
      </c>
      <c r="D147" t="s">
        <v>2139</v>
      </c>
      <c r="E147" t="s">
        <v>41</v>
      </c>
      <c r="F147" t="s">
        <v>2147</v>
      </c>
      <c r="G147" t="s">
        <v>2148</v>
      </c>
      <c r="H147" t="s">
        <v>44</v>
      </c>
      <c r="I147" t="s">
        <v>1509</v>
      </c>
      <c r="J147" t="s">
        <v>45</v>
      </c>
      <c r="K147" t="s">
        <v>45</v>
      </c>
      <c r="L147" t="s">
        <v>46</v>
      </c>
      <c r="M147" t="s">
        <v>47</v>
      </c>
      <c r="N147" t="s">
        <v>1037</v>
      </c>
      <c r="O147" t="s">
        <v>51</v>
      </c>
      <c r="P147" t="s">
        <v>166</v>
      </c>
      <c r="Q147" t="s">
        <v>167</v>
      </c>
      <c r="R147" t="s">
        <v>97</v>
      </c>
      <c r="S147" t="s">
        <v>52</v>
      </c>
      <c r="T147" t="s">
        <v>2149</v>
      </c>
      <c r="U147" t="s">
        <v>2150</v>
      </c>
      <c r="V147" s="137">
        <v>4.7800000000000002E-2</v>
      </c>
      <c r="W147" s="137">
        <v>4.7370000000000002E-2</v>
      </c>
      <c r="X147" t="s">
        <v>131</v>
      </c>
      <c r="Y147" t="s">
        <v>51</v>
      </c>
      <c r="Z147" s="133">
        <v>90000</v>
      </c>
      <c r="AA147" s="135">
        <v>1</v>
      </c>
      <c r="AB147" s="139">
        <v>102.19</v>
      </c>
      <c r="AD147" s="133">
        <v>91.971000000000004</v>
      </c>
      <c r="AG147" t="s">
        <v>135</v>
      </c>
      <c r="AH147" s="137">
        <v>3.3700000000000001E-4</v>
      </c>
      <c r="AI147" s="137">
        <v>6.8671902148428696E-3</v>
      </c>
      <c r="AJ147" s="137">
        <v>1.05389001218114E-3</v>
      </c>
    </row>
    <row r="148" spans="1:36">
      <c r="A148">
        <v>161</v>
      </c>
      <c r="B148">
        <v>9938</v>
      </c>
      <c r="C148" t="s">
        <v>2151</v>
      </c>
      <c r="D148" t="s">
        <v>2152</v>
      </c>
      <c r="E148" t="s">
        <v>41</v>
      </c>
      <c r="F148" t="s">
        <v>2153</v>
      </c>
      <c r="G148" t="s">
        <v>2154</v>
      </c>
      <c r="H148" t="s">
        <v>44</v>
      </c>
      <c r="I148" t="s">
        <v>1331</v>
      </c>
      <c r="J148" t="s">
        <v>45</v>
      </c>
      <c r="K148" t="s">
        <v>45</v>
      </c>
      <c r="L148" t="s">
        <v>46</v>
      </c>
      <c r="M148" t="s">
        <v>47</v>
      </c>
      <c r="N148" t="s">
        <v>58</v>
      </c>
      <c r="O148" t="s">
        <v>51</v>
      </c>
      <c r="P148" t="s">
        <v>128</v>
      </c>
      <c r="Q148" t="s">
        <v>96</v>
      </c>
      <c r="R148" t="s">
        <v>97</v>
      </c>
      <c r="S148" t="s">
        <v>52</v>
      </c>
      <c r="T148" t="s">
        <v>2155</v>
      </c>
      <c r="U148" t="s">
        <v>2156</v>
      </c>
      <c r="V148" s="137">
        <v>2.0500000000000001E-2</v>
      </c>
      <c r="W148" s="137">
        <v>1.7149999999999999E-2</v>
      </c>
      <c r="X148" t="s">
        <v>131</v>
      </c>
      <c r="Y148" t="s">
        <v>51</v>
      </c>
      <c r="Z148" s="133">
        <v>62600</v>
      </c>
      <c r="AA148" s="135">
        <v>1</v>
      </c>
      <c r="AB148" s="139">
        <v>119.96</v>
      </c>
      <c r="AD148" s="133">
        <v>75.094999999999999</v>
      </c>
      <c r="AG148" t="s">
        <v>135</v>
      </c>
      <c r="AH148" s="137">
        <v>1.2400000000000001E-4</v>
      </c>
      <c r="AI148" s="137">
        <v>5.6071084852400898E-3</v>
      </c>
      <c r="AJ148" s="137">
        <v>8.6050851147798904E-4</v>
      </c>
    </row>
    <row r="149" spans="1:36">
      <c r="A149">
        <v>161</v>
      </c>
      <c r="B149">
        <v>9938</v>
      </c>
      <c r="C149" t="s">
        <v>2161</v>
      </c>
      <c r="D149" t="s">
        <v>2162</v>
      </c>
      <c r="E149" t="s">
        <v>41</v>
      </c>
      <c r="F149" t="s">
        <v>2163</v>
      </c>
      <c r="G149" t="s">
        <v>2164</v>
      </c>
      <c r="H149" t="s">
        <v>44</v>
      </c>
      <c r="I149" t="s">
        <v>1331</v>
      </c>
      <c r="J149" t="s">
        <v>45</v>
      </c>
      <c r="K149" t="s">
        <v>45</v>
      </c>
      <c r="L149" t="s">
        <v>46</v>
      </c>
      <c r="M149" t="s">
        <v>47</v>
      </c>
      <c r="N149" t="s">
        <v>221</v>
      </c>
      <c r="O149" t="s">
        <v>51</v>
      </c>
      <c r="P149" t="s">
        <v>95</v>
      </c>
      <c r="Q149" t="s">
        <v>96</v>
      </c>
      <c r="R149" t="s">
        <v>97</v>
      </c>
      <c r="S149" t="s">
        <v>52</v>
      </c>
      <c r="T149" t="s">
        <v>2165</v>
      </c>
      <c r="U149" t="s">
        <v>2166</v>
      </c>
      <c r="V149" s="137">
        <v>1E-3</v>
      </c>
      <c r="W149" s="137">
        <v>2.3130000000000001E-2</v>
      </c>
      <c r="X149" t="s">
        <v>131</v>
      </c>
      <c r="Y149" t="s">
        <v>51</v>
      </c>
      <c r="Z149" s="133">
        <v>25217</v>
      </c>
      <c r="AA149" s="135">
        <v>1</v>
      </c>
      <c r="AB149" s="139">
        <v>108.87</v>
      </c>
      <c r="AD149" s="133">
        <v>27.454000000000001</v>
      </c>
      <c r="AG149" t="s">
        <v>135</v>
      </c>
      <c r="AH149" s="137">
        <v>6.9999999999999999E-6</v>
      </c>
      <c r="AI149" s="137">
        <v>2.04988647442828E-3</v>
      </c>
      <c r="AJ149" s="137">
        <v>3.1459080263070897E-4</v>
      </c>
    </row>
    <row r="150" spans="1:36">
      <c r="A150">
        <v>161</v>
      </c>
      <c r="B150">
        <v>9938</v>
      </c>
      <c r="C150" t="s">
        <v>2161</v>
      </c>
      <c r="D150" t="s">
        <v>2162</v>
      </c>
      <c r="E150" t="s">
        <v>41</v>
      </c>
      <c r="F150" t="s">
        <v>2167</v>
      </c>
      <c r="G150" t="s">
        <v>2168</v>
      </c>
      <c r="H150" t="s">
        <v>44</v>
      </c>
      <c r="I150" t="s">
        <v>1509</v>
      </c>
      <c r="J150" t="s">
        <v>45</v>
      </c>
      <c r="K150" t="s">
        <v>45</v>
      </c>
      <c r="L150" t="s">
        <v>46</v>
      </c>
      <c r="M150" t="s">
        <v>47</v>
      </c>
      <c r="N150" t="s">
        <v>221</v>
      </c>
      <c r="O150" t="s">
        <v>51</v>
      </c>
      <c r="P150" t="s">
        <v>95</v>
      </c>
      <c r="Q150" t="s">
        <v>96</v>
      </c>
      <c r="R150" t="s">
        <v>97</v>
      </c>
      <c r="S150" t="s">
        <v>52</v>
      </c>
      <c r="T150" t="s">
        <v>2169</v>
      </c>
      <c r="U150" t="s">
        <v>2170</v>
      </c>
      <c r="V150" s="137">
        <v>2.7400000000000001E-2</v>
      </c>
      <c r="W150" s="137">
        <v>4.3900000000000002E-2</v>
      </c>
      <c r="X150" t="s">
        <v>131</v>
      </c>
      <c r="Y150" t="s">
        <v>51</v>
      </c>
      <c r="Z150" s="133">
        <v>170000</v>
      </c>
      <c r="AA150" s="135">
        <v>1</v>
      </c>
      <c r="AB150" s="139">
        <v>98.89</v>
      </c>
      <c r="AD150" s="133">
        <v>168.113</v>
      </c>
      <c r="AG150" t="s">
        <v>135</v>
      </c>
      <c r="AH150" s="137">
        <v>6.3999999999999997E-5</v>
      </c>
      <c r="AI150" s="137">
        <v>1.2552477939653601E-2</v>
      </c>
      <c r="AJ150" s="137">
        <v>1.92639649039162E-3</v>
      </c>
    </row>
    <row r="151" spans="1:36">
      <c r="A151">
        <v>161</v>
      </c>
      <c r="B151">
        <v>9938</v>
      </c>
      <c r="C151" t="s">
        <v>2161</v>
      </c>
      <c r="D151" t="s">
        <v>2162</v>
      </c>
      <c r="E151" t="s">
        <v>41</v>
      </c>
      <c r="F151" t="s">
        <v>2171</v>
      </c>
      <c r="G151" t="s">
        <v>2172</v>
      </c>
      <c r="H151" t="s">
        <v>44</v>
      </c>
      <c r="I151" t="s">
        <v>1331</v>
      </c>
      <c r="J151" t="s">
        <v>45</v>
      </c>
      <c r="K151" t="s">
        <v>45</v>
      </c>
      <c r="L151" t="s">
        <v>46</v>
      </c>
      <c r="M151" t="s">
        <v>47</v>
      </c>
      <c r="N151" t="s">
        <v>221</v>
      </c>
      <c r="O151" t="s">
        <v>51</v>
      </c>
      <c r="P151" t="s">
        <v>202</v>
      </c>
      <c r="Q151" t="s">
        <v>167</v>
      </c>
      <c r="R151" t="s">
        <v>97</v>
      </c>
      <c r="S151" t="s">
        <v>52</v>
      </c>
      <c r="T151" t="s">
        <v>2173</v>
      </c>
      <c r="U151" t="s">
        <v>2174</v>
      </c>
      <c r="V151" s="137">
        <v>5.0000000000000001E-3</v>
      </c>
      <c r="W151" s="137">
        <v>1.523E-2</v>
      </c>
      <c r="X151" t="s">
        <v>131</v>
      </c>
      <c r="Y151" t="s">
        <v>51</v>
      </c>
      <c r="Z151" s="133">
        <v>45000</v>
      </c>
      <c r="AA151" s="135">
        <v>1</v>
      </c>
      <c r="AB151" s="139">
        <v>116.07</v>
      </c>
      <c r="AD151" s="133">
        <v>52.231000000000002</v>
      </c>
      <c r="AG151" t="s">
        <v>135</v>
      </c>
      <c r="AH151" s="137">
        <v>5.8999999999999998E-5</v>
      </c>
      <c r="AI151" s="137">
        <v>3.89996461609165E-3</v>
      </c>
      <c r="AJ151" s="137">
        <v>5.9851753456240705E-4</v>
      </c>
    </row>
    <row r="152" spans="1:36">
      <c r="A152">
        <v>161</v>
      </c>
      <c r="B152">
        <v>9938</v>
      </c>
      <c r="C152" t="s">
        <v>2161</v>
      </c>
      <c r="D152" t="s">
        <v>2162</v>
      </c>
      <c r="E152" t="s">
        <v>41</v>
      </c>
      <c r="F152" t="s">
        <v>2369</v>
      </c>
      <c r="G152" t="s">
        <v>2370</v>
      </c>
      <c r="H152" t="s">
        <v>44</v>
      </c>
      <c r="I152" t="s">
        <v>1331</v>
      </c>
      <c r="J152" t="s">
        <v>45</v>
      </c>
      <c r="K152" t="s">
        <v>45</v>
      </c>
      <c r="L152" t="s">
        <v>46</v>
      </c>
      <c r="M152" t="s">
        <v>47</v>
      </c>
      <c r="N152" t="s">
        <v>221</v>
      </c>
      <c r="O152" t="s">
        <v>51</v>
      </c>
      <c r="P152" t="s">
        <v>1936</v>
      </c>
      <c r="Q152" t="s">
        <v>96</v>
      </c>
      <c r="R152" t="s">
        <v>97</v>
      </c>
      <c r="S152" t="s">
        <v>52</v>
      </c>
      <c r="T152" t="s">
        <v>2371</v>
      </c>
      <c r="U152" t="s">
        <v>2372</v>
      </c>
      <c r="V152" s="137">
        <v>3.3599999999999998E-2</v>
      </c>
      <c r="W152" s="137">
        <v>2.6069999999999999E-2</v>
      </c>
      <c r="X152" t="s">
        <v>131</v>
      </c>
      <c r="Y152" t="s">
        <v>51</v>
      </c>
      <c r="Z152" s="133">
        <v>168000</v>
      </c>
      <c r="AA152" s="135">
        <v>1</v>
      </c>
      <c r="AB152" s="139">
        <v>110.93</v>
      </c>
      <c r="AD152" s="133">
        <v>186.36199999999999</v>
      </c>
      <c r="AG152" t="s">
        <v>135</v>
      </c>
      <c r="AH152" s="137">
        <v>1.44E-4</v>
      </c>
      <c r="AI152" s="137">
        <v>1.3915104214313599E-2</v>
      </c>
      <c r="AJ152" s="137">
        <v>2.13551523856549E-3</v>
      </c>
    </row>
    <row r="153" spans="1:36">
      <c r="A153">
        <v>161</v>
      </c>
      <c r="B153">
        <v>9938</v>
      </c>
      <c r="C153" t="s">
        <v>2161</v>
      </c>
      <c r="D153" t="s">
        <v>2162</v>
      </c>
      <c r="E153" t="s">
        <v>41</v>
      </c>
      <c r="F153" t="s">
        <v>2179</v>
      </c>
      <c r="G153" t="s">
        <v>2180</v>
      </c>
      <c r="H153" t="s">
        <v>44</v>
      </c>
      <c r="I153" t="s">
        <v>1331</v>
      </c>
      <c r="J153" t="s">
        <v>45</v>
      </c>
      <c r="K153" t="s">
        <v>45</v>
      </c>
      <c r="L153" t="s">
        <v>46</v>
      </c>
      <c r="M153" t="s">
        <v>47</v>
      </c>
      <c r="N153" t="s">
        <v>221</v>
      </c>
      <c r="O153" t="s">
        <v>51</v>
      </c>
      <c r="P153" t="s">
        <v>95</v>
      </c>
      <c r="Q153" t="s">
        <v>96</v>
      </c>
      <c r="R153" t="s">
        <v>97</v>
      </c>
      <c r="S153" t="s">
        <v>52</v>
      </c>
      <c r="T153" t="s">
        <v>2181</v>
      </c>
      <c r="U153" t="s">
        <v>2170</v>
      </c>
      <c r="V153" s="137">
        <v>1E-3</v>
      </c>
      <c r="W153" s="137">
        <v>2.334E-2</v>
      </c>
      <c r="X153" t="s">
        <v>131</v>
      </c>
      <c r="Y153" t="s">
        <v>51</v>
      </c>
      <c r="Z153" s="133">
        <v>321435.45</v>
      </c>
      <c r="AA153" s="135">
        <v>1</v>
      </c>
      <c r="AB153" s="139">
        <v>107.76</v>
      </c>
      <c r="AD153" s="133">
        <v>346.37900000000002</v>
      </c>
      <c r="AG153" t="s">
        <v>135</v>
      </c>
      <c r="AH153" s="137">
        <v>1.73E-4</v>
      </c>
      <c r="AI153" s="137">
        <v>2.5863037120336201E-2</v>
      </c>
      <c r="AJ153" s="137">
        <v>3.9691337582114699E-3</v>
      </c>
    </row>
    <row r="154" spans="1:36">
      <c r="A154">
        <v>161</v>
      </c>
      <c r="B154">
        <v>9938</v>
      </c>
      <c r="C154" t="s">
        <v>2182</v>
      </c>
      <c r="D154" t="s">
        <v>2183</v>
      </c>
      <c r="E154" t="s">
        <v>41</v>
      </c>
      <c r="F154" t="s">
        <v>2184</v>
      </c>
      <c r="G154" t="s">
        <v>2185</v>
      </c>
      <c r="H154" t="s">
        <v>44</v>
      </c>
      <c r="I154" t="s">
        <v>1331</v>
      </c>
      <c r="J154" t="s">
        <v>45</v>
      </c>
      <c r="K154" t="s">
        <v>45</v>
      </c>
      <c r="L154" t="s">
        <v>46</v>
      </c>
      <c r="M154" t="s">
        <v>47</v>
      </c>
      <c r="N154" t="s">
        <v>1035</v>
      </c>
      <c r="O154" t="s">
        <v>51</v>
      </c>
      <c r="P154" t="s">
        <v>166</v>
      </c>
      <c r="Q154" t="s">
        <v>167</v>
      </c>
      <c r="R154" t="s">
        <v>97</v>
      </c>
      <c r="S154" t="s">
        <v>52</v>
      </c>
      <c r="T154" t="s">
        <v>2186</v>
      </c>
      <c r="U154" t="s">
        <v>2187</v>
      </c>
      <c r="V154" s="137">
        <v>0.01</v>
      </c>
      <c r="W154" s="137">
        <v>2.8559999999999999E-2</v>
      </c>
      <c r="X154" t="s">
        <v>131</v>
      </c>
      <c r="Y154" t="s">
        <v>51</v>
      </c>
      <c r="Z154" s="133">
        <v>147400.23000000001</v>
      </c>
      <c r="AA154" s="135">
        <v>1</v>
      </c>
      <c r="AB154" s="139">
        <v>109.85</v>
      </c>
      <c r="AD154" s="133">
        <v>161.91900000000001</v>
      </c>
      <c r="AG154" t="s">
        <v>135</v>
      </c>
      <c r="AH154" s="137">
        <v>8.7000000000000001E-5</v>
      </c>
      <c r="AI154" s="137">
        <v>1.20900025084871E-2</v>
      </c>
      <c r="AJ154" s="137">
        <v>1.8554215759743599E-3</v>
      </c>
    </row>
    <row r="155" spans="1:36">
      <c r="A155">
        <v>161</v>
      </c>
      <c r="B155">
        <v>9938</v>
      </c>
      <c r="C155" t="s">
        <v>2182</v>
      </c>
      <c r="D155" t="s">
        <v>2183</v>
      </c>
      <c r="E155" t="s">
        <v>41</v>
      </c>
      <c r="F155" t="s">
        <v>2188</v>
      </c>
      <c r="G155" t="s">
        <v>2189</v>
      </c>
      <c r="H155" t="s">
        <v>44</v>
      </c>
      <c r="I155" t="s">
        <v>1331</v>
      </c>
      <c r="J155" t="s">
        <v>45</v>
      </c>
      <c r="K155" t="s">
        <v>45</v>
      </c>
      <c r="L155" t="s">
        <v>46</v>
      </c>
      <c r="M155" t="s">
        <v>47</v>
      </c>
      <c r="N155" t="s">
        <v>1035</v>
      </c>
      <c r="O155" t="s">
        <v>51</v>
      </c>
      <c r="P155" t="s">
        <v>166</v>
      </c>
      <c r="Q155" t="s">
        <v>167</v>
      </c>
      <c r="R155" t="s">
        <v>97</v>
      </c>
      <c r="S155" t="s">
        <v>52</v>
      </c>
      <c r="T155" t="s">
        <v>2190</v>
      </c>
      <c r="U155" t="s">
        <v>1866</v>
      </c>
      <c r="V155" s="137">
        <v>3.5400000000000001E-2</v>
      </c>
      <c r="W155" s="137">
        <v>2.3179999999999999E-2</v>
      </c>
      <c r="X155" t="s">
        <v>131</v>
      </c>
      <c r="Y155" t="s">
        <v>51</v>
      </c>
      <c r="Z155" s="133">
        <v>53500</v>
      </c>
      <c r="AA155" s="135">
        <v>1</v>
      </c>
      <c r="AB155" s="139">
        <v>110.42</v>
      </c>
      <c r="AD155" s="133">
        <v>59.075000000000003</v>
      </c>
      <c r="AG155" t="s">
        <v>135</v>
      </c>
      <c r="AH155" s="137">
        <v>9.6000000000000002E-5</v>
      </c>
      <c r="AI155" s="137">
        <v>4.4109252023439797E-3</v>
      </c>
      <c r="AJ155" s="137">
        <v>6.7693334097266601E-4</v>
      </c>
    </row>
    <row r="156" spans="1:36">
      <c r="A156">
        <v>161</v>
      </c>
      <c r="B156">
        <v>9938</v>
      </c>
      <c r="C156" t="s">
        <v>2191</v>
      </c>
      <c r="D156" t="s">
        <v>2192</v>
      </c>
      <c r="E156" t="s">
        <v>41</v>
      </c>
      <c r="F156" t="s">
        <v>2193</v>
      </c>
      <c r="G156" t="s">
        <v>2194</v>
      </c>
      <c r="H156" t="s">
        <v>44</v>
      </c>
      <c r="I156" t="s">
        <v>1331</v>
      </c>
      <c r="J156" t="s">
        <v>45</v>
      </c>
      <c r="K156" t="s">
        <v>45</v>
      </c>
      <c r="L156" t="s">
        <v>46</v>
      </c>
      <c r="M156" t="s">
        <v>47</v>
      </c>
      <c r="N156" t="s">
        <v>58</v>
      </c>
      <c r="O156" t="s">
        <v>51</v>
      </c>
      <c r="P156" t="s">
        <v>1919</v>
      </c>
      <c r="Q156" t="s">
        <v>96</v>
      </c>
      <c r="R156" t="s">
        <v>97</v>
      </c>
      <c r="S156" t="s">
        <v>52</v>
      </c>
      <c r="T156" t="s">
        <v>2195</v>
      </c>
      <c r="U156" t="s">
        <v>2196</v>
      </c>
      <c r="V156" s="137">
        <v>1.43E-2</v>
      </c>
      <c r="W156" s="137">
        <v>2.5870000000000001E-2</v>
      </c>
      <c r="X156" t="s">
        <v>131</v>
      </c>
      <c r="Y156" t="s">
        <v>51</v>
      </c>
      <c r="Z156" s="133">
        <v>200967.74</v>
      </c>
      <c r="AA156" s="135">
        <v>1</v>
      </c>
      <c r="AB156" s="139">
        <v>114.25</v>
      </c>
      <c r="AD156" s="133">
        <v>229.60599999999999</v>
      </c>
      <c r="AG156" t="s">
        <v>135</v>
      </c>
      <c r="AH156" s="137">
        <v>1.05E-4</v>
      </c>
      <c r="AI156" s="137">
        <v>1.7143943466298599E-2</v>
      </c>
      <c r="AJ156" s="137">
        <v>2.6310368903832001E-3</v>
      </c>
    </row>
    <row r="157" spans="1:36">
      <c r="A157">
        <v>161</v>
      </c>
      <c r="B157">
        <v>9938</v>
      </c>
      <c r="C157" t="s">
        <v>2191</v>
      </c>
      <c r="D157" t="s">
        <v>2192</v>
      </c>
      <c r="E157" t="s">
        <v>41</v>
      </c>
      <c r="F157" t="s">
        <v>2197</v>
      </c>
      <c r="G157" t="s">
        <v>2198</v>
      </c>
      <c r="H157" t="s">
        <v>44</v>
      </c>
      <c r="I157" t="s">
        <v>1331</v>
      </c>
      <c r="J157" t="s">
        <v>45</v>
      </c>
      <c r="K157" t="s">
        <v>45</v>
      </c>
      <c r="L157" t="s">
        <v>46</v>
      </c>
      <c r="M157" t="s">
        <v>47</v>
      </c>
      <c r="N157" t="s">
        <v>58</v>
      </c>
      <c r="O157" t="s">
        <v>51</v>
      </c>
      <c r="P157" t="s">
        <v>1919</v>
      </c>
      <c r="Q157" t="s">
        <v>96</v>
      </c>
      <c r="R157" t="s">
        <v>97</v>
      </c>
      <c r="S157" t="s">
        <v>52</v>
      </c>
      <c r="T157" t="s">
        <v>2199</v>
      </c>
      <c r="U157" t="s">
        <v>2200</v>
      </c>
      <c r="V157" s="137">
        <v>3.61E-2</v>
      </c>
      <c r="W157" s="137">
        <v>2.8160000000000001E-2</v>
      </c>
      <c r="X157" t="s">
        <v>131</v>
      </c>
      <c r="Y157" t="s">
        <v>51</v>
      </c>
      <c r="Z157" s="133">
        <v>137128.21</v>
      </c>
      <c r="AA157" s="135">
        <v>1</v>
      </c>
      <c r="AB157" s="139">
        <v>113.57</v>
      </c>
      <c r="AD157" s="133">
        <v>155.73699999999999</v>
      </c>
      <c r="AG157" t="s">
        <v>135</v>
      </c>
      <c r="AH157" s="137">
        <v>5.5999999999999999E-5</v>
      </c>
      <c r="AI157" s="137">
        <v>1.16283635547892E-2</v>
      </c>
      <c r="AJ157" s="137">
        <v>1.7845750336018399E-3</v>
      </c>
    </row>
    <row r="158" spans="1:36">
      <c r="A158">
        <v>161</v>
      </c>
      <c r="B158">
        <v>9938</v>
      </c>
      <c r="C158" t="s">
        <v>2191</v>
      </c>
      <c r="D158" t="s">
        <v>2192</v>
      </c>
      <c r="E158" t="s">
        <v>41</v>
      </c>
      <c r="F158" t="s">
        <v>2201</v>
      </c>
      <c r="G158" t="s">
        <v>2202</v>
      </c>
      <c r="H158" t="s">
        <v>44</v>
      </c>
      <c r="I158" t="s">
        <v>1331</v>
      </c>
      <c r="J158" t="s">
        <v>45</v>
      </c>
      <c r="K158" t="s">
        <v>45</v>
      </c>
      <c r="L158" t="s">
        <v>46</v>
      </c>
      <c r="M158" t="s">
        <v>47</v>
      </c>
      <c r="N158" t="s">
        <v>58</v>
      </c>
      <c r="O158" t="s">
        <v>51</v>
      </c>
      <c r="P158" t="s">
        <v>1919</v>
      </c>
      <c r="Q158" t="s">
        <v>96</v>
      </c>
      <c r="R158" t="s">
        <v>97</v>
      </c>
      <c r="S158" t="s">
        <v>52</v>
      </c>
      <c r="T158" t="s">
        <v>2203</v>
      </c>
      <c r="U158" t="s">
        <v>2204</v>
      </c>
      <c r="V158" s="137">
        <v>2.1499999999999998E-2</v>
      </c>
      <c r="W158" s="137">
        <v>1E-4</v>
      </c>
      <c r="X158" t="s">
        <v>131</v>
      </c>
      <c r="Y158" t="s">
        <v>51</v>
      </c>
      <c r="Z158" s="133">
        <v>0.73</v>
      </c>
      <c r="AA158" s="135">
        <v>1</v>
      </c>
      <c r="AB158" s="139">
        <v>121.27</v>
      </c>
      <c r="AD158" s="133">
        <v>1E-3</v>
      </c>
      <c r="AG158" t="s">
        <v>135</v>
      </c>
      <c r="AH158" s="137">
        <v>0</v>
      </c>
      <c r="AI158" s="137">
        <v>6.6100448496636606E-8</v>
      </c>
      <c r="AJ158" s="137">
        <v>1.0144265746524501E-8</v>
      </c>
    </row>
    <row r="159" spans="1:36">
      <c r="A159">
        <v>161</v>
      </c>
      <c r="B159">
        <v>9938</v>
      </c>
      <c r="C159" t="s">
        <v>2191</v>
      </c>
      <c r="D159" t="s">
        <v>2192</v>
      </c>
      <c r="E159" t="s">
        <v>41</v>
      </c>
      <c r="F159" t="s">
        <v>2209</v>
      </c>
      <c r="G159" t="s">
        <v>2210</v>
      </c>
      <c r="H159" t="s">
        <v>44</v>
      </c>
      <c r="I159" t="s">
        <v>1331</v>
      </c>
      <c r="J159" t="s">
        <v>45</v>
      </c>
      <c r="K159" t="s">
        <v>45</v>
      </c>
      <c r="L159" t="s">
        <v>46</v>
      </c>
      <c r="M159" t="s">
        <v>47</v>
      </c>
      <c r="N159" t="s">
        <v>58</v>
      </c>
      <c r="O159" t="s">
        <v>51</v>
      </c>
      <c r="P159" t="s">
        <v>1919</v>
      </c>
      <c r="Q159" t="s">
        <v>96</v>
      </c>
      <c r="R159" t="s">
        <v>97</v>
      </c>
      <c r="S159" t="s">
        <v>52</v>
      </c>
      <c r="T159" t="s">
        <v>2211</v>
      </c>
      <c r="U159" t="s">
        <v>2178</v>
      </c>
      <c r="V159" s="137">
        <v>2.5000000000000001E-3</v>
      </c>
      <c r="W159" s="137">
        <v>2.6980000000000001E-2</v>
      </c>
      <c r="X159" t="s">
        <v>131</v>
      </c>
      <c r="Y159" t="s">
        <v>51</v>
      </c>
      <c r="Z159" s="133">
        <v>168400</v>
      </c>
      <c r="AA159" s="135">
        <v>1</v>
      </c>
      <c r="AB159" s="139">
        <v>105.05</v>
      </c>
      <c r="AD159" s="133">
        <v>176.904</v>
      </c>
      <c r="AG159" t="s">
        <v>135</v>
      </c>
      <c r="AH159" s="137">
        <v>1.27E-4</v>
      </c>
      <c r="AI159" s="137">
        <v>1.3208889663096E-2</v>
      </c>
      <c r="AJ159" s="137">
        <v>2.0271343085635101E-3</v>
      </c>
    </row>
    <row r="160" spans="1:36">
      <c r="A160">
        <v>161</v>
      </c>
      <c r="B160">
        <v>9938</v>
      </c>
      <c r="C160" t="s">
        <v>2191</v>
      </c>
      <c r="D160" t="s">
        <v>2192</v>
      </c>
      <c r="E160" t="s">
        <v>41</v>
      </c>
      <c r="F160" t="s">
        <v>2212</v>
      </c>
      <c r="G160" t="s">
        <v>2213</v>
      </c>
      <c r="H160" t="s">
        <v>44</v>
      </c>
      <c r="I160" t="s">
        <v>1331</v>
      </c>
      <c r="J160" t="s">
        <v>45</v>
      </c>
      <c r="K160" t="s">
        <v>45</v>
      </c>
      <c r="L160" t="s">
        <v>46</v>
      </c>
      <c r="M160" t="s">
        <v>47</v>
      </c>
      <c r="N160" t="s">
        <v>58</v>
      </c>
      <c r="O160" t="s">
        <v>51</v>
      </c>
      <c r="P160" t="s">
        <v>1919</v>
      </c>
      <c r="Q160" t="s">
        <v>96</v>
      </c>
      <c r="R160" t="s">
        <v>97</v>
      </c>
      <c r="S160" t="s">
        <v>52</v>
      </c>
      <c r="T160" t="s">
        <v>2214</v>
      </c>
      <c r="U160" t="s">
        <v>2215</v>
      </c>
      <c r="V160" s="137">
        <v>2.9499999999999998E-2</v>
      </c>
      <c r="W160" s="137">
        <v>2.5760000000000002E-2</v>
      </c>
      <c r="X160" t="s">
        <v>131</v>
      </c>
      <c r="Y160" t="s">
        <v>51</v>
      </c>
      <c r="Z160" s="133">
        <v>130000</v>
      </c>
      <c r="AA160" s="135">
        <v>1</v>
      </c>
      <c r="AB160" s="139">
        <v>103.14</v>
      </c>
      <c r="AD160" s="133">
        <v>134.08199999999999</v>
      </c>
      <c r="AG160" t="s">
        <v>135</v>
      </c>
      <c r="AH160" s="137">
        <v>2.9300000000000002E-4</v>
      </c>
      <c r="AI160" s="137">
        <v>1.00114883864105E-2</v>
      </c>
      <c r="AJ160" s="137">
        <v>1.5364373619213801E-3</v>
      </c>
    </row>
    <row r="161" spans="1:36">
      <c r="A161">
        <v>161</v>
      </c>
      <c r="B161">
        <v>9938</v>
      </c>
      <c r="C161" t="s">
        <v>2216</v>
      </c>
      <c r="D161" t="s">
        <v>2217</v>
      </c>
      <c r="E161" t="s">
        <v>41</v>
      </c>
      <c r="F161" t="s">
        <v>2218</v>
      </c>
      <c r="G161" t="s">
        <v>2219</v>
      </c>
      <c r="H161" t="s">
        <v>44</v>
      </c>
      <c r="I161" t="s">
        <v>1509</v>
      </c>
      <c r="J161" t="s">
        <v>45</v>
      </c>
      <c r="K161" t="s">
        <v>45</v>
      </c>
      <c r="L161" t="s">
        <v>46</v>
      </c>
      <c r="M161" t="s">
        <v>47</v>
      </c>
      <c r="N161" t="s">
        <v>1037</v>
      </c>
      <c r="O161" t="s">
        <v>51</v>
      </c>
      <c r="P161" t="s">
        <v>1977</v>
      </c>
      <c r="Q161" t="s">
        <v>167</v>
      </c>
      <c r="R161" t="s">
        <v>97</v>
      </c>
      <c r="S161" t="s">
        <v>52</v>
      </c>
      <c r="T161" t="s">
        <v>2220</v>
      </c>
      <c r="U161" t="s">
        <v>2221</v>
      </c>
      <c r="V161" s="137">
        <v>2.98E-2</v>
      </c>
      <c r="W161" s="137">
        <v>4.5220000000000003E-2</v>
      </c>
      <c r="X161" t="s">
        <v>131</v>
      </c>
      <c r="Y161" t="s">
        <v>51</v>
      </c>
      <c r="Z161" s="133">
        <v>150000</v>
      </c>
      <c r="AA161" s="135">
        <v>1</v>
      </c>
      <c r="AB161" s="139">
        <v>94.43</v>
      </c>
      <c r="AD161" s="133">
        <v>141.64500000000001</v>
      </c>
      <c r="AG161" t="s">
        <v>135</v>
      </c>
      <c r="AH161" s="137">
        <v>3.8200000000000002E-4</v>
      </c>
      <c r="AI161" s="137">
        <v>1.05761942131913E-2</v>
      </c>
      <c r="AJ161" s="137">
        <v>1.6231013121027001E-3</v>
      </c>
    </row>
    <row r="162" spans="1:36">
      <c r="A162">
        <v>161</v>
      </c>
      <c r="B162">
        <v>9938</v>
      </c>
      <c r="C162" t="s">
        <v>2216</v>
      </c>
      <c r="D162" t="s">
        <v>2217</v>
      </c>
      <c r="E162" t="s">
        <v>41</v>
      </c>
      <c r="F162" t="s">
        <v>2222</v>
      </c>
      <c r="G162" t="s">
        <v>2223</v>
      </c>
      <c r="H162" t="s">
        <v>44</v>
      </c>
      <c r="I162" t="s">
        <v>1509</v>
      </c>
      <c r="J162" t="s">
        <v>45</v>
      </c>
      <c r="K162" t="s">
        <v>45</v>
      </c>
      <c r="L162" t="s">
        <v>46</v>
      </c>
      <c r="M162" t="s">
        <v>47</v>
      </c>
      <c r="N162" t="s">
        <v>1037</v>
      </c>
      <c r="O162" t="s">
        <v>51</v>
      </c>
      <c r="P162" t="s">
        <v>166</v>
      </c>
      <c r="Q162" t="s">
        <v>167</v>
      </c>
      <c r="R162" t="s">
        <v>97</v>
      </c>
      <c r="S162" t="s">
        <v>52</v>
      </c>
      <c r="T162" t="s">
        <v>2224</v>
      </c>
      <c r="U162" t="s">
        <v>2225</v>
      </c>
      <c r="V162" s="137">
        <v>5.1799999999999999E-2</v>
      </c>
      <c r="W162" s="137">
        <v>4.836E-2</v>
      </c>
      <c r="X162" t="s">
        <v>131</v>
      </c>
      <c r="Y162" t="s">
        <v>51</v>
      </c>
      <c r="Z162" s="133">
        <v>120000</v>
      </c>
      <c r="AA162" s="135">
        <v>1</v>
      </c>
      <c r="AB162" s="139">
        <v>105.88</v>
      </c>
      <c r="AD162" s="133">
        <v>127.056</v>
      </c>
      <c r="AG162" t="s">
        <v>135</v>
      </c>
      <c r="AH162" s="137">
        <v>1.4999999999999999E-4</v>
      </c>
      <c r="AI162" s="137">
        <v>9.4868786893376796E-3</v>
      </c>
      <c r="AJ162" s="137">
        <v>1.4559268615942701E-3</v>
      </c>
    </row>
    <row r="163" spans="1:36">
      <c r="A163">
        <v>161</v>
      </c>
      <c r="B163">
        <v>9938</v>
      </c>
      <c r="C163" t="s">
        <v>2226</v>
      </c>
      <c r="D163" t="s">
        <v>2227</v>
      </c>
      <c r="E163" t="s">
        <v>41</v>
      </c>
      <c r="F163" t="s">
        <v>2228</v>
      </c>
      <c r="G163" t="s">
        <v>2229</v>
      </c>
      <c r="H163" t="s">
        <v>44</v>
      </c>
      <c r="I163" t="s">
        <v>1331</v>
      </c>
      <c r="J163" t="s">
        <v>45</v>
      </c>
      <c r="K163" t="s">
        <v>45</v>
      </c>
      <c r="L163" t="s">
        <v>46</v>
      </c>
      <c r="M163" t="s">
        <v>47</v>
      </c>
      <c r="N163" t="s">
        <v>58</v>
      </c>
      <c r="O163" t="s">
        <v>51</v>
      </c>
      <c r="P163" t="s">
        <v>227</v>
      </c>
      <c r="Q163" t="s">
        <v>96</v>
      </c>
      <c r="R163" t="s">
        <v>97</v>
      </c>
      <c r="S163" t="s">
        <v>52</v>
      </c>
      <c r="T163" t="s">
        <v>2230</v>
      </c>
      <c r="U163" t="s">
        <v>2231</v>
      </c>
      <c r="V163" s="137">
        <v>1.34E-2</v>
      </c>
      <c r="W163" s="137">
        <v>2.4719999999999999E-2</v>
      </c>
      <c r="X163" t="s">
        <v>131</v>
      </c>
      <c r="Y163" t="s">
        <v>51</v>
      </c>
      <c r="Z163" s="133">
        <v>133149.97</v>
      </c>
      <c r="AA163" s="135">
        <v>1</v>
      </c>
      <c r="AB163" s="139">
        <v>116.87</v>
      </c>
      <c r="AD163" s="133">
        <v>155.61199999999999</v>
      </c>
      <c r="AG163" t="s">
        <v>135</v>
      </c>
      <c r="AH163" s="137">
        <v>6.7000000000000002E-5</v>
      </c>
      <c r="AI163" s="137">
        <v>1.1619094542340599E-2</v>
      </c>
      <c r="AJ163" s="137">
        <v>1.78315254211163E-3</v>
      </c>
    </row>
    <row r="164" spans="1:36">
      <c r="A164">
        <v>161</v>
      </c>
      <c r="B164">
        <v>9938</v>
      </c>
      <c r="C164" t="s">
        <v>2226</v>
      </c>
      <c r="D164" t="s">
        <v>2227</v>
      </c>
      <c r="E164" t="s">
        <v>41</v>
      </c>
      <c r="F164" t="s">
        <v>2232</v>
      </c>
      <c r="G164" t="s">
        <v>2233</v>
      </c>
      <c r="H164" t="s">
        <v>44</v>
      </c>
      <c r="I164" t="s">
        <v>1331</v>
      </c>
      <c r="J164" t="s">
        <v>45</v>
      </c>
      <c r="K164" t="s">
        <v>45</v>
      </c>
      <c r="L164" t="s">
        <v>46</v>
      </c>
      <c r="M164" t="s">
        <v>47</v>
      </c>
      <c r="N164" t="s">
        <v>58</v>
      </c>
      <c r="O164" t="s">
        <v>51</v>
      </c>
      <c r="P164" t="s">
        <v>227</v>
      </c>
      <c r="Q164" t="s">
        <v>96</v>
      </c>
      <c r="R164" t="s">
        <v>97</v>
      </c>
      <c r="S164" t="s">
        <v>52</v>
      </c>
      <c r="T164" t="s">
        <v>2234</v>
      </c>
      <c r="U164" t="s">
        <v>2235</v>
      </c>
      <c r="V164" s="137">
        <v>8.9999999999999993E-3</v>
      </c>
      <c r="W164" s="137">
        <v>2.6929999999999999E-2</v>
      </c>
      <c r="X164" t="s">
        <v>131</v>
      </c>
      <c r="Y164" t="s">
        <v>51</v>
      </c>
      <c r="Z164" s="133">
        <v>406640</v>
      </c>
      <c r="AA164" s="135">
        <v>1</v>
      </c>
      <c r="AB164" s="139">
        <v>105.15</v>
      </c>
      <c r="AD164" s="133">
        <v>427.58199999999999</v>
      </c>
      <c r="AG164" t="s">
        <v>135</v>
      </c>
      <c r="AH164" s="137">
        <v>1.5100000000000001E-4</v>
      </c>
      <c r="AI164" s="137">
        <v>3.1926222958925499E-2</v>
      </c>
      <c r="AJ164" s="137">
        <v>4.8996352875671197E-3</v>
      </c>
    </row>
    <row r="165" spans="1:36">
      <c r="A165">
        <v>161</v>
      </c>
      <c r="B165">
        <v>9938</v>
      </c>
      <c r="C165" t="s">
        <v>2236</v>
      </c>
      <c r="D165" t="s">
        <v>2237</v>
      </c>
      <c r="E165" t="s">
        <v>41</v>
      </c>
      <c r="F165" t="s">
        <v>2242</v>
      </c>
      <c r="G165" t="s">
        <v>2243</v>
      </c>
      <c r="H165" t="s">
        <v>44</v>
      </c>
      <c r="I165" t="s">
        <v>1331</v>
      </c>
      <c r="J165" t="s">
        <v>45</v>
      </c>
      <c r="K165" t="s">
        <v>45</v>
      </c>
      <c r="L165" t="s">
        <v>46</v>
      </c>
      <c r="M165" t="s">
        <v>47</v>
      </c>
      <c r="N165" t="s">
        <v>221</v>
      </c>
      <c r="O165" t="s">
        <v>51</v>
      </c>
      <c r="P165" t="s">
        <v>95</v>
      </c>
      <c r="Q165" t="s">
        <v>96</v>
      </c>
      <c r="R165" t="s">
        <v>97</v>
      </c>
      <c r="S165" t="s">
        <v>52</v>
      </c>
      <c r="T165" t="s">
        <v>2244</v>
      </c>
      <c r="U165" t="s">
        <v>2241</v>
      </c>
      <c r="V165" s="137">
        <v>1E-3</v>
      </c>
      <c r="W165" s="137">
        <v>2.3619999999999999E-2</v>
      </c>
      <c r="X165" t="s">
        <v>131</v>
      </c>
      <c r="Y165" t="s">
        <v>51</v>
      </c>
      <c r="Z165" s="133">
        <v>237361.21</v>
      </c>
      <c r="AA165" s="135">
        <v>1</v>
      </c>
      <c r="AB165" s="139">
        <v>107.18</v>
      </c>
      <c r="AD165" s="133">
        <v>254.404</v>
      </c>
      <c r="AG165" t="s">
        <v>135</v>
      </c>
      <c r="AH165" s="137">
        <v>2.81E-4</v>
      </c>
      <c r="AI165" s="137">
        <v>1.8995541066701298E-2</v>
      </c>
      <c r="AJ165" s="137">
        <v>2.9151968097378802E-3</v>
      </c>
    </row>
    <row r="166" spans="1:36">
      <c r="A166">
        <v>161</v>
      </c>
      <c r="B166">
        <v>9938</v>
      </c>
      <c r="C166" t="s">
        <v>2236</v>
      </c>
      <c r="D166" t="s">
        <v>2237</v>
      </c>
      <c r="E166" t="s">
        <v>41</v>
      </c>
      <c r="F166" t="s">
        <v>2245</v>
      </c>
      <c r="G166" t="s">
        <v>2246</v>
      </c>
      <c r="H166" t="s">
        <v>44</v>
      </c>
      <c r="I166" t="s">
        <v>1331</v>
      </c>
      <c r="J166" t="s">
        <v>45</v>
      </c>
      <c r="K166" t="s">
        <v>45</v>
      </c>
      <c r="L166" t="s">
        <v>46</v>
      </c>
      <c r="M166" t="s">
        <v>47</v>
      </c>
      <c r="N166" t="s">
        <v>221</v>
      </c>
      <c r="O166" t="s">
        <v>51</v>
      </c>
      <c r="P166" t="s">
        <v>95</v>
      </c>
      <c r="Q166" t="s">
        <v>96</v>
      </c>
      <c r="R166" t="s">
        <v>97</v>
      </c>
      <c r="S166" t="s">
        <v>52</v>
      </c>
      <c r="T166" t="s">
        <v>2247</v>
      </c>
      <c r="U166" t="s">
        <v>2248</v>
      </c>
      <c r="V166" s="137">
        <v>1.3899999999999999E-2</v>
      </c>
      <c r="W166" s="137">
        <v>2.4320000000000001E-2</v>
      </c>
      <c r="X166" t="s">
        <v>131</v>
      </c>
      <c r="Y166" t="s">
        <v>51</v>
      </c>
      <c r="Z166" s="133">
        <v>270744.45</v>
      </c>
      <c r="AA166" s="135">
        <v>1</v>
      </c>
      <c r="AB166" s="139">
        <v>106.02</v>
      </c>
      <c r="AD166" s="133">
        <v>287.04300000000001</v>
      </c>
      <c r="AG166" t="s">
        <v>135</v>
      </c>
      <c r="AH166" s="137">
        <v>8.7000000000000001E-5</v>
      </c>
      <c r="AI166" s="137">
        <v>2.1432633186073299E-2</v>
      </c>
      <c r="AJ166" s="137">
        <v>3.2892110663722898E-3</v>
      </c>
    </row>
    <row r="167" spans="1:36">
      <c r="A167">
        <v>161</v>
      </c>
      <c r="B167">
        <v>9938</v>
      </c>
      <c r="C167" t="s">
        <v>2236</v>
      </c>
      <c r="D167" t="s">
        <v>2237</v>
      </c>
      <c r="E167" t="s">
        <v>41</v>
      </c>
      <c r="F167" t="s">
        <v>2249</v>
      </c>
      <c r="G167" t="s">
        <v>2250</v>
      </c>
      <c r="H167" t="s">
        <v>44</v>
      </c>
      <c r="I167" t="s">
        <v>1331</v>
      </c>
      <c r="J167" t="s">
        <v>45</v>
      </c>
      <c r="K167" t="s">
        <v>45</v>
      </c>
      <c r="L167" t="s">
        <v>46</v>
      </c>
      <c r="M167" t="s">
        <v>47</v>
      </c>
      <c r="N167" t="s">
        <v>221</v>
      </c>
      <c r="O167" t="s">
        <v>51</v>
      </c>
      <c r="P167" t="s">
        <v>95</v>
      </c>
      <c r="Q167" t="s">
        <v>96</v>
      </c>
      <c r="R167" t="s">
        <v>97</v>
      </c>
      <c r="S167" t="s">
        <v>52</v>
      </c>
      <c r="T167" t="s">
        <v>2251</v>
      </c>
      <c r="U167" t="s">
        <v>2252</v>
      </c>
      <c r="V167" s="137">
        <v>6.0000000000000001E-3</v>
      </c>
      <c r="W167" s="137">
        <v>1.687E-2</v>
      </c>
      <c r="X167" t="s">
        <v>131</v>
      </c>
      <c r="Y167" t="s">
        <v>51</v>
      </c>
      <c r="Z167" s="133">
        <v>16666.66</v>
      </c>
      <c r="AA167" s="135">
        <v>1</v>
      </c>
      <c r="AB167" s="139">
        <v>118.2</v>
      </c>
      <c r="AD167" s="133">
        <v>19.7</v>
      </c>
      <c r="AG167" t="s">
        <v>135</v>
      </c>
      <c r="AH167" s="137">
        <v>2.5000000000000001E-5</v>
      </c>
      <c r="AI167" s="137">
        <v>1.4709375033319799E-3</v>
      </c>
      <c r="AJ167" s="137">
        <v>2.25740993740583E-4</v>
      </c>
    </row>
    <row r="168" spans="1:36">
      <c r="A168">
        <v>161</v>
      </c>
      <c r="B168">
        <v>9938</v>
      </c>
      <c r="C168" t="s">
        <v>2236</v>
      </c>
      <c r="D168" t="s">
        <v>2237</v>
      </c>
      <c r="E168" t="s">
        <v>41</v>
      </c>
      <c r="F168" t="s">
        <v>2253</v>
      </c>
      <c r="G168" t="s">
        <v>2254</v>
      </c>
      <c r="H168" t="s">
        <v>44</v>
      </c>
      <c r="I168" t="s">
        <v>1331</v>
      </c>
      <c r="J168" t="s">
        <v>45</v>
      </c>
      <c r="K168" t="s">
        <v>45</v>
      </c>
      <c r="L168" t="s">
        <v>46</v>
      </c>
      <c r="M168" t="s">
        <v>47</v>
      </c>
      <c r="N168" t="s">
        <v>221</v>
      </c>
      <c r="O168" t="s">
        <v>51</v>
      </c>
      <c r="P168" t="s">
        <v>95</v>
      </c>
      <c r="Q168" t="s">
        <v>96</v>
      </c>
      <c r="R168" t="s">
        <v>97</v>
      </c>
      <c r="S168" t="s">
        <v>52</v>
      </c>
      <c r="T168" t="s">
        <v>2255</v>
      </c>
      <c r="U168" t="s">
        <v>2256</v>
      </c>
      <c r="V168" s="137">
        <v>1.7500000000000002E-2</v>
      </c>
      <c r="W168" s="137">
        <v>2.359E-2</v>
      </c>
      <c r="X168" t="s">
        <v>131</v>
      </c>
      <c r="Y168" t="s">
        <v>51</v>
      </c>
      <c r="Z168" s="133">
        <v>211616.54</v>
      </c>
      <c r="AA168" s="135">
        <v>1</v>
      </c>
      <c r="AB168" s="139">
        <v>116.01</v>
      </c>
      <c r="AD168" s="133">
        <v>245.49600000000001</v>
      </c>
      <c r="AG168" t="s">
        <v>135</v>
      </c>
      <c r="AH168" s="137">
        <v>1.1400000000000001E-4</v>
      </c>
      <c r="AI168" s="137">
        <v>1.8330453285667101E-2</v>
      </c>
      <c r="AJ168" s="137">
        <v>2.8131274993319099E-3</v>
      </c>
    </row>
    <row r="169" spans="1:36">
      <c r="A169">
        <v>161</v>
      </c>
      <c r="B169">
        <v>9938</v>
      </c>
      <c r="C169" t="s">
        <v>2236</v>
      </c>
      <c r="D169" t="s">
        <v>2237</v>
      </c>
      <c r="E169" t="s">
        <v>41</v>
      </c>
      <c r="F169" t="s">
        <v>2257</v>
      </c>
      <c r="G169" t="s">
        <v>2258</v>
      </c>
      <c r="H169" t="s">
        <v>44</v>
      </c>
      <c r="I169" t="s">
        <v>1331</v>
      </c>
      <c r="J169" t="s">
        <v>45</v>
      </c>
      <c r="K169" t="s">
        <v>45</v>
      </c>
      <c r="L169" t="s">
        <v>46</v>
      </c>
      <c r="M169" t="s">
        <v>47</v>
      </c>
      <c r="N169" t="s">
        <v>221</v>
      </c>
      <c r="O169" t="s">
        <v>51</v>
      </c>
      <c r="P169" t="s">
        <v>95</v>
      </c>
      <c r="Q169" t="s">
        <v>96</v>
      </c>
      <c r="R169" t="s">
        <v>97</v>
      </c>
      <c r="S169" t="s">
        <v>52</v>
      </c>
      <c r="T169" t="s">
        <v>2259</v>
      </c>
      <c r="U169" t="s">
        <v>2260</v>
      </c>
      <c r="V169" s="137">
        <v>2.6100000000000002E-2</v>
      </c>
      <c r="W169" s="137">
        <v>2.5270000000000001E-2</v>
      </c>
      <c r="X169" t="s">
        <v>131</v>
      </c>
      <c r="Y169" t="s">
        <v>51</v>
      </c>
      <c r="Z169" s="133">
        <v>250000</v>
      </c>
      <c r="AA169" s="135">
        <v>1</v>
      </c>
      <c r="AB169" s="139">
        <v>101.96</v>
      </c>
      <c r="AD169" s="133">
        <v>254.9</v>
      </c>
      <c r="AG169" t="s">
        <v>135</v>
      </c>
      <c r="AH169" s="137">
        <v>7.2999999999999999E-5</v>
      </c>
      <c r="AI169" s="137">
        <v>1.9032594902343599E-2</v>
      </c>
      <c r="AJ169" s="137">
        <v>2.9208833665500199E-3</v>
      </c>
    </row>
    <row r="170" spans="1:36">
      <c r="A170">
        <v>161</v>
      </c>
      <c r="B170">
        <v>9938</v>
      </c>
      <c r="C170" t="s">
        <v>2236</v>
      </c>
      <c r="D170" t="s">
        <v>2237</v>
      </c>
      <c r="E170" t="s">
        <v>41</v>
      </c>
      <c r="F170" t="s">
        <v>2261</v>
      </c>
      <c r="G170" t="s">
        <v>2262</v>
      </c>
      <c r="H170" t="s">
        <v>44</v>
      </c>
      <c r="I170" t="s">
        <v>1331</v>
      </c>
      <c r="J170" t="s">
        <v>45</v>
      </c>
      <c r="K170" t="s">
        <v>45</v>
      </c>
      <c r="L170" t="s">
        <v>46</v>
      </c>
      <c r="M170" t="s">
        <v>47</v>
      </c>
      <c r="N170" t="s">
        <v>221</v>
      </c>
      <c r="O170" t="s">
        <v>51</v>
      </c>
      <c r="P170" t="s">
        <v>1936</v>
      </c>
      <c r="Q170" t="s">
        <v>96</v>
      </c>
      <c r="R170" t="s">
        <v>97</v>
      </c>
      <c r="S170" t="s">
        <v>52</v>
      </c>
      <c r="T170" t="s">
        <v>2263</v>
      </c>
      <c r="U170" t="s">
        <v>2264</v>
      </c>
      <c r="V170" s="137">
        <v>3.4500000000000003E-2</v>
      </c>
      <c r="W170" s="137">
        <v>2.7990000000000001E-2</v>
      </c>
      <c r="X170" t="s">
        <v>131</v>
      </c>
      <c r="Y170" t="s">
        <v>51</v>
      </c>
      <c r="Z170" s="133">
        <v>140000</v>
      </c>
      <c r="AA170" s="135">
        <v>1</v>
      </c>
      <c r="AB170" s="139">
        <v>107.05</v>
      </c>
      <c r="AD170" s="133">
        <v>149.87</v>
      </c>
      <c r="AG170" t="s">
        <v>135</v>
      </c>
      <c r="AH170" s="137">
        <v>9.5000000000000005E-5</v>
      </c>
      <c r="AI170" s="137">
        <v>1.11903295332061E-2</v>
      </c>
      <c r="AJ170" s="137">
        <v>1.7173510794227199E-3</v>
      </c>
    </row>
    <row r="171" spans="1:36">
      <c r="A171">
        <v>161</v>
      </c>
      <c r="B171">
        <v>9938</v>
      </c>
      <c r="C171" t="s">
        <v>2236</v>
      </c>
      <c r="D171" t="s">
        <v>2237</v>
      </c>
      <c r="E171" t="s">
        <v>41</v>
      </c>
      <c r="F171" t="s">
        <v>2373</v>
      </c>
      <c r="G171" t="s">
        <v>2374</v>
      </c>
      <c r="H171" t="s">
        <v>44</v>
      </c>
      <c r="I171" t="s">
        <v>1331</v>
      </c>
      <c r="J171" t="s">
        <v>45</v>
      </c>
      <c r="K171" t="s">
        <v>45</v>
      </c>
      <c r="L171" t="s">
        <v>46</v>
      </c>
      <c r="M171" t="s">
        <v>47</v>
      </c>
      <c r="N171" t="s">
        <v>221</v>
      </c>
      <c r="O171" t="s">
        <v>51</v>
      </c>
      <c r="P171" t="s">
        <v>1936</v>
      </c>
      <c r="Q171" t="s">
        <v>96</v>
      </c>
      <c r="R171" t="s">
        <v>97</v>
      </c>
      <c r="S171" t="s">
        <v>52</v>
      </c>
      <c r="T171" t="s">
        <v>2375</v>
      </c>
      <c r="U171" t="s">
        <v>2376</v>
      </c>
      <c r="V171" s="137">
        <v>2.9700000000000001E-2</v>
      </c>
      <c r="W171" s="137">
        <v>5.4299999999999999E-3</v>
      </c>
      <c r="X171" t="s">
        <v>131</v>
      </c>
      <c r="Y171" t="s">
        <v>51</v>
      </c>
      <c r="Z171" s="133">
        <v>50000</v>
      </c>
      <c r="AA171" s="135">
        <v>1</v>
      </c>
      <c r="AB171" s="139">
        <v>121.09</v>
      </c>
      <c r="AD171" s="133">
        <v>60.545000000000002</v>
      </c>
      <c r="AG171" t="s">
        <v>135</v>
      </c>
      <c r="AH171" s="137">
        <v>7.1000000000000005E-5</v>
      </c>
      <c r="AI171" s="137">
        <v>4.5207079574829199E-3</v>
      </c>
      <c r="AJ171" s="137">
        <v>6.9378141791985603E-4</v>
      </c>
    </row>
    <row r="172" spans="1:36">
      <c r="A172">
        <v>161</v>
      </c>
      <c r="B172">
        <v>9938</v>
      </c>
      <c r="C172" t="s">
        <v>2265</v>
      </c>
      <c r="D172" t="s">
        <v>2266</v>
      </c>
      <c r="E172" t="s">
        <v>41</v>
      </c>
      <c r="F172" t="s">
        <v>2267</v>
      </c>
      <c r="G172" t="s">
        <v>2268</v>
      </c>
      <c r="H172" t="s">
        <v>44</v>
      </c>
      <c r="I172" t="s">
        <v>1509</v>
      </c>
      <c r="J172" t="s">
        <v>45</v>
      </c>
      <c r="K172" t="s">
        <v>45</v>
      </c>
      <c r="L172" t="s">
        <v>46</v>
      </c>
      <c r="M172" t="s">
        <v>47</v>
      </c>
      <c r="N172" s="125" t="s">
        <v>1061</v>
      </c>
      <c r="O172" t="s">
        <v>51</v>
      </c>
      <c r="P172" t="s">
        <v>1936</v>
      </c>
      <c r="Q172" t="s">
        <v>96</v>
      </c>
      <c r="R172" t="s">
        <v>97</v>
      </c>
      <c r="S172" t="s">
        <v>52</v>
      </c>
      <c r="T172" t="s">
        <v>2269</v>
      </c>
      <c r="U172" t="s">
        <v>2270</v>
      </c>
      <c r="V172" s="137">
        <v>2.29E-2</v>
      </c>
      <c r="W172" s="137">
        <v>5.0180000000000002E-2</v>
      </c>
      <c r="X172" t="s">
        <v>131</v>
      </c>
      <c r="Y172" t="s">
        <v>51</v>
      </c>
      <c r="Z172" s="133">
        <v>26826.92</v>
      </c>
      <c r="AA172" s="135">
        <v>1</v>
      </c>
      <c r="AB172" s="139">
        <v>99.05</v>
      </c>
      <c r="AD172" s="133">
        <v>26.571999999999999</v>
      </c>
      <c r="AG172" t="s">
        <v>135</v>
      </c>
      <c r="AH172" s="137">
        <v>1.6200000000000001E-4</v>
      </c>
      <c r="AI172" s="137">
        <v>1.9840538830114699E-3</v>
      </c>
      <c r="AJ172" s="137">
        <v>3.0448764422099799E-4</v>
      </c>
    </row>
    <row r="173" spans="1:36">
      <c r="A173">
        <v>161</v>
      </c>
      <c r="B173">
        <v>9938</v>
      </c>
      <c r="C173" t="s">
        <v>2271</v>
      </c>
      <c r="D173" t="s">
        <v>2272</v>
      </c>
      <c r="E173" t="s">
        <v>41</v>
      </c>
      <c r="F173" t="s">
        <v>2273</v>
      </c>
      <c r="G173" t="s">
        <v>2274</v>
      </c>
      <c r="H173" t="s">
        <v>44</v>
      </c>
      <c r="I173" t="s">
        <v>1331</v>
      </c>
      <c r="J173" t="s">
        <v>45</v>
      </c>
      <c r="K173" t="s">
        <v>45</v>
      </c>
      <c r="L173" t="s">
        <v>46</v>
      </c>
      <c r="M173" t="s">
        <v>47</v>
      </c>
      <c r="N173" t="s">
        <v>1034</v>
      </c>
      <c r="O173" t="s">
        <v>51</v>
      </c>
      <c r="P173" t="s">
        <v>1936</v>
      </c>
      <c r="Q173" t="s">
        <v>96</v>
      </c>
      <c r="R173" t="s">
        <v>97</v>
      </c>
      <c r="S173" t="s">
        <v>52</v>
      </c>
      <c r="T173" t="s">
        <v>2275</v>
      </c>
      <c r="U173" t="s">
        <v>2276</v>
      </c>
      <c r="V173" s="137">
        <v>1.9400000000000001E-2</v>
      </c>
      <c r="W173" s="137">
        <v>1.9230000000000001E-2</v>
      </c>
      <c r="X173" t="s">
        <v>131</v>
      </c>
      <c r="Y173" t="s">
        <v>51</v>
      </c>
      <c r="Z173" s="133">
        <v>66042.22</v>
      </c>
      <c r="AA173" s="135">
        <v>1</v>
      </c>
      <c r="AB173" s="139">
        <v>119.6</v>
      </c>
      <c r="AD173" s="133">
        <v>78.986000000000004</v>
      </c>
      <c r="AG173" t="s">
        <v>135</v>
      </c>
      <c r="AH173" s="137">
        <v>3.6499999999999998E-4</v>
      </c>
      <c r="AI173" s="137">
        <v>5.8976773808352397E-3</v>
      </c>
      <c r="AJ173" s="137">
        <v>9.0510137221691902E-4</v>
      </c>
    </row>
    <row r="174" spans="1:36">
      <c r="A174">
        <v>161</v>
      </c>
      <c r="B174">
        <v>9938</v>
      </c>
      <c r="C174" t="s">
        <v>2377</v>
      </c>
      <c r="D174" t="s">
        <v>2378</v>
      </c>
      <c r="E174" t="s">
        <v>41</v>
      </c>
      <c r="F174" t="s">
        <v>2379</v>
      </c>
      <c r="G174" t="s">
        <v>2380</v>
      </c>
      <c r="H174" t="s">
        <v>44</v>
      </c>
      <c r="I174" t="s">
        <v>1331</v>
      </c>
      <c r="J174" t="s">
        <v>45</v>
      </c>
      <c r="K174" t="s">
        <v>45</v>
      </c>
      <c r="L174" t="s">
        <v>46</v>
      </c>
      <c r="M174" t="s">
        <v>47</v>
      </c>
      <c r="N174" t="s">
        <v>1037</v>
      </c>
      <c r="O174" t="s">
        <v>51</v>
      </c>
      <c r="P174" t="s">
        <v>1919</v>
      </c>
      <c r="Q174" t="s">
        <v>96</v>
      </c>
      <c r="R174" t="s">
        <v>97</v>
      </c>
      <c r="S174" t="s">
        <v>52</v>
      </c>
      <c r="T174" t="s">
        <v>1869</v>
      </c>
      <c r="U174" t="s">
        <v>2381</v>
      </c>
      <c r="V174" s="137">
        <v>2.2499999999999999E-2</v>
      </c>
      <c r="W174" s="137">
        <v>1.306E-2</v>
      </c>
      <c r="X174" t="s">
        <v>131</v>
      </c>
      <c r="Y174" t="s">
        <v>51</v>
      </c>
      <c r="Z174" s="133">
        <v>56700</v>
      </c>
      <c r="AA174" s="135">
        <v>1</v>
      </c>
      <c r="AB174" s="139">
        <v>121.15</v>
      </c>
      <c r="AD174" s="133">
        <v>68.691999999999993</v>
      </c>
      <c r="AG174" t="s">
        <v>135</v>
      </c>
      <c r="AH174" s="137">
        <v>1.3899999999999999E-4</v>
      </c>
      <c r="AI174" s="137">
        <v>5.1290229920028796E-3</v>
      </c>
      <c r="AJ174" s="137">
        <v>7.8713796100126601E-4</v>
      </c>
    </row>
    <row r="175" spans="1:36">
      <c r="A175">
        <v>161</v>
      </c>
      <c r="B175">
        <v>9938</v>
      </c>
      <c r="C175" t="s">
        <v>2283</v>
      </c>
      <c r="D175" t="s">
        <v>2284</v>
      </c>
      <c r="E175" t="s">
        <v>41</v>
      </c>
      <c r="F175" t="s">
        <v>2285</v>
      </c>
      <c r="G175" t="s">
        <v>2286</v>
      </c>
      <c r="H175" t="s">
        <v>44</v>
      </c>
      <c r="I175" t="s">
        <v>1331</v>
      </c>
      <c r="J175" t="s">
        <v>45</v>
      </c>
      <c r="K175" t="s">
        <v>45</v>
      </c>
      <c r="L175" t="s">
        <v>46</v>
      </c>
      <c r="M175" t="s">
        <v>47</v>
      </c>
      <c r="N175" t="s">
        <v>58</v>
      </c>
      <c r="O175" t="s">
        <v>51</v>
      </c>
      <c r="P175" t="s">
        <v>1919</v>
      </c>
      <c r="Q175" t="s">
        <v>96</v>
      </c>
      <c r="R175" t="s">
        <v>97</v>
      </c>
      <c r="S175" t="s">
        <v>52</v>
      </c>
      <c r="T175" t="s">
        <v>2287</v>
      </c>
      <c r="U175" t="s">
        <v>2288</v>
      </c>
      <c r="V175" s="137">
        <v>2.5000000000000001E-2</v>
      </c>
      <c r="W175" s="137">
        <v>2.7720000000000002E-2</v>
      </c>
      <c r="X175" t="s">
        <v>131</v>
      </c>
      <c r="Y175" t="s">
        <v>51</v>
      </c>
      <c r="Z175" s="133">
        <v>55100</v>
      </c>
      <c r="AA175" s="135">
        <v>1</v>
      </c>
      <c r="AB175" s="139">
        <v>116.35</v>
      </c>
      <c r="AD175" s="133">
        <v>64.108999999999995</v>
      </c>
      <c r="AG175" t="s">
        <v>135</v>
      </c>
      <c r="AH175" s="137">
        <v>4.1E-5</v>
      </c>
      <c r="AI175" s="137">
        <v>4.78680961830174E-3</v>
      </c>
      <c r="AJ175" s="137">
        <v>7.34619355094745E-4</v>
      </c>
    </row>
    <row r="176" spans="1:36">
      <c r="A176">
        <v>161</v>
      </c>
      <c r="B176">
        <v>9938</v>
      </c>
      <c r="C176" t="s">
        <v>2289</v>
      </c>
      <c r="D176" t="s">
        <v>2290</v>
      </c>
      <c r="E176" t="s">
        <v>41</v>
      </c>
      <c r="F176" t="s">
        <v>2291</v>
      </c>
      <c r="G176" t="s">
        <v>2292</v>
      </c>
      <c r="H176" t="s">
        <v>44</v>
      </c>
      <c r="I176" t="s">
        <v>1509</v>
      </c>
      <c r="J176" t="s">
        <v>45</v>
      </c>
      <c r="K176" t="s">
        <v>45</v>
      </c>
      <c r="L176" t="s">
        <v>46</v>
      </c>
      <c r="M176" t="s">
        <v>47</v>
      </c>
      <c r="N176" t="s">
        <v>1034</v>
      </c>
      <c r="O176" t="s">
        <v>51</v>
      </c>
      <c r="P176" t="s">
        <v>175</v>
      </c>
      <c r="Q176" t="s">
        <v>167</v>
      </c>
      <c r="R176" t="s">
        <v>97</v>
      </c>
      <c r="S176" t="s">
        <v>52</v>
      </c>
      <c r="T176" t="s">
        <v>2293</v>
      </c>
      <c r="U176" t="s">
        <v>2294</v>
      </c>
      <c r="V176" s="137">
        <v>6.7699999999999996E-2</v>
      </c>
      <c r="W176" s="137">
        <v>5.0470000000000001E-2</v>
      </c>
      <c r="X176" t="s">
        <v>131</v>
      </c>
      <c r="Y176" t="s">
        <v>51</v>
      </c>
      <c r="Z176" s="133">
        <v>108000</v>
      </c>
      <c r="AA176" s="135">
        <v>1</v>
      </c>
      <c r="AB176" s="139">
        <v>108.24</v>
      </c>
      <c r="AD176" s="133">
        <v>116.899</v>
      </c>
      <c r="AG176" t="s">
        <v>135</v>
      </c>
      <c r="AH176" s="137">
        <v>1.6000000000000001E-4</v>
      </c>
      <c r="AI176" s="137">
        <v>8.7285018360456993E-3</v>
      </c>
      <c r="AJ176" s="137">
        <v>1.3395407173126901E-3</v>
      </c>
    </row>
    <row r="177" spans="1:36">
      <c r="A177">
        <v>161</v>
      </c>
      <c r="B177">
        <v>9938</v>
      </c>
      <c r="C177" t="s">
        <v>2295</v>
      </c>
      <c r="D177" t="s">
        <v>2296</v>
      </c>
      <c r="E177" t="s">
        <v>41</v>
      </c>
      <c r="F177" t="s">
        <v>2297</v>
      </c>
      <c r="G177" t="s">
        <v>2298</v>
      </c>
      <c r="H177" t="s">
        <v>44</v>
      </c>
      <c r="I177" t="s">
        <v>1331</v>
      </c>
      <c r="J177" t="s">
        <v>45</v>
      </c>
      <c r="K177" t="s">
        <v>45</v>
      </c>
      <c r="L177" t="s">
        <v>46</v>
      </c>
      <c r="M177" t="s">
        <v>47</v>
      </c>
      <c r="N177" s="125" t="s">
        <v>1062</v>
      </c>
      <c r="O177" t="s">
        <v>51</v>
      </c>
      <c r="P177" t="s">
        <v>1919</v>
      </c>
      <c r="Q177" t="s">
        <v>96</v>
      </c>
      <c r="R177" t="s">
        <v>97</v>
      </c>
      <c r="S177" t="s">
        <v>52</v>
      </c>
      <c r="T177" t="s">
        <v>2299</v>
      </c>
      <c r="U177" t="s">
        <v>2300</v>
      </c>
      <c r="V177" s="137">
        <v>2.1999999999999999E-2</v>
      </c>
      <c r="W177" s="137">
        <v>2.6589999999999999E-2</v>
      </c>
      <c r="X177" t="s">
        <v>131</v>
      </c>
      <c r="Y177" t="s">
        <v>51</v>
      </c>
      <c r="Z177" s="133">
        <v>92000.1</v>
      </c>
      <c r="AA177" s="135">
        <v>1</v>
      </c>
      <c r="AB177" s="139">
        <v>107.75</v>
      </c>
      <c r="AD177" s="133">
        <v>99.13</v>
      </c>
      <c r="AG177" t="s">
        <v>135</v>
      </c>
      <c r="AH177" s="137">
        <v>9.0000000000000006E-5</v>
      </c>
      <c r="AI177" s="137">
        <v>7.4017386560668004E-3</v>
      </c>
      <c r="AJ177" s="137">
        <v>1.13592578599956E-3</v>
      </c>
    </row>
    <row r="178" spans="1:36">
      <c r="A178">
        <v>161</v>
      </c>
      <c r="B178">
        <v>9938</v>
      </c>
      <c r="C178" t="s">
        <v>2301</v>
      </c>
      <c r="D178" t="s">
        <v>2302</v>
      </c>
      <c r="E178" t="s">
        <v>41</v>
      </c>
      <c r="F178" t="s">
        <v>2303</v>
      </c>
      <c r="G178" t="s">
        <v>2304</v>
      </c>
      <c r="H178" t="s">
        <v>44</v>
      </c>
      <c r="I178" t="s">
        <v>124</v>
      </c>
      <c r="J178" t="s">
        <v>68</v>
      </c>
      <c r="K178" t="s">
        <v>45</v>
      </c>
      <c r="L178" t="s">
        <v>46</v>
      </c>
      <c r="M178" t="s">
        <v>215</v>
      </c>
      <c r="N178" t="s">
        <v>1119</v>
      </c>
      <c r="O178" t="s">
        <v>51</v>
      </c>
      <c r="P178" t="s">
        <v>2305</v>
      </c>
      <c r="Q178" t="s">
        <v>159</v>
      </c>
      <c r="R178" t="s">
        <v>97</v>
      </c>
      <c r="S178" t="s">
        <v>72</v>
      </c>
      <c r="T178" t="s">
        <v>2306</v>
      </c>
      <c r="U178" t="s">
        <v>2307</v>
      </c>
      <c r="V178" s="137">
        <v>3.0769999999999999E-2</v>
      </c>
      <c r="W178" s="137">
        <v>6.0539999999999997E-2</v>
      </c>
      <c r="X178" t="s">
        <v>131</v>
      </c>
      <c r="Y178" t="s">
        <v>51</v>
      </c>
      <c r="Z178" s="133">
        <v>14000</v>
      </c>
      <c r="AA178" s="135">
        <v>3.165</v>
      </c>
      <c r="AB178" s="139">
        <v>101.44</v>
      </c>
      <c r="AD178" s="133">
        <v>44.948</v>
      </c>
      <c r="AG178" t="s">
        <v>135</v>
      </c>
      <c r="AH178" s="137">
        <v>2.3E-5</v>
      </c>
      <c r="AI178" s="137">
        <v>3.3561220271858599E-3</v>
      </c>
      <c r="AJ178" s="137">
        <v>5.1505541181419304E-4</v>
      </c>
    </row>
    <row r="179" spans="1:36">
      <c r="A179">
        <v>161</v>
      </c>
      <c r="B179">
        <v>9942</v>
      </c>
      <c r="C179" t="s">
        <v>1908</v>
      </c>
      <c r="D179" t="s">
        <v>1909</v>
      </c>
      <c r="E179" t="s">
        <v>41</v>
      </c>
      <c r="F179" t="s">
        <v>1910</v>
      </c>
      <c r="G179" t="s">
        <v>1911</v>
      </c>
      <c r="H179" t="s">
        <v>44</v>
      </c>
      <c r="I179" t="s">
        <v>1509</v>
      </c>
      <c r="J179" t="s">
        <v>45</v>
      </c>
      <c r="K179" t="s">
        <v>45</v>
      </c>
      <c r="L179" t="s">
        <v>46</v>
      </c>
      <c r="M179" t="s">
        <v>47</v>
      </c>
      <c r="N179" t="s">
        <v>1037</v>
      </c>
      <c r="O179" t="s">
        <v>51</v>
      </c>
      <c r="P179" t="s">
        <v>1912</v>
      </c>
      <c r="Q179" t="s">
        <v>167</v>
      </c>
      <c r="R179" t="s">
        <v>97</v>
      </c>
      <c r="S179" t="s">
        <v>52</v>
      </c>
      <c r="T179" t="s">
        <v>1913</v>
      </c>
      <c r="U179" t="s">
        <v>1914</v>
      </c>
      <c r="V179" s="137">
        <v>5.1299999999999998E-2</v>
      </c>
      <c r="W179" s="137">
        <v>4.6969999999999998E-2</v>
      </c>
      <c r="X179" t="s">
        <v>131</v>
      </c>
      <c r="Y179" t="s">
        <v>51</v>
      </c>
      <c r="Z179" s="133">
        <v>100000</v>
      </c>
      <c r="AA179" s="135">
        <v>1</v>
      </c>
      <c r="AB179" s="139">
        <v>102.82</v>
      </c>
      <c r="AD179" s="133">
        <v>102.82</v>
      </c>
      <c r="AG179" t="s">
        <v>135</v>
      </c>
      <c r="AH179" s="137">
        <v>2.9399999999999999E-4</v>
      </c>
      <c r="AI179" s="137">
        <v>5.9730421333166403E-3</v>
      </c>
      <c r="AJ179" s="137">
        <v>1.0180120555670501E-3</v>
      </c>
    </row>
    <row r="180" spans="1:36">
      <c r="A180">
        <v>161</v>
      </c>
      <c r="B180">
        <v>9942</v>
      </c>
      <c r="C180" t="s">
        <v>1915</v>
      </c>
      <c r="D180" t="s">
        <v>1916</v>
      </c>
      <c r="E180" t="s">
        <v>41</v>
      </c>
      <c r="F180" t="s">
        <v>1917</v>
      </c>
      <c r="G180" t="s">
        <v>1918</v>
      </c>
      <c r="H180" t="s">
        <v>44</v>
      </c>
      <c r="I180" t="s">
        <v>1331</v>
      </c>
      <c r="J180" t="s">
        <v>45</v>
      </c>
      <c r="K180" t="s">
        <v>45</v>
      </c>
      <c r="L180" t="s">
        <v>46</v>
      </c>
      <c r="M180" t="s">
        <v>47</v>
      </c>
      <c r="N180" t="s">
        <v>58</v>
      </c>
      <c r="O180" t="s">
        <v>51</v>
      </c>
      <c r="P180" t="s">
        <v>1919</v>
      </c>
      <c r="Q180" t="s">
        <v>96</v>
      </c>
      <c r="R180" t="s">
        <v>97</v>
      </c>
      <c r="S180" t="s">
        <v>52</v>
      </c>
      <c r="T180" t="s">
        <v>1920</v>
      </c>
      <c r="U180" t="s">
        <v>1921</v>
      </c>
      <c r="V180" s="137">
        <v>2.3400000000000001E-2</v>
      </c>
      <c r="W180" s="137">
        <v>2.3099999999999999E-2</v>
      </c>
      <c r="X180" t="s">
        <v>131</v>
      </c>
      <c r="Y180" t="s">
        <v>51</v>
      </c>
      <c r="Z180" s="133">
        <v>230734.48</v>
      </c>
      <c r="AA180" s="135">
        <v>1</v>
      </c>
      <c r="AB180" s="139">
        <v>117.91</v>
      </c>
      <c r="AD180" s="133">
        <v>272.05900000000003</v>
      </c>
      <c r="AG180" t="s">
        <v>135</v>
      </c>
      <c r="AH180" s="137">
        <v>2.0100000000000001E-4</v>
      </c>
      <c r="AI180" s="137">
        <v>1.5804512947598999E-2</v>
      </c>
      <c r="AJ180" s="137">
        <v>2.69363321970868E-3</v>
      </c>
    </row>
    <row r="181" spans="1:36">
      <c r="A181">
        <v>161</v>
      </c>
      <c r="B181">
        <v>9942</v>
      </c>
      <c r="C181" t="s">
        <v>1915</v>
      </c>
      <c r="D181" t="s">
        <v>1916</v>
      </c>
      <c r="E181" t="s">
        <v>41</v>
      </c>
      <c r="F181" t="s">
        <v>1922</v>
      </c>
      <c r="G181" t="s">
        <v>1923</v>
      </c>
      <c r="H181" t="s">
        <v>44</v>
      </c>
      <c r="I181" t="s">
        <v>1509</v>
      </c>
      <c r="J181" t="s">
        <v>45</v>
      </c>
      <c r="K181" t="s">
        <v>45</v>
      </c>
      <c r="L181" t="s">
        <v>46</v>
      </c>
      <c r="M181" t="s">
        <v>47</v>
      </c>
      <c r="N181" t="s">
        <v>58</v>
      </c>
      <c r="O181" t="s">
        <v>51</v>
      </c>
      <c r="P181" t="s">
        <v>1919</v>
      </c>
      <c r="Q181" t="s">
        <v>96</v>
      </c>
      <c r="R181" t="s">
        <v>97</v>
      </c>
      <c r="S181" t="s">
        <v>52</v>
      </c>
      <c r="T181" t="s">
        <v>1924</v>
      </c>
      <c r="U181" t="s">
        <v>1925</v>
      </c>
      <c r="V181" s="137">
        <v>0.05</v>
      </c>
      <c r="W181" s="137">
        <v>4.5440000000000001E-2</v>
      </c>
      <c r="X181" t="s">
        <v>131</v>
      </c>
      <c r="Y181" t="s">
        <v>51</v>
      </c>
      <c r="Z181" s="133">
        <v>157500</v>
      </c>
      <c r="AA181" s="135">
        <v>1</v>
      </c>
      <c r="AB181" s="139">
        <v>102.97</v>
      </c>
      <c r="AD181" s="133">
        <v>162.178</v>
      </c>
      <c r="AG181" t="s">
        <v>135</v>
      </c>
      <c r="AH181" s="137">
        <v>3.19E-4</v>
      </c>
      <c r="AI181" s="137">
        <v>9.4212656471162597E-3</v>
      </c>
      <c r="AJ181" s="137">
        <v>1.60570807863003E-3</v>
      </c>
    </row>
    <row r="182" spans="1:36">
      <c r="A182">
        <v>161</v>
      </c>
      <c r="B182">
        <v>9942</v>
      </c>
      <c r="C182" t="s">
        <v>1926</v>
      </c>
      <c r="D182" t="s">
        <v>1927</v>
      </c>
      <c r="E182" t="s">
        <v>41</v>
      </c>
      <c r="F182" t="s">
        <v>2308</v>
      </c>
      <c r="G182" t="s">
        <v>2309</v>
      </c>
      <c r="H182" t="s">
        <v>44</v>
      </c>
      <c r="I182" t="s">
        <v>1331</v>
      </c>
      <c r="J182" t="s">
        <v>45</v>
      </c>
      <c r="K182" t="s">
        <v>45</v>
      </c>
      <c r="L182" t="s">
        <v>46</v>
      </c>
      <c r="M182" t="s">
        <v>47</v>
      </c>
      <c r="N182" s="125" t="s">
        <v>1062</v>
      </c>
      <c r="O182" t="s">
        <v>51</v>
      </c>
      <c r="P182" t="s">
        <v>128</v>
      </c>
      <c r="Q182" t="s">
        <v>96</v>
      </c>
      <c r="R182" t="s">
        <v>97</v>
      </c>
      <c r="S182" t="s">
        <v>52</v>
      </c>
      <c r="T182" t="s">
        <v>2310</v>
      </c>
      <c r="U182" t="s">
        <v>2311</v>
      </c>
      <c r="V182" s="137">
        <v>3.2000000000000001E-2</v>
      </c>
      <c r="W182" s="137">
        <v>2.1870000000000001E-2</v>
      </c>
      <c r="X182" t="s">
        <v>131</v>
      </c>
      <c r="Y182" t="s">
        <v>51</v>
      </c>
      <c r="Z182" s="133">
        <v>37350</v>
      </c>
      <c r="AA182" s="135">
        <v>1</v>
      </c>
      <c r="AB182" s="139">
        <v>111.1</v>
      </c>
      <c r="AD182" s="133">
        <v>41.496000000000002</v>
      </c>
      <c r="AG182" t="s">
        <v>135</v>
      </c>
      <c r="AH182" s="137">
        <v>7.6000000000000004E-5</v>
      </c>
      <c r="AI182" s="137">
        <v>2.4105860767145199E-3</v>
      </c>
      <c r="AJ182" s="137">
        <v>4.1084687372108602E-4</v>
      </c>
    </row>
    <row r="183" spans="1:36">
      <c r="A183">
        <v>161</v>
      </c>
      <c r="B183">
        <v>9942</v>
      </c>
      <c r="C183" t="s">
        <v>1926</v>
      </c>
      <c r="D183" t="s">
        <v>1927</v>
      </c>
      <c r="E183" t="s">
        <v>41</v>
      </c>
      <c r="F183" t="s">
        <v>1928</v>
      </c>
      <c r="G183" t="s">
        <v>1929</v>
      </c>
      <c r="H183" t="s">
        <v>44</v>
      </c>
      <c r="I183" t="s">
        <v>1509</v>
      </c>
      <c r="J183" t="s">
        <v>45</v>
      </c>
      <c r="K183" t="s">
        <v>45</v>
      </c>
      <c r="L183" t="s">
        <v>46</v>
      </c>
      <c r="M183" t="s">
        <v>47</v>
      </c>
      <c r="N183" s="125" t="s">
        <v>1062</v>
      </c>
      <c r="O183" t="s">
        <v>51</v>
      </c>
      <c r="P183" t="s">
        <v>128</v>
      </c>
      <c r="Q183" t="s">
        <v>96</v>
      </c>
      <c r="R183" t="s">
        <v>97</v>
      </c>
      <c r="S183" t="s">
        <v>52</v>
      </c>
      <c r="T183" t="s">
        <v>1930</v>
      </c>
      <c r="U183" t="s">
        <v>1931</v>
      </c>
      <c r="V183" s="137">
        <v>5.7000000000000002E-2</v>
      </c>
      <c r="W183" s="137">
        <v>5.083E-2</v>
      </c>
      <c r="X183" t="s">
        <v>131</v>
      </c>
      <c r="Y183" t="s">
        <v>51</v>
      </c>
      <c r="Z183" s="133">
        <v>36900</v>
      </c>
      <c r="AA183" s="135">
        <v>1</v>
      </c>
      <c r="AB183" s="139">
        <v>101.02</v>
      </c>
      <c r="AD183" s="133">
        <v>37.276000000000003</v>
      </c>
      <c r="AG183" t="s">
        <v>135</v>
      </c>
      <c r="AH183" s="137">
        <v>6.2000000000000003E-5</v>
      </c>
      <c r="AI183" s="137">
        <v>2.1654676941988099E-3</v>
      </c>
      <c r="AJ183" s="137">
        <v>3.6907026092101297E-4</v>
      </c>
    </row>
    <row r="184" spans="1:36">
      <c r="A184">
        <v>161</v>
      </c>
      <c r="B184">
        <v>9942</v>
      </c>
      <c r="C184" t="s">
        <v>2312</v>
      </c>
      <c r="D184" t="s">
        <v>2313</v>
      </c>
      <c r="E184" t="s">
        <v>41</v>
      </c>
      <c r="F184" t="s">
        <v>2314</v>
      </c>
      <c r="G184" t="s">
        <v>2315</v>
      </c>
      <c r="H184" t="s">
        <v>44</v>
      </c>
      <c r="I184" t="s">
        <v>1331</v>
      </c>
      <c r="J184" t="s">
        <v>45</v>
      </c>
      <c r="K184" t="s">
        <v>45</v>
      </c>
      <c r="L184" t="s">
        <v>46</v>
      </c>
      <c r="M184" t="s">
        <v>47</v>
      </c>
      <c r="N184" s="125" t="s">
        <v>1062</v>
      </c>
      <c r="O184" t="s">
        <v>51</v>
      </c>
      <c r="P184" t="s">
        <v>128</v>
      </c>
      <c r="Q184" t="s">
        <v>96</v>
      </c>
      <c r="R184" t="s">
        <v>97</v>
      </c>
      <c r="S184" t="s">
        <v>52</v>
      </c>
      <c r="T184" t="s">
        <v>2316</v>
      </c>
      <c r="U184" t="s">
        <v>2317</v>
      </c>
      <c r="V184" s="137">
        <v>3.2300000000000002E-2</v>
      </c>
      <c r="W184" s="137">
        <v>2.4060000000000002E-2</v>
      </c>
      <c r="X184" t="s">
        <v>131</v>
      </c>
      <c r="Y184" t="s">
        <v>51</v>
      </c>
      <c r="Z184" s="133">
        <v>58480</v>
      </c>
      <c r="AA184" s="135">
        <v>1</v>
      </c>
      <c r="AB184" s="139">
        <v>111.06</v>
      </c>
      <c r="AD184" s="133">
        <v>64.947999999999993</v>
      </c>
      <c r="AG184" t="s">
        <v>135</v>
      </c>
      <c r="AH184" s="137">
        <v>1.3999999999999999E-4</v>
      </c>
      <c r="AI184" s="137">
        <v>3.77296704429032E-3</v>
      </c>
      <c r="AJ184" s="137">
        <v>6.4304350289456002E-4</v>
      </c>
    </row>
    <row r="185" spans="1:36">
      <c r="A185">
        <v>161</v>
      </c>
      <c r="B185">
        <v>9942</v>
      </c>
      <c r="C185" t="s">
        <v>1932</v>
      </c>
      <c r="D185" t="s">
        <v>1933</v>
      </c>
      <c r="E185" t="s">
        <v>41</v>
      </c>
      <c r="F185" t="s">
        <v>1934</v>
      </c>
      <c r="G185" t="s">
        <v>1935</v>
      </c>
      <c r="H185" t="s">
        <v>44</v>
      </c>
      <c r="I185" t="s">
        <v>1331</v>
      </c>
      <c r="J185" t="s">
        <v>45</v>
      </c>
      <c r="K185" t="s">
        <v>45</v>
      </c>
      <c r="L185" t="s">
        <v>46</v>
      </c>
      <c r="M185" t="s">
        <v>47</v>
      </c>
      <c r="N185" t="s">
        <v>58</v>
      </c>
      <c r="O185" t="s">
        <v>51</v>
      </c>
      <c r="P185" t="s">
        <v>1936</v>
      </c>
      <c r="Q185" t="s">
        <v>96</v>
      </c>
      <c r="R185" t="s">
        <v>97</v>
      </c>
      <c r="S185" t="s">
        <v>52</v>
      </c>
      <c r="T185" t="s">
        <v>1937</v>
      </c>
      <c r="U185" t="s">
        <v>1938</v>
      </c>
      <c r="V185" s="137">
        <v>2.5600000000000001E-2</v>
      </c>
      <c r="W185" s="137">
        <v>3.0120000000000001E-2</v>
      </c>
      <c r="X185" t="s">
        <v>131</v>
      </c>
      <c r="Y185" t="s">
        <v>51</v>
      </c>
      <c r="Z185" s="133">
        <v>180000</v>
      </c>
      <c r="AA185" s="135">
        <v>1</v>
      </c>
      <c r="AB185" s="139">
        <v>107.35</v>
      </c>
      <c r="AD185" s="133">
        <v>193.23</v>
      </c>
      <c r="AG185" t="s">
        <v>135</v>
      </c>
      <c r="AH185" s="137">
        <v>1.7100000000000001E-4</v>
      </c>
      <c r="AI185" s="137">
        <v>1.1225159807632499E-2</v>
      </c>
      <c r="AJ185" s="137">
        <v>1.9131537589692799E-3</v>
      </c>
    </row>
    <row r="186" spans="1:36">
      <c r="A186">
        <v>161</v>
      </c>
      <c r="B186">
        <v>9942</v>
      </c>
      <c r="C186" t="s">
        <v>1932</v>
      </c>
      <c r="D186" t="s">
        <v>1933</v>
      </c>
      <c r="E186" t="s">
        <v>41</v>
      </c>
      <c r="F186" t="s">
        <v>1939</v>
      </c>
      <c r="G186" t="s">
        <v>1940</v>
      </c>
      <c r="H186" t="s">
        <v>44</v>
      </c>
      <c r="I186" t="s">
        <v>1509</v>
      </c>
      <c r="J186" t="s">
        <v>45</v>
      </c>
      <c r="K186" t="s">
        <v>45</v>
      </c>
      <c r="L186" t="s">
        <v>46</v>
      </c>
      <c r="M186" t="s">
        <v>47</v>
      </c>
      <c r="N186" t="s">
        <v>58</v>
      </c>
      <c r="O186" t="s">
        <v>51</v>
      </c>
      <c r="P186" t="s">
        <v>1936</v>
      </c>
      <c r="Q186" t="s">
        <v>96</v>
      </c>
      <c r="R186" t="s">
        <v>97</v>
      </c>
      <c r="S186" t="s">
        <v>52</v>
      </c>
      <c r="T186" t="s">
        <v>1941</v>
      </c>
      <c r="U186" t="s">
        <v>1942</v>
      </c>
      <c r="V186" s="137">
        <v>2.41E-2</v>
      </c>
      <c r="W186" s="137">
        <v>4.8550000000000003E-2</v>
      </c>
      <c r="X186" t="s">
        <v>131</v>
      </c>
      <c r="Y186" t="s">
        <v>51</v>
      </c>
      <c r="Z186" s="133">
        <v>200000</v>
      </c>
      <c r="AA186" s="135">
        <v>1</v>
      </c>
      <c r="AB186" s="139">
        <v>93.27</v>
      </c>
      <c r="AD186" s="133">
        <v>186.54</v>
      </c>
      <c r="AG186" t="s">
        <v>135</v>
      </c>
      <c r="AH186" s="137">
        <v>9.7E-5</v>
      </c>
      <c r="AI186" s="137">
        <v>1.0836522851088199E-2</v>
      </c>
      <c r="AJ186" s="137">
        <v>1.84691663922853E-3</v>
      </c>
    </row>
    <row r="187" spans="1:36">
      <c r="A187">
        <v>161</v>
      </c>
      <c r="B187">
        <v>9942</v>
      </c>
      <c r="C187" t="s">
        <v>1943</v>
      </c>
      <c r="D187" t="s">
        <v>479</v>
      </c>
      <c r="E187" t="s">
        <v>41</v>
      </c>
      <c r="F187" t="s">
        <v>1944</v>
      </c>
      <c r="G187" t="s">
        <v>1945</v>
      </c>
      <c r="H187" t="s">
        <v>44</v>
      </c>
      <c r="I187" t="s">
        <v>1509</v>
      </c>
      <c r="J187" t="s">
        <v>45</v>
      </c>
      <c r="K187" t="s">
        <v>45</v>
      </c>
      <c r="L187" t="s">
        <v>46</v>
      </c>
      <c r="M187" t="s">
        <v>47</v>
      </c>
      <c r="N187" t="s">
        <v>150</v>
      </c>
      <c r="O187" t="s">
        <v>51</v>
      </c>
      <c r="P187" t="s">
        <v>128</v>
      </c>
      <c r="Q187" t="s">
        <v>96</v>
      </c>
      <c r="R187" t="s">
        <v>97</v>
      </c>
      <c r="S187" t="s">
        <v>52</v>
      </c>
      <c r="T187" t="s">
        <v>1946</v>
      </c>
      <c r="U187" t="s">
        <v>1947</v>
      </c>
      <c r="V187" s="137">
        <v>0.04</v>
      </c>
      <c r="W187" s="137">
        <v>4.786E-2</v>
      </c>
      <c r="X187" t="s">
        <v>131</v>
      </c>
      <c r="Y187" t="s">
        <v>51</v>
      </c>
      <c r="Z187" s="133">
        <v>191964.39</v>
      </c>
      <c r="AA187" s="135">
        <v>1</v>
      </c>
      <c r="AB187" s="139">
        <v>99.05</v>
      </c>
      <c r="AD187" s="133">
        <v>190.14099999999999</v>
      </c>
      <c r="AG187" t="s">
        <v>135</v>
      </c>
      <c r="AH187" s="137">
        <v>3.97E-4</v>
      </c>
      <c r="AI187" s="137">
        <v>1.10456971539151E-2</v>
      </c>
      <c r="AJ187" s="137">
        <v>1.8825671431492799E-3</v>
      </c>
    </row>
    <row r="188" spans="1:36">
      <c r="A188">
        <v>161</v>
      </c>
      <c r="B188">
        <v>9942</v>
      </c>
      <c r="C188" t="s">
        <v>1948</v>
      </c>
      <c r="D188" t="s">
        <v>1949</v>
      </c>
      <c r="E188" t="s">
        <v>41</v>
      </c>
      <c r="F188" t="s">
        <v>1954</v>
      </c>
      <c r="G188" t="s">
        <v>1955</v>
      </c>
      <c r="H188" t="s">
        <v>44</v>
      </c>
      <c r="I188" t="s">
        <v>1509</v>
      </c>
      <c r="J188" t="s">
        <v>45</v>
      </c>
      <c r="K188" t="s">
        <v>45</v>
      </c>
      <c r="L188" t="s">
        <v>46</v>
      </c>
      <c r="M188" t="s">
        <v>47</v>
      </c>
      <c r="N188" t="s">
        <v>58</v>
      </c>
      <c r="O188" t="s">
        <v>51</v>
      </c>
      <c r="P188" t="s">
        <v>1919</v>
      </c>
      <c r="Q188" t="s">
        <v>96</v>
      </c>
      <c r="R188" t="s">
        <v>97</v>
      </c>
      <c r="S188" t="s">
        <v>52</v>
      </c>
      <c r="T188" t="s">
        <v>1956</v>
      </c>
      <c r="U188" t="s">
        <v>1957</v>
      </c>
      <c r="V188" s="137">
        <v>2.4400000000000002E-2</v>
      </c>
      <c r="W188" s="137">
        <v>4.6190000000000002E-2</v>
      </c>
      <c r="X188" t="s">
        <v>131</v>
      </c>
      <c r="Y188" t="s">
        <v>51</v>
      </c>
      <c r="Z188" s="133">
        <v>560000</v>
      </c>
      <c r="AA188" s="135">
        <v>1</v>
      </c>
      <c r="AB188" s="139">
        <v>92.36</v>
      </c>
      <c r="AD188" s="133">
        <v>517.21600000000001</v>
      </c>
      <c r="AG188" t="s">
        <v>135</v>
      </c>
      <c r="AH188" s="137">
        <v>4.6099999999999998E-4</v>
      </c>
      <c r="AI188" s="137">
        <v>3.0046226026312999E-2</v>
      </c>
      <c r="AJ188" s="137">
        <v>5.1209115282257198E-3</v>
      </c>
    </row>
    <row r="189" spans="1:36">
      <c r="A189">
        <v>161</v>
      </c>
      <c r="B189">
        <v>9942</v>
      </c>
      <c r="C189" t="s">
        <v>1948</v>
      </c>
      <c r="D189" t="s">
        <v>1949</v>
      </c>
      <c r="E189" t="s">
        <v>41</v>
      </c>
      <c r="F189" t="s">
        <v>1958</v>
      </c>
      <c r="G189" t="s">
        <v>1959</v>
      </c>
      <c r="H189" t="s">
        <v>44</v>
      </c>
      <c r="I189" t="s">
        <v>1331</v>
      </c>
      <c r="J189" t="s">
        <v>45</v>
      </c>
      <c r="K189" t="s">
        <v>45</v>
      </c>
      <c r="L189" t="s">
        <v>46</v>
      </c>
      <c r="M189" t="s">
        <v>47</v>
      </c>
      <c r="N189" t="s">
        <v>58</v>
      </c>
      <c r="O189" t="s">
        <v>51</v>
      </c>
      <c r="P189" t="s">
        <v>1919</v>
      </c>
      <c r="Q189" t="s">
        <v>96</v>
      </c>
      <c r="R189" t="s">
        <v>97</v>
      </c>
      <c r="S189" t="s">
        <v>52</v>
      </c>
      <c r="T189" t="s">
        <v>1960</v>
      </c>
      <c r="U189" t="s">
        <v>1957</v>
      </c>
      <c r="V189" s="137">
        <v>9.1999999999999998E-3</v>
      </c>
      <c r="W189" s="137">
        <v>2.7480000000000001E-2</v>
      </c>
      <c r="X189" t="s">
        <v>131</v>
      </c>
      <c r="Y189" t="s">
        <v>51</v>
      </c>
      <c r="Z189" s="133">
        <v>260000</v>
      </c>
      <c r="AA189" s="135">
        <v>1</v>
      </c>
      <c r="AB189" s="139">
        <v>109.79</v>
      </c>
      <c r="AD189" s="133">
        <v>285.45400000000001</v>
      </c>
      <c r="AG189" t="s">
        <v>135</v>
      </c>
      <c r="AH189" s="137">
        <v>1.01E-4</v>
      </c>
      <c r="AI189" s="137">
        <v>1.6582656770314799E-2</v>
      </c>
      <c r="AJ189" s="137">
        <v>2.8262557217451599E-3</v>
      </c>
    </row>
    <row r="190" spans="1:36">
      <c r="A190">
        <v>161</v>
      </c>
      <c r="B190">
        <v>9942</v>
      </c>
      <c r="C190" t="s">
        <v>1961</v>
      </c>
      <c r="D190" t="s">
        <v>1962</v>
      </c>
      <c r="E190" t="s">
        <v>41</v>
      </c>
      <c r="F190" t="s">
        <v>1963</v>
      </c>
      <c r="G190" t="s">
        <v>1964</v>
      </c>
      <c r="H190" t="s">
        <v>44</v>
      </c>
      <c r="I190" t="s">
        <v>1509</v>
      </c>
      <c r="J190" t="s">
        <v>45</v>
      </c>
      <c r="K190" t="s">
        <v>69</v>
      </c>
      <c r="L190" t="s">
        <v>46</v>
      </c>
      <c r="M190" t="s">
        <v>47</v>
      </c>
      <c r="N190" t="s">
        <v>49</v>
      </c>
      <c r="O190" t="s">
        <v>51</v>
      </c>
      <c r="P190" t="s">
        <v>158</v>
      </c>
      <c r="Q190" t="s">
        <v>96</v>
      </c>
      <c r="R190" t="s">
        <v>97</v>
      </c>
      <c r="S190" t="s">
        <v>52</v>
      </c>
      <c r="T190" t="s">
        <v>1965</v>
      </c>
      <c r="U190" t="s">
        <v>1966</v>
      </c>
      <c r="V190" s="137">
        <v>3.4500000000000003E-2</v>
      </c>
      <c r="W190" s="137">
        <v>5.0569999999999997E-2</v>
      </c>
      <c r="X190" t="s">
        <v>131</v>
      </c>
      <c r="Y190" t="s">
        <v>51</v>
      </c>
      <c r="Z190" s="133">
        <v>230431.38</v>
      </c>
      <c r="AA190" s="135">
        <v>1</v>
      </c>
      <c r="AB190" s="139">
        <v>99.67</v>
      </c>
      <c r="AD190" s="133">
        <v>229.67099999999999</v>
      </c>
      <c r="AG190" t="s">
        <v>135</v>
      </c>
      <c r="AH190" s="137">
        <v>4.1399999999999998E-4</v>
      </c>
      <c r="AI190" s="137">
        <v>1.33420958923467E-2</v>
      </c>
      <c r="AJ190" s="137">
        <v>2.2739525624941E-3</v>
      </c>
    </row>
    <row r="191" spans="1:36">
      <c r="A191">
        <v>161</v>
      </c>
      <c r="B191">
        <v>9942</v>
      </c>
      <c r="C191" t="s">
        <v>1961</v>
      </c>
      <c r="D191" t="s">
        <v>1962</v>
      </c>
      <c r="E191" t="s">
        <v>41</v>
      </c>
      <c r="F191" t="s">
        <v>1967</v>
      </c>
      <c r="G191" t="s">
        <v>1968</v>
      </c>
      <c r="H191" t="s">
        <v>44</v>
      </c>
      <c r="I191" t="s">
        <v>1509</v>
      </c>
      <c r="J191" t="s">
        <v>45</v>
      </c>
      <c r="K191" t="s">
        <v>69</v>
      </c>
      <c r="L191" t="s">
        <v>46</v>
      </c>
      <c r="M191" t="s">
        <v>47</v>
      </c>
      <c r="N191" t="s">
        <v>49</v>
      </c>
      <c r="O191" t="s">
        <v>51</v>
      </c>
      <c r="P191" t="s">
        <v>158</v>
      </c>
      <c r="Q191" t="s">
        <v>96</v>
      </c>
      <c r="R191" t="s">
        <v>97</v>
      </c>
      <c r="S191" t="s">
        <v>52</v>
      </c>
      <c r="T191" t="s">
        <v>1969</v>
      </c>
      <c r="U191" t="s">
        <v>1970</v>
      </c>
      <c r="V191" s="137">
        <v>1.4999999999999999E-2</v>
      </c>
      <c r="W191" s="137">
        <v>4.8719999999999999E-2</v>
      </c>
      <c r="X191" t="s">
        <v>131</v>
      </c>
      <c r="Y191" t="s">
        <v>51</v>
      </c>
      <c r="Z191" s="133">
        <v>98000</v>
      </c>
      <c r="AA191" s="135">
        <v>1</v>
      </c>
      <c r="AB191" s="139">
        <v>92.72</v>
      </c>
      <c r="AD191" s="133">
        <v>90.866</v>
      </c>
      <c r="AG191" t="s">
        <v>135</v>
      </c>
      <c r="AH191" s="137">
        <v>8.2999999999999998E-5</v>
      </c>
      <c r="AI191" s="137">
        <v>5.2785844900709701E-3</v>
      </c>
      <c r="AJ191" s="137">
        <v>8.9965256016663598E-4</v>
      </c>
    </row>
    <row r="192" spans="1:36">
      <c r="A192">
        <v>161</v>
      </c>
      <c r="B192">
        <v>9942</v>
      </c>
      <c r="C192" t="s">
        <v>1915</v>
      </c>
      <c r="D192" t="s">
        <v>1916</v>
      </c>
      <c r="E192" t="s">
        <v>41</v>
      </c>
      <c r="F192" t="s">
        <v>1971</v>
      </c>
      <c r="G192" t="s">
        <v>1972</v>
      </c>
      <c r="H192" t="s">
        <v>44</v>
      </c>
      <c r="I192" t="s">
        <v>1331</v>
      </c>
      <c r="J192" t="s">
        <v>45</v>
      </c>
      <c r="K192" t="s">
        <v>45</v>
      </c>
      <c r="L192" t="s">
        <v>46</v>
      </c>
      <c r="M192" t="s">
        <v>47</v>
      </c>
      <c r="N192" t="s">
        <v>58</v>
      </c>
      <c r="O192" t="s">
        <v>51</v>
      </c>
      <c r="P192" t="s">
        <v>1919</v>
      </c>
      <c r="Q192" t="s">
        <v>96</v>
      </c>
      <c r="R192" t="s">
        <v>97</v>
      </c>
      <c r="S192" t="s">
        <v>52</v>
      </c>
      <c r="T192" t="s">
        <v>1973</v>
      </c>
      <c r="U192" t="s">
        <v>1974</v>
      </c>
      <c r="V192" s="137">
        <v>6.4999999999999997E-3</v>
      </c>
      <c r="W192" s="137">
        <v>2.7640000000000001E-2</v>
      </c>
      <c r="X192" t="s">
        <v>131</v>
      </c>
      <c r="Y192" t="s">
        <v>51</v>
      </c>
      <c r="Z192" s="133">
        <v>216938.62</v>
      </c>
      <c r="AA192" s="135">
        <v>1</v>
      </c>
      <c r="AB192" s="139">
        <v>106.82</v>
      </c>
      <c r="AD192" s="133">
        <v>231.73400000000001</v>
      </c>
      <c r="AG192" t="s">
        <v>135</v>
      </c>
      <c r="AH192" s="137">
        <v>1.0399999999999999E-4</v>
      </c>
      <c r="AI192" s="137">
        <v>1.3461933023771E-2</v>
      </c>
      <c r="AJ192" s="137">
        <v>2.2943769361669399E-3</v>
      </c>
    </row>
    <row r="193" spans="1:36">
      <c r="A193">
        <v>161</v>
      </c>
      <c r="B193">
        <v>9942</v>
      </c>
      <c r="C193" t="s">
        <v>53</v>
      </c>
      <c r="D193" t="s">
        <v>54</v>
      </c>
      <c r="E193" t="s">
        <v>41</v>
      </c>
      <c r="F193" t="s">
        <v>1980</v>
      </c>
      <c r="G193" t="s">
        <v>1981</v>
      </c>
      <c r="H193" t="s">
        <v>44</v>
      </c>
      <c r="I193" t="s">
        <v>1331</v>
      </c>
      <c r="J193" t="s">
        <v>45</v>
      </c>
      <c r="K193" t="s">
        <v>45</v>
      </c>
      <c r="L193" t="s">
        <v>46</v>
      </c>
      <c r="M193" t="s">
        <v>47</v>
      </c>
      <c r="N193" t="s">
        <v>58</v>
      </c>
      <c r="O193" t="s">
        <v>51</v>
      </c>
      <c r="P193" t="s">
        <v>1936</v>
      </c>
      <c r="Q193" t="s">
        <v>96</v>
      </c>
      <c r="R193" t="s">
        <v>97</v>
      </c>
      <c r="S193" t="s">
        <v>52</v>
      </c>
      <c r="T193" t="s">
        <v>1982</v>
      </c>
      <c r="U193" t="s">
        <v>1983</v>
      </c>
      <c r="V193" s="137">
        <v>1.8700000000000001E-2</v>
      </c>
      <c r="W193" s="137">
        <v>2.7820000000000001E-2</v>
      </c>
      <c r="X193" t="s">
        <v>131</v>
      </c>
      <c r="Y193" t="s">
        <v>51</v>
      </c>
      <c r="Z193" s="133">
        <v>465906.06</v>
      </c>
      <c r="AA193" s="135">
        <v>1</v>
      </c>
      <c r="AB193" s="139">
        <v>109.77</v>
      </c>
      <c r="AD193" s="133">
        <v>511.42500000000001</v>
      </c>
      <c r="AG193" t="s">
        <v>135</v>
      </c>
      <c r="AH193" s="137">
        <v>4.7699999999999999E-4</v>
      </c>
      <c r="AI193" s="137">
        <v>2.9709818743349999E-2</v>
      </c>
      <c r="AJ193" s="137">
        <v>5.0635761433425897E-3</v>
      </c>
    </row>
    <row r="194" spans="1:36">
      <c r="A194">
        <v>161</v>
      </c>
      <c r="B194">
        <v>9942</v>
      </c>
      <c r="C194" t="s">
        <v>1984</v>
      </c>
      <c r="D194" t="s">
        <v>1985</v>
      </c>
      <c r="E194" t="s">
        <v>41</v>
      </c>
      <c r="F194" t="s">
        <v>1986</v>
      </c>
      <c r="G194" t="s">
        <v>1987</v>
      </c>
      <c r="H194" t="s">
        <v>44</v>
      </c>
      <c r="I194" t="s">
        <v>1509</v>
      </c>
      <c r="J194" t="s">
        <v>45</v>
      </c>
      <c r="K194" t="s">
        <v>45</v>
      </c>
      <c r="L194" t="s">
        <v>46</v>
      </c>
      <c r="M194" t="s">
        <v>47</v>
      </c>
      <c r="N194" t="s">
        <v>1034</v>
      </c>
      <c r="O194" t="s">
        <v>51</v>
      </c>
      <c r="P194" t="s">
        <v>1898</v>
      </c>
      <c r="Q194" t="s">
        <v>167</v>
      </c>
      <c r="R194" t="s">
        <v>97</v>
      </c>
      <c r="S194" t="s">
        <v>52</v>
      </c>
      <c r="T194" t="s">
        <v>1988</v>
      </c>
      <c r="U194" t="s">
        <v>1925</v>
      </c>
      <c r="V194" s="137">
        <v>7.2499999999999995E-2</v>
      </c>
      <c r="W194" s="137">
        <v>6.0470000000000003E-2</v>
      </c>
      <c r="X194" t="s">
        <v>131</v>
      </c>
      <c r="Y194" t="s">
        <v>51</v>
      </c>
      <c r="Z194" s="133">
        <v>346400</v>
      </c>
      <c r="AA194" s="135">
        <v>1</v>
      </c>
      <c r="AB194" s="139">
        <v>106.43</v>
      </c>
      <c r="AD194" s="133">
        <v>368.67399999999998</v>
      </c>
      <c r="AG194" t="s">
        <v>135</v>
      </c>
      <c r="AH194" s="137">
        <v>5.4100000000000003E-4</v>
      </c>
      <c r="AI194" s="137">
        <v>2.14170634934658E-2</v>
      </c>
      <c r="AJ194" s="137">
        <v>3.6502050955878299E-3</v>
      </c>
    </row>
    <row r="195" spans="1:36">
      <c r="A195">
        <v>161</v>
      </c>
      <c r="B195">
        <v>9942</v>
      </c>
      <c r="C195" t="s">
        <v>1989</v>
      </c>
      <c r="D195" t="s">
        <v>1990</v>
      </c>
      <c r="E195" t="s">
        <v>41</v>
      </c>
      <c r="F195" t="s">
        <v>2328</v>
      </c>
      <c r="G195" t="s">
        <v>2329</v>
      </c>
      <c r="H195" t="s">
        <v>44</v>
      </c>
      <c r="I195" t="s">
        <v>1509</v>
      </c>
      <c r="J195" t="s">
        <v>45</v>
      </c>
      <c r="K195" t="s">
        <v>45</v>
      </c>
      <c r="L195" t="s">
        <v>46</v>
      </c>
      <c r="M195" t="s">
        <v>47</v>
      </c>
      <c r="N195" t="s">
        <v>58</v>
      </c>
      <c r="O195" t="s">
        <v>51</v>
      </c>
      <c r="P195" t="s">
        <v>1919</v>
      </c>
      <c r="Q195" t="s">
        <v>96</v>
      </c>
      <c r="R195" t="s">
        <v>97</v>
      </c>
      <c r="S195" t="s">
        <v>52</v>
      </c>
      <c r="T195" t="s">
        <v>2330</v>
      </c>
      <c r="U195" t="s">
        <v>2294</v>
      </c>
      <c r="V195" s="137">
        <v>2.5499999999999998E-2</v>
      </c>
      <c r="W195" s="137">
        <v>4.7719999999999999E-2</v>
      </c>
      <c r="X195" t="s">
        <v>131</v>
      </c>
      <c r="Y195" t="s">
        <v>51</v>
      </c>
      <c r="Z195" s="133">
        <v>201923.08</v>
      </c>
      <c r="AA195" s="135">
        <v>1</v>
      </c>
      <c r="AB195" s="139">
        <v>92.08</v>
      </c>
      <c r="AD195" s="133">
        <v>185.93100000000001</v>
      </c>
      <c r="AG195" t="s">
        <v>135</v>
      </c>
      <c r="AH195" s="137">
        <v>5.8999999999999998E-5</v>
      </c>
      <c r="AI195" s="137">
        <v>1.08011314473679E-2</v>
      </c>
      <c r="AJ195" s="137">
        <v>1.8408847253651201E-3</v>
      </c>
    </row>
    <row r="196" spans="1:36">
      <c r="A196">
        <v>161</v>
      </c>
      <c r="B196">
        <v>9942</v>
      </c>
      <c r="C196" t="s">
        <v>1989</v>
      </c>
      <c r="D196" t="s">
        <v>1990</v>
      </c>
      <c r="E196" t="s">
        <v>41</v>
      </c>
      <c r="F196" t="s">
        <v>1991</v>
      </c>
      <c r="G196" t="s">
        <v>1992</v>
      </c>
      <c r="H196" t="s">
        <v>44</v>
      </c>
      <c r="I196" t="s">
        <v>1331</v>
      </c>
      <c r="J196" t="s">
        <v>45</v>
      </c>
      <c r="K196" t="s">
        <v>45</v>
      </c>
      <c r="L196" t="s">
        <v>46</v>
      </c>
      <c r="M196" t="s">
        <v>47</v>
      </c>
      <c r="N196" t="s">
        <v>58</v>
      </c>
      <c r="O196" t="s">
        <v>51</v>
      </c>
      <c r="P196" t="s">
        <v>1919</v>
      </c>
      <c r="Q196" t="s">
        <v>96</v>
      </c>
      <c r="R196" t="s">
        <v>97</v>
      </c>
      <c r="S196" t="s">
        <v>52</v>
      </c>
      <c r="T196" t="s">
        <v>1993</v>
      </c>
      <c r="U196" t="s">
        <v>1994</v>
      </c>
      <c r="V196" s="137">
        <v>5.8999999999999999E-3</v>
      </c>
      <c r="W196" s="137">
        <v>2.716E-2</v>
      </c>
      <c r="X196" t="s">
        <v>131</v>
      </c>
      <c r="Y196" t="s">
        <v>51</v>
      </c>
      <c r="Z196" s="133">
        <v>300000</v>
      </c>
      <c r="AA196" s="135">
        <v>1</v>
      </c>
      <c r="AB196" s="139">
        <v>105.93</v>
      </c>
      <c r="AD196" s="133">
        <v>317.79000000000002</v>
      </c>
      <c r="AG196" t="s">
        <v>135</v>
      </c>
      <c r="AH196" s="137">
        <v>2.14E-4</v>
      </c>
      <c r="AI196" s="137">
        <v>1.84611268191665E-2</v>
      </c>
      <c r="AJ196" s="137">
        <v>3.1464117014068601E-3</v>
      </c>
    </row>
    <row r="197" spans="1:36">
      <c r="A197">
        <v>161</v>
      </c>
      <c r="B197">
        <v>9942</v>
      </c>
      <c r="C197" t="s">
        <v>1989</v>
      </c>
      <c r="D197" t="s">
        <v>1990</v>
      </c>
      <c r="E197" t="s">
        <v>41</v>
      </c>
      <c r="F197" t="s">
        <v>2335</v>
      </c>
      <c r="G197" t="s">
        <v>2336</v>
      </c>
      <c r="H197" t="s">
        <v>44</v>
      </c>
      <c r="I197" t="s">
        <v>1331</v>
      </c>
      <c r="J197" t="s">
        <v>45</v>
      </c>
      <c r="K197" t="s">
        <v>45</v>
      </c>
      <c r="L197" t="s">
        <v>46</v>
      </c>
      <c r="M197" t="s">
        <v>47</v>
      </c>
      <c r="N197" t="s">
        <v>58</v>
      </c>
      <c r="O197" t="s">
        <v>51</v>
      </c>
      <c r="P197" t="s">
        <v>1919</v>
      </c>
      <c r="Q197" t="s">
        <v>96</v>
      </c>
      <c r="R197" t="s">
        <v>97</v>
      </c>
      <c r="S197" t="s">
        <v>52</v>
      </c>
      <c r="T197" t="s">
        <v>2337</v>
      </c>
      <c r="U197" t="s">
        <v>1824</v>
      </c>
      <c r="V197" s="137">
        <v>3.3399999999999999E-2</v>
      </c>
      <c r="W197" s="137">
        <v>2.581E-2</v>
      </c>
      <c r="X197" t="s">
        <v>131</v>
      </c>
      <c r="Y197" t="s">
        <v>51</v>
      </c>
      <c r="Z197" s="133">
        <v>280000</v>
      </c>
      <c r="AA197" s="135">
        <v>1</v>
      </c>
      <c r="AB197" s="139">
        <v>105.73</v>
      </c>
      <c r="AD197" s="133">
        <v>296.04399999999998</v>
      </c>
      <c r="AG197" t="s">
        <v>135</v>
      </c>
      <c r="AH197" s="137">
        <v>2.5999999999999998E-4</v>
      </c>
      <c r="AI197" s="137">
        <v>1.71978533876249E-2</v>
      </c>
      <c r="AJ197" s="137">
        <v>2.9311064090477802E-3</v>
      </c>
    </row>
    <row r="198" spans="1:36">
      <c r="A198">
        <v>161</v>
      </c>
      <c r="B198">
        <v>9942</v>
      </c>
      <c r="C198" t="s">
        <v>1995</v>
      </c>
      <c r="D198" t="s">
        <v>1996</v>
      </c>
      <c r="E198" t="s">
        <v>41</v>
      </c>
      <c r="F198" t="s">
        <v>1997</v>
      </c>
      <c r="G198" t="s">
        <v>1998</v>
      </c>
      <c r="H198" t="s">
        <v>44</v>
      </c>
      <c r="I198" t="s">
        <v>1331</v>
      </c>
      <c r="J198" t="s">
        <v>45</v>
      </c>
      <c r="K198" t="s">
        <v>264</v>
      </c>
      <c r="L198" t="s">
        <v>46</v>
      </c>
      <c r="M198" t="s">
        <v>47</v>
      </c>
      <c r="N198" t="s">
        <v>1050</v>
      </c>
      <c r="O198" t="s">
        <v>51</v>
      </c>
      <c r="P198" t="s">
        <v>1999</v>
      </c>
      <c r="Q198" t="s">
        <v>96</v>
      </c>
      <c r="R198" t="s">
        <v>97</v>
      </c>
      <c r="S198" t="s">
        <v>52</v>
      </c>
      <c r="T198" t="s">
        <v>2000</v>
      </c>
      <c r="U198" t="s">
        <v>2001</v>
      </c>
      <c r="V198" s="137">
        <v>3.2800000000000003E-2</v>
      </c>
      <c r="W198" s="137">
        <v>5.5480000000000002E-2</v>
      </c>
      <c r="X198" t="s">
        <v>131</v>
      </c>
      <c r="Y198" t="s">
        <v>51</v>
      </c>
      <c r="Z198" s="133">
        <v>125000</v>
      </c>
      <c r="AA198" s="135">
        <v>1</v>
      </c>
      <c r="AB198" s="139">
        <v>115.88</v>
      </c>
      <c r="AD198" s="133">
        <v>144.85</v>
      </c>
      <c r="AG198" t="s">
        <v>135</v>
      </c>
      <c r="AH198" s="137">
        <v>9.2E-5</v>
      </c>
      <c r="AI198" s="137">
        <v>8.4146581697229703E-3</v>
      </c>
      <c r="AJ198" s="137">
        <v>1.4341475029068999E-3</v>
      </c>
    </row>
    <row r="199" spans="1:36">
      <c r="A199">
        <v>161</v>
      </c>
      <c r="B199">
        <v>9942</v>
      </c>
      <c r="C199" t="s">
        <v>2338</v>
      </c>
      <c r="D199" t="s">
        <v>2339</v>
      </c>
      <c r="E199" t="s">
        <v>41</v>
      </c>
      <c r="F199" t="s">
        <v>2340</v>
      </c>
      <c r="G199" t="s">
        <v>2341</v>
      </c>
      <c r="H199" t="s">
        <v>44</v>
      </c>
      <c r="I199" t="s">
        <v>1331</v>
      </c>
      <c r="J199" t="s">
        <v>45</v>
      </c>
      <c r="K199" t="s">
        <v>45</v>
      </c>
      <c r="L199" t="s">
        <v>46</v>
      </c>
      <c r="M199" t="s">
        <v>47</v>
      </c>
      <c r="N199" t="s">
        <v>150</v>
      </c>
      <c r="O199" t="s">
        <v>51</v>
      </c>
      <c r="P199" t="s">
        <v>128</v>
      </c>
      <c r="Q199" t="s">
        <v>96</v>
      </c>
      <c r="R199" t="s">
        <v>97</v>
      </c>
      <c r="S199" t="s">
        <v>52</v>
      </c>
      <c r="T199" t="s">
        <v>2342</v>
      </c>
      <c r="U199" t="s">
        <v>2343</v>
      </c>
      <c r="V199" s="137">
        <v>7.4999999999999997E-3</v>
      </c>
      <c r="W199" s="137">
        <v>2.699E-2</v>
      </c>
      <c r="X199" t="s">
        <v>131</v>
      </c>
      <c r="Y199" t="s">
        <v>51</v>
      </c>
      <c r="Z199" s="133">
        <v>0</v>
      </c>
      <c r="AA199" s="135">
        <v>1</v>
      </c>
      <c r="AB199" s="139">
        <v>0</v>
      </c>
      <c r="AC199" s="133">
        <v>0.56000000000000005</v>
      </c>
      <c r="AD199" s="133">
        <v>0.56000000000000005</v>
      </c>
      <c r="AG199" t="s">
        <v>135</v>
      </c>
      <c r="AH199" s="137">
        <v>0</v>
      </c>
      <c r="AI199" s="137">
        <v>3.2524091608441802E-5</v>
      </c>
      <c r="AJ199" s="137">
        <v>5.5432251463754703E-6</v>
      </c>
    </row>
    <row r="200" spans="1:36">
      <c r="A200">
        <v>161</v>
      </c>
      <c r="B200">
        <v>9942</v>
      </c>
      <c r="C200" t="s">
        <v>2002</v>
      </c>
      <c r="D200" t="s">
        <v>2003</v>
      </c>
      <c r="E200" t="s">
        <v>41</v>
      </c>
      <c r="F200" t="s">
        <v>2004</v>
      </c>
      <c r="G200" t="s">
        <v>2005</v>
      </c>
      <c r="H200" t="s">
        <v>44</v>
      </c>
      <c r="I200" t="s">
        <v>1331</v>
      </c>
      <c r="J200" t="s">
        <v>45</v>
      </c>
      <c r="K200" t="s">
        <v>45</v>
      </c>
      <c r="L200" t="s">
        <v>46</v>
      </c>
      <c r="M200" t="s">
        <v>47</v>
      </c>
      <c r="N200" t="s">
        <v>221</v>
      </c>
      <c r="O200" t="s">
        <v>51</v>
      </c>
      <c r="P200" t="s">
        <v>95</v>
      </c>
      <c r="Q200" t="s">
        <v>96</v>
      </c>
      <c r="R200" t="s">
        <v>97</v>
      </c>
      <c r="S200" t="s">
        <v>52</v>
      </c>
      <c r="T200" t="s">
        <v>2006</v>
      </c>
      <c r="U200" t="s">
        <v>2007</v>
      </c>
      <c r="V200" s="137">
        <v>2E-3</v>
      </c>
      <c r="W200" s="137">
        <v>2.4199999999999999E-2</v>
      </c>
      <c r="X200" t="s">
        <v>131</v>
      </c>
      <c r="Y200" t="s">
        <v>51</v>
      </c>
      <c r="Z200" s="133">
        <v>570370.19999999995</v>
      </c>
      <c r="AA200" s="135">
        <v>1</v>
      </c>
      <c r="AB200" s="139">
        <v>106.92</v>
      </c>
      <c r="AD200" s="133">
        <v>609.84</v>
      </c>
      <c r="AG200" t="s">
        <v>135</v>
      </c>
      <c r="AH200" s="137">
        <v>1.93E-4</v>
      </c>
      <c r="AI200" s="137">
        <v>3.5426949295200003E-2</v>
      </c>
      <c r="AJ200" s="137">
        <v>6.0379720533547503E-3</v>
      </c>
    </row>
    <row r="201" spans="1:36">
      <c r="A201">
        <v>161</v>
      </c>
      <c r="B201">
        <v>9942</v>
      </c>
      <c r="C201" t="s">
        <v>2002</v>
      </c>
      <c r="D201" t="s">
        <v>2003</v>
      </c>
      <c r="E201" t="s">
        <v>41</v>
      </c>
      <c r="F201" t="s">
        <v>2382</v>
      </c>
      <c r="G201" t="s">
        <v>2383</v>
      </c>
      <c r="H201" t="s">
        <v>44</v>
      </c>
      <c r="I201" t="s">
        <v>1331</v>
      </c>
      <c r="J201" t="s">
        <v>45</v>
      </c>
      <c r="K201" t="s">
        <v>45</v>
      </c>
      <c r="L201" t="s">
        <v>46</v>
      </c>
      <c r="M201" t="s">
        <v>47</v>
      </c>
      <c r="N201" t="s">
        <v>221</v>
      </c>
      <c r="O201" t="s">
        <v>51</v>
      </c>
      <c r="P201" t="s">
        <v>95</v>
      </c>
      <c r="Q201" t="s">
        <v>96</v>
      </c>
      <c r="R201" t="s">
        <v>97</v>
      </c>
      <c r="S201" t="s">
        <v>52</v>
      </c>
      <c r="T201" t="s">
        <v>2384</v>
      </c>
      <c r="U201" t="s">
        <v>2011</v>
      </c>
      <c r="V201" s="137">
        <v>2.47E-2</v>
      </c>
      <c r="W201" s="137">
        <v>2.615E-2</v>
      </c>
      <c r="X201" t="s">
        <v>131</v>
      </c>
      <c r="Y201" t="s">
        <v>51</v>
      </c>
      <c r="Z201" s="133">
        <v>180400</v>
      </c>
      <c r="AA201" s="135">
        <v>1</v>
      </c>
      <c r="AB201" s="139">
        <v>103.5</v>
      </c>
      <c r="AD201" s="133">
        <v>186.714</v>
      </c>
      <c r="AG201" t="s">
        <v>135</v>
      </c>
      <c r="AH201" s="137">
        <v>7.7000000000000001E-5</v>
      </c>
      <c r="AI201" s="137">
        <v>1.08466308974916E-2</v>
      </c>
      <c r="AJ201" s="137">
        <v>1.84863939839668E-3</v>
      </c>
    </row>
    <row r="202" spans="1:36">
      <c r="A202">
        <v>161</v>
      </c>
      <c r="B202">
        <v>9942</v>
      </c>
      <c r="C202" t="s">
        <v>2002</v>
      </c>
      <c r="D202" t="s">
        <v>2003</v>
      </c>
      <c r="E202" t="s">
        <v>41</v>
      </c>
      <c r="F202" t="s">
        <v>2008</v>
      </c>
      <c r="G202" t="s">
        <v>2009</v>
      </c>
      <c r="H202" t="s">
        <v>44</v>
      </c>
      <c r="I202" t="s">
        <v>1331</v>
      </c>
      <c r="J202" t="s">
        <v>45</v>
      </c>
      <c r="K202" t="s">
        <v>45</v>
      </c>
      <c r="L202" t="s">
        <v>46</v>
      </c>
      <c r="M202" t="s">
        <v>47</v>
      </c>
      <c r="N202" t="s">
        <v>221</v>
      </c>
      <c r="O202" t="s">
        <v>51</v>
      </c>
      <c r="P202" t="s">
        <v>95</v>
      </c>
      <c r="Q202" t="s">
        <v>96</v>
      </c>
      <c r="R202" t="s">
        <v>97</v>
      </c>
      <c r="S202" t="s">
        <v>52</v>
      </c>
      <c r="T202" t="s">
        <v>2010</v>
      </c>
      <c r="U202" t="s">
        <v>2011</v>
      </c>
      <c r="V202" s="137">
        <v>2.4E-2</v>
      </c>
      <c r="W202" s="137">
        <v>2.563E-2</v>
      </c>
      <c r="X202" t="s">
        <v>131</v>
      </c>
      <c r="Y202" t="s">
        <v>51</v>
      </c>
      <c r="Z202" s="133">
        <v>180000</v>
      </c>
      <c r="AA202" s="135">
        <v>1</v>
      </c>
      <c r="AB202" s="139">
        <v>101.59</v>
      </c>
      <c r="AD202" s="133">
        <v>182.86199999999999</v>
      </c>
      <c r="AG202" t="s">
        <v>135</v>
      </c>
      <c r="AH202" s="137">
        <v>4.8000000000000001E-5</v>
      </c>
      <c r="AI202" s="137">
        <v>1.0622859663319901E-2</v>
      </c>
      <c r="AJ202" s="137">
        <v>1.8105010747432599E-3</v>
      </c>
    </row>
    <row r="203" spans="1:36">
      <c r="A203">
        <v>161</v>
      </c>
      <c r="B203">
        <v>9942</v>
      </c>
      <c r="C203" t="s">
        <v>2002</v>
      </c>
      <c r="D203" t="s">
        <v>2003</v>
      </c>
      <c r="E203" t="s">
        <v>41</v>
      </c>
      <c r="F203" t="s">
        <v>2012</v>
      </c>
      <c r="G203" t="s">
        <v>2013</v>
      </c>
      <c r="H203" t="s">
        <v>44</v>
      </c>
      <c r="I203" t="s">
        <v>1509</v>
      </c>
      <c r="J203" t="s">
        <v>45</v>
      </c>
      <c r="K203" t="s">
        <v>45</v>
      </c>
      <c r="L203" t="s">
        <v>46</v>
      </c>
      <c r="M203" t="s">
        <v>47</v>
      </c>
      <c r="N203" t="s">
        <v>221</v>
      </c>
      <c r="O203" t="s">
        <v>51</v>
      </c>
      <c r="P203" t="s">
        <v>95</v>
      </c>
      <c r="Q203" t="s">
        <v>96</v>
      </c>
      <c r="R203" t="s">
        <v>97</v>
      </c>
      <c r="S203" t="s">
        <v>52</v>
      </c>
      <c r="T203" t="s">
        <v>2014</v>
      </c>
      <c r="U203" t="s">
        <v>2015</v>
      </c>
      <c r="V203" s="137">
        <v>2.6800000000000001E-2</v>
      </c>
      <c r="W203" s="137">
        <v>4.3880000000000002E-2</v>
      </c>
      <c r="X203" t="s">
        <v>131</v>
      </c>
      <c r="Y203" t="s">
        <v>51</v>
      </c>
      <c r="Z203" s="133">
        <v>171475.58</v>
      </c>
      <c r="AA203" s="135">
        <v>1</v>
      </c>
      <c r="AB203" s="139">
        <v>96.69</v>
      </c>
      <c r="AD203" s="133">
        <v>165.8</v>
      </c>
      <c r="AG203" t="s">
        <v>135</v>
      </c>
      <c r="AH203" s="137">
        <v>7.2999999999999999E-5</v>
      </c>
      <c r="AI203" s="137">
        <v>9.6316749909620605E-3</v>
      </c>
      <c r="AJ203" s="137">
        <v>1.6415690760678699E-3</v>
      </c>
    </row>
    <row r="204" spans="1:36">
      <c r="A204">
        <v>161</v>
      </c>
      <c r="B204">
        <v>9942</v>
      </c>
      <c r="C204" t="s">
        <v>2002</v>
      </c>
      <c r="D204" t="s">
        <v>2003</v>
      </c>
      <c r="E204" t="s">
        <v>41</v>
      </c>
      <c r="F204" t="s">
        <v>2016</v>
      </c>
      <c r="G204" t="s">
        <v>2017</v>
      </c>
      <c r="H204" t="s">
        <v>44</v>
      </c>
      <c r="I204" t="s">
        <v>1331</v>
      </c>
      <c r="J204" t="s">
        <v>45</v>
      </c>
      <c r="K204" t="s">
        <v>45</v>
      </c>
      <c r="L204" t="s">
        <v>46</v>
      </c>
      <c r="M204" t="s">
        <v>47</v>
      </c>
      <c r="N204" t="s">
        <v>221</v>
      </c>
      <c r="O204" t="s">
        <v>51</v>
      </c>
      <c r="P204" t="s">
        <v>1936</v>
      </c>
      <c r="Q204" t="s">
        <v>96</v>
      </c>
      <c r="R204" t="s">
        <v>97</v>
      </c>
      <c r="S204" t="s">
        <v>52</v>
      </c>
      <c r="T204" t="s">
        <v>2018</v>
      </c>
      <c r="U204" t="s">
        <v>2019</v>
      </c>
      <c r="V204" s="137">
        <v>3.3203000000000003E-2</v>
      </c>
      <c r="W204" s="137">
        <v>2.8549999999999999E-2</v>
      </c>
      <c r="X204" t="s">
        <v>131</v>
      </c>
      <c r="Y204" t="s">
        <v>51</v>
      </c>
      <c r="Z204" s="133">
        <v>270000</v>
      </c>
      <c r="AA204" s="135">
        <v>1</v>
      </c>
      <c r="AB204" s="139">
        <v>106.32</v>
      </c>
      <c r="AD204" s="133">
        <v>287.06400000000002</v>
      </c>
      <c r="AG204" t="s">
        <v>135</v>
      </c>
      <c r="AH204" s="137">
        <v>2.1499999999999999E-4</v>
      </c>
      <c r="AI204" s="137">
        <v>1.6676185245656599E-2</v>
      </c>
      <c r="AJ204" s="137">
        <v>2.8421961945078798E-3</v>
      </c>
    </row>
    <row r="205" spans="1:36">
      <c r="A205">
        <v>161</v>
      </c>
      <c r="B205">
        <v>9942</v>
      </c>
      <c r="C205" t="s">
        <v>2020</v>
      </c>
      <c r="D205" t="s">
        <v>2021</v>
      </c>
      <c r="E205" t="s">
        <v>41</v>
      </c>
      <c r="F205" t="s">
        <v>2022</v>
      </c>
      <c r="G205" t="s">
        <v>2023</v>
      </c>
      <c r="H205" t="s">
        <v>44</v>
      </c>
      <c r="I205" t="s">
        <v>1331</v>
      </c>
      <c r="J205" t="s">
        <v>45</v>
      </c>
      <c r="K205" t="s">
        <v>45</v>
      </c>
      <c r="L205" t="s">
        <v>46</v>
      </c>
      <c r="M205" t="s">
        <v>47</v>
      </c>
      <c r="N205" t="s">
        <v>58</v>
      </c>
      <c r="O205" t="s">
        <v>51</v>
      </c>
      <c r="P205" t="s">
        <v>158</v>
      </c>
      <c r="Q205" t="s">
        <v>96</v>
      </c>
      <c r="R205" t="s">
        <v>97</v>
      </c>
      <c r="S205" t="s">
        <v>52</v>
      </c>
      <c r="T205" t="s">
        <v>2024</v>
      </c>
      <c r="U205" t="s">
        <v>2025</v>
      </c>
      <c r="V205" s="137">
        <v>2.7E-2</v>
      </c>
      <c r="W205" s="137">
        <v>2.6870000000000002E-2</v>
      </c>
      <c r="X205" t="s">
        <v>131</v>
      </c>
      <c r="Y205" t="s">
        <v>51</v>
      </c>
      <c r="Z205" s="133">
        <v>45600</v>
      </c>
      <c r="AA205" s="135">
        <v>1</v>
      </c>
      <c r="AB205" s="139">
        <v>110.23</v>
      </c>
      <c r="AD205" s="133">
        <v>50.265000000000001</v>
      </c>
      <c r="AG205" t="s">
        <v>135</v>
      </c>
      <c r="AH205" s="137">
        <v>1.08E-4</v>
      </c>
      <c r="AI205" s="137">
        <v>2.9199985028798398E-3</v>
      </c>
      <c r="AJ205" s="137">
        <v>4.9766829227417995E-4</v>
      </c>
    </row>
    <row r="206" spans="1:36">
      <c r="A206">
        <v>161</v>
      </c>
      <c r="B206">
        <v>9942</v>
      </c>
      <c r="C206" t="s">
        <v>2020</v>
      </c>
      <c r="D206" t="s">
        <v>2021</v>
      </c>
      <c r="E206" t="s">
        <v>41</v>
      </c>
      <c r="F206" t="s">
        <v>2026</v>
      </c>
      <c r="G206" t="s">
        <v>2027</v>
      </c>
      <c r="H206" t="s">
        <v>44</v>
      </c>
      <c r="I206" t="s">
        <v>1331</v>
      </c>
      <c r="J206" t="s">
        <v>45</v>
      </c>
      <c r="K206" t="s">
        <v>45</v>
      </c>
      <c r="L206" t="s">
        <v>46</v>
      </c>
      <c r="M206" t="s">
        <v>47</v>
      </c>
      <c r="N206" t="s">
        <v>58</v>
      </c>
      <c r="O206" t="s">
        <v>51</v>
      </c>
      <c r="P206" t="s">
        <v>158</v>
      </c>
      <c r="Q206" t="s">
        <v>96</v>
      </c>
      <c r="R206" t="s">
        <v>97</v>
      </c>
      <c r="S206" t="s">
        <v>52</v>
      </c>
      <c r="T206" t="s">
        <v>2028</v>
      </c>
      <c r="U206" t="s">
        <v>2029</v>
      </c>
      <c r="V206" s="137">
        <v>1.7999999999999999E-2</v>
      </c>
      <c r="W206" s="137">
        <v>2.179E-2</v>
      </c>
      <c r="X206" t="s">
        <v>131</v>
      </c>
      <c r="Y206" t="s">
        <v>51</v>
      </c>
      <c r="Z206" s="133">
        <v>229444.43</v>
      </c>
      <c r="AA206" s="135">
        <v>1</v>
      </c>
      <c r="AB206" s="139">
        <v>118.2</v>
      </c>
      <c r="AD206" s="133">
        <v>271.20299999999997</v>
      </c>
      <c r="AG206" t="s">
        <v>135</v>
      </c>
      <c r="AH206" s="137">
        <v>3.3199999999999999E-4</v>
      </c>
      <c r="AI206" s="137">
        <v>1.5754802905234198E-2</v>
      </c>
      <c r="AJ206" s="137">
        <v>2.6851609167714801E-3</v>
      </c>
    </row>
    <row r="207" spans="1:36">
      <c r="A207">
        <v>161</v>
      </c>
      <c r="B207">
        <v>9942</v>
      </c>
      <c r="C207" t="s">
        <v>2030</v>
      </c>
      <c r="D207" t="s">
        <v>2031</v>
      </c>
      <c r="E207" t="s">
        <v>41</v>
      </c>
      <c r="F207" t="s">
        <v>2032</v>
      </c>
      <c r="G207" t="s">
        <v>2033</v>
      </c>
      <c r="H207" t="s">
        <v>44</v>
      </c>
      <c r="I207" t="s">
        <v>1331</v>
      </c>
      <c r="J207" t="s">
        <v>45</v>
      </c>
      <c r="K207" t="s">
        <v>45</v>
      </c>
      <c r="L207" t="s">
        <v>46</v>
      </c>
      <c r="M207" t="s">
        <v>47</v>
      </c>
      <c r="N207" t="s">
        <v>1037</v>
      </c>
      <c r="O207" t="s">
        <v>51</v>
      </c>
      <c r="P207" t="s">
        <v>1919</v>
      </c>
      <c r="Q207" t="s">
        <v>96</v>
      </c>
      <c r="R207" t="s">
        <v>97</v>
      </c>
      <c r="S207" t="s">
        <v>52</v>
      </c>
      <c r="T207" t="s">
        <v>2034</v>
      </c>
      <c r="U207" t="s">
        <v>2035</v>
      </c>
      <c r="V207" s="137">
        <v>4.4000000000000003E-3</v>
      </c>
      <c r="W207" s="137">
        <v>2.4420000000000001E-2</v>
      </c>
      <c r="X207" t="s">
        <v>131</v>
      </c>
      <c r="Y207" t="s">
        <v>51</v>
      </c>
      <c r="Z207" s="133">
        <v>170000</v>
      </c>
      <c r="AA207" s="135">
        <v>1</v>
      </c>
      <c r="AB207" s="139">
        <v>110.89</v>
      </c>
      <c r="AD207" s="133">
        <v>188.51300000000001</v>
      </c>
      <c r="AG207" t="s">
        <v>135</v>
      </c>
      <c r="AH207" s="137">
        <v>1.4999999999999999E-4</v>
      </c>
      <c r="AI207" s="137">
        <v>1.0951138802547399E-2</v>
      </c>
      <c r="AJ207" s="137">
        <v>1.86645114404894E-3</v>
      </c>
    </row>
    <row r="208" spans="1:36">
      <c r="A208">
        <v>161</v>
      </c>
      <c r="B208">
        <v>9942</v>
      </c>
      <c r="C208" t="s">
        <v>2036</v>
      </c>
      <c r="D208" t="s">
        <v>2037</v>
      </c>
      <c r="E208" t="s">
        <v>41</v>
      </c>
      <c r="F208" t="s">
        <v>2038</v>
      </c>
      <c r="G208" t="s">
        <v>2039</v>
      </c>
      <c r="H208" t="s">
        <v>44</v>
      </c>
      <c r="I208" t="s">
        <v>1509</v>
      </c>
      <c r="J208" t="s">
        <v>45</v>
      </c>
      <c r="K208" t="s">
        <v>45</v>
      </c>
      <c r="L208" t="s">
        <v>46</v>
      </c>
      <c r="M208" t="s">
        <v>47</v>
      </c>
      <c r="N208" t="s">
        <v>1037</v>
      </c>
      <c r="O208" t="s">
        <v>51</v>
      </c>
      <c r="P208" t="s">
        <v>183</v>
      </c>
      <c r="Q208" t="s">
        <v>167</v>
      </c>
      <c r="R208" t="s">
        <v>97</v>
      </c>
      <c r="S208" t="s">
        <v>52</v>
      </c>
      <c r="T208" t="s">
        <v>2040</v>
      </c>
      <c r="U208" t="s">
        <v>2041</v>
      </c>
      <c r="V208" s="137">
        <v>1.95E-2</v>
      </c>
      <c r="W208" s="137">
        <v>4.4400000000000002E-2</v>
      </c>
      <c r="X208" t="s">
        <v>131</v>
      </c>
      <c r="Y208" t="s">
        <v>51</v>
      </c>
      <c r="Z208" s="133">
        <v>269584.89</v>
      </c>
      <c r="AA208" s="135">
        <v>1</v>
      </c>
      <c r="AB208" s="139">
        <v>89.99</v>
      </c>
      <c r="AD208" s="133">
        <v>242.59899999999999</v>
      </c>
      <c r="AG208" t="s">
        <v>135</v>
      </c>
      <c r="AH208" s="137">
        <v>2.9599999999999998E-4</v>
      </c>
      <c r="AI208" s="137">
        <v>1.40931403582701E-2</v>
      </c>
      <c r="AJ208" s="137">
        <v>2.40195640099245E-3</v>
      </c>
    </row>
    <row r="209" spans="1:36">
      <c r="A209">
        <v>161</v>
      </c>
      <c r="B209">
        <v>9942</v>
      </c>
      <c r="C209" t="s">
        <v>2042</v>
      </c>
      <c r="D209" t="s">
        <v>2043</v>
      </c>
      <c r="E209" t="s">
        <v>41</v>
      </c>
      <c r="F209" t="s">
        <v>2044</v>
      </c>
      <c r="G209" t="s">
        <v>2045</v>
      </c>
      <c r="H209" t="s">
        <v>44</v>
      </c>
      <c r="I209" t="s">
        <v>1509</v>
      </c>
      <c r="J209" t="s">
        <v>45</v>
      </c>
      <c r="K209" t="s">
        <v>45</v>
      </c>
      <c r="L209" t="s">
        <v>46</v>
      </c>
      <c r="M209" t="s">
        <v>47</v>
      </c>
      <c r="N209" t="s">
        <v>1043</v>
      </c>
      <c r="O209" t="s">
        <v>51</v>
      </c>
      <c r="P209" t="s">
        <v>128</v>
      </c>
      <c r="Q209" t="s">
        <v>96</v>
      </c>
      <c r="R209" t="s">
        <v>97</v>
      </c>
      <c r="S209" t="s">
        <v>52</v>
      </c>
      <c r="T209" t="s">
        <v>2046</v>
      </c>
      <c r="U209" t="s">
        <v>2001</v>
      </c>
      <c r="V209" s="137">
        <v>2.1999999999999999E-2</v>
      </c>
      <c r="W209" s="137">
        <v>4.6530000000000002E-2</v>
      </c>
      <c r="X209" t="s">
        <v>131</v>
      </c>
      <c r="Y209" t="s">
        <v>51</v>
      </c>
      <c r="Z209" s="133">
        <v>152000</v>
      </c>
      <c r="AA209" s="135">
        <v>1</v>
      </c>
      <c r="AB209" s="139">
        <v>97.45</v>
      </c>
      <c r="AD209" s="133">
        <v>148.124</v>
      </c>
      <c r="AG209" t="s">
        <v>135</v>
      </c>
      <c r="AH209" s="137">
        <v>1.75E-4</v>
      </c>
      <c r="AI209" s="137">
        <v>8.6048521003247898E-3</v>
      </c>
      <c r="AJ209" s="137">
        <v>1.46656309782935E-3</v>
      </c>
    </row>
    <row r="210" spans="1:36">
      <c r="A210">
        <v>161</v>
      </c>
      <c r="B210">
        <v>9942</v>
      </c>
      <c r="C210" t="s">
        <v>2047</v>
      </c>
      <c r="D210" t="s">
        <v>2048</v>
      </c>
      <c r="E210" t="s">
        <v>41</v>
      </c>
      <c r="F210" t="s">
        <v>2049</v>
      </c>
      <c r="G210" t="s">
        <v>2050</v>
      </c>
      <c r="H210" t="s">
        <v>44</v>
      </c>
      <c r="I210" t="s">
        <v>1509</v>
      </c>
      <c r="J210" t="s">
        <v>45</v>
      </c>
      <c r="K210" t="s">
        <v>45</v>
      </c>
      <c r="L210" t="s">
        <v>46</v>
      </c>
      <c r="M210" t="s">
        <v>47</v>
      </c>
      <c r="N210" t="s">
        <v>1038</v>
      </c>
      <c r="O210" t="s">
        <v>51</v>
      </c>
      <c r="P210" t="s">
        <v>733</v>
      </c>
      <c r="Q210" t="s">
        <v>733</v>
      </c>
      <c r="R210" t="s">
        <v>733</v>
      </c>
      <c r="S210" t="s">
        <v>52</v>
      </c>
      <c r="T210" t="s">
        <v>2051</v>
      </c>
      <c r="U210" t="s">
        <v>2052</v>
      </c>
      <c r="V210" s="137">
        <v>6.5000000000000002E-2</v>
      </c>
      <c r="W210" s="137">
        <v>6.1179999999999998E-2</v>
      </c>
      <c r="X210" t="s">
        <v>131</v>
      </c>
      <c r="Y210" t="s">
        <v>51</v>
      </c>
      <c r="Z210" s="133">
        <v>80000</v>
      </c>
      <c r="AA210" s="135">
        <v>1</v>
      </c>
      <c r="AB210" s="139">
        <v>102.2</v>
      </c>
      <c r="AD210" s="133">
        <v>81.760000000000005</v>
      </c>
      <c r="AG210" t="s">
        <v>135</v>
      </c>
      <c r="AH210" s="137">
        <v>2.2100000000000001E-4</v>
      </c>
      <c r="AI210" s="137">
        <v>4.7496199651815701E-3</v>
      </c>
      <c r="AJ210" s="137">
        <v>8.0949879073295304E-4</v>
      </c>
    </row>
    <row r="211" spans="1:36">
      <c r="A211">
        <v>161</v>
      </c>
      <c r="B211">
        <v>9942</v>
      </c>
      <c r="C211" t="s">
        <v>2053</v>
      </c>
      <c r="D211" t="s">
        <v>2054</v>
      </c>
      <c r="E211" t="s">
        <v>41</v>
      </c>
      <c r="F211" t="s">
        <v>2059</v>
      </c>
      <c r="G211" t="s">
        <v>2060</v>
      </c>
      <c r="H211" t="s">
        <v>44</v>
      </c>
      <c r="I211" t="s">
        <v>1331</v>
      </c>
      <c r="J211" t="s">
        <v>45</v>
      </c>
      <c r="K211" t="s">
        <v>45</v>
      </c>
      <c r="L211" t="s">
        <v>46</v>
      </c>
      <c r="M211" t="s">
        <v>47</v>
      </c>
      <c r="N211" t="s">
        <v>1034</v>
      </c>
      <c r="O211" t="s">
        <v>51</v>
      </c>
      <c r="P211" t="s">
        <v>95</v>
      </c>
      <c r="Q211" t="s">
        <v>96</v>
      </c>
      <c r="R211" t="s">
        <v>97</v>
      </c>
      <c r="S211" t="s">
        <v>52</v>
      </c>
      <c r="T211" t="s">
        <v>2061</v>
      </c>
      <c r="U211" t="s">
        <v>2062</v>
      </c>
      <c r="V211" s="137">
        <v>2.3900000000000001E-2</v>
      </c>
      <c r="W211" s="137">
        <v>2.555E-2</v>
      </c>
      <c r="X211" t="s">
        <v>131</v>
      </c>
      <c r="Y211" t="s">
        <v>51</v>
      </c>
      <c r="Z211" s="133">
        <v>280000</v>
      </c>
      <c r="AA211" s="135">
        <v>1</v>
      </c>
      <c r="AB211" s="139">
        <v>116.8</v>
      </c>
      <c r="AD211" s="133">
        <v>327.04000000000002</v>
      </c>
      <c r="AG211" t="s">
        <v>135</v>
      </c>
      <c r="AH211" s="137">
        <v>7.2000000000000002E-5</v>
      </c>
      <c r="AI211" s="137">
        <v>1.8998479860726301E-2</v>
      </c>
      <c r="AJ211" s="137">
        <v>3.23799516293181E-3</v>
      </c>
    </row>
    <row r="212" spans="1:36">
      <c r="A212">
        <v>161</v>
      </c>
      <c r="B212">
        <v>9942</v>
      </c>
      <c r="C212" t="s">
        <v>2053</v>
      </c>
      <c r="D212" t="s">
        <v>2054</v>
      </c>
      <c r="E212" t="s">
        <v>41</v>
      </c>
      <c r="F212" t="s">
        <v>2063</v>
      </c>
      <c r="G212" t="s">
        <v>2064</v>
      </c>
      <c r="H212" t="s">
        <v>44</v>
      </c>
      <c r="I212" t="s">
        <v>1331</v>
      </c>
      <c r="J212" t="s">
        <v>45</v>
      </c>
      <c r="K212" t="s">
        <v>45</v>
      </c>
      <c r="L212" t="s">
        <v>46</v>
      </c>
      <c r="M212" t="s">
        <v>47</v>
      </c>
      <c r="N212" t="s">
        <v>1034</v>
      </c>
      <c r="O212" t="s">
        <v>51</v>
      </c>
      <c r="P212" t="s">
        <v>95</v>
      </c>
      <c r="Q212" t="s">
        <v>96</v>
      </c>
      <c r="R212" t="s">
        <v>97</v>
      </c>
      <c r="S212" t="s">
        <v>52</v>
      </c>
      <c r="T212" t="s">
        <v>2065</v>
      </c>
      <c r="U212" t="s">
        <v>2066</v>
      </c>
      <c r="V212" s="137">
        <v>0.03</v>
      </c>
      <c r="W212" s="137">
        <v>2.5870000000000001E-2</v>
      </c>
      <c r="X212" t="s">
        <v>131</v>
      </c>
      <c r="Y212" t="s">
        <v>51</v>
      </c>
      <c r="Z212" s="133">
        <v>180000</v>
      </c>
      <c r="AA212" s="135">
        <v>1</v>
      </c>
      <c r="AB212" s="139">
        <v>110.85</v>
      </c>
      <c r="AD212" s="133">
        <v>199.53</v>
      </c>
      <c r="AG212" t="s">
        <v>135</v>
      </c>
      <c r="AH212" s="137">
        <v>4.3999999999999999E-5</v>
      </c>
      <c r="AI212" s="137">
        <v>1.1591140798100299E-2</v>
      </c>
      <c r="AJ212" s="137">
        <v>1.9755295219538401E-3</v>
      </c>
    </row>
    <row r="213" spans="1:36">
      <c r="A213">
        <v>161</v>
      </c>
      <c r="B213">
        <v>9942</v>
      </c>
      <c r="C213" t="s">
        <v>2067</v>
      </c>
      <c r="D213" t="s">
        <v>2068</v>
      </c>
      <c r="E213" t="s">
        <v>41</v>
      </c>
      <c r="F213" t="s">
        <v>2069</v>
      </c>
      <c r="G213" t="s">
        <v>2070</v>
      </c>
      <c r="H213" t="s">
        <v>44</v>
      </c>
      <c r="I213" t="s">
        <v>1331</v>
      </c>
      <c r="J213" t="s">
        <v>45</v>
      </c>
      <c r="K213" t="s">
        <v>45</v>
      </c>
      <c r="L213" t="s">
        <v>46</v>
      </c>
      <c r="M213" t="s">
        <v>47</v>
      </c>
      <c r="N213" t="s">
        <v>270</v>
      </c>
      <c r="O213" t="s">
        <v>51</v>
      </c>
      <c r="P213" t="s">
        <v>1936</v>
      </c>
      <c r="Q213" t="s">
        <v>96</v>
      </c>
      <c r="R213" t="s">
        <v>97</v>
      </c>
      <c r="S213" t="s">
        <v>52</v>
      </c>
      <c r="T213" t="s">
        <v>2071</v>
      </c>
      <c r="U213" t="s">
        <v>2072</v>
      </c>
      <c r="V213" s="137">
        <v>1.0500000000000001E-2</v>
      </c>
      <c r="W213" s="137">
        <v>2.1870000000000001E-2</v>
      </c>
      <c r="X213" t="s">
        <v>131</v>
      </c>
      <c r="Y213" t="s">
        <v>51</v>
      </c>
      <c r="Z213" s="133">
        <v>80000.009999999995</v>
      </c>
      <c r="AA213" s="135">
        <v>1</v>
      </c>
      <c r="AB213" s="139">
        <v>116.14</v>
      </c>
      <c r="AD213" s="133">
        <v>92.912000000000006</v>
      </c>
      <c r="AG213" t="s">
        <v>135</v>
      </c>
      <c r="AH213" s="137">
        <v>2.9100000000000003E-4</v>
      </c>
      <c r="AI213" s="137">
        <v>5.3974650852132598E-3</v>
      </c>
      <c r="AJ213" s="137">
        <v>9.1991390711960704E-4</v>
      </c>
    </row>
    <row r="214" spans="1:36">
      <c r="A214">
        <v>161</v>
      </c>
      <c r="B214">
        <v>9942</v>
      </c>
      <c r="C214" t="s">
        <v>2067</v>
      </c>
      <c r="D214" t="s">
        <v>2068</v>
      </c>
      <c r="E214" t="s">
        <v>41</v>
      </c>
      <c r="F214" t="s">
        <v>2073</v>
      </c>
      <c r="G214" t="s">
        <v>2074</v>
      </c>
      <c r="H214" t="s">
        <v>44</v>
      </c>
      <c r="I214" t="s">
        <v>1509</v>
      </c>
      <c r="J214" t="s">
        <v>45</v>
      </c>
      <c r="K214" t="s">
        <v>45</v>
      </c>
      <c r="L214" t="s">
        <v>46</v>
      </c>
      <c r="M214" t="s">
        <v>47</v>
      </c>
      <c r="N214" t="s">
        <v>270</v>
      </c>
      <c r="O214" t="s">
        <v>51</v>
      </c>
      <c r="P214" t="s">
        <v>1936</v>
      </c>
      <c r="Q214" t="s">
        <v>96</v>
      </c>
      <c r="R214" t="s">
        <v>97</v>
      </c>
      <c r="S214" t="s">
        <v>52</v>
      </c>
      <c r="T214" t="s">
        <v>2075</v>
      </c>
      <c r="U214" t="s">
        <v>2076</v>
      </c>
      <c r="V214" s="137">
        <v>2.18E-2</v>
      </c>
      <c r="W214" s="137">
        <v>4.8599999999999997E-2</v>
      </c>
      <c r="X214" t="s">
        <v>131</v>
      </c>
      <c r="Y214" t="s">
        <v>51</v>
      </c>
      <c r="Z214" s="133">
        <v>133333.32</v>
      </c>
      <c r="AA214" s="135">
        <v>1</v>
      </c>
      <c r="AB214" s="139">
        <v>96.67</v>
      </c>
      <c r="AD214" s="133">
        <v>128.893</v>
      </c>
      <c r="AG214" t="s">
        <v>135</v>
      </c>
      <c r="AH214" s="137">
        <v>5.8399999999999999E-4</v>
      </c>
      <c r="AI214" s="137">
        <v>7.4876992191703498E-3</v>
      </c>
      <c r="AJ214" s="137">
        <v>1.2761617787790201E-3</v>
      </c>
    </row>
    <row r="215" spans="1:36">
      <c r="A215">
        <v>161</v>
      </c>
      <c r="B215">
        <v>9942</v>
      </c>
      <c r="C215" t="s">
        <v>2077</v>
      </c>
      <c r="D215" t="s">
        <v>2078</v>
      </c>
      <c r="E215" t="s">
        <v>41</v>
      </c>
      <c r="F215" t="s">
        <v>2079</v>
      </c>
      <c r="G215" t="s">
        <v>2080</v>
      </c>
      <c r="H215" t="s">
        <v>44</v>
      </c>
      <c r="I215" t="s">
        <v>1331</v>
      </c>
      <c r="J215" t="s">
        <v>45</v>
      </c>
      <c r="K215" t="s">
        <v>45</v>
      </c>
      <c r="L215" t="s">
        <v>46</v>
      </c>
      <c r="M215" t="s">
        <v>47</v>
      </c>
      <c r="N215" t="s">
        <v>58</v>
      </c>
      <c r="O215" t="s">
        <v>51</v>
      </c>
      <c r="P215" t="s">
        <v>1919</v>
      </c>
      <c r="Q215" t="s">
        <v>96</v>
      </c>
      <c r="R215" t="s">
        <v>97</v>
      </c>
      <c r="S215" t="s">
        <v>52</v>
      </c>
      <c r="T215" t="s">
        <v>2081</v>
      </c>
      <c r="U215" t="s">
        <v>2082</v>
      </c>
      <c r="V215" s="137">
        <v>1.5800000000000002E-2</v>
      </c>
      <c r="W215" s="137">
        <v>1.5440000000000001E-2</v>
      </c>
      <c r="X215" t="s">
        <v>131</v>
      </c>
      <c r="Y215" t="s">
        <v>51</v>
      </c>
      <c r="Z215" s="133">
        <v>63669.57</v>
      </c>
      <c r="AA215" s="135">
        <v>1</v>
      </c>
      <c r="AB215" s="139">
        <v>119.78</v>
      </c>
      <c r="AD215" s="133">
        <v>76.263000000000005</v>
      </c>
      <c r="AG215" t="s">
        <v>135</v>
      </c>
      <c r="AH215" s="137">
        <v>1.6200000000000001E-4</v>
      </c>
      <c r="AI215" s="137">
        <v>4.4303109007090002E-3</v>
      </c>
      <c r="AJ215" s="137">
        <v>7.5507753104155095E-4</v>
      </c>
    </row>
    <row r="216" spans="1:36">
      <c r="A216">
        <v>161</v>
      </c>
      <c r="B216">
        <v>9942</v>
      </c>
      <c r="C216" t="s">
        <v>2077</v>
      </c>
      <c r="D216" t="s">
        <v>2078</v>
      </c>
      <c r="E216" t="s">
        <v>41</v>
      </c>
      <c r="F216" t="s">
        <v>2083</v>
      </c>
      <c r="G216" t="s">
        <v>2084</v>
      </c>
      <c r="H216" t="s">
        <v>44</v>
      </c>
      <c r="I216" t="s">
        <v>1331</v>
      </c>
      <c r="J216" t="s">
        <v>45</v>
      </c>
      <c r="K216" t="s">
        <v>45</v>
      </c>
      <c r="L216" t="s">
        <v>46</v>
      </c>
      <c r="M216" t="s">
        <v>47</v>
      </c>
      <c r="N216" t="s">
        <v>58</v>
      </c>
      <c r="O216" t="s">
        <v>51</v>
      </c>
      <c r="P216" t="s">
        <v>1919</v>
      </c>
      <c r="Q216" t="s">
        <v>96</v>
      </c>
      <c r="R216" t="s">
        <v>97</v>
      </c>
      <c r="S216" t="s">
        <v>52</v>
      </c>
      <c r="T216" t="s">
        <v>2085</v>
      </c>
      <c r="U216" t="s">
        <v>2086</v>
      </c>
      <c r="V216" s="137">
        <v>8.3999999999999995E-3</v>
      </c>
      <c r="W216" s="137">
        <v>2.647E-2</v>
      </c>
      <c r="X216" t="s">
        <v>131</v>
      </c>
      <c r="Y216" t="s">
        <v>51</v>
      </c>
      <c r="Z216" s="133">
        <v>154087.92000000001</v>
      </c>
      <c r="AA216" s="135">
        <v>1</v>
      </c>
      <c r="AB216" s="139">
        <v>110</v>
      </c>
      <c r="AD216" s="133">
        <v>169.49700000000001</v>
      </c>
      <c r="AG216" t="s">
        <v>135</v>
      </c>
      <c r="AH216" s="137">
        <v>2.0799999999999999E-4</v>
      </c>
      <c r="AI216" s="137">
        <v>9.8464404029822705E-3</v>
      </c>
      <c r="AJ216" s="137">
        <v>1.67817249751971E-3</v>
      </c>
    </row>
    <row r="217" spans="1:36">
      <c r="A217">
        <v>161</v>
      </c>
      <c r="B217">
        <v>9942</v>
      </c>
      <c r="C217" t="s">
        <v>1696</v>
      </c>
      <c r="D217" t="s">
        <v>2087</v>
      </c>
      <c r="E217" t="s">
        <v>41</v>
      </c>
      <c r="F217" t="s">
        <v>2088</v>
      </c>
      <c r="G217" t="s">
        <v>2089</v>
      </c>
      <c r="H217" t="s">
        <v>44</v>
      </c>
      <c r="I217" t="s">
        <v>1509</v>
      </c>
      <c r="J217" t="s">
        <v>45</v>
      </c>
      <c r="K217" t="s">
        <v>45</v>
      </c>
      <c r="L217" t="s">
        <v>46</v>
      </c>
      <c r="M217" t="s">
        <v>47</v>
      </c>
      <c r="N217" t="s">
        <v>1037</v>
      </c>
      <c r="O217" t="s">
        <v>51</v>
      </c>
      <c r="P217" t="s">
        <v>128</v>
      </c>
      <c r="Q217" t="s">
        <v>96</v>
      </c>
      <c r="R217" t="s">
        <v>97</v>
      </c>
      <c r="S217" t="s">
        <v>52</v>
      </c>
      <c r="T217" t="s">
        <v>2090</v>
      </c>
      <c r="U217" t="s">
        <v>2091</v>
      </c>
      <c r="V217" s="137">
        <v>5.1200000000000002E-2</v>
      </c>
      <c r="W217" s="137">
        <v>4.9020000000000001E-2</v>
      </c>
      <c r="X217" t="s">
        <v>131</v>
      </c>
      <c r="Y217" t="s">
        <v>51</v>
      </c>
      <c r="Z217" s="133">
        <v>100000</v>
      </c>
      <c r="AA217" s="135">
        <v>1</v>
      </c>
      <c r="AB217" s="139">
        <v>104.5</v>
      </c>
      <c r="AD217" s="133">
        <v>104.5</v>
      </c>
      <c r="AG217" t="s">
        <v>135</v>
      </c>
      <c r="AH217" s="137">
        <v>5.7000000000000003E-5</v>
      </c>
      <c r="AI217" s="137">
        <v>6.0706370641080403E-3</v>
      </c>
      <c r="AJ217" s="137">
        <v>1.03464559236294E-3</v>
      </c>
    </row>
    <row r="218" spans="1:36">
      <c r="A218">
        <v>161</v>
      </c>
      <c r="B218">
        <v>9942</v>
      </c>
      <c r="C218" t="s">
        <v>2092</v>
      </c>
      <c r="D218" t="s">
        <v>2093</v>
      </c>
      <c r="E218" t="s">
        <v>41</v>
      </c>
      <c r="F218" t="s">
        <v>2094</v>
      </c>
      <c r="G218" t="s">
        <v>2095</v>
      </c>
      <c r="H218" t="s">
        <v>44</v>
      </c>
      <c r="I218" t="s">
        <v>1509</v>
      </c>
      <c r="J218" t="s">
        <v>45</v>
      </c>
      <c r="K218" t="s">
        <v>45</v>
      </c>
      <c r="L218" t="s">
        <v>46</v>
      </c>
      <c r="M218" t="s">
        <v>47</v>
      </c>
      <c r="N218" t="s">
        <v>1037</v>
      </c>
      <c r="O218" t="s">
        <v>51</v>
      </c>
      <c r="P218" t="s">
        <v>1936</v>
      </c>
      <c r="Q218" t="s">
        <v>96</v>
      </c>
      <c r="R218" t="s">
        <v>97</v>
      </c>
      <c r="S218" t="s">
        <v>52</v>
      </c>
      <c r="T218" t="s">
        <v>2096</v>
      </c>
      <c r="U218" t="s">
        <v>2097</v>
      </c>
      <c r="V218" s="137">
        <v>2.5000000000000001E-2</v>
      </c>
      <c r="W218" s="137">
        <v>4.6129999999999997E-2</v>
      </c>
      <c r="X218" t="s">
        <v>131</v>
      </c>
      <c r="Y218" t="s">
        <v>51</v>
      </c>
      <c r="Z218" s="133">
        <v>270000</v>
      </c>
      <c r="AA218" s="135">
        <v>1</v>
      </c>
      <c r="AB218" s="139">
        <v>89.3</v>
      </c>
      <c r="AD218" s="133">
        <v>241.11</v>
      </c>
      <c r="AG218" t="s">
        <v>135</v>
      </c>
      <c r="AH218" s="137">
        <v>2.02E-4</v>
      </c>
      <c r="AI218" s="137">
        <v>1.4006615335187499E-2</v>
      </c>
      <c r="AJ218" s="137">
        <v>2.3872095576519402E-3</v>
      </c>
    </row>
    <row r="219" spans="1:36">
      <c r="A219">
        <v>161</v>
      </c>
      <c r="B219">
        <v>9942</v>
      </c>
      <c r="C219" t="s">
        <v>216</v>
      </c>
      <c r="D219" t="s">
        <v>217</v>
      </c>
      <c r="E219" t="s">
        <v>41</v>
      </c>
      <c r="F219" t="s">
        <v>2098</v>
      </c>
      <c r="G219" t="s">
        <v>2099</v>
      </c>
      <c r="H219" t="s">
        <v>44</v>
      </c>
      <c r="I219" t="s">
        <v>1331</v>
      </c>
      <c r="J219" t="s">
        <v>45</v>
      </c>
      <c r="K219" t="s">
        <v>45</v>
      </c>
      <c r="L219" t="s">
        <v>46</v>
      </c>
      <c r="M219" t="s">
        <v>47</v>
      </c>
      <c r="N219" t="s">
        <v>221</v>
      </c>
      <c r="O219" t="s">
        <v>51</v>
      </c>
      <c r="P219" t="s">
        <v>95</v>
      </c>
      <c r="Q219" t="s">
        <v>96</v>
      </c>
      <c r="R219" t="s">
        <v>97</v>
      </c>
      <c r="S219" t="s">
        <v>52</v>
      </c>
      <c r="T219" t="s">
        <v>2100</v>
      </c>
      <c r="U219" t="s">
        <v>2101</v>
      </c>
      <c r="V219" s="137">
        <v>1.8599999999999998E-2</v>
      </c>
      <c r="W219" s="137">
        <v>2.0230000000000001E-2</v>
      </c>
      <c r="X219" t="s">
        <v>131</v>
      </c>
      <c r="Y219" t="s">
        <v>51</v>
      </c>
      <c r="Z219" s="133">
        <v>88900</v>
      </c>
      <c r="AA219" s="135">
        <v>1</v>
      </c>
      <c r="AB219" s="139">
        <v>105.64</v>
      </c>
      <c r="AD219" s="133">
        <v>93.914000000000001</v>
      </c>
      <c r="AG219" t="s">
        <v>135</v>
      </c>
      <c r="AH219" s="137">
        <v>4.0000000000000003E-5</v>
      </c>
      <c r="AI219" s="137">
        <v>5.4556704919919699E-3</v>
      </c>
      <c r="AJ219" s="137">
        <v>9.2983411268276496E-4</v>
      </c>
    </row>
    <row r="220" spans="1:36">
      <c r="A220">
        <v>161</v>
      </c>
      <c r="B220">
        <v>9942</v>
      </c>
      <c r="C220" t="s">
        <v>216</v>
      </c>
      <c r="D220" t="s">
        <v>217</v>
      </c>
      <c r="E220" t="s">
        <v>41</v>
      </c>
      <c r="F220" t="s">
        <v>2102</v>
      </c>
      <c r="G220" t="s">
        <v>2103</v>
      </c>
      <c r="H220" t="s">
        <v>44</v>
      </c>
      <c r="I220" t="s">
        <v>1331</v>
      </c>
      <c r="J220" t="s">
        <v>45</v>
      </c>
      <c r="K220" t="s">
        <v>45</v>
      </c>
      <c r="L220" t="s">
        <v>46</v>
      </c>
      <c r="M220" t="s">
        <v>47</v>
      </c>
      <c r="N220" t="s">
        <v>221</v>
      </c>
      <c r="O220" t="s">
        <v>51</v>
      </c>
      <c r="P220" t="s">
        <v>95</v>
      </c>
      <c r="Q220" t="s">
        <v>96</v>
      </c>
      <c r="R220" t="s">
        <v>97</v>
      </c>
      <c r="S220" t="s">
        <v>52</v>
      </c>
      <c r="T220" t="s">
        <v>2104</v>
      </c>
      <c r="U220" t="s">
        <v>2105</v>
      </c>
      <c r="V220" s="137">
        <v>1E-3</v>
      </c>
      <c r="W220" s="137">
        <v>1.8589999999999999E-2</v>
      </c>
      <c r="X220" t="s">
        <v>131</v>
      </c>
      <c r="Y220" t="s">
        <v>51</v>
      </c>
      <c r="Z220" s="133">
        <v>122000</v>
      </c>
      <c r="AA220" s="135">
        <v>1</v>
      </c>
      <c r="AB220" s="139">
        <v>111.75</v>
      </c>
      <c r="AD220" s="133">
        <v>136.33500000000001</v>
      </c>
      <c r="AG220" t="s">
        <v>135</v>
      </c>
      <c r="AH220" s="137">
        <v>3.8999999999999999E-5</v>
      </c>
      <c r="AI220" s="137">
        <v>7.9200029103844109E-3</v>
      </c>
      <c r="AJ220" s="137">
        <v>1.34984121373015E-3</v>
      </c>
    </row>
    <row r="221" spans="1:36">
      <c r="A221">
        <v>161</v>
      </c>
      <c r="B221">
        <v>9942</v>
      </c>
      <c r="C221" t="s">
        <v>216</v>
      </c>
      <c r="D221" t="s">
        <v>217</v>
      </c>
      <c r="E221" t="s">
        <v>41</v>
      </c>
      <c r="F221" t="s">
        <v>2106</v>
      </c>
      <c r="G221" t="s">
        <v>2107</v>
      </c>
      <c r="H221" t="s">
        <v>44</v>
      </c>
      <c r="I221" t="s">
        <v>1509</v>
      </c>
      <c r="J221" t="s">
        <v>45</v>
      </c>
      <c r="K221" t="s">
        <v>45</v>
      </c>
      <c r="L221" t="s">
        <v>46</v>
      </c>
      <c r="M221" t="s">
        <v>47</v>
      </c>
      <c r="N221" t="s">
        <v>221</v>
      </c>
      <c r="O221" t="s">
        <v>51</v>
      </c>
      <c r="P221" t="s">
        <v>95</v>
      </c>
      <c r="Q221" t="s">
        <v>96</v>
      </c>
      <c r="R221" t="s">
        <v>97</v>
      </c>
      <c r="S221" t="s">
        <v>52</v>
      </c>
      <c r="T221" t="s">
        <v>2108</v>
      </c>
      <c r="U221" t="s">
        <v>2109</v>
      </c>
      <c r="V221" s="137">
        <v>2.76E-2</v>
      </c>
      <c r="W221" s="137">
        <v>4.3610000000000003E-2</v>
      </c>
      <c r="X221" t="s">
        <v>131</v>
      </c>
      <c r="Y221" t="s">
        <v>51</v>
      </c>
      <c r="Z221" s="133">
        <v>342000</v>
      </c>
      <c r="AA221" s="135">
        <v>1</v>
      </c>
      <c r="AB221" s="139">
        <v>98.1</v>
      </c>
      <c r="AD221" s="133">
        <v>335.50200000000001</v>
      </c>
      <c r="AG221" t="s">
        <v>135</v>
      </c>
      <c r="AH221" s="137">
        <v>1.75E-4</v>
      </c>
      <c r="AI221" s="137">
        <v>1.9490056232367201E-2</v>
      </c>
      <c r="AJ221" s="137">
        <v>3.3217767036263098E-3</v>
      </c>
    </row>
    <row r="222" spans="1:36">
      <c r="A222">
        <v>161</v>
      </c>
      <c r="B222">
        <v>9942</v>
      </c>
      <c r="C222" t="s">
        <v>216</v>
      </c>
      <c r="D222" t="s">
        <v>217</v>
      </c>
      <c r="E222" t="s">
        <v>41</v>
      </c>
      <c r="F222" t="s">
        <v>2110</v>
      </c>
      <c r="G222" t="s">
        <v>2111</v>
      </c>
      <c r="H222" t="s">
        <v>44</v>
      </c>
      <c r="I222" t="s">
        <v>1331</v>
      </c>
      <c r="J222" t="s">
        <v>45</v>
      </c>
      <c r="K222" t="s">
        <v>45</v>
      </c>
      <c r="L222" t="s">
        <v>46</v>
      </c>
      <c r="M222" t="s">
        <v>47</v>
      </c>
      <c r="N222" t="s">
        <v>221</v>
      </c>
      <c r="O222" t="s">
        <v>51</v>
      </c>
      <c r="P222" t="s">
        <v>95</v>
      </c>
      <c r="Q222" t="s">
        <v>96</v>
      </c>
      <c r="R222" t="s">
        <v>97</v>
      </c>
      <c r="S222" t="s">
        <v>52</v>
      </c>
      <c r="T222" t="s">
        <v>2112</v>
      </c>
      <c r="U222" t="s">
        <v>2113</v>
      </c>
      <c r="V222" s="137">
        <v>2.0199999999999999E-2</v>
      </c>
      <c r="W222" s="137">
        <v>2.4549999999999999E-2</v>
      </c>
      <c r="X222" t="s">
        <v>131</v>
      </c>
      <c r="Y222" t="s">
        <v>51</v>
      </c>
      <c r="Z222" s="133">
        <v>127000</v>
      </c>
      <c r="AA222" s="135">
        <v>1</v>
      </c>
      <c r="AB222" s="139">
        <v>104.86</v>
      </c>
      <c r="AD222" s="133">
        <v>133.172</v>
      </c>
      <c r="AG222" t="s">
        <v>135</v>
      </c>
      <c r="AH222" s="137">
        <v>2.4000000000000001E-5</v>
      </c>
      <c r="AI222" s="137">
        <v>7.7362688347254504E-3</v>
      </c>
      <c r="AJ222" s="137">
        <v>1.3185266005289499E-3</v>
      </c>
    </row>
    <row r="223" spans="1:36">
      <c r="A223">
        <v>161</v>
      </c>
      <c r="B223">
        <v>9942</v>
      </c>
      <c r="C223" t="s">
        <v>216</v>
      </c>
      <c r="D223" t="s">
        <v>217</v>
      </c>
      <c r="E223" t="s">
        <v>41</v>
      </c>
      <c r="F223" t="s">
        <v>2114</v>
      </c>
      <c r="G223" t="s">
        <v>2115</v>
      </c>
      <c r="H223" t="s">
        <v>44</v>
      </c>
      <c r="I223" t="s">
        <v>1331</v>
      </c>
      <c r="J223" t="s">
        <v>45</v>
      </c>
      <c r="K223" t="s">
        <v>45</v>
      </c>
      <c r="L223" t="s">
        <v>46</v>
      </c>
      <c r="M223" t="s">
        <v>47</v>
      </c>
      <c r="N223" t="s">
        <v>221</v>
      </c>
      <c r="O223" t="s">
        <v>51</v>
      </c>
      <c r="P223" t="s">
        <v>95</v>
      </c>
      <c r="Q223" t="s">
        <v>96</v>
      </c>
      <c r="R223" t="s">
        <v>97</v>
      </c>
      <c r="S223" t="s">
        <v>52</v>
      </c>
      <c r="T223" t="s">
        <v>2116</v>
      </c>
      <c r="U223" t="s">
        <v>2117</v>
      </c>
      <c r="V223" s="137">
        <v>1E-3</v>
      </c>
      <c r="W223" s="137">
        <v>2.4170000000000001E-2</v>
      </c>
      <c r="X223" t="s">
        <v>131</v>
      </c>
      <c r="Y223" t="s">
        <v>51</v>
      </c>
      <c r="Z223" s="133">
        <v>127000</v>
      </c>
      <c r="AA223" s="135">
        <v>1</v>
      </c>
      <c r="AB223" s="139">
        <v>105.8</v>
      </c>
      <c r="AD223" s="133">
        <v>134.36600000000001</v>
      </c>
      <c r="AG223" t="s">
        <v>135</v>
      </c>
      <c r="AH223" s="137">
        <v>3.0000000000000001E-5</v>
      </c>
      <c r="AI223" s="137">
        <v>7.80561932780806E-3</v>
      </c>
      <c r="AJ223" s="137">
        <v>1.3303463125687899E-3</v>
      </c>
    </row>
    <row r="224" spans="1:36">
      <c r="A224">
        <v>161</v>
      </c>
      <c r="B224">
        <v>9942</v>
      </c>
      <c r="C224" t="s">
        <v>216</v>
      </c>
      <c r="D224" t="s">
        <v>217</v>
      </c>
      <c r="E224" t="s">
        <v>41</v>
      </c>
      <c r="F224" t="s">
        <v>2118</v>
      </c>
      <c r="G224" t="s">
        <v>2119</v>
      </c>
      <c r="H224" t="s">
        <v>44</v>
      </c>
      <c r="I224" t="s">
        <v>1509</v>
      </c>
      <c r="J224" t="s">
        <v>45</v>
      </c>
      <c r="K224" t="s">
        <v>45</v>
      </c>
      <c r="L224" t="s">
        <v>46</v>
      </c>
      <c r="M224" t="s">
        <v>47</v>
      </c>
      <c r="N224" t="s">
        <v>221</v>
      </c>
      <c r="O224" t="s">
        <v>51</v>
      </c>
      <c r="P224" t="s">
        <v>202</v>
      </c>
      <c r="Q224" t="s">
        <v>167</v>
      </c>
      <c r="R224" t="s">
        <v>97</v>
      </c>
      <c r="S224" t="s">
        <v>52</v>
      </c>
      <c r="T224" t="s">
        <v>2120</v>
      </c>
      <c r="U224" t="s">
        <v>2121</v>
      </c>
      <c r="V224" s="137">
        <v>4.5900000000000003E-2</v>
      </c>
      <c r="W224" s="137">
        <v>4.4519999999999997E-2</v>
      </c>
      <c r="X224" t="s">
        <v>131</v>
      </c>
      <c r="Y224" t="s">
        <v>51</v>
      </c>
      <c r="Z224" s="133">
        <v>290000</v>
      </c>
      <c r="AA224" s="135">
        <v>1</v>
      </c>
      <c r="AB224" s="139">
        <v>103.3</v>
      </c>
      <c r="AD224" s="133">
        <v>299.57</v>
      </c>
      <c r="AG224" t="s">
        <v>135</v>
      </c>
      <c r="AH224" s="137">
        <v>6.6000000000000005E-5</v>
      </c>
      <c r="AI224" s="137">
        <v>1.7402686557845399E-2</v>
      </c>
      <c r="AJ224" s="137">
        <v>2.96601703448961E-3</v>
      </c>
    </row>
    <row r="225" spans="1:36">
      <c r="A225">
        <v>161</v>
      </c>
      <c r="B225">
        <v>9942</v>
      </c>
      <c r="C225" t="s">
        <v>216</v>
      </c>
      <c r="D225" t="s">
        <v>217</v>
      </c>
      <c r="E225" t="s">
        <v>41</v>
      </c>
      <c r="F225" t="s">
        <v>2122</v>
      </c>
      <c r="G225" t="s">
        <v>2123</v>
      </c>
      <c r="H225" t="s">
        <v>44</v>
      </c>
      <c r="I225" t="s">
        <v>1331</v>
      </c>
      <c r="J225" t="s">
        <v>45</v>
      </c>
      <c r="K225" t="s">
        <v>45</v>
      </c>
      <c r="L225" t="s">
        <v>46</v>
      </c>
      <c r="M225" t="s">
        <v>47</v>
      </c>
      <c r="N225" t="s">
        <v>221</v>
      </c>
      <c r="O225" t="s">
        <v>51</v>
      </c>
      <c r="P225" t="s">
        <v>202</v>
      </c>
      <c r="Q225" t="s">
        <v>167</v>
      </c>
      <c r="R225" t="s">
        <v>97</v>
      </c>
      <c r="S225" t="s">
        <v>52</v>
      </c>
      <c r="T225" t="s">
        <v>2124</v>
      </c>
      <c r="U225" t="s">
        <v>2125</v>
      </c>
      <c r="V225" s="137">
        <v>2.5999999999999999E-2</v>
      </c>
      <c r="W225" s="137">
        <v>2.5020000000000001E-2</v>
      </c>
      <c r="X225" t="s">
        <v>131</v>
      </c>
      <c r="Y225" t="s">
        <v>51</v>
      </c>
      <c r="Z225" s="133">
        <v>290000</v>
      </c>
      <c r="AA225" s="135">
        <v>1</v>
      </c>
      <c r="AB225" s="139">
        <v>102.06</v>
      </c>
      <c r="AD225" s="133">
        <v>295.97399999999999</v>
      </c>
      <c r="AG225" t="s">
        <v>135</v>
      </c>
      <c r="AH225" s="137">
        <v>1.5799999999999999E-4</v>
      </c>
      <c r="AI225" s="137">
        <v>1.7193786932175301E-2</v>
      </c>
      <c r="AJ225" s="137">
        <v>2.9304133450146199E-3</v>
      </c>
    </row>
    <row r="226" spans="1:36">
      <c r="A226">
        <v>161</v>
      </c>
      <c r="B226">
        <v>9942</v>
      </c>
      <c r="C226" t="s">
        <v>216</v>
      </c>
      <c r="D226" t="s">
        <v>217</v>
      </c>
      <c r="E226" t="s">
        <v>41</v>
      </c>
      <c r="F226" t="s">
        <v>2126</v>
      </c>
      <c r="G226" t="s">
        <v>2127</v>
      </c>
      <c r="H226" t="s">
        <v>44</v>
      </c>
      <c r="I226" t="s">
        <v>1331</v>
      </c>
      <c r="J226" t="s">
        <v>45</v>
      </c>
      <c r="K226" t="s">
        <v>45</v>
      </c>
      <c r="L226" t="s">
        <v>46</v>
      </c>
      <c r="M226" t="s">
        <v>47</v>
      </c>
      <c r="N226" t="s">
        <v>221</v>
      </c>
      <c r="O226" t="s">
        <v>51</v>
      </c>
      <c r="P226" t="s">
        <v>1936</v>
      </c>
      <c r="Q226" t="s">
        <v>96</v>
      </c>
      <c r="R226" t="s">
        <v>97</v>
      </c>
      <c r="S226" t="s">
        <v>52</v>
      </c>
      <c r="T226" t="s">
        <v>2128</v>
      </c>
      <c r="U226" t="s">
        <v>2129</v>
      </c>
      <c r="V226" s="137">
        <v>3.1E-2</v>
      </c>
      <c r="W226" s="137">
        <v>2.8199999999999999E-2</v>
      </c>
      <c r="X226" t="s">
        <v>131</v>
      </c>
      <c r="Y226" t="s">
        <v>51</v>
      </c>
      <c r="Z226" s="133">
        <v>280000</v>
      </c>
      <c r="AA226" s="135">
        <v>1</v>
      </c>
      <c r="AB226" s="139">
        <v>104.13</v>
      </c>
      <c r="AD226" s="133">
        <v>291.56400000000002</v>
      </c>
      <c r="AG226" t="s">
        <v>135</v>
      </c>
      <c r="AH226" s="137">
        <v>1.2300000000000001E-4</v>
      </c>
      <c r="AI226" s="137">
        <v>1.69376002388478E-2</v>
      </c>
      <c r="AJ226" s="137">
        <v>2.88675031092542E-3</v>
      </c>
    </row>
    <row r="227" spans="1:36">
      <c r="A227">
        <v>161</v>
      </c>
      <c r="B227">
        <v>9942</v>
      </c>
      <c r="C227" t="s">
        <v>216</v>
      </c>
      <c r="D227" t="s">
        <v>217</v>
      </c>
      <c r="E227" t="s">
        <v>41</v>
      </c>
      <c r="F227" t="s">
        <v>2130</v>
      </c>
      <c r="G227" t="s">
        <v>2131</v>
      </c>
      <c r="H227" t="s">
        <v>44</v>
      </c>
      <c r="I227" t="s">
        <v>1509</v>
      </c>
      <c r="J227" t="s">
        <v>45</v>
      </c>
      <c r="K227" t="s">
        <v>45</v>
      </c>
      <c r="L227" t="s">
        <v>46</v>
      </c>
      <c r="M227" t="s">
        <v>47</v>
      </c>
      <c r="N227" t="s">
        <v>221</v>
      </c>
      <c r="O227" t="s">
        <v>51</v>
      </c>
      <c r="P227" t="s">
        <v>183</v>
      </c>
      <c r="Q227" t="s">
        <v>167</v>
      </c>
      <c r="R227" t="s">
        <v>97</v>
      </c>
      <c r="S227" t="s">
        <v>52</v>
      </c>
      <c r="T227" t="s">
        <v>2132</v>
      </c>
      <c r="U227" t="s">
        <v>2097</v>
      </c>
      <c r="V227" s="137">
        <v>4.6899999999999997E-2</v>
      </c>
      <c r="W227" s="137">
        <v>4.8120000000000003E-2</v>
      </c>
      <c r="X227" t="s">
        <v>131</v>
      </c>
      <c r="Y227" t="s">
        <v>51</v>
      </c>
      <c r="Z227" s="133">
        <v>260000</v>
      </c>
      <c r="AA227" s="135">
        <v>1</v>
      </c>
      <c r="AB227" s="139">
        <v>99.54</v>
      </c>
      <c r="AD227" s="133">
        <v>258.80399999999997</v>
      </c>
      <c r="AG227" t="s">
        <v>135</v>
      </c>
      <c r="AH227" s="137">
        <v>2.2499999999999999E-4</v>
      </c>
      <c r="AI227" s="137">
        <v>1.50344990884155E-2</v>
      </c>
      <c r="AJ227" s="137">
        <v>2.5623963434057099E-3</v>
      </c>
    </row>
    <row r="228" spans="1:36">
      <c r="A228">
        <v>161</v>
      </c>
      <c r="B228">
        <v>9942</v>
      </c>
      <c r="C228" t="s">
        <v>2133</v>
      </c>
      <c r="D228" t="s">
        <v>2134</v>
      </c>
      <c r="E228" t="s">
        <v>41</v>
      </c>
      <c r="F228" t="s">
        <v>2135</v>
      </c>
      <c r="G228" t="s">
        <v>2136</v>
      </c>
      <c r="H228" t="s">
        <v>44</v>
      </c>
      <c r="I228" t="s">
        <v>1331</v>
      </c>
      <c r="J228" t="s">
        <v>45</v>
      </c>
      <c r="K228" t="s">
        <v>45</v>
      </c>
      <c r="L228" t="s">
        <v>46</v>
      </c>
      <c r="M228" t="s">
        <v>47</v>
      </c>
      <c r="N228" t="s">
        <v>58</v>
      </c>
      <c r="O228" t="s">
        <v>51</v>
      </c>
      <c r="P228" t="s">
        <v>1919</v>
      </c>
      <c r="Q228" t="s">
        <v>96</v>
      </c>
      <c r="R228" t="s">
        <v>97</v>
      </c>
      <c r="S228" t="s">
        <v>52</v>
      </c>
      <c r="T228" t="s">
        <v>2137</v>
      </c>
      <c r="U228" t="s">
        <v>2025</v>
      </c>
      <c r="V228" s="137">
        <v>2.81E-2</v>
      </c>
      <c r="W228" s="137">
        <v>2.5319999999999999E-2</v>
      </c>
      <c r="X228" t="s">
        <v>131</v>
      </c>
      <c r="Y228" t="s">
        <v>51</v>
      </c>
      <c r="Z228" s="133">
        <v>78000</v>
      </c>
      <c r="AA228" s="135">
        <v>1</v>
      </c>
      <c r="AB228" s="139">
        <v>120.94</v>
      </c>
      <c r="AD228" s="133">
        <v>94.332999999999998</v>
      </c>
      <c r="AG228" t="s">
        <v>135</v>
      </c>
      <c r="AH228" s="137">
        <v>6.4999999999999994E-5</v>
      </c>
      <c r="AI228" s="137">
        <v>5.4800250746020801E-3</v>
      </c>
      <c r="AJ228" s="137">
        <v>9.3398497218651901E-4</v>
      </c>
    </row>
    <row r="229" spans="1:36">
      <c r="A229">
        <v>161</v>
      </c>
      <c r="B229">
        <v>9942</v>
      </c>
      <c r="C229" t="s">
        <v>2133</v>
      </c>
      <c r="D229" t="s">
        <v>2134</v>
      </c>
      <c r="E229" t="s">
        <v>41</v>
      </c>
      <c r="F229" t="s">
        <v>2366</v>
      </c>
      <c r="G229" t="s">
        <v>2367</v>
      </c>
      <c r="H229" t="s">
        <v>44</v>
      </c>
      <c r="I229" t="s">
        <v>1331</v>
      </c>
      <c r="J229" t="s">
        <v>45</v>
      </c>
      <c r="K229" t="s">
        <v>45</v>
      </c>
      <c r="L229" t="s">
        <v>46</v>
      </c>
      <c r="M229" t="s">
        <v>47</v>
      </c>
      <c r="N229" t="s">
        <v>58</v>
      </c>
      <c r="O229" t="s">
        <v>51</v>
      </c>
      <c r="P229" t="s">
        <v>1919</v>
      </c>
      <c r="Q229" t="s">
        <v>96</v>
      </c>
      <c r="R229" t="s">
        <v>97</v>
      </c>
      <c r="S229" t="s">
        <v>52</v>
      </c>
      <c r="T229" t="s">
        <v>2368</v>
      </c>
      <c r="U229" t="s">
        <v>2001</v>
      </c>
      <c r="V229" s="137">
        <v>3.6999999999999998E-2</v>
      </c>
      <c r="W229" s="137">
        <v>2.1329999999999998E-2</v>
      </c>
      <c r="X229" t="s">
        <v>131</v>
      </c>
      <c r="Y229" t="s">
        <v>51</v>
      </c>
      <c r="Z229" s="133">
        <v>92174.080000000002</v>
      </c>
      <c r="AA229" s="135">
        <v>1</v>
      </c>
      <c r="AB229" s="139">
        <v>121.32</v>
      </c>
      <c r="AD229" s="133">
        <v>111.82599999999999</v>
      </c>
      <c r="AG229" t="s">
        <v>135</v>
      </c>
      <c r="AH229" s="137">
        <v>4.0900000000000002E-4</v>
      </c>
      <c r="AI229" s="137">
        <v>6.4961970792165201E-3</v>
      </c>
      <c r="AJ229" s="137">
        <v>1.1071756726935701E-3</v>
      </c>
    </row>
    <row r="230" spans="1:36">
      <c r="A230">
        <v>161</v>
      </c>
      <c r="B230">
        <v>9942</v>
      </c>
      <c r="C230" t="s">
        <v>2138</v>
      </c>
      <c r="D230" t="s">
        <v>2139</v>
      </c>
      <c r="E230" t="s">
        <v>41</v>
      </c>
      <c r="F230" t="s">
        <v>2140</v>
      </c>
      <c r="G230" t="s">
        <v>2141</v>
      </c>
      <c r="H230" t="s">
        <v>44</v>
      </c>
      <c r="I230" t="s">
        <v>1509</v>
      </c>
      <c r="J230" t="s">
        <v>45</v>
      </c>
      <c r="K230" t="s">
        <v>45</v>
      </c>
      <c r="L230" t="s">
        <v>46</v>
      </c>
      <c r="M230" t="s">
        <v>47</v>
      </c>
      <c r="N230" t="s">
        <v>1037</v>
      </c>
      <c r="O230" t="s">
        <v>51</v>
      </c>
      <c r="P230" t="s">
        <v>166</v>
      </c>
      <c r="Q230" t="s">
        <v>167</v>
      </c>
      <c r="R230" t="s">
        <v>97</v>
      </c>
      <c r="S230" t="s">
        <v>52</v>
      </c>
      <c r="T230" t="s">
        <v>2142</v>
      </c>
      <c r="U230" t="s">
        <v>241</v>
      </c>
      <c r="V230" s="137">
        <v>4.1000000000000002E-2</v>
      </c>
      <c r="W230" s="137">
        <v>4.836E-2</v>
      </c>
      <c r="X230" t="s">
        <v>131</v>
      </c>
      <c r="Y230" t="s">
        <v>51</v>
      </c>
      <c r="Z230" s="133">
        <v>130000</v>
      </c>
      <c r="AA230" s="135">
        <v>1</v>
      </c>
      <c r="AB230" s="139">
        <v>100.5</v>
      </c>
      <c r="AD230" s="133">
        <v>130.65</v>
      </c>
      <c r="AG230" t="s">
        <v>135</v>
      </c>
      <c r="AH230" s="137">
        <v>1.8200000000000001E-4</v>
      </c>
      <c r="AI230" s="137">
        <v>7.5897486356527903E-3</v>
      </c>
      <c r="AJ230" s="137">
        <v>1.2935545133226599E-3</v>
      </c>
    </row>
    <row r="231" spans="1:36">
      <c r="A231">
        <v>161</v>
      </c>
      <c r="B231">
        <v>9942</v>
      </c>
      <c r="C231" t="s">
        <v>2138</v>
      </c>
      <c r="D231" t="s">
        <v>2139</v>
      </c>
      <c r="E231" t="s">
        <v>41</v>
      </c>
      <c r="F231" t="s">
        <v>2143</v>
      </c>
      <c r="G231" t="s">
        <v>2144</v>
      </c>
      <c r="H231" t="s">
        <v>44</v>
      </c>
      <c r="I231" t="s">
        <v>1509</v>
      </c>
      <c r="J231" t="s">
        <v>45</v>
      </c>
      <c r="K231" t="s">
        <v>45</v>
      </c>
      <c r="L231" t="s">
        <v>46</v>
      </c>
      <c r="M231" t="s">
        <v>47</v>
      </c>
      <c r="N231" t="s">
        <v>1037</v>
      </c>
      <c r="O231" t="s">
        <v>51</v>
      </c>
      <c r="P231" t="s">
        <v>166</v>
      </c>
      <c r="Q231" t="s">
        <v>167</v>
      </c>
      <c r="R231" t="s">
        <v>97</v>
      </c>
      <c r="S231" t="s">
        <v>52</v>
      </c>
      <c r="T231" t="s">
        <v>2145</v>
      </c>
      <c r="U231" t="s">
        <v>2146</v>
      </c>
      <c r="V231" s="137">
        <v>4.7800000000000002E-2</v>
      </c>
      <c r="W231" s="137">
        <v>4.727E-2</v>
      </c>
      <c r="X231" t="s">
        <v>131</v>
      </c>
      <c r="Y231" t="s">
        <v>51</v>
      </c>
      <c r="Z231" s="133">
        <v>100000</v>
      </c>
      <c r="AA231" s="135">
        <v>1</v>
      </c>
      <c r="AB231" s="139">
        <v>102.2</v>
      </c>
      <c r="AD231" s="133">
        <v>102.2</v>
      </c>
      <c r="AG231" t="s">
        <v>135</v>
      </c>
      <c r="AH231" s="137">
        <v>3.7399999999999998E-4</v>
      </c>
      <c r="AI231" s="137">
        <v>5.9370249564769601E-3</v>
      </c>
      <c r="AJ231" s="137">
        <v>1.01187348841619E-3</v>
      </c>
    </row>
    <row r="232" spans="1:36">
      <c r="A232">
        <v>161</v>
      </c>
      <c r="B232">
        <v>9942</v>
      </c>
      <c r="C232" t="s">
        <v>2138</v>
      </c>
      <c r="D232" t="s">
        <v>2139</v>
      </c>
      <c r="E232" t="s">
        <v>41</v>
      </c>
      <c r="F232" t="s">
        <v>2147</v>
      </c>
      <c r="G232" t="s">
        <v>2148</v>
      </c>
      <c r="H232" t="s">
        <v>44</v>
      </c>
      <c r="I232" t="s">
        <v>1509</v>
      </c>
      <c r="J232" t="s">
        <v>45</v>
      </c>
      <c r="K232" t="s">
        <v>45</v>
      </c>
      <c r="L232" t="s">
        <v>46</v>
      </c>
      <c r="M232" t="s">
        <v>47</v>
      </c>
      <c r="N232" t="s">
        <v>1037</v>
      </c>
      <c r="O232" t="s">
        <v>51</v>
      </c>
      <c r="P232" t="s">
        <v>166</v>
      </c>
      <c r="Q232" t="s">
        <v>167</v>
      </c>
      <c r="R232" t="s">
        <v>97</v>
      </c>
      <c r="S232" t="s">
        <v>52</v>
      </c>
      <c r="T232" t="s">
        <v>2149</v>
      </c>
      <c r="U232" t="s">
        <v>2150</v>
      </c>
      <c r="V232" s="137">
        <v>4.7800000000000002E-2</v>
      </c>
      <c r="W232" s="137">
        <v>4.7370000000000002E-2</v>
      </c>
      <c r="X232" t="s">
        <v>131</v>
      </c>
      <c r="Y232" t="s">
        <v>51</v>
      </c>
      <c r="Z232" s="133">
        <v>100000</v>
      </c>
      <c r="AA232" s="135">
        <v>1</v>
      </c>
      <c r="AB232" s="139">
        <v>102.19</v>
      </c>
      <c r="AD232" s="133">
        <v>102.19</v>
      </c>
      <c r="AG232" t="s">
        <v>135</v>
      </c>
      <c r="AH232" s="137">
        <v>3.7399999999999998E-4</v>
      </c>
      <c r="AI232" s="137">
        <v>5.9364440342698699E-3</v>
      </c>
      <c r="AJ232" s="137">
        <v>1.0117744792686001E-3</v>
      </c>
    </row>
    <row r="233" spans="1:36">
      <c r="A233">
        <v>161</v>
      </c>
      <c r="B233">
        <v>9942</v>
      </c>
      <c r="C233" t="s">
        <v>2151</v>
      </c>
      <c r="D233" t="s">
        <v>2152</v>
      </c>
      <c r="E233" t="s">
        <v>41</v>
      </c>
      <c r="F233" t="s">
        <v>2153</v>
      </c>
      <c r="G233" t="s">
        <v>2154</v>
      </c>
      <c r="H233" t="s">
        <v>44</v>
      </c>
      <c r="I233" t="s">
        <v>1331</v>
      </c>
      <c r="J233" t="s">
        <v>45</v>
      </c>
      <c r="K233" t="s">
        <v>45</v>
      </c>
      <c r="L233" t="s">
        <v>46</v>
      </c>
      <c r="M233" t="s">
        <v>47</v>
      </c>
      <c r="N233" t="s">
        <v>58</v>
      </c>
      <c r="O233" t="s">
        <v>51</v>
      </c>
      <c r="P233" t="s">
        <v>128</v>
      </c>
      <c r="Q233" t="s">
        <v>96</v>
      </c>
      <c r="R233" t="s">
        <v>97</v>
      </c>
      <c r="S233" t="s">
        <v>52</v>
      </c>
      <c r="T233" t="s">
        <v>2155</v>
      </c>
      <c r="U233" t="s">
        <v>2156</v>
      </c>
      <c r="V233" s="137">
        <v>2.0500000000000001E-2</v>
      </c>
      <c r="W233" s="137">
        <v>1.7149999999999999E-2</v>
      </c>
      <c r="X233" t="s">
        <v>131</v>
      </c>
      <c r="Y233" t="s">
        <v>51</v>
      </c>
      <c r="Z233" s="133">
        <v>97969.78</v>
      </c>
      <c r="AA233" s="135">
        <v>1</v>
      </c>
      <c r="AB233" s="139">
        <v>119.96</v>
      </c>
      <c r="AD233" s="133">
        <v>117.52500000000001</v>
      </c>
      <c r="AG233" t="s">
        <v>135</v>
      </c>
      <c r="AH233" s="137">
        <v>1.95E-4</v>
      </c>
      <c r="AI233" s="137">
        <v>6.8272619862733098E-3</v>
      </c>
      <c r="AJ233" s="137">
        <v>1.1636005327626299E-3</v>
      </c>
    </row>
    <row r="234" spans="1:36">
      <c r="A234">
        <v>161</v>
      </c>
      <c r="B234">
        <v>9942</v>
      </c>
      <c r="C234" t="s">
        <v>2161</v>
      </c>
      <c r="D234" t="s">
        <v>2162</v>
      </c>
      <c r="E234" t="s">
        <v>41</v>
      </c>
      <c r="F234" t="s">
        <v>2163</v>
      </c>
      <c r="G234" t="s">
        <v>2164</v>
      </c>
      <c r="H234" t="s">
        <v>44</v>
      </c>
      <c r="I234" t="s">
        <v>1331</v>
      </c>
      <c r="J234" t="s">
        <v>45</v>
      </c>
      <c r="K234" t="s">
        <v>45</v>
      </c>
      <c r="L234" t="s">
        <v>46</v>
      </c>
      <c r="M234" t="s">
        <v>47</v>
      </c>
      <c r="N234" t="s">
        <v>221</v>
      </c>
      <c r="O234" t="s">
        <v>51</v>
      </c>
      <c r="P234" t="s">
        <v>95</v>
      </c>
      <c r="Q234" t="s">
        <v>96</v>
      </c>
      <c r="R234" t="s">
        <v>97</v>
      </c>
      <c r="S234" t="s">
        <v>52</v>
      </c>
      <c r="T234" t="s">
        <v>2165</v>
      </c>
      <c r="U234" t="s">
        <v>2166</v>
      </c>
      <c r="V234" s="137">
        <v>1E-3</v>
      </c>
      <c r="W234" s="137">
        <v>2.3130000000000001E-2</v>
      </c>
      <c r="X234" t="s">
        <v>131</v>
      </c>
      <c r="Y234" t="s">
        <v>51</v>
      </c>
      <c r="Z234" s="133">
        <v>36957</v>
      </c>
      <c r="AA234" s="135">
        <v>1</v>
      </c>
      <c r="AB234" s="139">
        <v>108.87</v>
      </c>
      <c r="AD234" s="133">
        <v>40.234999999999999</v>
      </c>
      <c r="AG234" t="s">
        <v>135</v>
      </c>
      <c r="AH234" s="137">
        <v>1.1E-5</v>
      </c>
      <c r="AI234" s="137">
        <v>2.33734549035513E-3</v>
      </c>
      <c r="AJ234" s="137">
        <v>3.9836415583520602E-4</v>
      </c>
    </row>
    <row r="235" spans="1:36">
      <c r="A235">
        <v>161</v>
      </c>
      <c r="B235">
        <v>9942</v>
      </c>
      <c r="C235" t="s">
        <v>2161</v>
      </c>
      <c r="D235" t="s">
        <v>2162</v>
      </c>
      <c r="E235" t="s">
        <v>41</v>
      </c>
      <c r="F235" t="s">
        <v>2167</v>
      </c>
      <c r="G235" t="s">
        <v>2168</v>
      </c>
      <c r="H235" t="s">
        <v>44</v>
      </c>
      <c r="I235" t="s">
        <v>1509</v>
      </c>
      <c r="J235" t="s">
        <v>45</v>
      </c>
      <c r="K235" t="s">
        <v>45</v>
      </c>
      <c r="L235" t="s">
        <v>46</v>
      </c>
      <c r="M235" t="s">
        <v>47</v>
      </c>
      <c r="N235" t="s">
        <v>221</v>
      </c>
      <c r="O235" t="s">
        <v>51</v>
      </c>
      <c r="P235" t="s">
        <v>95</v>
      </c>
      <c r="Q235" t="s">
        <v>96</v>
      </c>
      <c r="R235" t="s">
        <v>97</v>
      </c>
      <c r="S235" t="s">
        <v>52</v>
      </c>
      <c r="T235" t="s">
        <v>2169</v>
      </c>
      <c r="U235" t="s">
        <v>2170</v>
      </c>
      <c r="V235" s="137">
        <v>2.7400000000000001E-2</v>
      </c>
      <c r="W235" s="137">
        <v>4.3900000000000002E-2</v>
      </c>
      <c r="X235" t="s">
        <v>131</v>
      </c>
      <c r="Y235" t="s">
        <v>51</v>
      </c>
      <c r="Z235" s="133">
        <v>520000</v>
      </c>
      <c r="AA235" s="135">
        <v>1</v>
      </c>
      <c r="AB235" s="139">
        <v>98.89</v>
      </c>
      <c r="AD235" s="133">
        <v>514.22799999999995</v>
      </c>
      <c r="AG235" t="s">
        <v>135</v>
      </c>
      <c r="AH235" s="137">
        <v>1.9699999999999999E-4</v>
      </c>
      <c r="AI235" s="137">
        <v>2.9872646470833999E-2</v>
      </c>
      <c r="AJ235" s="137">
        <v>5.0913275949244696E-3</v>
      </c>
    </row>
    <row r="236" spans="1:36">
      <c r="A236">
        <v>161</v>
      </c>
      <c r="B236">
        <v>9942</v>
      </c>
      <c r="C236" t="s">
        <v>2161</v>
      </c>
      <c r="D236" t="s">
        <v>2162</v>
      </c>
      <c r="E236" t="s">
        <v>41</v>
      </c>
      <c r="F236" t="s">
        <v>2171</v>
      </c>
      <c r="G236" t="s">
        <v>2172</v>
      </c>
      <c r="H236" t="s">
        <v>44</v>
      </c>
      <c r="I236" t="s">
        <v>1331</v>
      </c>
      <c r="J236" t="s">
        <v>45</v>
      </c>
      <c r="K236" t="s">
        <v>45</v>
      </c>
      <c r="L236" t="s">
        <v>46</v>
      </c>
      <c r="M236" t="s">
        <v>47</v>
      </c>
      <c r="N236" t="s">
        <v>221</v>
      </c>
      <c r="O236" t="s">
        <v>51</v>
      </c>
      <c r="P236" t="s">
        <v>202</v>
      </c>
      <c r="Q236" t="s">
        <v>167</v>
      </c>
      <c r="R236" t="s">
        <v>97</v>
      </c>
      <c r="S236" t="s">
        <v>52</v>
      </c>
      <c r="T236" t="s">
        <v>2173</v>
      </c>
      <c r="U236" t="s">
        <v>2174</v>
      </c>
      <c r="V236" s="137">
        <v>5.0000000000000001E-3</v>
      </c>
      <c r="W236" s="137">
        <v>1.523E-2</v>
      </c>
      <c r="X236" t="s">
        <v>131</v>
      </c>
      <c r="Y236" t="s">
        <v>51</v>
      </c>
      <c r="Z236" s="133">
        <v>89000</v>
      </c>
      <c r="AA236" s="135">
        <v>1</v>
      </c>
      <c r="AB236" s="139">
        <v>116.07</v>
      </c>
      <c r="AD236" s="133">
        <v>103.30200000000001</v>
      </c>
      <c r="AG236" t="s">
        <v>135</v>
      </c>
      <c r="AH236" s="137">
        <v>1.17E-4</v>
      </c>
      <c r="AI236" s="137">
        <v>6.0010600113646799E-3</v>
      </c>
      <c r="AJ236" s="137">
        <v>1.02278726675554E-3</v>
      </c>
    </row>
    <row r="237" spans="1:36">
      <c r="A237">
        <v>161</v>
      </c>
      <c r="B237">
        <v>9942</v>
      </c>
      <c r="C237" t="s">
        <v>2161</v>
      </c>
      <c r="D237" t="s">
        <v>2162</v>
      </c>
      <c r="E237" t="s">
        <v>41</v>
      </c>
      <c r="F237" t="s">
        <v>2175</v>
      </c>
      <c r="G237" t="s">
        <v>2176</v>
      </c>
      <c r="H237" t="s">
        <v>44</v>
      </c>
      <c r="I237" t="s">
        <v>1331</v>
      </c>
      <c r="J237" t="s">
        <v>45</v>
      </c>
      <c r="K237" t="s">
        <v>45</v>
      </c>
      <c r="L237" t="s">
        <v>46</v>
      </c>
      <c r="M237" t="s">
        <v>47</v>
      </c>
      <c r="N237" t="s">
        <v>221</v>
      </c>
      <c r="O237" t="s">
        <v>51</v>
      </c>
      <c r="P237" t="s">
        <v>95</v>
      </c>
      <c r="Q237" t="s">
        <v>96</v>
      </c>
      <c r="R237" t="s">
        <v>97</v>
      </c>
      <c r="S237" t="s">
        <v>52</v>
      </c>
      <c r="T237" t="s">
        <v>2177</v>
      </c>
      <c r="U237" t="s">
        <v>2178</v>
      </c>
      <c r="V237" s="137">
        <v>2E-3</v>
      </c>
      <c r="W237" s="137">
        <v>2.495E-2</v>
      </c>
      <c r="X237" t="s">
        <v>131</v>
      </c>
      <c r="Y237" t="s">
        <v>51</v>
      </c>
      <c r="Z237" s="133">
        <v>180000</v>
      </c>
      <c r="AA237" s="135">
        <v>1</v>
      </c>
      <c r="AB237" s="139">
        <v>107.35</v>
      </c>
      <c r="AD237" s="133">
        <v>193.23</v>
      </c>
      <c r="AG237" t="s">
        <v>135</v>
      </c>
      <c r="AH237" s="137">
        <v>5.1999999999999997E-5</v>
      </c>
      <c r="AI237" s="137">
        <v>1.1225159807632499E-2</v>
      </c>
      <c r="AJ237" s="137">
        <v>1.9131537589692799E-3</v>
      </c>
    </row>
    <row r="238" spans="1:36">
      <c r="A238">
        <v>161</v>
      </c>
      <c r="B238">
        <v>9942</v>
      </c>
      <c r="C238" t="s">
        <v>2182</v>
      </c>
      <c r="D238" t="s">
        <v>2183</v>
      </c>
      <c r="E238" t="s">
        <v>41</v>
      </c>
      <c r="F238" t="s">
        <v>2184</v>
      </c>
      <c r="G238" t="s">
        <v>2185</v>
      </c>
      <c r="H238" t="s">
        <v>44</v>
      </c>
      <c r="I238" t="s">
        <v>1331</v>
      </c>
      <c r="J238" t="s">
        <v>45</v>
      </c>
      <c r="K238" t="s">
        <v>45</v>
      </c>
      <c r="L238" t="s">
        <v>46</v>
      </c>
      <c r="M238" t="s">
        <v>47</v>
      </c>
      <c r="N238" t="s">
        <v>1035</v>
      </c>
      <c r="O238" t="s">
        <v>51</v>
      </c>
      <c r="P238" t="s">
        <v>166</v>
      </c>
      <c r="Q238" t="s">
        <v>167</v>
      </c>
      <c r="R238" t="s">
        <v>97</v>
      </c>
      <c r="S238" t="s">
        <v>52</v>
      </c>
      <c r="T238" t="s">
        <v>2186</v>
      </c>
      <c r="U238" t="s">
        <v>2187</v>
      </c>
      <c r="V238" s="137">
        <v>0.01</v>
      </c>
      <c r="W238" s="137">
        <v>2.8559999999999999E-2</v>
      </c>
      <c r="X238" t="s">
        <v>131</v>
      </c>
      <c r="Y238" t="s">
        <v>51</v>
      </c>
      <c r="Z238" s="133">
        <v>245420.7</v>
      </c>
      <c r="AA238" s="135">
        <v>1</v>
      </c>
      <c r="AB238" s="139">
        <v>109.85</v>
      </c>
      <c r="AD238" s="133">
        <v>269.59500000000003</v>
      </c>
      <c r="AG238" t="s">
        <v>135</v>
      </c>
      <c r="AH238" s="137">
        <v>1.45E-4</v>
      </c>
      <c r="AI238" s="137">
        <v>1.5661351267891799E-2</v>
      </c>
      <c r="AJ238" s="137">
        <v>2.6692335398497101E-3</v>
      </c>
    </row>
    <row r="239" spans="1:36">
      <c r="A239">
        <v>161</v>
      </c>
      <c r="B239">
        <v>9942</v>
      </c>
      <c r="C239" t="s">
        <v>2182</v>
      </c>
      <c r="D239" t="s">
        <v>2183</v>
      </c>
      <c r="E239" t="s">
        <v>41</v>
      </c>
      <c r="F239" t="s">
        <v>2188</v>
      </c>
      <c r="G239" t="s">
        <v>2189</v>
      </c>
      <c r="H239" t="s">
        <v>44</v>
      </c>
      <c r="I239" t="s">
        <v>1331</v>
      </c>
      <c r="J239" t="s">
        <v>45</v>
      </c>
      <c r="K239" t="s">
        <v>45</v>
      </c>
      <c r="L239" t="s">
        <v>46</v>
      </c>
      <c r="M239" t="s">
        <v>47</v>
      </c>
      <c r="N239" t="s">
        <v>1035</v>
      </c>
      <c r="O239" t="s">
        <v>51</v>
      </c>
      <c r="P239" t="s">
        <v>166</v>
      </c>
      <c r="Q239" t="s">
        <v>167</v>
      </c>
      <c r="R239" t="s">
        <v>97</v>
      </c>
      <c r="S239" t="s">
        <v>52</v>
      </c>
      <c r="T239" t="s">
        <v>2190</v>
      </c>
      <c r="U239" t="s">
        <v>1866</v>
      </c>
      <c r="V239" s="137">
        <v>3.5400000000000001E-2</v>
      </c>
      <c r="W239" s="137">
        <v>2.3179999999999999E-2</v>
      </c>
      <c r="X239" t="s">
        <v>131</v>
      </c>
      <c r="Y239" t="s">
        <v>51</v>
      </c>
      <c r="Z239" s="133">
        <v>87500</v>
      </c>
      <c r="AA239" s="135">
        <v>1</v>
      </c>
      <c r="AB239" s="139">
        <v>110.42</v>
      </c>
      <c r="AD239" s="133">
        <v>96.617999999999995</v>
      </c>
      <c r="AG239" t="s">
        <v>135</v>
      </c>
      <c r="AH239" s="137">
        <v>1.5699999999999999E-4</v>
      </c>
      <c r="AI239" s="137">
        <v>5.6127251343680304E-3</v>
      </c>
      <c r="AJ239" s="137">
        <v>9.5660163177153999E-4</v>
      </c>
    </row>
    <row r="240" spans="1:36">
      <c r="A240">
        <v>161</v>
      </c>
      <c r="B240">
        <v>9942</v>
      </c>
      <c r="C240" t="s">
        <v>2191</v>
      </c>
      <c r="D240" t="s">
        <v>2192</v>
      </c>
      <c r="E240" t="s">
        <v>41</v>
      </c>
      <c r="F240" t="s">
        <v>2193</v>
      </c>
      <c r="G240" t="s">
        <v>2194</v>
      </c>
      <c r="H240" t="s">
        <v>44</v>
      </c>
      <c r="I240" t="s">
        <v>1331</v>
      </c>
      <c r="J240" t="s">
        <v>45</v>
      </c>
      <c r="K240" t="s">
        <v>45</v>
      </c>
      <c r="L240" t="s">
        <v>46</v>
      </c>
      <c r="M240" t="s">
        <v>47</v>
      </c>
      <c r="N240" t="s">
        <v>58</v>
      </c>
      <c r="O240" t="s">
        <v>51</v>
      </c>
      <c r="P240" t="s">
        <v>1919</v>
      </c>
      <c r="Q240" t="s">
        <v>96</v>
      </c>
      <c r="R240" t="s">
        <v>97</v>
      </c>
      <c r="S240" t="s">
        <v>52</v>
      </c>
      <c r="T240" t="s">
        <v>2195</v>
      </c>
      <c r="U240" t="s">
        <v>2196</v>
      </c>
      <c r="V240" s="137">
        <v>1.43E-2</v>
      </c>
      <c r="W240" s="137">
        <v>2.5870000000000001E-2</v>
      </c>
      <c r="X240" t="s">
        <v>131</v>
      </c>
      <c r="Y240" t="s">
        <v>51</v>
      </c>
      <c r="Z240" s="133">
        <v>155032.26</v>
      </c>
      <c r="AA240" s="135">
        <v>1</v>
      </c>
      <c r="AB240" s="139">
        <v>114.25</v>
      </c>
      <c r="AD240" s="133">
        <v>177.124</v>
      </c>
      <c r="AG240" t="s">
        <v>135</v>
      </c>
      <c r="AH240" s="137">
        <v>8.1000000000000004E-5</v>
      </c>
      <c r="AI240" s="137">
        <v>1.02895472427181E-2</v>
      </c>
      <c r="AJ240" s="137">
        <v>1.7536931609751301E-3</v>
      </c>
    </row>
    <row r="241" spans="1:36">
      <c r="A241">
        <v>161</v>
      </c>
      <c r="B241">
        <v>9942</v>
      </c>
      <c r="C241" t="s">
        <v>2191</v>
      </c>
      <c r="D241" t="s">
        <v>2192</v>
      </c>
      <c r="E241" t="s">
        <v>41</v>
      </c>
      <c r="F241" t="s">
        <v>2197</v>
      </c>
      <c r="G241" t="s">
        <v>2198</v>
      </c>
      <c r="H241" t="s">
        <v>44</v>
      </c>
      <c r="I241" t="s">
        <v>1331</v>
      </c>
      <c r="J241" t="s">
        <v>45</v>
      </c>
      <c r="K241" t="s">
        <v>45</v>
      </c>
      <c r="L241" t="s">
        <v>46</v>
      </c>
      <c r="M241" t="s">
        <v>47</v>
      </c>
      <c r="N241" t="s">
        <v>58</v>
      </c>
      <c r="O241" t="s">
        <v>51</v>
      </c>
      <c r="P241" t="s">
        <v>1919</v>
      </c>
      <c r="Q241" t="s">
        <v>96</v>
      </c>
      <c r="R241" t="s">
        <v>97</v>
      </c>
      <c r="S241" t="s">
        <v>52</v>
      </c>
      <c r="T241" t="s">
        <v>2199</v>
      </c>
      <c r="U241" t="s">
        <v>2200</v>
      </c>
      <c r="V241" s="137">
        <v>3.61E-2</v>
      </c>
      <c r="W241" s="137">
        <v>2.8160000000000001E-2</v>
      </c>
      <c r="X241" t="s">
        <v>131</v>
      </c>
      <c r="Y241" t="s">
        <v>51</v>
      </c>
      <c r="Z241" s="133">
        <v>166512.82</v>
      </c>
      <c r="AA241" s="135">
        <v>1</v>
      </c>
      <c r="AB241" s="139">
        <v>113.57</v>
      </c>
      <c r="AD241" s="133">
        <v>189.10900000000001</v>
      </c>
      <c r="AG241" t="s">
        <v>135</v>
      </c>
      <c r="AH241" s="137">
        <v>6.7999999999999999E-5</v>
      </c>
      <c r="AI241" s="137">
        <v>1.09857390911859E-2</v>
      </c>
      <c r="AJ241" s="137">
        <v>1.87234822466112E-3</v>
      </c>
    </row>
    <row r="242" spans="1:36">
      <c r="A242">
        <v>161</v>
      </c>
      <c r="B242">
        <v>9942</v>
      </c>
      <c r="C242" t="s">
        <v>2191</v>
      </c>
      <c r="D242" t="s">
        <v>2192</v>
      </c>
      <c r="E242" t="s">
        <v>41</v>
      </c>
      <c r="F242" t="s">
        <v>2201</v>
      </c>
      <c r="G242" t="s">
        <v>2202</v>
      </c>
      <c r="H242" t="s">
        <v>44</v>
      </c>
      <c r="I242" t="s">
        <v>1331</v>
      </c>
      <c r="J242" t="s">
        <v>45</v>
      </c>
      <c r="K242" t="s">
        <v>45</v>
      </c>
      <c r="L242" t="s">
        <v>46</v>
      </c>
      <c r="M242" t="s">
        <v>47</v>
      </c>
      <c r="N242" t="s">
        <v>58</v>
      </c>
      <c r="O242" t="s">
        <v>51</v>
      </c>
      <c r="P242" t="s">
        <v>1919</v>
      </c>
      <c r="Q242" t="s">
        <v>96</v>
      </c>
      <c r="R242" t="s">
        <v>97</v>
      </c>
      <c r="S242" t="s">
        <v>52</v>
      </c>
      <c r="T242" t="s">
        <v>2203</v>
      </c>
      <c r="U242" t="s">
        <v>2204</v>
      </c>
      <c r="V242" s="137">
        <v>2.1499999999999998E-2</v>
      </c>
      <c r="W242" s="137">
        <v>1E-4</v>
      </c>
      <c r="X242" t="s">
        <v>131</v>
      </c>
      <c r="Y242" t="s">
        <v>51</v>
      </c>
      <c r="Z242" s="133">
        <v>0.51</v>
      </c>
      <c r="AA242" s="135">
        <v>1</v>
      </c>
      <c r="AB242" s="139">
        <v>121.27</v>
      </c>
      <c r="AD242" s="133">
        <v>1E-3</v>
      </c>
      <c r="AG242" t="s">
        <v>135</v>
      </c>
      <c r="AH242" s="137">
        <v>0</v>
      </c>
      <c r="AI242" s="137">
        <v>3.5928702387543998E-8</v>
      </c>
      <c r="AJ242" s="137">
        <v>6.1234880576827804E-9</v>
      </c>
    </row>
    <row r="243" spans="1:36">
      <c r="A243">
        <v>161</v>
      </c>
      <c r="B243">
        <v>9942</v>
      </c>
      <c r="C243" t="s">
        <v>2191</v>
      </c>
      <c r="D243" t="s">
        <v>2192</v>
      </c>
      <c r="E243" t="s">
        <v>41</v>
      </c>
      <c r="F243" t="s">
        <v>2205</v>
      </c>
      <c r="G243" t="s">
        <v>2206</v>
      </c>
      <c r="H243" t="s">
        <v>44</v>
      </c>
      <c r="I243" t="s">
        <v>1331</v>
      </c>
      <c r="J243" t="s">
        <v>45</v>
      </c>
      <c r="K243" t="s">
        <v>45</v>
      </c>
      <c r="L243" t="s">
        <v>46</v>
      </c>
      <c r="M243" t="s">
        <v>47</v>
      </c>
      <c r="N243" t="s">
        <v>58</v>
      </c>
      <c r="O243" t="s">
        <v>51</v>
      </c>
      <c r="P243" t="s">
        <v>1919</v>
      </c>
      <c r="Q243" t="s">
        <v>96</v>
      </c>
      <c r="R243" t="s">
        <v>97</v>
      </c>
      <c r="S243" t="s">
        <v>52</v>
      </c>
      <c r="T243" t="s">
        <v>2207</v>
      </c>
      <c r="U243" t="s">
        <v>2208</v>
      </c>
      <c r="V243" s="137">
        <v>2.2499999999999999E-2</v>
      </c>
      <c r="W243" s="137">
        <v>2.5839999999999998E-2</v>
      </c>
      <c r="X243" t="s">
        <v>131</v>
      </c>
      <c r="Y243" t="s">
        <v>51</v>
      </c>
      <c r="Z243" s="133">
        <v>32996.04</v>
      </c>
      <c r="AA243" s="135">
        <v>1</v>
      </c>
      <c r="AB243" s="139">
        <v>118.97</v>
      </c>
      <c r="AD243" s="133">
        <v>39.255000000000003</v>
      </c>
      <c r="AG243" t="s">
        <v>135</v>
      </c>
      <c r="AH243" s="137">
        <v>2.0999999999999999E-5</v>
      </c>
      <c r="AI243" s="137">
        <v>2.2804327094966899E-3</v>
      </c>
      <c r="AJ243" s="137">
        <v>3.8866425823921098E-4</v>
      </c>
    </row>
    <row r="244" spans="1:36">
      <c r="A244">
        <v>161</v>
      </c>
      <c r="B244">
        <v>9942</v>
      </c>
      <c r="C244" t="s">
        <v>2191</v>
      </c>
      <c r="D244" t="s">
        <v>2192</v>
      </c>
      <c r="E244" t="s">
        <v>41</v>
      </c>
      <c r="F244" t="s">
        <v>2209</v>
      </c>
      <c r="G244" t="s">
        <v>2210</v>
      </c>
      <c r="H244" t="s">
        <v>44</v>
      </c>
      <c r="I244" t="s">
        <v>1331</v>
      </c>
      <c r="J244" t="s">
        <v>45</v>
      </c>
      <c r="K244" t="s">
        <v>45</v>
      </c>
      <c r="L244" t="s">
        <v>46</v>
      </c>
      <c r="M244" t="s">
        <v>47</v>
      </c>
      <c r="N244" t="s">
        <v>58</v>
      </c>
      <c r="O244" t="s">
        <v>51</v>
      </c>
      <c r="P244" t="s">
        <v>1919</v>
      </c>
      <c r="Q244" t="s">
        <v>96</v>
      </c>
      <c r="R244" t="s">
        <v>97</v>
      </c>
      <c r="S244" t="s">
        <v>52</v>
      </c>
      <c r="T244" t="s">
        <v>2211</v>
      </c>
      <c r="U244" t="s">
        <v>2178</v>
      </c>
      <c r="V244" s="137">
        <v>2.5000000000000001E-3</v>
      </c>
      <c r="W244" s="137">
        <v>2.6980000000000001E-2</v>
      </c>
      <c r="X244" t="s">
        <v>131</v>
      </c>
      <c r="Y244" t="s">
        <v>51</v>
      </c>
      <c r="Z244" s="133">
        <v>285799.98</v>
      </c>
      <c r="AA244" s="135">
        <v>1</v>
      </c>
      <c r="AB244" s="139">
        <v>105.05</v>
      </c>
      <c r="AD244" s="133">
        <v>300.233</v>
      </c>
      <c r="AG244" t="s">
        <v>135</v>
      </c>
      <c r="AH244" s="137">
        <v>2.1599999999999999E-4</v>
      </c>
      <c r="AI244" s="137">
        <v>1.7441194670435999E-2</v>
      </c>
      <c r="AJ244" s="137">
        <v>2.9725801428654398E-3</v>
      </c>
    </row>
    <row r="245" spans="1:36">
      <c r="A245">
        <v>161</v>
      </c>
      <c r="B245">
        <v>9942</v>
      </c>
      <c r="C245" t="s">
        <v>2191</v>
      </c>
      <c r="D245" t="s">
        <v>2192</v>
      </c>
      <c r="E245" t="s">
        <v>41</v>
      </c>
      <c r="F245" t="s">
        <v>2212</v>
      </c>
      <c r="G245" t="s">
        <v>2213</v>
      </c>
      <c r="H245" t="s">
        <v>44</v>
      </c>
      <c r="I245" t="s">
        <v>1331</v>
      </c>
      <c r="J245" t="s">
        <v>45</v>
      </c>
      <c r="K245" t="s">
        <v>45</v>
      </c>
      <c r="L245" t="s">
        <v>46</v>
      </c>
      <c r="M245" t="s">
        <v>47</v>
      </c>
      <c r="N245" t="s">
        <v>58</v>
      </c>
      <c r="O245" t="s">
        <v>51</v>
      </c>
      <c r="P245" t="s">
        <v>1919</v>
      </c>
      <c r="Q245" t="s">
        <v>96</v>
      </c>
      <c r="R245" t="s">
        <v>97</v>
      </c>
      <c r="S245" t="s">
        <v>52</v>
      </c>
      <c r="T245" t="s">
        <v>2214</v>
      </c>
      <c r="U245" t="s">
        <v>2215</v>
      </c>
      <c r="V245" s="137">
        <v>2.9499999999999998E-2</v>
      </c>
      <c r="W245" s="137">
        <v>2.5760000000000002E-2</v>
      </c>
      <c r="X245" t="s">
        <v>131</v>
      </c>
      <c r="Y245" t="s">
        <v>51</v>
      </c>
      <c r="Z245" s="133">
        <v>150000</v>
      </c>
      <c r="AA245" s="135">
        <v>1</v>
      </c>
      <c r="AB245" s="139">
        <v>103.14</v>
      </c>
      <c r="AD245" s="133">
        <v>154.71</v>
      </c>
      <c r="AG245" t="s">
        <v>135</v>
      </c>
      <c r="AH245" s="137">
        <v>3.3799999999999998E-4</v>
      </c>
      <c r="AI245" s="137">
        <v>8.9874474659153592E-3</v>
      </c>
      <c r="AJ245" s="137">
        <v>1.5317705224351199E-3</v>
      </c>
    </row>
    <row r="246" spans="1:36">
      <c r="A246">
        <v>161</v>
      </c>
      <c r="B246">
        <v>9942</v>
      </c>
      <c r="C246" t="s">
        <v>2216</v>
      </c>
      <c r="D246" t="s">
        <v>2217</v>
      </c>
      <c r="E246" t="s">
        <v>41</v>
      </c>
      <c r="F246" t="s">
        <v>2218</v>
      </c>
      <c r="G246" t="s">
        <v>2219</v>
      </c>
      <c r="H246" t="s">
        <v>44</v>
      </c>
      <c r="I246" t="s">
        <v>1509</v>
      </c>
      <c r="J246" t="s">
        <v>45</v>
      </c>
      <c r="K246" t="s">
        <v>45</v>
      </c>
      <c r="L246" t="s">
        <v>46</v>
      </c>
      <c r="M246" t="s">
        <v>47</v>
      </c>
      <c r="N246" t="s">
        <v>1037</v>
      </c>
      <c r="O246" t="s">
        <v>51</v>
      </c>
      <c r="P246" t="s">
        <v>1977</v>
      </c>
      <c r="Q246" t="s">
        <v>167</v>
      </c>
      <c r="R246" t="s">
        <v>97</v>
      </c>
      <c r="S246" t="s">
        <v>52</v>
      </c>
      <c r="T246" t="s">
        <v>2220</v>
      </c>
      <c r="U246" t="s">
        <v>2221</v>
      </c>
      <c r="V246" s="137">
        <v>2.98E-2</v>
      </c>
      <c r="W246" s="137">
        <v>4.5220000000000003E-2</v>
      </c>
      <c r="X246" t="s">
        <v>131</v>
      </c>
      <c r="Y246" t="s">
        <v>51</v>
      </c>
      <c r="Z246" s="133">
        <v>200000</v>
      </c>
      <c r="AA246" s="135">
        <v>1</v>
      </c>
      <c r="AB246" s="139">
        <v>94.43</v>
      </c>
      <c r="AD246" s="133">
        <v>188.86</v>
      </c>
      <c r="AG246" t="s">
        <v>135</v>
      </c>
      <c r="AH246" s="137">
        <v>5.0900000000000001E-4</v>
      </c>
      <c r="AI246" s="137">
        <v>1.09712968031334E-2</v>
      </c>
      <c r="AJ246" s="137">
        <v>1.8698867614704701E-3</v>
      </c>
    </row>
    <row r="247" spans="1:36">
      <c r="A247">
        <v>161</v>
      </c>
      <c r="B247">
        <v>9942</v>
      </c>
      <c r="C247" t="s">
        <v>2216</v>
      </c>
      <c r="D247" t="s">
        <v>2217</v>
      </c>
      <c r="E247" t="s">
        <v>41</v>
      </c>
      <c r="F247" t="s">
        <v>2222</v>
      </c>
      <c r="G247" t="s">
        <v>2223</v>
      </c>
      <c r="H247" t="s">
        <v>44</v>
      </c>
      <c r="I247" t="s">
        <v>1509</v>
      </c>
      <c r="J247" t="s">
        <v>45</v>
      </c>
      <c r="K247" t="s">
        <v>45</v>
      </c>
      <c r="L247" t="s">
        <v>46</v>
      </c>
      <c r="M247" t="s">
        <v>47</v>
      </c>
      <c r="N247" t="s">
        <v>1037</v>
      </c>
      <c r="O247" t="s">
        <v>51</v>
      </c>
      <c r="P247" t="s">
        <v>166</v>
      </c>
      <c r="Q247" t="s">
        <v>167</v>
      </c>
      <c r="R247" t="s">
        <v>97</v>
      </c>
      <c r="S247" t="s">
        <v>52</v>
      </c>
      <c r="T247" t="s">
        <v>2224</v>
      </c>
      <c r="U247" t="s">
        <v>2225</v>
      </c>
      <c r="V247" s="137">
        <v>5.1799999999999999E-2</v>
      </c>
      <c r="W247" s="137">
        <v>4.836E-2</v>
      </c>
      <c r="X247" t="s">
        <v>131</v>
      </c>
      <c r="Y247" t="s">
        <v>51</v>
      </c>
      <c r="Z247" s="133">
        <v>150000</v>
      </c>
      <c r="AA247" s="135">
        <v>1</v>
      </c>
      <c r="AB247" s="139">
        <v>105.88</v>
      </c>
      <c r="AD247" s="133">
        <v>158.82</v>
      </c>
      <c r="AG247" t="s">
        <v>135</v>
      </c>
      <c r="AH247" s="137">
        <v>1.8799999999999999E-4</v>
      </c>
      <c r="AI247" s="137">
        <v>9.2262064930300498E-3</v>
      </c>
      <c r="AJ247" s="137">
        <v>1.57246328209647E-3</v>
      </c>
    </row>
    <row r="248" spans="1:36">
      <c r="A248">
        <v>161</v>
      </c>
      <c r="B248">
        <v>9942</v>
      </c>
      <c r="C248" t="s">
        <v>2226</v>
      </c>
      <c r="D248" t="s">
        <v>2227</v>
      </c>
      <c r="E248" t="s">
        <v>41</v>
      </c>
      <c r="F248" t="s">
        <v>2228</v>
      </c>
      <c r="G248" t="s">
        <v>2229</v>
      </c>
      <c r="H248" t="s">
        <v>44</v>
      </c>
      <c r="I248" t="s">
        <v>1331</v>
      </c>
      <c r="J248" t="s">
        <v>45</v>
      </c>
      <c r="K248" t="s">
        <v>45</v>
      </c>
      <c r="L248" t="s">
        <v>46</v>
      </c>
      <c r="M248" t="s">
        <v>47</v>
      </c>
      <c r="N248" t="s">
        <v>58</v>
      </c>
      <c r="O248" t="s">
        <v>51</v>
      </c>
      <c r="P248" t="s">
        <v>227</v>
      </c>
      <c r="Q248" t="s">
        <v>96</v>
      </c>
      <c r="R248" t="s">
        <v>97</v>
      </c>
      <c r="S248" t="s">
        <v>52</v>
      </c>
      <c r="T248" t="s">
        <v>2230</v>
      </c>
      <c r="U248" t="s">
        <v>2231</v>
      </c>
      <c r="V248" s="137">
        <v>1.34E-2</v>
      </c>
      <c r="W248" s="137">
        <v>2.4719999999999999E-2</v>
      </c>
      <c r="X248" t="s">
        <v>131</v>
      </c>
      <c r="Y248" t="s">
        <v>51</v>
      </c>
      <c r="Z248" s="133">
        <v>203321.02</v>
      </c>
      <c r="AA248" s="135">
        <v>1</v>
      </c>
      <c r="AB248" s="139">
        <v>116.87</v>
      </c>
      <c r="AD248" s="133">
        <v>237.62100000000001</v>
      </c>
      <c r="AG248" t="s">
        <v>135</v>
      </c>
      <c r="AH248" s="137">
        <v>1.02E-4</v>
      </c>
      <c r="AI248" s="137">
        <v>1.38039476148849E-2</v>
      </c>
      <c r="AJ248" s="137">
        <v>2.3526679994413401E-3</v>
      </c>
    </row>
    <row r="249" spans="1:36">
      <c r="A249">
        <v>161</v>
      </c>
      <c r="B249">
        <v>9942</v>
      </c>
      <c r="C249" t="s">
        <v>2226</v>
      </c>
      <c r="D249" t="s">
        <v>2227</v>
      </c>
      <c r="E249" t="s">
        <v>41</v>
      </c>
      <c r="F249" t="s">
        <v>2232</v>
      </c>
      <c r="G249" t="s">
        <v>2233</v>
      </c>
      <c r="H249" t="s">
        <v>44</v>
      </c>
      <c r="I249" t="s">
        <v>1331</v>
      </c>
      <c r="J249" t="s">
        <v>45</v>
      </c>
      <c r="K249" t="s">
        <v>45</v>
      </c>
      <c r="L249" t="s">
        <v>46</v>
      </c>
      <c r="M249" t="s">
        <v>47</v>
      </c>
      <c r="N249" t="s">
        <v>58</v>
      </c>
      <c r="O249" t="s">
        <v>51</v>
      </c>
      <c r="P249" t="s">
        <v>227</v>
      </c>
      <c r="Q249" t="s">
        <v>96</v>
      </c>
      <c r="R249" t="s">
        <v>97</v>
      </c>
      <c r="S249" t="s">
        <v>52</v>
      </c>
      <c r="T249" t="s">
        <v>2234</v>
      </c>
      <c r="U249" t="s">
        <v>2235</v>
      </c>
      <c r="V249" s="137">
        <v>8.9999999999999993E-3</v>
      </c>
      <c r="W249" s="137">
        <v>2.6929999999999999E-2</v>
      </c>
      <c r="X249" t="s">
        <v>131</v>
      </c>
      <c r="Y249" t="s">
        <v>51</v>
      </c>
      <c r="Z249" s="133">
        <v>334480</v>
      </c>
      <c r="AA249" s="135">
        <v>1</v>
      </c>
      <c r="AB249" s="139">
        <v>105.15</v>
      </c>
      <c r="AD249" s="133">
        <v>351.70600000000002</v>
      </c>
      <c r="AG249" t="s">
        <v>135</v>
      </c>
      <c r="AH249" s="137">
        <v>1.2400000000000001E-4</v>
      </c>
      <c r="AI249" s="137">
        <v>2.0431366310916799E-2</v>
      </c>
      <c r="AJ249" s="137">
        <v>3.4822083541323698E-3</v>
      </c>
    </row>
    <row r="250" spans="1:36">
      <c r="A250">
        <v>161</v>
      </c>
      <c r="B250">
        <v>9942</v>
      </c>
      <c r="C250" t="s">
        <v>2236</v>
      </c>
      <c r="D250" t="s">
        <v>2237</v>
      </c>
      <c r="E250" t="s">
        <v>41</v>
      </c>
      <c r="F250" t="s">
        <v>2238</v>
      </c>
      <c r="G250" t="s">
        <v>2239</v>
      </c>
      <c r="H250" t="s">
        <v>44</v>
      </c>
      <c r="I250" t="s">
        <v>1509</v>
      </c>
      <c r="J250" t="s">
        <v>45</v>
      </c>
      <c r="K250" t="s">
        <v>45</v>
      </c>
      <c r="L250" t="s">
        <v>46</v>
      </c>
      <c r="M250" t="s">
        <v>47</v>
      </c>
      <c r="N250" t="s">
        <v>221</v>
      </c>
      <c r="O250" t="s">
        <v>51</v>
      </c>
      <c r="P250" t="s">
        <v>95</v>
      </c>
      <c r="Q250" t="s">
        <v>96</v>
      </c>
      <c r="R250" t="s">
        <v>97</v>
      </c>
      <c r="S250" t="s">
        <v>52</v>
      </c>
      <c r="T250" t="s">
        <v>2240</v>
      </c>
      <c r="U250" t="s">
        <v>2241</v>
      </c>
      <c r="V250" s="137">
        <v>2.5000000000000001E-2</v>
      </c>
      <c r="W250" s="137">
        <v>4.3869999999999999E-2</v>
      </c>
      <c r="X250" t="s">
        <v>131</v>
      </c>
      <c r="Y250" t="s">
        <v>51</v>
      </c>
      <c r="Z250" s="133">
        <v>427500.02</v>
      </c>
      <c r="AA250" s="135">
        <v>1</v>
      </c>
      <c r="AB250" s="139">
        <v>95.37</v>
      </c>
      <c r="AD250" s="133">
        <v>407.70699999999999</v>
      </c>
      <c r="AG250" t="s">
        <v>135</v>
      </c>
      <c r="AH250" s="137">
        <v>2.4600000000000002E-4</v>
      </c>
      <c r="AI250" s="137">
        <v>2.36845916136686E-2</v>
      </c>
      <c r="AJ250" s="137">
        <v>4.0366699674540402E-3</v>
      </c>
    </row>
    <row r="251" spans="1:36">
      <c r="A251">
        <v>161</v>
      </c>
      <c r="B251">
        <v>9942</v>
      </c>
      <c r="C251" t="s">
        <v>2236</v>
      </c>
      <c r="D251" t="s">
        <v>2237</v>
      </c>
      <c r="E251" t="s">
        <v>41</v>
      </c>
      <c r="F251" t="s">
        <v>2242</v>
      </c>
      <c r="G251" t="s">
        <v>2243</v>
      </c>
      <c r="H251" t="s">
        <v>44</v>
      </c>
      <c r="I251" t="s">
        <v>1331</v>
      </c>
      <c r="J251" t="s">
        <v>45</v>
      </c>
      <c r="K251" t="s">
        <v>45</v>
      </c>
      <c r="L251" t="s">
        <v>46</v>
      </c>
      <c r="M251" t="s">
        <v>47</v>
      </c>
      <c r="N251" t="s">
        <v>221</v>
      </c>
      <c r="O251" t="s">
        <v>51</v>
      </c>
      <c r="P251" t="s">
        <v>95</v>
      </c>
      <c r="Q251" t="s">
        <v>96</v>
      </c>
      <c r="R251" t="s">
        <v>97</v>
      </c>
      <c r="S251" t="s">
        <v>52</v>
      </c>
      <c r="T251" t="s">
        <v>2244</v>
      </c>
      <c r="U251" t="s">
        <v>2241</v>
      </c>
      <c r="V251" s="137">
        <v>1E-3</v>
      </c>
      <c r="W251" s="137">
        <v>2.3619999999999999E-2</v>
      </c>
      <c r="X251" t="s">
        <v>131</v>
      </c>
      <c r="Y251" t="s">
        <v>51</v>
      </c>
      <c r="Z251" s="133">
        <v>340707.02</v>
      </c>
      <c r="AA251" s="135">
        <v>1</v>
      </c>
      <c r="AB251" s="139">
        <v>107.18</v>
      </c>
      <c r="AD251" s="133">
        <v>365.17</v>
      </c>
      <c r="AG251" t="s">
        <v>135</v>
      </c>
      <c r="AH251" s="137">
        <v>4.0400000000000001E-4</v>
      </c>
      <c r="AI251" s="137">
        <v>2.1213523690538499E-2</v>
      </c>
      <c r="AJ251" s="137">
        <v>3.61551490446863E-3</v>
      </c>
    </row>
    <row r="252" spans="1:36">
      <c r="A252">
        <v>161</v>
      </c>
      <c r="B252">
        <v>9942</v>
      </c>
      <c r="C252" t="s">
        <v>2236</v>
      </c>
      <c r="D252" t="s">
        <v>2237</v>
      </c>
      <c r="E252" t="s">
        <v>41</v>
      </c>
      <c r="F252" t="s">
        <v>2245</v>
      </c>
      <c r="G252" t="s">
        <v>2246</v>
      </c>
      <c r="H252" t="s">
        <v>44</v>
      </c>
      <c r="I252" t="s">
        <v>1331</v>
      </c>
      <c r="J252" t="s">
        <v>45</v>
      </c>
      <c r="K252" t="s">
        <v>45</v>
      </c>
      <c r="L252" t="s">
        <v>46</v>
      </c>
      <c r="M252" t="s">
        <v>47</v>
      </c>
      <c r="N252" t="s">
        <v>221</v>
      </c>
      <c r="O252" t="s">
        <v>51</v>
      </c>
      <c r="P252" t="s">
        <v>95</v>
      </c>
      <c r="Q252" t="s">
        <v>96</v>
      </c>
      <c r="R252" t="s">
        <v>97</v>
      </c>
      <c r="S252" t="s">
        <v>52</v>
      </c>
      <c r="T252" t="s">
        <v>2247</v>
      </c>
      <c r="U252" t="s">
        <v>2248</v>
      </c>
      <c r="V252" s="137">
        <v>1.3899999999999999E-2</v>
      </c>
      <c r="W252" s="137">
        <v>2.4320000000000001E-2</v>
      </c>
      <c r="X252" t="s">
        <v>131</v>
      </c>
      <c r="Y252" t="s">
        <v>51</v>
      </c>
      <c r="Z252" s="133">
        <v>576722.23</v>
      </c>
      <c r="AA252" s="135">
        <v>1</v>
      </c>
      <c r="AB252" s="139">
        <v>106.02</v>
      </c>
      <c r="AD252" s="133">
        <v>611.44100000000003</v>
      </c>
      <c r="AG252" t="s">
        <v>135</v>
      </c>
      <c r="AH252" s="137">
        <v>1.8599999999999999E-4</v>
      </c>
      <c r="AI252" s="137">
        <v>3.5519960192440699E-2</v>
      </c>
      <c r="AJ252" s="137">
        <v>6.0538243129867296E-3</v>
      </c>
    </row>
    <row r="253" spans="1:36">
      <c r="A253">
        <v>161</v>
      </c>
      <c r="B253">
        <v>9942</v>
      </c>
      <c r="C253" t="s">
        <v>2236</v>
      </c>
      <c r="D253" t="s">
        <v>2237</v>
      </c>
      <c r="E253" t="s">
        <v>41</v>
      </c>
      <c r="F253" t="s">
        <v>2253</v>
      </c>
      <c r="G253" t="s">
        <v>2254</v>
      </c>
      <c r="H253" t="s">
        <v>44</v>
      </c>
      <c r="I253" t="s">
        <v>1331</v>
      </c>
      <c r="J253" t="s">
        <v>45</v>
      </c>
      <c r="K253" t="s">
        <v>45</v>
      </c>
      <c r="L253" t="s">
        <v>46</v>
      </c>
      <c r="M253" t="s">
        <v>47</v>
      </c>
      <c r="N253" t="s">
        <v>221</v>
      </c>
      <c r="O253" t="s">
        <v>51</v>
      </c>
      <c r="P253" t="s">
        <v>95</v>
      </c>
      <c r="Q253" t="s">
        <v>96</v>
      </c>
      <c r="R253" t="s">
        <v>97</v>
      </c>
      <c r="S253" t="s">
        <v>52</v>
      </c>
      <c r="T253" t="s">
        <v>2255</v>
      </c>
      <c r="U253" t="s">
        <v>2256</v>
      </c>
      <c r="V253" s="137">
        <v>1.7500000000000002E-2</v>
      </c>
      <c r="W253" s="137">
        <v>2.359E-2</v>
      </c>
      <c r="X253" t="s">
        <v>131</v>
      </c>
      <c r="Y253" t="s">
        <v>51</v>
      </c>
      <c r="Z253" s="133">
        <v>312003.13</v>
      </c>
      <c r="AA253" s="135">
        <v>1</v>
      </c>
      <c r="AB253" s="139">
        <v>116.01</v>
      </c>
      <c r="AD253" s="133">
        <v>361.95499999999998</v>
      </c>
      <c r="AG253" t="s">
        <v>135</v>
      </c>
      <c r="AH253" s="137">
        <v>1.6799999999999999E-4</v>
      </c>
      <c r="AI253" s="137">
        <v>2.1026759935765998E-2</v>
      </c>
      <c r="AJ253" s="137">
        <v>3.5836839296223499E-3</v>
      </c>
    </row>
    <row r="254" spans="1:36">
      <c r="A254">
        <v>161</v>
      </c>
      <c r="B254">
        <v>9942</v>
      </c>
      <c r="C254" t="s">
        <v>2236</v>
      </c>
      <c r="D254" t="s">
        <v>2237</v>
      </c>
      <c r="E254" t="s">
        <v>41</v>
      </c>
      <c r="F254" t="s">
        <v>2257</v>
      </c>
      <c r="G254" t="s">
        <v>2258</v>
      </c>
      <c r="H254" t="s">
        <v>44</v>
      </c>
      <c r="I254" t="s">
        <v>1331</v>
      </c>
      <c r="J254" t="s">
        <v>45</v>
      </c>
      <c r="K254" t="s">
        <v>45</v>
      </c>
      <c r="L254" t="s">
        <v>46</v>
      </c>
      <c r="M254" t="s">
        <v>47</v>
      </c>
      <c r="N254" t="s">
        <v>221</v>
      </c>
      <c r="O254" t="s">
        <v>51</v>
      </c>
      <c r="P254" t="s">
        <v>95</v>
      </c>
      <c r="Q254" t="s">
        <v>96</v>
      </c>
      <c r="R254" t="s">
        <v>97</v>
      </c>
      <c r="S254" t="s">
        <v>52</v>
      </c>
      <c r="T254" t="s">
        <v>2259</v>
      </c>
      <c r="U254" t="s">
        <v>2260</v>
      </c>
      <c r="V254" s="137">
        <v>2.6100000000000002E-2</v>
      </c>
      <c r="W254" s="137">
        <v>2.5270000000000001E-2</v>
      </c>
      <c r="X254" t="s">
        <v>131</v>
      </c>
      <c r="Y254" t="s">
        <v>51</v>
      </c>
      <c r="Z254" s="133">
        <v>290000</v>
      </c>
      <c r="AA254" s="135">
        <v>1</v>
      </c>
      <c r="AB254" s="139">
        <v>101.96</v>
      </c>
      <c r="AD254" s="133">
        <v>295.68400000000003</v>
      </c>
      <c r="AG254" t="s">
        <v>135</v>
      </c>
      <c r="AH254" s="137">
        <v>8.5000000000000006E-5</v>
      </c>
      <c r="AI254" s="137">
        <v>1.71769401881696E-2</v>
      </c>
      <c r="AJ254" s="137">
        <v>2.9275420797343701E-3</v>
      </c>
    </row>
    <row r="255" spans="1:36">
      <c r="A255">
        <v>161</v>
      </c>
      <c r="B255">
        <v>9942</v>
      </c>
      <c r="C255" t="s">
        <v>2236</v>
      </c>
      <c r="D255" t="s">
        <v>2237</v>
      </c>
      <c r="E255" t="s">
        <v>41</v>
      </c>
      <c r="F255" t="s">
        <v>2261</v>
      </c>
      <c r="G255" t="s">
        <v>2262</v>
      </c>
      <c r="H255" t="s">
        <v>44</v>
      </c>
      <c r="I255" t="s">
        <v>1331</v>
      </c>
      <c r="J255" t="s">
        <v>45</v>
      </c>
      <c r="K255" t="s">
        <v>45</v>
      </c>
      <c r="L255" t="s">
        <v>46</v>
      </c>
      <c r="M255" t="s">
        <v>47</v>
      </c>
      <c r="N255" t="s">
        <v>221</v>
      </c>
      <c r="O255" t="s">
        <v>51</v>
      </c>
      <c r="P255" t="s">
        <v>1936</v>
      </c>
      <c r="Q255" t="s">
        <v>96</v>
      </c>
      <c r="R255" t="s">
        <v>97</v>
      </c>
      <c r="S255" t="s">
        <v>52</v>
      </c>
      <c r="T255" t="s">
        <v>2263</v>
      </c>
      <c r="U255" t="s">
        <v>2264</v>
      </c>
      <c r="V255" s="137">
        <v>3.4500000000000003E-2</v>
      </c>
      <c r="W255" s="137">
        <v>2.7990000000000001E-2</v>
      </c>
      <c r="X255" t="s">
        <v>131</v>
      </c>
      <c r="Y255" t="s">
        <v>51</v>
      </c>
      <c r="Z255" s="133">
        <v>220000</v>
      </c>
      <c r="AA255" s="135">
        <v>1</v>
      </c>
      <c r="AB255" s="139">
        <v>107.05</v>
      </c>
      <c r="AD255" s="133">
        <v>235.51</v>
      </c>
      <c r="AG255" t="s">
        <v>135</v>
      </c>
      <c r="AH255" s="137">
        <v>1.4899999999999999E-4</v>
      </c>
      <c r="AI255" s="137">
        <v>1.3681298899216101E-2</v>
      </c>
      <c r="AJ255" s="137">
        <v>2.33176443499899E-3</v>
      </c>
    </row>
    <row r="256" spans="1:36">
      <c r="A256">
        <v>161</v>
      </c>
      <c r="B256">
        <v>9942</v>
      </c>
      <c r="C256" t="s">
        <v>2265</v>
      </c>
      <c r="D256" t="s">
        <v>2266</v>
      </c>
      <c r="E256" t="s">
        <v>41</v>
      </c>
      <c r="F256" t="s">
        <v>2267</v>
      </c>
      <c r="G256" t="s">
        <v>2268</v>
      </c>
      <c r="H256" t="s">
        <v>44</v>
      </c>
      <c r="I256" t="s">
        <v>1509</v>
      </c>
      <c r="J256" t="s">
        <v>45</v>
      </c>
      <c r="K256" t="s">
        <v>45</v>
      </c>
      <c r="L256" t="s">
        <v>46</v>
      </c>
      <c r="M256" t="s">
        <v>47</v>
      </c>
      <c r="N256" s="125" t="s">
        <v>1061</v>
      </c>
      <c r="O256" t="s">
        <v>51</v>
      </c>
      <c r="P256" t="s">
        <v>1936</v>
      </c>
      <c r="Q256" t="s">
        <v>96</v>
      </c>
      <c r="R256" t="s">
        <v>97</v>
      </c>
      <c r="S256" t="s">
        <v>52</v>
      </c>
      <c r="T256" t="s">
        <v>2269</v>
      </c>
      <c r="U256" t="s">
        <v>2270</v>
      </c>
      <c r="V256" s="137">
        <v>2.29E-2</v>
      </c>
      <c r="W256" s="137">
        <v>5.0180000000000002E-2</v>
      </c>
      <c r="X256" t="s">
        <v>131</v>
      </c>
      <c r="Y256" t="s">
        <v>51</v>
      </c>
      <c r="Z256" s="133">
        <v>41538.46</v>
      </c>
      <c r="AA256" s="135">
        <v>1</v>
      </c>
      <c r="AB256" s="139">
        <v>99.05</v>
      </c>
      <c r="AD256" s="133">
        <v>41.143999999999998</v>
      </c>
      <c r="AG256" t="s">
        <v>135</v>
      </c>
      <c r="AH256" s="137">
        <v>2.5099999999999998E-4</v>
      </c>
      <c r="AI256" s="137">
        <v>2.3901373030696701E-3</v>
      </c>
      <c r="AJ256" s="137">
        <v>4.0736169855784597E-4</v>
      </c>
    </row>
    <row r="257" spans="1:36">
      <c r="A257">
        <v>161</v>
      </c>
      <c r="B257">
        <v>9942</v>
      </c>
      <c r="C257" t="s">
        <v>2271</v>
      </c>
      <c r="D257" t="s">
        <v>2272</v>
      </c>
      <c r="E257" t="s">
        <v>41</v>
      </c>
      <c r="F257" t="s">
        <v>2273</v>
      </c>
      <c r="G257" t="s">
        <v>2274</v>
      </c>
      <c r="H257" t="s">
        <v>44</v>
      </c>
      <c r="I257" t="s">
        <v>1331</v>
      </c>
      <c r="J257" t="s">
        <v>45</v>
      </c>
      <c r="K257" t="s">
        <v>45</v>
      </c>
      <c r="L257" t="s">
        <v>46</v>
      </c>
      <c r="M257" t="s">
        <v>47</v>
      </c>
      <c r="N257" t="s">
        <v>1034</v>
      </c>
      <c r="O257" t="s">
        <v>51</v>
      </c>
      <c r="P257" t="s">
        <v>1936</v>
      </c>
      <c r="Q257" t="s">
        <v>96</v>
      </c>
      <c r="R257" t="s">
        <v>97</v>
      </c>
      <c r="S257" t="s">
        <v>52</v>
      </c>
      <c r="T257" t="s">
        <v>2275</v>
      </c>
      <c r="U257" t="s">
        <v>2276</v>
      </c>
      <c r="V257" s="137">
        <v>1.9400000000000001E-2</v>
      </c>
      <c r="W257" s="137">
        <v>1.9230000000000001E-2</v>
      </c>
      <c r="X257" t="s">
        <v>131</v>
      </c>
      <c r="Y257" t="s">
        <v>51</v>
      </c>
      <c r="Z257" s="133">
        <v>96061.41</v>
      </c>
      <c r="AA257" s="135">
        <v>1</v>
      </c>
      <c r="AB257" s="139">
        <v>119.6</v>
      </c>
      <c r="AD257" s="133">
        <v>114.889</v>
      </c>
      <c r="AG257" t="s">
        <v>135</v>
      </c>
      <c r="AH257" s="137">
        <v>5.31E-4</v>
      </c>
      <c r="AI257" s="137">
        <v>6.67418307509923E-3</v>
      </c>
      <c r="AJ257" s="137">
        <v>1.13751061517121E-3</v>
      </c>
    </row>
    <row r="258" spans="1:36">
      <c r="A258">
        <v>161</v>
      </c>
      <c r="B258">
        <v>9942</v>
      </c>
      <c r="C258" t="s">
        <v>2377</v>
      </c>
      <c r="D258" t="s">
        <v>2378</v>
      </c>
      <c r="E258" t="s">
        <v>41</v>
      </c>
      <c r="F258" t="s">
        <v>2379</v>
      </c>
      <c r="G258" t="s">
        <v>2380</v>
      </c>
      <c r="H258" t="s">
        <v>44</v>
      </c>
      <c r="I258" t="s">
        <v>1331</v>
      </c>
      <c r="J258" t="s">
        <v>45</v>
      </c>
      <c r="K258" t="s">
        <v>45</v>
      </c>
      <c r="L258" t="s">
        <v>46</v>
      </c>
      <c r="M258" t="s">
        <v>47</v>
      </c>
      <c r="N258" t="s">
        <v>1037</v>
      </c>
      <c r="O258" t="s">
        <v>51</v>
      </c>
      <c r="P258" t="s">
        <v>1919</v>
      </c>
      <c r="Q258" t="s">
        <v>96</v>
      </c>
      <c r="R258" t="s">
        <v>97</v>
      </c>
      <c r="S258" t="s">
        <v>52</v>
      </c>
      <c r="T258" t="s">
        <v>1869</v>
      </c>
      <c r="U258" t="s">
        <v>2381</v>
      </c>
      <c r="V258" s="137">
        <v>2.2499999999999999E-2</v>
      </c>
      <c r="W258" s="137">
        <v>1.306E-2</v>
      </c>
      <c r="X258" t="s">
        <v>131</v>
      </c>
      <c r="Y258" t="s">
        <v>51</v>
      </c>
      <c r="Z258" s="133">
        <v>100000</v>
      </c>
      <c r="AA258" s="135">
        <v>1</v>
      </c>
      <c r="AB258" s="139">
        <v>121.15</v>
      </c>
      <c r="AD258" s="133">
        <v>121.15</v>
      </c>
      <c r="AG258" t="s">
        <v>135</v>
      </c>
      <c r="AH258" s="137">
        <v>2.4399999999999999E-4</v>
      </c>
      <c r="AI258" s="137">
        <v>7.0378725389156904E-3</v>
      </c>
      <c r="AJ258" s="137">
        <v>1.19949582310784E-3</v>
      </c>
    </row>
    <row r="259" spans="1:36">
      <c r="A259">
        <v>161</v>
      </c>
      <c r="B259">
        <v>9942</v>
      </c>
      <c r="C259" t="s">
        <v>2283</v>
      </c>
      <c r="D259" t="s">
        <v>2284</v>
      </c>
      <c r="E259" t="s">
        <v>41</v>
      </c>
      <c r="F259" t="s">
        <v>2285</v>
      </c>
      <c r="G259" t="s">
        <v>2286</v>
      </c>
      <c r="H259" t="s">
        <v>44</v>
      </c>
      <c r="I259" t="s">
        <v>1331</v>
      </c>
      <c r="J259" t="s">
        <v>45</v>
      </c>
      <c r="K259" t="s">
        <v>45</v>
      </c>
      <c r="L259" t="s">
        <v>46</v>
      </c>
      <c r="M259" t="s">
        <v>47</v>
      </c>
      <c r="N259" t="s">
        <v>58</v>
      </c>
      <c r="O259" t="s">
        <v>51</v>
      </c>
      <c r="P259" t="s">
        <v>1919</v>
      </c>
      <c r="Q259" t="s">
        <v>96</v>
      </c>
      <c r="R259" t="s">
        <v>97</v>
      </c>
      <c r="S259" t="s">
        <v>52</v>
      </c>
      <c r="T259" t="s">
        <v>2287</v>
      </c>
      <c r="U259" t="s">
        <v>2288</v>
      </c>
      <c r="V259" s="137">
        <v>2.5000000000000001E-2</v>
      </c>
      <c r="W259" s="137">
        <v>2.7720000000000002E-2</v>
      </c>
      <c r="X259" t="s">
        <v>131</v>
      </c>
      <c r="Y259" t="s">
        <v>51</v>
      </c>
      <c r="Z259" s="133">
        <v>80750</v>
      </c>
      <c r="AA259" s="135">
        <v>1</v>
      </c>
      <c r="AB259" s="139">
        <v>116.35</v>
      </c>
      <c r="AD259" s="133">
        <v>93.953000000000003</v>
      </c>
      <c r="AG259" t="s">
        <v>135</v>
      </c>
      <c r="AH259" s="137">
        <v>6.0000000000000002E-5</v>
      </c>
      <c r="AI259" s="137">
        <v>5.4579166277056897E-3</v>
      </c>
      <c r="AJ259" s="137">
        <v>9.3021693155193996E-4</v>
      </c>
    </row>
    <row r="260" spans="1:36">
      <c r="A260">
        <v>161</v>
      </c>
      <c r="B260">
        <v>9942</v>
      </c>
      <c r="C260" t="s">
        <v>2289</v>
      </c>
      <c r="D260" t="s">
        <v>2290</v>
      </c>
      <c r="E260" t="s">
        <v>41</v>
      </c>
      <c r="F260" t="s">
        <v>2291</v>
      </c>
      <c r="G260" t="s">
        <v>2292</v>
      </c>
      <c r="H260" t="s">
        <v>44</v>
      </c>
      <c r="I260" t="s">
        <v>1509</v>
      </c>
      <c r="J260" t="s">
        <v>45</v>
      </c>
      <c r="K260" t="s">
        <v>45</v>
      </c>
      <c r="L260" t="s">
        <v>46</v>
      </c>
      <c r="M260" t="s">
        <v>47</v>
      </c>
      <c r="N260" t="s">
        <v>1034</v>
      </c>
      <c r="O260" t="s">
        <v>51</v>
      </c>
      <c r="P260" t="s">
        <v>175</v>
      </c>
      <c r="Q260" t="s">
        <v>167</v>
      </c>
      <c r="R260" t="s">
        <v>97</v>
      </c>
      <c r="S260" t="s">
        <v>52</v>
      </c>
      <c r="T260" t="s">
        <v>2293</v>
      </c>
      <c r="U260" t="s">
        <v>2294</v>
      </c>
      <c r="V260" s="137">
        <v>6.7699999999999996E-2</v>
      </c>
      <c r="W260" s="137">
        <v>5.0470000000000001E-2</v>
      </c>
      <c r="X260" t="s">
        <v>131</v>
      </c>
      <c r="Y260" t="s">
        <v>51</v>
      </c>
      <c r="Z260" s="133">
        <v>483000</v>
      </c>
      <c r="AA260" s="135">
        <v>1</v>
      </c>
      <c r="AB260" s="139">
        <v>108.24</v>
      </c>
      <c r="AD260" s="133">
        <v>522.79899999999998</v>
      </c>
      <c r="AG260" t="s">
        <v>135</v>
      </c>
      <c r="AH260" s="137">
        <v>7.1599999999999995E-4</v>
      </c>
      <c r="AI260" s="137">
        <v>3.0370566512976399E-2</v>
      </c>
      <c r="AJ260" s="137">
        <v>5.1761903155106998E-3</v>
      </c>
    </row>
    <row r="261" spans="1:36">
      <c r="A261">
        <v>161</v>
      </c>
      <c r="B261">
        <v>9942</v>
      </c>
      <c r="C261" t="s">
        <v>2295</v>
      </c>
      <c r="D261" t="s">
        <v>2296</v>
      </c>
      <c r="E261" t="s">
        <v>41</v>
      </c>
      <c r="F261" t="s">
        <v>2297</v>
      </c>
      <c r="G261" t="s">
        <v>2298</v>
      </c>
      <c r="H261" t="s">
        <v>44</v>
      </c>
      <c r="I261" t="s">
        <v>1331</v>
      </c>
      <c r="J261" t="s">
        <v>45</v>
      </c>
      <c r="K261" t="s">
        <v>45</v>
      </c>
      <c r="L261" t="s">
        <v>46</v>
      </c>
      <c r="M261" t="s">
        <v>47</v>
      </c>
      <c r="N261" s="125" t="s">
        <v>1062</v>
      </c>
      <c r="O261" t="s">
        <v>51</v>
      </c>
      <c r="P261" t="s">
        <v>1919</v>
      </c>
      <c r="Q261" t="s">
        <v>96</v>
      </c>
      <c r="R261" t="s">
        <v>97</v>
      </c>
      <c r="S261" t="s">
        <v>52</v>
      </c>
      <c r="T261" t="s">
        <v>2299</v>
      </c>
      <c r="U261" t="s">
        <v>2300</v>
      </c>
      <c r="V261" s="137">
        <v>2.1999999999999999E-2</v>
      </c>
      <c r="W261" s="137">
        <v>2.6589999999999999E-2</v>
      </c>
      <c r="X261" t="s">
        <v>131</v>
      </c>
      <c r="Y261" t="s">
        <v>51</v>
      </c>
      <c r="Z261" s="133">
        <v>130333.48</v>
      </c>
      <c r="AA261" s="135">
        <v>1</v>
      </c>
      <c r="AB261" s="139">
        <v>107.75</v>
      </c>
      <c r="AD261" s="133">
        <v>140.434</v>
      </c>
      <c r="AG261" t="s">
        <v>135</v>
      </c>
      <c r="AH261" s="137">
        <v>1.2799999999999999E-4</v>
      </c>
      <c r="AI261" s="137">
        <v>8.1581417856153495E-3</v>
      </c>
      <c r="AJ261" s="137">
        <v>1.3904282781561699E-3</v>
      </c>
    </row>
    <row r="262" spans="1:36">
      <c r="A262">
        <v>161</v>
      </c>
      <c r="B262">
        <v>9942</v>
      </c>
      <c r="C262" t="s">
        <v>2301</v>
      </c>
      <c r="D262" t="s">
        <v>2302</v>
      </c>
      <c r="E262" t="s">
        <v>41</v>
      </c>
      <c r="F262" t="s">
        <v>2303</v>
      </c>
      <c r="G262" t="s">
        <v>2304</v>
      </c>
      <c r="H262" t="s">
        <v>44</v>
      </c>
      <c r="I262" t="s">
        <v>124</v>
      </c>
      <c r="J262" t="s">
        <v>68</v>
      </c>
      <c r="K262" t="s">
        <v>45</v>
      </c>
      <c r="L262" t="s">
        <v>46</v>
      </c>
      <c r="M262" t="s">
        <v>215</v>
      </c>
      <c r="N262" t="s">
        <v>1119</v>
      </c>
      <c r="O262" t="s">
        <v>51</v>
      </c>
      <c r="P262" t="s">
        <v>2305</v>
      </c>
      <c r="Q262" t="s">
        <v>159</v>
      </c>
      <c r="R262" t="s">
        <v>97</v>
      </c>
      <c r="S262" t="s">
        <v>72</v>
      </c>
      <c r="T262" t="s">
        <v>2306</v>
      </c>
      <c r="U262" t="s">
        <v>2307</v>
      </c>
      <c r="V262" s="137">
        <v>3.0769999999999999E-2</v>
      </c>
      <c r="W262" s="137">
        <v>6.0539999999999997E-2</v>
      </c>
      <c r="X262" t="s">
        <v>131</v>
      </c>
      <c r="Y262" t="s">
        <v>51</v>
      </c>
      <c r="Z262" s="133">
        <v>20000</v>
      </c>
      <c r="AA262" s="135">
        <v>3.165</v>
      </c>
      <c r="AB262" s="139">
        <v>101.44</v>
      </c>
      <c r="AD262" s="133">
        <v>64.210999999999999</v>
      </c>
      <c r="AG262" t="s">
        <v>135</v>
      </c>
      <c r="AH262" s="137">
        <v>3.3000000000000003E-5</v>
      </c>
      <c r="AI262" s="137">
        <v>3.7301776386409798E-3</v>
      </c>
      <c r="AJ262" s="137">
        <v>6.3575071475924705E-4</v>
      </c>
    </row>
    <row r="263" spans="1:36">
      <c r="A263">
        <v>161</v>
      </c>
      <c r="B263">
        <v>9943</v>
      </c>
      <c r="C263" t="s">
        <v>1908</v>
      </c>
      <c r="D263" t="s">
        <v>1909</v>
      </c>
      <c r="E263" t="s">
        <v>41</v>
      </c>
      <c r="F263" t="s">
        <v>1910</v>
      </c>
      <c r="G263" t="s">
        <v>1911</v>
      </c>
      <c r="H263" t="s">
        <v>44</v>
      </c>
      <c r="I263" t="s">
        <v>1509</v>
      </c>
      <c r="J263" t="s">
        <v>45</v>
      </c>
      <c r="K263" t="s">
        <v>45</v>
      </c>
      <c r="L263" t="s">
        <v>46</v>
      </c>
      <c r="M263" t="s">
        <v>47</v>
      </c>
      <c r="N263" t="s">
        <v>1037</v>
      </c>
      <c r="O263" t="s">
        <v>51</v>
      </c>
      <c r="P263" t="s">
        <v>1912</v>
      </c>
      <c r="Q263" t="s">
        <v>167</v>
      </c>
      <c r="R263" t="s">
        <v>97</v>
      </c>
      <c r="S263" t="s">
        <v>52</v>
      </c>
      <c r="T263" t="s">
        <v>1913</v>
      </c>
      <c r="U263" t="s">
        <v>1914</v>
      </c>
      <c r="V263" s="137">
        <v>5.1299999999999998E-2</v>
      </c>
      <c r="W263" s="137">
        <v>4.6969999999999998E-2</v>
      </c>
      <c r="X263" t="s">
        <v>131</v>
      </c>
      <c r="Y263" t="s">
        <v>51</v>
      </c>
      <c r="Z263" s="133">
        <v>880000</v>
      </c>
      <c r="AA263" s="135">
        <v>1</v>
      </c>
      <c r="AB263" s="139">
        <v>102.82</v>
      </c>
      <c r="AD263" s="133">
        <v>904.81600000000003</v>
      </c>
      <c r="AG263" t="s">
        <v>135</v>
      </c>
      <c r="AH263" s="137">
        <v>2.5839999999999999E-3</v>
      </c>
      <c r="AI263" s="137">
        <v>2.5519851030088398E-3</v>
      </c>
      <c r="AJ263" s="137">
        <v>4.6172345450638298E-4</v>
      </c>
    </row>
    <row r="264" spans="1:36">
      <c r="A264">
        <v>161</v>
      </c>
      <c r="B264">
        <v>9943</v>
      </c>
      <c r="C264" t="s">
        <v>1915</v>
      </c>
      <c r="D264" t="s">
        <v>1916</v>
      </c>
      <c r="E264" t="s">
        <v>41</v>
      </c>
      <c r="F264" t="s">
        <v>1917</v>
      </c>
      <c r="G264" t="s">
        <v>1918</v>
      </c>
      <c r="H264" t="s">
        <v>44</v>
      </c>
      <c r="I264" t="s">
        <v>1331</v>
      </c>
      <c r="J264" t="s">
        <v>45</v>
      </c>
      <c r="K264" t="s">
        <v>45</v>
      </c>
      <c r="L264" t="s">
        <v>46</v>
      </c>
      <c r="M264" t="s">
        <v>47</v>
      </c>
      <c r="N264" t="s">
        <v>58</v>
      </c>
      <c r="O264" t="s">
        <v>51</v>
      </c>
      <c r="P264" t="s">
        <v>1919</v>
      </c>
      <c r="Q264" t="s">
        <v>96</v>
      </c>
      <c r="R264" t="s">
        <v>97</v>
      </c>
      <c r="S264" t="s">
        <v>52</v>
      </c>
      <c r="T264" t="s">
        <v>1920</v>
      </c>
      <c r="U264" t="s">
        <v>1921</v>
      </c>
      <c r="V264" s="137">
        <v>2.3400000000000001E-2</v>
      </c>
      <c r="W264" s="137">
        <v>2.3099999999999999E-2</v>
      </c>
      <c r="X264" t="s">
        <v>131</v>
      </c>
      <c r="Y264" t="s">
        <v>51</v>
      </c>
      <c r="Z264" s="133">
        <v>2076976.42</v>
      </c>
      <c r="AA264" s="135">
        <v>1</v>
      </c>
      <c r="AB264" s="139">
        <v>117.91</v>
      </c>
      <c r="AD264" s="133">
        <v>2448.9630000000002</v>
      </c>
      <c r="AG264" t="s">
        <v>135</v>
      </c>
      <c r="AH264" s="137">
        <v>1.805E-3</v>
      </c>
      <c r="AI264" s="137">
        <v>6.9071687840523604E-3</v>
      </c>
      <c r="AJ264" s="137">
        <v>1.2496945331190101E-3</v>
      </c>
    </row>
    <row r="265" spans="1:36">
      <c r="A265">
        <v>161</v>
      </c>
      <c r="B265">
        <v>9943</v>
      </c>
      <c r="C265" t="s">
        <v>1915</v>
      </c>
      <c r="D265" t="s">
        <v>1916</v>
      </c>
      <c r="E265" t="s">
        <v>41</v>
      </c>
      <c r="F265" t="s">
        <v>1922</v>
      </c>
      <c r="G265" t="s">
        <v>1923</v>
      </c>
      <c r="H265" t="s">
        <v>44</v>
      </c>
      <c r="I265" t="s">
        <v>1509</v>
      </c>
      <c r="J265" t="s">
        <v>45</v>
      </c>
      <c r="K265" t="s">
        <v>45</v>
      </c>
      <c r="L265" t="s">
        <v>46</v>
      </c>
      <c r="M265" t="s">
        <v>47</v>
      </c>
      <c r="N265" t="s">
        <v>58</v>
      </c>
      <c r="O265" t="s">
        <v>51</v>
      </c>
      <c r="P265" t="s">
        <v>1919</v>
      </c>
      <c r="Q265" t="s">
        <v>96</v>
      </c>
      <c r="R265" t="s">
        <v>97</v>
      </c>
      <c r="S265" t="s">
        <v>52</v>
      </c>
      <c r="T265" t="s">
        <v>1924</v>
      </c>
      <c r="U265" t="s">
        <v>1925</v>
      </c>
      <c r="V265" s="137">
        <v>0.05</v>
      </c>
      <c r="W265" s="137">
        <v>4.5440000000000001E-2</v>
      </c>
      <c r="X265" t="s">
        <v>131</v>
      </c>
      <c r="Y265" t="s">
        <v>51</v>
      </c>
      <c r="Z265" s="133">
        <v>1487500</v>
      </c>
      <c r="AA265" s="135">
        <v>1</v>
      </c>
      <c r="AB265" s="139">
        <v>102.97</v>
      </c>
      <c r="AD265" s="133">
        <v>1531.6790000000001</v>
      </c>
      <c r="AG265" t="s">
        <v>135</v>
      </c>
      <c r="AH265" s="137">
        <v>3.016E-3</v>
      </c>
      <c r="AI265" s="137">
        <v>4.3200179402168E-3</v>
      </c>
      <c r="AJ265" s="137">
        <v>7.8160864047941098E-4</v>
      </c>
    </row>
    <row r="266" spans="1:36">
      <c r="A266">
        <v>161</v>
      </c>
      <c r="B266">
        <v>9943</v>
      </c>
      <c r="C266" t="s">
        <v>1926</v>
      </c>
      <c r="D266" t="s">
        <v>1927</v>
      </c>
      <c r="E266" t="s">
        <v>41</v>
      </c>
      <c r="F266" t="s">
        <v>2308</v>
      </c>
      <c r="G266" t="s">
        <v>2309</v>
      </c>
      <c r="H266" t="s">
        <v>44</v>
      </c>
      <c r="I266" t="s">
        <v>1331</v>
      </c>
      <c r="J266" t="s">
        <v>45</v>
      </c>
      <c r="K266" t="s">
        <v>45</v>
      </c>
      <c r="L266" t="s">
        <v>46</v>
      </c>
      <c r="M266" t="s">
        <v>47</v>
      </c>
      <c r="N266" s="125" t="s">
        <v>1062</v>
      </c>
      <c r="O266" t="s">
        <v>51</v>
      </c>
      <c r="P266" t="s">
        <v>128</v>
      </c>
      <c r="Q266" t="s">
        <v>96</v>
      </c>
      <c r="R266" t="s">
        <v>97</v>
      </c>
      <c r="S266" t="s">
        <v>52</v>
      </c>
      <c r="T266" t="s">
        <v>2310</v>
      </c>
      <c r="U266" t="s">
        <v>2311</v>
      </c>
      <c r="V266" s="137">
        <v>3.2000000000000001E-2</v>
      </c>
      <c r="W266" s="137">
        <v>2.1870000000000001E-2</v>
      </c>
      <c r="X266" t="s">
        <v>131</v>
      </c>
      <c r="Y266" t="s">
        <v>51</v>
      </c>
      <c r="Z266" s="133">
        <v>126446.61</v>
      </c>
      <c r="AA266" s="135">
        <v>1</v>
      </c>
      <c r="AB266" s="139">
        <v>111.1</v>
      </c>
      <c r="AD266" s="133">
        <v>140.482</v>
      </c>
      <c r="AG266" t="s">
        <v>135</v>
      </c>
      <c r="AH266" s="137">
        <v>2.5599999999999999E-4</v>
      </c>
      <c r="AI266" s="137">
        <v>3.9622248066576099E-4</v>
      </c>
      <c r="AJ266" s="137">
        <v>7.1687413970554796E-5</v>
      </c>
    </row>
    <row r="267" spans="1:36">
      <c r="A267">
        <v>161</v>
      </c>
      <c r="B267">
        <v>9943</v>
      </c>
      <c r="C267" t="s">
        <v>1926</v>
      </c>
      <c r="D267" t="s">
        <v>1927</v>
      </c>
      <c r="E267" t="s">
        <v>41</v>
      </c>
      <c r="F267" t="s">
        <v>1928</v>
      </c>
      <c r="G267" t="s">
        <v>1929</v>
      </c>
      <c r="H267" t="s">
        <v>44</v>
      </c>
      <c r="I267" t="s">
        <v>1509</v>
      </c>
      <c r="J267" t="s">
        <v>45</v>
      </c>
      <c r="K267" t="s">
        <v>45</v>
      </c>
      <c r="L267" t="s">
        <v>46</v>
      </c>
      <c r="M267" t="s">
        <v>47</v>
      </c>
      <c r="N267" s="125" t="s">
        <v>1062</v>
      </c>
      <c r="O267" t="s">
        <v>51</v>
      </c>
      <c r="P267" t="s">
        <v>128</v>
      </c>
      <c r="Q267" t="s">
        <v>96</v>
      </c>
      <c r="R267" t="s">
        <v>97</v>
      </c>
      <c r="S267" t="s">
        <v>52</v>
      </c>
      <c r="T267" t="s">
        <v>1930</v>
      </c>
      <c r="U267" t="s">
        <v>1931</v>
      </c>
      <c r="V267" s="137">
        <v>5.7000000000000002E-2</v>
      </c>
      <c r="W267" s="137">
        <v>5.083E-2</v>
      </c>
      <c r="X267" t="s">
        <v>131</v>
      </c>
      <c r="Y267" t="s">
        <v>51</v>
      </c>
      <c r="Z267" s="133">
        <v>146707.84</v>
      </c>
      <c r="AA267" s="135">
        <v>1</v>
      </c>
      <c r="AB267" s="139">
        <v>101.02</v>
      </c>
      <c r="AD267" s="133">
        <v>148.20400000000001</v>
      </c>
      <c r="AG267" t="s">
        <v>135</v>
      </c>
      <c r="AH267" s="137">
        <v>2.4800000000000001E-4</v>
      </c>
      <c r="AI267" s="137">
        <v>4.1800218347242502E-4</v>
      </c>
      <c r="AJ267" s="137">
        <v>7.5627954064679499E-5</v>
      </c>
    </row>
    <row r="268" spans="1:36">
      <c r="A268">
        <v>161</v>
      </c>
      <c r="B268">
        <v>9943</v>
      </c>
      <c r="C268" t="s">
        <v>2312</v>
      </c>
      <c r="D268" t="s">
        <v>2313</v>
      </c>
      <c r="E268" t="s">
        <v>41</v>
      </c>
      <c r="F268" t="s">
        <v>2314</v>
      </c>
      <c r="G268" t="s">
        <v>2315</v>
      </c>
      <c r="H268" t="s">
        <v>44</v>
      </c>
      <c r="I268" t="s">
        <v>1331</v>
      </c>
      <c r="J268" t="s">
        <v>45</v>
      </c>
      <c r="K268" t="s">
        <v>45</v>
      </c>
      <c r="L268" t="s">
        <v>46</v>
      </c>
      <c r="M268" t="s">
        <v>47</v>
      </c>
      <c r="N268" s="125" t="s">
        <v>1062</v>
      </c>
      <c r="O268" t="s">
        <v>51</v>
      </c>
      <c r="P268" t="s">
        <v>128</v>
      </c>
      <c r="Q268" t="s">
        <v>96</v>
      </c>
      <c r="R268" t="s">
        <v>97</v>
      </c>
      <c r="S268" t="s">
        <v>52</v>
      </c>
      <c r="T268" t="s">
        <v>2316</v>
      </c>
      <c r="U268" t="s">
        <v>2317</v>
      </c>
      <c r="V268" s="137">
        <v>3.2300000000000002E-2</v>
      </c>
      <c r="W268" s="137">
        <v>2.4060000000000002E-2</v>
      </c>
      <c r="X268" t="s">
        <v>131</v>
      </c>
      <c r="Y268" t="s">
        <v>51</v>
      </c>
      <c r="Z268" s="133">
        <v>186230.04</v>
      </c>
      <c r="AA268" s="135">
        <v>1</v>
      </c>
      <c r="AB268" s="139">
        <v>111.06</v>
      </c>
      <c r="AD268" s="133">
        <v>206.827</v>
      </c>
      <c r="AG268" t="s">
        <v>135</v>
      </c>
      <c r="AH268" s="137">
        <v>4.46E-4</v>
      </c>
      <c r="AI268" s="137">
        <v>5.8334471676542996E-4</v>
      </c>
      <c r="AJ268" s="137">
        <v>1.0554291146739901E-4</v>
      </c>
    </row>
    <row r="269" spans="1:36">
      <c r="A269">
        <v>161</v>
      </c>
      <c r="B269">
        <v>9943</v>
      </c>
      <c r="C269" t="s">
        <v>1932</v>
      </c>
      <c r="D269" t="s">
        <v>1933</v>
      </c>
      <c r="E269" t="s">
        <v>41</v>
      </c>
      <c r="F269" t="s">
        <v>1934</v>
      </c>
      <c r="G269" t="s">
        <v>1935</v>
      </c>
      <c r="H269" t="s">
        <v>44</v>
      </c>
      <c r="I269" t="s">
        <v>1331</v>
      </c>
      <c r="J269" t="s">
        <v>45</v>
      </c>
      <c r="K269" t="s">
        <v>45</v>
      </c>
      <c r="L269" t="s">
        <v>46</v>
      </c>
      <c r="M269" t="s">
        <v>47</v>
      </c>
      <c r="N269" t="s">
        <v>58</v>
      </c>
      <c r="O269" t="s">
        <v>51</v>
      </c>
      <c r="P269" t="s">
        <v>1936</v>
      </c>
      <c r="Q269" t="s">
        <v>96</v>
      </c>
      <c r="R269" t="s">
        <v>97</v>
      </c>
      <c r="S269" t="s">
        <v>52</v>
      </c>
      <c r="T269" t="s">
        <v>1937</v>
      </c>
      <c r="U269" t="s">
        <v>1938</v>
      </c>
      <c r="V269" s="137">
        <v>2.5600000000000001E-2</v>
      </c>
      <c r="W269" s="137">
        <v>3.0120000000000001E-2</v>
      </c>
      <c r="X269" t="s">
        <v>131</v>
      </c>
      <c r="Y269" t="s">
        <v>51</v>
      </c>
      <c r="Z269" s="133">
        <v>1560000</v>
      </c>
      <c r="AA269" s="135">
        <v>1</v>
      </c>
      <c r="AB269" s="139">
        <v>107.35</v>
      </c>
      <c r="AD269" s="133">
        <v>1674.66</v>
      </c>
      <c r="AG269" t="s">
        <v>135</v>
      </c>
      <c r="AH269" s="137">
        <v>1.485E-3</v>
      </c>
      <c r="AI269" s="137">
        <v>4.7232889036055801E-3</v>
      </c>
      <c r="AJ269" s="137">
        <v>8.5457131651480497E-4</v>
      </c>
    </row>
    <row r="270" spans="1:36">
      <c r="A270">
        <v>161</v>
      </c>
      <c r="B270">
        <v>9943</v>
      </c>
      <c r="C270" t="s">
        <v>1932</v>
      </c>
      <c r="D270" t="s">
        <v>1933</v>
      </c>
      <c r="E270" t="s">
        <v>41</v>
      </c>
      <c r="F270" t="s">
        <v>1939</v>
      </c>
      <c r="G270" t="s">
        <v>1940</v>
      </c>
      <c r="H270" t="s">
        <v>44</v>
      </c>
      <c r="I270" t="s">
        <v>1509</v>
      </c>
      <c r="J270" t="s">
        <v>45</v>
      </c>
      <c r="K270" t="s">
        <v>45</v>
      </c>
      <c r="L270" t="s">
        <v>46</v>
      </c>
      <c r="M270" t="s">
        <v>47</v>
      </c>
      <c r="N270" t="s">
        <v>58</v>
      </c>
      <c r="O270" t="s">
        <v>51</v>
      </c>
      <c r="P270" t="s">
        <v>1936</v>
      </c>
      <c r="Q270" t="s">
        <v>96</v>
      </c>
      <c r="R270" t="s">
        <v>97</v>
      </c>
      <c r="S270" t="s">
        <v>52</v>
      </c>
      <c r="T270" t="s">
        <v>1941</v>
      </c>
      <c r="U270" t="s">
        <v>1942</v>
      </c>
      <c r="V270" s="137">
        <v>2.41E-2</v>
      </c>
      <c r="W270" s="137">
        <v>4.8550000000000003E-2</v>
      </c>
      <c r="X270" t="s">
        <v>131</v>
      </c>
      <c r="Y270" t="s">
        <v>51</v>
      </c>
      <c r="Z270" s="133">
        <v>2833333.35</v>
      </c>
      <c r="AA270" s="135">
        <v>1</v>
      </c>
      <c r="AB270" s="139">
        <v>93.27</v>
      </c>
      <c r="AD270" s="133">
        <v>2642.65</v>
      </c>
      <c r="AG270" t="s">
        <v>135</v>
      </c>
      <c r="AH270" s="137">
        <v>1.379E-3</v>
      </c>
      <c r="AI270" s="137">
        <v>7.4534529364389196E-3</v>
      </c>
      <c r="AJ270" s="137">
        <v>1.3485321813813901E-3</v>
      </c>
    </row>
    <row r="271" spans="1:36">
      <c r="A271">
        <v>161</v>
      </c>
      <c r="B271">
        <v>9943</v>
      </c>
      <c r="C271" t="s">
        <v>1943</v>
      </c>
      <c r="D271" t="s">
        <v>479</v>
      </c>
      <c r="E271" t="s">
        <v>41</v>
      </c>
      <c r="F271" t="s">
        <v>1944</v>
      </c>
      <c r="G271" t="s">
        <v>1945</v>
      </c>
      <c r="H271" t="s">
        <v>44</v>
      </c>
      <c r="I271" t="s">
        <v>1509</v>
      </c>
      <c r="J271" t="s">
        <v>45</v>
      </c>
      <c r="K271" t="s">
        <v>45</v>
      </c>
      <c r="L271" t="s">
        <v>46</v>
      </c>
      <c r="M271" t="s">
        <v>47</v>
      </c>
      <c r="N271" t="s">
        <v>150</v>
      </c>
      <c r="O271" t="s">
        <v>51</v>
      </c>
      <c r="P271" t="s">
        <v>128</v>
      </c>
      <c r="Q271" t="s">
        <v>96</v>
      </c>
      <c r="R271" t="s">
        <v>97</v>
      </c>
      <c r="S271" t="s">
        <v>52</v>
      </c>
      <c r="T271" t="s">
        <v>1946</v>
      </c>
      <c r="U271" t="s">
        <v>1947</v>
      </c>
      <c r="V271" s="137">
        <v>0.04</v>
      </c>
      <c r="W271" s="137">
        <v>4.786E-2</v>
      </c>
      <c r="X271" t="s">
        <v>131</v>
      </c>
      <c r="Y271" t="s">
        <v>51</v>
      </c>
      <c r="Z271" s="133">
        <v>822929.69</v>
      </c>
      <c r="AA271" s="135">
        <v>1</v>
      </c>
      <c r="AB271" s="139">
        <v>99.05</v>
      </c>
      <c r="AD271" s="133">
        <v>815.11199999999997</v>
      </c>
      <c r="AG271" t="s">
        <v>135</v>
      </c>
      <c r="AH271" s="137">
        <v>1.701E-3</v>
      </c>
      <c r="AI271" s="137">
        <v>2.2989793712329299E-3</v>
      </c>
      <c r="AJ271" s="137">
        <v>4.1594784227896202E-4</v>
      </c>
    </row>
    <row r="272" spans="1:36">
      <c r="A272">
        <v>161</v>
      </c>
      <c r="B272">
        <v>9943</v>
      </c>
      <c r="C272" t="s">
        <v>1948</v>
      </c>
      <c r="D272" t="s">
        <v>1949</v>
      </c>
      <c r="E272" t="s">
        <v>41</v>
      </c>
      <c r="F272" t="s">
        <v>2385</v>
      </c>
      <c r="G272" t="s">
        <v>2386</v>
      </c>
      <c r="H272" t="s">
        <v>44</v>
      </c>
      <c r="I272" t="s">
        <v>1331</v>
      </c>
      <c r="J272" t="s">
        <v>45</v>
      </c>
      <c r="K272" t="s">
        <v>45</v>
      </c>
      <c r="L272" t="s">
        <v>46</v>
      </c>
      <c r="M272" t="s">
        <v>47</v>
      </c>
      <c r="N272" t="s">
        <v>58</v>
      </c>
      <c r="O272" t="s">
        <v>51</v>
      </c>
      <c r="P272" t="s">
        <v>1919</v>
      </c>
      <c r="Q272" t="s">
        <v>96</v>
      </c>
      <c r="R272" t="s">
        <v>97</v>
      </c>
      <c r="S272" t="s">
        <v>52</v>
      </c>
      <c r="T272" t="s">
        <v>2387</v>
      </c>
      <c r="U272" t="s">
        <v>2388</v>
      </c>
      <c r="V272" s="137">
        <v>3.2000000000000001E-2</v>
      </c>
      <c r="W272" s="137">
        <v>2.18E-2</v>
      </c>
      <c r="X272" t="s">
        <v>131</v>
      </c>
      <c r="Y272" t="s">
        <v>51</v>
      </c>
      <c r="Z272" s="133">
        <v>1080000</v>
      </c>
      <c r="AA272" s="135">
        <v>1</v>
      </c>
      <c r="AB272" s="139">
        <v>121.87</v>
      </c>
      <c r="AD272" s="133">
        <v>1316.1959999999999</v>
      </c>
      <c r="AG272" t="s">
        <v>135</v>
      </c>
      <c r="AH272" s="137">
        <v>2.6080000000000001E-3</v>
      </c>
      <c r="AI272" s="137">
        <v>3.7122603762973099E-3</v>
      </c>
      <c r="AJ272" s="137">
        <v>6.71648781550596E-4</v>
      </c>
    </row>
    <row r="273" spans="1:36">
      <c r="A273">
        <v>161</v>
      </c>
      <c r="B273">
        <v>9943</v>
      </c>
      <c r="C273" t="s">
        <v>1948</v>
      </c>
      <c r="D273" t="s">
        <v>1949</v>
      </c>
      <c r="E273" t="s">
        <v>41</v>
      </c>
      <c r="F273" t="s">
        <v>1954</v>
      </c>
      <c r="G273" t="s">
        <v>1955</v>
      </c>
      <c r="H273" t="s">
        <v>44</v>
      </c>
      <c r="I273" t="s">
        <v>1509</v>
      </c>
      <c r="J273" t="s">
        <v>45</v>
      </c>
      <c r="K273" t="s">
        <v>45</v>
      </c>
      <c r="L273" t="s">
        <v>46</v>
      </c>
      <c r="M273" t="s">
        <v>47</v>
      </c>
      <c r="N273" t="s">
        <v>58</v>
      </c>
      <c r="O273" t="s">
        <v>51</v>
      </c>
      <c r="P273" t="s">
        <v>1919</v>
      </c>
      <c r="Q273" t="s">
        <v>96</v>
      </c>
      <c r="R273" t="s">
        <v>97</v>
      </c>
      <c r="S273" t="s">
        <v>52</v>
      </c>
      <c r="T273" t="s">
        <v>1956</v>
      </c>
      <c r="U273" t="s">
        <v>1957</v>
      </c>
      <c r="V273" s="137">
        <v>2.4400000000000002E-2</v>
      </c>
      <c r="W273" s="137">
        <v>4.6190000000000002E-2</v>
      </c>
      <c r="X273" t="s">
        <v>131</v>
      </c>
      <c r="Y273" t="s">
        <v>51</v>
      </c>
      <c r="Z273" s="133">
        <v>4800000</v>
      </c>
      <c r="AA273" s="135">
        <v>1</v>
      </c>
      <c r="AB273" s="139">
        <v>92.36</v>
      </c>
      <c r="AD273" s="133">
        <v>4433.28</v>
      </c>
      <c r="AG273" t="s">
        <v>135</v>
      </c>
      <c r="AH273" s="137">
        <v>3.9500000000000004E-3</v>
      </c>
      <c r="AI273" s="137">
        <v>1.2503828974583801E-2</v>
      </c>
      <c r="AJ273" s="137">
        <v>2.2622824490217399E-3</v>
      </c>
    </row>
    <row r="274" spans="1:36">
      <c r="A274">
        <v>161</v>
      </c>
      <c r="B274">
        <v>9943</v>
      </c>
      <c r="C274" t="s">
        <v>1948</v>
      </c>
      <c r="D274" t="s">
        <v>1949</v>
      </c>
      <c r="E274" t="s">
        <v>41</v>
      </c>
      <c r="F274" t="s">
        <v>1958</v>
      </c>
      <c r="G274" t="s">
        <v>1959</v>
      </c>
      <c r="H274" t="s">
        <v>44</v>
      </c>
      <c r="I274" t="s">
        <v>1331</v>
      </c>
      <c r="J274" t="s">
        <v>45</v>
      </c>
      <c r="K274" t="s">
        <v>45</v>
      </c>
      <c r="L274" t="s">
        <v>46</v>
      </c>
      <c r="M274" t="s">
        <v>47</v>
      </c>
      <c r="N274" t="s">
        <v>58</v>
      </c>
      <c r="O274" t="s">
        <v>51</v>
      </c>
      <c r="P274" t="s">
        <v>1919</v>
      </c>
      <c r="Q274" t="s">
        <v>96</v>
      </c>
      <c r="R274" t="s">
        <v>97</v>
      </c>
      <c r="S274" t="s">
        <v>52</v>
      </c>
      <c r="T274" t="s">
        <v>1960</v>
      </c>
      <c r="U274" t="s">
        <v>1957</v>
      </c>
      <c r="V274" s="137">
        <v>9.1999999999999998E-3</v>
      </c>
      <c r="W274" s="137">
        <v>2.7480000000000001E-2</v>
      </c>
      <c r="X274" t="s">
        <v>131</v>
      </c>
      <c r="Y274" t="s">
        <v>51</v>
      </c>
      <c r="Z274" s="133">
        <v>1700000</v>
      </c>
      <c r="AA274" s="135">
        <v>1</v>
      </c>
      <c r="AB274" s="139">
        <v>109.79</v>
      </c>
      <c r="AD274" s="133">
        <v>1866.43</v>
      </c>
      <c r="AG274" t="s">
        <v>135</v>
      </c>
      <c r="AH274" s="137">
        <v>6.5700000000000003E-4</v>
      </c>
      <c r="AI274" s="137">
        <v>5.2641659252364997E-3</v>
      </c>
      <c r="AJ274" s="137">
        <v>9.5243066788645305E-4</v>
      </c>
    </row>
    <row r="275" spans="1:36">
      <c r="A275">
        <v>161</v>
      </c>
      <c r="B275">
        <v>9943</v>
      </c>
      <c r="C275" t="s">
        <v>1961</v>
      </c>
      <c r="D275" t="s">
        <v>1962</v>
      </c>
      <c r="E275" t="s">
        <v>41</v>
      </c>
      <c r="F275" t="s">
        <v>1963</v>
      </c>
      <c r="G275" t="s">
        <v>1964</v>
      </c>
      <c r="H275" t="s">
        <v>44</v>
      </c>
      <c r="I275" t="s">
        <v>1509</v>
      </c>
      <c r="J275" t="s">
        <v>45</v>
      </c>
      <c r="K275" t="s">
        <v>69</v>
      </c>
      <c r="L275" t="s">
        <v>46</v>
      </c>
      <c r="M275" t="s">
        <v>47</v>
      </c>
      <c r="N275" t="s">
        <v>49</v>
      </c>
      <c r="O275" t="s">
        <v>51</v>
      </c>
      <c r="P275" t="s">
        <v>158</v>
      </c>
      <c r="Q275" t="s">
        <v>96</v>
      </c>
      <c r="R275" t="s">
        <v>97</v>
      </c>
      <c r="S275" t="s">
        <v>52</v>
      </c>
      <c r="T275" t="s">
        <v>1965</v>
      </c>
      <c r="U275" t="s">
        <v>1966</v>
      </c>
      <c r="V275" s="137">
        <v>3.4500000000000003E-2</v>
      </c>
      <c r="W275" s="137">
        <v>5.0569999999999997E-2</v>
      </c>
      <c r="X275" t="s">
        <v>131</v>
      </c>
      <c r="Y275" t="s">
        <v>51</v>
      </c>
      <c r="Z275" s="133">
        <v>1919002.06</v>
      </c>
      <c r="AA275" s="135">
        <v>1</v>
      </c>
      <c r="AB275" s="139">
        <v>99.67</v>
      </c>
      <c r="AD275" s="133">
        <v>1912.6690000000001</v>
      </c>
      <c r="AG275" t="s">
        <v>135</v>
      </c>
      <c r="AH275" s="137">
        <v>3.4450000000000001E-3</v>
      </c>
      <c r="AI275" s="137">
        <v>5.3945815462514597E-3</v>
      </c>
      <c r="AJ275" s="137">
        <v>9.7602639773049704E-4</v>
      </c>
    </row>
    <row r="276" spans="1:36">
      <c r="A276">
        <v>161</v>
      </c>
      <c r="B276">
        <v>9943</v>
      </c>
      <c r="C276" t="s">
        <v>1961</v>
      </c>
      <c r="D276" t="s">
        <v>1962</v>
      </c>
      <c r="E276" t="s">
        <v>41</v>
      </c>
      <c r="F276" t="s">
        <v>1967</v>
      </c>
      <c r="G276" t="s">
        <v>1968</v>
      </c>
      <c r="H276" t="s">
        <v>44</v>
      </c>
      <c r="I276" t="s">
        <v>1509</v>
      </c>
      <c r="J276" t="s">
        <v>45</v>
      </c>
      <c r="K276" t="s">
        <v>69</v>
      </c>
      <c r="L276" t="s">
        <v>46</v>
      </c>
      <c r="M276" t="s">
        <v>47</v>
      </c>
      <c r="N276" t="s">
        <v>49</v>
      </c>
      <c r="O276" t="s">
        <v>51</v>
      </c>
      <c r="P276" t="s">
        <v>158</v>
      </c>
      <c r="Q276" t="s">
        <v>96</v>
      </c>
      <c r="R276" t="s">
        <v>97</v>
      </c>
      <c r="S276" t="s">
        <v>52</v>
      </c>
      <c r="T276" t="s">
        <v>1969</v>
      </c>
      <c r="U276" t="s">
        <v>1970</v>
      </c>
      <c r="V276" s="137">
        <v>1.4999999999999999E-2</v>
      </c>
      <c r="W276" s="137">
        <v>4.8719999999999999E-2</v>
      </c>
      <c r="X276" t="s">
        <v>131</v>
      </c>
      <c r="Y276" t="s">
        <v>51</v>
      </c>
      <c r="Z276" s="133">
        <v>344314</v>
      </c>
      <c r="AA276" s="135">
        <v>1</v>
      </c>
      <c r="AB276" s="139">
        <v>92.72</v>
      </c>
      <c r="AD276" s="133">
        <v>319.24799999999999</v>
      </c>
      <c r="AG276" t="s">
        <v>135</v>
      </c>
      <c r="AH276" s="137">
        <v>2.9300000000000002E-4</v>
      </c>
      <c r="AI276" s="137">
        <v>9.0042173114517001E-4</v>
      </c>
      <c r="AJ276" s="137">
        <v>1.62910759834293E-4</v>
      </c>
    </row>
    <row r="277" spans="1:36">
      <c r="A277">
        <v>161</v>
      </c>
      <c r="B277">
        <v>9943</v>
      </c>
      <c r="C277" t="s">
        <v>1915</v>
      </c>
      <c r="D277" t="s">
        <v>1916</v>
      </c>
      <c r="E277" t="s">
        <v>41</v>
      </c>
      <c r="F277" t="s">
        <v>1971</v>
      </c>
      <c r="G277" t="s">
        <v>1972</v>
      </c>
      <c r="H277" t="s">
        <v>44</v>
      </c>
      <c r="I277" t="s">
        <v>1331</v>
      </c>
      <c r="J277" t="s">
        <v>45</v>
      </c>
      <c r="K277" t="s">
        <v>45</v>
      </c>
      <c r="L277" t="s">
        <v>46</v>
      </c>
      <c r="M277" t="s">
        <v>47</v>
      </c>
      <c r="N277" t="s">
        <v>58</v>
      </c>
      <c r="O277" t="s">
        <v>51</v>
      </c>
      <c r="P277" t="s">
        <v>1919</v>
      </c>
      <c r="Q277" t="s">
        <v>96</v>
      </c>
      <c r="R277" t="s">
        <v>97</v>
      </c>
      <c r="S277" t="s">
        <v>52</v>
      </c>
      <c r="T277" t="s">
        <v>1973</v>
      </c>
      <c r="U277" t="s">
        <v>1974</v>
      </c>
      <c r="V277" s="137">
        <v>6.4999999999999997E-3</v>
      </c>
      <c r="W277" s="137">
        <v>2.7640000000000001E-2</v>
      </c>
      <c r="X277" t="s">
        <v>131</v>
      </c>
      <c r="Y277" t="s">
        <v>51</v>
      </c>
      <c r="Z277" s="133">
        <v>1179741.8600000001</v>
      </c>
      <c r="AA277" s="135">
        <v>1</v>
      </c>
      <c r="AB277" s="139">
        <v>106.82</v>
      </c>
      <c r="AD277" s="133">
        <v>1260.2</v>
      </c>
      <c r="AG277" t="s">
        <v>135</v>
      </c>
      <c r="AH277" s="137">
        <v>5.6599999999999999E-4</v>
      </c>
      <c r="AI277" s="137">
        <v>3.5543273739525498E-3</v>
      </c>
      <c r="AJ277" s="137">
        <v>6.4307440964802805E-4</v>
      </c>
    </row>
    <row r="278" spans="1:36">
      <c r="A278">
        <v>161</v>
      </c>
      <c r="B278">
        <v>9943</v>
      </c>
      <c r="C278" t="s">
        <v>53</v>
      </c>
      <c r="D278" t="s">
        <v>54</v>
      </c>
      <c r="E278" t="s">
        <v>41</v>
      </c>
      <c r="F278" t="s">
        <v>1975</v>
      </c>
      <c r="G278" t="s">
        <v>1976</v>
      </c>
      <c r="H278" t="s">
        <v>44</v>
      </c>
      <c r="I278" t="s">
        <v>1331</v>
      </c>
      <c r="J278" t="s">
        <v>45</v>
      </c>
      <c r="K278" t="s">
        <v>45</v>
      </c>
      <c r="L278" t="s">
        <v>46</v>
      </c>
      <c r="M278" t="s">
        <v>47</v>
      </c>
      <c r="N278" t="s">
        <v>58</v>
      </c>
      <c r="O278" t="s">
        <v>51</v>
      </c>
      <c r="P278" t="s">
        <v>1977</v>
      </c>
      <c r="Q278" t="s">
        <v>167</v>
      </c>
      <c r="R278" t="s">
        <v>97</v>
      </c>
      <c r="S278" t="s">
        <v>52</v>
      </c>
      <c r="T278" t="s">
        <v>1978</v>
      </c>
      <c r="U278" t="s">
        <v>1979</v>
      </c>
      <c r="V278" s="137">
        <v>1.17E-2</v>
      </c>
      <c r="W278" s="137">
        <v>2.6040000000000001E-2</v>
      </c>
      <c r="X278" t="s">
        <v>131</v>
      </c>
      <c r="Y278" t="s">
        <v>51</v>
      </c>
      <c r="Z278" s="133">
        <v>286564</v>
      </c>
      <c r="AA278" s="135">
        <v>1</v>
      </c>
      <c r="AB278" s="139">
        <v>112.45</v>
      </c>
      <c r="AD278" s="133">
        <v>322.24099999999999</v>
      </c>
      <c r="AG278" t="s">
        <v>135</v>
      </c>
      <c r="AH278" s="137">
        <v>4.1599999999999997E-4</v>
      </c>
      <c r="AI278" s="137">
        <v>9.0886410929009195E-4</v>
      </c>
      <c r="AJ278" s="137">
        <v>1.64438215459612E-4</v>
      </c>
    </row>
    <row r="279" spans="1:36">
      <c r="A279">
        <v>161</v>
      </c>
      <c r="B279">
        <v>9943</v>
      </c>
      <c r="C279" t="s">
        <v>53</v>
      </c>
      <c r="D279" t="s">
        <v>54</v>
      </c>
      <c r="E279" t="s">
        <v>41</v>
      </c>
      <c r="F279" t="s">
        <v>1980</v>
      </c>
      <c r="G279" t="s">
        <v>1981</v>
      </c>
      <c r="H279" t="s">
        <v>44</v>
      </c>
      <c r="I279" t="s">
        <v>1331</v>
      </c>
      <c r="J279" t="s">
        <v>45</v>
      </c>
      <c r="K279" t="s">
        <v>45</v>
      </c>
      <c r="L279" t="s">
        <v>46</v>
      </c>
      <c r="M279" t="s">
        <v>47</v>
      </c>
      <c r="N279" t="s">
        <v>58</v>
      </c>
      <c r="O279" t="s">
        <v>51</v>
      </c>
      <c r="P279" t="s">
        <v>1936</v>
      </c>
      <c r="Q279" t="s">
        <v>96</v>
      </c>
      <c r="R279" t="s">
        <v>97</v>
      </c>
      <c r="S279" t="s">
        <v>52</v>
      </c>
      <c r="T279" t="s">
        <v>1982</v>
      </c>
      <c r="U279" t="s">
        <v>1983</v>
      </c>
      <c r="V279" s="137">
        <v>1.8700000000000001E-2</v>
      </c>
      <c r="W279" s="137">
        <v>2.7820000000000001E-2</v>
      </c>
      <c r="X279" t="s">
        <v>131</v>
      </c>
      <c r="Y279" t="s">
        <v>51</v>
      </c>
      <c r="Z279" s="133">
        <v>4208912.5</v>
      </c>
      <c r="AA279" s="135">
        <v>1</v>
      </c>
      <c r="AB279" s="139">
        <v>109.77</v>
      </c>
      <c r="AD279" s="133">
        <v>4620.1229999999996</v>
      </c>
      <c r="AG279" t="s">
        <v>135</v>
      </c>
      <c r="AH279" s="137">
        <v>4.3080000000000002E-3</v>
      </c>
      <c r="AI279" s="137">
        <v>1.30308103650408E-2</v>
      </c>
      <c r="AJ279" s="137">
        <v>2.35762770310473E-3</v>
      </c>
    </row>
    <row r="280" spans="1:36">
      <c r="A280">
        <v>161</v>
      </c>
      <c r="B280">
        <v>9943</v>
      </c>
      <c r="C280" t="s">
        <v>1984</v>
      </c>
      <c r="D280" t="s">
        <v>1985</v>
      </c>
      <c r="E280" t="s">
        <v>41</v>
      </c>
      <c r="F280" t="s">
        <v>1986</v>
      </c>
      <c r="G280" t="s">
        <v>1987</v>
      </c>
      <c r="H280" t="s">
        <v>44</v>
      </c>
      <c r="I280" t="s">
        <v>1509</v>
      </c>
      <c r="J280" t="s">
        <v>45</v>
      </c>
      <c r="K280" t="s">
        <v>45</v>
      </c>
      <c r="L280" t="s">
        <v>46</v>
      </c>
      <c r="M280" t="s">
        <v>47</v>
      </c>
      <c r="N280" t="s">
        <v>1034</v>
      </c>
      <c r="O280" t="s">
        <v>51</v>
      </c>
      <c r="P280" t="s">
        <v>1898</v>
      </c>
      <c r="Q280" t="s">
        <v>167</v>
      </c>
      <c r="R280" t="s">
        <v>97</v>
      </c>
      <c r="S280" t="s">
        <v>52</v>
      </c>
      <c r="T280" t="s">
        <v>1988</v>
      </c>
      <c r="U280" t="s">
        <v>1925</v>
      </c>
      <c r="V280" s="137">
        <v>7.2499999999999995E-2</v>
      </c>
      <c r="W280" s="137">
        <v>6.0470000000000003E-2</v>
      </c>
      <c r="X280" t="s">
        <v>131</v>
      </c>
      <c r="Y280" t="s">
        <v>51</v>
      </c>
      <c r="Z280" s="133">
        <v>1584026.95</v>
      </c>
      <c r="AA280" s="135">
        <v>1</v>
      </c>
      <c r="AB280" s="139">
        <v>106.43</v>
      </c>
      <c r="AD280" s="133">
        <v>1685.88</v>
      </c>
      <c r="AG280" t="s">
        <v>135</v>
      </c>
      <c r="AH280" s="137">
        <v>2.4750000000000002E-3</v>
      </c>
      <c r="AI280" s="137">
        <v>4.7549339828040302E-3</v>
      </c>
      <c r="AJ280" s="137">
        <v>8.6029677128662504E-4</v>
      </c>
    </row>
    <row r="281" spans="1:36">
      <c r="A281">
        <v>161</v>
      </c>
      <c r="B281">
        <v>9943</v>
      </c>
      <c r="C281" t="s">
        <v>1989</v>
      </c>
      <c r="D281" t="s">
        <v>1990</v>
      </c>
      <c r="E281" t="s">
        <v>41</v>
      </c>
      <c r="F281" t="s">
        <v>2328</v>
      </c>
      <c r="G281" t="s">
        <v>2329</v>
      </c>
      <c r="H281" t="s">
        <v>44</v>
      </c>
      <c r="I281" t="s">
        <v>1509</v>
      </c>
      <c r="J281" t="s">
        <v>45</v>
      </c>
      <c r="K281" t="s">
        <v>45</v>
      </c>
      <c r="L281" t="s">
        <v>46</v>
      </c>
      <c r="M281" t="s">
        <v>47</v>
      </c>
      <c r="N281" t="s">
        <v>58</v>
      </c>
      <c r="O281" t="s">
        <v>51</v>
      </c>
      <c r="P281" t="s">
        <v>1919</v>
      </c>
      <c r="Q281" t="s">
        <v>96</v>
      </c>
      <c r="R281" t="s">
        <v>97</v>
      </c>
      <c r="S281" t="s">
        <v>52</v>
      </c>
      <c r="T281" t="s">
        <v>2330</v>
      </c>
      <c r="U281" t="s">
        <v>2294</v>
      </c>
      <c r="V281" s="137">
        <v>2.5499999999999998E-2</v>
      </c>
      <c r="W281" s="137">
        <v>4.7719999999999999E-2</v>
      </c>
      <c r="X281" t="s">
        <v>131</v>
      </c>
      <c r="Y281" t="s">
        <v>51</v>
      </c>
      <c r="Z281" s="133">
        <v>4423077</v>
      </c>
      <c r="AA281" s="135">
        <v>1</v>
      </c>
      <c r="AB281" s="139">
        <v>92.08</v>
      </c>
      <c r="AD281" s="133">
        <v>4072.7689999999998</v>
      </c>
      <c r="AG281" t="s">
        <v>135</v>
      </c>
      <c r="AH281" s="137">
        <v>1.2880000000000001E-3</v>
      </c>
      <c r="AI281" s="137">
        <v>1.14870278439759E-2</v>
      </c>
      <c r="AJ281" s="137">
        <v>2.0783154932519999E-3</v>
      </c>
    </row>
    <row r="282" spans="1:36">
      <c r="A282">
        <v>161</v>
      </c>
      <c r="B282">
        <v>9943</v>
      </c>
      <c r="C282" t="s">
        <v>1989</v>
      </c>
      <c r="D282" t="s">
        <v>1990</v>
      </c>
      <c r="E282" t="s">
        <v>41</v>
      </c>
      <c r="F282" t="s">
        <v>1991</v>
      </c>
      <c r="G282" t="s">
        <v>1992</v>
      </c>
      <c r="H282" t="s">
        <v>44</v>
      </c>
      <c r="I282" t="s">
        <v>1331</v>
      </c>
      <c r="J282" t="s">
        <v>45</v>
      </c>
      <c r="K282" t="s">
        <v>45</v>
      </c>
      <c r="L282" t="s">
        <v>46</v>
      </c>
      <c r="M282" t="s">
        <v>47</v>
      </c>
      <c r="N282" t="s">
        <v>58</v>
      </c>
      <c r="O282" t="s">
        <v>51</v>
      </c>
      <c r="P282" t="s">
        <v>1919</v>
      </c>
      <c r="Q282" t="s">
        <v>96</v>
      </c>
      <c r="R282" t="s">
        <v>97</v>
      </c>
      <c r="S282" t="s">
        <v>52</v>
      </c>
      <c r="T282" t="s">
        <v>1993</v>
      </c>
      <c r="U282" t="s">
        <v>1994</v>
      </c>
      <c r="V282" s="137">
        <v>5.8999999999999999E-3</v>
      </c>
      <c r="W282" s="137">
        <v>2.716E-2</v>
      </c>
      <c r="X282" t="s">
        <v>131</v>
      </c>
      <c r="Y282" t="s">
        <v>51</v>
      </c>
      <c r="Z282" s="133">
        <v>2500000</v>
      </c>
      <c r="AA282" s="135">
        <v>1</v>
      </c>
      <c r="AB282" s="139">
        <v>105.93</v>
      </c>
      <c r="AD282" s="133">
        <v>2648.25</v>
      </c>
      <c r="AG282" t="s">
        <v>135</v>
      </c>
      <c r="AH282" s="137">
        <v>1.7849999999999999E-3</v>
      </c>
      <c r="AI282" s="137">
        <v>7.46924739288779E-3</v>
      </c>
      <c r="AJ282" s="137">
        <v>1.35138982776225E-3</v>
      </c>
    </row>
    <row r="283" spans="1:36">
      <c r="A283">
        <v>161</v>
      </c>
      <c r="B283">
        <v>9943</v>
      </c>
      <c r="C283" t="s">
        <v>1995</v>
      </c>
      <c r="D283" t="s">
        <v>1996</v>
      </c>
      <c r="E283" t="s">
        <v>41</v>
      </c>
      <c r="F283" t="s">
        <v>2389</v>
      </c>
      <c r="G283" t="s">
        <v>2390</v>
      </c>
      <c r="H283" t="s">
        <v>44</v>
      </c>
      <c r="I283" t="s">
        <v>1331</v>
      </c>
      <c r="J283" t="s">
        <v>45</v>
      </c>
      <c r="K283" t="s">
        <v>264</v>
      </c>
      <c r="L283" t="s">
        <v>46</v>
      </c>
      <c r="M283" t="s">
        <v>47</v>
      </c>
      <c r="N283" t="s">
        <v>1050</v>
      </c>
      <c r="O283" t="s">
        <v>51</v>
      </c>
      <c r="P283" t="s">
        <v>1999</v>
      </c>
      <c r="Q283" t="s">
        <v>96</v>
      </c>
      <c r="R283" t="s">
        <v>97</v>
      </c>
      <c r="S283" t="s">
        <v>52</v>
      </c>
      <c r="T283" t="s">
        <v>2391</v>
      </c>
      <c r="U283" t="s">
        <v>130</v>
      </c>
      <c r="V283" s="137">
        <v>0.04</v>
      </c>
      <c r="W283" s="137">
        <v>4.41E-2</v>
      </c>
      <c r="X283" t="s">
        <v>131</v>
      </c>
      <c r="Y283" t="s">
        <v>51</v>
      </c>
      <c r="Z283" s="133">
        <v>1497925.74</v>
      </c>
      <c r="AA283" s="135">
        <v>1</v>
      </c>
      <c r="AB283" s="139">
        <v>118.5</v>
      </c>
      <c r="AD283" s="133">
        <v>1775.0419999999999</v>
      </c>
      <c r="AG283" t="s">
        <v>135</v>
      </c>
      <c r="AH283" s="137">
        <v>1.2229999999999999E-3</v>
      </c>
      <c r="AI283" s="137">
        <v>5.0064109676042296E-3</v>
      </c>
      <c r="AJ283" s="137">
        <v>9.0579579164293505E-4</v>
      </c>
    </row>
    <row r="284" spans="1:36">
      <c r="A284">
        <v>161</v>
      </c>
      <c r="B284">
        <v>9943</v>
      </c>
      <c r="C284" t="s">
        <v>2002</v>
      </c>
      <c r="D284" t="s">
        <v>2003</v>
      </c>
      <c r="E284" t="s">
        <v>41</v>
      </c>
      <c r="F284" t="s">
        <v>2004</v>
      </c>
      <c r="G284" t="s">
        <v>2005</v>
      </c>
      <c r="H284" t="s">
        <v>44</v>
      </c>
      <c r="I284" t="s">
        <v>1331</v>
      </c>
      <c r="J284" t="s">
        <v>45</v>
      </c>
      <c r="K284" t="s">
        <v>45</v>
      </c>
      <c r="L284" t="s">
        <v>46</v>
      </c>
      <c r="M284" t="s">
        <v>47</v>
      </c>
      <c r="N284" t="s">
        <v>221</v>
      </c>
      <c r="O284" t="s">
        <v>51</v>
      </c>
      <c r="P284" t="s">
        <v>95</v>
      </c>
      <c r="Q284" t="s">
        <v>96</v>
      </c>
      <c r="R284" t="s">
        <v>97</v>
      </c>
      <c r="S284" t="s">
        <v>52</v>
      </c>
      <c r="T284" t="s">
        <v>2006</v>
      </c>
      <c r="U284" t="s">
        <v>2007</v>
      </c>
      <c r="V284" s="137">
        <v>2E-3</v>
      </c>
      <c r="W284" s="137">
        <v>2.4199999999999999E-2</v>
      </c>
      <c r="X284" t="s">
        <v>131</v>
      </c>
      <c r="Y284" t="s">
        <v>51</v>
      </c>
      <c r="Z284" s="133">
        <v>2222070.61</v>
      </c>
      <c r="AA284" s="135">
        <v>1</v>
      </c>
      <c r="AB284" s="139">
        <v>106.92</v>
      </c>
      <c r="AD284" s="133">
        <v>2375.8380000000002</v>
      </c>
      <c r="AG284" t="s">
        <v>135</v>
      </c>
      <c r="AH284" s="137">
        <v>7.5199999999999996E-4</v>
      </c>
      <c r="AI284" s="137">
        <v>6.7009236334203701E-3</v>
      </c>
      <c r="AJ284" s="137">
        <v>1.21237918072424E-3</v>
      </c>
    </row>
    <row r="285" spans="1:36">
      <c r="A285">
        <v>161</v>
      </c>
      <c r="B285">
        <v>9943</v>
      </c>
      <c r="C285" t="s">
        <v>2002</v>
      </c>
      <c r="D285" t="s">
        <v>2003</v>
      </c>
      <c r="E285" t="s">
        <v>41</v>
      </c>
      <c r="F285" t="s">
        <v>2382</v>
      </c>
      <c r="G285" t="s">
        <v>2383</v>
      </c>
      <c r="H285" t="s">
        <v>44</v>
      </c>
      <c r="I285" t="s">
        <v>1331</v>
      </c>
      <c r="J285" t="s">
        <v>45</v>
      </c>
      <c r="K285" t="s">
        <v>45</v>
      </c>
      <c r="L285" t="s">
        <v>46</v>
      </c>
      <c r="M285" t="s">
        <v>47</v>
      </c>
      <c r="N285" t="s">
        <v>221</v>
      </c>
      <c r="O285" t="s">
        <v>51</v>
      </c>
      <c r="P285" t="s">
        <v>95</v>
      </c>
      <c r="Q285" t="s">
        <v>96</v>
      </c>
      <c r="R285" t="s">
        <v>97</v>
      </c>
      <c r="S285" t="s">
        <v>52</v>
      </c>
      <c r="T285" t="s">
        <v>2384</v>
      </c>
      <c r="U285" t="s">
        <v>2011</v>
      </c>
      <c r="V285" s="137">
        <v>2.47E-2</v>
      </c>
      <c r="W285" s="137">
        <v>2.615E-2</v>
      </c>
      <c r="X285" t="s">
        <v>131</v>
      </c>
      <c r="Y285" t="s">
        <v>51</v>
      </c>
      <c r="Z285" s="133">
        <v>1312000</v>
      </c>
      <c r="AA285" s="135">
        <v>1</v>
      </c>
      <c r="AB285" s="139">
        <v>103.5</v>
      </c>
      <c r="AD285" s="133">
        <v>1357.92</v>
      </c>
      <c r="AG285" t="s">
        <v>135</v>
      </c>
      <c r="AH285" s="137">
        <v>5.5999999999999995E-4</v>
      </c>
      <c r="AI285" s="137">
        <v>3.8299406852639298E-3</v>
      </c>
      <c r="AJ285" s="137">
        <v>6.9294034736709805E-4</v>
      </c>
    </row>
    <row r="286" spans="1:36">
      <c r="A286">
        <v>161</v>
      </c>
      <c r="B286">
        <v>9943</v>
      </c>
      <c r="C286" t="s">
        <v>2002</v>
      </c>
      <c r="D286" t="s">
        <v>2003</v>
      </c>
      <c r="E286" t="s">
        <v>41</v>
      </c>
      <c r="F286" t="s">
        <v>2008</v>
      </c>
      <c r="G286" t="s">
        <v>2009</v>
      </c>
      <c r="H286" t="s">
        <v>44</v>
      </c>
      <c r="I286" t="s">
        <v>1331</v>
      </c>
      <c r="J286" t="s">
        <v>45</v>
      </c>
      <c r="K286" t="s">
        <v>45</v>
      </c>
      <c r="L286" t="s">
        <v>46</v>
      </c>
      <c r="M286" t="s">
        <v>47</v>
      </c>
      <c r="N286" t="s">
        <v>221</v>
      </c>
      <c r="O286" t="s">
        <v>51</v>
      </c>
      <c r="P286" t="s">
        <v>95</v>
      </c>
      <c r="Q286" t="s">
        <v>96</v>
      </c>
      <c r="R286" t="s">
        <v>97</v>
      </c>
      <c r="S286" t="s">
        <v>52</v>
      </c>
      <c r="T286" t="s">
        <v>2010</v>
      </c>
      <c r="U286" t="s">
        <v>2011</v>
      </c>
      <c r="V286" s="137">
        <v>2.4E-2</v>
      </c>
      <c r="W286" s="137">
        <v>2.563E-2</v>
      </c>
      <c r="X286" t="s">
        <v>131</v>
      </c>
      <c r="Y286" t="s">
        <v>51</v>
      </c>
      <c r="Z286" s="133">
        <v>1530000</v>
      </c>
      <c r="AA286" s="135">
        <v>1</v>
      </c>
      <c r="AB286" s="139">
        <v>101.59</v>
      </c>
      <c r="AD286" s="133">
        <v>1554.327</v>
      </c>
      <c r="AG286" t="s">
        <v>135</v>
      </c>
      <c r="AH286" s="137">
        <v>4.06E-4</v>
      </c>
      <c r="AI286" s="137">
        <v>4.3838961172265097E-3</v>
      </c>
      <c r="AJ286" s="137">
        <v>7.9316593856932596E-4</v>
      </c>
    </row>
    <row r="287" spans="1:36">
      <c r="A287">
        <v>161</v>
      </c>
      <c r="B287">
        <v>9943</v>
      </c>
      <c r="C287" t="s">
        <v>2002</v>
      </c>
      <c r="D287" t="s">
        <v>2003</v>
      </c>
      <c r="E287" t="s">
        <v>41</v>
      </c>
      <c r="F287" t="s">
        <v>2012</v>
      </c>
      <c r="G287" t="s">
        <v>2013</v>
      </c>
      <c r="H287" t="s">
        <v>44</v>
      </c>
      <c r="I287" t="s">
        <v>1509</v>
      </c>
      <c r="J287" t="s">
        <v>45</v>
      </c>
      <c r="K287" t="s">
        <v>45</v>
      </c>
      <c r="L287" t="s">
        <v>46</v>
      </c>
      <c r="M287" t="s">
        <v>47</v>
      </c>
      <c r="N287" t="s">
        <v>221</v>
      </c>
      <c r="O287" t="s">
        <v>51</v>
      </c>
      <c r="P287" t="s">
        <v>95</v>
      </c>
      <c r="Q287" t="s">
        <v>96</v>
      </c>
      <c r="R287" t="s">
        <v>97</v>
      </c>
      <c r="S287" t="s">
        <v>52</v>
      </c>
      <c r="T287" t="s">
        <v>2014</v>
      </c>
      <c r="U287" t="s">
        <v>2015</v>
      </c>
      <c r="V287" s="137">
        <v>2.6800000000000001E-2</v>
      </c>
      <c r="W287" s="137">
        <v>4.3880000000000002E-2</v>
      </c>
      <c r="X287" t="s">
        <v>131</v>
      </c>
      <c r="Y287" t="s">
        <v>51</v>
      </c>
      <c r="Z287" s="133">
        <v>1547807.87</v>
      </c>
      <c r="AA287" s="135">
        <v>1</v>
      </c>
      <c r="AB287" s="139">
        <v>96.69</v>
      </c>
      <c r="AD287" s="133">
        <v>1496.575</v>
      </c>
      <c r="AG287" t="s">
        <v>135</v>
      </c>
      <c r="AH287" s="137">
        <v>6.6100000000000002E-4</v>
      </c>
      <c r="AI287" s="137">
        <v>4.2210109034551899E-3</v>
      </c>
      <c r="AJ287" s="137">
        <v>7.63695577044946E-4</v>
      </c>
    </row>
    <row r="288" spans="1:36">
      <c r="A288">
        <v>161</v>
      </c>
      <c r="B288">
        <v>9943</v>
      </c>
      <c r="C288" t="s">
        <v>2002</v>
      </c>
      <c r="D288" t="s">
        <v>2003</v>
      </c>
      <c r="E288" t="s">
        <v>41</v>
      </c>
      <c r="F288" t="s">
        <v>2016</v>
      </c>
      <c r="G288" t="s">
        <v>2017</v>
      </c>
      <c r="H288" t="s">
        <v>44</v>
      </c>
      <c r="I288" t="s">
        <v>1331</v>
      </c>
      <c r="J288" t="s">
        <v>45</v>
      </c>
      <c r="K288" t="s">
        <v>45</v>
      </c>
      <c r="L288" t="s">
        <v>46</v>
      </c>
      <c r="M288" t="s">
        <v>47</v>
      </c>
      <c r="N288" t="s">
        <v>221</v>
      </c>
      <c r="O288" t="s">
        <v>51</v>
      </c>
      <c r="P288" t="s">
        <v>1936</v>
      </c>
      <c r="Q288" t="s">
        <v>96</v>
      </c>
      <c r="R288" t="s">
        <v>97</v>
      </c>
      <c r="S288" t="s">
        <v>52</v>
      </c>
      <c r="T288" t="s">
        <v>2018</v>
      </c>
      <c r="U288" t="s">
        <v>2019</v>
      </c>
      <c r="V288" s="137">
        <v>3.3203000000000003E-2</v>
      </c>
      <c r="W288" s="137">
        <v>2.8549999999999999E-2</v>
      </c>
      <c r="X288" t="s">
        <v>131</v>
      </c>
      <c r="Y288" t="s">
        <v>51</v>
      </c>
      <c r="Z288" s="133">
        <v>1200000</v>
      </c>
      <c r="AA288" s="135">
        <v>1</v>
      </c>
      <c r="AB288" s="139">
        <v>106.32</v>
      </c>
      <c r="AD288" s="133">
        <v>1275.8399999999999</v>
      </c>
      <c r="AG288" t="s">
        <v>135</v>
      </c>
      <c r="AH288" s="137">
        <v>9.5699999999999995E-4</v>
      </c>
      <c r="AI288" s="137">
        <v>3.59843843811648E-3</v>
      </c>
      <c r="AJ288" s="137">
        <v>6.5105529985922403E-4</v>
      </c>
    </row>
    <row r="289" spans="1:36">
      <c r="A289">
        <v>161</v>
      </c>
      <c r="B289">
        <v>9943</v>
      </c>
      <c r="C289" t="s">
        <v>2020</v>
      </c>
      <c r="D289" t="s">
        <v>2021</v>
      </c>
      <c r="E289" t="s">
        <v>41</v>
      </c>
      <c r="F289" t="s">
        <v>2022</v>
      </c>
      <c r="G289" t="s">
        <v>2023</v>
      </c>
      <c r="H289" t="s">
        <v>44</v>
      </c>
      <c r="I289" t="s">
        <v>1331</v>
      </c>
      <c r="J289" t="s">
        <v>45</v>
      </c>
      <c r="K289" t="s">
        <v>45</v>
      </c>
      <c r="L289" t="s">
        <v>46</v>
      </c>
      <c r="M289" t="s">
        <v>47</v>
      </c>
      <c r="N289" t="s">
        <v>58</v>
      </c>
      <c r="O289" t="s">
        <v>51</v>
      </c>
      <c r="P289" t="s">
        <v>158</v>
      </c>
      <c r="Q289" t="s">
        <v>96</v>
      </c>
      <c r="R289" t="s">
        <v>97</v>
      </c>
      <c r="S289" t="s">
        <v>52</v>
      </c>
      <c r="T289" t="s">
        <v>2024</v>
      </c>
      <c r="U289" t="s">
        <v>2025</v>
      </c>
      <c r="V289" s="137">
        <v>2.7E-2</v>
      </c>
      <c r="W289" s="137">
        <v>2.6870000000000002E-2</v>
      </c>
      <c r="X289" t="s">
        <v>131</v>
      </c>
      <c r="Y289" t="s">
        <v>51</v>
      </c>
      <c r="Z289" s="133">
        <v>155139.20000000001</v>
      </c>
      <c r="AA289" s="135">
        <v>1</v>
      </c>
      <c r="AB289" s="139">
        <v>110.23</v>
      </c>
      <c r="AD289" s="133">
        <v>171.01</v>
      </c>
      <c r="AG289" t="s">
        <v>135</v>
      </c>
      <c r="AH289" s="137">
        <v>3.68E-4</v>
      </c>
      <c r="AI289" s="137">
        <v>4.8232438391314201E-4</v>
      </c>
      <c r="AJ289" s="137">
        <v>8.7265588059456394E-5</v>
      </c>
    </row>
    <row r="290" spans="1:36">
      <c r="A290">
        <v>161</v>
      </c>
      <c r="B290">
        <v>9943</v>
      </c>
      <c r="C290" t="s">
        <v>2020</v>
      </c>
      <c r="D290" t="s">
        <v>2021</v>
      </c>
      <c r="E290" t="s">
        <v>41</v>
      </c>
      <c r="F290" t="s">
        <v>2026</v>
      </c>
      <c r="G290" t="s">
        <v>2027</v>
      </c>
      <c r="H290" t="s">
        <v>44</v>
      </c>
      <c r="I290" t="s">
        <v>1331</v>
      </c>
      <c r="J290" t="s">
        <v>45</v>
      </c>
      <c r="K290" t="s">
        <v>45</v>
      </c>
      <c r="L290" t="s">
        <v>46</v>
      </c>
      <c r="M290" t="s">
        <v>47</v>
      </c>
      <c r="N290" t="s">
        <v>58</v>
      </c>
      <c r="O290" t="s">
        <v>51</v>
      </c>
      <c r="P290" t="s">
        <v>158</v>
      </c>
      <c r="Q290" t="s">
        <v>96</v>
      </c>
      <c r="R290" t="s">
        <v>97</v>
      </c>
      <c r="S290" t="s">
        <v>52</v>
      </c>
      <c r="T290" t="s">
        <v>2028</v>
      </c>
      <c r="U290" t="s">
        <v>2029</v>
      </c>
      <c r="V290" s="137">
        <v>1.7999999999999999E-2</v>
      </c>
      <c r="W290" s="137">
        <v>2.179E-2</v>
      </c>
      <c r="X290" t="s">
        <v>131</v>
      </c>
      <c r="Y290" t="s">
        <v>51</v>
      </c>
      <c r="Z290" s="133">
        <v>1049999.96</v>
      </c>
      <c r="AA290" s="135">
        <v>1</v>
      </c>
      <c r="AB290" s="139">
        <v>118.2</v>
      </c>
      <c r="AD290" s="133">
        <v>1241.0999999999999</v>
      </c>
      <c r="AG290" t="s">
        <v>135</v>
      </c>
      <c r="AH290" s="137">
        <v>1.521E-3</v>
      </c>
      <c r="AI290" s="137">
        <v>3.50045599402134E-3</v>
      </c>
      <c r="AJ290" s="137">
        <v>6.3332761308109798E-4</v>
      </c>
    </row>
    <row r="291" spans="1:36">
      <c r="A291">
        <v>161</v>
      </c>
      <c r="B291">
        <v>9943</v>
      </c>
      <c r="C291" t="s">
        <v>2020</v>
      </c>
      <c r="D291" t="s">
        <v>2021</v>
      </c>
      <c r="E291" t="s">
        <v>41</v>
      </c>
      <c r="F291" t="s">
        <v>2392</v>
      </c>
      <c r="G291" t="s">
        <v>2393</v>
      </c>
      <c r="H291" t="s">
        <v>44</v>
      </c>
      <c r="I291" t="s">
        <v>1331</v>
      </c>
      <c r="J291" t="s">
        <v>45</v>
      </c>
      <c r="K291" t="s">
        <v>45</v>
      </c>
      <c r="L291" t="s">
        <v>46</v>
      </c>
      <c r="M291" t="s">
        <v>47</v>
      </c>
      <c r="N291" t="s">
        <v>58</v>
      </c>
      <c r="O291" t="s">
        <v>51</v>
      </c>
      <c r="P291" t="s">
        <v>1999</v>
      </c>
      <c r="Q291" t="s">
        <v>96</v>
      </c>
      <c r="R291" t="s">
        <v>97</v>
      </c>
      <c r="S291" t="s">
        <v>52</v>
      </c>
      <c r="T291" t="s">
        <v>2394</v>
      </c>
      <c r="U291" t="s">
        <v>130</v>
      </c>
      <c r="V291" s="137">
        <v>2.2499999999999999E-2</v>
      </c>
      <c r="W291" s="137">
        <v>2.0740000000000001E-2</v>
      </c>
      <c r="X291" t="s">
        <v>131</v>
      </c>
      <c r="Y291" t="s">
        <v>51</v>
      </c>
      <c r="Z291" s="133">
        <v>476199.41</v>
      </c>
      <c r="AA291" s="135">
        <v>1</v>
      </c>
      <c r="AB291" s="139">
        <v>118.73</v>
      </c>
      <c r="AD291" s="133">
        <v>565.39200000000005</v>
      </c>
      <c r="AG291" t="s">
        <v>135</v>
      </c>
      <c r="AH291" s="137">
        <v>1.908E-3</v>
      </c>
      <c r="AI291" s="137">
        <v>1.5946566342693699E-3</v>
      </c>
      <c r="AJ291" s="137">
        <v>2.88516719419041E-4</v>
      </c>
    </row>
    <row r="292" spans="1:36">
      <c r="A292">
        <v>161</v>
      </c>
      <c r="B292">
        <v>9943</v>
      </c>
      <c r="C292" t="s">
        <v>2030</v>
      </c>
      <c r="D292" t="s">
        <v>2031</v>
      </c>
      <c r="E292" t="s">
        <v>41</v>
      </c>
      <c r="F292" t="s">
        <v>2032</v>
      </c>
      <c r="G292" t="s">
        <v>2033</v>
      </c>
      <c r="H292" t="s">
        <v>44</v>
      </c>
      <c r="I292" t="s">
        <v>1331</v>
      </c>
      <c r="J292" t="s">
        <v>45</v>
      </c>
      <c r="K292" t="s">
        <v>45</v>
      </c>
      <c r="L292" t="s">
        <v>46</v>
      </c>
      <c r="M292" t="s">
        <v>47</v>
      </c>
      <c r="N292" t="s">
        <v>1037</v>
      </c>
      <c r="O292" t="s">
        <v>51</v>
      </c>
      <c r="P292" t="s">
        <v>1919</v>
      </c>
      <c r="Q292" t="s">
        <v>96</v>
      </c>
      <c r="R292" t="s">
        <v>97</v>
      </c>
      <c r="S292" t="s">
        <v>52</v>
      </c>
      <c r="T292" t="s">
        <v>2034</v>
      </c>
      <c r="U292" t="s">
        <v>2035</v>
      </c>
      <c r="V292" s="137">
        <v>4.4000000000000003E-3</v>
      </c>
      <c r="W292" s="137">
        <v>2.4420000000000001E-2</v>
      </c>
      <c r="X292" t="s">
        <v>131</v>
      </c>
      <c r="Y292" t="s">
        <v>51</v>
      </c>
      <c r="Z292" s="133">
        <v>3800000</v>
      </c>
      <c r="AA292" s="135">
        <v>1</v>
      </c>
      <c r="AB292" s="139">
        <v>110.89</v>
      </c>
      <c r="AD292" s="133">
        <v>4213.82</v>
      </c>
      <c r="AG292" t="s">
        <v>135</v>
      </c>
      <c r="AH292" s="137">
        <v>3.3419999999999999E-3</v>
      </c>
      <c r="AI292" s="137">
        <v>1.1884853789898399E-2</v>
      </c>
      <c r="AJ292" s="137">
        <v>2.1502930176611501E-3</v>
      </c>
    </row>
    <row r="293" spans="1:36">
      <c r="A293">
        <v>161</v>
      </c>
      <c r="B293">
        <v>9943</v>
      </c>
      <c r="C293" t="s">
        <v>2395</v>
      </c>
      <c r="D293" t="s">
        <v>2396</v>
      </c>
      <c r="E293" t="s">
        <v>41</v>
      </c>
      <c r="F293" t="s">
        <v>2397</v>
      </c>
      <c r="G293" t="s">
        <v>2398</v>
      </c>
      <c r="H293" t="s">
        <v>44</v>
      </c>
      <c r="I293" t="s">
        <v>1509</v>
      </c>
      <c r="J293" t="s">
        <v>45</v>
      </c>
      <c r="K293" t="s">
        <v>45</v>
      </c>
      <c r="L293" t="s">
        <v>46</v>
      </c>
      <c r="M293" t="s">
        <v>47</v>
      </c>
      <c r="N293" t="s">
        <v>1037</v>
      </c>
      <c r="O293" t="s">
        <v>51</v>
      </c>
      <c r="P293" t="s">
        <v>1919</v>
      </c>
      <c r="Q293" t="s">
        <v>96</v>
      </c>
      <c r="R293" t="s">
        <v>97</v>
      </c>
      <c r="S293" t="s">
        <v>52</v>
      </c>
      <c r="T293" t="s">
        <v>2360</v>
      </c>
      <c r="U293" t="s">
        <v>2361</v>
      </c>
      <c r="V293" s="137">
        <v>2.9100000000000001E-2</v>
      </c>
      <c r="W293" s="137">
        <v>4.9070000000000003E-2</v>
      </c>
      <c r="X293" t="s">
        <v>131</v>
      </c>
      <c r="Y293" t="s">
        <v>51</v>
      </c>
      <c r="Z293" s="133">
        <v>60000</v>
      </c>
      <c r="AA293" s="135">
        <v>1</v>
      </c>
      <c r="AB293" s="139">
        <v>100.29</v>
      </c>
      <c r="AD293" s="133">
        <v>60.173999999999999</v>
      </c>
      <c r="AG293" t="s">
        <v>135</v>
      </c>
      <c r="AH293" s="137">
        <v>1.9599999999999999E-4</v>
      </c>
      <c r="AI293" s="137">
        <v>1.6971754653814E-4</v>
      </c>
      <c r="AJ293" s="137">
        <v>3.0706516188337903E-5</v>
      </c>
    </row>
    <row r="294" spans="1:36">
      <c r="A294">
        <v>161</v>
      </c>
      <c r="B294">
        <v>9943</v>
      </c>
      <c r="C294" t="s">
        <v>2036</v>
      </c>
      <c r="D294" t="s">
        <v>2037</v>
      </c>
      <c r="E294" t="s">
        <v>41</v>
      </c>
      <c r="F294" t="s">
        <v>2038</v>
      </c>
      <c r="G294" t="s">
        <v>2039</v>
      </c>
      <c r="H294" t="s">
        <v>44</v>
      </c>
      <c r="I294" t="s">
        <v>1509</v>
      </c>
      <c r="J294" t="s">
        <v>45</v>
      </c>
      <c r="K294" t="s">
        <v>45</v>
      </c>
      <c r="L294" t="s">
        <v>46</v>
      </c>
      <c r="M294" t="s">
        <v>47</v>
      </c>
      <c r="N294" t="s">
        <v>1037</v>
      </c>
      <c r="O294" t="s">
        <v>51</v>
      </c>
      <c r="P294" t="s">
        <v>183</v>
      </c>
      <c r="Q294" t="s">
        <v>167</v>
      </c>
      <c r="R294" t="s">
        <v>97</v>
      </c>
      <c r="S294" t="s">
        <v>52</v>
      </c>
      <c r="T294" t="s">
        <v>2040</v>
      </c>
      <c r="U294" t="s">
        <v>2041</v>
      </c>
      <c r="V294" s="137">
        <v>1.95E-2</v>
      </c>
      <c r="W294" s="137">
        <v>4.4400000000000002E-2</v>
      </c>
      <c r="X294" t="s">
        <v>131</v>
      </c>
      <c r="Y294" t="s">
        <v>51</v>
      </c>
      <c r="Z294" s="133">
        <v>2731102.29</v>
      </c>
      <c r="AA294" s="135">
        <v>1</v>
      </c>
      <c r="AB294" s="139">
        <v>89.99</v>
      </c>
      <c r="AD294" s="133">
        <v>2457.7190000000001</v>
      </c>
      <c r="AG294" t="s">
        <v>135</v>
      </c>
      <c r="AH294" s="137">
        <v>2.9940000000000001E-3</v>
      </c>
      <c r="AI294" s="137">
        <v>6.9318647655988701E-3</v>
      </c>
      <c r="AJ294" s="137">
        <v>1.25416270728611E-3</v>
      </c>
    </row>
    <row r="295" spans="1:36">
      <c r="A295">
        <v>161</v>
      </c>
      <c r="B295">
        <v>9943</v>
      </c>
      <c r="C295" t="s">
        <v>2042</v>
      </c>
      <c r="D295" t="s">
        <v>2043</v>
      </c>
      <c r="E295" t="s">
        <v>41</v>
      </c>
      <c r="F295" t="s">
        <v>2044</v>
      </c>
      <c r="G295" t="s">
        <v>2045</v>
      </c>
      <c r="H295" t="s">
        <v>44</v>
      </c>
      <c r="I295" t="s">
        <v>1509</v>
      </c>
      <c r="J295" t="s">
        <v>45</v>
      </c>
      <c r="K295" t="s">
        <v>45</v>
      </c>
      <c r="L295" t="s">
        <v>46</v>
      </c>
      <c r="M295" t="s">
        <v>47</v>
      </c>
      <c r="N295" t="s">
        <v>1043</v>
      </c>
      <c r="O295" t="s">
        <v>51</v>
      </c>
      <c r="P295" t="s">
        <v>128</v>
      </c>
      <c r="Q295" t="s">
        <v>96</v>
      </c>
      <c r="R295" t="s">
        <v>97</v>
      </c>
      <c r="S295" t="s">
        <v>52</v>
      </c>
      <c r="T295" t="s">
        <v>2046</v>
      </c>
      <c r="U295" t="s">
        <v>2001</v>
      </c>
      <c r="V295" s="137">
        <v>2.1999999999999999E-2</v>
      </c>
      <c r="W295" s="137">
        <v>4.6530000000000002E-2</v>
      </c>
      <c r="X295" t="s">
        <v>131</v>
      </c>
      <c r="Y295" t="s">
        <v>51</v>
      </c>
      <c r="Z295" s="133">
        <v>720000</v>
      </c>
      <c r="AA295" s="135">
        <v>1</v>
      </c>
      <c r="AB295" s="139">
        <v>97.45</v>
      </c>
      <c r="AD295" s="133">
        <v>701.64</v>
      </c>
      <c r="AG295" t="s">
        <v>135</v>
      </c>
      <c r="AH295" s="137">
        <v>8.3000000000000001E-4</v>
      </c>
      <c r="AI295" s="137">
        <v>1.97893806881744E-3</v>
      </c>
      <c r="AJ295" s="137">
        <v>3.5804367365283003E-4</v>
      </c>
    </row>
    <row r="296" spans="1:36">
      <c r="A296">
        <v>161</v>
      </c>
      <c r="B296">
        <v>9943</v>
      </c>
      <c r="C296" t="s">
        <v>2047</v>
      </c>
      <c r="D296" t="s">
        <v>2048</v>
      </c>
      <c r="E296" t="s">
        <v>41</v>
      </c>
      <c r="F296" t="s">
        <v>2049</v>
      </c>
      <c r="G296" t="s">
        <v>2050</v>
      </c>
      <c r="H296" t="s">
        <v>44</v>
      </c>
      <c r="I296" t="s">
        <v>1509</v>
      </c>
      <c r="J296" t="s">
        <v>45</v>
      </c>
      <c r="K296" t="s">
        <v>45</v>
      </c>
      <c r="L296" t="s">
        <v>46</v>
      </c>
      <c r="M296" t="s">
        <v>47</v>
      </c>
      <c r="N296" t="s">
        <v>1038</v>
      </c>
      <c r="O296" t="s">
        <v>51</v>
      </c>
      <c r="P296" t="s">
        <v>733</v>
      </c>
      <c r="Q296" t="s">
        <v>733</v>
      </c>
      <c r="R296" t="s">
        <v>733</v>
      </c>
      <c r="S296" t="s">
        <v>52</v>
      </c>
      <c r="T296" t="s">
        <v>2051</v>
      </c>
      <c r="U296" t="s">
        <v>2052</v>
      </c>
      <c r="V296" s="137">
        <v>6.5000000000000002E-2</v>
      </c>
      <c r="W296" s="137">
        <v>6.1179999999999998E-2</v>
      </c>
      <c r="X296" t="s">
        <v>131</v>
      </c>
      <c r="Y296" t="s">
        <v>51</v>
      </c>
      <c r="Z296" s="133">
        <v>277034</v>
      </c>
      <c r="AA296" s="135">
        <v>1</v>
      </c>
      <c r="AB296" s="139">
        <v>102.2</v>
      </c>
      <c r="AD296" s="133">
        <v>283.12900000000002</v>
      </c>
      <c r="AG296" t="s">
        <v>135</v>
      </c>
      <c r="AH296" s="137">
        <v>7.6599999999999997E-4</v>
      </c>
      <c r="AI296" s="137">
        <v>7.9854948092158398E-4</v>
      </c>
      <c r="AJ296" s="137">
        <v>1.4447930142330299E-4</v>
      </c>
    </row>
    <row r="297" spans="1:36">
      <c r="A297">
        <v>161</v>
      </c>
      <c r="B297">
        <v>9943</v>
      </c>
      <c r="C297" t="s">
        <v>2053</v>
      </c>
      <c r="D297" t="s">
        <v>2054</v>
      </c>
      <c r="E297" t="s">
        <v>41</v>
      </c>
      <c r="F297" t="s">
        <v>2055</v>
      </c>
      <c r="G297" t="s">
        <v>2056</v>
      </c>
      <c r="H297" t="s">
        <v>44</v>
      </c>
      <c r="I297" t="s">
        <v>1331</v>
      </c>
      <c r="J297" t="s">
        <v>45</v>
      </c>
      <c r="K297" t="s">
        <v>45</v>
      </c>
      <c r="L297" t="s">
        <v>46</v>
      </c>
      <c r="M297" t="s">
        <v>47</v>
      </c>
      <c r="N297" t="s">
        <v>1034</v>
      </c>
      <c r="O297" t="s">
        <v>51</v>
      </c>
      <c r="P297" t="s">
        <v>95</v>
      </c>
      <c r="Q297" t="s">
        <v>96</v>
      </c>
      <c r="R297" t="s">
        <v>97</v>
      </c>
      <c r="S297" t="s">
        <v>52</v>
      </c>
      <c r="T297" t="s">
        <v>2057</v>
      </c>
      <c r="U297" t="s">
        <v>2058</v>
      </c>
      <c r="V297" s="137">
        <v>3.85E-2</v>
      </c>
      <c r="W297" s="137">
        <v>2.231E-2</v>
      </c>
      <c r="X297" t="s">
        <v>131</v>
      </c>
      <c r="Y297" t="s">
        <v>51</v>
      </c>
      <c r="Z297" s="133">
        <v>1531914.83</v>
      </c>
      <c r="AA297" s="135">
        <v>1</v>
      </c>
      <c r="AB297" s="139">
        <v>122.64</v>
      </c>
      <c r="AC297" s="133">
        <v>55.573999999999998</v>
      </c>
      <c r="AD297" s="133">
        <v>1934.3150000000001</v>
      </c>
      <c r="AG297" t="s">
        <v>135</v>
      </c>
      <c r="AH297" s="137">
        <v>6.1300000000000005E-4</v>
      </c>
      <c r="AI297" s="137">
        <v>5.45563085580147E-3</v>
      </c>
      <c r="AJ297" s="137">
        <v>9.8707187682339206E-4</v>
      </c>
    </row>
    <row r="298" spans="1:36">
      <c r="A298">
        <v>161</v>
      </c>
      <c r="B298">
        <v>9943</v>
      </c>
      <c r="C298" t="s">
        <v>2053</v>
      </c>
      <c r="D298" t="s">
        <v>2054</v>
      </c>
      <c r="E298" t="s">
        <v>41</v>
      </c>
      <c r="F298" t="s">
        <v>2399</v>
      </c>
      <c r="G298" t="s">
        <v>2400</v>
      </c>
      <c r="H298" t="s">
        <v>44</v>
      </c>
      <c r="I298" t="s">
        <v>1331</v>
      </c>
      <c r="J298" t="s">
        <v>45</v>
      </c>
      <c r="K298" t="s">
        <v>45</v>
      </c>
      <c r="L298" t="s">
        <v>46</v>
      </c>
      <c r="M298" t="s">
        <v>47</v>
      </c>
      <c r="N298" t="s">
        <v>1034</v>
      </c>
      <c r="O298" t="s">
        <v>51</v>
      </c>
      <c r="P298" t="s">
        <v>95</v>
      </c>
      <c r="Q298" t="s">
        <v>96</v>
      </c>
      <c r="R298" t="s">
        <v>97</v>
      </c>
      <c r="S298" t="s">
        <v>52</v>
      </c>
      <c r="T298" t="s">
        <v>2401</v>
      </c>
      <c r="U298" t="s">
        <v>1895</v>
      </c>
      <c r="V298" s="137">
        <v>1.2500000000000001E-2</v>
      </c>
      <c r="W298" s="137">
        <v>2.811E-2</v>
      </c>
      <c r="X298" t="s">
        <v>131</v>
      </c>
      <c r="Y298" t="s">
        <v>51</v>
      </c>
      <c r="Z298" s="133">
        <v>2100000</v>
      </c>
      <c r="AA298" s="135">
        <v>1</v>
      </c>
      <c r="AB298" s="139">
        <v>101.47</v>
      </c>
      <c r="AD298" s="133">
        <v>2130.87</v>
      </c>
      <c r="AG298" t="s">
        <v>135</v>
      </c>
      <c r="AH298" s="137">
        <v>4.8899999999999996E-4</v>
      </c>
      <c r="AI298" s="137">
        <v>6.0100047926301596E-3</v>
      </c>
      <c r="AJ298" s="137">
        <v>1.0873731869286299E-3</v>
      </c>
    </row>
    <row r="299" spans="1:36">
      <c r="A299">
        <v>161</v>
      </c>
      <c r="B299">
        <v>9943</v>
      </c>
      <c r="C299" t="s">
        <v>2053</v>
      </c>
      <c r="D299" t="s">
        <v>2054</v>
      </c>
      <c r="E299" t="s">
        <v>41</v>
      </c>
      <c r="F299" t="s">
        <v>2063</v>
      </c>
      <c r="G299" t="s">
        <v>2064</v>
      </c>
      <c r="H299" t="s">
        <v>44</v>
      </c>
      <c r="I299" t="s">
        <v>1331</v>
      </c>
      <c r="J299" t="s">
        <v>45</v>
      </c>
      <c r="K299" t="s">
        <v>45</v>
      </c>
      <c r="L299" t="s">
        <v>46</v>
      </c>
      <c r="M299" t="s">
        <v>47</v>
      </c>
      <c r="N299" t="s">
        <v>1034</v>
      </c>
      <c r="O299" t="s">
        <v>51</v>
      </c>
      <c r="P299" t="s">
        <v>95</v>
      </c>
      <c r="Q299" t="s">
        <v>96</v>
      </c>
      <c r="R299" t="s">
        <v>97</v>
      </c>
      <c r="S299" t="s">
        <v>52</v>
      </c>
      <c r="T299" t="s">
        <v>2065</v>
      </c>
      <c r="U299" t="s">
        <v>2066</v>
      </c>
      <c r="V299" s="137">
        <v>0.03</v>
      </c>
      <c r="W299" s="137">
        <v>2.5870000000000001E-2</v>
      </c>
      <c r="X299" t="s">
        <v>131</v>
      </c>
      <c r="Y299" t="s">
        <v>51</v>
      </c>
      <c r="Z299" s="133">
        <v>2401000</v>
      </c>
      <c r="AA299" s="135">
        <v>1</v>
      </c>
      <c r="AB299" s="139">
        <v>110.85</v>
      </c>
      <c r="AD299" s="133">
        <v>2661.5079999999998</v>
      </c>
      <c r="AG299" t="s">
        <v>135</v>
      </c>
      <c r="AH299" s="137">
        <v>5.8900000000000001E-4</v>
      </c>
      <c r="AI299" s="137">
        <v>7.5066422825540297E-3</v>
      </c>
      <c r="AJ299" s="137">
        <v>1.35815557949694E-3</v>
      </c>
    </row>
    <row r="300" spans="1:36">
      <c r="A300">
        <v>161</v>
      </c>
      <c r="B300">
        <v>9943</v>
      </c>
      <c r="C300" t="s">
        <v>2077</v>
      </c>
      <c r="D300" t="s">
        <v>2078</v>
      </c>
      <c r="E300" t="s">
        <v>41</v>
      </c>
      <c r="F300" t="s">
        <v>2079</v>
      </c>
      <c r="G300" t="s">
        <v>2080</v>
      </c>
      <c r="H300" t="s">
        <v>44</v>
      </c>
      <c r="I300" t="s">
        <v>1331</v>
      </c>
      <c r="J300" t="s">
        <v>45</v>
      </c>
      <c r="K300" t="s">
        <v>45</v>
      </c>
      <c r="L300" t="s">
        <v>46</v>
      </c>
      <c r="M300" t="s">
        <v>47</v>
      </c>
      <c r="N300" t="s">
        <v>58</v>
      </c>
      <c r="O300" t="s">
        <v>51</v>
      </c>
      <c r="P300" t="s">
        <v>1919</v>
      </c>
      <c r="Q300" t="s">
        <v>96</v>
      </c>
      <c r="R300" t="s">
        <v>97</v>
      </c>
      <c r="S300" t="s">
        <v>52</v>
      </c>
      <c r="T300" t="s">
        <v>2081</v>
      </c>
      <c r="U300" t="s">
        <v>2082</v>
      </c>
      <c r="V300" s="137">
        <v>1.5800000000000002E-2</v>
      </c>
      <c r="W300" s="137">
        <v>1.5440000000000001E-2</v>
      </c>
      <c r="X300" t="s">
        <v>131</v>
      </c>
      <c r="Y300" t="s">
        <v>51</v>
      </c>
      <c r="Z300" s="133">
        <v>208557.26</v>
      </c>
      <c r="AA300" s="135">
        <v>1</v>
      </c>
      <c r="AB300" s="139">
        <v>119.78</v>
      </c>
      <c r="AD300" s="133">
        <v>249.81</v>
      </c>
      <c r="AG300" t="s">
        <v>135</v>
      </c>
      <c r="AH300" s="137">
        <v>5.2999999999999998E-4</v>
      </c>
      <c r="AI300" s="137">
        <v>7.0457541392702203E-4</v>
      </c>
      <c r="AJ300" s="137">
        <v>1.2747683898902499E-4</v>
      </c>
    </row>
    <row r="301" spans="1:36">
      <c r="A301">
        <v>161</v>
      </c>
      <c r="B301">
        <v>9943</v>
      </c>
      <c r="C301" t="s">
        <v>2077</v>
      </c>
      <c r="D301" t="s">
        <v>2078</v>
      </c>
      <c r="E301" t="s">
        <v>41</v>
      </c>
      <c r="F301" t="s">
        <v>2083</v>
      </c>
      <c r="G301" t="s">
        <v>2084</v>
      </c>
      <c r="H301" t="s">
        <v>44</v>
      </c>
      <c r="I301" t="s">
        <v>1331</v>
      </c>
      <c r="J301" t="s">
        <v>45</v>
      </c>
      <c r="K301" t="s">
        <v>45</v>
      </c>
      <c r="L301" t="s">
        <v>46</v>
      </c>
      <c r="M301" t="s">
        <v>47</v>
      </c>
      <c r="N301" t="s">
        <v>58</v>
      </c>
      <c r="O301" t="s">
        <v>51</v>
      </c>
      <c r="P301" t="s">
        <v>1919</v>
      </c>
      <c r="Q301" t="s">
        <v>96</v>
      </c>
      <c r="R301" t="s">
        <v>97</v>
      </c>
      <c r="S301" t="s">
        <v>52</v>
      </c>
      <c r="T301" t="s">
        <v>2085</v>
      </c>
      <c r="U301" t="s">
        <v>2086</v>
      </c>
      <c r="V301" s="137">
        <v>8.3999999999999995E-3</v>
      </c>
      <c r="W301" s="137">
        <v>2.647E-2</v>
      </c>
      <c r="X301" t="s">
        <v>131</v>
      </c>
      <c r="Y301" t="s">
        <v>51</v>
      </c>
      <c r="Z301" s="133">
        <v>520668.33</v>
      </c>
      <c r="AA301" s="135">
        <v>1</v>
      </c>
      <c r="AB301" s="139">
        <v>110</v>
      </c>
      <c r="AD301" s="133">
        <v>572.73500000000001</v>
      </c>
      <c r="AG301" t="s">
        <v>135</v>
      </c>
      <c r="AH301" s="137">
        <v>7.0399999999999998E-4</v>
      </c>
      <c r="AI301" s="137">
        <v>1.61536887493738E-3</v>
      </c>
      <c r="AJ301" s="137">
        <v>2.9226412660434401E-4</v>
      </c>
    </row>
    <row r="302" spans="1:36">
      <c r="A302">
        <v>161</v>
      </c>
      <c r="B302">
        <v>9943</v>
      </c>
      <c r="C302" t="s">
        <v>2348</v>
      </c>
      <c r="D302" t="s">
        <v>2349</v>
      </c>
      <c r="E302" t="s">
        <v>41</v>
      </c>
      <c r="F302" t="s">
        <v>2350</v>
      </c>
      <c r="G302" t="s">
        <v>2351</v>
      </c>
      <c r="H302" t="s">
        <v>44</v>
      </c>
      <c r="I302" t="s">
        <v>1509</v>
      </c>
      <c r="J302" t="s">
        <v>45</v>
      </c>
      <c r="K302" t="s">
        <v>45</v>
      </c>
      <c r="L302" t="s">
        <v>46</v>
      </c>
      <c r="M302" t="s">
        <v>47</v>
      </c>
      <c r="N302" t="s">
        <v>1037</v>
      </c>
      <c r="O302" t="s">
        <v>51</v>
      </c>
      <c r="P302" t="s">
        <v>1936</v>
      </c>
      <c r="Q302" t="s">
        <v>96</v>
      </c>
      <c r="R302" t="s">
        <v>97</v>
      </c>
      <c r="S302" t="s">
        <v>52</v>
      </c>
      <c r="T302" t="s">
        <v>2352</v>
      </c>
      <c r="U302" t="s">
        <v>2353</v>
      </c>
      <c r="V302" s="137">
        <v>4.7E-2</v>
      </c>
      <c r="W302" s="137">
        <v>4.5319999999999999E-2</v>
      </c>
      <c r="X302" t="s">
        <v>131</v>
      </c>
      <c r="Y302" t="s">
        <v>51</v>
      </c>
      <c r="Z302" s="133">
        <v>793938.47</v>
      </c>
      <c r="AA302" s="135">
        <v>1</v>
      </c>
      <c r="AB302" s="139">
        <v>100.73</v>
      </c>
      <c r="AD302" s="133">
        <v>799.73400000000004</v>
      </c>
      <c r="AG302" t="s">
        <v>135</v>
      </c>
      <c r="AH302" s="137">
        <v>1.446E-3</v>
      </c>
      <c r="AI302" s="137">
        <v>2.2556075687510998E-3</v>
      </c>
      <c r="AJ302" s="137">
        <v>4.0810070459525502E-4</v>
      </c>
    </row>
    <row r="303" spans="1:36">
      <c r="A303">
        <v>161</v>
      </c>
      <c r="B303">
        <v>9943</v>
      </c>
      <c r="C303" t="s">
        <v>1696</v>
      </c>
      <c r="D303" t="s">
        <v>2087</v>
      </c>
      <c r="E303" t="s">
        <v>41</v>
      </c>
      <c r="F303" t="s">
        <v>2088</v>
      </c>
      <c r="G303" t="s">
        <v>2089</v>
      </c>
      <c r="H303" t="s">
        <v>44</v>
      </c>
      <c r="I303" t="s">
        <v>1509</v>
      </c>
      <c r="J303" t="s">
        <v>45</v>
      </c>
      <c r="K303" t="s">
        <v>45</v>
      </c>
      <c r="L303" t="s">
        <v>46</v>
      </c>
      <c r="M303" t="s">
        <v>47</v>
      </c>
      <c r="N303" t="s">
        <v>1037</v>
      </c>
      <c r="O303" t="s">
        <v>51</v>
      </c>
      <c r="P303" t="s">
        <v>128</v>
      </c>
      <c r="Q303" t="s">
        <v>96</v>
      </c>
      <c r="R303" t="s">
        <v>97</v>
      </c>
      <c r="S303" t="s">
        <v>52</v>
      </c>
      <c r="T303" t="s">
        <v>2090</v>
      </c>
      <c r="U303" t="s">
        <v>2091</v>
      </c>
      <c r="V303" s="137">
        <v>5.1200000000000002E-2</v>
      </c>
      <c r="W303" s="137">
        <v>4.9020000000000001E-2</v>
      </c>
      <c r="X303" t="s">
        <v>131</v>
      </c>
      <c r="Y303" t="s">
        <v>51</v>
      </c>
      <c r="Z303" s="133">
        <v>900000</v>
      </c>
      <c r="AA303" s="135">
        <v>1</v>
      </c>
      <c r="AB303" s="139">
        <v>104.5</v>
      </c>
      <c r="AD303" s="133">
        <v>940.5</v>
      </c>
      <c r="AG303" t="s">
        <v>135</v>
      </c>
      <c r="AH303" s="137">
        <v>5.1699999999999999E-4</v>
      </c>
      <c r="AI303" s="137">
        <v>2.65262991523118E-3</v>
      </c>
      <c r="AJ303" s="137">
        <v>4.7993283602771599E-4</v>
      </c>
    </row>
    <row r="304" spans="1:36">
      <c r="A304">
        <v>161</v>
      </c>
      <c r="B304">
        <v>9943</v>
      </c>
      <c r="C304" t="s">
        <v>2092</v>
      </c>
      <c r="D304" t="s">
        <v>2093</v>
      </c>
      <c r="E304" t="s">
        <v>41</v>
      </c>
      <c r="F304" t="s">
        <v>2094</v>
      </c>
      <c r="G304" t="s">
        <v>2095</v>
      </c>
      <c r="H304" t="s">
        <v>44</v>
      </c>
      <c r="I304" t="s">
        <v>1509</v>
      </c>
      <c r="J304" t="s">
        <v>45</v>
      </c>
      <c r="K304" t="s">
        <v>45</v>
      </c>
      <c r="L304" t="s">
        <v>46</v>
      </c>
      <c r="M304" t="s">
        <v>47</v>
      </c>
      <c r="N304" t="s">
        <v>1037</v>
      </c>
      <c r="O304" t="s">
        <v>51</v>
      </c>
      <c r="P304" t="s">
        <v>1936</v>
      </c>
      <c r="Q304" t="s">
        <v>96</v>
      </c>
      <c r="R304" t="s">
        <v>97</v>
      </c>
      <c r="S304" t="s">
        <v>52</v>
      </c>
      <c r="T304" t="s">
        <v>2096</v>
      </c>
      <c r="U304" t="s">
        <v>2097</v>
      </c>
      <c r="V304" s="137">
        <v>2.5000000000000001E-2</v>
      </c>
      <c r="W304" s="137">
        <v>4.6129999999999997E-2</v>
      </c>
      <c r="X304" t="s">
        <v>131</v>
      </c>
      <c r="Y304" t="s">
        <v>51</v>
      </c>
      <c r="Z304" s="133">
        <v>356187</v>
      </c>
      <c r="AA304" s="135">
        <v>1</v>
      </c>
      <c r="AB304" s="139">
        <v>89.3</v>
      </c>
      <c r="AD304" s="133">
        <v>318.07499999999999</v>
      </c>
      <c r="AG304" t="s">
        <v>135</v>
      </c>
      <c r="AH304" s="137">
        <v>2.6699999999999998E-4</v>
      </c>
      <c r="AI304" s="137">
        <v>8.9711348900955599E-4</v>
      </c>
      <c r="AJ304" s="137">
        <v>1.6231220893154699E-4</v>
      </c>
    </row>
    <row r="305" spans="1:36">
      <c r="A305">
        <v>161</v>
      </c>
      <c r="B305">
        <v>9943</v>
      </c>
      <c r="C305" t="s">
        <v>216</v>
      </c>
      <c r="D305" t="s">
        <v>217</v>
      </c>
      <c r="E305" t="s">
        <v>41</v>
      </c>
      <c r="F305" t="s">
        <v>2098</v>
      </c>
      <c r="G305" t="s">
        <v>2099</v>
      </c>
      <c r="H305" t="s">
        <v>44</v>
      </c>
      <c r="I305" t="s">
        <v>1331</v>
      </c>
      <c r="J305" t="s">
        <v>45</v>
      </c>
      <c r="K305" t="s">
        <v>45</v>
      </c>
      <c r="L305" t="s">
        <v>46</v>
      </c>
      <c r="M305" t="s">
        <v>47</v>
      </c>
      <c r="N305" t="s">
        <v>221</v>
      </c>
      <c r="O305" t="s">
        <v>51</v>
      </c>
      <c r="P305" t="s">
        <v>95</v>
      </c>
      <c r="Q305" t="s">
        <v>96</v>
      </c>
      <c r="R305" t="s">
        <v>97</v>
      </c>
      <c r="S305" t="s">
        <v>52</v>
      </c>
      <c r="T305" t="s">
        <v>2100</v>
      </c>
      <c r="U305" t="s">
        <v>2101</v>
      </c>
      <c r="V305" s="137">
        <v>1.8599999999999998E-2</v>
      </c>
      <c r="W305" s="137">
        <v>2.0230000000000001E-2</v>
      </c>
      <c r="X305" t="s">
        <v>131</v>
      </c>
      <c r="Y305" t="s">
        <v>51</v>
      </c>
      <c r="Z305" s="133">
        <v>298643.09999999998</v>
      </c>
      <c r="AA305" s="135">
        <v>1</v>
      </c>
      <c r="AB305" s="139">
        <v>105.64</v>
      </c>
      <c r="AD305" s="133">
        <v>315.48700000000002</v>
      </c>
      <c r="AG305" t="s">
        <v>135</v>
      </c>
      <c r="AH305" s="137">
        <v>1.34E-4</v>
      </c>
      <c r="AI305" s="137">
        <v>8.8981298847834597E-4</v>
      </c>
      <c r="AJ305" s="137">
        <v>1.6099134999670401E-4</v>
      </c>
    </row>
    <row r="306" spans="1:36">
      <c r="A306">
        <v>161</v>
      </c>
      <c r="B306">
        <v>9943</v>
      </c>
      <c r="C306" t="s">
        <v>216</v>
      </c>
      <c r="D306" t="s">
        <v>217</v>
      </c>
      <c r="E306" t="s">
        <v>41</v>
      </c>
      <c r="F306" t="s">
        <v>2102</v>
      </c>
      <c r="G306" t="s">
        <v>2103</v>
      </c>
      <c r="H306" t="s">
        <v>44</v>
      </c>
      <c r="I306" t="s">
        <v>1331</v>
      </c>
      <c r="J306" t="s">
        <v>45</v>
      </c>
      <c r="K306" t="s">
        <v>45</v>
      </c>
      <c r="L306" t="s">
        <v>46</v>
      </c>
      <c r="M306" t="s">
        <v>47</v>
      </c>
      <c r="N306" t="s">
        <v>221</v>
      </c>
      <c r="O306" t="s">
        <v>51</v>
      </c>
      <c r="P306" t="s">
        <v>95</v>
      </c>
      <c r="Q306" t="s">
        <v>96</v>
      </c>
      <c r="R306" t="s">
        <v>97</v>
      </c>
      <c r="S306" t="s">
        <v>52</v>
      </c>
      <c r="T306" t="s">
        <v>2104</v>
      </c>
      <c r="U306" t="s">
        <v>2105</v>
      </c>
      <c r="V306" s="137">
        <v>1E-3</v>
      </c>
      <c r="W306" s="137">
        <v>1.8589999999999999E-2</v>
      </c>
      <c r="X306" t="s">
        <v>131</v>
      </c>
      <c r="Y306" t="s">
        <v>51</v>
      </c>
      <c r="Z306" s="133">
        <v>1646700</v>
      </c>
      <c r="AA306" s="135">
        <v>1</v>
      </c>
      <c r="AB306" s="139">
        <v>111.75</v>
      </c>
      <c r="AD306" s="133">
        <v>1840.1869999999999</v>
      </c>
      <c r="AG306" t="s">
        <v>135</v>
      </c>
      <c r="AH306" s="137">
        <v>5.2499999999999997E-4</v>
      </c>
      <c r="AI306" s="137">
        <v>5.1901496533513997E-3</v>
      </c>
      <c r="AJ306" s="137">
        <v>9.3903911293412301E-4</v>
      </c>
    </row>
    <row r="307" spans="1:36">
      <c r="A307">
        <v>161</v>
      </c>
      <c r="B307">
        <v>9943</v>
      </c>
      <c r="C307" t="s">
        <v>216</v>
      </c>
      <c r="D307" t="s">
        <v>217</v>
      </c>
      <c r="E307" t="s">
        <v>41</v>
      </c>
      <c r="F307" t="s">
        <v>2110</v>
      </c>
      <c r="G307" t="s">
        <v>2111</v>
      </c>
      <c r="H307" t="s">
        <v>44</v>
      </c>
      <c r="I307" t="s">
        <v>1331</v>
      </c>
      <c r="J307" t="s">
        <v>45</v>
      </c>
      <c r="K307" t="s">
        <v>45</v>
      </c>
      <c r="L307" t="s">
        <v>46</v>
      </c>
      <c r="M307" t="s">
        <v>47</v>
      </c>
      <c r="N307" t="s">
        <v>221</v>
      </c>
      <c r="O307" t="s">
        <v>51</v>
      </c>
      <c r="P307" t="s">
        <v>95</v>
      </c>
      <c r="Q307" t="s">
        <v>96</v>
      </c>
      <c r="R307" t="s">
        <v>97</v>
      </c>
      <c r="S307" t="s">
        <v>52</v>
      </c>
      <c r="T307" t="s">
        <v>2112</v>
      </c>
      <c r="U307" t="s">
        <v>2113</v>
      </c>
      <c r="V307" s="137">
        <v>2.0199999999999999E-2</v>
      </c>
      <c r="W307" s="137">
        <v>2.4549999999999999E-2</v>
      </c>
      <c r="X307" t="s">
        <v>131</v>
      </c>
      <c r="Y307" t="s">
        <v>51</v>
      </c>
      <c r="Z307" s="133">
        <v>4526633</v>
      </c>
      <c r="AA307" s="135">
        <v>1</v>
      </c>
      <c r="AB307" s="139">
        <v>104.86</v>
      </c>
      <c r="AD307" s="133">
        <v>4746.6270000000004</v>
      </c>
      <c r="AG307" t="s">
        <v>135</v>
      </c>
      <c r="AH307" s="137">
        <v>8.43E-4</v>
      </c>
      <c r="AI307" s="137">
        <v>1.3387608444094401E-2</v>
      </c>
      <c r="AJ307" s="137">
        <v>2.4221821714782502E-3</v>
      </c>
    </row>
    <row r="308" spans="1:36">
      <c r="A308">
        <v>161</v>
      </c>
      <c r="B308">
        <v>9943</v>
      </c>
      <c r="C308" t="s">
        <v>216</v>
      </c>
      <c r="D308" t="s">
        <v>217</v>
      </c>
      <c r="E308" t="s">
        <v>41</v>
      </c>
      <c r="F308" t="s">
        <v>2114</v>
      </c>
      <c r="G308" t="s">
        <v>2115</v>
      </c>
      <c r="H308" t="s">
        <v>44</v>
      </c>
      <c r="I308" t="s">
        <v>1331</v>
      </c>
      <c r="J308" t="s">
        <v>45</v>
      </c>
      <c r="K308" t="s">
        <v>45</v>
      </c>
      <c r="L308" t="s">
        <v>46</v>
      </c>
      <c r="M308" t="s">
        <v>47</v>
      </c>
      <c r="N308" t="s">
        <v>221</v>
      </c>
      <c r="O308" t="s">
        <v>51</v>
      </c>
      <c r="P308" t="s">
        <v>95</v>
      </c>
      <c r="Q308" t="s">
        <v>96</v>
      </c>
      <c r="R308" t="s">
        <v>97</v>
      </c>
      <c r="S308" t="s">
        <v>52</v>
      </c>
      <c r="T308" t="s">
        <v>2116</v>
      </c>
      <c r="U308" t="s">
        <v>2117</v>
      </c>
      <c r="V308" s="137">
        <v>1E-3</v>
      </c>
      <c r="W308" s="137">
        <v>2.4170000000000001E-2</v>
      </c>
      <c r="X308" t="s">
        <v>131</v>
      </c>
      <c r="Y308" t="s">
        <v>51</v>
      </c>
      <c r="Z308" s="133">
        <v>461460</v>
      </c>
      <c r="AA308" s="135">
        <v>1</v>
      </c>
      <c r="AB308" s="139">
        <v>105.8</v>
      </c>
      <c r="AD308" s="133">
        <v>488.22500000000002</v>
      </c>
      <c r="AG308" t="s">
        <v>135</v>
      </c>
      <c r="AH308" s="137">
        <v>1.08E-4</v>
      </c>
      <c r="AI308" s="137">
        <v>1.37701158056584E-3</v>
      </c>
      <c r="AJ308" s="137">
        <v>2.4913881476993499E-4</v>
      </c>
    </row>
    <row r="309" spans="1:36">
      <c r="A309">
        <v>161</v>
      </c>
      <c r="B309">
        <v>9943</v>
      </c>
      <c r="C309" t="s">
        <v>216</v>
      </c>
      <c r="D309" t="s">
        <v>217</v>
      </c>
      <c r="E309" t="s">
        <v>41</v>
      </c>
      <c r="F309" t="s">
        <v>2118</v>
      </c>
      <c r="G309" t="s">
        <v>2119</v>
      </c>
      <c r="H309" t="s">
        <v>44</v>
      </c>
      <c r="I309" t="s">
        <v>1509</v>
      </c>
      <c r="J309" t="s">
        <v>45</v>
      </c>
      <c r="K309" t="s">
        <v>45</v>
      </c>
      <c r="L309" t="s">
        <v>46</v>
      </c>
      <c r="M309" t="s">
        <v>47</v>
      </c>
      <c r="N309" t="s">
        <v>221</v>
      </c>
      <c r="O309" t="s">
        <v>51</v>
      </c>
      <c r="P309" t="s">
        <v>202</v>
      </c>
      <c r="Q309" t="s">
        <v>167</v>
      </c>
      <c r="R309" t="s">
        <v>97</v>
      </c>
      <c r="S309" t="s">
        <v>52</v>
      </c>
      <c r="T309" t="s">
        <v>2120</v>
      </c>
      <c r="U309" t="s">
        <v>2121</v>
      </c>
      <c r="V309" s="137">
        <v>4.5900000000000003E-2</v>
      </c>
      <c r="W309" s="137">
        <v>4.4519999999999997E-2</v>
      </c>
      <c r="X309" t="s">
        <v>131</v>
      </c>
      <c r="Y309" t="s">
        <v>51</v>
      </c>
      <c r="Z309" s="133">
        <v>2600000</v>
      </c>
      <c r="AA309" s="135">
        <v>1</v>
      </c>
      <c r="AB309" s="139">
        <v>103.3</v>
      </c>
      <c r="AD309" s="133">
        <v>2685.8</v>
      </c>
      <c r="AG309" t="s">
        <v>135</v>
      </c>
      <c r="AH309" s="137">
        <v>5.9199999999999997E-4</v>
      </c>
      <c r="AI309" s="137">
        <v>7.5751551582433803E-3</v>
      </c>
      <c r="AJ309" s="137">
        <v>1.3705514205244399E-3</v>
      </c>
    </row>
    <row r="310" spans="1:36">
      <c r="A310">
        <v>161</v>
      </c>
      <c r="B310">
        <v>9943</v>
      </c>
      <c r="C310" t="s">
        <v>216</v>
      </c>
      <c r="D310" t="s">
        <v>217</v>
      </c>
      <c r="E310" t="s">
        <v>41</v>
      </c>
      <c r="F310" t="s">
        <v>2122</v>
      </c>
      <c r="G310" t="s">
        <v>2123</v>
      </c>
      <c r="H310" t="s">
        <v>44</v>
      </c>
      <c r="I310" t="s">
        <v>1331</v>
      </c>
      <c r="J310" t="s">
        <v>45</v>
      </c>
      <c r="K310" t="s">
        <v>45</v>
      </c>
      <c r="L310" t="s">
        <v>46</v>
      </c>
      <c r="M310" t="s">
        <v>47</v>
      </c>
      <c r="N310" t="s">
        <v>221</v>
      </c>
      <c r="O310" t="s">
        <v>51</v>
      </c>
      <c r="P310" t="s">
        <v>202</v>
      </c>
      <c r="Q310" t="s">
        <v>167</v>
      </c>
      <c r="R310" t="s">
        <v>97</v>
      </c>
      <c r="S310" t="s">
        <v>52</v>
      </c>
      <c r="T310" t="s">
        <v>2124</v>
      </c>
      <c r="U310" t="s">
        <v>2125</v>
      </c>
      <c r="V310" s="137">
        <v>2.5999999999999999E-2</v>
      </c>
      <c r="W310" s="137">
        <v>2.5020000000000001E-2</v>
      </c>
      <c r="X310" t="s">
        <v>131</v>
      </c>
      <c r="Y310" t="s">
        <v>51</v>
      </c>
      <c r="Z310" s="133">
        <v>2600000</v>
      </c>
      <c r="AA310" s="135">
        <v>1</v>
      </c>
      <c r="AB310" s="139">
        <v>102.06</v>
      </c>
      <c r="AD310" s="133">
        <v>2653.56</v>
      </c>
      <c r="AG310" t="s">
        <v>135</v>
      </c>
      <c r="AH310" s="137">
        <v>1.4159999999999999E-3</v>
      </c>
      <c r="AI310" s="137">
        <v>7.4842239637010598E-3</v>
      </c>
      <c r="AJ310" s="137">
        <v>1.3540994964058499E-3</v>
      </c>
    </row>
    <row r="311" spans="1:36">
      <c r="A311">
        <v>161</v>
      </c>
      <c r="B311">
        <v>9943</v>
      </c>
      <c r="C311" t="s">
        <v>216</v>
      </c>
      <c r="D311" t="s">
        <v>217</v>
      </c>
      <c r="E311" t="s">
        <v>41</v>
      </c>
      <c r="F311" t="s">
        <v>2402</v>
      </c>
      <c r="G311" t="s">
        <v>2403</v>
      </c>
      <c r="H311" t="s">
        <v>44</v>
      </c>
      <c r="I311" t="s">
        <v>1331</v>
      </c>
      <c r="J311" t="s">
        <v>45</v>
      </c>
      <c r="K311" t="s">
        <v>45</v>
      </c>
      <c r="L311" t="s">
        <v>46</v>
      </c>
      <c r="M311" t="s">
        <v>47</v>
      </c>
      <c r="N311" t="s">
        <v>221</v>
      </c>
      <c r="O311" t="s">
        <v>51</v>
      </c>
      <c r="P311" t="s">
        <v>1936</v>
      </c>
      <c r="Q311" t="s">
        <v>96</v>
      </c>
      <c r="R311" t="s">
        <v>97</v>
      </c>
      <c r="S311" t="s">
        <v>52</v>
      </c>
      <c r="T311" t="s">
        <v>2404</v>
      </c>
      <c r="U311" t="s">
        <v>2405</v>
      </c>
      <c r="V311" s="137">
        <v>1.4999999999999999E-2</v>
      </c>
      <c r="W311" s="137">
        <v>2.4299999999999999E-2</v>
      </c>
      <c r="X311" t="s">
        <v>131</v>
      </c>
      <c r="Y311" t="s">
        <v>51</v>
      </c>
      <c r="Z311" s="133">
        <v>1700000</v>
      </c>
      <c r="AA311" s="135">
        <v>1</v>
      </c>
      <c r="AB311" s="139">
        <v>111.74</v>
      </c>
      <c r="AD311" s="133">
        <v>1899.58</v>
      </c>
      <c r="AG311" t="s">
        <v>135</v>
      </c>
      <c r="AH311" s="137">
        <v>1.2110000000000001E-3</v>
      </c>
      <c r="AI311" s="137">
        <v>5.3576637260763903E-3</v>
      </c>
      <c r="AJ311" s="137">
        <v>9.6934696083096996E-4</v>
      </c>
    </row>
    <row r="312" spans="1:36">
      <c r="A312">
        <v>161</v>
      </c>
      <c r="B312">
        <v>9943</v>
      </c>
      <c r="C312" t="s">
        <v>216</v>
      </c>
      <c r="D312" t="s">
        <v>217</v>
      </c>
      <c r="E312" t="s">
        <v>41</v>
      </c>
      <c r="F312" t="s">
        <v>2126</v>
      </c>
      <c r="G312" t="s">
        <v>2127</v>
      </c>
      <c r="H312" t="s">
        <v>44</v>
      </c>
      <c r="I312" t="s">
        <v>1331</v>
      </c>
      <c r="J312" t="s">
        <v>45</v>
      </c>
      <c r="K312" t="s">
        <v>45</v>
      </c>
      <c r="L312" t="s">
        <v>46</v>
      </c>
      <c r="M312" t="s">
        <v>47</v>
      </c>
      <c r="N312" t="s">
        <v>221</v>
      </c>
      <c r="O312" t="s">
        <v>51</v>
      </c>
      <c r="P312" t="s">
        <v>1936</v>
      </c>
      <c r="Q312" t="s">
        <v>96</v>
      </c>
      <c r="R312" t="s">
        <v>97</v>
      </c>
      <c r="S312" t="s">
        <v>52</v>
      </c>
      <c r="T312" t="s">
        <v>2128</v>
      </c>
      <c r="U312" t="s">
        <v>2129</v>
      </c>
      <c r="V312" s="137">
        <v>3.1E-2</v>
      </c>
      <c r="W312" s="137">
        <v>2.8199999999999999E-2</v>
      </c>
      <c r="X312" t="s">
        <v>131</v>
      </c>
      <c r="Y312" t="s">
        <v>51</v>
      </c>
      <c r="Z312" s="133">
        <v>2300000</v>
      </c>
      <c r="AA312" s="135">
        <v>1</v>
      </c>
      <c r="AB312" s="139">
        <v>104.13</v>
      </c>
      <c r="AD312" s="133">
        <v>2394.9899999999998</v>
      </c>
      <c r="AG312" t="s">
        <v>135</v>
      </c>
      <c r="AH312" s="137">
        <v>1.0089999999999999E-3</v>
      </c>
      <c r="AI312" s="137">
        <v>6.7549411171499403E-3</v>
      </c>
      <c r="AJ312" s="137">
        <v>1.2221524114386199E-3</v>
      </c>
    </row>
    <row r="313" spans="1:36">
      <c r="A313">
        <v>161</v>
      </c>
      <c r="B313">
        <v>9943</v>
      </c>
      <c r="C313" t="s">
        <v>216</v>
      </c>
      <c r="D313" t="s">
        <v>217</v>
      </c>
      <c r="E313" t="s">
        <v>41</v>
      </c>
      <c r="F313" t="s">
        <v>2130</v>
      </c>
      <c r="G313" t="s">
        <v>2131</v>
      </c>
      <c r="H313" t="s">
        <v>44</v>
      </c>
      <c r="I313" t="s">
        <v>1509</v>
      </c>
      <c r="J313" t="s">
        <v>45</v>
      </c>
      <c r="K313" t="s">
        <v>45</v>
      </c>
      <c r="L313" t="s">
        <v>46</v>
      </c>
      <c r="M313" t="s">
        <v>47</v>
      </c>
      <c r="N313" t="s">
        <v>221</v>
      </c>
      <c r="O313" t="s">
        <v>51</v>
      </c>
      <c r="P313" t="s">
        <v>183</v>
      </c>
      <c r="Q313" t="s">
        <v>167</v>
      </c>
      <c r="R313" t="s">
        <v>97</v>
      </c>
      <c r="S313" t="s">
        <v>52</v>
      </c>
      <c r="T313" t="s">
        <v>2132</v>
      </c>
      <c r="U313" t="s">
        <v>2097</v>
      </c>
      <c r="V313" s="137">
        <v>4.6899999999999997E-2</v>
      </c>
      <c r="W313" s="137">
        <v>4.8120000000000003E-2</v>
      </c>
      <c r="X313" t="s">
        <v>131</v>
      </c>
      <c r="Y313" t="s">
        <v>51</v>
      </c>
      <c r="Z313" s="133">
        <v>2200000</v>
      </c>
      <c r="AA313" s="135">
        <v>1</v>
      </c>
      <c r="AB313" s="139">
        <v>99.54</v>
      </c>
      <c r="AD313" s="133">
        <v>2189.88</v>
      </c>
      <c r="AG313" t="s">
        <v>135</v>
      </c>
      <c r="AH313" s="137">
        <v>1.903E-3</v>
      </c>
      <c r="AI313" s="137">
        <v>6.1764393394646002E-3</v>
      </c>
      <c r="AJ313" s="137">
        <v>1.1174857192561101E-3</v>
      </c>
    </row>
    <row r="314" spans="1:36">
      <c r="A314">
        <v>161</v>
      </c>
      <c r="B314">
        <v>9943</v>
      </c>
      <c r="C314" t="s">
        <v>2133</v>
      </c>
      <c r="D314" t="s">
        <v>2134</v>
      </c>
      <c r="E314" t="s">
        <v>41</v>
      </c>
      <c r="F314" t="s">
        <v>2362</v>
      </c>
      <c r="G314" t="s">
        <v>2363</v>
      </c>
      <c r="H314" t="s">
        <v>44</v>
      </c>
      <c r="I314" t="s">
        <v>1331</v>
      </c>
      <c r="J314" t="s">
        <v>45</v>
      </c>
      <c r="K314" t="s">
        <v>45</v>
      </c>
      <c r="L314" t="s">
        <v>46</v>
      </c>
      <c r="M314" t="s">
        <v>47</v>
      </c>
      <c r="N314" t="s">
        <v>58</v>
      </c>
      <c r="O314" t="s">
        <v>51</v>
      </c>
      <c r="P314" t="s">
        <v>1919</v>
      </c>
      <c r="Q314" t="s">
        <v>96</v>
      </c>
      <c r="R314" t="s">
        <v>97</v>
      </c>
      <c r="S314" t="s">
        <v>52</v>
      </c>
      <c r="T314" t="s">
        <v>2364</v>
      </c>
      <c r="U314" t="s">
        <v>2365</v>
      </c>
      <c r="V314" s="137">
        <v>3.5000000000000001E-3</v>
      </c>
      <c r="W314" s="137">
        <v>2.819E-2</v>
      </c>
      <c r="X314" t="s">
        <v>131</v>
      </c>
      <c r="Y314" t="s">
        <v>51</v>
      </c>
      <c r="Z314" s="133">
        <v>46222.1</v>
      </c>
      <c r="AA314" s="135">
        <v>1</v>
      </c>
      <c r="AB314" s="139">
        <v>102.55</v>
      </c>
      <c r="AD314" s="133">
        <v>47.401000000000003</v>
      </c>
      <c r="AG314" t="s">
        <v>135</v>
      </c>
      <c r="AH314" s="137">
        <v>1.4E-5</v>
      </c>
      <c r="AI314" s="137">
        <v>1.33691316743785E-4</v>
      </c>
      <c r="AJ314" s="137">
        <v>2.4188392217363801E-5</v>
      </c>
    </row>
    <row r="315" spans="1:36">
      <c r="A315">
        <v>161</v>
      </c>
      <c r="B315">
        <v>9943</v>
      </c>
      <c r="C315" t="s">
        <v>2133</v>
      </c>
      <c r="D315" t="s">
        <v>2134</v>
      </c>
      <c r="E315" t="s">
        <v>41</v>
      </c>
      <c r="F315" t="s">
        <v>2406</v>
      </c>
      <c r="G315" t="s">
        <v>2407</v>
      </c>
      <c r="H315" t="s">
        <v>44</v>
      </c>
      <c r="I315" t="s">
        <v>1331</v>
      </c>
      <c r="J315" t="s">
        <v>45</v>
      </c>
      <c r="K315" t="s">
        <v>45</v>
      </c>
      <c r="L315" t="s">
        <v>46</v>
      </c>
      <c r="M315" t="s">
        <v>47</v>
      </c>
      <c r="N315" t="s">
        <v>58</v>
      </c>
      <c r="O315" t="s">
        <v>51</v>
      </c>
      <c r="P315" t="s">
        <v>1919</v>
      </c>
      <c r="Q315" t="s">
        <v>96</v>
      </c>
      <c r="R315" t="s">
        <v>97</v>
      </c>
      <c r="S315" t="s">
        <v>52</v>
      </c>
      <c r="T315" t="s">
        <v>2408</v>
      </c>
      <c r="U315" t="s">
        <v>2409</v>
      </c>
      <c r="V315" s="137">
        <v>2.4E-2</v>
      </c>
      <c r="W315" s="137">
        <v>9.4400000000000005E-3</v>
      </c>
      <c r="X315" t="s">
        <v>131</v>
      </c>
      <c r="Y315" t="s">
        <v>51</v>
      </c>
      <c r="Z315" s="133">
        <v>1794104.37</v>
      </c>
      <c r="AA315" s="135">
        <v>1</v>
      </c>
      <c r="AB315" s="139">
        <v>119.4</v>
      </c>
      <c r="AD315" s="133">
        <v>2142.1610000000001</v>
      </c>
      <c r="AG315" t="s">
        <v>135</v>
      </c>
      <c r="AH315" s="137">
        <v>3.6029999999999999E-3</v>
      </c>
      <c r="AI315" s="137">
        <v>6.04184937581428E-3</v>
      </c>
      <c r="AJ315" s="137">
        <v>1.0931347373929201E-3</v>
      </c>
    </row>
    <row r="316" spans="1:36">
      <c r="A316">
        <v>161</v>
      </c>
      <c r="B316">
        <v>9943</v>
      </c>
      <c r="C316" t="s">
        <v>2133</v>
      </c>
      <c r="D316" t="s">
        <v>2134</v>
      </c>
      <c r="E316" t="s">
        <v>41</v>
      </c>
      <c r="F316" t="s">
        <v>2135</v>
      </c>
      <c r="G316" t="s">
        <v>2136</v>
      </c>
      <c r="H316" t="s">
        <v>44</v>
      </c>
      <c r="I316" t="s">
        <v>1331</v>
      </c>
      <c r="J316" t="s">
        <v>45</v>
      </c>
      <c r="K316" t="s">
        <v>45</v>
      </c>
      <c r="L316" t="s">
        <v>46</v>
      </c>
      <c r="M316" t="s">
        <v>47</v>
      </c>
      <c r="N316" t="s">
        <v>58</v>
      </c>
      <c r="O316" t="s">
        <v>51</v>
      </c>
      <c r="P316" t="s">
        <v>1919</v>
      </c>
      <c r="Q316" t="s">
        <v>96</v>
      </c>
      <c r="R316" t="s">
        <v>97</v>
      </c>
      <c r="S316" t="s">
        <v>52</v>
      </c>
      <c r="T316" t="s">
        <v>2137</v>
      </c>
      <c r="U316" t="s">
        <v>2025</v>
      </c>
      <c r="V316" s="137">
        <v>2.81E-2</v>
      </c>
      <c r="W316" s="137">
        <v>2.5319999999999999E-2</v>
      </c>
      <c r="X316" t="s">
        <v>131</v>
      </c>
      <c r="Y316" t="s">
        <v>51</v>
      </c>
      <c r="Z316" s="133">
        <v>268821.81</v>
      </c>
      <c r="AA316" s="135">
        <v>1</v>
      </c>
      <c r="AB316" s="139">
        <v>120.94</v>
      </c>
      <c r="AD316" s="133">
        <v>325.113</v>
      </c>
      <c r="AG316" t="s">
        <v>135</v>
      </c>
      <c r="AH316" s="137">
        <v>2.2499999999999999E-4</v>
      </c>
      <c r="AI316" s="137">
        <v>9.1696409034853002E-4</v>
      </c>
      <c r="AJ316" s="137">
        <v>1.65903722147456E-4</v>
      </c>
    </row>
    <row r="317" spans="1:36">
      <c r="A317">
        <v>161</v>
      </c>
      <c r="B317">
        <v>9943</v>
      </c>
      <c r="C317" t="s">
        <v>2133</v>
      </c>
      <c r="D317" t="s">
        <v>2134</v>
      </c>
      <c r="E317" t="s">
        <v>41</v>
      </c>
      <c r="F317" t="s">
        <v>2410</v>
      </c>
      <c r="G317" t="s">
        <v>2411</v>
      </c>
      <c r="H317" t="s">
        <v>44</v>
      </c>
      <c r="I317" t="s">
        <v>1509</v>
      </c>
      <c r="J317" t="s">
        <v>45</v>
      </c>
      <c r="K317" t="s">
        <v>45</v>
      </c>
      <c r="L317" t="s">
        <v>46</v>
      </c>
      <c r="M317" t="s">
        <v>47</v>
      </c>
      <c r="N317" t="s">
        <v>58</v>
      </c>
      <c r="O317" t="s">
        <v>51</v>
      </c>
      <c r="P317" t="s">
        <v>1919</v>
      </c>
      <c r="Q317" t="s">
        <v>96</v>
      </c>
      <c r="R317" t="s">
        <v>97</v>
      </c>
      <c r="S317" t="s">
        <v>52</v>
      </c>
      <c r="T317" t="s">
        <v>2412</v>
      </c>
      <c r="U317" t="s">
        <v>2001</v>
      </c>
      <c r="V317" s="137">
        <v>5.6500000000000002E-2</v>
      </c>
      <c r="W317" s="137">
        <v>4.7109999999999999E-2</v>
      </c>
      <c r="X317" t="s">
        <v>131</v>
      </c>
      <c r="Y317" t="s">
        <v>51</v>
      </c>
      <c r="Z317" s="133">
        <v>253667.62</v>
      </c>
      <c r="AA317" s="135">
        <v>1</v>
      </c>
      <c r="AB317" s="139">
        <v>102.62</v>
      </c>
      <c r="AD317" s="133">
        <v>260.31400000000002</v>
      </c>
      <c r="AG317" t="s">
        <v>135</v>
      </c>
      <c r="AH317" s="137">
        <v>2.1670000000000001E-3</v>
      </c>
      <c r="AI317" s="137">
        <v>7.3420089192103904E-4</v>
      </c>
      <c r="AJ317" s="137">
        <v>1.32836893020953E-4</v>
      </c>
    </row>
    <row r="318" spans="1:36">
      <c r="A318">
        <v>161</v>
      </c>
      <c r="B318">
        <v>9943</v>
      </c>
      <c r="C318" t="s">
        <v>2133</v>
      </c>
      <c r="D318" t="s">
        <v>2134</v>
      </c>
      <c r="E318" t="s">
        <v>41</v>
      </c>
      <c r="F318" t="s">
        <v>2366</v>
      </c>
      <c r="G318" t="s">
        <v>2367</v>
      </c>
      <c r="H318" t="s">
        <v>44</v>
      </c>
      <c r="I318" t="s">
        <v>1331</v>
      </c>
      <c r="J318" t="s">
        <v>45</v>
      </c>
      <c r="K318" t="s">
        <v>45</v>
      </c>
      <c r="L318" t="s">
        <v>46</v>
      </c>
      <c r="M318" t="s">
        <v>47</v>
      </c>
      <c r="N318" t="s">
        <v>58</v>
      </c>
      <c r="O318" t="s">
        <v>51</v>
      </c>
      <c r="P318" t="s">
        <v>1919</v>
      </c>
      <c r="Q318" t="s">
        <v>96</v>
      </c>
      <c r="R318" t="s">
        <v>97</v>
      </c>
      <c r="S318" t="s">
        <v>52</v>
      </c>
      <c r="T318" t="s">
        <v>2368</v>
      </c>
      <c r="U318" t="s">
        <v>2001</v>
      </c>
      <c r="V318" s="137">
        <v>3.6999999999999998E-2</v>
      </c>
      <c r="W318" s="137">
        <v>2.1329999999999998E-2</v>
      </c>
      <c r="X318" t="s">
        <v>131</v>
      </c>
      <c r="Y318" t="s">
        <v>51</v>
      </c>
      <c r="Z318" s="133">
        <v>523361.26</v>
      </c>
      <c r="AA318" s="135">
        <v>1</v>
      </c>
      <c r="AB318" s="139">
        <v>121.32</v>
      </c>
      <c r="AD318" s="133">
        <v>634.94200000000001</v>
      </c>
      <c r="AG318" t="s">
        <v>135</v>
      </c>
      <c r="AH318" s="137">
        <v>2.32E-3</v>
      </c>
      <c r="AI318" s="137">
        <v>1.7908195927672399E-3</v>
      </c>
      <c r="AJ318" s="137">
        <v>3.2400792927643501E-4</v>
      </c>
    </row>
    <row r="319" spans="1:36">
      <c r="A319">
        <v>161</v>
      </c>
      <c r="B319">
        <v>9943</v>
      </c>
      <c r="C319" t="s">
        <v>2138</v>
      </c>
      <c r="D319" t="s">
        <v>2139</v>
      </c>
      <c r="E319" t="s">
        <v>41</v>
      </c>
      <c r="F319" t="s">
        <v>2140</v>
      </c>
      <c r="G319" t="s">
        <v>2141</v>
      </c>
      <c r="H319" t="s">
        <v>44</v>
      </c>
      <c r="I319" t="s">
        <v>1509</v>
      </c>
      <c r="J319" t="s">
        <v>45</v>
      </c>
      <c r="K319" t="s">
        <v>45</v>
      </c>
      <c r="L319" t="s">
        <v>46</v>
      </c>
      <c r="M319" t="s">
        <v>47</v>
      </c>
      <c r="N319" t="s">
        <v>1037</v>
      </c>
      <c r="O319" t="s">
        <v>51</v>
      </c>
      <c r="P319" t="s">
        <v>166</v>
      </c>
      <c r="Q319" t="s">
        <v>167</v>
      </c>
      <c r="R319" t="s">
        <v>97</v>
      </c>
      <c r="S319" t="s">
        <v>52</v>
      </c>
      <c r="T319" t="s">
        <v>2142</v>
      </c>
      <c r="U319" t="s">
        <v>241</v>
      </c>
      <c r="V319" s="137">
        <v>4.1000000000000002E-2</v>
      </c>
      <c r="W319" s="137">
        <v>4.836E-2</v>
      </c>
      <c r="X319" t="s">
        <v>131</v>
      </c>
      <c r="Y319" t="s">
        <v>51</v>
      </c>
      <c r="Z319" s="133">
        <v>1300000</v>
      </c>
      <c r="AA319" s="135">
        <v>1</v>
      </c>
      <c r="AB319" s="139">
        <v>100.5</v>
      </c>
      <c r="AD319" s="133">
        <v>1306.5</v>
      </c>
      <c r="AG319" t="s">
        <v>135</v>
      </c>
      <c r="AH319" s="137">
        <v>1.823E-3</v>
      </c>
      <c r="AI319" s="137">
        <v>3.6849133272190701E-3</v>
      </c>
      <c r="AJ319" s="137">
        <v>6.6670095722510397E-4</v>
      </c>
    </row>
    <row r="320" spans="1:36">
      <c r="A320">
        <v>161</v>
      </c>
      <c r="B320">
        <v>9943</v>
      </c>
      <c r="C320" t="s">
        <v>2138</v>
      </c>
      <c r="D320" t="s">
        <v>2139</v>
      </c>
      <c r="E320" t="s">
        <v>41</v>
      </c>
      <c r="F320" t="s">
        <v>2143</v>
      </c>
      <c r="G320" t="s">
        <v>2144</v>
      </c>
      <c r="H320" t="s">
        <v>44</v>
      </c>
      <c r="I320" t="s">
        <v>1509</v>
      </c>
      <c r="J320" t="s">
        <v>45</v>
      </c>
      <c r="K320" t="s">
        <v>45</v>
      </c>
      <c r="L320" t="s">
        <v>46</v>
      </c>
      <c r="M320" t="s">
        <v>47</v>
      </c>
      <c r="N320" t="s">
        <v>1037</v>
      </c>
      <c r="O320" t="s">
        <v>51</v>
      </c>
      <c r="P320" t="s">
        <v>166</v>
      </c>
      <c r="Q320" t="s">
        <v>167</v>
      </c>
      <c r="R320" t="s">
        <v>97</v>
      </c>
      <c r="S320" t="s">
        <v>52</v>
      </c>
      <c r="T320" t="s">
        <v>2145</v>
      </c>
      <c r="U320" t="s">
        <v>2146</v>
      </c>
      <c r="V320" s="137">
        <v>4.7800000000000002E-2</v>
      </c>
      <c r="W320" s="137">
        <v>4.727E-2</v>
      </c>
      <c r="X320" t="s">
        <v>131</v>
      </c>
      <c r="Y320" t="s">
        <v>51</v>
      </c>
      <c r="Z320" s="133">
        <v>900000</v>
      </c>
      <c r="AA320" s="135">
        <v>1</v>
      </c>
      <c r="AB320" s="139">
        <v>102.2</v>
      </c>
      <c r="AD320" s="133">
        <v>919.8</v>
      </c>
      <c r="AG320" t="s">
        <v>135</v>
      </c>
      <c r="AH320" s="137">
        <v>3.3679999999999999E-3</v>
      </c>
      <c r="AI320" s="137">
        <v>2.5942466730777599E-3</v>
      </c>
      <c r="AJ320" s="137">
        <v>4.6936972097638799E-4</v>
      </c>
    </row>
    <row r="321" spans="1:36">
      <c r="A321">
        <v>161</v>
      </c>
      <c r="B321">
        <v>9943</v>
      </c>
      <c r="C321" t="s">
        <v>2138</v>
      </c>
      <c r="D321" t="s">
        <v>2139</v>
      </c>
      <c r="E321" t="s">
        <v>41</v>
      </c>
      <c r="F321" t="s">
        <v>2147</v>
      </c>
      <c r="G321" t="s">
        <v>2148</v>
      </c>
      <c r="H321" t="s">
        <v>44</v>
      </c>
      <c r="I321" t="s">
        <v>1509</v>
      </c>
      <c r="J321" t="s">
        <v>45</v>
      </c>
      <c r="K321" t="s">
        <v>45</v>
      </c>
      <c r="L321" t="s">
        <v>46</v>
      </c>
      <c r="M321" t="s">
        <v>47</v>
      </c>
      <c r="N321" t="s">
        <v>1037</v>
      </c>
      <c r="O321" t="s">
        <v>51</v>
      </c>
      <c r="P321" t="s">
        <v>166</v>
      </c>
      <c r="Q321" t="s">
        <v>167</v>
      </c>
      <c r="R321" t="s">
        <v>97</v>
      </c>
      <c r="S321" t="s">
        <v>52</v>
      </c>
      <c r="T321" t="s">
        <v>2149</v>
      </c>
      <c r="U321" t="s">
        <v>2150</v>
      </c>
      <c r="V321" s="137">
        <v>4.7800000000000002E-2</v>
      </c>
      <c r="W321" s="137">
        <v>4.7370000000000002E-2</v>
      </c>
      <c r="X321" t="s">
        <v>131</v>
      </c>
      <c r="Y321" t="s">
        <v>51</v>
      </c>
      <c r="Z321" s="133">
        <v>900000</v>
      </c>
      <c r="AA321" s="135">
        <v>1</v>
      </c>
      <c r="AB321" s="139">
        <v>102.19</v>
      </c>
      <c r="AD321" s="133">
        <v>919.71</v>
      </c>
      <c r="AG321" t="s">
        <v>135</v>
      </c>
      <c r="AH321" s="137">
        <v>3.3679999999999999E-3</v>
      </c>
      <c r="AI321" s="137">
        <v>2.5939928328944902E-3</v>
      </c>
      <c r="AJ321" s="137">
        <v>4.6932379438920801E-4</v>
      </c>
    </row>
    <row r="322" spans="1:36">
      <c r="A322">
        <v>161</v>
      </c>
      <c r="B322">
        <v>9943</v>
      </c>
      <c r="C322" t="s">
        <v>2151</v>
      </c>
      <c r="D322" t="s">
        <v>2152</v>
      </c>
      <c r="E322" t="s">
        <v>41</v>
      </c>
      <c r="F322" t="s">
        <v>2153</v>
      </c>
      <c r="G322" t="s">
        <v>2154</v>
      </c>
      <c r="H322" t="s">
        <v>44</v>
      </c>
      <c r="I322" t="s">
        <v>1331</v>
      </c>
      <c r="J322" t="s">
        <v>45</v>
      </c>
      <c r="K322" t="s">
        <v>45</v>
      </c>
      <c r="L322" t="s">
        <v>46</v>
      </c>
      <c r="M322" t="s">
        <v>47</v>
      </c>
      <c r="N322" t="s">
        <v>58</v>
      </c>
      <c r="O322" t="s">
        <v>51</v>
      </c>
      <c r="P322" t="s">
        <v>128</v>
      </c>
      <c r="Q322" t="s">
        <v>96</v>
      </c>
      <c r="R322" t="s">
        <v>97</v>
      </c>
      <c r="S322" t="s">
        <v>52</v>
      </c>
      <c r="T322" t="s">
        <v>2155</v>
      </c>
      <c r="U322" t="s">
        <v>2156</v>
      </c>
      <c r="V322" s="137">
        <v>2.0500000000000001E-2</v>
      </c>
      <c r="W322" s="137">
        <v>1.7149999999999999E-2</v>
      </c>
      <c r="X322" t="s">
        <v>131</v>
      </c>
      <c r="Y322" t="s">
        <v>51</v>
      </c>
      <c r="Z322" s="133">
        <v>820428.65</v>
      </c>
      <c r="AA322" s="135">
        <v>1</v>
      </c>
      <c r="AB322" s="139">
        <v>119.96</v>
      </c>
      <c r="AD322" s="133">
        <v>984.18600000000004</v>
      </c>
      <c r="AG322" t="s">
        <v>135</v>
      </c>
      <c r="AH322" s="137">
        <v>1.629E-3</v>
      </c>
      <c r="AI322" s="137">
        <v>2.7758445283691201E-3</v>
      </c>
      <c r="AJ322" s="137">
        <v>5.0222570786173995E-4</v>
      </c>
    </row>
    <row r="323" spans="1:36">
      <c r="A323">
        <v>161</v>
      </c>
      <c r="B323">
        <v>9943</v>
      </c>
      <c r="C323" t="s">
        <v>2161</v>
      </c>
      <c r="D323" t="s">
        <v>2162</v>
      </c>
      <c r="E323" t="s">
        <v>41</v>
      </c>
      <c r="F323" t="s">
        <v>2163</v>
      </c>
      <c r="G323" t="s">
        <v>2164</v>
      </c>
      <c r="H323" t="s">
        <v>44</v>
      </c>
      <c r="I323" t="s">
        <v>1331</v>
      </c>
      <c r="J323" t="s">
        <v>45</v>
      </c>
      <c r="K323" t="s">
        <v>45</v>
      </c>
      <c r="L323" t="s">
        <v>46</v>
      </c>
      <c r="M323" t="s">
        <v>47</v>
      </c>
      <c r="N323" t="s">
        <v>221</v>
      </c>
      <c r="O323" t="s">
        <v>51</v>
      </c>
      <c r="P323" t="s">
        <v>95</v>
      </c>
      <c r="Q323" t="s">
        <v>96</v>
      </c>
      <c r="R323" t="s">
        <v>97</v>
      </c>
      <c r="S323" t="s">
        <v>52</v>
      </c>
      <c r="T323" t="s">
        <v>2165</v>
      </c>
      <c r="U323" t="s">
        <v>2166</v>
      </c>
      <c r="V323" s="137">
        <v>1E-3</v>
      </c>
      <c r="W323" s="137">
        <v>2.3130000000000001E-2</v>
      </c>
      <c r="X323" t="s">
        <v>131</v>
      </c>
      <c r="Y323" t="s">
        <v>51</v>
      </c>
      <c r="Z323" s="133">
        <v>1712290</v>
      </c>
      <c r="AA323" s="135">
        <v>1</v>
      </c>
      <c r="AB323" s="139">
        <v>108.87</v>
      </c>
      <c r="AD323" s="133">
        <v>1864.17</v>
      </c>
      <c r="AG323" t="s">
        <v>135</v>
      </c>
      <c r="AH323" s="137">
        <v>5.0699999999999996E-4</v>
      </c>
      <c r="AI323" s="137">
        <v>5.2577920631047201E-3</v>
      </c>
      <c r="AJ323" s="137">
        <v>9.5127746301916602E-4</v>
      </c>
    </row>
    <row r="324" spans="1:36">
      <c r="A324">
        <v>161</v>
      </c>
      <c r="B324">
        <v>9943</v>
      </c>
      <c r="C324" t="s">
        <v>2161</v>
      </c>
      <c r="D324" t="s">
        <v>2162</v>
      </c>
      <c r="E324" t="s">
        <v>41</v>
      </c>
      <c r="F324" t="s">
        <v>2167</v>
      </c>
      <c r="G324" t="s">
        <v>2168</v>
      </c>
      <c r="H324" t="s">
        <v>44</v>
      </c>
      <c r="I324" t="s">
        <v>1509</v>
      </c>
      <c r="J324" t="s">
        <v>45</v>
      </c>
      <c r="K324" t="s">
        <v>45</v>
      </c>
      <c r="L324" t="s">
        <v>46</v>
      </c>
      <c r="M324" t="s">
        <v>47</v>
      </c>
      <c r="N324" t="s">
        <v>221</v>
      </c>
      <c r="O324" t="s">
        <v>51</v>
      </c>
      <c r="P324" t="s">
        <v>95</v>
      </c>
      <c r="Q324" t="s">
        <v>96</v>
      </c>
      <c r="R324" t="s">
        <v>97</v>
      </c>
      <c r="S324" t="s">
        <v>52</v>
      </c>
      <c r="T324" t="s">
        <v>2169</v>
      </c>
      <c r="U324" t="s">
        <v>2170</v>
      </c>
      <c r="V324" s="137">
        <v>2.7400000000000001E-2</v>
      </c>
      <c r="W324" s="137">
        <v>4.3900000000000002E-2</v>
      </c>
      <c r="X324" t="s">
        <v>131</v>
      </c>
      <c r="Y324" t="s">
        <v>51</v>
      </c>
      <c r="Z324" s="133">
        <v>4500000</v>
      </c>
      <c r="AA324" s="135">
        <v>1</v>
      </c>
      <c r="AB324" s="139">
        <v>98.89</v>
      </c>
      <c r="AD324" s="133">
        <v>4450.05</v>
      </c>
      <c r="AG324" t="s">
        <v>135</v>
      </c>
      <c r="AH324" s="137">
        <v>1.707E-3</v>
      </c>
      <c r="AI324" s="137">
        <v>1.2551127862067499E-2</v>
      </c>
      <c r="AJ324" s="137">
        <v>2.2708401030995598E-3</v>
      </c>
    </row>
    <row r="325" spans="1:36">
      <c r="A325">
        <v>161</v>
      </c>
      <c r="B325">
        <v>9943</v>
      </c>
      <c r="C325" t="s">
        <v>2161</v>
      </c>
      <c r="D325" t="s">
        <v>2162</v>
      </c>
      <c r="E325" t="s">
        <v>41</v>
      </c>
      <c r="F325" t="s">
        <v>2413</v>
      </c>
      <c r="G325" t="s">
        <v>2414</v>
      </c>
      <c r="H325" t="s">
        <v>44</v>
      </c>
      <c r="I325" t="s">
        <v>1331</v>
      </c>
      <c r="J325" t="s">
        <v>45</v>
      </c>
      <c r="K325" t="s">
        <v>45</v>
      </c>
      <c r="L325" t="s">
        <v>46</v>
      </c>
      <c r="M325" t="s">
        <v>47</v>
      </c>
      <c r="N325" t="s">
        <v>221</v>
      </c>
      <c r="O325" t="s">
        <v>51</v>
      </c>
      <c r="P325" t="s">
        <v>95</v>
      </c>
      <c r="Q325" t="s">
        <v>96</v>
      </c>
      <c r="R325" t="s">
        <v>97</v>
      </c>
      <c r="S325" t="s">
        <v>52</v>
      </c>
      <c r="T325" t="s">
        <v>2415</v>
      </c>
      <c r="U325" t="s">
        <v>2066</v>
      </c>
      <c r="V325" s="137">
        <v>2.06E-2</v>
      </c>
      <c r="W325" s="137">
        <v>2.4250000000000001E-2</v>
      </c>
      <c r="X325" t="s">
        <v>131</v>
      </c>
      <c r="Y325" t="s">
        <v>51</v>
      </c>
      <c r="Z325" s="133">
        <v>1240000.02</v>
      </c>
      <c r="AA325" s="135">
        <v>1</v>
      </c>
      <c r="AB325" s="139">
        <v>107.31</v>
      </c>
      <c r="AD325" s="133">
        <v>1330.644</v>
      </c>
      <c r="AG325" t="s">
        <v>135</v>
      </c>
      <c r="AH325" s="137">
        <v>7.7499999999999997E-4</v>
      </c>
      <c r="AI325" s="137">
        <v>3.7530102475849202E-3</v>
      </c>
      <c r="AJ325" s="137">
        <v>6.7902154063113397E-4</v>
      </c>
    </row>
    <row r="326" spans="1:36">
      <c r="A326">
        <v>161</v>
      </c>
      <c r="B326">
        <v>9943</v>
      </c>
      <c r="C326" t="s">
        <v>2161</v>
      </c>
      <c r="D326" t="s">
        <v>2162</v>
      </c>
      <c r="E326" t="s">
        <v>41</v>
      </c>
      <c r="F326" t="s">
        <v>2416</v>
      </c>
      <c r="G326" t="s">
        <v>2417</v>
      </c>
      <c r="H326" t="s">
        <v>44</v>
      </c>
      <c r="I326" t="s">
        <v>1331</v>
      </c>
      <c r="J326" t="s">
        <v>45</v>
      </c>
      <c r="K326" t="s">
        <v>45</v>
      </c>
      <c r="L326" t="s">
        <v>46</v>
      </c>
      <c r="M326" t="s">
        <v>47</v>
      </c>
      <c r="N326" t="s">
        <v>221</v>
      </c>
      <c r="O326" t="s">
        <v>51</v>
      </c>
      <c r="P326" t="s">
        <v>95</v>
      </c>
      <c r="Q326" t="s">
        <v>96</v>
      </c>
      <c r="R326" t="s">
        <v>97</v>
      </c>
      <c r="S326" t="s">
        <v>52</v>
      </c>
      <c r="T326" t="s">
        <v>2418</v>
      </c>
      <c r="U326" t="s">
        <v>2419</v>
      </c>
      <c r="V326" s="137">
        <v>1.9900000000000001E-2</v>
      </c>
      <c r="W326" s="137">
        <v>2.486E-2</v>
      </c>
      <c r="X326" t="s">
        <v>131</v>
      </c>
      <c r="Y326" t="s">
        <v>51</v>
      </c>
      <c r="Z326" s="133">
        <v>1520000.02</v>
      </c>
      <c r="AA326" s="135">
        <v>1</v>
      </c>
      <c r="AB326" s="139">
        <v>104.27</v>
      </c>
      <c r="AD326" s="133">
        <v>1584.904</v>
      </c>
      <c r="AG326" t="s">
        <v>135</v>
      </c>
      <c r="AH326" s="137">
        <v>7.0399999999999998E-4</v>
      </c>
      <c r="AI326" s="137">
        <v>4.4701369680887797E-3</v>
      </c>
      <c r="AJ326" s="137">
        <v>8.0876925205761803E-4</v>
      </c>
    </row>
    <row r="327" spans="1:36">
      <c r="A327">
        <v>161</v>
      </c>
      <c r="B327">
        <v>9943</v>
      </c>
      <c r="C327" t="s">
        <v>2161</v>
      </c>
      <c r="D327" t="s">
        <v>2162</v>
      </c>
      <c r="E327" t="s">
        <v>41</v>
      </c>
      <c r="F327" t="s">
        <v>2420</v>
      </c>
      <c r="G327" t="s">
        <v>2421</v>
      </c>
      <c r="H327" t="s">
        <v>44</v>
      </c>
      <c r="I327" t="s">
        <v>1331</v>
      </c>
      <c r="J327" t="s">
        <v>45</v>
      </c>
      <c r="K327" t="s">
        <v>45</v>
      </c>
      <c r="L327" t="s">
        <v>46</v>
      </c>
      <c r="M327" t="s">
        <v>47</v>
      </c>
      <c r="N327" t="s">
        <v>221</v>
      </c>
      <c r="O327" t="s">
        <v>51</v>
      </c>
      <c r="P327" t="s">
        <v>95</v>
      </c>
      <c r="Q327" t="s">
        <v>96</v>
      </c>
      <c r="R327" t="s">
        <v>97</v>
      </c>
      <c r="S327" t="s">
        <v>52</v>
      </c>
      <c r="T327" t="s">
        <v>2422</v>
      </c>
      <c r="U327" t="s">
        <v>2423</v>
      </c>
      <c r="V327" s="137">
        <v>2.6800000000000001E-2</v>
      </c>
      <c r="W327" s="137">
        <v>2.529E-2</v>
      </c>
      <c r="X327" t="s">
        <v>131</v>
      </c>
      <c r="Y327" t="s">
        <v>51</v>
      </c>
      <c r="Z327" s="133">
        <v>10131009.300000001</v>
      </c>
      <c r="AA327" s="135">
        <v>1</v>
      </c>
      <c r="AB327" s="139">
        <v>103.6</v>
      </c>
      <c r="AD327" s="133">
        <v>10495.726000000001</v>
      </c>
      <c r="AG327" t="s">
        <v>135</v>
      </c>
      <c r="AH327" s="137">
        <v>3.947E-3</v>
      </c>
      <c r="AI327" s="137">
        <v>2.96026324305468E-2</v>
      </c>
      <c r="AJ327" s="137">
        <v>5.3559206486744901E-3</v>
      </c>
    </row>
    <row r="328" spans="1:36">
      <c r="A328">
        <v>161</v>
      </c>
      <c r="B328">
        <v>9943</v>
      </c>
      <c r="C328" t="s">
        <v>2161</v>
      </c>
      <c r="D328" t="s">
        <v>2162</v>
      </c>
      <c r="E328" t="s">
        <v>41</v>
      </c>
      <c r="F328" t="s">
        <v>2171</v>
      </c>
      <c r="G328" t="s">
        <v>2172</v>
      </c>
      <c r="H328" t="s">
        <v>44</v>
      </c>
      <c r="I328" t="s">
        <v>1331</v>
      </c>
      <c r="J328" t="s">
        <v>45</v>
      </c>
      <c r="K328" t="s">
        <v>45</v>
      </c>
      <c r="L328" t="s">
        <v>46</v>
      </c>
      <c r="M328" t="s">
        <v>47</v>
      </c>
      <c r="N328" t="s">
        <v>221</v>
      </c>
      <c r="O328" t="s">
        <v>51</v>
      </c>
      <c r="P328" t="s">
        <v>202</v>
      </c>
      <c r="Q328" t="s">
        <v>167</v>
      </c>
      <c r="R328" t="s">
        <v>97</v>
      </c>
      <c r="S328" t="s">
        <v>52</v>
      </c>
      <c r="T328" t="s">
        <v>2173</v>
      </c>
      <c r="U328" t="s">
        <v>2174</v>
      </c>
      <c r="V328" s="137">
        <v>5.0000000000000001E-3</v>
      </c>
      <c r="W328" s="137">
        <v>1.523E-2</v>
      </c>
      <c r="X328" t="s">
        <v>131</v>
      </c>
      <c r="Y328" t="s">
        <v>51</v>
      </c>
      <c r="Z328" s="133">
        <v>1468553</v>
      </c>
      <c r="AA328" s="135">
        <v>1</v>
      </c>
      <c r="AB328" s="139">
        <v>116.07</v>
      </c>
      <c r="AD328" s="133">
        <v>1704.549</v>
      </c>
      <c r="AG328" t="s">
        <v>135</v>
      </c>
      <c r="AH328" s="137">
        <v>1.9239999999999999E-3</v>
      </c>
      <c r="AI328" s="137">
        <v>4.8075905459019899E-3</v>
      </c>
      <c r="AJ328" s="137">
        <v>8.6982377447616596E-4</v>
      </c>
    </row>
    <row r="329" spans="1:36">
      <c r="A329">
        <v>161</v>
      </c>
      <c r="B329">
        <v>9943</v>
      </c>
      <c r="C329" t="s">
        <v>2161</v>
      </c>
      <c r="D329" t="s">
        <v>2162</v>
      </c>
      <c r="E329" t="s">
        <v>41</v>
      </c>
      <c r="F329" t="s">
        <v>2175</v>
      </c>
      <c r="G329" t="s">
        <v>2176</v>
      </c>
      <c r="H329" t="s">
        <v>44</v>
      </c>
      <c r="I329" t="s">
        <v>1331</v>
      </c>
      <c r="J329" t="s">
        <v>45</v>
      </c>
      <c r="K329" t="s">
        <v>45</v>
      </c>
      <c r="L329" t="s">
        <v>46</v>
      </c>
      <c r="M329" t="s">
        <v>47</v>
      </c>
      <c r="N329" t="s">
        <v>221</v>
      </c>
      <c r="O329" t="s">
        <v>51</v>
      </c>
      <c r="P329" t="s">
        <v>95</v>
      </c>
      <c r="Q329" t="s">
        <v>96</v>
      </c>
      <c r="R329" t="s">
        <v>97</v>
      </c>
      <c r="S329" t="s">
        <v>52</v>
      </c>
      <c r="T329" t="s">
        <v>2177</v>
      </c>
      <c r="U329" t="s">
        <v>2178</v>
      </c>
      <c r="V329" s="137">
        <v>2E-3</v>
      </c>
      <c r="W329" s="137">
        <v>2.495E-2</v>
      </c>
      <c r="X329" t="s">
        <v>131</v>
      </c>
      <c r="Y329" t="s">
        <v>51</v>
      </c>
      <c r="Z329" s="133">
        <v>4600000</v>
      </c>
      <c r="AA329" s="135">
        <v>1</v>
      </c>
      <c r="AB329" s="139">
        <v>107.35</v>
      </c>
      <c r="AD329" s="133">
        <v>4938.1000000000004</v>
      </c>
      <c r="AG329" t="s">
        <v>135</v>
      </c>
      <c r="AH329" s="137">
        <v>1.33E-3</v>
      </c>
      <c r="AI329" s="137">
        <v>1.39276467670421E-2</v>
      </c>
      <c r="AJ329" s="137">
        <v>2.5198897794667299E-3</v>
      </c>
    </row>
    <row r="330" spans="1:36">
      <c r="A330">
        <v>161</v>
      </c>
      <c r="B330">
        <v>9943</v>
      </c>
      <c r="C330" t="s">
        <v>2161</v>
      </c>
      <c r="D330" t="s">
        <v>2162</v>
      </c>
      <c r="E330" t="s">
        <v>41</v>
      </c>
      <c r="F330" t="s">
        <v>2369</v>
      </c>
      <c r="G330" t="s">
        <v>2370</v>
      </c>
      <c r="H330" t="s">
        <v>44</v>
      </c>
      <c r="I330" t="s">
        <v>1331</v>
      </c>
      <c r="J330" t="s">
        <v>45</v>
      </c>
      <c r="K330" t="s">
        <v>45</v>
      </c>
      <c r="L330" t="s">
        <v>46</v>
      </c>
      <c r="M330" t="s">
        <v>47</v>
      </c>
      <c r="N330" t="s">
        <v>221</v>
      </c>
      <c r="O330" t="s">
        <v>51</v>
      </c>
      <c r="P330" t="s">
        <v>1936</v>
      </c>
      <c r="Q330" t="s">
        <v>96</v>
      </c>
      <c r="R330" t="s">
        <v>97</v>
      </c>
      <c r="S330" t="s">
        <v>52</v>
      </c>
      <c r="T330" t="s">
        <v>2371</v>
      </c>
      <c r="U330" t="s">
        <v>2372</v>
      </c>
      <c r="V330" s="137">
        <v>3.3599999999999998E-2</v>
      </c>
      <c r="W330" s="137">
        <v>2.6069999999999999E-2</v>
      </c>
      <c r="X330" t="s">
        <v>131</v>
      </c>
      <c r="Y330" t="s">
        <v>51</v>
      </c>
      <c r="Z330" s="133">
        <v>751950</v>
      </c>
      <c r="AA330" s="135">
        <v>1</v>
      </c>
      <c r="AB330" s="139">
        <v>110.93</v>
      </c>
      <c r="AD330" s="133">
        <v>834.13800000000003</v>
      </c>
      <c r="AG330" t="s">
        <v>135</v>
      </c>
      <c r="AH330" s="137">
        <v>6.4400000000000004E-4</v>
      </c>
      <c r="AI330" s="137">
        <v>2.3526419673962199E-3</v>
      </c>
      <c r="AJ330" s="137">
        <v>4.2565686418864399E-4</v>
      </c>
    </row>
    <row r="331" spans="1:36">
      <c r="A331">
        <v>161</v>
      </c>
      <c r="B331">
        <v>9943</v>
      </c>
      <c r="C331" t="s">
        <v>2161</v>
      </c>
      <c r="D331" t="s">
        <v>2162</v>
      </c>
      <c r="E331" t="s">
        <v>41</v>
      </c>
      <c r="F331" t="s">
        <v>2179</v>
      </c>
      <c r="G331" t="s">
        <v>2180</v>
      </c>
      <c r="H331" t="s">
        <v>44</v>
      </c>
      <c r="I331" t="s">
        <v>1331</v>
      </c>
      <c r="J331" t="s">
        <v>45</v>
      </c>
      <c r="K331" t="s">
        <v>45</v>
      </c>
      <c r="L331" t="s">
        <v>46</v>
      </c>
      <c r="M331" t="s">
        <v>47</v>
      </c>
      <c r="N331" t="s">
        <v>221</v>
      </c>
      <c r="O331" t="s">
        <v>51</v>
      </c>
      <c r="P331" t="s">
        <v>95</v>
      </c>
      <c r="Q331" t="s">
        <v>96</v>
      </c>
      <c r="R331" t="s">
        <v>97</v>
      </c>
      <c r="S331" t="s">
        <v>52</v>
      </c>
      <c r="T331" t="s">
        <v>2181</v>
      </c>
      <c r="U331" t="s">
        <v>2170</v>
      </c>
      <c r="V331" s="137">
        <v>1E-3</v>
      </c>
      <c r="W331" s="137">
        <v>2.334E-2</v>
      </c>
      <c r="X331" t="s">
        <v>131</v>
      </c>
      <c r="Y331" t="s">
        <v>51</v>
      </c>
      <c r="Z331" s="133">
        <v>765309.52</v>
      </c>
      <c r="AA331" s="135">
        <v>1</v>
      </c>
      <c r="AB331" s="139">
        <v>107.76</v>
      </c>
      <c r="AD331" s="133">
        <v>824.69799999999998</v>
      </c>
      <c r="AG331" t="s">
        <v>135</v>
      </c>
      <c r="AH331" s="137">
        <v>4.1199999999999999E-4</v>
      </c>
      <c r="AI331" s="137">
        <v>2.3260152709315002E-3</v>
      </c>
      <c r="AJ331" s="137">
        <v>4.2083937122628799E-4</v>
      </c>
    </row>
    <row r="332" spans="1:36">
      <c r="A332">
        <v>161</v>
      </c>
      <c r="B332">
        <v>9943</v>
      </c>
      <c r="C332" t="s">
        <v>2182</v>
      </c>
      <c r="D332" t="s">
        <v>2183</v>
      </c>
      <c r="E332" t="s">
        <v>41</v>
      </c>
      <c r="F332" t="s">
        <v>2184</v>
      </c>
      <c r="G332" t="s">
        <v>2185</v>
      </c>
      <c r="H332" t="s">
        <v>44</v>
      </c>
      <c r="I332" t="s">
        <v>1331</v>
      </c>
      <c r="J332" t="s">
        <v>45</v>
      </c>
      <c r="K332" t="s">
        <v>45</v>
      </c>
      <c r="L332" t="s">
        <v>46</v>
      </c>
      <c r="M332" t="s">
        <v>47</v>
      </c>
      <c r="N332" t="s">
        <v>1035</v>
      </c>
      <c r="O332" t="s">
        <v>51</v>
      </c>
      <c r="P332" t="s">
        <v>166</v>
      </c>
      <c r="Q332" t="s">
        <v>167</v>
      </c>
      <c r="R332" t="s">
        <v>97</v>
      </c>
      <c r="S332" t="s">
        <v>52</v>
      </c>
      <c r="T332" t="s">
        <v>2186</v>
      </c>
      <c r="U332" t="s">
        <v>2187</v>
      </c>
      <c r="V332" s="137">
        <v>0.01</v>
      </c>
      <c r="W332" s="137">
        <v>2.8559999999999999E-2</v>
      </c>
      <c r="X332" t="s">
        <v>131</v>
      </c>
      <c r="Y332" t="s">
        <v>51</v>
      </c>
      <c r="Z332" s="133">
        <v>706520.01</v>
      </c>
      <c r="AA332" s="135">
        <v>1</v>
      </c>
      <c r="AB332" s="139">
        <v>109.85</v>
      </c>
      <c r="AD332" s="133">
        <v>776.11199999999997</v>
      </c>
      <c r="AG332" t="s">
        <v>135</v>
      </c>
      <c r="AH332" s="137">
        <v>4.1800000000000002E-4</v>
      </c>
      <c r="AI332" s="137">
        <v>2.1889830106194799E-3</v>
      </c>
      <c r="AJ332" s="137">
        <v>3.9604651152836599E-4</v>
      </c>
    </row>
    <row r="333" spans="1:36">
      <c r="A333">
        <v>161</v>
      </c>
      <c r="B333">
        <v>9943</v>
      </c>
      <c r="C333" t="s">
        <v>2182</v>
      </c>
      <c r="D333" t="s">
        <v>2183</v>
      </c>
      <c r="E333" t="s">
        <v>41</v>
      </c>
      <c r="F333" t="s">
        <v>2188</v>
      </c>
      <c r="G333" t="s">
        <v>2189</v>
      </c>
      <c r="H333" t="s">
        <v>44</v>
      </c>
      <c r="I333" t="s">
        <v>1331</v>
      </c>
      <c r="J333" t="s">
        <v>45</v>
      </c>
      <c r="K333" t="s">
        <v>45</v>
      </c>
      <c r="L333" t="s">
        <v>46</v>
      </c>
      <c r="M333" t="s">
        <v>47</v>
      </c>
      <c r="N333" t="s">
        <v>1035</v>
      </c>
      <c r="O333" t="s">
        <v>51</v>
      </c>
      <c r="P333" t="s">
        <v>166</v>
      </c>
      <c r="Q333" t="s">
        <v>167</v>
      </c>
      <c r="R333" t="s">
        <v>97</v>
      </c>
      <c r="S333" t="s">
        <v>52</v>
      </c>
      <c r="T333" t="s">
        <v>2190</v>
      </c>
      <c r="U333" t="s">
        <v>1866</v>
      </c>
      <c r="V333" s="137">
        <v>3.5400000000000001E-2</v>
      </c>
      <c r="W333" s="137">
        <v>2.3179999999999999E-2</v>
      </c>
      <c r="X333" t="s">
        <v>131</v>
      </c>
      <c r="Y333" t="s">
        <v>51</v>
      </c>
      <c r="Z333" s="133">
        <v>896638.51</v>
      </c>
      <c r="AA333" s="135">
        <v>1</v>
      </c>
      <c r="AB333" s="139">
        <v>110.42</v>
      </c>
      <c r="AD333" s="133">
        <v>990.06799999999998</v>
      </c>
      <c r="AG333" t="s">
        <v>135</v>
      </c>
      <c r="AH333" s="137">
        <v>1.6050000000000001E-3</v>
      </c>
      <c r="AI333" s="137">
        <v>2.7924344910343398E-3</v>
      </c>
      <c r="AJ333" s="137">
        <v>5.0522728293476299E-4</v>
      </c>
    </row>
    <row r="334" spans="1:36">
      <c r="A334">
        <v>161</v>
      </c>
      <c r="B334">
        <v>9943</v>
      </c>
      <c r="C334" t="s">
        <v>2191</v>
      </c>
      <c r="D334" t="s">
        <v>2192</v>
      </c>
      <c r="E334" t="s">
        <v>41</v>
      </c>
      <c r="F334" t="s">
        <v>2424</v>
      </c>
      <c r="G334" t="s">
        <v>2425</v>
      </c>
      <c r="H334" t="s">
        <v>44</v>
      </c>
      <c r="I334" t="s">
        <v>1331</v>
      </c>
      <c r="J334" t="s">
        <v>45</v>
      </c>
      <c r="K334" t="s">
        <v>45</v>
      </c>
      <c r="L334" t="s">
        <v>46</v>
      </c>
      <c r="M334" t="s">
        <v>47</v>
      </c>
      <c r="N334" t="s">
        <v>58</v>
      </c>
      <c r="O334" t="s">
        <v>51</v>
      </c>
      <c r="P334" t="s">
        <v>1919</v>
      </c>
      <c r="Q334" t="s">
        <v>96</v>
      </c>
      <c r="R334" t="s">
        <v>97</v>
      </c>
      <c r="S334" t="s">
        <v>52</v>
      </c>
      <c r="T334" t="s">
        <v>2426</v>
      </c>
      <c r="U334" t="s">
        <v>2388</v>
      </c>
      <c r="V334" s="137">
        <v>6.4999999999999997E-3</v>
      </c>
      <c r="W334" s="137">
        <v>2.3120000000000002E-2</v>
      </c>
      <c r="X334" t="s">
        <v>131</v>
      </c>
      <c r="Y334" t="s">
        <v>51</v>
      </c>
      <c r="Z334" s="133">
        <v>2419316.14</v>
      </c>
      <c r="AA334" s="135">
        <v>1</v>
      </c>
      <c r="AB334" s="139">
        <v>113.67</v>
      </c>
      <c r="AD334" s="133">
        <v>2750.0369999999998</v>
      </c>
      <c r="AG334" t="s">
        <v>135</v>
      </c>
      <c r="AH334" s="137">
        <v>4.5779999999999996E-3</v>
      </c>
      <c r="AI334" s="137">
        <v>7.7563312095529002E-3</v>
      </c>
      <c r="AJ334" s="137">
        <v>1.40333109160709E-3</v>
      </c>
    </row>
    <row r="335" spans="1:36">
      <c r="A335">
        <v>161</v>
      </c>
      <c r="B335">
        <v>9943</v>
      </c>
      <c r="C335" t="s">
        <v>2191</v>
      </c>
      <c r="D335" t="s">
        <v>2192</v>
      </c>
      <c r="E335" t="s">
        <v>41</v>
      </c>
      <c r="F335" t="s">
        <v>2193</v>
      </c>
      <c r="G335" t="s">
        <v>2194</v>
      </c>
      <c r="H335" t="s">
        <v>44</v>
      </c>
      <c r="I335" t="s">
        <v>1331</v>
      </c>
      <c r="J335" t="s">
        <v>45</v>
      </c>
      <c r="K335" t="s">
        <v>45</v>
      </c>
      <c r="L335" t="s">
        <v>46</v>
      </c>
      <c r="M335" t="s">
        <v>47</v>
      </c>
      <c r="N335" t="s">
        <v>58</v>
      </c>
      <c r="O335" t="s">
        <v>51</v>
      </c>
      <c r="P335" t="s">
        <v>1919</v>
      </c>
      <c r="Q335" t="s">
        <v>96</v>
      </c>
      <c r="R335" t="s">
        <v>97</v>
      </c>
      <c r="S335" t="s">
        <v>52</v>
      </c>
      <c r="T335" t="s">
        <v>2195</v>
      </c>
      <c r="U335" t="s">
        <v>2196</v>
      </c>
      <c r="V335" s="137">
        <v>1.43E-2</v>
      </c>
      <c r="W335" s="137">
        <v>2.5870000000000001E-2</v>
      </c>
      <c r="X335" t="s">
        <v>131</v>
      </c>
      <c r="Y335" t="s">
        <v>51</v>
      </c>
      <c r="Z335" s="133">
        <v>530237.81000000006</v>
      </c>
      <c r="AA335" s="135">
        <v>1</v>
      </c>
      <c r="AB335" s="139">
        <v>114.25</v>
      </c>
      <c r="AD335" s="133">
        <v>605.79700000000003</v>
      </c>
      <c r="AG335" t="s">
        <v>135</v>
      </c>
      <c r="AH335" s="137">
        <v>2.7799999999999998E-4</v>
      </c>
      <c r="AI335" s="137">
        <v>1.70861716476781E-3</v>
      </c>
      <c r="AJ335" s="137">
        <v>3.09135276226869E-4</v>
      </c>
    </row>
    <row r="336" spans="1:36">
      <c r="A336">
        <v>161</v>
      </c>
      <c r="B336">
        <v>9943</v>
      </c>
      <c r="C336" t="s">
        <v>2191</v>
      </c>
      <c r="D336" t="s">
        <v>2192</v>
      </c>
      <c r="E336" t="s">
        <v>41</v>
      </c>
      <c r="F336" t="s">
        <v>2197</v>
      </c>
      <c r="G336" t="s">
        <v>2198</v>
      </c>
      <c r="H336" t="s">
        <v>44</v>
      </c>
      <c r="I336" t="s">
        <v>1331</v>
      </c>
      <c r="J336" t="s">
        <v>45</v>
      </c>
      <c r="K336" t="s">
        <v>45</v>
      </c>
      <c r="L336" t="s">
        <v>46</v>
      </c>
      <c r="M336" t="s">
        <v>47</v>
      </c>
      <c r="N336" t="s">
        <v>58</v>
      </c>
      <c r="O336" t="s">
        <v>51</v>
      </c>
      <c r="P336" t="s">
        <v>1919</v>
      </c>
      <c r="Q336" t="s">
        <v>96</v>
      </c>
      <c r="R336" t="s">
        <v>97</v>
      </c>
      <c r="S336" t="s">
        <v>52</v>
      </c>
      <c r="T336" t="s">
        <v>2199</v>
      </c>
      <c r="U336" t="s">
        <v>2200</v>
      </c>
      <c r="V336" s="137">
        <v>3.61E-2</v>
      </c>
      <c r="W336" s="137">
        <v>2.8160000000000001E-2</v>
      </c>
      <c r="X336" t="s">
        <v>131</v>
      </c>
      <c r="Y336" t="s">
        <v>51</v>
      </c>
      <c r="Z336" s="133">
        <v>1567179.52</v>
      </c>
      <c r="AA336" s="135">
        <v>1</v>
      </c>
      <c r="AB336" s="139">
        <v>113.57</v>
      </c>
      <c r="AD336" s="133">
        <v>1779.846</v>
      </c>
      <c r="AG336" t="s">
        <v>135</v>
      </c>
      <c r="AH336" s="137">
        <v>6.4099999999999997E-4</v>
      </c>
      <c r="AI336" s="137">
        <v>5.0199597690779802E-3</v>
      </c>
      <c r="AJ336" s="137">
        <v>9.0824713801384703E-4</v>
      </c>
    </row>
    <row r="337" spans="1:36">
      <c r="A337">
        <v>161</v>
      </c>
      <c r="B337">
        <v>9943</v>
      </c>
      <c r="C337" t="s">
        <v>2191</v>
      </c>
      <c r="D337" t="s">
        <v>2192</v>
      </c>
      <c r="E337" t="s">
        <v>41</v>
      </c>
      <c r="F337" t="s">
        <v>2201</v>
      </c>
      <c r="G337" t="s">
        <v>2202</v>
      </c>
      <c r="H337" t="s">
        <v>44</v>
      </c>
      <c r="I337" t="s">
        <v>1331</v>
      </c>
      <c r="J337" t="s">
        <v>45</v>
      </c>
      <c r="K337" t="s">
        <v>45</v>
      </c>
      <c r="L337" t="s">
        <v>46</v>
      </c>
      <c r="M337" t="s">
        <v>47</v>
      </c>
      <c r="N337" t="s">
        <v>58</v>
      </c>
      <c r="O337" t="s">
        <v>51</v>
      </c>
      <c r="P337" t="s">
        <v>1919</v>
      </c>
      <c r="Q337" t="s">
        <v>96</v>
      </c>
      <c r="R337" t="s">
        <v>97</v>
      </c>
      <c r="S337" t="s">
        <v>52</v>
      </c>
      <c r="T337" t="s">
        <v>2203</v>
      </c>
      <c r="U337" t="s">
        <v>2204</v>
      </c>
      <c r="V337" s="137">
        <v>2.1499999999999998E-2</v>
      </c>
      <c r="W337" s="137">
        <v>1E-4</v>
      </c>
      <c r="X337" t="s">
        <v>131</v>
      </c>
      <c r="Y337" t="s">
        <v>51</v>
      </c>
      <c r="Z337" s="133">
        <v>0.67</v>
      </c>
      <c r="AA337" s="135">
        <v>1</v>
      </c>
      <c r="AB337" s="139">
        <v>121.27</v>
      </c>
      <c r="AD337" s="133">
        <v>1E-3</v>
      </c>
      <c r="AG337" t="s">
        <v>135</v>
      </c>
      <c r="AH337" s="137">
        <v>0</v>
      </c>
      <c r="AI337" s="137">
        <v>2.2916381497018303E-9</v>
      </c>
      <c r="AJ337" s="137">
        <v>4.1461961580865803E-10</v>
      </c>
    </row>
    <row r="338" spans="1:36">
      <c r="A338">
        <v>161</v>
      </c>
      <c r="B338">
        <v>9943</v>
      </c>
      <c r="C338" t="s">
        <v>2191</v>
      </c>
      <c r="D338" t="s">
        <v>2192</v>
      </c>
      <c r="E338" t="s">
        <v>41</v>
      </c>
      <c r="F338" t="s">
        <v>2205</v>
      </c>
      <c r="G338" t="s">
        <v>2206</v>
      </c>
      <c r="H338" t="s">
        <v>44</v>
      </c>
      <c r="I338" t="s">
        <v>1331</v>
      </c>
      <c r="J338" t="s">
        <v>45</v>
      </c>
      <c r="K338" t="s">
        <v>45</v>
      </c>
      <c r="L338" t="s">
        <v>46</v>
      </c>
      <c r="M338" t="s">
        <v>47</v>
      </c>
      <c r="N338" t="s">
        <v>58</v>
      </c>
      <c r="O338" t="s">
        <v>51</v>
      </c>
      <c r="P338" t="s">
        <v>1919</v>
      </c>
      <c r="Q338" t="s">
        <v>96</v>
      </c>
      <c r="R338" t="s">
        <v>97</v>
      </c>
      <c r="S338" t="s">
        <v>52</v>
      </c>
      <c r="T338" t="s">
        <v>2207</v>
      </c>
      <c r="U338" t="s">
        <v>2208</v>
      </c>
      <c r="V338" s="137">
        <v>2.2499999999999999E-2</v>
      </c>
      <c r="W338" s="137">
        <v>2.5839999999999998E-2</v>
      </c>
      <c r="X338" t="s">
        <v>131</v>
      </c>
      <c r="Y338" t="s">
        <v>51</v>
      </c>
      <c r="Z338" s="133">
        <v>2714121.61</v>
      </c>
      <c r="AA338" s="135">
        <v>1</v>
      </c>
      <c r="AB338" s="139">
        <v>118.97</v>
      </c>
      <c r="AD338" s="133">
        <v>3228.99</v>
      </c>
      <c r="AG338" t="s">
        <v>135</v>
      </c>
      <c r="AH338" s="137">
        <v>1.6930000000000001E-3</v>
      </c>
      <c r="AI338" s="137">
        <v>9.1071948343415202E-3</v>
      </c>
      <c r="AJ338" s="137">
        <v>1.6477390306146699E-3</v>
      </c>
    </row>
    <row r="339" spans="1:36">
      <c r="A339">
        <v>161</v>
      </c>
      <c r="B339">
        <v>9943</v>
      </c>
      <c r="C339" t="s">
        <v>2191</v>
      </c>
      <c r="D339" t="s">
        <v>2192</v>
      </c>
      <c r="E339" t="s">
        <v>41</v>
      </c>
      <c r="F339" t="s">
        <v>2209</v>
      </c>
      <c r="G339" t="s">
        <v>2210</v>
      </c>
      <c r="H339" t="s">
        <v>44</v>
      </c>
      <c r="I339" t="s">
        <v>1331</v>
      </c>
      <c r="J339" t="s">
        <v>45</v>
      </c>
      <c r="K339" t="s">
        <v>45</v>
      </c>
      <c r="L339" t="s">
        <v>46</v>
      </c>
      <c r="M339" t="s">
        <v>47</v>
      </c>
      <c r="N339" t="s">
        <v>58</v>
      </c>
      <c r="O339" t="s">
        <v>51</v>
      </c>
      <c r="P339" t="s">
        <v>1919</v>
      </c>
      <c r="Q339" t="s">
        <v>96</v>
      </c>
      <c r="R339" t="s">
        <v>97</v>
      </c>
      <c r="S339" t="s">
        <v>52</v>
      </c>
      <c r="T339" t="s">
        <v>2211</v>
      </c>
      <c r="U339" t="s">
        <v>2178</v>
      </c>
      <c r="V339" s="137">
        <v>2.5000000000000001E-3</v>
      </c>
      <c r="W339" s="137">
        <v>2.6980000000000001E-2</v>
      </c>
      <c r="X339" t="s">
        <v>131</v>
      </c>
      <c r="Y339" t="s">
        <v>51</v>
      </c>
      <c r="Z339" s="133">
        <v>1774322.22</v>
      </c>
      <c r="AA339" s="135">
        <v>1</v>
      </c>
      <c r="AB339" s="139">
        <v>105.05</v>
      </c>
      <c r="AD339" s="133">
        <v>1863.925</v>
      </c>
      <c r="AG339" t="s">
        <v>135</v>
      </c>
      <c r="AH339" s="137">
        <v>1.343E-3</v>
      </c>
      <c r="AI339" s="137">
        <v>5.2571020947719104E-3</v>
      </c>
      <c r="AJ339" s="137">
        <v>9.5115262899809398E-4</v>
      </c>
    </row>
    <row r="340" spans="1:36">
      <c r="A340">
        <v>161</v>
      </c>
      <c r="B340">
        <v>9943</v>
      </c>
      <c r="C340" t="s">
        <v>2191</v>
      </c>
      <c r="D340" t="s">
        <v>2192</v>
      </c>
      <c r="E340" t="s">
        <v>41</v>
      </c>
      <c r="F340" t="s">
        <v>2212</v>
      </c>
      <c r="G340" t="s">
        <v>2213</v>
      </c>
      <c r="H340" t="s">
        <v>44</v>
      </c>
      <c r="I340" t="s">
        <v>1331</v>
      </c>
      <c r="J340" t="s">
        <v>45</v>
      </c>
      <c r="K340" t="s">
        <v>45</v>
      </c>
      <c r="L340" t="s">
        <v>46</v>
      </c>
      <c r="M340" t="s">
        <v>47</v>
      </c>
      <c r="N340" t="s">
        <v>58</v>
      </c>
      <c r="O340" t="s">
        <v>51</v>
      </c>
      <c r="P340" t="s">
        <v>1919</v>
      </c>
      <c r="Q340" t="s">
        <v>96</v>
      </c>
      <c r="R340" t="s">
        <v>97</v>
      </c>
      <c r="S340" t="s">
        <v>52</v>
      </c>
      <c r="T340" t="s">
        <v>2214</v>
      </c>
      <c r="U340" t="s">
        <v>2215</v>
      </c>
      <c r="V340" s="137">
        <v>2.9499999999999998E-2</v>
      </c>
      <c r="W340" s="137">
        <v>2.5760000000000002E-2</v>
      </c>
      <c r="X340" t="s">
        <v>131</v>
      </c>
      <c r="Y340" t="s">
        <v>51</v>
      </c>
      <c r="Z340" s="133">
        <v>1350000</v>
      </c>
      <c r="AA340" s="135">
        <v>1</v>
      </c>
      <c r="AB340" s="139">
        <v>103.14</v>
      </c>
      <c r="AD340" s="133">
        <v>1392.39</v>
      </c>
      <c r="AG340" t="s">
        <v>135</v>
      </c>
      <c r="AH340" s="137">
        <v>3.0400000000000002E-3</v>
      </c>
      <c r="AI340" s="137">
        <v>3.92716147545852E-3</v>
      </c>
      <c r="AJ340" s="137">
        <v>7.1053023025691696E-4</v>
      </c>
    </row>
    <row r="341" spans="1:36">
      <c r="A341">
        <v>161</v>
      </c>
      <c r="B341">
        <v>9943</v>
      </c>
      <c r="C341" t="s">
        <v>2216</v>
      </c>
      <c r="D341" t="s">
        <v>2217</v>
      </c>
      <c r="E341" t="s">
        <v>41</v>
      </c>
      <c r="F341" t="s">
        <v>2222</v>
      </c>
      <c r="G341" t="s">
        <v>2223</v>
      </c>
      <c r="H341" t="s">
        <v>44</v>
      </c>
      <c r="I341" t="s">
        <v>1509</v>
      </c>
      <c r="J341" t="s">
        <v>45</v>
      </c>
      <c r="K341" t="s">
        <v>45</v>
      </c>
      <c r="L341" t="s">
        <v>46</v>
      </c>
      <c r="M341" t="s">
        <v>47</v>
      </c>
      <c r="N341" t="s">
        <v>1037</v>
      </c>
      <c r="O341" t="s">
        <v>51</v>
      </c>
      <c r="P341" t="s">
        <v>166</v>
      </c>
      <c r="Q341" t="s">
        <v>167</v>
      </c>
      <c r="R341" t="s">
        <v>97</v>
      </c>
      <c r="S341" t="s">
        <v>52</v>
      </c>
      <c r="T341" t="s">
        <v>2224</v>
      </c>
      <c r="U341" t="s">
        <v>2225</v>
      </c>
      <c r="V341" s="137">
        <v>5.1799999999999999E-2</v>
      </c>
      <c r="W341" s="137">
        <v>4.836E-2</v>
      </c>
      <c r="X341" t="s">
        <v>131</v>
      </c>
      <c r="Y341" t="s">
        <v>51</v>
      </c>
      <c r="Z341" s="133">
        <v>1300000</v>
      </c>
      <c r="AA341" s="135">
        <v>1</v>
      </c>
      <c r="AB341" s="139">
        <v>105.88</v>
      </c>
      <c r="AD341" s="133">
        <v>1376.44</v>
      </c>
      <c r="AG341" t="s">
        <v>135</v>
      </c>
      <c r="AH341" s="137">
        <v>1.6249999999999999E-3</v>
      </c>
      <c r="AI341" s="137">
        <v>3.8821753540891099E-3</v>
      </c>
      <c r="AJ341" s="137">
        <v>7.0239101841785103E-4</v>
      </c>
    </row>
    <row r="342" spans="1:36">
      <c r="A342">
        <v>161</v>
      </c>
      <c r="B342">
        <v>9943</v>
      </c>
      <c r="C342" t="s">
        <v>2427</v>
      </c>
      <c r="D342" t="s">
        <v>2428</v>
      </c>
      <c r="E342" t="s">
        <v>41</v>
      </c>
      <c r="F342" t="s">
        <v>2429</v>
      </c>
      <c r="G342" t="s">
        <v>2430</v>
      </c>
      <c r="H342" t="s">
        <v>44</v>
      </c>
      <c r="I342" t="s">
        <v>1509</v>
      </c>
      <c r="J342" t="s">
        <v>45</v>
      </c>
      <c r="K342" t="s">
        <v>45</v>
      </c>
      <c r="L342" t="s">
        <v>46</v>
      </c>
      <c r="M342" t="s">
        <v>47</v>
      </c>
      <c r="N342" t="s">
        <v>1037</v>
      </c>
      <c r="O342" t="s">
        <v>51</v>
      </c>
      <c r="P342" t="s">
        <v>183</v>
      </c>
      <c r="Q342" t="s">
        <v>167</v>
      </c>
      <c r="R342" t="s">
        <v>97</v>
      </c>
      <c r="S342" t="s">
        <v>52</v>
      </c>
      <c r="T342" t="s">
        <v>2408</v>
      </c>
      <c r="U342" t="s">
        <v>2409</v>
      </c>
      <c r="V342" s="137">
        <v>2.9399999999999999E-2</v>
      </c>
      <c r="W342" s="137">
        <v>3.9960000000000002E-2</v>
      </c>
      <c r="X342" t="s">
        <v>131</v>
      </c>
      <c r="Y342" t="s">
        <v>51</v>
      </c>
      <c r="Z342" s="133">
        <v>128404.72</v>
      </c>
      <c r="AA342" s="135">
        <v>1</v>
      </c>
      <c r="AB342" s="139">
        <v>100.97</v>
      </c>
      <c r="AD342" s="133">
        <v>129.65</v>
      </c>
      <c r="AG342" t="s">
        <v>135</v>
      </c>
      <c r="AH342" s="137">
        <v>2.3739999999999998E-3</v>
      </c>
      <c r="AI342" s="137">
        <v>3.6567157946168402E-4</v>
      </c>
      <c r="AJ342" s="137">
        <v>6.6159925731850607E-5</v>
      </c>
    </row>
    <row r="343" spans="1:36">
      <c r="A343">
        <v>161</v>
      </c>
      <c r="B343">
        <v>9943</v>
      </c>
      <c r="C343" t="s">
        <v>2226</v>
      </c>
      <c r="D343" t="s">
        <v>2227</v>
      </c>
      <c r="E343" t="s">
        <v>41</v>
      </c>
      <c r="F343" t="s">
        <v>2228</v>
      </c>
      <c r="G343" t="s">
        <v>2229</v>
      </c>
      <c r="H343" t="s">
        <v>44</v>
      </c>
      <c r="I343" t="s">
        <v>1331</v>
      </c>
      <c r="J343" t="s">
        <v>45</v>
      </c>
      <c r="K343" t="s">
        <v>45</v>
      </c>
      <c r="L343" t="s">
        <v>46</v>
      </c>
      <c r="M343" t="s">
        <v>47</v>
      </c>
      <c r="N343" t="s">
        <v>58</v>
      </c>
      <c r="O343" t="s">
        <v>51</v>
      </c>
      <c r="P343" t="s">
        <v>227</v>
      </c>
      <c r="Q343" t="s">
        <v>96</v>
      </c>
      <c r="R343" t="s">
        <v>97</v>
      </c>
      <c r="S343" t="s">
        <v>52</v>
      </c>
      <c r="T343" t="s">
        <v>2230</v>
      </c>
      <c r="U343" t="s">
        <v>2231</v>
      </c>
      <c r="V343" s="137">
        <v>1.34E-2</v>
      </c>
      <c r="W343" s="137">
        <v>2.4719999999999999E-2</v>
      </c>
      <c r="X343" t="s">
        <v>131</v>
      </c>
      <c r="Y343" t="s">
        <v>51</v>
      </c>
      <c r="Z343" s="133">
        <v>651939.26</v>
      </c>
      <c r="AA343" s="135">
        <v>1</v>
      </c>
      <c r="AB343" s="139">
        <v>116.87</v>
      </c>
      <c r="AD343" s="133">
        <v>761.92100000000005</v>
      </c>
      <c r="AG343" t="s">
        <v>135</v>
      </c>
      <c r="AH343" s="137">
        <v>3.28E-4</v>
      </c>
      <c r="AI343" s="137">
        <v>2.14895856843034E-3</v>
      </c>
      <c r="AJ343" s="137">
        <v>3.88805002285044E-4</v>
      </c>
    </row>
    <row r="344" spans="1:36">
      <c r="A344">
        <v>161</v>
      </c>
      <c r="B344">
        <v>9943</v>
      </c>
      <c r="C344" t="s">
        <v>2226</v>
      </c>
      <c r="D344" t="s">
        <v>2227</v>
      </c>
      <c r="E344" t="s">
        <v>41</v>
      </c>
      <c r="F344" t="s">
        <v>2232</v>
      </c>
      <c r="G344" t="s">
        <v>2233</v>
      </c>
      <c r="H344" t="s">
        <v>44</v>
      </c>
      <c r="I344" t="s">
        <v>1331</v>
      </c>
      <c r="J344" t="s">
        <v>45</v>
      </c>
      <c r="K344" t="s">
        <v>45</v>
      </c>
      <c r="L344" t="s">
        <v>46</v>
      </c>
      <c r="M344" t="s">
        <v>47</v>
      </c>
      <c r="N344" t="s">
        <v>58</v>
      </c>
      <c r="O344" t="s">
        <v>51</v>
      </c>
      <c r="P344" t="s">
        <v>227</v>
      </c>
      <c r="Q344" t="s">
        <v>96</v>
      </c>
      <c r="R344" t="s">
        <v>97</v>
      </c>
      <c r="S344" t="s">
        <v>52</v>
      </c>
      <c r="T344" t="s">
        <v>2234</v>
      </c>
      <c r="U344" t="s">
        <v>2235</v>
      </c>
      <c r="V344" s="137">
        <v>8.9999999999999993E-3</v>
      </c>
      <c r="W344" s="137">
        <v>2.6929999999999999E-2</v>
      </c>
      <c r="X344" t="s">
        <v>131</v>
      </c>
      <c r="Y344" t="s">
        <v>51</v>
      </c>
      <c r="Z344" s="133">
        <v>900000</v>
      </c>
      <c r="AA344" s="135">
        <v>1</v>
      </c>
      <c r="AB344" s="139">
        <v>105.15</v>
      </c>
      <c r="AD344" s="133">
        <v>946.35</v>
      </c>
      <c r="AG344" t="s">
        <v>135</v>
      </c>
      <c r="AH344" s="137">
        <v>3.3399999999999999E-4</v>
      </c>
      <c r="AI344" s="137">
        <v>2.6691295271441002E-3</v>
      </c>
      <c r="AJ344" s="137">
        <v>4.8291806419439501E-4</v>
      </c>
    </row>
    <row r="345" spans="1:36">
      <c r="A345">
        <v>161</v>
      </c>
      <c r="B345">
        <v>9943</v>
      </c>
      <c r="C345" t="s">
        <v>2236</v>
      </c>
      <c r="D345" t="s">
        <v>2237</v>
      </c>
      <c r="E345" t="s">
        <v>41</v>
      </c>
      <c r="F345" t="s">
        <v>2242</v>
      </c>
      <c r="G345" t="s">
        <v>2243</v>
      </c>
      <c r="H345" t="s">
        <v>44</v>
      </c>
      <c r="I345" t="s">
        <v>1331</v>
      </c>
      <c r="J345" t="s">
        <v>45</v>
      </c>
      <c r="K345" t="s">
        <v>45</v>
      </c>
      <c r="L345" t="s">
        <v>46</v>
      </c>
      <c r="M345" t="s">
        <v>47</v>
      </c>
      <c r="N345" t="s">
        <v>221</v>
      </c>
      <c r="O345" t="s">
        <v>51</v>
      </c>
      <c r="P345" t="s">
        <v>95</v>
      </c>
      <c r="Q345" t="s">
        <v>96</v>
      </c>
      <c r="R345" t="s">
        <v>97</v>
      </c>
      <c r="S345" t="s">
        <v>52</v>
      </c>
      <c r="T345" t="s">
        <v>2244</v>
      </c>
      <c r="U345" t="s">
        <v>2241</v>
      </c>
      <c r="V345" s="137">
        <v>1E-3</v>
      </c>
      <c r="W345" s="137">
        <v>2.3619999999999999E-2</v>
      </c>
      <c r="X345" t="s">
        <v>131</v>
      </c>
      <c r="Y345" t="s">
        <v>51</v>
      </c>
      <c r="Z345" s="133">
        <v>2227596.79</v>
      </c>
      <c r="AA345" s="135">
        <v>1</v>
      </c>
      <c r="AB345" s="139">
        <v>107.18</v>
      </c>
      <c r="AD345" s="133">
        <v>2387.538</v>
      </c>
      <c r="AG345" t="s">
        <v>135</v>
      </c>
      <c r="AH345" s="137">
        <v>2.6410000000000001E-3</v>
      </c>
      <c r="AI345" s="137">
        <v>6.7339238255336997E-3</v>
      </c>
      <c r="AJ345" s="137">
        <v>1.2183498122471199E-3</v>
      </c>
    </row>
    <row r="346" spans="1:36">
      <c r="A346">
        <v>161</v>
      </c>
      <c r="B346">
        <v>9943</v>
      </c>
      <c r="C346" t="s">
        <v>2236</v>
      </c>
      <c r="D346" t="s">
        <v>2237</v>
      </c>
      <c r="E346" t="s">
        <v>41</v>
      </c>
      <c r="F346" t="s">
        <v>2245</v>
      </c>
      <c r="G346" t="s">
        <v>2246</v>
      </c>
      <c r="H346" t="s">
        <v>44</v>
      </c>
      <c r="I346" t="s">
        <v>1331</v>
      </c>
      <c r="J346" t="s">
        <v>45</v>
      </c>
      <c r="K346" t="s">
        <v>45</v>
      </c>
      <c r="L346" t="s">
        <v>46</v>
      </c>
      <c r="M346" t="s">
        <v>47</v>
      </c>
      <c r="N346" t="s">
        <v>221</v>
      </c>
      <c r="O346" t="s">
        <v>51</v>
      </c>
      <c r="P346" t="s">
        <v>95</v>
      </c>
      <c r="Q346" t="s">
        <v>96</v>
      </c>
      <c r="R346" t="s">
        <v>97</v>
      </c>
      <c r="S346" t="s">
        <v>52</v>
      </c>
      <c r="T346" t="s">
        <v>2247</v>
      </c>
      <c r="U346" t="s">
        <v>2248</v>
      </c>
      <c r="V346" s="137">
        <v>1.3899999999999999E-2</v>
      </c>
      <c r="W346" s="137">
        <v>2.4320000000000001E-2</v>
      </c>
      <c r="X346" t="s">
        <v>131</v>
      </c>
      <c r="Y346" t="s">
        <v>51</v>
      </c>
      <c r="Z346" s="133">
        <v>2609962.79</v>
      </c>
      <c r="AA346" s="135">
        <v>1</v>
      </c>
      <c r="AB346" s="139">
        <v>106.02</v>
      </c>
      <c r="AD346" s="133">
        <v>2767.0830000000001</v>
      </c>
      <c r="AG346" t="s">
        <v>135</v>
      </c>
      <c r="AH346" s="137">
        <v>8.4199999999999998E-4</v>
      </c>
      <c r="AI346" s="137">
        <v>7.8044082402262197E-3</v>
      </c>
      <c r="AJ346" s="137">
        <v>1.4120295329337E-3</v>
      </c>
    </row>
    <row r="347" spans="1:36">
      <c r="A347">
        <v>161</v>
      </c>
      <c r="B347">
        <v>9943</v>
      </c>
      <c r="C347" t="s">
        <v>2236</v>
      </c>
      <c r="D347" t="s">
        <v>2237</v>
      </c>
      <c r="E347" t="s">
        <v>41</v>
      </c>
      <c r="F347" t="s">
        <v>2249</v>
      </c>
      <c r="G347" t="s">
        <v>2250</v>
      </c>
      <c r="H347" t="s">
        <v>44</v>
      </c>
      <c r="I347" t="s">
        <v>1331</v>
      </c>
      <c r="J347" t="s">
        <v>45</v>
      </c>
      <c r="K347" t="s">
        <v>45</v>
      </c>
      <c r="L347" t="s">
        <v>46</v>
      </c>
      <c r="M347" t="s">
        <v>47</v>
      </c>
      <c r="N347" t="s">
        <v>221</v>
      </c>
      <c r="O347" t="s">
        <v>51</v>
      </c>
      <c r="P347" t="s">
        <v>95</v>
      </c>
      <c r="Q347" t="s">
        <v>96</v>
      </c>
      <c r="R347" t="s">
        <v>97</v>
      </c>
      <c r="S347" t="s">
        <v>52</v>
      </c>
      <c r="T347" t="s">
        <v>2251</v>
      </c>
      <c r="U347" t="s">
        <v>2252</v>
      </c>
      <c r="V347" s="137">
        <v>6.0000000000000001E-3</v>
      </c>
      <c r="W347" s="137">
        <v>1.687E-2</v>
      </c>
      <c r="X347" t="s">
        <v>131</v>
      </c>
      <c r="Y347" t="s">
        <v>51</v>
      </c>
      <c r="Z347" s="133">
        <v>309770.25</v>
      </c>
      <c r="AA347" s="135">
        <v>1</v>
      </c>
      <c r="AB347" s="139">
        <v>118.2</v>
      </c>
      <c r="AD347" s="133">
        <v>366.14800000000002</v>
      </c>
      <c r="AG347" t="s">
        <v>135</v>
      </c>
      <c r="AH347" s="137">
        <v>4.64E-4</v>
      </c>
      <c r="AI347" s="137">
        <v>1.0327020663715E-3</v>
      </c>
      <c r="AJ347" s="137">
        <v>1.8684386715218099E-4</v>
      </c>
    </row>
    <row r="348" spans="1:36">
      <c r="A348">
        <v>161</v>
      </c>
      <c r="B348">
        <v>9943</v>
      </c>
      <c r="C348" t="s">
        <v>2236</v>
      </c>
      <c r="D348" t="s">
        <v>2237</v>
      </c>
      <c r="E348" t="s">
        <v>41</v>
      </c>
      <c r="F348" t="s">
        <v>2253</v>
      </c>
      <c r="G348" t="s">
        <v>2254</v>
      </c>
      <c r="H348" t="s">
        <v>44</v>
      </c>
      <c r="I348" t="s">
        <v>1331</v>
      </c>
      <c r="J348" t="s">
        <v>45</v>
      </c>
      <c r="K348" t="s">
        <v>45</v>
      </c>
      <c r="L348" t="s">
        <v>46</v>
      </c>
      <c r="M348" t="s">
        <v>47</v>
      </c>
      <c r="N348" t="s">
        <v>221</v>
      </c>
      <c r="O348" t="s">
        <v>51</v>
      </c>
      <c r="P348" t="s">
        <v>95</v>
      </c>
      <c r="Q348" t="s">
        <v>96</v>
      </c>
      <c r="R348" t="s">
        <v>97</v>
      </c>
      <c r="S348" t="s">
        <v>52</v>
      </c>
      <c r="T348" t="s">
        <v>2255</v>
      </c>
      <c r="U348" t="s">
        <v>2256</v>
      </c>
      <c r="V348" s="137">
        <v>1.7500000000000002E-2</v>
      </c>
      <c r="W348" s="137">
        <v>2.359E-2</v>
      </c>
      <c r="X348" t="s">
        <v>131</v>
      </c>
      <c r="Y348" t="s">
        <v>51</v>
      </c>
      <c r="Z348" s="133">
        <v>2488451.5499999998</v>
      </c>
      <c r="AA348" s="135">
        <v>1</v>
      </c>
      <c r="AB348" s="139">
        <v>116.01</v>
      </c>
      <c r="AD348" s="133">
        <v>2886.8530000000001</v>
      </c>
      <c r="AG348" t="s">
        <v>135</v>
      </c>
      <c r="AH348" s="137">
        <v>1.3389999999999999E-3</v>
      </c>
      <c r="AI348" s="137">
        <v>8.1422133780937305E-3</v>
      </c>
      <c r="AJ348" s="137">
        <v>1.4731476621196E-3</v>
      </c>
    </row>
    <row r="349" spans="1:36">
      <c r="A349">
        <v>161</v>
      </c>
      <c r="B349">
        <v>9943</v>
      </c>
      <c r="C349" t="s">
        <v>2236</v>
      </c>
      <c r="D349" t="s">
        <v>2237</v>
      </c>
      <c r="E349" t="s">
        <v>41</v>
      </c>
      <c r="F349" t="s">
        <v>2257</v>
      </c>
      <c r="G349" t="s">
        <v>2258</v>
      </c>
      <c r="H349" t="s">
        <v>44</v>
      </c>
      <c r="I349" t="s">
        <v>1331</v>
      </c>
      <c r="J349" t="s">
        <v>45</v>
      </c>
      <c r="K349" t="s">
        <v>45</v>
      </c>
      <c r="L349" t="s">
        <v>46</v>
      </c>
      <c r="M349" t="s">
        <v>47</v>
      </c>
      <c r="N349" t="s">
        <v>221</v>
      </c>
      <c r="O349" t="s">
        <v>51</v>
      </c>
      <c r="P349" t="s">
        <v>95</v>
      </c>
      <c r="Q349" t="s">
        <v>96</v>
      </c>
      <c r="R349" t="s">
        <v>97</v>
      </c>
      <c r="S349" t="s">
        <v>52</v>
      </c>
      <c r="T349" t="s">
        <v>2259</v>
      </c>
      <c r="U349" t="s">
        <v>2260</v>
      </c>
      <c r="V349" s="137">
        <v>2.6100000000000002E-2</v>
      </c>
      <c r="W349" s="137">
        <v>2.5270000000000001E-2</v>
      </c>
      <c r="X349" t="s">
        <v>131</v>
      </c>
      <c r="Y349" t="s">
        <v>51</v>
      </c>
      <c r="Z349" s="133">
        <v>2700000</v>
      </c>
      <c r="AA349" s="135">
        <v>1</v>
      </c>
      <c r="AB349" s="139">
        <v>101.96</v>
      </c>
      <c r="AD349" s="133">
        <v>2752.92</v>
      </c>
      <c r="AG349" t="s">
        <v>135</v>
      </c>
      <c r="AH349" s="137">
        <v>7.9000000000000001E-4</v>
      </c>
      <c r="AI349" s="137">
        <v>7.7644635260374403E-3</v>
      </c>
      <c r="AJ349" s="137">
        <v>1.4048024486522301E-3</v>
      </c>
    </row>
    <row r="350" spans="1:36">
      <c r="A350">
        <v>161</v>
      </c>
      <c r="B350">
        <v>9943</v>
      </c>
      <c r="C350" t="s">
        <v>2236</v>
      </c>
      <c r="D350" t="s">
        <v>2237</v>
      </c>
      <c r="E350" t="s">
        <v>41</v>
      </c>
      <c r="F350" t="s">
        <v>2261</v>
      </c>
      <c r="G350" t="s">
        <v>2262</v>
      </c>
      <c r="H350" t="s">
        <v>44</v>
      </c>
      <c r="I350" t="s">
        <v>1331</v>
      </c>
      <c r="J350" t="s">
        <v>45</v>
      </c>
      <c r="K350" t="s">
        <v>45</v>
      </c>
      <c r="L350" t="s">
        <v>46</v>
      </c>
      <c r="M350" t="s">
        <v>47</v>
      </c>
      <c r="N350" t="s">
        <v>221</v>
      </c>
      <c r="O350" t="s">
        <v>51</v>
      </c>
      <c r="P350" t="s">
        <v>1936</v>
      </c>
      <c r="Q350" t="s">
        <v>96</v>
      </c>
      <c r="R350" t="s">
        <v>97</v>
      </c>
      <c r="S350" t="s">
        <v>52</v>
      </c>
      <c r="T350" t="s">
        <v>2263</v>
      </c>
      <c r="U350" t="s">
        <v>2264</v>
      </c>
      <c r="V350" s="137">
        <v>3.4500000000000003E-2</v>
      </c>
      <c r="W350" s="137">
        <v>2.7990000000000001E-2</v>
      </c>
      <c r="X350" t="s">
        <v>131</v>
      </c>
      <c r="Y350" t="s">
        <v>51</v>
      </c>
      <c r="Z350" s="133">
        <v>1700000</v>
      </c>
      <c r="AA350" s="135">
        <v>1</v>
      </c>
      <c r="AB350" s="139">
        <v>107.05</v>
      </c>
      <c r="AD350" s="133">
        <v>1819.85</v>
      </c>
      <c r="AG350" t="s">
        <v>135</v>
      </c>
      <c r="AH350" s="137">
        <v>1.155E-3</v>
      </c>
      <c r="AI350" s="137">
        <v>5.1327895281589198E-3</v>
      </c>
      <c r="AJ350" s="137">
        <v>9.2866110754390001E-4</v>
      </c>
    </row>
    <row r="351" spans="1:36">
      <c r="A351">
        <v>161</v>
      </c>
      <c r="B351">
        <v>9943</v>
      </c>
      <c r="C351" t="s">
        <v>2265</v>
      </c>
      <c r="D351" t="s">
        <v>2266</v>
      </c>
      <c r="E351" t="s">
        <v>41</v>
      </c>
      <c r="F351" t="s">
        <v>2267</v>
      </c>
      <c r="G351" t="s">
        <v>2268</v>
      </c>
      <c r="H351" t="s">
        <v>44</v>
      </c>
      <c r="I351" t="s">
        <v>1509</v>
      </c>
      <c r="J351" t="s">
        <v>45</v>
      </c>
      <c r="K351" t="s">
        <v>45</v>
      </c>
      <c r="L351" t="s">
        <v>46</v>
      </c>
      <c r="M351" t="s">
        <v>47</v>
      </c>
      <c r="N351" s="125" t="s">
        <v>1061</v>
      </c>
      <c r="O351" t="s">
        <v>51</v>
      </c>
      <c r="P351" t="s">
        <v>1936</v>
      </c>
      <c r="Q351" t="s">
        <v>96</v>
      </c>
      <c r="R351" t="s">
        <v>97</v>
      </c>
      <c r="S351" t="s">
        <v>52</v>
      </c>
      <c r="T351" t="s">
        <v>2269</v>
      </c>
      <c r="U351" t="s">
        <v>2270</v>
      </c>
      <c r="V351" s="137">
        <v>2.29E-2</v>
      </c>
      <c r="W351" s="137">
        <v>5.0180000000000002E-2</v>
      </c>
      <c r="X351" t="s">
        <v>131</v>
      </c>
      <c r="Y351" t="s">
        <v>51</v>
      </c>
      <c r="Z351" s="133">
        <v>136994.85999999999</v>
      </c>
      <c r="AA351" s="135">
        <v>1</v>
      </c>
      <c r="AB351" s="139">
        <v>99.05</v>
      </c>
      <c r="AD351" s="133">
        <v>135.69300000000001</v>
      </c>
      <c r="AG351" t="s">
        <v>135</v>
      </c>
      <c r="AH351" s="137">
        <v>8.2700000000000004E-4</v>
      </c>
      <c r="AI351" s="137">
        <v>3.8271599740792399E-4</v>
      </c>
      <c r="AJ351" s="137">
        <v>6.9243724114885797E-5</v>
      </c>
    </row>
    <row r="352" spans="1:36">
      <c r="A352">
        <v>161</v>
      </c>
      <c r="B352">
        <v>9943</v>
      </c>
      <c r="C352" t="s">
        <v>2431</v>
      </c>
      <c r="D352" t="s">
        <v>2432</v>
      </c>
      <c r="E352" t="s">
        <v>41</v>
      </c>
      <c r="F352" t="s">
        <v>2433</v>
      </c>
      <c r="G352" t="s">
        <v>2434</v>
      </c>
      <c r="H352" t="s">
        <v>44</v>
      </c>
      <c r="I352" t="s">
        <v>1331</v>
      </c>
      <c r="J352" t="s">
        <v>45</v>
      </c>
      <c r="K352" t="s">
        <v>45</v>
      </c>
      <c r="L352" t="s">
        <v>46</v>
      </c>
      <c r="M352" t="s">
        <v>47</v>
      </c>
      <c r="N352" t="s">
        <v>58</v>
      </c>
      <c r="O352" t="s">
        <v>51</v>
      </c>
      <c r="P352" t="s">
        <v>1919</v>
      </c>
      <c r="Q352" t="s">
        <v>96</v>
      </c>
      <c r="R352" t="s">
        <v>97</v>
      </c>
      <c r="S352" t="s">
        <v>52</v>
      </c>
      <c r="T352" t="s">
        <v>2435</v>
      </c>
      <c r="U352" t="s">
        <v>2436</v>
      </c>
      <c r="V352" s="137">
        <v>2.1499999999999998E-2</v>
      </c>
      <c r="W352" s="137">
        <v>1.7250000000000001E-2</v>
      </c>
      <c r="X352" t="s">
        <v>131</v>
      </c>
      <c r="Y352" t="s">
        <v>51</v>
      </c>
      <c r="Z352" s="133">
        <v>349999.99</v>
      </c>
      <c r="AA352" s="135">
        <v>1</v>
      </c>
      <c r="AB352" s="139">
        <v>120.7</v>
      </c>
      <c r="AD352" s="133">
        <v>422.45</v>
      </c>
      <c r="AG352" t="s">
        <v>135</v>
      </c>
      <c r="AH352" s="137">
        <v>5.0000000000000001E-4</v>
      </c>
      <c r="AI352" s="137">
        <v>1.1914975817885901E-3</v>
      </c>
      <c r="AJ352" s="137">
        <v>2.1557429110804799E-4</v>
      </c>
    </row>
    <row r="353" spans="1:36">
      <c r="A353">
        <v>161</v>
      </c>
      <c r="B353">
        <v>9943</v>
      </c>
      <c r="C353" t="s">
        <v>2431</v>
      </c>
      <c r="D353" t="s">
        <v>2432</v>
      </c>
      <c r="E353" t="s">
        <v>41</v>
      </c>
      <c r="F353" t="s">
        <v>2437</v>
      </c>
      <c r="G353" t="s">
        <v>2438</v>
      </c>
      <c r="H353" t="s">
        <v>44</v>
      </c>
      <c r="I353" t="s">
        <v>1331</v>
      </c>
      <c r="J353" t="s">
        <v>45</v>
      </c>
      <c r="K353" t="s">
        <v>45</v>
      </c>
      <c r="L353" t="s">
        <v>46</v>
      </c>
      <c r="M353" t="s">
        <v>47</v>
      </c>
      <c r="N353" t="s">
        <v>58</v>
      </c>
      <c r="O353" t="s">
        <v>51</v>
      </c>
      <c r="P353" t="s">
        <v>1919</v>
      </c>
      <c r="Q353" t="s">
        <v>96</v>
      </c>
      <c r="R353" t="s">
        <v>97</v>
      </c>
      <c r="S353" t="s">
        <v>52</v>
      </c>
      <c r="T353" t="s">
        <v>2439</v>
      </c>
      <c r="U353" t="s">
        <v>2436</v>
      </c>
      <c r="V353" s="137">
        <v>1.6E-2</v>
      </c>
      <c r="W353" s="137">
        <v>2.0709999999999999E-2</v>
      </c>
      <c r="X353" t="s">
        <v>131</v>
      </c>
      <c r="Y353" t="s">
        <v>51</v>
      </c>
      <c r="Z353" s="133">
        <v>114519.34</v>
      </c>
      <c r="AA353" s="135">
        <v>1</v>
      </c>
      <c r="AB353" s="139">
        <v>119.78</v>
      </c>
      <c r="AD353" s="133">
        <v>137.17099999999999</v>
      </c>
      <c r="AG353" t="s">
        <v>135</v>
      </c>
      <c r="AH353" s="137">
        <v>7.8899999999999999E-4</v>
      </c>
      <c r="AI353" s="137">
        <v>3.8688421291663202E-4</v>
      </c>
      <c r="AJ353" s="137">
        <v>6.99978675703232E-5</v>
      </c>
    </row>
    <row r="354" spans="1:36">
      <c r="A354">
        <v>161</v>
      </c>
      <c r="B354">
        <v>9943</v>
      </c>
      <c r="C354" t="s">
        <v>2283</v>
      </c>
      <c r="D354" t="s">
        <v>2284</v>
      </c>
      <c r="E354" t="s">
        <v>41</v>
      </c>
      <c r="F354" t="s">
        <v>2285</v>
      </c>
      <c r="G354" t="s">
        <v>2286</v>
      </c>
      <c r="H354" t="s">
        <v>44</v>
      </c>
      <c r="I354" t="s">
        <v>1331</v>
      </c>
      <c r="J354" t="s">
        <v>45</v>
      </c>
      <c r="K354" t="s">
        <v>45</v>
      </c>
      <c r="L354" t="s">
        <v>46</v>
      </c>
      <c r="M354" t="s">
        <v>47</v>
      </c>
      <c r="N354" t="s">
        <v>58</v>
      </c>
      <c r="O354" t="s">
        <v>51</v>
      </c>
      <c r="P354" t="s">
        <v>1919</v>
      </c>
      <c r="Q354" t="s">
        <v>96</v>
      </c>
      <c r="R354" t="s">
        <v>97</v>
      </c>
      <c r="S354" t="s">
        <v>52</v>
      </c>
      <c r="T354" t="s">
        <v>2287</v>
      </c>
      <c r="U354" t="s">
        <v>2288</v>
      </c>
      <c r="V354" s="137">
        <v>2.5000000000000001E-2</v>
      </c>
      <c r="W354" s="137">
        <v>2.7720000000000002E-2</v>
      </c>
      <c r="X354" t="s">
        <v>131</v>
      </c>
      <c r="Y354" t="s">
        <v>51</v>
      </c>
      <c r="Z354" s="133">
        <v>280477.05</v>
      </c>
      <c r="AA354" s="135">
        <v>1</v>
      </c>
      <c r="AB354" s="139">
        <v>116.35</v>
      </c>
      <c r="AD354" s="133">
        <v>326.33499999999998</v>
      </c>
      <c r="AG354" t="s">
        <v>135</v>
      </c>
      <c r="AH354" s="137">
        <v>2.0799999999999999E-4</v>
      </c>
      <c r="AI354" s="137">
        <v>9.2041053679010898E-4</v>
      </c>
      <c r="AJ354" s="137">
        <v>1.6652727796480899E-4</v>
      </c>
    </row>
    <row r="355" spans="1:36">
      <c r="A355">
        <v>161</v>
      </c>
      <c r="B355">
        <v>9943</v>
      </c>
      <c r="C355" t="s">
        <v>2440</v>
      </c>
      <c r="D355" t="s">
        <v>2441</v>
      </c>
      <c r="E355" t="s">
        <v>41</v>
      </c>
      <c r="F355" t="s">
        <v>2442</v>
      </c>
      <c r="G355" t="s">
        <v>2443</v>
      </c>
      <c r="H355" t="s">
        <v>44</v>
      </c>
      <c r="I355" t="s">
        <v>1331</v>
      </c>
      <c r="J355" t="s">
        <v>45</v>
      </c>
      <c r="K355" t="s">
        <v>45</v>
      </c>
      <c r="L355" t="s">
        <v>46</v>
      </c>
      <c r="M355" t="s">
        <v>47</v>
      </c>
      <c r="N355" t="s">
        <v>1038</v>
      </c>
      <c r="O355" t="s">
        <v>51</v>
      </c>
      <c r="P355" t="s">
        <v>158</v>
      </c>
      <c r="Q355" t="s">
        <v>96</v>
      </c>
      <c r="R355" t="s">
        <v>97</v>
      </c>
      <c r="S355" t="s">
        <v>52</v>
      </c>
      <c r="T355" t="s">
        <v>2444</v>
      </c>
      <c r="U355" t="s">
        <v>2445</v>
      </c>
      <c r="V355" s="137">
        <v>3.9E-2</v>
      </c>
      <c r="W355" s="137">
        <v>2.8209999999999999E-2</v>
      </c>
      <c r="X355" t="s">
        <v>131</v>
      </c>
      <c r="Y355" t="s">
        <v>51</v>
      </c>
      <c r="Z355" s="133">
        <v>673297.72</v>
      </c>
      <c r="AA355" s="135">
        <v>1</v>
      </c>
      <c r="AB355" s="139">
        <v>122.33</v>
      </c>
      <c r="AD355" s="133">
        <v>823.64499999999998</v>
      </c>
      <c r="AG355" t="s">
        <v>135</v>
      </c>
      <c r="AH355" s="137">
        <v>4.8799999999999999E-4</v>
      </c>
      <c r="AI355" s="137">
        <v>2.3230469262278401E-3</v>
      </c>
      <c r="AJ355" s="137">
        <v>4.2030231700558498E-4</v>
      </c>
    </row>
    <row r="356" spans="1:36">
      <c r="A356">
        <v>161</v>
      </c>
      <c r="B356">
        <v>9943</v>
      </c>
      <c r="C356" t="s">
        <v>2289</v>
      </c>
      <c r="D356" t="s">
        <v>2290</v>
      </c>
      <c r="E356" t="s">
        <v>41</v>
      </c>
      <c r="F356" t="s">
        <v>2291</v>
      </c>
      <c r="G356" t="s">
        <v>2292</v>
      </c>
      <c r="H356" t="s">
        <v>44</v>
      </c>
      <c r="I356" t="s">
        <v>1509</v>
      </c>
      <c r="J356" t="s">
        <v>45</v>
      </c>
      <c r="K356" t="s">
        <v>45</v>
      </c>
      <c r="L356" t="s">
        <v>46</v>
      </c>
      <c r="M356" t="s">
        <v>47</v>
      </c>
      <c r="N356" t="s">
        <v>1034</v>
      </c>
      <c r="O356" t="s">
        <v>51</v>
      </c>
      <c r="P356" t="s">
        <v>175</v>
      </c>
      <c r="Q356" t="s">
        <v>167</v>
      </c>
      <c r="R356" t="s">
        <v>97</v>
      </c>
      <c r="S356" t="s">
        <v>52</v>
      </c>
      <c r="T356" t="s">
        <v>2293</v>
      </c>
      <c r="U356" t="s">
        <v>2294</v>
      </c>
      <c r="V356" s="137">
        <v>6.7699999999999996E-2</v>
      </c>
      <c r="W356" s="137">
        <v>5.0470000000000001E-2</v>
      </c>
      <c r="X356" t="s">
        <v>131</v>
      </c>
      <c r="Y356" t="s">
        <v>51</v>
      </c>
      <c r="Z356" s="133">
        <v>4130000</v>
      </c>
      <c r="AA356" s="135">
        <v>1</v>
      </c>
      <c r="AB356" s="139">
        <v>108.24</v>
      </c>
      <c r="AD356" s="133">
        <v>4470.3119999999999</v>
      </c>
      <c r="AG356" t="s">
        <v>135</v>
      </c>
      <c r="AH356" s="137">
        <v>6.1190000000000003E-3</v>
      </c>
      <c r="AI356" s="137">
        <v>1.2608275748662299E-2</v>
      </c>
      <c r="AJ356" s="137">
        <v>2.28117970875995E-3</v>
      </c>
    </row>
    <row r="357" spans="1:36">
      <c r="A357">
        <v>161</v>
      </c>
      <c r="B357">
        <v>9943</v>
      </c>
      <c r="C357" t="s">
        <v>2446</v>
      </c>
      <c r="D357" t="s">
        <v>2447</v>
      </c>
      <c r="E357" t="s">
        <v>41</v>
      </c>
      <c r="F357" t="s">
        <v>2448</v>
      </c>
      <c r="G357" t="s">
        <v>2449</v>
      </c>
      <c r="H357" t="s">
        <v>44</v>
      </c>
      <c r="I357" t="s">
        <v>1509</v>
      </c>
      <c r="J357" t="s">
        <v>45</v>
      </c>
      <c r="K357" t="s">
        <v>45</v>
      </c>
      <c r="L357" t="s">
        <v>46</v>
      </c>
      <c r="M357" t="s">
        <v>47</v>
      </c>
      <c r="N357" t="s">
        <v>1038</v>
      </c>
      <c r="O357" t="s">
        <v>51</v>
      </c>
      <c r="P357" t="s">
        <v>1912</v>
      </c>
      <c r="Q357" t="s">
        <v>167</v>
      </c>
      <c r="R357" t="s">
        <v>97</v>
      </c>
      <c r="S357" t="s">
        <v>52</v>
      </c>
      <c r="T357" t="s">
        <v>2450</v>
      </c>
      <c r="U357" t="s">
        <v>2451</v>
      </c>
      <c r="V357" s="137">
        <v>3.5000000000000003E-2</v>
      </c>
      <c r="W357" s="137">
        <v>5.2080000000000001E-2</v>
      </c>
      <c r="X357" t="s">
        <v>131</v>
      </c>
      <c r="Y357" t="s">
        <v>51</v>
      </c>
      <c r="Z357" s="133">
        <v>43467.86</v>
      </c>
      <c r="AA357" s="135">
        <v>1</v>
      </c>
      <c r="AB357" s="139">
        <v>98.46</v>
      </c>
      <c r="AD357" s="133">
        <v>42.798000000000002</v>
      </c>
      <c r="AG357" t="s">
        <v>135</v>
      </c>
      <c r="AH357" s="137">
        <v>5.2099999999999998E-4</v>
      </c>
      <c r="AI357" s="137">
        <v>1.20710751666092E-4</v>
      </c>
      <c r="AJ357" s="137">
        <v>2.1839855252139798E-5</v>
      </c>
    </row>
    <row r="358" spans="1:36">
      <c r="A358">
        <v>161</v>
      </c>
      <c r="B358">
        <v>9943</v>
      </c>
      <c r="C358" t="s">
        <v>2446</v>
      </c>
      <c r="D358" t="s">
        <v>2447</v>
      </c>
      <c r="E358" t="s">
        <v>41</v>
      </c>
      <c r="F358" t="s">
        <v>2452</v>
      </c>
      <c r="G358" t="s">
        <v>2453</v>
      </c>
      <c r="H358" t="s">
        <v>44</v>
      </c>
      <c r="I358" t="s">
        <v>1331</v>
      </c>
      <c r="J358" t="s">
        <v>45</v>
      </c>
      <c r="K358" t="s">
        <v>45</v>
      </c>
      <c r="L358" t="s">
        <v>46</v>
      </c>
      <c r="M358" t="s">
        <v>47</v>
      </c>
      <c r="N358" t="s">
        <v>1038</v>
      </c>
      <c r="O358" t="s">
        <v>51</v>
      </c>
      <c r="P358" t="s">
        <v>1912</v>
      </c>
      <c r="Q358" t="s">
        <v>167</v>
      </c>
      <c r="R358" t="s">
        <v>97</v>
      </c>
      <c r="S358" t="s">
        <v>52</v>
      </c>
      <c r="T358" t="s">
        <v>2454</v>
      </c>
      <c r="U358" t="s">
        <v>2455</v>
      </c>
      <c r="V358" s="137">
        <v>3.85E-2</v>
      </c>
      <c r="W358" s="137">
        <v>2.5000000000000001E-2</v>
      </c>
      <c r="X358" t="s">
        <v>131</v>
      </c>
      <c r="Y358" t="s">
        <v>51</v>
      </c>
      <c r="Z358" s="133">
        <v>100568</v>
      </c>
      <c r="AA358" s="135">
        <v>1</v>
      </c>
      <c r="AB358" s="139">
        <v>112.08</v>
      </c>
      <c r="AD358" s="133">
        <v>112.717</v>
      </c>
      <c r="AG358" t="s">
        <v>135</v>
      </c>
      <c r="AH358" s="137">
        <v>4.1899999999999999E-4</v>
      </c>
      <c r="AI358" s="137">
        <v>3.1791117841681798E-4</v>
      </c>
      <c r="AJ358" s="137">
        <v>5.7518771309340203E-5</v>
      </c>
    </row>
    <row r="359" spans="1:36">
      <c r="A359">
        <v>161</v>
      </c>
      <c r="B359">
        <v>9943</v>
      </c>
      <c r="C359" t="s">
        <v>2446</v>
      </c>
      <c r="D359" t="s">
        <v>2447</v>
      </c>
      <c r="E359" t="s">
        <v>41</v>
      </c>
      <c r="F359" t="s">
        <v>2456</v>
      </c>
      <c r="G359" t="s">
        <v>2457</v>
      </c>
      <c r="H359" t="s">
        <v>44</v>
      </c>
      <c r="I359" t="s">
        <v>1509</v>
      </c>
      <c r="J359" t="s">
        <v>45</v>
      </c>
      <c r="K359" t="s">
        <v>45</v>
      </c>
      <c r="L359" t="s">
        <v>46</v>
      </c>
      <c r="M359" t="s">
        <v>47</v>
      </c>
      <c r="N359" t="s">
        <v>1038</v>
      </c>
      <c r="O359" t="s">
        <v>51</v>
      </c>
      <c r="P359" t="s">
        <v>1912</v>
      </c>
      <c r="Q359" t="s">
        <v>167</v>
      </c>
      <c r="R359" t="s">
        <v>97</v>
      </c>
      <c r="S359" t="s">
        <v>52</v>
      </c>
      <c r="T359" t="s">
        <v>2458</v>
      </c>
      <c r="U359" t="s">
        <v>2459</v>
      </c>
      <c r="V359" s="137">
        <v>5.8000000000000003E-2</v>
      </c>
      <c r="W359" s="137">
        <v>5.1389999999999998E-2</v>
      </c>
      <c r="X359" t="s">
        <v>131</v>
      </c>
      <c r="Y359" t="s">
        <v>51</v>
      </c>
      <c r="Z359" s="133">
        <v>4896000</v>
      </c>
      <c r="AA359" s="135">
        <v>1</v>
      </c>
      <c r="AB359" s="139">
        <v>103.61</v>
      </c>
      <c r="AD359" s="133">
        <v>5072.7460000000001</v>
      </c>
      <c r="AG359" t="s">
        <v>135</v>
      </c>
      <c r="AH359" s="137">
        <v>1.2239999999999999E-2</v>
      </c>
      <c r="AI359" s="137">
        <v>1.4307407475722801E-2</v>
      </c>
      <c r="AJ359" s="137">
        <v>2.5885988115418599E-3</v>
      </c>
    </row>
    <row r="360" spans="1:36">
      <c r="A360">
        <v>161</v>
      </c>
      <c r="B360">
        <v>9943</v>
      </c>
      <c r="C360" t="s">
        <v>2460</v>
      </c>
      <c r="D360" t="s">
        <v>2461</v>
      </c>
      <c r="E360" t="s">
        <v>41</v>
      </c>
      <c r="F360" t="s">
        <v>2462</v>
      </c>
      <c r="G360" t="s">
        <v>2463</v>
      </c>
      <c r="H360" t="s">
        <v>44</v>
      </c>
      <c r="I360" t="s">
        <v>1509</v>
      </c>
      <c r="J360" t="s">
        <v>45</v>
      </c>
      <c r="K360" t="s">
        <v>45</v>
      </c>
      <c r="L360" t="s">
        <v>46</v>
      </c>
      <c r="M360" t="s">
        <v>47</v>
      </c>
      <c r="N360" t="s">
        <v>1038</v>
      </c>
      <c r="O360" t="s">
        <v>51</v>
      </c>
      <c r="P360" t="s">
        <v>733</v>
      </c>
      <c r="Q360" t="s">
        <v>733</v>
      </c>
      <c r="R360" t="s">
        <v>733</v>
      </c>
      <c r="S360" t="s">
        <v>52</v>
      </c>
      <c r="T360" t="s">
        <v>2464</v>
      </c>
      <c r="U360" t="s">
        <v>143</v>
      </c>
      <c r="V360" s="137">
        <v>7.1999999999999995E-2</v>
      </c>
      <c r="W360" s="137">
        <v>6.8330000000000002E-2</v>
      </c>
      <c r="X360" t="s">
        <v>131</v>
      </c>
      <c r="Y360" t="s">
        <v>51</v>
      </c>
      <c r="Z360" s="133">
        <v>2000000</v>
      </c>
      <c r="AA360" s="135">
        <v>1</v>
      </c>
      <c r="AB360" s="139">
        <v>102.78</v>
      </c>
      <c r="AD360" s="133">
        <v>2055.6</v>
      </c>
      <c r="AG360" t="s">
        <v>135</v>
      </c>
      <c r="AH360" s="137">
        <v>1.9081000000000001E-2</v>
      </c>
      <c r="AI360" s="137">
        <v>5.7977097860172399E-3</v>
      </c>
      <c r="AJ360" s="137">
        <v>1.04896325118402E-3</v>
      </c>
    </row>
    <row r="361" spans="1:36">
      <c r="A361">
        <v>161</v>
      </c>
      <c r="B361">
        <v>9943</v>
      </c>
      <c r="C361" t="s">
        <v>2465</v>
      </c>
      <c r="D361" t="s">
        <v>2466</v>
      </c>
      <c r="E361" t="s">
        <v>41</v>
      </c>
      <c r="F361" t="s">
        <v>2467</v>
      </c>
      <c r="G361" t="s">
        <v>2468</v>
      </c>
      <c r="H361" t="s">
        <v>44</v>
      </c>
      <c r="I361" t="s">
        <v>1331</v>
      </c>
      <c r="J361" t="s">
        <v>45</v>
      </c>
      <c r="K361" t="s">
        <v>264</v>
      </c>
      <c r="L361" t="s">
        <v>46</v>
      </c>
      <c r="M361" t="s">
        <v>47</v>
      </c>
      <c r="N361" t="s">
        <v>1050</v>
      </c>
      <c r="O361" t="s">
        <v>51</v>
      </c>
      <c r="P361" t="s">
        <v>1912</v>
      </c>
      <c r="Q361" t="s">
        <v>167</v>
      </c>
      <c r="R361" t="s">
        <v>97</v>
      </c>
      <c r="S361" t="s">
        <v>52</v>
      </c>
      <c r="T361" t="s">
        <v>2469</v>
      </c>
      <c r="U361" t="s">
        <v>2470</v>
      </c>
      <c r="V361" s="137">
        <v>2.8500000000000001E-2</v>
      </c>
      <c r="W361" s="137">
        <v>2.427E-2</v>
      </c>
      <c r="X361" t="s">
        <v>131</v>
      </c>
      <c r="Y361" t="s">
        <v>51</v>
      </c>
      <c r="Z361" s="133">
        <v>56288</v>
      </c>
      <c r="AA361" s="135">
        <v>1</v>
      </c>
      <c r="AB361" s="139">
        <v>120.01</v>
      </c>
      <c r="AD361" s="133">
        <v>67.551000000000002</v>
      </c>
      <c r="AG361" t="s">
        <v>135</v>
      </c>
      <c r="AH361" s="137">
        <v>2.0699999999999999E-4</v>
      </c>
      <c r="AI361" s="137">
        <v>1.9052462554546099E-4</v>
      </c>
      <c r="AJ361" s="137">
        <v>3.4471082206423298E-5</v>
      </c>
    </row>
    <row r="362" spans="1:36">
      <c r="A362">
        <v>161</v>
      </c>
      <c r="B362">
        <v>9943</v>
      </c>
      <c r="C362" t="s">
        <v>2465</v>
      </c>
      <c r="D362" t="s">
        <v>2466</v>
      </c>
      <c r="E362" t="s">
        <v>41</v>
      </c>
      <c r="F362" t="s">
        <v>2471</v>
      </c>
      <c r="G362" t="s">
        <v>2472</v>
      </c>
      <c r="H362" t="s">
        <v>44</v>
      </c>
      <c r="I362" t="s">
        <v>1331</v>
      </c>
      <c r="J362" t="s">
        <v>45</v>
      </c>
      <c r="K362" t="s">
        <v>264</v>
      </c>
      <c r="L362" t="s">
        <v>46</v>
      </c>
      <c r="M362" t="s">
        <v>47</v>
      </c>
      <c r="N362" t="s">
        <v>1050</v>
      </c>
      <c r="O362" t="s">
        <v>51</v>
      </c>
      <c r="P362" t="s">
        <v>1912</v>
      </c>
      <c r="Q362" t="s">
        <v>167</v>
      </c>
      <c r="R362" t="s">
        <v>97</v>
      </c>
      <c r="S362" t="s">
        <v>52</v>
      </c>
      <c r="T362" t="s">
        <v>2473</v>
      </c>
      <c r="U362" t="s">
        <v>2474</v>
      </c>
      <c r="V362" s="137">
        <v>4.3E-3</v>
      </c>
      <c r="W362" s="137">
        <v>3.0040000000000001E-2</v>
      </c>
      <c r="X362" t="s">
        <v>131</v>
      </c>
      <c r="Y362" t="s">
        <v>51</v>
      </c>
      <c r="Z362" s="133">
        <v>1614021.65</v>
      </c>
      <c r="AA362" s="135">
        <v>1</v>
      </c>
      <c r="AB362" s="139">
        <v>106.33</v>
      </c>
      <c r="AD362" s="133">
        <v>1716.1890000000001</v>
      </c>
      <c r="AG362" t="s">
        <v>135</v>
      </c>
      <c r="AH362" s="137">
        <v>3.0379999999999999E-3</v>
      </c>
      <c r="AI362" s="137">
        <v>4.8404198472617602E-3</v>
      </c>
      <c r="AJ362" s="137">
        <v>8.7576348721782403E-4</v>
      </c>
    </row>
    <row r="363" spans="1:36">
      <c r="A363">
        <v>161</v>
      </c>
      <c r="B363">
        <v>9943</v>
      </c>
      <c r="C363" t="s">
        <v>2465</v>
      </c>
      <c r="D363" t="s">
        <v>2466</v>
      </c>
      <c r="E363" t="s">
        <v>41</v>
      </c>
      <c r="F363" t="s">
        <v>2475</v>
      </c>
      <c r="G363" t="s">
        <v>2476</v>
      </c>
      <c r="H363" t="s">
        <v>44</v>
      </c>
      <c r="I363" t="s">
        <v>1331</v>
      </c>
      <c r="J363" t="s">
        <v>45</v>
      </c>
      <c r="K363" t="s">
        <v>264</v>
      </c>
      <c r="L363" t="s">
        <v>46</v>
      </c>
      <c r="M363" t="s">
        <v>47</v>
      </c>
      <c r="N363" t="s">
        <v>1050</v>
      </c>
      <c r="O363" t="s">
        <v>51</v>
      </c>
      <c r="P363" t="s">
        <v>1912</v>
      </c>
      <c r="Q363" t="s">
        <v>167</v>
      </c>
      <c r="R363" t="s">
        <v>97</v>
      </c>
      <c r="S363" t="s">
        <v>52</v>
      </c>
      <c r="T363" t="s">
        <v>2137</v>
      </c>
      <c r="U363" t="s">
        <v>1824</v>
      </c>
      <c r="V363" s="137">
        <v>2.4500000000000001E-2</v>
      </c>
      <c r="W363" s="137">
        <v>2.8989999999999998E-2</v>
      </c>
      <c r="X363" t="s">
        <v>131</v>
      </c>
      <c r="Y363" t="s">
        <v>51</v>
      </c>
      <c r="Z363" s="133">
        <v>26648.09</v>
      </c>
      <c r="AA363" s="135">
        <v>1</v>
      </c>
      <c r="AB363" s="139">
        <v>116.42</v>
      </c>
      <c r="AD363" s="133">
        <v>31.024000000000001</v>
      </c>
      <c r="AG363" t="s">
        <v>135</v>
      </c>
      <c r="AH363" s="137">
        <v>7.1000000000000005E-5</v>
      </c>
      <c r="AI363" s="137">
        <v>8.7500703476481805E-5</v>
      </c>
      <c r="AJ363" s="137">
        <v>1.5831255062290998E-5</v>
      </c>
    </row>
    <row r="364" spans="1:36">
      <c r="A364">
        <v>161</v>
      </c>
      <c r="B364">
        <v>9943</v>
      </c>
      <c r="C364" t="s">
        <v>2477</v>
      </c>
      <c r="D364" t="s">
        <v>2478</v>
      </c>
      <c r="E364" t="s">
        <v>41</v>
      </c>
      <c r="F364" t="s">
        <v>2479</v>
      </c>
      <c r="G364" t="s">
        <v>2480</v>
      </c>
      <c r="H364" t="s">
        <v>44</v>
      </c>
      <c r="I364" t="s">
        <v>1509</v>
      </c>
      <c r="J364" t="s">
        <v>45</v>
      </c>
      <c r="K364" t="s">
        <v>45</v>
      </c>
      <c r="L364" t="s">
        <v>46</v>
      </c>
      <c r="M364" t="s">
        <v>47</v>
      </c>
      <c r="N364" t="s">
        <v>1038</v>
      </c>
      <c r="O364" t="s">
        <v>51</v>
      </c>
      <c r="P364" t="s">
        <v>166</v>
      </c>
      <c r="Q364" t="s">
        <v>167</v>
      </c>
      <c r="R364" t="s">
        <v>97</v>
      </c>
      <c r="S364" t="s">
        <v>52</v>
      </c>
      <c r="T364" t="s">
        <v>2481</v>
      </c>
      <c r="U364" t="s">
        <v>143</v>
      </c>
      <c r="V364" s="137">
        <v>2.5499999999999998E-2</v>
      </c>
      <c r="W364" s="137">
        <v>4.9110000000000001E-2</v>
      </c>
      <c r="X364" t="s">
        <v>131</v>
      </c>
      <c r="Y364" t="s">
        <v>51</v>
      </c>
      <c r="Z364" s="133">
        <v>1937403.97</v>
      </c>
      <c r="AA364" s="135">
        <v>1</v>
      </c>
      <c r="AB364" s="139">
        <v>97.19</v>
      </c>
      <c r="AD364" s="133">
        <v>1882.963</v>
      </c>
      <c r="AG364" t="s">
        <v>135</v>
      </c>
      <c r="AH364" s="137">
        <v>3.5999999999999999E-3</v>
      </c>
      <c r="AI364" s="137">
        <v>5.3107961368771004E-3</v>
      </c>
      <c r="AJ364" s="137">
        <v>9.6086734033319805E-4</v>
      </c>
    </row>
    <row r="365" spans="1:36">
      <c r="A365">
        <v>161</v>
      </c>
      <c r="B365">
        <v>9943</v>
      </c>
      <c r="C365" t="s">
        <v>2482</v>
      </c>
      <c r="D365" t="s">
        <v>2483</v>
      </c>
      <c r="E365" t="s">
        <v>41</v>
      </c>
      <c r="F365" t="s">
        <v>2484</v>
      </c>
      <c r="G365" t="s">
        <v>2485</v>
      </c>
      <c r="H365" t="s">
        <v>44</v>
      </c>
      <c r="I365" t="s">
        <v>1509</v>
      </c>
      <c r="J365" t="s">
        <v>45</v>
      </c>
      <c r="K365" t="s">
        <v>45</v>
      </c>
      <c r="L365" t="s">
        <v>46</v>
      </c>
      <c r="M365" t="s">
        <v>47</v>
      </c>
      <c r="N365" t="s">
        <v>1043</v>
      </c>
      <c r="O365" t="s">
        <v>51</v>
      </c>
      <c r="P365" t="s">
        <v>1919</v>
      </c>
      <c r="Q365" t="s">
        <v>96</v>
      </c>
      <c r="R365" t="s">
        <v>97</v>
      </c>
      <c r="S365" t="s">
        <v>52</v>
      </c>
      <c r="T365" t="s">
        <v>2486</v>
      </c>
      <c r="U365" t="s">
        <v>2487</v>
      </c>
      <c r="V365" s="137">
        <v>2.4E-2</v>
      </c>
      <c r="W365" s="137">
        <v>4.521E-2</v>
      </c>
      <c r="X365" t="s">
        <v>131</v>
      </c>
      <c r="Y365" t="s">
        <v>51</v>
      </c>
      <c r="Z365" s="133">
        <v>1675214.18</v>
      </c>
      <c r="AA365" s="135">
        <v>1</v>
      </c>
      <c r="AB365" s="139">
        <v>87.36</v>
      </c>
      <c r="AD365" s="133">
        <v>1463.4670000000001</v>
      </c>
      <c r="AG365" t="s">
        <v>135</v>
      </c>
      <c r="AH365" s="137">
        <v>1.09E-3</v>
      </c>
      <c r="AI365" s="137">
        <v>4.1276306535927001E-3</v>
      </c>
      <c r="AJ365" s="137">
        <v>7.4680055226664804E-4</v>
      </c>
    </row>
    <row r="366" spans="1:36">
      <c r="A366">
        <v>161</v>
      </c>
      <c r="B366">
        <v>9943</v>
      </c>
      <c r="C366" t="s">
        <v>1915</v>
      </c>
      <c r="D366" t="s">
        <v>1916</v>
      </c>
      <c r="E366" t="s">
        <v>41</v>
      </c>
      <c r="F366" t="s">
        <v>1917</v>
      </c>
      <c r="G366" t="s">
        <v>1918</v>
      </c>
      <c r="H366" t="s">
        <v>44</v>
      </c>
      <c r="I366" t="s">
        <v>1331</v>
      </c>
      <c r="J366" t="s">
        <v>45</v>
      </c>
      <c r="K366" t="s">
        <v>45</v>
      </c>
      <c r="L366" t="s">
        <v>46</v>
      </c>
      <c r="M366" t="s">
        <v>47</v>
      </c>
      <c r="N366" t="s">
        <v>58</v>
      </c>
      <c r="O366" t="s">
        <v>51</v>
      </c>
      <c r="P366" t="s">
        <v>1919</v>
      </c>
      <c r="Q366" t="s">
        <v>96</v>
      </c>
      <c r="R366" t="s">
        <v>97</v>
      </c>
      <c r="S366" t="s">
        <v>52</v>
      </c>
      <c r="T366" t="s">
        <v>1920</v>
      </c>
      <c r="U366" t="s">
        <v>1921</v>
      </c>
      <c r="V366" s="137">
        <v>2.3400000000000001E-2</v>
      </c>
      <c r="W366" s="137">
        <v>2.3099999999999999E-2</v>
      </c>
      <c r="X366" t="s">
        <v>131</v>
      </c>
      <c r="Y366" t="s">
        <v>51</v>
      </c>
      <c r="Z366" s="133">
        <v>190600.35</v>
      </c>
      <c r="AA366" s="135">
        <v>1</v>
      </c>
      <c r="AB366" s="139">
        <v>117.91</v>
      </c>
      <c r="AD366" s="133">
        <v>224.73699999999999</v>
      </c>
      <c r="AG366" t="s">
        <v>135</v>
      </c>
      <c r="AH366" s="137">
        <v>1.66E-4</v>
      </c>
      <c r="AI366" s="137">
        <v>6.33858321679672E-4</v>
      </c>
      <c r="AJ366" s="137">
        <v>1.14682195287306E-4</v>
      </c>
    </row>
    <row r="367" spans="1:36">
      <c r="A367">
        <v>161</v>
      </c>
      <c r="B367">
        <v>9943</v>
      </c>
      <c r="C367" t="s">
        <v>1926</v>
      </c>
      <c r="D367" t="s">
        <v>1927</v>
      </c>
      <c r="E367" t="s">
        <v>41</v>
      </c>
      <c r="F367" t="s">
        <v>2308</v>
      </c>
      <c r="G367" t="s">
        <v>2309</v>
      </c>
      <c r="H367" t="s">
        <v>44</v>
      </c>
      <c r="I367" t="s">
        <v>1331</v>
      </c>
      <c r="J367" t="s">
        <v>45</v>
      </c>
      <c r="K367" t="s">
        <v>45</v>
      </c>
      <c r="L367" t="s">
        <v>46</v>
      </c>
      <c r="M367" t="s">
        <v>47</v>
      </c>
      <c r="N367" s="125" t="s">
        <v>1062</v>
      </c>
      <c r="O367" t="s">
        <v>51</v>
      </c>
      <c r="P367" t="s">
        <v>128</v>
      </c>
      <c r="Q367" t="s">
        <v>96</v>
      </c>
      <c r="R367" t="s">
        <v>97</v>
      </c>
      <c r="S367" t="s">
        <v>52</v>
      </c>
      <c r="T367" t="s">
        <v>2310</v>
      </c>
      <c r="U367" t="s">
        <v>2311</v>
      </c>
      <c r="V367" s="137">
        <v>3.2000000000000001E-2</v>
      </c>
      <c r="W367" s="137">
        <v>2.1870000000000001E-2</v>
      </c>
      <c r="X367" t="s">
        <v>131</v>
      </c>
      <c r="Y367" t="s">
        <v>51</v>
      </c>
      <c r="Z367" s="133">
        <v>33303.370000000003</v>
      </c>
      <c r="AA367" s="135">
        <v>1</v>
      </c>
      <c r="AB367" s="139">
        <v>111.1</v>
      </c>
      <c r="AD367" s="133">
        <v>37</v>
      </c>
      <c r="AG367" t="s">
        <v>135</v>
      </c>
      <c r="AH367" s="137">
        <v>6.7000000000000002E-5</v>
      </c>
      <c r="AI367" s="137">
        <v>1.04356644088202E-4</v>
      </c>
      <c r="AJ367" s="137">
        <v>1.8880952773700798E-5</v>
      </c>
    </row>
    <row r="368" spans="1:36">
      <c r="A368">
        <v>161</v>
      </c>
      <c r="B368">
        <v>9943</v>
      </c>
      <c r="C368" t="s">
        <v>1926</v>
      </c>
      <c r="D368" t="s">
        <v>1927</v>
      </c>
      <c r="E368" t="s">
        <v>41</v>
      </c>
      <c r="F368" t="s">
        <v>1928</v>
      </c>
      <c r="G368" t="s">
        <v>1929</v>
      </c>
      <c r="H368" t="s">
        <v>44</v>
      </c>
      <c r="I368" t="s">
        <v>1509</v>
      </c>
      <c r="J368" t="s">
        <v>45</v>
      </c>
      <c r="K368" t="s">
        <v>45</v>
      </c>
      <c r="L368" t="s">
        <v>46</v>
      </c>
      <c r="M368" t="s">
        <v>47</v>
      </c>
      <c r="N368" s="125" t="s">
        <v>1062</v>
      </c>
      <c r="O368" t="s">
        <v>51</v>
      </c>
      <c r="P368" t="s">
        <v>128</v>
      </c>
      <c r="Q368" t="s">
        <v>96</v>
      </c>
      <c r="R368" t="s">
        <v>97</v>
      </c>
      <c r="S368" t="s">
        <v>52</v>
      </c>
      <c r="T368" t="s">
        <v>1930</v>
      </c>
      <c r="U368" t="s">
        <v>1931</v>
      </c>
      <c r="V368" s="137">
        <v>5.7000000000000002E-2</v>
      </c>
      <c r="W368" s="137">
        <v>5.083E-2</v>
      </c>
      <c r="X368" t="s">
        <v>131</v>
      </c>
      <c r="Y368" t="s">
        <v>51</v>
      </c>
      <c r="Z368" s="133">
        <v>533387.07999999996</v>
      </c>
      <c r="AA368" s="135">
        <v>1</v>
      </c>
      <c r="AB368" s="139">
        <v>101.02</v>
      </c>
      <c r="AD368" s="133">
        <v>538.82799999999997</v>
      </c>
      <c r="AG368" t="s">
        <v>135</v>
      </c>
      <c r="AH368" s="137">
        <v>9.0300000000000005E-4</v>
      </c>
      <c r="AI368" s="137">
        <v>1.5197344877818399E-3</v>
      </c>
      <c r="AJ368" s="137">
        <v>2.7496126713428198E-4</v>
      </c>
    </row>
    <row r="369" spans="1:36">
      <c r="A369">
        <v>161</v>
      </c>
      <c r="B369">
        <v>9943</v>
      </c>
      <c r="C369" t="s">
        <v>39</v>
      </c>
      <c r="D369" t="s">
        <v>40</v>
      </c>
      <c r="E369" t="s">
        <v>41</v>
      </c>
      <c r="F369" t="s">
        <v>2488</v>
      </c>
      <c r="G369" t="s">
        <v>2489</v>
      </c>
      <c r="H369" t="s">
        <v>44</v>
      </c>
      <c r="I369" t="s">
        <v>1509</v>
      </c>
      <c r="J369" t="s">
        <v>45</v>
      </c>
      <c r="K369" t="s">
        <v>45</v>
      </c>
      <c r="L369" t="s">
        <v>46</v>
      </c>
      <c r="M369" t="s">
        <v>47</v>
      </c>
      <c r="N369" t="s">
        <v>49</v>
      </c>
      <c r="O369" t="s">
        <v>51</v>
      </c>
      <c r="P369" t="s">
        <v>733</v>
      </c>
      <c r="Q369" t="s">
        <v>733</v>
      </c>
      <c r="R369" t="s">
        <v>733</v>
      </c>
      <c r="S369" t="s">
        <v>52</v>
      </c>
      <c r="T369" t="s">
        <v>2490</v>
      </c>
      <c r="U369" t="s">
        <v>1824</v>
      </c>
      <c r="V369" s="137">
        <v>5.5E-2</v>
      </c>
      <c r="W369" s="137">
        <v>6.2269999999999999E-2</v>
      </c>
      <c r="X369" t="s">
        <v>131</v>
      </c>
      <c r="Y369" t="s">
        <v>51</v>
      </c>
      <c r="Z369" s="133">
        <v>56728</v>
      </c>
      <c r="AA369" s="135">
        <v>1</v>
      </c>
      <c r="AB369" s="139">
        <v>98.74</v>
      </c>
      <c r="AD369" s="133">
        <v>56.012999999999998</v>
      </c>
      <c r="AG369" t="s">
        <v>135</v>
      </c>
      <c r="AH369" s="137">
        <v>1.73E-4</v>
      </c>
      <c r="AI369" s="137">
        <v>1.5798230953680001E-4</v>
      </c>
      <c r="AJ369" s="137">
        <v>2.8583292913514899E-5</v>
      </c>
    </row>
    <row r="370" spans="1:36">
      <c r="A370">
        <v>161</v>
      </c>
      <c r="B370">
        <v>9943</v>
      </c>
      <c r="C370" t="s">
        <v>1932</v>
      </c>
      <c r="D370" t="s">
        <v>1933</v>
      </c>
      <c r="E370" t="s">
        <v>41</v>
      </c>
      <c r="F370" t="s">
        <v>1934</v>
      </c>
      <c r="G370" t="s">
        <v>1935</v>
      </c>
      <c r="H370" t="s">
        <v>44</v>
      </c>
      <c r="I370" t="s">
        <v>1331</v>
      </c>
      <c r="J370" t="s">
        <v>45</v>
      </c>
      <c r="K370" t="s">
        <v>45</v>
      </c>
      <c r="L370" t="s">
        <v>46</v>
      </c>
      <c r="M370" t="s">
        <v>47</v>
      </c>
      <c r="N370" t="s">
        <v>58</v>
      </c>
      <c r="O370" t="s">
        <v>51</v>
      </c>
      <c r="P370" t="s">
        <v>1936</v>
      </c>
      <c r="Q370" t="s">
        <v>96</v>
      </c>
      <c r="R370" t="s">
        <v>97</v>
      </c>
      <c r="S370" t="s">
        <v>52</v>
      </c>
      <c r="T370" t="s">
        <v>1937</v>
      </c>
      <c r="U370" t="s">
        <v>1938</v>
      </c>
      <c r="V370" s="137">
        <v>2.5600000000000001E-2</v>
      </c>
      <c r="W370" s="137">
        <v>3.0120000000000001E-2</v>
      </c>
      <c r="X370" t="s">
        <v>131</v>
      </c>
      <c r="Y370" t="s">
        <v>51</v>
      </c>
      <c r="Z370" s="133">
        <v>1473063</v>
      </c>
      <c r="AA370" s="135">
        <v>1</v>
      </c>
      <c r="AB370" s="139">
        <v>107.35</v>
      </c>
      <c r="AD370" s="133">
        <v>1581.3330000000001</v>
      </c>
      <c r="AG370" t="s">
        <v>135</v>
      </c>
      <c r="AH370" s="137">
        <v>1.402E-3</v>
      </c>
      <c r="AI370" s="137">
        <v>4.4600654629563703E-3</v>
      </c>
      <c r="AJ370" s="137">
        <v>8.06947043089262E-4</v>
      </c>
    </row>
    <row r="371" spans="1:36">
      <c r="A371">
        <v>161</v>
      </c>
      <c r="B371">
        <v>9943</v>
      </c>
      <c r="C371" t="s">
        <v>1932</v>
      </c>
      <c r="D371" t="s">
        <v>1933</v>
      </c>
      <c r="E371" t="s">
        <v>41</v>
      </c>
      <c r="F371" t="s">
        <v>1939</v>
      </c>
      <c r="G371" t="s">
        <v>1940</v>
      </c>
      <c r="H371" t="s">
        <v>44</v>
      </c>
      <c r="I371" t="s">
        <v>1509</v>
      </c>
      <c r="J371" t="s">
        <v>45</v>
      </c>
      <c r="K371" t="s">
        <v>45</v>
      </c>
      <c r="L371" t="s">
        <v>46</v>
      </c>
      <c r="M371" t="s">
        <v>47</v>
      </c>
      <c r="N371" t="s">
        <v>58</v>
      </c>
      <c r="O371" t="s">
        <v>51</v>
      </c>
      <c r="P371" t="s">
        <v>1936</v>
      </c>
      <c r="Q371" t="s">
        <v>96</v>
      </c>
      <c r="R371" t="s">
        <v>97</v>
      </c>
      <c r="S371" t="s">
        <v>52</v>
      </c>
      <c r="T371" t="s">
        <v>1941</v>
      </c>
      <c r="U371" t="s">
        <v>1942</v>
      </c>
      <c r="V371" s="137">
        <v>2.41E-2</v>
      </c>
      <c r="W371" s="137">
        <v>4.8550000000000003E-2</v>
      </c>
      <c r="X371" t="s">
        <v>131</v>
      </c>
      <c r="Y371" t="s">
        <v>51</v>
      </c>
      <c r="Z371" s="133">
        <v>1000000</v>
      </c>
      <c r="AA371" s="135">
        <v>1</v>
      </c>
      <c r="AB371" s="139">
        <v>93.27</v>
      </c>
      <c r="AD371" s="133">
        <v>932.7</v>
      </c>
      <c r="AG371" t="s">
        <v>135</v>
      </c>
      <c r="AH371" s="137">
        <v>4.8700000000000002E-4</v>
      </c>
      <c r="AI371" s="137">
        <v>2.6306304326806202E-3</v>
      </c>
      <c r="AJ371" s="137">
        <v>4.7595253180547598E-4</v>
      </c>
    </row>
    <row r="372" spans="1:36">
      <c r="A372">
        <v>161</v>
      </c>
      <c r="B372">
        <v>9943</v>
      </c>
      <c r="C372" t="s">
        <v>1932</v>
      </c>
      <c r="D372" t="s">
        <v>1933</v>
      </c>
      <c r="E372" t="s">
        <v>41</v>
      </c>
      <c r="F372" t="s">
        <v>2491</v>
      </c>
      <c r="G372" t="s">
        <v>2492</v>
      </c>
      <c r="H372" t="s">
        <v>44</v>
      </c>
      <c r="I372" t="s">
        <v>1509</v>
      </c>
      <c r="J372" t="s">
        <v>45</v>
      </c>
      <c r="K372" t="s">
        <v>45</v>
      </c>
      <c r="L372" t="s">
        <v>46</v>
      </c>
      <c r="M372" t="s">
        <v>47</v>
      </c>
      <c r="N372" t="s">
        <v>58</v>
      </c>
      <c r="O372" t="s">
        <v>51</v>
      </c>
      <c r="P372" t="s">
        <v>1936</v>
      </c>
      <c r="Q372" t="s">
        <v>96</v>
      </c>
      <c r="R372" t="s">
        <v>97</v>
      </c>
      <c r="S372" t="s">
        <v>52</v>
      </c>
      <c r="T372" t="s">
        <v>2493</v>
      </c>
      <c r="U372" t="s">
        <v>2494</v>
      </c>
      <c r="V372" s="137">
        <v>4.9399999999999999E-2</v>
      </c>
      <c r="W372" s="137">
        <v>4.8379999999999999E-2</v>
      </c>
      <c r="X372" t="s">
        <v>131</v>
      </c>
      <c r="Y372" t="s">
        <v>51</v>
      </c>
      <c r="Z372" s="133">
        <v>3907828</v>
      </c>
      <c r="AA372" s="135">
        <v>1</v>
      </c>
      <c r="AB372" s="139">
        <v>100.97</v>
      </c>
      <c r="AD372" s="133">
        <v>3945.7339999999999</v>
      </c>
      <c r="AG372" t="s">
        <v>135</v>
      </c>
      <c r="AH372" s="137">
        <v>2.0999999999999999E-3</v>
      </c>
      <c r="AI372" s="137">
        <v>1.11287313817171E-2</v>
      </c>
      <c r="AJ372" s="137">
        <v>2.0134899266385699E-3</v>
      </c>
    </row>
    <row r="373" spans="1:36">
      <c r="A373">
        <v>161</v>
      </c>
      <c r="B373">
        <v>9943</v>
      </c>
      <c r="C373" t="s">
        <v>1943</v>
      </c>
      <c r="D373" t="s">
        <v>479</v>
      </c>
      <c r="E373" t="s">
        <v>41</v>
      </c>
      <c r="F373" t="s">
        <v>1944</v>
      </c>
      <c r="G373" t="s">
        <v>1945</v>
      </c>
      <c r="H373" t="s">
        <v>44</v>
      </c>
      <c r="I373" t="s">
        <v>1509</v>
      </c>
      <c r="J373" t="s">
        <v>45</v>
      </c>
      <c r="K373" t="s">
        <v>45</v>
      </c>
      <c r="L373" t="s">
        <v>46</v>
      </c>
      <c r="M373" t="s">
        <v>47</v>
      </c>
      <c r="N373" t="s">
        <v>150</v>
      </c>
      <c r="O373" t="s">
        <v>51</v>
      </c>
      <c r="P373" t="s">
        <v>128</v>
      </c>
      <c r="Q373" t="s">
        <v>96</v>
      </c>
      <c r="R373" t="s">
        <v>97</v>
      </c>
      <c r="S373" t="s">
        <v>52</v>
      </c>
      <c r="T373" t="s">
        <v>1946</v>
      </c>
      <c r="U373" t="s">
        <v>1947</v>
      </c>
      <c r="V373" s="137">
        <v>0.04</v>
      </c>
      <c r="W373" s="137">
        <v>4.786E-2</v>
      </c>
      <c r="X373" t="s">
        <v>131</v>
      </c>
      <c r="Y373" t="s">
        <v>51</v>
      </c>
      <c r="Z373" s="133">
        <v>47427.88</v>
      </c>
      <c r="AA373" s="135">
        <v>1</v>
      </c>
      <c r="AB373" s="139">
        <v>99.05</v>
      </c>
      <c r="AD373" s="133">
        <v>46.976999999999997</v>
      </c>
      <c r="AG373" t="s">
        <v>135</v>
      </c>
      <c r="AH373" s="137">
        <v>9.7999999999999997E-5</v>
      </c>
      <c r="AI373" s="137">
        <v>1.3249700316598299E-4</v>
      </c>
      <c r="AJ373" s="137">
        <v>2.3972308436053099E-5</v>
      </c>
    </row>
    <row r="374" spans="1:36">
      <c r="A374">
        <v>161</v>
      </c>
      <c r="B374">
        <v>9943</v>
      </c>
      <c r="C374" t="s">
        <v>2495</v>
      </c>
      <c r="D374" t="s">
        <v>574</v>
      </c>
      <c r="E374" t="s">
        <v>41</v>
      </c>
      <c r="F374" t="s">
        <v>2496</v>
      </c>
      <c r="G374" t="s">
        <v>2497</v>
      </c>
      <c r="H374" t="s">
        <v>44</v>
      </c>
      <c r="I374" t="s">
        <v>1509</v>
      </c>
      <c r="J374" t="s">
        <v>45</v>
      </c>
      <c r="K374" t="s">
        <v>45</v>
      </c>
      <c r="L374" t="s">
        <v>46</v>
      </c>
      <c r="M374" t="s">
        <v>47</v>
      </c>
      <c r="N374" t="s">
        <v>1050</v>
      </c>
      <c r="O374" t="s">
        <v>51</v>
      </c>
      <c r="P374" t="s">
        <v>175</v>
      </c>
      <c r="Q374" t="s">
        <v>167</v>
      </c>
      <c r="R374" t="s">
        <v>97</v>
      </c>
      <c r="S374" t="s">
        <v>52</v>
      </c>
      <c r="T374" t="s">
        <v>2498</v>
      </c>
      <c r="U374" t="s">
        <v>2499</v>
      </c>
      <c r="V374" s="137">
        <v>6.0699999999999997E-2</v>
      </c>
      <c r="W374" s="137">
        <v>5.391E-2</v>
      </c>
      <c r="X374" t="s">
        <v>131</v>
      </c>
      <c r="Y374" t="s">
        <v>51</v>
      </c>
      <c r="Z374" s="133">
        <v>2520699.2999999998</v>
      </c>
      <c r="AA374" s="135">
        <v>1</v>
      </c>
      <c r="AB374" s="139">
        <v>104.72</v>
      </c>
      <c r="AD374" s="133">
        <v>2639.6759999999999</v>
      </c>
      <c r="AG374" t="s">
        <v>135</v>
      </c>
      <c r="AH374" s="137">
        <v>6.4289999999999998E-3</v>
      </c>
      <c r="AI374" s="137">
        <v>7.4450657505253101E-3</v>
      </c>
      <c r="AJ374" s="137">
        <v>1.3470147115305501E-3</v>
      </c>
    </row>
    <row r="375" spans="1:36">
      <c r="A375">
        <v>161</v>
      </c>
      <c r="B375">
        <v>9943</v>
      </c>
      <c r="C375" t="s">
        <v>1948</v>
      </c>
      <c r="D375" t="s">
        <v>1949</v>
      </c>
      <c r="E375" t="s">
        <v>41</v>
      </c>
      <c r="F375" t="s">
        <v>2385</v>
      </c>
      <c r="G375" t="s">
        <v>2386</v>
      </c>
      <c r="H375" t="s">
        <v>44</v>
      </c>
      <c r="I375" t="s">
        <v>1331</v>
      </c>
      <c r="J375" t="s">
        <v>45</v>
      </c>
      <c r="K375" t="s">
        <v>45</v>
      </c>
      <c r="L375" t="s">
        <v>46</v>
      </c>
      <c r="M375" t="s">
        <v>47</v>
      </c>
      <c r="N375" t="s">
        <v>58</v>
      </c>
      <c r="O375" t="s">
        <v>51</v>
      </c>
      <c r="P375" t="s">
        <v>1919</v>
      </c>
      <c r="Q375" t="s">
        <v>96</v>
      </c>
      <c r="R375" t="s">
        <v>97</v>
      </c>
      <c r="S375" t="s">
        <v>52</v>
      </c>
      <c r="T375" t="s">
        <v>2387</v>
      </c>
      <c r="U375" t="s">
        <v>2388</v>
      </c>
      <c r="V375" s="137">
        <v>3.2000000000000001E-2</v>
      </c>
      <c r="W375" s="137">
        <v>2.18E-2</v>
      </c>
      <c r="X375" t="s">
        <v>131</v>
      </c>
      <c r="Y375" t="s">
        <v>51</v>
      </c>
      <c r="Z375" s="133">
        <v>1406250</v>
      </c>
      <c r="AA375" s="135">
        <v>1</v>
      </c>
      <c r="AB375" s="139">
        <v>121.87</v>
      </c>
      <c r="AD375" s="133">
        <v>1713.797</v>
      </c>
      <c r="AG375" t="s">
        <v>135</v>
      </c>
      <c r="AH375" s="137">
        <v>3.3960000000000001E-3</v>
      </c>
      <c r="AI375" s="137">
        <v>4.8336723649704504E-3</v>
      </c>
      <c r="AJ375" s="137">
        <v>8.7454268431067103E-4</v>
      </c>
    </row>
    <row r="376" spans="1:36">
      <c r="A376">
        <v>161</v>
      </c>
      <c r="B376">
        <v>9943</v>
      </c>
      <c r="C376" t="s">
        <v>1948</v>
      </c>
      <c r="D376" t="s">
        <v>1949</v>
      </c>
      <c r="E376" t="s">
        <v>41</v>
      </c>
      <c r="F376" t="s">
        <v>1950</v>
      </c>
      <c r="G376" t="s">
        <v>1951</v>
      </c>
      <c r="H376" t="s">
        <v>44</v>
      </c>
      <c r="I376" t="s">
        <v>1331</v>
      </c>
      <c r="J376" t="s">
        <v>45</v>
      </c>
      <c r="K376" t="s">
        <v>45</v>
      </c>
      <c r="L376" t="s">
        <v>46</v>
      </c>
      <c r="M376" t="s">
        <v>47</v>
      </c>
      <c r="N376" t="s">
        <v>58</v>
      </c>
      <c r="O376" t="s">
        <v>51</v>
      </c>
      <c r="P376" t="s">
        <v>1919</v>
      </c>
      <c r="Q376" t="s">
        <v>96</v>
      </c>
      <c r="R376" t="s">
        <v>97</v>
      </c>
      <c r="S376" t="s">
        <v>52</v>
      </c>
      <c r="T376" t="s">
        <v>1952</v>
      </c>
      <c r="U376" t="s">
        <v>1953</v>
      </c>
      <c r="V376" s="137">
        <v>1.14E-2</v>
      </c>
      <c r="W376" s="137">
        <v>2.3810000000000001E-2</v>
      </c>
      <c r="X376" t="s">
        <v>131</v>
      </c>
      <c r="Y376" t="s">
        <v>51</v>
      </c>
      <c r="Z376" s="133">
        <v>2025000</v>
      </c>
      <c r="AA376" s="135">
        <v>1</v>
      </c>
      <c r="AB376" s="139">
        <v>113.75</v>
      </c>
      <c r="AD376" s="133">
        <v>2303.4380000000001</v>
      </c>
      <c r="AG376" t="s">
        <v>135</v>
      </c>
      <c r="AH376" s="137">
        <v>9.5200000000000005E-4</v>
      </c>
      <c r="AI376" s="137">
        <v>6.4967221907127198E-3</v>
      </c>
      <c r="AJ376" s="137">
        <v>1.17543359063008E-3</v>
      </c>
    </row>
    <row r="377" spans="1:36">
      <c r="A377">
        <v>161</v>
      </c>
      <c r="B377">
        <v>9943</v>
      </c>
      <c r="C377" t="s">
        <v>1948</v>
      </c>
      <c r="D377" t="s">
        <v>1949</v>
      </c>
      <c r="E377" t="s">
        <v>41</v>
      </c>
      <c r="F377" t="s">
        <v>1954</v>
      </c>
      <c r="G377" t="s">
        <v>1955</v>
      </c>
      <c r="H377" t="s">
        <v>44</v>
      </c>
      <c r="I377" t="s">
        <v>1509</v>
      </c>
      <c r="J377" t="s">
        <v>45</v>
      </c>
      <c r="K377" t="s">
        <v>45</v>
      </c>
      <c r="L377" t="s">
        <v>46</v>
      </c>
      <c r="M377" t="s">
        <v>47</v>
      </c>
      <c r="N377" t="s">
        <v>58</v>
      </c>
      <c r="O377" t="s">
        <v>51</v>
      </c>
      <c r="P377" t="s">
        <v>1919</v>
      </c>
      <c r="Q377" t="s">
        <v>96</v>
      </c>
      <c r="R377" t="s">
        <v>97</v>
      </c>
      <c r="S377" t="s">
        <v>52</v>
      </c>
      <c r="T377" t="s">
        <v>1956</v>
      </c>
      <c r="U377" t="s">
        <v>1957</v>
      </c>
      <c r="V377" s="137">
        <v>2.4400000000000002E-2</v>
      </c>
      <c r="W377" s="137">
        <v>4.6190000000000002E-2</v>
      </c>
      <c r="X377" t="s">
        <v>131</v>
      </c>
      <c r="Y377" t="s">
        <v>51</v>
      </c>
      <c r="Z377" s="133">
        <v>1714784</v>
      </c>
      <c r="AA377" s="135">
        <v>1</v>
      </c>
      <c r="AB377" s="139">
        <v>92.36</v>
      </c>
      <c r="AD377" s="133">
        <v>1583.7750000000001</v>
      </c>
      <c r="AG377" t="s">
        <v>135</v>
      </c>
      <c r="AH377" s="137">
        <v>1.4109999999999999E-3</v>
      </c>
      <c r="AI377" s="137">
        <v>4.4669512217401499E-3</v>
      </c>
      <c r="AJ377" s="137">
        <v>8.0819286397152096E-4</v>
      </c>
    </row>
    <row r="378" spans="1:36">
      <c r="A378">
        <v>161</v>
      </c>
      <c r="B378">
        <v>9943</v>
      </c>
      <c r="C378" t="s">
        <v>1948</v>
      </c>
      <c r="D378" t="s">
        <v>1949</v>
      </c>
      <c r="E378" t="s">
        <v>41</v>
      </c>
      <c r="F378" t="s">
        <v>1958</v>
      </c>
      <c r="G378" t="s">
        <v>1959</v>
      </c>
      <c r="H378" t="s">
        <v>44</v>
      </c>
      <c r="I378" t="s">
        <v>1331</v>
      </c>
      <c r="J378" t="s">
        <v>45</v>
      </c>
      <c r="K378" t="s">
        <v>45</v>
      </c>
      <c r="L378" t="s">
        <v>46</v>
      </c>
      <c r="M378" t="s">
        <v>47</v>
      </c>
      <c r="N378" t="s">
        <v>58</v>
      </c>
      <c r="O378" t="s">
        <v>51</v>
      </c>
      <c r="P378" t="s">
        <v>1919</v>
      </c>
      <c r="Q378" t="s">
        <v>96</v>
      </c>
      <c r="R378" t="s">
        <v>97</v>
      </c>
      <c r="S378" t="s">
        <v>52</v>
      </c>
      <c r="T378" t="s">
        <v>1960</v>
      </c>
      <c r="U378" t="s">
        <v>1957</v>
      </c>
      <c r="V378" s="137">
        <v>9.1999999999999998E-3</v>
      </c>
      <c r="W378" s="137">
        <v>2.7480000000000001E-2</v>
      </c>
      <c r="X378" t="s">
        <v>131</v>
      </c>
      <c r="Y378" t="s">
        <v>51</v>
      </c>
      <c r="Z378" s="133">
        <v>903251</v>
      </c>
      <c r="AA378" s="135">
        <v>1</v>
      </c>
      <c r="AB378" s="139">
        <v>109.79</v>
      </c>
      <c r="AD378" s="133">
        <v>991.67899999999997</v>
      </c>
      <c r="AG378" t="s">
        <v>135</v>
      </c>
      <c r="AH378" s="137">
        <v>3.4900000000000003E-4</v>
      </c>
      <c r="AI378" s="137">
        <v>2.7969783153739998E-3</v>
      </c>
      <c r="AJ378" s="137">
        <v>5.0604938423476895E-4</v>
      </c>
    </row>
    <row r="379" spans="1:36">
      <c r="A379">
        <v>161</v>
      </c>
      <c r="B379">
        <v>9943</v>
      </c>
      <c r="C379" t="s">
        <v>1948</v>
      </c>
      <c r="D379" t="s">
        <v>1949</v>
      </c>
      <c r="E379" t="s">
        <v>41</v>
      </c>
      <c r="F379" t="s">
        <v>2318</v>
      </c>
      <c r="G379" t="s">
        <v>2319</v>
      </c>
      <c r="H379" t="s">
        <v>44</v>
      </c>
      <c r="I379" t="s">
        <v>1509</v>
      </c>
      <c r="J379" t="s">
        <v>45</v>
      </c>
      <c r="K379" t="s">
        <v>45</v>
      </c>
      <c r="L379" t="s">
        <v>46</v>
      </c>
      <c r="M379" t="s">
        <v>47</v>
      </c>
      <c r="N379" t="s">
        <v>58</v>
      </c>
      <c r="O379" t="s">
        <v>51</v>
      </c>
      <c r="P379" t="s">
        <v>1919</v>
      </c>
      <c r="Q379" t="s">
        <v>96</v>
      </c>
      <c r="R379" t="s">
        <v>97</v>
      </c>
      <c r="S379" t="s">
        <v>52</v>
      </c>
      <c r="T379" t="s">
        <v>2320</v>
      </c>
      <c r="U379" t="s">
        <v>2321</v>
      </c>
      <c r="V379" s="137">
        <v>5.79E-2</v>
      </c>
      <c r="W379" s="137">
        <v>4.8039999999999999E-2</v>
      </c>
      <c r="X379" t="s">
        <v>131</v>
      </c>
      <c r="Y379" t="s">
        <v>51</v>
      </c>
      <c r="Z379" s="133">
        <v>2250000</v>
      </c>
      <c r="AA379" s="135">
        <v>1</v>
      </c>
      <c r="AB379" s="139">
        <v>108.23</v>
      </c>
      <c r="AD379" s="133">
        <v>2435.1750000000002</v>
      </c>
      <c r="AG379" t="s">
        <v>135</v>
      </c>
      <c r="AH379" s="137">
        <v>2.4889999999999999E-3</v>
      </c>
      <c r="AI379" s="137">
        <v>6.8682807589825496E-3</v>
      </c>
      <c r="AJ379" s="137">
        <v>1.24265863261435E-3</v>
      </c>
    </row>
    <row r="380" spans="1:36">
      <c r="A380">
        <v>161</v>
      </c>
      <c r="B380">
        <v>9943</v>
      </c>
      <c r="C380" t="s">
        <v>1961</v>
      </c>
      <c r="D380" t="s">
        <v>1962</v>
      </c>
      <c r="E380" t="s">
        <v>41</v>
      </c>
      <c r="F380" t="s">
        <v>1967</v>
      </c>
      <c r="G380" t="s">
        <v>1968</v>
      </c>
      <c r="H380" t="s">
        <v>44</v>
      </c>
      <c r="I380" t="s">
        <v>1509</v>
      </c>
      <c r="J380" t="s">
        <v>45</v>
      </c>
      <c r="K380" t="s">
        <v>69</v>
      </c>
      <c r="L380" t="s">
        <v>46</v>
      </c>
      <c r="M380" t="s">
        <v>47</v>
      </c>
      <c r="N380" t="s">
        <v>49</v>
      </c>
      <c r="O380" t="s">
        <v>51</v>
      </c>
      <c r="P380" t="s">
        <v>158</v>
      </c>
      <c r="Q380" t="s">
        <v>96</v>
      </c>
      <c r="R380" t="s">
        <v>97</v>
      </c>
      <c r="S380" t="s">
        <v>52</v>
      </c>
      <c r="T380" t="s">
        <v>1969</v>
      </c>
      <c r="U380" t="s">
        <v>1970</v>
      </c>
      <c r="V380" s="137">
        <v>1.4999999999999999E-2</v>
      </c>
      <c r="W380" s="137">
        <v>4.8719999999999999E-2</v>
      </c>
      <c r="X380" t="s">
        <v>131</v>
      </c>
      <c r="Y380" t="s">
        <v>51</v>
      </c>
      <c r="Z380" s="133">
        <v>90686</v>
      </c>
      <c r="AA380" s="135">
        <v>1</v>
      </c>
      <c r="AB380" s="139">
        <v>92.72</v>
      </c>
      <c r="AD380" s="133">
        <v>84.084000000000003</v>
      </c>
      <c r="AG380" t="s">
        <v>135</v>
      </c>
      <c r="AH380" s="137">
        <v>7.7000000000000001E-5</v>
      </c>
      <c r="AI380" s="137">
        <v>2.37154588865486E-4</v>
      </c>
      <c r="AJ380" s="137">
        <v>4.2907709725229501E-5</v>
      </c>
    </row>
    <row r="381" spans="1:36">
      <c r="A381">
        <v>161</v>
      </c>
      <c r="B381">
        <v>9943</v>
      </c>
      <c r="C381" t="s">
        <v>2500</v>
      </c>
      <c r="D381" t="s">
        <v>2501</v>
      </c>
      <c r="E381" t="s">
        <v>41</v>
      </c>
      <c r="F381" t="s">
        <v>2502</v>
      </c>
      <c r="G381" t="s">
        <v>2503</v>
      </c>
      <c r="H381" t="s">
        <v>44</v>
      </c>
      <c r="I381" t="s">
        <v>1331</v>
      </c>
      <c r="J381" t="s">
        <v>45</v>
      </c>
      <c r="K381" t="s">
        <v>45</v>
      </c>
      <c r="L381" t="s">
        <v>46</v>
      </c>
      <c r="M381" t="s">
        <v>47</v>
      </c>
      <c r="N381" t="s">
        <v>1050</v>
      </c>
      <c r="O381" t="s">
        <v>51</v>
      </c>
      <c r="P381" t="s">
        <v>128</v>
      </c>
      <c r="Q381" t="s">
        <v>96</v>
      </c>
      <c r="R381" t="s">
        <v>97</v>
      </c>
      <c r="S381" t="s">
        <v>52</v>
      </c>
      <c r="T381" t="s">
        <v>2504</v>
      </c>
      <c r="U381" t="s">
        <v>2505</v>
      </c>
      <c r="V381" s="137">
        <v>2.5700000000000001E-2</v>
      </c>
      <c r="W381" s="137">
        <v>1.0970000000000001E-2</v>
      </c>
      <c r="X381" t="s">
        <v>131</v>
      </c>
      <c r="Y381" t="s">
        <v>51</v>
      </c>
      <c r="Z381" s="133">
        <v>852546.65</v>
      </c>
      <c r="AA381" s="135">
        <v>1</v>
      </c>
      <c r="AB381" s="139">
        <v>121.25</v>
      </c>
      <c r="AD381" s="133">
        <v>1033.713</v>
      </c>
      <c r="AG381" t="s">
        <v>135</v>
      </c>
      <c r="AH381" s="137">
        <v>1.0269999999999999E-3</v>
      </c>
      <c r="AI381" s="137">
        <v>2.9155316659788999E-3</v>
      </c>
      <c r="AJ381" s="137">
        <v>5.2749890700826097E-4</v>
      </c>
    </row>
    <row r="382" spans="1:36">
      <c r="A382">
        <v>161</v>
      </c>
      <c r="B382">
        <v>9943</v>
      </c>
      <c r="C382" t="s">
        <v>2500</v>
      </c>
      <c r="D382" t="s">
        <v>2501</v>
      </c>
      <c r="E382" t="s">
        <v>41</v>
      </c>
      <c r="F382" t="s">
        <v>2506</v>
      </c>
      <c r="G382" t="s">
        <v>2507</v>
      </c>
      <c r="H382" t="s">
        <v>44</v>
      </c>
      <c r="I382" t="s">
        <v>1331</v>
      </c>
      <c r="J382" t="s">
        <v>45</v>
      </c>
      <c r="K382" t="s">
        <v>45</v>
      </c>
      <c r="L382" t="s">
        <v>46</v>
      </c>
      <c r="M382" t="s">
        <v>47</v>
      </c>
      <c r="N382" t="s">
        <v>1050</v>
      </c>
      <c r="O382" t="s">
        <v>51</v>
      </c>
      <c r="P382" t="s">
        <v>128</v>
      </c>
      <c r="Q382" t="s">
        <v>96</v>
      </c>
      <c r="R382" t="s">
        <v>97</v>
      </c>
      <c r="S382" t="s">
        <v>52</v>
      </c>
      <c r="T382" t="s">
        <v>2508</v>
      </c>
      <c r="U382" t="s">
        <v>2196</v>
      </c>
      <c r="V382" s="137">
        <v>1.09E-2</v>
      </c>
      <c r="W382" s="137">
        <v>2.666E-2</v>
      </c>
      <c r="X382" t="s">
        <v>131</v>
      </c>
      <c r="Y382" t="s">
        <v>51</v>
      </c>
      <c r="Z382" s="133">
        <v>77969</v>
      </c>
      <c r="AA382" s="135">
        <v>1</v>
      </c>
      <c r="AB382" s="139">
        <v>111.77</v>
      </c>
      <c r="AD382" s="133">
        <v>87.146000000000001</v>
      </c>
      <c r="AG382" t="s">
        <v>135</v>
      </c>
      <c r="AH382" s="137">
        <v>1.1E-4</v>
      </c>
      <c r="AI382" s="137">
        <v>2.4579049166364601E-4</v>
      </c>
      <c r="AJ382" s="137">
        <v>4.44701792192899E-5</v>
      </c>
    </row>
    <row r="383" spans="1:36">
      <c r="A383">
        <v>161</v>
      </c>
      <c r="B383">
        <v>9943</v>
      </c>
      <c r="C383" t="s">
        <v>2509</v>
      </c>
      <c r="D383" t="s">
        <v>2510</v>
      </c>
      <c r="E383" t="s">
        <v>41</v>
      </c>
      <c r="F383" t="s">
        <v>2511</v>
      </c>
      <c r="G383" t="s">
        <v>2512</v>
      </c>
      <c r="H383" t="s">
        <v>44</v>
      </c>
      <c r="I383" t="s">
        <v>1509</v>
      </c>
      <c r="J383" t="s">
        <v>45</v>
      </c>
      <c r="K383" t="s">
        <v>45</v>
      </c>
      <c r="L383" t="s">
        <v>46</v>
      </c>
      <c r="M383" t="s">
        <v>47</v>
      </c>
      <c r="N383" t="s">
        <v>1038</v>
      </c>
      <c r="O383" t="s">
        <v>51</v>
      </c>
      <c r="P383" t="s">
        <v>733</v>
      </c>
      <c r="Q383" t="s">
        <v>733</v>
      </c>
      <c r="R383" t="s">
        <v>733</v>
      </c>
      <c r="S383" t="s">
        <v>52</v>
      </c>
      <c r="T383" t="s">
        <v>2513</v>
      </c>
      <c r="U383" t="s">
        <v>130</v>
      </c>
      <c r="V383" s="137">
        <v>8.5000000000000006E-2</v>
      </c>
      <c r="W383" s="137">
        <v>5.4850000000000003E-2</v>
      </c>
      <c r="X383" t="s">
        <v>131</v>
      </c>
      <c r="Y383" t="s">
        <v>51</v>
      </c>
      <c r="Z383" s="133">
        <v>68588</v>
      </c>
      <c r="AA383" s="135">
        <v>1</v>
      </c>
      <c r="AB383" s="139">
        <v>104.38</v>
      </c>
      <c r="AD383" s="133">
        <v>71.591999999999999</v>
      </c>
      <c r="AG383" t="s">
        <v>135</v>
      </c>
      <c r="AH383" s="137">
        <v>5.2800000000000004E-4</v>
      </c>
      <c r="AI383" s="137">
        <v>2.0192183993332201E-4</v>
      </c>
      <c r="AJ383" s="137">
        <v>3.6533148004812403E-5</v>
      </c>
    </row>
    <row r="384" spans="1:36">
      <c r="A384">
        <v>161</v>
      </c>
      <c r="B384">
        <v>9943</v>
      </c>
      <c r="C384" t="s">
        <v>2514</v>
      </c>
      <c r="D384" t="s">
        <v>2515</v>
      </c>
      <c r="E384" t="s">
        <v>41</v>
      </c>
      <c r="F384" t="s">
        <v>2516</v>
      </c>
      <c r="G384" t="s">
        <v>2517</v>
      </c>
      <c r="H384" t="s">
        <v>44</v>
      </c>
      <c r="I384" t="s">
        <v>1331</v>
      </c>
      <c r="J384" t="s">
        <v>45</v>
      </c>
      <c r="K384" t="s">
        <v>45</v>
      </c>
      <c r="L384" t="s">
        <v>46</v>
      </c>
      <c r="M384" t="s">
        <v>47</v>
      </c>
      <c r="N384" t="s">
        <v>150</v>
      </c>
      <c r="O384" t="s">
        <v>51</v>
      </c>
      <c r="P384" t="s">
        <v>1999</v>
      </c>
      <c r="Q384" t="s">
        <v>96</v>
      </c>
      <c r="R384" t="s">
        <v>97</v>
      </c>
      <c r="S384" t="s">
        <v>52</v>
      </c>
      <c r="T384" t="s">
        <v>2518</v>
      </c>
      <c r="U384" t="s">
        <v>2519</v>
      </c>
      <c r="V384" s="137">
        <v>2.8799999999999999E-2</v>
      </c>
      <c r="W384" s="137">
        <v>2.699E-2</v>
      </c>
      <c r="X384" t="s">
        <v>131</v>
      </c>
      <c r="Y384" t="s">
        <v>51</v>
      </c>
      <c r="Z384" s="133">
        <v>87429.37</v>
      </c>
      <c r="AA384" s="135">
        <v>1</v>
      </c>
      <c r="AB384" s="139">
        <v>118.29</v>
      </c>
      <c r="AD384" s="133">
        <v>103.42</v>
      </c>
      <c r="AG384" t="s">
        <v>135</v>
      </c>
      <c r="AH384" s="137">
        <v>4.8099999999999998E-4</v>
      </c>
      <c r="AI384" s="137">
        <v>2.91691144138548E-4</v>
      </c>
      <c r="AJ384" s="137">
        <v>5.2774854587426303E-5</v>
      </c>
    </row>
    <row r="385" spans="1:36">
      <c r="A385">
        <v>161</v>
      </c>
      <c r="B385">
        <v>9943</v>
      </c>
      <c r="C385" t="s">
        <v>2520</v>
      </c>
      <c r="D385" t="s">
        <v>2521</v>
      </c>
      <c r="E385" t="s">
        <v>41</v>
      </c>
      <c r="F385" t="s">
        <v>2522</v>
      </c>
      <c r="G385" t="s">
        <v>2523</v>
      </c>
      <c r="H385" t="s">
        <v>44</v>
      </c>
      <c r="I385" t="s">
        <v>1509</v>
      </c>
      <c r="J385" t="s">
        <v>45</v>
      </c>
      <c r="K385" t="s">
        <v>45</v>
      </c>
      <c r="L385" t="s">
        <v>46</v>
      </c>
      <c r="M385" t="s">
        <v>47</v>
      </c>
      <c r="N385" t="s">
        <v>150</v>
      </c>
      <c r="O385" t="s">
        <v>51</v>
      </c>
      <c r="P385" t="s">
        <v>1919</v>
      </c>
      <c r="Q385" t="s">
        <v>96</v>
      </c>
      <c r="R385" t="s">
        <v>97</v>
      </c>
      <c r="S385" t="s">
        <v>52</v>
      </c>
      <c r="T385" t="s">
        <v>2524</v>
      </c>
      <c r="U385" t="s">
        <v>2525</v>
      </c>
      <c r="V385" s="137">
        <v>1.6400000000000001E-2</v>
      </c>
      <c r="W385" s="137">
        <v>4.6420000000000003E-2</v>
      </c>
      <c r="X385" t="s">
        <v>131</v>
      </c>
      <c r="Y385" t="s">
        <v>51</v>
      </c>
      <c r="Z385" s="133">
        <v>1237966.6299999999</v>
      </c>
      <c r="AA385" s="135">
        <v>1</v>
      </c>
      <c r="AB385" s="139">
        <v>92.88</v>
      </c>
      <c r="AD385" s="133">
        <v>1149.8230000000001</v>
      </c>
      <c r="AG385" t="s">
        <v>135</v>
      </c>
      <c r="AH385" s="137">
        <v>5.7120000000000001E-3</v>
      </c>
      <c r="AI385" s="137">
        <v>3.2430153788836299E-3</v>
      </c>
      <c r="AJ385" s="137">
        <v>5.8674960993700305E-4</v>
      </c>
    </row>
    <row r="386" spans="1:36">
      <c r="A386">
        <v>161</v>
      </c>
      <c r="B386">
        <v>9943</v>
      </c>
      <c r="C386" t="s">
        <v>1915</v>
      </c>
      <c r="D386" t="s">
        <v>1916</v>
      </c>
      <c r="E386" t="s">
        <v>41</v>
      </c>
      <c r="F386" t="s">
        <v>1971</v>
      </c>
      <c r="G386" t="s">
        <v>1972</v>
      </c>
      <c r="H386" t="s">
        <v>44</v>
      </c>
      <c r="I386" t="s">
        <v>1331</v>
      </c>
      <c r="J386" t="s">
        <v>45</v>
      </c>
      <c r="K386" t="s">
        <v>45</v>
      </c>
      <c r="L386" t="s">
        <v>46</v>
      </c>
      <c r="M386" t="s">
        <v>47</v>
      </c>
      <c r="N386" t="s">
        <v>58</v>
      </c>
      <c r="O386" t="s">
        <v>51</v>
      </c>
      <c r="P386" t="s">
        <v>1919</v>
      </c>
      <c r="Q386" t="s">
        <v>96</v>
      </c>
      <c r="R386" t="s">
        <v>97</v>
      </c>
      <c r="S386" t="s">
        <v>52</v>
      </c>
      <c r="T386" t="s">
        <v>1973</v>
      </c>
      <c r="U386" t="s">
        <v>1974</v>
      </c>
      <c r="V386" s="137">
        <v>6.4999999999999997E-3</v>
      </c>
      <c r="W386" s="137">
        <v>2.7640000000000001E-2</v>
      </c>
      <c r="X386" t="s">
        <v>131</v>
      </c>
      <c r="Y386" t="s">
        <v>51</v>
      </c>
      <c r="Z386" s="133">
        <v>188498.66</v>
      </c>
      <c r="AA386" s="135">
        <v>1</v>
      </c>
      <c r="AB386" s="139">
        <v>106.82</v>
      </c>
      <c r="AD386" s="133">
        <v>201.35400000000001</v>
      </c>
      <c r="AG386" t="s">
        <v>135</v>
      </c>
      <c r="AH386" s="137">
        <v>9.1000000000000003E-5</v>
      </c>
      <c r="AI386" s="137">
        <v>5.6790893830907605E-4</v>
      </c>
      <c r="AJ386" s="137">
        <v>1.02750159682343E-4</v>
      </c>
    </row>
    <row r="387" spans="1:36">
      <c r="A387">
        <v>161</v>
      </c>
      <c r="B387">
        <v>9943</v>
      </c>
      <c r="C387" t="s">
        <v>2526</v>
      </c>
      <c r="D387" t="s">
        <v>2527</v>
      </c>
      <c r="E387" t="s">
        <v>41</v>
      </c>
      <c r="F387" t="s">
        <v>2528</v>
      </c>
      <c r="G387" t="s">
        <v>2529</v>
      </c>
      <c r="H387" t="s">
        <v>44</v>
      </c>
      <c r="I387" t="s">
        <v>1331</v>
      </c>
      <c r="J387" t="s">
        <v>45</v>
      </c>
      <c r="K387" t="s">
        <v>45</v>
      </c>
      <c r="L387" t="s">
        <v>46</v>
      </c>
      <c r="M387" t="s">
        <v>47</v>
      </c>
      <c r="N387" t="s">
        <v>58</v>
      </c>
      <c r="O387" t="s">
        <v>51</v>
      </c>
      <c r="P387" t="s">
        <v>128</v>
      </c>
      <c r="Q387" t="s">
        <v>96</v>
      </c>
      <c r="R387" t="s">
        <v>97</v>
      </c>
      <c r="S387" t="s">
        <v>52</v>
      </c>
      <c r="T387" t="s">
        <v>2530</v>
      </c>
      <c r="U387" t="s">
        <v>2196</v>
      </c>
      <c r="V387" s="137">
        <v>1.5299999999999999E-2</v>
      </c>
      <c r="W387" s="137">
        <v>2.6270000000000002E-2</v>
      </c>
      <c r="X387" t="s">
        <v>131</v>
      </c>
      <c r="Y387" t="s">
        <v>51</v>
      </c>
      <c r="Z387" s="133">
        <v>978588.78</v>
      </c>
      <c r="AA387" s="135">
        <v>1</v>
      </c>
      <c r="AB387" s="139">
        <v>114.93</v>
      </c>
      <c r="AD387" s="133">
        <v>1124.692</v>
      </c>
      <c r="AG387" t="s">
        <v>135</v>
      </c>
      <c r="AH387" s="137">
        <v>1.9589999999999998E-3</v>
      </c>
      <c r="AI387" s="137">
        <v>3.1721338327564499E-3</v>
      </c>
      <c r="AJ387" s="137">
        <v>5.7392521205944095E-4</v>
      </c>
    </row>
    <row r="388" spans="1:36">
      <c r="A388">
        <v>161</v>
      </c>
      <c r="B388">
        <v>9943</v>
      </c>
      <c r="C388" t="s">
        <v>2531</v>
      </c>
      <c r="D388" t="s">
        <v>2532</v>
      </c>
      <c r="E388" t="s">
        <v>41</v>
      </c>
      <c r="F388" t="s">
        <v>2533</v>
      </c>
      <c r="G388" t="s">
        <v>2534</v>
      </c>
      <c r="H388" t="s">
        <v>44</v>
      </c>
      <c r="I388" t="s">
        <v>1331</v>
      </c>
      <c r="J388" t="s">
        <v>45</v>
      </c>
      <c r="K388" t="s">
        <v>45</v>
      </c>
      <c r="L388" t="s">
        <v>46</v>
      </c>
      <c r="M388" t="s">
        <v>47</v>
      </c>
      <c r="N388" t="s">
        <v>1038</v>
      </c>
      <c r="O388" t="s">
        <v>51</v>
      </c>
      <c r="P388" t="s">
        <v>158</v>
      </c>
      <c r="Q388" t="s">
        <v>96</v>
      </c>
      <c r="R388" t="s">
        <v>97</v>
      </c>
      <c r="S388" t="s">
        <v>52</v>
      </c>
      <c r="T388" t="s">
        <v>2535</v>
      </c>
      <c r="U388" t="s">
        <v>2025</v>
      </c>
      <c r="V388" s="137">
        <v>7.4999999999999997E-3</v>
      </c>
      <c r="W388" s="137">
        <v>2.7269999999999999E-2</v>
      </c>
      <c r="X388" t="s">
        <v>131</v>
      </c>
      <c r="Y388" t="s">
        <v>51</v>
      </c>
      <c r="Z388" s="133">
        <v>2192999.9500000002</v>
      </c>
      <c r="AA388" s="135">
        <v>1</v>
      </c>
      <c r="AB388" s="139">
        <v>110.26</v>
      </c>
      <c r="AD388" s="133">
        <v>2418.002</v>
      </c>
      <c r="AG388" t="s">
        <v>135</v>
      </c>
      <c r="AH388" s="137">
        <v>1.676E-3</v>
      </c>
      <c r="AI388" s="137">
        <v>6.8198445119865498E-3</v>
      </c>
      <c r="AJ388" s="137">
        <v>1.23389519929338E-3</v>
      </c>
    </row>
    <row r="389" spans="1:36">
      <c r="A389">
        <v>161</v>
      </c>
      <c r="B389">
        <v>9943</v>
      </c>
      <c r="C389" t="s">
        <v>2531</v>
      </c>
      <c r="D389" t="s">
        <v>2532</v>
      </c>
      <c r="E389" t="s">
        <v>41</v>
      </c>
      <c r="F389" t="s">
        <v>2536</v>
      </c>
      <c r="G389" t="s">
        <v>2537</v>
      </c>
      <c r="H389" t="s">
        <v>44</v>
      </c>
      <c r="I389" t="s">
        <v>1331</v>
      </c>
      <c r="J389" t="s">
        <v>45</v>
      </c>
      <c r="K389" t="s">
        <v>45</v>
      </c>
      <c r="L389" t="s">
        <v>46</v>
      </c>
      <c r="M389" t="s">
        <v>47</v>
      </c>
      <c r="N389" t="s">
        <v>1038</v>
      </c>
      <c r="O389" t="s">
        <v>51</v>
      </c>
      <c r="P389" t="s">
        <v>158</v>
      </c>
      <c r="Q389" t="s">
        <v>96</v>
      </c>
      <c r="R389" t="s">
        <v>97</v>
      </c>
      <c r="S389" t="s">
        <v>52</v>
      </c>
      <c r="T389" t="s">
        <v>2538</v>
      </c>
      <c r="U389" t="s">
        <v>2539</v>
      </c>
      <c r="V389" s="137">
        <v>4.0800000000000003E-2</v>
      </c>
      <c r="W389" s="137">
        <v>3.1280000000000002E-2</v>
      </c>
      <c r="X389" t="s">
        <v>131</v>
      </c>
      <c r="Y389" t="s">
        <v>51</v>
      </c>
      <c r="Z389" s="133">
        <v>2795624.85</v>
      </c>
      <c r="AA389" s="135">
        <v>1</v>
      </c>
      <c r="AB389" s="139">
        <v>112.21</v>
      </c>
      <c r="AD389" s="133">
        <v>3136.971</v>
      </c>
      <c r="AG389" t="s">
        <v>135</v>
      </c>
      <c r="AH389" s="137">
        <v>3.388E-3</v>
      </c>
      <c r="AI389" s="137">
        <v>8.8476578138938396E-3</v>
      </c>
      <c r="AJ389" s="137">
        <v>1.60078173078086E-3</v>
      </c>
    </row>
    <row r="390" spans="1:36">
      <c r="A390">
        <v>161</v>
      </c>
      <c r="B390">
        <v>9943</v>
      </c>
      <c r="C390" t="s">
        <v>2540</v>
      </c>
      <c r="D390" t="s">
        <v>2541</v>
      </c>
      <c r="E390" t="s">
        <v>41</v>
      </c>
      <c r="F390" t="s">
        <v>2542</v>
      </c>
      <c r="G390" t="s">
        <v>2543</v>
      </c>
      <c r="H390" t="s">
        <v>44</v>
      </c>
      <c r="I390" t="s">
        <v>1509</v>
      </c>
      <c r="J390" t="s">
        <v>45</v>
      </c>
      <c r="K390" t="s">
        <v>45</v>
      </c>
      <c r="L390" t="s">
        <v>46</v>
      </c>
      <c r="M390" t="s">
        <v>47</v>
      </c>
      <c r="N390" t="s">
        <v>1069</v>
      </c>
      <c r="O390" t="s">
        <v>51</v>
      </c>
      <c r="P390" t="s">
        <v>1919</v>
      </c>
      <c r="Q390" t="s">
        <v>96</v>
      </c>
      <c r="R390" t="s">
        <v>97</v>
      </c>
      <c r="S390" t="s">
        <v>52</v>
      </c>
      <c r="T390" t="s">
        <v>2544</v>
      </c>
      <c r="U390" t="s">
        <v>2545</v>
      </c>
      <c r="V390" s="137">
        <v>2.7900000000000001E-2</v>
      </c>
      <c r="W390" s="137">
        <v>4.5560000000000003E-2</v>
      </c>
      <c r="X390" t="s">
        <v>131</v>
      </c>
      <c r="Y390" t="s">
        <v>51</v>
      </c>
      <c r="Z390" s="133">
        <v>3615048</v>
      </c>
      <c r="AA390" s="135">
        <v>1</v>
      </c>
      <c r="AB390" s="139">
        <v>89.96</v>
      </c>
      <c r="AD390" s="133">
        <v>3252.0970000000002</v>
      </c>
      <c r="AG390" t="s">
        <v>135</v>
      </c>
      <c r="AH390" s="137">
        <v>1.5659999999999999E-3</v>
      </c>
      <c r="AI390" s="137">
        <v>9.1723660489410504E-3</v>
      </c>
      <c r="AJ390" s="137">
        <v>1.65953027434246E-3</v>
      </c>
    </row>
    <row r="391" spans="1:36">
      <c r="A391">
        <v>161</v>
      </c>
      <c r="B391">
        <v>9943</v>
      </c>
      <c r="C391" t="s">
        <v>2540</v>
      </c>
      <c r="D391" t="s">
        <v>2541</v>
      </c>
      <c r="E391" t="s">
        <v>41</v>
      </c>
      <c r="F391" t="s">
        <v>2546</v>
      </c>
      <c r="G391" t="s">
        <v>2547</v>
      </c>
      <c r="H391" t="s">
        <v>44</v>
      </c>
      <c r="I391" t="s">
        <v>1331</v>
      </c>
      <c r="J391" t="s">
        <v>45</v>
      </c>
      <c r="K391" t="s">
        <v>45</v>
      </c>
      <c r="L391" t="s">
        <v>46</v>
      </c>
      <c r="M391" t="s">
        <v>47</v>
      </c>
      <c r="N391" t="s">
        <v>1069</v>
      </c>
      <c r="O391" t="s">
        <v>51</v>
      </c>
      <c r="P391" t="s">
        <v>1919</v>
      </c>
      <c r="Q391" t="s">
        <v>96</v>
      </c>
      <c r="R391" t="s">
        <v>97</v>
      </c>
      <c r="S391" t="s">
        <v>52</v>
      </c>
      <c r="T391" t="s">
        <v>2548</v>
      </c>
      <c r="U391" t="s">
        <v>2549</v>
      </c>
      <c r="V391" s="137">
        <v>5.7999999999999996E-3</v>
      </c>
      <c r="W391" s="137">
        <v>2.562E-2</v>
      </c>
      <c r="X391" t="s">
        <v>131</v>
      </c>
      <c r="Y391" t="s">
        <v>51</v>
      </c>
      <c r="Z391" s="133">
        <v>1450000</v>
      </c>
      <c r="AA391" s="135">
        <v>1</v>
      </c>
      <c r="AB391" s="139">
        <v>100.61</v>
      </c>
      <c r="AD391" s="133">
        <v>1458.845</v>
      </c>
      <c r="AG391" t="s">
        <v>135</v>
      </c>
      <c r="AH391" s="137">
        <v>1.807E-3</v>
      </c>
      <c r="AI391" s="137">
        <v>4.1145942463428299E-3</v>
      </c>
      <c r="AJ391" s="137">
        <v>7.44441911934984E-4</v>
      </c>
    </row>
    <row r="392" spans="1:36">
      <c r="A392">
        <v>161</v>
      </c>
      <c r="B392">
        <v>9943</v>
      </c>
      <c r="C392" t="s">
        <v>53</v>
      </c>
      <c r="D392" t="s">
        <v>54</v>
      </c>
      <c r="E392" t="s">
        <v>41</v>
      </c>
      <c r="F392" t="s">
        <v>2550</v>
      </c>
      <c r="G392" t="s">
        <v>2551</v>
      </c>
      <c r="H392" t="s">
        <v>44</v>
      </c>
      <c r="I392" t="s">
        <v>1331</v>
      </c>
      <c r="J392" t="s">
        <v>45</v>
      </c>
      <c r="K392" t="s">
        <v>45</v>
      </c>
      <c r="L392" t="s">
        <v>46</v>
      </c>
      <c r="M392" t="s">
        <v>47</v>
      </c>
      <c r="N392" t="s">
        <v>58</v>
      </c>
      <c r="O392" t="s">
        <v>51</v>
      </c>
      <c r="P392" t="s">
        <v>1936</v>
      </c>
      <c r="Q392" t="s">
        <v>96</v>
      </c>
      <c r="R392" t="s">
        <v>97</v>
      </c>
      <c r="S392" t="s">
        <v>52</v>
      </c>
      <c r="T392" t="s">
        <v>2552</v>
      </c>
      <c r="U392" t="s">
        <v>2553</v>
      </c>
      <c r="V392" s="137">
        <v>1.95E-2</v>
      </c>
      <c r="W392" s="137">
        <v>2.0240000000000001E-2</v>
      </c>
      <c r="X392" t="s">
        <v>131</v>
      </c>
      <c r="Y392" t="s">
        <v>51</v>
      </c>
      <c r="Z392" s="133">
        <v>800112.72</v>
      </c>
      <c r="AA392" s="135">
        <v>1</v>
      </c>
      <c r="AB392" s="139">
        <v>119.5</v>
      </c>
      <c r="AD392" s="133">
        <v>956.13499999999999</v>
      </c>
      <c r="AG392" t="s">
        <v>135</v>
      </c>
      <c r="AH392" s="137">
        <v>4.7520000000000001E-3</v>
      </c>
      <c r="AI392" s="137">
        <v>2.6967267509533698E-3</v>
      </c>
      <c r="AJ392" s="137">
        <v>4.8791115192714702E-4</v>
      </c>
    </row>
    <row r="393" spans="1:36">
      <c r="A393">
        <v>161</v>
      </c>
      <c r="B393">
        <v>9943</v>
      </c>
      <c r="C393" t="s">
        <v>53</v>
      </c>
      <c r="D393" t="s">
        <v>54</v>
      </c>
      <c r="E393" t="s">
        <v>41</v>
      </c>
      <c r="F393" t="s">
        <v>1975</v>
      </c>
      <c r="G393" t="s">
        <v>1976</v>
      </c>
      <c r="H393" t="s">
        <v>44</v>
      </c>
      <c r="I393" t="s">
        <v>1331</v>
      </c>
      <c r="J393" t="s">
        <v>45</v>
      </c>
      <c r="K393" t="s">
        <v>45</v>
      </c>
      <c r="L393" t="s">
        <v>46</v>
      </c>
      <c r="M393" t="s">
        <v>47</v>
      </c>
      <c r="N393" t="s">
        <v>58</v>
      </c>
      <c r="O393" t="s">
        <v>51</v>
      </c>
      <c r="P393" t="s">
        <v>1977</v>
      </c>
      <c r="Q393" t="s">
        <v>167</v>
      </c>
      <c r="R393" t="s">
        <v>97</v>
      </c>
      <c r="S393" t="s">
        <v>52</v>
      </c>
      <c r="T393" t="s">
        <v>1978</v>
      </c>
      <c r="U393" t="s">
        <v>1979</v>
      </c>
      <c r="V393" s="137">
        <v>1.17E-2</v>
      </c>
      <c r="W393" s="137">
        <v>2.6040000000000001E-2</v>
      </c>
      <c r="X393" t="s">
        <v>131</v>
      </c>
      <c r="Y393" t="s">
        <v>51</v>
      </c>
      <c r="Z393" s="133">
        <v>883646.7</v>
      </c>
      <c r="AA393" s="135">
        <v>1</v>
      </c>
      <c r="AB393" s="139">
        <v>112.45</v>
      </c>
      <c r="AD393" s="133">
        <v>993.66099999999994</v>
      </c>
      <c r="AG393" t="s">
        <v>135</v>
      </c>
      <c r="AH393" s="137">
        <v>1.2830000000000001E-3</v>
      </c>
      <c r="AI393" s="137">
        <v>2.8025668643745501E-3</v>
      </c>
      <c r="AJ393" s="137">
        <v>5.0706050461598597E-4</v>
      </c>
    </row>
    <row r="394" spans="1:36">
      <c r="A394">
        <v>161</v>
      </c>
      <c r="B394">
        <v>9943</v>
      </c>
      <c r="C394" t="s">
        <v>53</v>
      </c>
      <c r="D394" t="s">
        <v>54</v>
      </c>
      <c r="E394" t="s">
        <v>41</v>
      </c>
      <c r="F394" t="s">
        <v>2554</v>
      </c>
      <c r="G394" t="s">
        <v>2555</v>
      </c>
      <c r="H394" t="s">
        <v>44</v>
      </c>
      <c r="I394" t="s">
        <v>1331</v>
      </c>
      <c r="J394" t="s">
        <v>45</v>
      </c>
      <c r="K394" t="s">
        <v>45</v>
      </c>
      <c r="L394" t="s">
        <v>46</v>
      </c>
      <c r="M394" t="s">
        <v>47</v>
      </c>
      <c r="N394" t="s">
        <v>58</v>
      </c>
      <c r="O394" t="s">
        <v>51</v>
      </c>
      <c r="P394" t="s">
        <v>1977</v>
      </c>
      <c r="Q394" t="s">
        <v>167</v>
      </c>
      <c r="R394" t="s">
        <v>97</v>
      </c>
      <c r="S394" t="s">
        <v>52</v>
      </c>
      <c r="T394" t="s">
        <v>2556</v>
      </c>
      <c r="U394" t="s">
        <v>2557</v>
      </c>
      <c r="V394" s="137">
        <v>1.3299999999999999E-2</v>
      </c>
      <c r="W394" s="137">
        <v>2.683E-2</v>
      </c>
      <c r="X394" t="s">
        <v>131</v>
      </c>
      <c r="Y394" t="s">
        <v>51</v>
      </c>
      <c r="Z394" s="133">
        <v>1287100.3799999999</v>
      </c>
      <c r="AA394" s="135">
        <v>1</v>
      </c>
      <c r="AB394" s="139">
        <v>112.26</v>
      </c>
      <c r="AD394" s="133">
        <v>1444.8989999999999</v>
      </c>
      <c r="AG394" t="s">
        <v>135</v>
      </c>
      <c r="AH394" s="137">
        <v>1.3290000000000001E-3</v>
      </c>
      <c r="AI394" s="137">
        <v>4.0752599798485403E-3</v>
      </c>
      <c r="AJ394" s="137">
        <v>7.3732527423016195E-4</v>
      </c>
    </row>
    <row r="395" spans="1:36">
      <c r="A395">
        <v>161</v>
      </c>
      <c r="B395">
        <v>9943</v>
      </c>
      <c r="C395" t="s">
        <v>2558</v>
      </c>
      <c r="D395" t="s">
        <v>2559</v>
      </c>
      <c r="E395" t="s">
        <v>41</v>
      </c>
      <c r="F395" t="s">
        <v>2560</v>
      </c>
      <c r="G395" t="s">
        <v>2561</v>
      </c>
      <c r="H395" t="s">
        <v>44</v>
      </c>
      <c r="I395" t="s">
        <v>1509</v>
      </c>
      <c r="J395" t="s">
        <v>45</v>
      </c>
      <c r="K395" t="s">
        <v>45</v>
      </c>
      <c r="L395" t="s">
        <v>46</v>
      </c>
      <c r="M395" t="s">
        <v>47</v>
      </c>
      <c r="N395" t="s">
        <v>1034</v>
      </c>
      <c r="O395" t="s">
        <v>51</v>
      </c>
      <c r="P395" t="s">
        <v>128</v>
      </c>
      <c r="Q395" t="s">
        <v>96</v>
      </c>
      <c r="R395" t="s">
        <v>97</v>
      </c>
      <c r="S395" t="s">
        <v>52</v>
      </c>
      <c r="T395" t="s">
        <v>2562</v>
      </c>
      <c r="U395" t="s">
        <v>2563</v>
      </c>
      <c r="V395" s="137">
        <v>5.7500000000000002E-2</v>
      </c>
      <c r="W395" s="137">
        <v>4.9160000000000002E-2</v>
      </c>
      <c r="X395" t="s">
        <v>131</v>
      </c>
      <c r="Y395" t="s">
        <v>51</v>
      </c>
      <c r="Z395" s="133">
        <v>455838.89</v>
      </c>
      <c r="AA395" s="135">
        <v>1</v>
      </c>
      <c r="AB395" s="139">
        <v>103.27</v>
      </c>
      <c r="AD395" s="133">
        <v>470.745</v>
      </c>
      <c r="AG395" t="s">
        <v>135</v>
      </c>
      <c r="AH395" s="137">
        <v>8.9499999999999996E-4</v>
      </c>
      <c r="AI395" s="137">
        <v>1.32771057574646E-3</v>
      </c>
      <c r="AJ395" s="137">
        <v>2.4021892325920501E-4</v>
      </c>
    </row>
    <row r="396" spans="1:36">
      <c r="A396">
        <v>161</v>
      </c>
      <c r="B396">
        <v>9943</v>
      </c>
      <c r="C396" t="s">
        <v>1989</v>
      </c>
      <c r="D396" t="s">
        <v>1990</v>
      </c>
      <c r="E396" t="s">
        <v>41</v>
      </c>
      <c r="F396" t="s">
        <v>2328</v>
      </c>
      <c r="G396" t="s">
        <v>2329</v>
      </c>
      <c r="H396" t="s">
        <v>44</v>
      </c>
      <c r="I396" t="s">
        <v>1509</v>
      </c>
      <c r="J396" t="s">
        <v>45</v>
      </c>
      <c r="K396" t="s">
        <v>45</v>
      </c>
      <c r="L396" t="s">
        <v>46</v>
      </c>
      <c r="M396" t="s">
        <v>47</v>
      </c>
      <c r="N396" t="s">
        <v>58</v>
      </c>
      <c r="O396" t="s">
        <v>51</v>
      </c>
      <c r="P396" t="s">
        <v>1919</v>
      </c>
      <c r="Q396" t="s">
        <v>96</v>
      </c>
      <c r="R396" t="s">
        <v>97</v>
      </c>
      <c r="S396" t="s">
        <v>52</v>
      </c>
      <c r="T396" t="s">
        <v>2330</v>
      </c>
      <c r="U396" t="s">
        <v>2294</v>
      </c>
      <c r="V396" s="137">
        <v>2.5499999999999998E-2</v>
      </c>
      <c r="W396" s="137">
        <v>4.7719999999999999E-2</v>
      </c>
      <c r="X396" t="s">
        <v>131</v>
      </c>
      <c r="Y396" t="s">
        <v>51</v>
      </c>
      <c r="Z396" s="133">
        <v>2003635.9</v>
      </c>
      <c r="AA396" s="135">
        <v>1</v>
      </c>
      <c r="AB396" s="139">
        <v>92.08</v>
      </c>
      <c r="AD396" s="133">
        <v>1844.9480000000001</v>
      </c>
      <c r="AG396" t="s">
        <v>135</v>
      </c>
      <c r="AH396" s="137">
        <v>5.8299999999999997E-4</v>
      </c>
      <c r="AI396" s="137">
        <v>5.2035769154572201E-3</v>
      </c>
      <c r="AJ396" s="137">
        <v>9.4146846953058097E-4</v>
      </c>
    </row>
    <row r="397" spans="1:36">
      <c r="A397">
        <v>161</v>
      </c>
      <c r="B397">
        <v>9943</v>
      </c>
      <c r="C397" t="s">
        <v>1989</v>
      </c>
      <c r="D397" t="s">
        <v>1990</v>
      </c>
      <c r="E397" t="s">
        <v>41</v>
      </c>
      <c r="F397" t="s">
        <v>1991</v>
      </c>
      <c r="G397" t="s">
        <v>1992</v>
      </c>
      <c r="H397" t="s">
        <v>44</v>
      </c>
      <c r="I397" t="s">
        <v>1331</v>
      </c>
      <c r="J397" t="s">
        <v>45</v>
      </c>
      <c r="K397" t="s">
        <v>45</v>
      </c>
      <c r="L397" t="s">
        <v>46</v>
      </c>
      <c r="M397" t="s">
        <v>47</v>
      </c>
      <c r="N397" t="s">
        <v>58</v>
      </c>
      <c r="O397" t="s">
        <v>51</v>
      </c>
      <c r="P397" t="s">
        <v>1919</v>
      </c>
      <c r="Q397" t="s">
        <v>96</v>
      </c>
      <c r="R397" t="s">
        <v>97</v>
      </c>
      <c r="S397" t="s">
        <v>52</v>
      </c>
      <c r="T397" t="s">
        <v>1993</v>
      </c>
      <c r="U397" t="s">
        <v>1994</v>
      </c>
      <c r="V397" s="137">
        <v>5.8999999999999999E-3</v>
      </c>
      <c r="W397" s="137">
        <v>2.716E-2</v>
      </c>
      <c r="X397" t="s">
        <v>131</v>
      </c>
      <c r="Y397" t="s">
        <v>51</v>
      </c>
      <c r="Z397" s="133">
        <v>208474</v>
      </c>
      <c r="AA397" s="135">
        <v>1</v>
      </c>
      <c r="AB397" s="139">
        <v>105.93</v>
      </c>
      <c r="AD397" s="133">
        <v>220.83699999999999</v>
      </c>
      <c r="AG397" t="s">
        <v>135</v>
      </c>
      <c r="AH397" s="137">
        <v>1.4899999999999999E-4</v>
      </c>
      <c r="AI397" s="137">
        <v>6.2285755239395598E-4</v>
      </c>
      <c r="AJ397" s="137">
        <v>1.12691857181163E-4</v>
      </c>
    </row>
    <row r="398" spans="1:36">
      <c r="A398">
        <v>161</v>
      </c>
      <c r="B398">
        <v>9943</v>
      </c>
      <c r="C398" t="s">
        <v>1989</v>
      </c>
      <c r="D398" t="s">
        <v>1990</v>
      </c>
      <c r="E398" t="s">
        <v>41</v>
      </c>
      <c r="F398" t="s">
        <v>2335</v>
      </c>
      <c r="G398" t="s">
        <v>2336</v>
      </c>
      <c r="H398" t="s">
        <v>44</v>
      </c>
      <c r="I398" t="s">
        <v>1331</v>
      </c>
      <c r="J398" t="s">
        <v>45</v>
      </c>
      <c r="K398" t="s">
        <v>45</v>
      </c>
      <c r="L398" t="s">
        <v>46</v>
      </c>
      <c r="M398" t="s">
        <v>47</v>
      </c>
      <c r="N398" t="s">
        <v>58</v>
      </c>
      <c r="O398" t="s">
        <v>51</v>
      </c>
      <c r="P398" t="s">
        <v>1919</v>
      </c>
      <c r="Q398" t="s">
        <v>96</v>
      </c>
      <c r="R398" t="s">
        <v>97</v>
      </c>
      <c r="S398" t="s">
        <v>52</v>
      </c>
      <c r="T398" t="s">
        <v>2337</v>
      </c>
      <c r="U398" t="s">
        <v>1824</v>
      </c>
      <c r="V398" s="137">
        <v>3.3399999999999999E-2</v>
      </c>
      <c r="W398" s="137">
        <v>2.581E-2</v>
      </c>
      <c r="X398" t="s">
        <v>131</v>
      </c>
      <c r="Y398" t="s">
        <v>51</v>
      </c>
      <c r="Z398" s="133">
        <v>1500168</v>
      </c>
      <c r="AA398" s="135">
        <v>1</v>
      </c>
      <c r="AB398" s="139">
        <v>105.73</v>
      </c>
      <c r="AD398" s="133">
        <v>1586.1279999999999</v>
      </c>
      <c r="AG398" t="s">
        <v>135</v>
      </c>
      <c r="AH398" s="137">
        <v>1.3940000000000001E-3</v>
      </c>
      <c r="AI398" s="137">
        <v>4.47358808204494E-3</v>
      </c>
      <c r="AJ398" s="137">
        <v>8.0939365235519498E-4</v>
      </c>
    </row>
    <row r="399" spans="1:36">
      <c r="A399">
        <v>161</v>
      </c>
      <c r="B399">
        <v>9943</v>
      </c>
      <c r="C399" t="s">
        <v>1995</v>
      </c>
      <c r="D399" t="s">
        <v>1996</v>
      </c>
      <c r="E399" t="s">
        <v>41</v>
      </c>
      <c r="F399" t="s">
        <v>2564</v>
      </c>
      <c r="G399" t="s">
        <v>2565</v>
      </c>
      <c r="H399" t="s">
        <v>44</v>
      </c>
      <c r="I399" t="s">
        <v>1331</v>
      </c>
      <c r="J399" t="s">
        <v>45</v>
      </c>
      <c r="K399" t="s">
        <v>264</v>
      </c>
      <c r="L399" t="s">
        <v>46</v>
      </c>
      <c r="M399" t="s">
        <v>47</v>
      </c>
      <c r="N399" t="s">
        <v>1050</v>
      </c>
      <c r="O399" t="s">
        <v>51</v>
      </c>
      <c r="P399" t="s">
        <v>1999</v>
      </c>
      <c r="Q399" t="s">
        <v>96</v>
      </c>
      <c r="R399" t="s">
        <v>97</v>
      </c>
      <c r="S399" t="s">
        <v>52</v>
      </c>
      <c r="T399" t="s">
        <v>2566</v>
      </c>
      <c r="U399" t="s">
        <v>2567</v>
      </c>
      <c r="V399" s="137">
        <v>1.7899999999999999E-2</v>
      </c>
      <c r="W399" s="137">
        <v>6.5329999999999999E-2</v>
      </c>
      <c r="X399" t="s">
        <v>131</v>
      </c>
      <c r="Y399" t="s">
        <v>51</v>
      </c>
      <c r="Z399" s="133">
        <v>3171597.68</v>
      </c>
      <c r="AA399" s="135">
        <v>1</v>
      </c>
      <c r="AB399" s="139">
        <v>96.53</v>
      </c>
      <c r="AD399" s="133">
        <v>3061.5430000000001</v>
      </c>
      <c r="AG399" t="s">
        <v>135</v>
      </c>
      <c r="AH399" s="137">
        <v>2.0669999999999998E-3</v>
      </c>
      <c r="AI399" s="137">
        <v>8.6349188586227702E-3</v>
      </c>
      <c r="AJ399" s="137">
        <v>1.5622914726598301E-3</v>
      </c>
    </row>
    <row r="400" spans="1:36">
      <c r="A400">
        <v>161</v>
      </c>
      <c r="B400">
        <v>9943</v>
      </c>
      <c r="C400" t="s">
        <v>2002</v>
      </c>
      <c r="D400" t="s">
        <v>2003</v>
      </c>
      <c r="E400" t="s">
        <v>41</v>
      </c>
      <c r="F400" t="s">
        <v>2004</v>
      </c>
      <c r="G400" t="s">
        <v>2005</v>
      </c>
      <c r="H400" t="s">
        <v>44</v>
      </c>
      <c r="I400" t="s">
        <v>1331</v>
      </c>
      <c r="J400" t="s">
        <v>45</v>
      </c>
      <c r="K400" t="s">
        <v>45</v>
      </c>
      <c r="L400" t="s">
        <v>46</v>
      </c>
      <c r="M400" t="s">
        <v>47</v>
      </c>
      <c r="N400" t="s">
        <v>221</v>
      </c>
      <c r="O400" t="s">
        <v>51</v>
      </c>
      <c r="P400" t="s">
        <v>95</v>
      </c>
      <c r="Q400" t="s">
        <v>96</v>
      </c>
      <c r="R400" t="s">
        <v>97</v>
      </c>
      <c r="S400" t="s">
        <v>52</v>
      </c>
      <c r="T400" t="s">
        <v>2006</v>
      </c>
      <c r="U400" t="s">
        <v>2007</v>
      </c>
      <c r="V400" s="137">
        <v>2E-3</v>
      </c>
      <c r="W400" s="137">
        <v>2.4199999999999999E-2</v>
      </c>
      <c r="X400" t="s">
        <v>131</v>
      </c>
      <c r="Y400" t="s">
        <v>51</v>
      </c>
      <c r="Z400" s="133">
        <v>100915.63</v>
      </c>
      <c r="AA400" s="135">
        <v>1</v>
      </c>
      <c r="AB400" s="139">
        <v>106.92</v>
      </c>
      <c r="AD400" s="133">
        <v>107.899</v>
      </c>
      <c r="AG400" t="s">
        <v>135</v>
      </c>
      <c r="AH400" s="137">
        <v>3.4E-5</v>
      </c>
      <c r="AI400" s="137">
        <v>3.0432333113325602E-4</v>
      </c>
      <c r="AJ400" s="137">
        <v>5.5060360490376297E-5</v>
      </c>
    </row>
    <row r="401" spans="1:36">
      <c r="A401">
        <v>161</v>
      </c>
      <c r="B401">
        <v>9943</v>
      </c>
      <c r="C401" t="s">
        <v>2002</v>
      </c>
      <c r="D401" t="s">
        <v>2003</v>
      </c>
      <c r="E401" t="s">
        <v>41</v>
      </c>
      <c r="F401" t="s">
        <v>2012</v>
      </c>
      <c r="G401" t="s">
        <v>2013</v>
      </c>
      <c r="H401" t="s">
        <v>44</v>
      </c>
      <c r="I401" t="s">
        <v>1509</v>
      </c>
      <c r="J401" t="s">
        <v>45</v>
      </c>
      <c r="K401" t="s">
        <v>45</v>
      </c>
      <c r="L401" t="s">
        <v>46</v>
      </c>
      <c r="M401" t="s">
        <v>47</v>
      </c>
      <c r="N401" t="s">
        <v>221</v>
      </c>
      <c r="O401" t="s">
        <v>51</v>
      </c>
      <c r="P401" t="s">
        <v>95</v>
      </c>
      <c r="Q401" t="s">
        <v>96</v>
      </c>
      <c r="R401" t="s">
        <v>97</v>
      </c>
      <c r="S401" t="s">
        <v>52</v>
      </c>
      <c r="T401" t="s">
        <v>2014</v>
      </c>
      <c r="U401" t="s">
        <v>2015</v>
      </c>
      <c r="V401" s="137">
        <v>2.6800000000000001E-2</v>
      </c>
      <c r="W401" s="137">
        <v>4.3880000000000002E-2</v>
      </c>
      <c r="X401" t="s">
        <v>131</v>
      </c>
      <c r="Y401" t="s">
        <v>51</v>
      </c>
      <c r="Z401" s="133">
        <v>144210.46</v>
      </c>
      <c r="AA401" s="135">
        <v>1</v>
      </c>
      <c r="AB401" s="139">
        <v>96.69</v>
      </c>
      <c r="AD401" s="133">
        <v>139.43700000000001</v>
      </c>
      <c r="AG401" t="s">
        <v>135</v>
      </c>
      <c r="AH401" s="137">
        <v>6.2000000000000003E-5</v>
      </c>
      <c r="AI401" s="137">
        <v>3.93274860433607E-4</v>
      </c>
      <c r="AJ401" s="137">
        <v>7.1154109369929105E-5</v>
      </c>
    </row>
    <row r="402" spans="1:36">
      <c r="A402">
        <v>161</v>
      </c>
      <c r="B402">
        <v>9943</v>
      </c>
      <c r="C402" t="s">
        <v>2002</v>
      </c>
      <c r="D402" t="s">
        <v>2003</v>
      </c>
      <c r="E402" t="s">
        <v>41</v>
      </c>
      <c r="F402" t="s">
        <v>2568</v>
      </c>
      <c r="G402" t="s">
        <v>2569</v>
      </c>
      <c r="H402" t="s">
        <v>44</v>
      </c>
      <c r="I402" t="s">
        <v>1331</v>
      </c>
      <c r="J402" t="s">
        <v>45</v>
      </c>
      <c r="K402" t="s">
        <v>45</v>
      </c>
      <c r="L402" t="s">
        <v>46</v>
      </c>
      <c r="M402" t="s">
        <v>47</v>
      </c>
      <c r="N402" t="s">
        <v>221</v>
      </c>
      <c r="O402" t="s">
        <v>51</v>
      </c>
      <c r="P402" t="s">
        <v>227</v>
      </c>
      <c r="Q402" t="s">
        <v>96</v>
      </c>
      <c r="R402" t="s">
        <v>97</v>
      </c>
      <c r="S402" t="s">
        <v>52</v>
      </c>
      <c r="T402" t="s">
        <v>2570</v>
      </c>
      <c r="U402" t="s">
        <v>2571</v>
      </c>
      <c r="V402" s="137">
        <v>4.7500000000000001E-2</v>
      </c>
      <c r="W402" s="137">
        <v>1E-4</v>
      </c>
      <c r="X402" t="s">
        <v>131</v>
      </c>
      <c r="Y402" t="s">
        <v>51</v>
      </c>
      <c r="Z402" s="133">
        <v>0</v>
      </c>
      <c r="AA402" s="135">
        <v>1</v>
      </c>
      <c r="AB402" s="139">
        <v>0</v>
      </c>
      <c r="AC402" s="133">
        <v>0</v>
      </c>
      <c r="AD402" s="133">
        <v>0</v>
      </c>
      <c r="AG402" t="s">
        <v>135</v>
      </c>
      <c r="AH402" s="137">
        <v>0</v>
      </c>
      <c r="AI402" s="137">
        <v>2.8204464808412301E-10</v>
      </c>
      <c r="AJ402" s="137">
        <v>5.1029541310761898E-11</v>
      </c>
    </row>
    <row r="403" spans="1:36">
      <c r="A403">
        <v>161</v>
      </c>
      <c r="B403">
        <v>9943</v>
      </c>
      <c r="C403" t="s">
        <v>2572</v>
      </c>
      <c r="D403" t="s">
        <v>2573</v>
      </c>
      <c r="E403" t="s">
        <v>41</v>
      </c>
      <c r="F403" t="s">
        <v>2574</v>
      </c>
      <c r="G403" t="s">
        <v>2575</v>
      </c>
      <c r="H403" t="s">
        <v>44</v>
      </c>
      <c r="I403" t="s">
        <v>1331</v>
      </c>
      <c r="J403" t="s">
        <v>45</v>
      </c>
      <c r="K403" t="s">
        <v>45</v>
      </c>
      <c r="L403" t="s">
        <v>46</v>
      </c>
      <c r="M403" t="s">
        <v>47</v>
      </c>
      <c r="N403" t="s">
        <v>1034</v>
      </c>
      <c r="O403" t="s">
        <v>51</v>
      </c>
      <c r="P403" t="s">
        <v>175</v>
      </c>
      <c r="Q403" t="s">
        <v>167</v>
      </c>
      <c r="R403" t="s">
        <v>97</v>
      </c>
      <c r="S403" t="s">
        <v>52</v>
      </c>
      <c r="T403" t="s">
        <v>2576</v>
      </c>
      <c r="U403" t="s">
        <v>2567</v>
      </c>
      <c r="V403" s="137">
        <v>1.7999999999999999E-2</v>
      </c>
      <c r="W403" s="137">
        <v>2.8930000000000001E-2</v>
      </c>
      <c r="X403" t="s">
        <v>131</v>
      </c>
      <c r="Y403" t="s">
        <v>51</v>
      </c>
      <c r="Z403" s="133">
        <v>423262.96</v>
      </c>
      <c r="AA403" s="135">
        <v>1</v>
      </c>
      <c r="AB403" s="139">
        <v>114.15</v>
      </c>
      <c r="AD403" s="133">
        <v>483.15499999999997</v>
      </c>
      <c r="AG403" t="s">
        <v>135</v>
      </c>
      <c r="AH403" s="137">
        <v>5.5999999999999995E-4</v>
      </c>
      <c r="AI403" s="137">
        <v>1.3627118854317899E-3</v>
      </c>
      <c r="AJ403" s="137">
        <v>2.4655161133058302E-4</v>
      </c>
    </row>
    <row r="404" spans="1:36">
      <c r="A404">
        <v>161</v>
      </c>
      <c r="B404">
        <v>9943</v>
      </c>
      <c r="C404" t="s">
        <v>2572</v>
      </c>
      <c r="D404" t="s">
        <v>2573</v>
      </c>
      <c r="E404" t="s">
        <v>41</v>
      </c>
      <c r="F404" t="s">
        <v>2577</v>
      </c>
      <c r="G404" t="s">
        <v>2578</v>
      </c>
      <c r="H404" t="s">
        <v>44</v>
      </c>
      <c r="I404" t="s">
        <v>1331</v>
      </c>
      <c r="J404" t="s">
        <v>45</v>
      </c>
      <c r="K404" t="s">
        <v>45</v>
      </c>
      <c r="L404" t="s">
        <v>46</v>
      </c>
      <c r="M404" t="s">
        <v>47</v>
      </c>
      <c r="N404" t="s">
        <v>1034</v>
      </c>
      <c r="O404" t="s">
        <v>51</v>
      </c>
      <c r="P404" t="s">
        <v>1999</v>
      </c>
      <c r="Q404" t="s">
        <v>96</v>
      </c>
      <c r="R404" t="s">
        <v>97</v>
      </c>
      <c r="S404" t="s">
        <v>52</v>
      </c>
      <c r="T404" t="s">
        <v>2579</v>
      </c>
      <c r="U404" t="s">
        <v>2580</v>
      </c>
      <c r="V404" s="137">
        <v>3.3000000000000002E-2</v>
      </c>
      <c r="W404" s="137">
        <v>3.1260000000000003E-2</v>
      </c>
      <c r="X404" t="s">
        <v>131</v>
      </c>
      <c r="Y404" t="s">
        <v>51</v>
      </c>
      <c r="Z404" s="133">
        <v>4554920.7300000004</v>
      </c>
      <c r="AA404" s="135">
        <v>1</v>
      </c>
      <c r="AB404" s="139">
        <v>110.14</v>
      </c>
      <c r="AD404" s="133">
        <v>5016.79</v>
      </c>
      <c r="AG404" t="s">
        <v>135</v>
      </c>
      <c r="AH404" s="137">
        <v>4.0660000000000002E-3</v>
      </c>
      <c r="AI404" s="137">
        <v>1.4149586831984E-2</v>
      </c>
      <c r="AJ404" s="137">
        <v>2.5600447683644099E-3</v>
      </c>
    </row>
    <row r="405" spans="1:36">
      <c r="A405">
        <v>161</v>
      </c>
      <c r="B405">
        <v>9943</v>
      </c>
      <c r="C405" t="s">
        <v>2581</v>
      </c>
      <c r="D405" t="s">
        <v>2582</v>
      </c>
      <c r="E405" t="s">
        <v>41</v>
      </c>
      <c r="F405" t="s">
        <v>2583</v>
      </c>
      <c r="G405" t="s">
        <v>2584</v>
      </c>
      <c r="H405" t="s">
        <v>44</v>
      </c>
      <c r="I405" t="s">
        <v>1509</v>
      </c>
      <c r="J405" t="s">
        <v>45</v>
      </c>
      <c r="K405" t="s">
        <v>45</v>
      </c>
      <c r="L405" t="s">
        <v>46</v>
      </c>
      <c r="M405" t="s">
        <v>47</v>
      </c>
      <c r="N405" t="s">
        <v>210</v>
      </c>
      <c r="O405" t="s">
        <v>51</v>
      </c>
      <c r="P405" t="s">
        <v>1999</v>
      </c>
      <c r="Q405" t="s">
        <v>96</v>
      </c>
      <c r="R405" t="s">
        <v>97</v>
      </c>
      <c r="S405" t="s">
        <v>52</v>
      </c>
      <c r="T405" t="s">
        <v>2585</v>
      </c>
      <c r="U405" t="s">
        <v>2334</v>
      </c>
      <c r="V405" s="137">
        <v>5.6899999999999999E-2</v>
      </c>
      <c r="W405" s="137">
        <v>5.178E-2</v>
      </c>
      <c r="X405" t="s">
        <v>131</v>
      </c>
      <c r="Y405" t="s">
        <v>51</v>
      </c>
      <c r="Z405" s="133">
        <v>2250000</v>
      </c>
      <c r="AA405" s="135">
        <v>1</v>
      </c>
      <c r="AB405" s="139">
        <v>104.32</v>
      </c>
      <c r="AD405" s="133">
        <v>2347.1999999999998</v>
      </c>
      <c r="AG405" t="s">
        <v>135</v>
      </c>
      <c r="AH405" s="137">
        <v>1.439E-3</v>
      </c>
      <c r="AI405" s="137">
        <v>6.62015197983054E-3</v>
      </c>
      <c r="AJ405" s="137">
        <v>1.1977653936462E-3</v>
      </c>
    </row>
    <row r="406" spans="1:36">
      <c r="A406">
        <v>161</v>
      </c>
      <c r="B406">
        <v>9943</v>
      </c>
      <c r="C406" t="s">
        <v>2581</v>
      </c>
      <c r="D406" t="s">
        <v>2582</v>
      </c>
      <c r="E406" t="s">
        <v>41</v>
      </c>
      <c r="F406" t="s">
        <v>2586</v>
      </c>
      <c r="G406" t="s">
        <v>2587</v>
      </c>
      <c r="H406" t="s">
        <v>44</v>
      </c>
      <c r="I406" t="s">
        <v>1509</v>
      </c>
      <c r="J406" t="s">
        <v>45</v>
      </c>
      <c r="K406" t="s">
        <v>45</v>
      </c>
      <c r="L406" t="s">
        <v>46</v>
      </c>
      <c r="M406" t="s">
        <v>47</v>
      </c>
      <c r="N406" t="s">
        <v>210</v>
      </c>
      <c r="O406" t="s">
        <v>51</v>
      </c>
      <c r="P406" t="s">
        <v>1912</v>
      </c>
      <c r="Q406" t="s">
        <v>167</v>
      </c>
      <c r="R406" t="s">
        <v>97</v>
      </c>
      <c r="S406" t="s">
        <v>52</v>
      </c>
      <c r="T406" t="s">
        <v>2588</v>
      </c>
      <c r="U406" t="s">
        <v>2589</v>
      </c>
      <c r="V406" s="137">
        <v>5.6800000000000003E-2</v>
      </c>
      <c r="W406" s="137">
        <v>5.1720000000000002E-2</v>
      </c>
      <c r="X406" t="s">
        <v>131</v>
      </c>
      <c r="Y406" t="s">
        <v>51</v>
      </c>
      <c r="Z406" s="133">
        <v>4950000</v>
      </c>
      <c r="AA406" s="135">
        <v>1</v>
      </c>
      <c r="AB406" s="139">
        <v>103.41</v>
      </c>
      <c r="AD406" s="133">
        <v>5118.7950000000001</v>
      </c>
      <c r="AG406" t="s">
        <v>135</v>
      </c>
      <c r="AH406" s="137">
        <v>2.843E-3</v>
      </c>
      <c r="AI406" s="137">
        <v>1.44372873438977E-2</v>
      </c>
      <c r="AJ406" s="137">
        <v>2.6120976091382102E-3</v>
      </c>
    </row>
    <row r="407" spans="1:36">
      <c r="A407">
        <v>161</v>
      </c>
      <c r="B407">
        <v>9943</v>
      </c>
      <c r="C407" t="s">
        <v>2581</v>
      </c>
      <c r="D407" t="s">
        <v>2582</v>
      </c>
      <c r="E407" t="s">
        <v>41</v>
      </c>
      <c r="F407" t="s">
        <v>2590</v>
      </c>
      <c r="G407" t="s">
        <v>2591</v>
      </c>
      <c r="H407" t="s">
        <v>44</v>
      </c>
      <c r="I407" t="s">
        <v>1509</v>
      </c>
      <c r="J407" t="s">
        <v>45</v>
      </c>
      <c r="K407" t="s">
        <v>45</v>
      </c>
      <c r="L407" t="s">
        <v>46</v>
      </c>
      <c r="M407" t="s">
        <v>47</v>
      </c>
      <c r="N407" t="s">
        <v>210</v>
      </c>
      <c r="O407" t="s">
        <v>51</v>
      </c>
      <c r="P407" t="s">
        <v>1999</v>
      </c>
      <c r="Q407" t="s">
        <v>96</v>
      </c>
      <c r="R407" t="s">
        <v>97</v>
      </c>
      <c r="S407" t="s">
        <v>52</v>
      </c>
      <c r="T407" t="s">
        <v>2592</v>
      </c>
      <c r="U407" t="s">
        <v>2539</v>
      </c>
      <c r="V407" s="137">
        <v>6.3799999999999996E-2</v>
      </c>
      <c r="W407" s="137">
        <v>5.8439999999999999E-2</v>
      </c>
      <c r="X407" t="s">
        <v>131</v>
      </c>
      <c r="Y407" t="s">
        <v>51</v>
      </c>
      <c r="Z407" s="133">
        <v>3150000</v>
      </c>
      <c r="AA407" s="135">
        <v>1</v>
      </c>
      <c r="AB407" s="139">
        <v>109.43</v>
      </c>
      <c r="AD407" s="133">
        <v>3447.0450000000001</v>
      </c>
      <c r="AG407" t="s">
        <v>135</v>
      </c>
      <c r="AH407" s="137">
        <v>3.15E-3</v>
      </c>
      <c r="AI407" s="137">
        <v>9.7222059395513597E-3</v>
      </c>
      <c r="AJ407" s="137">
        <v>1.7590112522755501E-3</v>
      </c>
    </row>
    <row r="408" spans="1:36">
      <c r="A408">
        <v>161</v>
      </c>
      <c r="B408">
        <v>9943</v>
      </c>
      <c r="C408" t="s">
        <v>2593</v>
      </c>
      <c r="D408" t="s">
        <v>2594</v>
      </c>
      <c r="E408" t="s">
        <v>41</v>
      </c>
      <c r="F408" t="s">
        <v>2595</v>
      </c>
      <c r="G408" t="s">
        <v>2596</v>
      </c>
      <c r="H408" t="s">
        <v>44</v>
      </c>
      <c r="I408" t="s">
        <v>1509</v>
      </c>
      <c r="J408" t="s">
        <v>45</v>
      </c>
      <c r="K408" t="s">
        <v>45</v>
      </c>
      <c r="L408" t="s">
        <v>46</v>
      </c>
      <c r="M408" t="s">
        <v>47</v>
      </c>
      <c r="N408" t="s">
        <v>1032</v>
      </c>
      <c r="O408" t="s">
        <v>51</v>
      </c>
      <c r="P408" t="s">
        <v>1936</v>
      </c>
      <c r="Q408" t="s">
        <v>96</v>
      </c>
      <c r="R408" t="s">
        <v>97</v>
      </c>
      <c r="S408" t="s">
        <v>52</v>
      </c>
      <c r="T408" t="s">
        <v>2597</v>
      </c>
      <c r="U408" t="s">
        <v>2598</v>
      </c>
      <c r="V408" s="137">
        <v>0.05</v>
      </c>
      <c r="W408" s="137">
        <v>4.48E-2</v>
      </c>
      <c r="X408" t="s">
        <v>131</v>
      </c>
      <c r="Y408" t="s">
        <v>51</v>
      </c>
      <c r="Z408" s="133">
        <v>693414.08</v>
      </c>
      <c r="AA408" s="135">
        <v>1</v>
      </c>
      <c r="AB408" s="139">
        <v>101.2</v>
      </c>
      <c r="AD408" s="133">
        <v>701.73500000000001</v>
      </c>
      <c r="AG408" t="s">
        <v>135</v>
      </c>
      <c r="AH408" s="137">
        <v>4.143E-3</v>
      </c>
      <c r="AI408" s="137">
        <v>1.9792061493221799E-3</v>
      </c>
      <c r="AJ408" s="137">
        <v>3.58092176701138E-4</v>
      </c>
    </row>
    <row r="409" spans="1:36">
      <c r="A409">
        <v>161</v>
      </c>
      <c r="B409">
        <v>9943</v>
      </c>
      <c r="C409" t="s">
        <v>2593</v>
      </c>
      <c r="D409" t="s">
        <v>2594</v>
      </c>
      <c r="E409" t="s">
        <v>41</v>
      </c>
      <c r="F409" t="s">
        <v>2599</v>
      </c>
      <c r="G409" t="s">
        <v>2600</v>
      </c>
      <c r="H409" t="s">
        <v>44</v>
      </c>
      <c r="I409" t="s">
        <v>124</v>
      </c>
      <c r="J409" t="s">
        <v>45</v>
      </c>
      <c r="K409" t="s">
        <v>45</v>
      </c>
      <c r="L409" t="s">
        <v>46</v>
      </c>
      <c r="M409" t="s">
        <v>47</v>
      </c>
      <c r="N409" t="s">
        <v>1032</v>
      </c>
      <c r="O409" t="s">
        <v>51</v>
      </c>
      <c r="P409" t="s">
        <v>1936</v>
      </c>
      <c r="Q409" t="s">
        <v>96</v>
      </c>
      <c r="R409" t="s">
        <v>97</v>
      </c>
      <c r="S409" t="s">
        <v>52</v>
      </c>
      <c r="T409" t="s">
        <v>2601</v>
      </c>
      <c r="U409" t="s">
        <v>241</v>
      </c>
      <c r="V409" s="137">
        <v>3.85E-2</v>
      </c>
      <c r="W409" s="137">
        <v>3.9469999999999998E-2</v>
      </c>
      <c r="X409" t="s">
        <v>131</v>
      </c>
      <c r="Y409" t="s">
        <v>51</v>
      </c>
      <c r="Z409" s="133">
        <v>125789.43</v>
      </c>
      <c r="AA409" s="135">
        <v>1</v>
      </c>
      <c r="AB409" s="139">
        <v>87.73</v>
      </c>
      <c r="AD409" s="133">
        <v>110.355</v>
      </c>
      <c r="AG409" t="s">
        <v>135</v>
      </c>
      <c r="AH409" s="137">
        <v>1.145E-3</v>
      </c>
      <c r="AI409" s="137">
        <v>3.1125056019110098E-4</v>
      </c>
      <c r="AJ409" s="137">
        <v>5.6313684472155903E-5</v>
      </c>
    </row>
    <row r="410" spans="1:36">
      <c r="A410">
        <v>161</v>
      </c>
      <c r="B410">
        <v>9943</v>
      </c>
      <c r="C410" t="s">
        <v>1702</v>
      </c>
      <c r="D410" t="s">
        <v>2602</v>
      </c>
      <c r="E410" t="s">
        <v>41</v>
      </c>
      <c r="F410" t="s">
        <v>2603</v>
      </c>
      <c r="G410" t="s">
        <v>2604</v>
      </c>
      <c r="H410" t="s">
        <v>44</v>
      </c>
      <c r="I410" t="s">
        <v>1509</v>
      </c>
      <c r="J410" t="s">
        <v>45</v>
      </c>
      <c r="K410" t="s">
        <v>45</v>
      </c>
      <c r="L410" t="s">
        <v>46</v>
      </c>
      <c r="M410" t="s">
        <v>47</v>
      </c>
      <c r="N410" t="s">
        <v>1037</v>
      </c>
      <c r="O410" t="s">
        <v>51</v>
      </c>
      <c r="P410" t="s">
        <v>2605</v>
      </c>
      <c r="Q410" t="s">
        <v>167</v>
      </c>
      <c r="R410" t="s">
        <v>97</v>
      </c>
      <c r="S410" t="s">
        <v>52</v>
      </c>
      <c r="T410" t="s">
        <v>2606</v>
      </c>
      <c r="U410" t="s">
        <v>2607</v>
      </c>
      <c r="V410" s="137">
        <v>5.45E-2</v>
      </c>
      <c r="W410" s="137">
        <v>4.9770000000000002E-2</v>
      </c>
      <c r="X410" t="s">
        <v>131</v>
      </c>
      <c r="Y410" t="s">
        <v>51</v>
      </c>
      <c r="Z410" s="133">
        <v>11407.9</v>
      </c>
      <c r="AA410" s="135">
        <v>1</v>
      </c>
      <c r="AB410" s="139">
        <v>105.42</v>
      </c>
      <c r="AD410" s="133">
        <v>12.026</v>
      </c>
      <c r="AG410" t="s">
        <v>135</v>
      </c>
      <c r="AH410" s="137">
        <v>3.565E-3</v>
      </c>
      <c r="AI410" s="137">
        <v>3.3919276539145002E-5</v>
      </c>
      <c r="AJ410" s="137">
        <v>6.1369188713313203E-6</v>
      </c>
    </row>
    <row r="411" spans="1:36">
      <c r="A411">
        <v>161</v>
      </c>
      <c r="B411">
        <v>9943</v>
      </c>
      <c r="C411" t="s">
        <v>2020</v>
      </c>
      <c r="D411" t="s">
        <v>2021</v>
      </c>
      <c r="E411" t="s">
        <v>41</v>
      </c>
      <c r="F411" t="s">
        <v>2022</v>
      </c>
      <c r="G411" t="s">
        <v>2023</v>
      </c>
      <c r="H411" t="s">
        <v>44</v>
      </c>
      <c r="I411" t="s">
        <v>1331</v>
      </c>
      <c r="J411" t="s">
        <v>45</v>
      </c>
      <c r="K411" t="s">
        <v>45</v>
      </c>
      <c r="L411" t="s">
        <v>46</v>
      </c>
      <c r="M411" t="s">
        <v>47</v>
      </c>
      <c r="N411" t="s">
        <v>58</v>
      </c>
      <c r="O411" t="s">
        <v>51</v>
      </c>
      <c r="P411" t="s">
        <v>158</v>
      </c>
      <c r="Q411" t="s">
        <v>96</v>
      </c>
      <c r="R411" t="s">
        <v>97</v>
      </c>
      <c r="S411" t="s">
        <v>52</v>
      </c>
      <c r="T411" t="s">
        <v>2024</v>
      </c>
      <c r="U411" t="s">
        <v>2025</v>
      </c>
      <c r="V411" s="137">
        <v>2.7E-2</v>
      </c>
      <c r="W411" s="137">
        <v>2.6870000000000002E-2</v>
      </c>
      <c r="X411" t="s">
        <v>131</v>
      </c>
      <c r="Y411" t="s">
        <v>51</v>
      </c>
      <c r="Z411" s="133">
        <v>40860.800000000003</v>
      </c>
      <c r="AA411" s="135">
        <v>1</v>
      </c>
      <c r="AB411" s="139">
        <v>110.23</v>
      </c>
      <c r="AD411" s="133">
        <v>45.040999999999997</v>
      </c>
      <c r="AG411" t="s">
        <v>135</v>
      </c>
      <c r="AH411" s="137">
        <v>9.7E-5</v>
      </c>
      <c r="AI411" s="137">
        <v>1.2703533462979101E-4</v>
      </c>
      <c r="AJ411" s="137">
        <v>2.29841441787752E-5</v>
      </c>
    </row>
    <row r="412" spans="1:36">
      <c r="A412">
        <v>161</v>
      </c>
      <c r="B412">
        <v>9943</v>
      </c>
      <c r="C412" t="s">
        <v>2020</v>
      </c>
      <c r="D412" t="s">
        <v>2021</v>
      </c>
      <c r="E412" t="s">
        <v>41</v>
      </c>
      <c r="F412" t="s">
        <v>2026</v>
      </c>
      <c r="G412" t="s">
        <v>2027</v>
      </c>
      <c r="H412" t="s">
        <v>44</v>
      </c>
      <c r="I412" t="s">
        <v>1331</v>
      </c>
      <c r="J412" t="s">
        <v>45</v>
      </c>
      <c r="K412" t="s">
        <v>45</v>
      </c>
      <c r="L412" t="s">
        <v>46</v>
      </c>
      <c r="M412" t="s">
        <v>47</v>
      </c>
      <c r="N412" t="s">
        <v>58</v>
      </c>
      <c r="O412" t="s">
        <v>51</v>
      </c>
      <c r="P412" t="s">
        <v>158</v>
      </c>
      <c r="Q412" t="s">
        <v>96</v>
      </c>
      <c r="R412" t="s">
        <v>97</v>
      </c>
      <c r="S412" t="s">
        <v>52</v>
      </c>
      <c r="T412" t="s">
        <v>2028</v>
      </c>
      <c r="U412" t="s">
        <v>2029</v>
      </c>
      <c r="V412" s="137">
        <v>1.7999999999999999E-2</v>
      </c>
      <c r="W412" s="137">
        <v>2.179E-2</v>
      </c>
      <c r="X412" t="s">
        <v>131</v>
      </c>
      <c r="Y412" t="s">
        <v>51</v>
      </c>
      <c r="Z412" s="133">
        <v>567172.15</v>
      </c>
      <c r="AA412" s="135">
        <v>1</v>
      </c>
      <c r="AB412" s="139">
        <v>118.2</v>
      </c>
      <c r="AD412" s="133">
        <v>670.39700000000005</v>
      </c>
      <c r="AG412" t="s">
        <v>135</v>
      </c>
      <c r="AH412" s="137">
        <v>8.2200000000000003E-4</v>
      </c>
      <c r="AI412" s="137">
        <v>1.8908202168974101E-3</v>
      </c>
      <c r="AJ412" s="137">
        <v>3.4210075966629099E-4</v>
      </c>
    </row>
    <row r="413" spans="1:36">
      <c r="A413">
        <v>161</v>
      </c>
      <c r="B413">
        <v>9943</v>
      </c>
      <c r="C413" t="s">
        <v>2020</v>
      </c>
      <c r="D413" t="s">
        <v>2021</v>
      </c>
      <c r="E413" t="s">
        <v>41</v>
      </c>
      <c r="F413" t="s">
        <v>2392</v>
      </c>
      <c r="G413" t="s">
        <v>2393</v>
      </c>
      <c r="H413" t="s">
        <v>44</v>
      </c>
      <c r="I413" t="s">
        <v>1331</v>
      </c>
      <c r="J413" t="s">
        <v>45</v>
      </c>
      <c r="K413" t="s">
        <v>45</v>
      </c>
      <c r="L413" t="s">
        <v>46</v>
      </c>
      <c r="M413" t="s">
        <v>47</v>
      </c>
      <c r="N413" t="s">
        <v>58</v>
      </c>
      <c r="O413" t="s">
        <v>51</v>
      </c>
      <c r="P413" t="s">
        <v>1999</v>
      </c>
      <c r="Q413" t="s">
        <v>96</v>
      </c>
      <c r="R413" t="s">
        <v>97</v>
      </c>
      <c r="S413" t="s">
        <v>52</v>
      </c>
      <c r="T413" t="s">
        <v>2394</v>
      </c>
      <c r="U413" t="s">
        <v>130</v>
      </c>
      <c r="V413" s="137">
        <v>2.2499999999999999E-2</v>
      </c>
      <c r="W413" s="137">
        <v>2.0740000000000001E-2</v>
      </c>
      <c r="X413" t="s">
        <v>131</v>
      </c>
      <c r="Y413" t="s">
        <v>51</v>
      </c>
      <c r="Z413" s="133">
        <v>205968.44</v>
      </c>
      <c r="AA413" s="135">
        <v>1</v>
      </c>
      <c r="AB413" s="139">
        <v>118.73</v>
      </c>
      <c r="AD413" s="133">
        <v>244.54599999999999</v>
      </c>
      <c r="AG413" t="s">
        <v>135</v>
      </c>
      <c r="AH413" s="137">
        <v>8.25E-4</v>
      </c>
      <c r="AI413" s="137">
        <v>6.8972983250044795E-4</v>
      </c>
      <c r="AJ413" s="137">
        <v>1.2479086988507099E-4</v>
      </c>
    </row>
    <row r="414" spans="1:36">
      <c r="A414">
        <v>161</v>
      </c>
      <c r="B414">
        <v>9943</v>
      </c>
      <c r="C414" t="s">
        <v>2395</v>
      </c>
      <c r="D414" t="s">
        <v>2396</v>
      </c>
      <c r="E414" t="s">
        <v>41</v>
      </c>
      <c r="F414" t="s">
        <v>2608</v>
      </c>
      <c r="G414" t="s">
        <v>2609</v>
      </c>
      <c r="H414" t="s">
        <v>44</v>
      </c>
      <c r="I414" t="s">
        <v>1509</v>
      </c>
      <c r="J414" t="s">
        <v>45</v>
      </c>
      <c r="K414" t="s">
        <v>45</v>
      </c>
      <c r="L414" t="s">
        <v>46</v>
      </c>
      <c r="M414" t="s">
        <v>47</v>
      </c>
      <c r="N414" t="s">
        <v>1037</v>
      </c>
      <c r="O414" t="s">
        <v>51</v>
      </c>
      <c r="P414" t="s">
        <v>1919</v>
      </c>
      <c r="Q414" t="s">
        <v>96</v>
      </c>
      <c r="R414" t="s">
        <v>97</v>
      </c>
      <c r="S414" t="s">
        <v>52</v>
      </c>
      <c r="T414" t="s">
        <v>2610</v>
      </c>
      <c r="U414" t="s">
        <v>2539</v>
      </c>
      <c r="V414" s="137">
        <v>2.63E-2</v>
      </c>
      <c r="W414" s="137">
        <v>4.5269999999999998E-2</v>
      </c>
      <c r="X414" t="s">
        <v>131</v>
      </c>
      <c r="Y414" t="s">
        <v>51</v>
      </c>
      <c r="Z414" s="133">
        <v>172534</v>
      </c>
      <c r="AA414" s="135">
        <v>1</v>
      </c>
      <c r="AB414" s="139">
        <v>90</v>
      </c>
      <c r="AD414" s="133">
        <v>155.28100000000001</v>
      </c>
      <c r="AG414" t="s">
        <v>135</v>
      </c>
      <c r="AH414" s="137">
        <v>2.4899999999999998E-4</v>
      </c>
      <c r="AI414" s="137">
        <v>4.37960621812915E-4</v>
      </c>
      <c r="AJ414" s="137">
        <v>7.92389779245989E-5</v>
      </c>
    </row>
    <row r="415" spans="1:36">
      <c r="A415">
        <v>161</v>
      </c>
      <c r="B415">
        <v>9943</v>
      </c>
      <c r="C415" t="s">
        <v>2395</v>
      </c>
      <c r="D415" t="s">
        <v>2396</v>
      </c>
      <c r="E415" t="s">
        <v>41</v>
      </c>
      <c r="F415" t="s">
        <v>2611</v>
      </c>
      <c r="G415" t="s">
        <v>2612</v>
      </c>
      <c r="H415" t="s">
        <v>44</v>
      </c>
      <c r="I415" t="s">
        <v>1509</v>
      </c>
      <c r="J415" t="s">
        <v>45</v>
      </c>
      <c r="K415" t="s">
        <v>45</v>
      </c>
      <c r="L415" t="s">
        <v>46</v>
      </c>
      <c r="M415" t="s">
        <v>47</v>
      </c>
      <c r="N415" t="s">
        <v>1037</v>
      </c>
      <c r="O415" t="s">
        <v>51</v>
      </c>
      <c r="P415" t="s">
        <v>1919</v>
      </c>
      <c r="Q415" t="s">
        <v>96</v>
      </c>
      <c r="R415" t="s">
        <v>97</v>
      </c>
      <c r="S415" t="s">
        <v>52</v>
      </c>
      <c r="T415" t="s">
        <v>2613</v>
      </c>
      <c r="U415" t="s">
        <v>2614</v>
      </c>
      <c r="V415" s="137">
        <v>6.0199999999999997E-2</v>
      </c>
      <c r="W415" s="137">
        <v>4.6039999999999998E-2</v>
      </c>
      <c r="X415" t="s">
        <v>131</v>
      </c>
      <c r="Y415" t="s">
        <v>51</v>
      </c>
      <c r="Z415" s="133">
        <v>3150000</v>
      </c>
      <c r="AA415" s="135">
        <v>1</v>
      </c>
      <c r="AB415" s="139">
        <v>110.99</v>
      </c>
      <c r="AD415" s="133">
        <v>3496.1849999999999</v>
      </c>
      <c r="AG415" t="s">
        <v>135</v>
      </c>
      <c r="AH415" s="137">
        <v>6.3E-3</v>
      </c>
      <c r="AI415" s="137">
        <v>9.8608026796199004E-3</v>
      </c>
      <c r="AJ415" s="137">
        <v>1.7840871688756599E-3</v>
      </c>
    </row>
    <row r="416" spans="1:36">
      <c r="A416">
        <v>161</v>
      </c>
      <c r="B416">
        <v>9943</v>
      </c>
      <c r="C416" t="s">
        <v>2047</v>
      </c>
      <c r="D416" t="s">
        <v>2048</v>
      </c>
      <c r="E416" t="s">
        <v>41</v>
      </c>
      <c r="F416" t="s">
        <v>2615</v>
      </c>
      <c r="G416" t="s">
        <v>2616</v>
      </c>
      <c r="H416" t="s">
        <v>44</v>
      </c>
      <c r="I416" t="s">
        <v>1331</v>
      </c>
      <c r="J416" t="s">
        <v>45</v>
      </c>
      <c r="K416" t="s">
        <v>45</v>
      </c>
      <c r="L416" t="s">
        <v>46</v>
      </c>
      <c r="M416" t="s">
        <v>47</v>
      </c>
      <c r="N416" t="s">
        <v>1038</v>
      </c>
      <c r="O416" t="s">
        <v>51</v>
      </c>
      <c r="P416" t="s">
        <v>733</v>
      </c>
      <c r="Q416" t="s">
        <v>733</v>
      </c>
      <c r="R416" t="s">
        <v>733</v>
      </c>
      <c r="S416" t="s">
        <v>52</v>
      </c>
      <c r="T416" t="s">
        <v>2617</v>
      </c>
      <c r="U416" t="s">
        <v>241</v>
      </c>
      <c r="V416" s="137">
        <v>3.5000000000000003E-2</v>
      </c>
      <c r="W416" s="137">
        <v>2.9860000000000001E-2</v>
      </c>
      <c r="X416" t="s">
        <v>131</v>
      </c>
      <c r="Y416" t="s">
        <v>51</v>
      </c>
      <c r="Z416" s="133">
        <v>46385.56</v>
      </c>
      <c r="AA416" s="135">
        <v>1</v>
      </c>
      <c r="AB416" s="139">
        <v>113.01</v>
      </c>
      <c r="AD416" s="133">
        <v>52.42</v>
      </c>
      <c r="AG416" t="s">
        <v>135</v>
      </c>
      <c r="AH416" s="137">
        <v>4.8899999999999996E-4</v>
      </c>
      <c r="AI416" s="137">
        <v>1.47848710893097E-4</v>
      </c>
      <c r="AJ416" s="137">
        <v>2.6749849541594201E-5</v>
      </c>
    </row>
    <row r="417" spans="1:36">
      <c r="A417">
        <v>161</v>
      </c>
      <c r="B417">
        <v>9943</v>
      </c>
      <c r="C417" t="s">
        <v>2053</v>
      </c>
      <c r="D417" t="s">
        <v>2054</v>
      </c>
      <c r="E417" t="s">
        <v>41</v>
      </c>
      <c r="F417" t="s">
        <v>2059</v>
      </c>
      <c r="G417" t="s">
        <v>2060</v>
      </c>
      <c r="H417" t="s">
        <v>44</v>
      </c>
      <c r="I417" t="s">
        <v>1331</v>
      </c>
      <c r="J417" t="s">
        <v>45</v>
      </c>
      <c r="K417" t="s">
        <v>45</v>
      </c>
      <c r="L417" t="s">
        <v>46</v>
      </c>
      <c r="M417" t="s">
        <v>47</v>
      </c>
      <c r="N417" t="s">
        <v>1034</v>
      </c>
      <c r="O417" t="s">
        <v>51</v>
      </c>
      <c r="P417" t="s">
        <v>95</v>
      </c>
      <c r="Q417" t="s">
        <v>96</v>
      </c>
      <c r="R417" t="s">
        <v>97</v>
      </c>
      <c r="S417" t="s">
        <v>52</v>
      </c>
      <c r="T417" t="s">
        <v>2061</v>
      </c>
      <c r="U417" t="s">
        <v>2062</v>
      </c>
      <c r="V417" s="137">
        <v>2.3900000000000001E-2</v>
      </c>
      <c r="W417" s="137">
        <v>2.555E-2</v>
      </c>
      <c r="X417" t="s">
        <v>131</v>
      </c>
      <c r="Y417" t="s">
        <v>51</v>
      </c>
      <c r="Z417" s="133">
        <v>2938347</v>
      </c>
      <c r="AA417" s="135">
        <v>1</v>
      </c>
      <c r="AB417" s="139">
        <v>116.8</v>
      </c>
      <c r="AD417" s="133">
        <v>3431.989</v>
      </c>
      <c r="AG417" t="s">
        <v>135</v>
      </c>
      <c r="AH417" s="137">
        <v>7.5600000000000005E-4</v>
      </c>
      <c r="AI417" s="137">
        <v>9.6797421321879792E-3</v>
      </c>
      <c r="AJ417" s="137">
        <v>1.7513283955832501E-3</v>
      </c>
    </row>
    <row r="418" spans="1:36">
      <c r="A418">
        <v>161</v>
      </c>
      <c r="B418">
        <v>9943</v>
      </c>
      <c r="C418" t="s">
        <v>2053</v>
      </c>
      <c r="D418" t="s">
        <v>2054</v>
      </c>
      <c r="E418" t="s">
        <v>41</v>
      </c>
      <c r="F418" t="s">
        <v>2399</v>
      </c>
      <c r="G418" t="s">
        <v>2400</v>
      </c>
      <c r="H418" t="s">
        <v>44</v>
      </c>
      <c r="I418" t="s">
        <v>1331</v>
      </c>
      <c r="J418" t="s">
        <v>45</v>
      </c>
      <c r="K418" t="s">
        <v>45</v>
      </c>
      <c r="L418" t="s">
        <v>46</v>
      </c>
      <c r="M418" t="s">
        <v>47</v>
      </c>
      <c r="N418" t="s">
        <v>1034</v>
      </c>
      <c r="O418" t="s">
        <v>51</v>
      </c>
      <c r="P418" t="s">
        <v>95</v>
      </c>
      <c r="Q418" t="s">
        <v>96</v>
      </c>
      <c r="R418" t="s">
        <v>97</v>
      </c>
      <c r="S418" t="s">
        <v>52</v>
      </c>
      <c r="T418" t="s">
        <v>2401</v>
      </c>
      <c r="U418" t="s">
        <v>1895</v>
      </c>
      <c r="V418" s="137">
        <v>1.2500000000000001E-2</v>
      </c>
      <c r="W418" s="137">
        <v>2.811E-2</v>
      </c>
      <c r="X418" t="s">
        <v>131</v>
      </c>
      <c r="Y418" t="s">
        <v>51</v>
      </c>
      <c r="Z418" s="133">
        <v>1500000</v>
      </c>
      <c r="AA418" s="135">
        <v>1</v>
      </c>
      <c r="AB418" s="139">
        <v>101.47</v>
      </c>
      <c r="AD418" s="133">
        <v>1522.05</v>
      </c>
      <c r="AG418" t="s">
        <v>135</v>
      </c>
      <c r="AH418" s="137">
        <v>3.4900000000000003E-4</v>
      </c>
      <c r="AI418" s="137">
        <v>4.2928605661644E-3</v>
      </c>
      <c r="AJ418" s="137">
        <v>7.7669513352045098E-4</v>
      </c>
    </row>
    <row r="419" spans="1:36">
      <c r="A419">
        <v>161</v>
      </c>
      <c r="B419">
        <v>9943</v>
      </c>
      <c r="C419" t="s">
        <v>2053</v>
      </c>
      <c r="D419" t="s">
        <v>2054</v>
      </c>
      <c r="E419" t="s">
        <v>41</v>
      </c>
      <c r="F419" t="s">
        <v>2063</v>
      </c>
      <c r="G419" t="s">
        <v>2064</v>
      </c>
      <c r="H419" t="s">
        <v>44</v>
      </c>
      <c r="I419" t="s">
        <v>1331</v>
      </c>
      <c r="J419" t="s">
        <v>45</v>
      </c>
      <c r="K419" t="s">
        <v>45</v>
      </c>
      <c r="L419" t="s">
        <v>46</v>
      </c>
      <c r="M419" t="s">
        <v>47</v>
      </c>
      <c r="N419" t="s">
        <v>1034</v>
      </c>
      <c r="O419" t="s">
        <v>51</v>
      </c>
      <c r="P419" t="s">
        <v>95</v>
      </c>
      <c r="Q419" t="s">
        <v>96</v>
      </c>
      <c r="R419" t="s">
        <v>97</v>
      </c>
      <c r="S419" t="s">
        <v>52</v>
      </c>
      <c r="T419" t="s">
        <v>2065</v>
      </c>
      <c r="U419" t="s">
        <v>2066</v>
      </c>
      <c r="V419" s="137">
        <v>0.03</v>
      </c>
      <c r="W419" s="137">
        <v>2.5870000000000001E-2</v>
      </c>
      <c r="X419" t="s">
        <v>131</v>
      </c>
      <c r="Y419" t="s">
        <v>51</v>
      </c>
      <c r="Z419" s="133">
        <v>4000000</v>
      </c>
      <c r="AA419" s="135">
        <v>1</v>
      </c>
      <c r="AB419" s="139">
        <v>110.85</v>
      </c>
      <c r="AD419" s="133">
        <v>4434</v>
      </c>
      <c r="AG419" t="s">
        <v>135</v>
      </c>
      <c r="AH419" s="137">
        <v>9.7999999999999997E-4</v>
      </c>
      <c r="AI419" s="137">
        <v>1.250585969605E-2</v>
      </c>
      <c r="AJ419" s="137">
        <v>2.2626498617191802E-3</v>
      </c>
    </row>
    <row r="420" spans="1:36">
      <c r="A420">
        <v>161</v>
      </c>
      <c r="B420">
        <v>9943</v>
      </c>
      <c r="C420" t="s">
        <v>2053</v>
      </c>
      <c r="D420" t="s">
        <v>2054</v>
      </c>
      <c r="E420" t="s">
        <v>41</v>
      </c>
      <c r="F420" t="s">
        <v>2618</v>
      </c>
      <c r="G420" t="s">
        <v>2619</v>
      </c>
      <c r="H420" t="s">
        <v>44</v>
      </c>
      <c r="I420" t="s">
        <v>1331</v>
      </c>
      <c r="J420" t="s">
        <v>45</v>
      </c>
      <c r="K420" t="s">
        <v>45</v>
      </c>
      <c r="L420" t="s">
        <v>46</v>
      </c>
      <c r="M420" t="s">
        <v>47</v>
      </c>
      <c r="N420" t="s">
        <v>1034</v>
      </c>
      <c r="O420" t="s">
        <v>51</v>
      </c>
      <c r="P420" t="s">
        <v>95</v>
      </c>
      <c r="Q420" t="s">
        <v>96</v>
      </c>
      <c r="R420" t="s">
        <v>97</v>
      </c>
      <c r="S420" t="s">
        <v>52</v>
      </c>
      <c r="T420" t="s">
        <v>2620</v>
      </c>
      <c r="U420" t="s">
        <v>2621</v>
      </c>
      <c r="V420" s="137">
        <v>3.2000000000000001E-2</v>
      </c>
      <c r="W420" s="137">
        <v>2.8129999999999999E-2</v>
      </c>
      <c r="X420" t="s">
        <v>131</v>
      </c>
      <c r="Y420" t="s">
        <v>51</v>
      </c>
      <c r="Z420" s="133">
        <v>3000000</v>
      </c>
      <c r="AA420" s="135">
        <v>1</v>
      </c>
      <c r="AB420" s="139">
        <v>112.06</v>
      </c>
      <c r="AD420" s="133">
        <v>3361.8</v>
      </c>
      <c r="AG420" t="s">
        <v>135</v>
      </c>
      <c r="AH420" s="137">
        <v>6.0899999999999995E-4</v>
      </c>
      <c r="AI420" s="137">
        <v>9.4817769792920597E-3</v>
      </c>
      <c r="AJ420" s="137">
        <v>1.7155111197851901E-3</v>
      </c>
    </row>
    <row r="421" spans="1:36">
      <c r="A421">
        <v>161</v>
      </c>
      <c r="B421">
        <v>9943</v>
      </c>
      <c r="C421" t="s">
        <v>2622</v>
      </c>
      <c r="D421" t="s">
        <v>2623</v>
      </c>
      <c r="E421" t="s">
        <v>41</v>
      </c>
      <c r="F421" t="s">
        <v>2624</v>
      </c>
      <c r="G421" t="s">
        <v>2625</v>
      </c>
      <c r="H421" t="s">
        <v>44</v>
      </c>
      <c r="I421" t="s">
        <v>1331</v>
      </c>
      <c r="J421" t="s">
        <v>45</v>
      </c>
      <c r="K421" t="s">
        <v>45</v>
      </c>
      <c r="L421" t="s">
        <v>46</v>
      </c>
      <c r="M421" t="s">
        <v>47</v>
      </c>
      <c r="N421" t="s">
        <v>221</v>
      </c>
      <c r="O421" t="s">
        <v>51</v>
      </c>
      <c r="P421" t="s">
        <v>1936</v>
      </c>
      <c r="Q421" t="s">
        <v>96</v>
      </c>
      <c r="R421" t="s">
        <v>97</v>
      </c>
      <c r="S421" t="s">
        <v>52</v>
      </c>
      <c r="T421" t="s">
        <v>2626</v>
      </c>
      <c r="U421" t="s">
        <v>2627</v>
      </c>
      <c r="V421" s="137">
        <v>2.5899999999999999E-2</v>
      </c>
      <c r="W421" s="137">
        <v>2.4989999999999998E-2</v>
      </c>
      <c r="X421" t="s">
        <v>131</v>
      </c>
      <c r="Y421" t="s">
        <v>51</v>
      </c>
      <c r="Z421" s="133">
        <v>30394</v>
      </c>
      <c r="AA421" s="135">
        <v>1</v>
      </c>
      <c r="AB421" s="139">
        <v>106.22</v>
      </c>
      <c r="AD421" s="133">
        <v>32.284999999999997</v>
      </c>
      <c r="AG421" t="s">
        <v>135</v>
      </c>
      <c r="AH421" s="137">
        <v>4.5000000000000003E-5</v>
      </c>
      <c r="AI421" s="137">
        <v>9.1056723589754795E-5</v>
      </c>
      <c r="AJ421" s="137">
        <v>1.6474635734481698E-5</v>
      </c>
    </row>
    <row r="422" spans="1:36">
      <c r="A422">
        <v>161</v>
      </c>
      <c r="B422">
        <v>9943</v>
      </c>
      <c r="C422" t="s">
        <v>2628</v>
      </c>
      <c r="D422" t="s">
        <v>2629</v>
      </c>
      <c r="E422" t="s">
        <v>41</v>
      </c>
      <c r="F422" t="s">
        <v>2630</v>
      </c>
      <c r="G422" t="s">
        <v>2631</v>
      </c>
      <c r="H422" t="s">
        <v>44</v>
      </c>
      <c r="I422" t="s">
        <v>1509</v>
      </c>
      <c r="J422" t="s">
        <v>45</v>
      </c>
      <c r="K422" t="s">
        <v>45</v>
      </c>
      <c r="L422" t="s">
        <v>46</v>
      </c>
      <c r="M422" t="s">
        <v>47</v>
      </c>
      <c r="N422" t="s">
        <v>1038</v>
      </c>
      <c r="O422" t="s">
        <v>51</v>
      </c>
      <c r="P422" t="s">
        <v>1999</v>
      </c>
      <c r="Q422" t="s">
        <v>96</v>
      </c>
      <c r="R422" t="s">
        <v>97</v>
      </c>
      <c r="S422" t="s">
        <v>52</v>
      </c>
      <c r="T422" t="s">
        <v>2071</v>
      </c>
      <c r="U422" t="s">
        <v>130</v>
      </c>
      <c r="V422" s="137">
        <v>3.95E-2</v>
      </c>
      <c r="W422" s="137">
        <v>5.5539999999999999E-2</v>
      </c>
      <c r="X422" t="s">
        <v>131</v>
      </c>
      <c r="Y422" t="s">
        <v>51</v>
      </c>
      <c r="Z422" s="133">
        <v>112805</v>
      </c>
      <c r="AA422" s="135">
        <v>1</v>
      </c>
      <c r="AB422" s="139">
        <v>99.93</v>
      </c>
      <c r="AD422" s="133">
        <v>112.726</v>
      </c>
      <c r="AG422" t="s">
        <v>135</v>
      </c>
      <c r="AH422" s="137">
        <v>1.92E-4</v>
      </c>
      <c r="AI422" s="137">
        <v>3.1793775294560502E-4</v>
      </c>
      <c r="AJ422" s="137">
        <v>5.7523579363751999E-5</v>
      </c>
    </row>
    <row r="423" spans="1:36">
      <c r="A423">
        <v>161</v>
      </c>
      <c r="B423">
        <v>9943</v>
      </c>
      <c r="C423" t="s">
        <v>2628</v>
      </c>
      <c r="D423" t="s">
        <v>2629</v>
      </c>
      <c r="E423" t="s">
        <v>41</v>
      </c>
      <c r="F423" t="s">
        <v>2632</v>
      </c>
      <c r="G423" t="s">
        <v>2633</v>
      </c>
      <c r="H423" t="s">
        <v>44</v>
      </c>
      <c r="I423" t="s">
        <v>1331</v>
      </c>
      <c r="J423" t="s">
        <v>45</v>
      </c>
      <c r="K423" t="s">
        <v>45</v>
      </c>
      <c r="L423" t="s">
        <v>46</v>
      </c>
      <c r="M423" t="s">
        <v>47</v>
      </c>
      <c r="N423" t="s">
        <v>1038</v>
      </c>
      <c r="O423" t="s">
        <v>51</v>
      </c>
      <c r="P423" t="s">
        <v>1999</v>
      </c>
      <c r="Q423" t="s">
        <v>96</v>
      </c>
      <c r="R423" t="s">
        <v>97</v>
      </c>
      <c r="S423" t="s">
        <v>52</v>
      </c>
      <c r="T423" t="s">
        <v>2634</v>
      </c>
      <c r="U423" t="s">
        <v>2635</v>
      </c>
      <c r="V423" s="137">
        <v>6.9500000000000006E-2</v>
      </c>
      <c r="W423" s="137">
        <v>6.1080000000000002E-2</v>
      </c>
      <c r="X423" t="s">
        <v>131</v>
      </c>
      <c r="Y423" t="s">
        <v>51</v>
      </c>
      <c r="Z423" s="133">
        <v>2700000</v>
      </c>
      <c r="AA423" s="135">
        <v>1</v>
      </c>
      <c r="AB423" s="139">
        <v>104.82</v>
      </c>
      <c r="AD423" s="133">
        <v>2830.14</v>
      </c>
      <c r="AG423" t="s">
        <v>135</v>
      </c>
      <c r="AH423" s="137">
        <v>3.0820000000000001E-3</v>
      </c>
      <c r="AI423" s="137">
        <v>7.9822584032879992E-3</v>
      </c>
      <c r="AJ423" s="137">
        <v>1.4442074604524E-3</v>
      </c>
    </row>
    <row r="424" spans="1:36">
      <c r="A424">
        <v>161</v>
      </c>
      <c r="B424">
        <v>9943</v>
      </c>
      <c r="C424" t="s">
        <v>2077</v>
      </c>
      <c r="D424" t="s">
        <v>2078</v>
      </c>
      <c r="E424" t="s">
        <v>41</v>
      </c>
      <c r="F424" t="s">
        <v>2079</v>
      </c>
      <c r="G424" t="s">
        <v>2080</v>
      </c>
      <c r="H424" t="s">
        <v>44</v>
      </c>
      <c r="I424" t="s">
        <v>1331</v>
      </c>
      <c r="J424" t="s">
        <v>45</v>
      </c>
      <c r="K424" t="s">
        <v>45</v>
      </c>
      <c r="L424" t="s">
        <v>46</v>
      </c>
      <c r="M424" t="s">
        <v>47</v>
      </c>
      <c r="N424" t="s">
        <v>58</v>
      </c>
      <c r="O424" t="s">
        <v>51</v>
      </c>
      <c r="P424" t="s">
        <v>1919</v>
      </c>
      <c r="Q424" t="s">
        <v>96</v>
      </c>
      <c r="R424" t="s">
        <v>97</v>
      </c>
      <c r="S424" t="s">
        <v>52</v>
      </c>
      <c r="T424" t="s">
        <v>2081</v>
      </c>
      <c r="U424" t="s">
        <v>2082</v>
      </c>
      <c r="V424" s="137">
        <v>1.5800000000000002E-2</v>
      </c>
      <c r="W424" s="137">
        <v>1.5440000000000001E-2</v>
      </c>
      <c r="X424" t="s">
        <v>131</v>
      </c>
      <c r="Y424" t="s">
        <v>51</v>
      </c>
      <c r="Z424" s="133">
        <v>1989097.16</v>
      </c>
      <c r="AA424" s="135">
        <v>1</v>
      </c>
      <c r="AB424" s="139">
        <v>119.78</v>
      </c>
      <c r="AD424" s="133">
        <v>2382.5410000000002</v>
      </c>
      <c r="AG424" t="s">
        <v>135</v>
      </c>
      <c r="AH424" s="137">
        <v>5.0540000000000003E-3</v>
      </c>
      <c r="AI424" s="137">
        <v>6.7198281893810002E-3</v>
      </c>
      <c r="AJ424" s="137">
        <v>1.2157995286227301E-3</v>
      </c>
    </row>
    <row r="425" spans="1:36">
      <c r="A425">
        <v>161</v>
      </c>
      <c r="B425">
        <v>9943</v>
      </c>
      <c r="C425" t="s">
        <v>2077</v>
      </c>
      <c r="D425" t="s">
        <v>2078</v>
      </c>
      <c r="E425" t="s">
        <v>41</v>
      </c>
      <c r="F425" t="s">
        <v>2083</v>
      </c>
      <c r="G425" t="s">
        <v>2084</v>
      </c>
      <c r="H425" t="s">
        <v>44</v>
      </c>
      <c r="I425" t="s">
        <v>1331</v>
      </c>
      <c r="J425" t="s">
        <v>45</v>
      </c>
      <c r="K425" t="s">
        <v>45</v>
      </c>
      <c r="L425" t="s">
        <v>46</v>
      </c>
      <c r="M425" t="s">
        <v>47</v>
      </c>
      <c r="N425" t="s">
        <v>58</v>
      </c>
      <c r="O425" t="s">
        <v>51</v>
      </c>
      <c r="P425" t="s">
        <v>1919</v>
      </c>
      <c r="Q425" t="s">
        <v>96</v>
      </c>
      <c r="R425" t="s">
        <v>97</v>
      </c>
      <c r="S425" t="s">
        <v>52</v>
      </c>
      <c r="T425" t="s">
        <v>2085</v>
      </c>
      <c r="U425" t="s">
        <v>2086</v>
      </c>
      <c r="V425" s="137">
        <v>8.3999999999999995E-3</v>
      </c>
      <c r="W425" s="137">
        <v>2.647E-2</v>
      </c>
      <c r="X425" t="s">
        <v>131</v>
      </c>
      <c r="Y425" t="s">
        <v>51</v>
      </c>
      <c r="Z425" s="133">
        <v>523016.28</v>
      </c>
      <c r="AA425" s="135">
        <v>1</v>
      </c>
      <c r="AB425" s="139">
        <v>110</v>
      </c>
      <c r="AD425" s="133">
        <v>575.31799999999998</v>
      </c>
      <c r="AG425" t="s">
        <v>135</v>
      </c>
      <c r="AH425" s="137">
        <v>7.0699999999999995E-4</v>
      </c>
      <c r="AI425" s="137">
        <v>1.6226533689835401E-3</v>
      </c>
      <c r="AJ425" s="137">
        <v>2.93582089531071E-4</v>
      </c>
    </row>
    <row r="426" spans="1:36">
      <c r="A426">
        <v>161</v>
      </c>
      <c r="B426">
        <v>9943</v>
      </c>
      <c r="C426" t="s">
        <v>216</v>
      </c>
      <c r="D426" t="s">
        <v>217</v>
      </c>
      <c r="E426" t="s">
        <v>41</v>
      </c>
      <c r="F426" t="s">
        <v>2098</v>
      </c>
      <c r="G426" t="s">
        <v>2099</v>
      </c>
      <c r="H426" t="s">
        <v>44</v>
      </c>
      <c r="I426" t="s">
        <v>1331</v>
      </c>
      <c r="J426" t="s">
        <v>45</v>
      </c>
      <c r="K426" t="s">
        <v>45</v>
      </c>
      <c r="L426" t="s">
        <v>46</v>
      </c>
      <c r="M426" t="s">
        <v>47</v>
      </c>
      <c r="N426" t="s">
        <v>221</v>
      </c>
      <c r="O426" t="s">
        <v>51</v>
      </c>
      <c r="P426" t="s">
        <v>95</v>
      </c>
      <c r="Q426" t="s">
        <v>96</v>
      </c>
      <c r="R426" t="s">
        <v>97</v>
      </c>
      <c r="S426" t="s">
        <v>52</v>
      </c>
      <c r="T426" t="s">
        <v>2100</v>
      </c>
      <c r="U426" t="s">
        <v>2101</v>
      </c>
      <c r="V426" s="137">
        <v>1.8599999999999998E-2</v>
      </c>
      <c r="W426" s="137">
        <v>2.0230000000000001E-2</v>
      </c>
      <c r="X426" t="s">
        <v>131</v>
      </c>
      <c r="Y426" t="s">
        <v>51</v>
      </c>
      <c r="Z426" s="133">
        <v>78656.899999999994</v>
      </c>
      <c r="AA426" s="135">
        <v>1</v>
      </c>
      <c r="AB426" s="139">
        <v>105.64</v>
      </c>
      <c r="AD426" s="133">
        <v>83.093000000000004</v>
      </c>
      <c r="AG426" t="s">
        <v>135</v>
      </c>
      <c r="AH426" s="137">
        <v>3.4999999999999997E-5</v>
      </c>
      <c r="AI426" s="137">
        <v>2.34359780130338E-4</v>
      </c>
      <c r="AJ426" s="137">
        <v>4.2402052877015197E-5</v>
      </c>
    </row>
    <row r="427" spans="1:36">
      <c r="A427">
        <v>161</v>
      </c>
      <c r="B427">
        <v>9943</v>
      </c>
      <c r="C427" t="s">
        <v>216</v>
      </c>
      <c r="D427" t="s">
        <v>217</v>
      </c>
      <c r="E427" t="s">
        <v>41</v>
      </c>
      <c r="F427" t="s">
        <v>2358</v>
      </c>
      <c r="G427" t="s">
        <v>2359</v>
      </c>
      <c r="H427" t="s">
        <v>44</v>
      </c>
      <c r="I427" t="s">
        <v>1331</v>
      </c>
      <c r="J427" t="s">
        <v>45</v>
      </c>
      <c r="K427" t="s">
        <v>45</v>
      </c>
      <c r="L427" t="s">
        <v>46</v>
      </c>
      <c r="M427" t="s">
        <v>47</v>
      </c>
      <c r="N427" t="s">
        <v>221</v>
      </c>
      <c r="O427" t="s">
        <v>51</v>
      </c>
      <c r="P427" t="s">
        <v>95</v>
      </c>
      <c r="Q427" t="s">
        <v>96</v>
      </c>
      <c r="R427" t="s">
        <v>97</v>
      </c>
      <c r="S427" t="s">
        <v>52</v>
      </c>
      <c r="T427" t="s">
        <v>2360</v>
      </c>
      <c r="U427" t="s">
        <v>2361</v>
      </c>
      <c r="V427" s="137">
        <v>8.3000000000000001E-3</v>
      </c>
      <c r="W427" s="137">
        <v>1E-4</v>
      </c>
      <c r="X427" t="s">
        <v>131</v>
      </c>
      <c r="Y427" t="s">
        <v>51</v>
      </c>
      <c r="Z427" s="133">
        <v>70360</v>
      </c>
      <c r="AA427" s="135">
        <v>1</v>
      </c>
      <c r="AB427" s="139">
        <v>119.06</v>
      </c>
      <c r="AD427" s="133">
        <v>83.771000000000001</v>
      </c>
      <c r="AG427" t="s">
        <v>135</v>
      </c>
      <c r="AH427" s="137">
        <v>4.6E-5</v>
      </c>
      <c r="AI427" s="137">
        <v>2.3627053909510199E-4</v>
      </c>
      <c r="AJ427" s="137">
        <v>4.2747761097999697E-5</v>
      </c>
    </row>
    <row r="428" spans="1:36">
      <c r="A428">
        <v>161</v>
      </c>
      <c r="B428">
        <v>9943</v>
      </c>
      <c r="C428" t="s">
        <v>216</v>
      </c>
      <c r="D428" t="s">
        <v>217</v>
      </c>
      <c r="E428" t="s">
        <v>41</v>
      </c>
      <c r="F428" t="s">
        <v>2102</v>
      </c>
      <c r="G428" t="s">
        <v>2103</v>
      </c>
      <c r="H428" t="s">
        <v>44</v>
      </c>
      <c r="I428" t="s">
        <v>1331</v>
      </c>
      <c r="J428" t="s">
        <v>45</v>
      </c>
      <c r="K428" t="s">
        <v>45</v>
      </c>
      <c r="L428" t="s">
        <v>46</v>
      </c>
      <c r="M428" t="s">
        <v>47</v>
      </c>
      <c r="N428" t="s">
        <v>221</v>
      </c>
      <c r="O428" t="s">
        <v>51</v>
      </c>
      <c r="P428" t="s">
        <v>95</v>
      </c>
      <c r="Q428" t="s">
        <v>96</v>
      </c>
      <c r="R428" t="s">
        <v>97</v>
      </c>
      <c r="S428" t="s">
        <v>52</v>
      </c>
      <c r="T428" t="s">
        <v>2104</v>
      </c>
      <c r="U428" t="s">
        <v>2105</v>
      </c>
      <c r="V428" s="137">
        <v>1E-3</v>
      </c>
      <c r="W428" s="137">
        <v>1.8589999999999999E-2</v>
      </c>
      <c r="X428" t="s">
        <v>131</v>
      </c>
      <c r="Y428" t="s">
        <v>51</v>
      </c>
      <c r="Z428" s="133">
        <v>12300</v>
      </c>
      <c r="AA428" s="135">
        <v>1</v>
      </c>
      <c r="AB428" s="139">
        <v>111.75</v>
      </c>
      <c r="AD428" s="133">
        <v>13.744999999999999</v>
      </c>
      <c r="AG428" t="s">
        <v>135</v>
      </c>
      <c r="AH428" s="137">
        <v>3.9999999999999998E-6</v>
      </c>
      <c r="AI428" s="137">
        <v>3.8767741990782899E-5</v>
      </c>
      <c r="AJ428" s="137">
        <v>7.0141380270175E-6</v>
      </c>
    </row>
    <row r="429" spans="1:36">
      <c r="A429">
        <v>161</v>
      </c>
      <c r="B429">
        <v>9943</v>
      </c>
      <c r="C429" t="s">
        <v>216</v>
      </c>
      <c r="D429" t="s">
        <v>217</v>
      </c>
      <c r="E429" t="s">
        <v>41</v>
      </c>
      <c r="F429" t="s">
        <v>2110</v>
      </c>
      <c r="G429" t="s">
        <v>2111</v>
      </c>
      <c r="H429" t="s">
        <v>44</v>
      </c>
      <c r="I429" t="s">
        <v>1331</v>
      </c>
      <c r="J429" t="s">
        <v>45</v>
      </c>
      <c r="K429" t="s">
        <v>45</v>
      </c>
      <c r="L429" t="s">
        <v>46</v>
      </c>
      <c r="M429" t="s">
        <v>47</v>
      </c>
      <c r="N429" t="s">
        <v>221</v>
      </c>
      <c r="O429" t="s">
        <v>51</v>
      </c>
      <c r="P429" t="s">
        <v>95</v>
      </c>
      <c r="Q429" t="s">
        <v>96</v>
      </c>
      <c r="R429" t="s">
        <v>97</v>
      </c>
      <c r="S429" t="s">
        <v>52</v>
      </c>
      <c r="T429" t="s">
        <v>2112</v>
      </c>
      <c r="U429" t="s">
        <v>2113</v>
      </c>
      <c r="V429" s="137">
        <v>2.0199999999999999E-2</v>
      </c>
      <c r="W429" s="137">
        <v>2.4549999999999999E-2</v>
      </c>
      <c r="X429" t="s">
        <v>131</v>
      </c>
      <c r="Y429" t="s">
        <v>51</v>
      </c>
      <c r="Z429" s="133">
        <v>112367</v>
      </c>
      <c r="AA429" s="135">
        <v>1</v>
      </c>
      <c r="AB429" s="139">
        <v>104.86</v>
      </c>
      <c r="AD429" s="133">
        <v>117.828</v>
      </c>
      <c r="AG429" t="s">
        <v>135</v>
      </c>
      <c r="AH429" s="137">
        <v>2.0999999999999999E-5</v>
      </c>
      <c r="AI429" s="137">
        <v>3.3232767004472298E-4</v>
      </c>
      <c r="AJ429" s="137">
        <v>6.0127106408338503E-5</v>
      </c>
    </row>
    <row r="430" spans="1:36">
      <c r="A430">
        <v>161</v>
      </c>
      <c r="B430">
        <v>9943</v>
      </c>
      <c r="C430" t="s">
        <v>216</v>
      </c>
      <c r="D430" t="s">
        <v>217</v>
      </c>
      <c r="E430" t="s">
        <v>41</v>
      </c>
      <c r="F430" t="s">
        <v>2114</v>
      </c>
      <c r="G430" t="s">
        <v>2115</v>
      </c>
      <c r="H430" t="s">
        <v>44</v>
      </c>
      <c r="I430" t="s">
        <v>1331</v>
      </c>
      <c r="J430" t="s">
        <v>45</v>
      </c>
      <c r="K430" t="s">
        <v>45</v>
      </c>
      <c r="L430" t="s">
        <v>46</v>
      </c>
      <c r="M430" t="s">
        <v>47</v>
      </c>
      <c r="N430" t="s">
        <v>221</v>
      </c>
      <c r="O430" t="s">
        <v>51</v>
      </c>
      <c r="P430" t="s">
        <v>95</v>
      </c>
      <c r="Q430" t="s">
        <v>96</v>
      </c>
      <c r="R430" t="s">
        <v>97</v>
      </c>
      <c r="S430" t="s">
        <v>52</v>
      </c>
      <c r="T430" t="s">
        <v>2116</v>
      </c>
      <c r="U430" t="s">
        <v>2117</v>
      </c>
      <c r="V430" s="137">
        <v>1E-3</v>
      </c>
      <c r="W430" s="137">
        <v>2.4170000000000001E-2</v>
      </c>
      <c r="X430" t="s">
        <v>131</v>
      </c>
      <c r="Y430" t="s">
        <v>51</v>
      </c>
      <c r="Z430" s="133">
        <v>121540</v>
      </c>
      <c r="AA430" s="135">
        <v>1</v>
      </c>
      <c r="AB430" s="139">
        <v>105.8</v>
      </c>
      <c r="AD430" s="133">
        <v>128.589</v>
      </c>
      <c r="AG430" t="s">
        <v>135</v>
      </c>
      <c r="AH430" s="137">
        <v>2.8E-5</v>
      </c>
      <c r="AI430" s="137">
        <v>3.6267929506776702E-4</v>
      </c>
      <c r="AJ430" s="137">
        <v>6.5618540170627799E-5</v>
      </c>
    </row>
    <row r="431" spans="1:36">
      <c r="A431">
        <v>161</v>
      </c>
      <c r="B431">
        <v>9943</v>
      </c>
      <c r="C431" t="s">
        <v>216</v>
      </c>
      <c r="D431" t="s">
        <v>217</v>
      </c>
      <c r="E431" t="s">
        <v>41</v>
      </c>
      <c r="F431" t="s">
        <v>2118</v>
      </c>
      <c r="G431" t="s">
        <v>2119</v>
      </c>
      <c r="H431" t="s">
        <v>44</v>
      </c>
      <c r="I431" t="s">
        <v>1509</v>
      </c>
      <c r="J431" t="s">
        <v>45</v>
      </c>
      <c r="K431" t="s">
        <v>45</v>
      </c>
      <c r="L431" t="s">
        <v>46</v>
      </c>
      <c r="M431" t="s">
        <v>47</v>
      </c>
      <c r="N431" t="s">
        <v>221</v>
      </c>
      <c r="O431" t="s">
        <v>51</v>
      </c>
      <c r="P431" t="s">
        <v>202</v>
      </c>
      <c r="Q431" t="s">
        <v>167</v>
      </c>
      <c r="R431" t="s">
        <v>97</v>
      </c>
      <c r="S431" t="s">
        <v>52</v>
      </c>
      <c r="T431" t="s">
        <v>2120</v>
      </c>
      <c r="U431" t="s">
        <v>2121</v>
      </c>
      <c r="V431" s="137">
        <v>4.5900000000000003E-2</v>
      </c>
      <c r="W431" s="137">
        <v>4.4519999999999997E-2</v>
      </c>
      <c r="X431" t="s">
        <v>131</v>
      </c>
      <c r="Y431" t="s">
        <v>51</v>
      </c>
      <c r="Z431" s="133">
        <v>6750000</v>
      </c>
      <c r="AA431" s="135">
        <v>1</v>
      </c>
      <c r="AB431" s="139">
        <v>103.3</v>
      </c>
      <c r="AD431" s="133">
        <v>6972.75</v>
      </c>
      <c r="AG431" t="s">
        <v>135</v>
      </c>
      <c r="AH431" s="137">
        <v>1.5380000000000001E-3</v>
      </c>
      <c r="AI431" s="137">
        <v>1.96662681992857E-2</v>
      </c>
      <c r="AJ431" s="137">
        <v>3.5581623417461502E-3</v>
      </c>
    </row>
    <row r="432" spans="1:36">
      <c r="A432">
        <v>161</v>
      </c>
      <c r="B432">
        <v>9943</v>
      </c>
      <c r="C432" t="s">
        <v>2133</v>
      </c>
      <c r="D432" t="s">
        <v>2134</v>
      </c>
      <c r="E432" t="s">
        <v>41</v>
      </c>
      <c r="F432" t="s">
        <v>2362</v>
      </c>
      <c r="G432" t="s">
        <v>2363</v>
      </c>
      <c r="H432" t="s">
        <v>44</v>
      </c>
      <c r="I432" t="s">
        <v>1331</v>
      </c>
      <c r="J432" t="s">
        <v>45</v>
      </c>
      <c r="K432" t="s">
        <v>45</v>
      </c>
      <c r="L432" t="s">
        <v>46</v>
      </c>
      <c r="M432" t="s">
        <v>47</v>
      </c>
      <c r="N432" t="s">
        <v>58</v>
      </c>
      <c r="O432" t="s">
        <v>51</v>
      </c>
      <c r="P432" t="s">
        <v>1919</v>
      </c>
      <c r="Q432" t="s">
        <v>96</v>
      </c>
      <c r="R432" t="s">
        <v>97</v>
      </c>
      <c r="S432" t="s">
        <v>52</v>
      </c>
      <c r="T432" t="s">
        <v>2364</v>
      </c>
      <c r="U432" t="s">
        <v>2365</v>
      </c>
      <c r="V432" s="137">
        <v>3.5000000000000001E-3</v>
      </c>
      <c r="W432" s="137">
        <v>2.819E-2</v>
      </c>
      <c r="X432" t="s">
        <v>131</v>
      </c>
      <c r="Y432" t="s">
        <v>51</v>
      </c>
      <c r="Z432" s="133">
        <v>3801647.28</v>
      </c>
      <c r="AA432" s="135">
        <v>1</v>
      </c>
      <c r="AB432" s="139">
        <v>102.55</v>
      </c>
      <c r="AD432" s="133">
        <v>3898.5889999999999</v>
      </c>
      <c r="AG432" t="s">
        <v>135</v>
      </c>
      <c r="AH432" s="137">
        <v>1.152E-3</v>
      </c>
      <c r="AI432" s="137">
        <v>1.09957624309287E-2</v>
      </c>
      <c r="AJ432" s="137">
        <v>1.9894322300526E-3</v>
      </c>
    </row>
    <row r="433" spans="1:36">
      <c r="A433">
        <v>161</v>
      </c>
      <c r="B433">
        <v>9943</v>
      </c>
      <c r="C433" t="s">
        <v>2133</v>
      </c>
      <c r="D433" t="s">
        <v>2134</v>
      </c>
      <c r="E433" t="s">
        <v>41</v>
      </c>
      <c r="F433" t="s">
        <v>2406</v>
      </c>
      <c r="G433" t="s">
        <v>2407</v>
      </c>
      <c r="H433" t="s">
        <v>44</v>
      </c>
      <c r="I433" t="s">
        <v>1331</v>
      </c>
      <c r="J433" t="s">
        <v>45</v>
      </c>
      <c r="K433" t="s">
        <v>45</v>
      </c>
      <c r="L433" t="s">
        <v>46</v>
      </c>
      <c r="M433" t="s">
        <v>47</v>
      </c>
      <c r="N433" t="s">
        <v>58</v>
      </c>
      <c r="O433" t="s">
        <v>51</v>
      </c>
      <c r="P433" t="s">
        <v>1919</v>
      </c>
      <c r="Q433" t="s">
        <v>96</v>
      </c>
      <c r="R433" t="s">
        <v>97</v>
      </c>
      <c r="S433" t="s">
        <v>52</v>
      </c>
      <c r="T433" t="s">
        <v>2408</v>
      </c>
      <c r="U433" t="s">
        <v>2409</v>
      </c>
      <c r="V433" s="137">
        <v>2.4E-2</v>
      </c>
      <c r="W433" s="137">
        <v>9.4400000000000005E-3</v>
      </c>
      <c r="X433" t="s">
        <v>131</v>
      </c>
      <c r="Y433" t="s">
        <v>51</v>
      </c>
      <c r="Z433" s="133">
        <v>363959.36</v>
      </c>
      <c r="AA433" s="135">
        <v>1</v>
      </c>
      <c r="AB433" s="139">
        <v>119.4</v>
      </c>
      <c r="AD433" s="133">
        <v>434.56700000000001</v>
      </c>
      <c r="AG433" t="s">
        <v>135</v>
      </c>
      <c r="AH433" s="137">
        <v>7.3099999999999999E-4</v>
      </c>
      <c r="AI433" s="137">
        <v>1.2256743079209901E-3</v>
      </c>
      <c r="AJ433" s="137">
        <v>2.2175778960690799E-4</v>
      </c>
    </row>
    <row r="434" spans="1:36">
      <c r="A434">
        <v>161</v>
      </c>
      <c r="B434">
        <v>9943</v>
      </c>
      <c r="C434" t="s">
        <v>2133</v>
      </c>
      <c r="D434" t="s">
        <v>2134</v>
      </c>
      <c r="E434" t="s">
        <v>41</v>
      </c>
      <c r="F434" t="s">
        <v>2135</v>
      </c>
      <c r="G434" t="s">
        <v>2136</v>
      </c>
      <c r="H434" t="s">
        <v>44</v>
      </c>
      <c r="I434" t="s">
        <v>1331</v>
      </c>
      <c r="J434" t="s">
        <v>45</v>
      </c>
      <c r="K434" t="s">
        <v>45</v>
      </c>
      <c r="L434" t="s">
        <v>46</v>
      </c>
      <c r="M434" t="s">
        <v>47</v>
      </c>
      <c r="N434" t="s">
        <v>58</v>
      </c>
      <c r="O434" t="s">
        <v>51</v>
      </c>
      <c r="P434" t="s">
        <v>1919</v>
      </c>
      <c r="Q434" t="s">
        <v>96</v>
      </c>
      <c r="R434" t="s">
        <v>97</v>
      </c>
      <c r="S434" t="s">
        <v>52</v>
      </c>
      <c r="T434" t="s">
        <v>2137</v>
      </c>
      <c r="U434" t="s">
        <v>2025</v>
      </c>
      <c r="V434" s="137">
        <v>2.81E-2</v>
      </c>
      <c r="W434" s="137">
        <v>2.5319999999999999E-2</v>
      </c>
      <c r="X434" t="s">
        <v>131</v>
      </c>
      <c r="Y434" t="s">
        <v>51</v>
      </c>
      <c r="Z434" s="133">
        <v>70803.199999999997</v>
      </c>
      <c r="AA434" s="135">
        <v>1</v>
      </c>
      <c r="AB434" s="139">
        <v>120.94</v>
      </c>
      <c r="AD434" s="133">
        <v>85.629000000000005</v>
      </c>
      <c r="AG434" t="s">
        <v>135</v>
      </c>
      <c r="AH434" s="137">
        <v>5.8999999999999998E-5</v>
      </c>
      <c r="AI434" s="137">
        <v>2.4151311190771701E-4</v>
      </c>
      <c r="AJ434" s="137">
        <v>4.3696284985027001E-5</v>
      </c>
    </row>
    <row r="435" spans="1:36">
      <c r="A435">
        <v>161</v>
      </c>
      <c r="B435">
        <v>9943</v>
      </c>
      <c r="C435" t="s">
        <v>2133</v>
      </c>
      <c r="D435" t="s">
        <v>2134</v>
      </c>
      <c r="E435" t="s">
        <v>41</v>
      </c>
      <c r="F435" t="s">
        <v>2410</v>
      </c>
      <c r="G435" t="s">
        <v>2411</v>
      </c>
      <c r="H435" t="s">
        <v>44</v>
      </c>
      <c r="I435" t="s">
        <v>1509</v>
      </c>
      <c r="J435" t="s">
        <v>45</v>
      </c>
      <c r="K435" t="s">
        <v>45</v>
      </c>
      <c r="L435" t="s">
        <v>46</v>
      </c>
      <c r="M435" t="s">
        <v>47</v>
      </c>
      <c r="N435" t="s">
        <v>58</v>
      </c>
      <c r="O435" t="s">
        <v>51</v>
      </c>
      <c r="P435" t="s">
        <v>1919</v>
      </c>
      <c r="Q435" t="s">
        <v>96</v>
      </c>
      <c r="R435" t="s">
        <v>97</v>
      </c>
      <c r="S435" t="s">
        <v>52</v>
      </c>
      <c r="T435" t="s">
        <v>2412</v>
      </c>
      <c r="U435" t="s">
        <v>2001</v>
      </c>
      <c r="V435" s="137">
        <v>5.6500000000000002E-2</v>
      </c>
      <c r="W435" s="137">
        <v>4.7109999999999999E-2</v>
      </c>
      <c r="X435" t="s">
        <v>131</v>
      </c>
      <c r="Y435" t="s">
        <v>51</v>
      </c>
      <c r="Z435" s="133">
        <v>177825.08</v>
      </c>
      <c r="AA435" s="135">
        <v>1</v>
      </c>
      <c r="AB435" s="139">
        <v>102.62</v>
      </c>
      <c r="AD435" s="133">
        <v>182.48400000000001</v>
      </c>
      <c r="AG435" t="s">
        <v>135</v>
      </c>
      <c r="AH435" s="137">
        <v>1.519E-3</v>
      </c>
      <c r="AI435" s="137">
        <v>5.1468662946390297E-4</v>
      </c>
      <c r="AJ435" s="137">
        <v>9.3120797713174098E-5</v>
      </c>
    </row>
    <row r="436" spans="1:36">
      <c r="A436">
        <v>161</v>
      </c>
      <c r="B436">
        <v>9943</v>
      </c>
      <c r="C436" t="s">
        <v>2133</v>
      </c>
      <c r="D436" t="s">
        <v>2134</v>
      </c>
      <c r="E436" t="s">
        <v>41</v>
      </c>
      <c r="F436" t="s">
        <v>2366</v>
      </c>
      <c r="G436" t="s">
        <v>2367</v>
      </c>
      <c r="H436" t="s">
        <v>44</v>
      </c>
      <c r="I436" t="s">
        <v>1331</v>
      </c>
      <c r="J436" t="s">
        <v>45</v>
      </c>
      <c r="K436" t="s">
        <v>45</v>
      </c>
      <c r="L436" t="s">
        <v>46</v>
      </c>
      <c r="M436" t="s">
        <v>47</v>
      </c>
      <c r="N436" t="s">
        <v>58</v>
      </c>
      <c r="O436" t="s">
        <v>51</v>
      </c>
      <c r="P436" t="s">
        <v>1919</v>
      </c>
      <c r="Q436" t="s">
        <v>96</v>
      </c>
      <c r="R436" t="s">
        <v>97</v>
      </c>
      <c r="S436" t="s">
        <v>52</v>
      </c>
      <c r="T436" t="s">
        <v>2368</v>
      </c>
      <c r="U436" t="s">
        <v>2001</v>
      </c>
      <c r="V436" s="137">
        <v>3.6999999999999998E-2</v>
      </c>
      <c r="W436" s="137">
        <v>2.1329999999999998E-2</v>
      </c>
      <c r="X436" t="s">
        <v>131</v>
      </c>
      <c r="Y436" t="s">
        <v>51</v>
      </c>
      <c r="Z436" s="133">
        <v>306454.36</v>
      </c>
      <c r="AA436" s="135">
        <v>1</v>
      </c>
      <c r="AB436" s="139">
        <v>121.32</v>
      </c>
      <c r="AD436" s="133">
        <v>371.79</v>
      </c>
      <c r="AG436" t="s">
        <v>135</v>
      </c>
      <c r="AH436" s="137">
        <v>1.359E-3</v>
      </c>
      <c r="AI436" s="137">
        <v>1.04861500864039E-3</v>
      </c>
      <c r="AJ436" s="137">
        <v>1.8972295083769699E-4</v>
      </c>
    </row>
    <row r="437" spans="1:36">
      <c r="A437">
        <v>161</v>
      </c>
      <c r="B437">
        <v>9943</v>
      </c>
      <c r="C437" t="s">
        <v>2138</v>
      </c>
      <c r="D437" t="s">
        <v>2139</v>
      </c>
      <c r="E437" t="s">
        <v>41</v>
      </c>
      <c r="F437" t="s">
        <v>2636</v>
      </c>
      <c r="G437" t="s">
        <v>2637</v>
      </c>
      <c r="H437" t="s">
        <v>44</v>
      </c>
      <c r="I437" t="s">
        <v>1509</v>
      </c>
      <c r="J437" t="s">
        <v>45</v>
      </c>
      <c r="K437" t="s">
        <v>45</v>
      </c>
      <c r="L437" t="s">
        <v>46</v>
      </c>
      <c r="M437" t="s">
        <v>47</v>
      </c>
      <c r="N437" t="s">
        <v>1037</v>
      </c>
      <c r="O437" t="s">
        <v>51</v>
      </c>
      <c r="P437" t="s">
        <v>166</v>
      </c>
      <c r="Q437" t="s">
        <v>167</v>
      </c>
      <c r="R437" t="s">
        <v>97</v>
      </c>
      <c r="S437" t="s">
        <v>52</v>
      </c>
      <c r="T437" t="s">
        <v>2638</v>
      </c>
      <c r="U437" t="s">
        <v>2614</v>
      </c>
      <c r="V437" s="137">
        <v>6.0699999999999997E-2</v>
      </c>
      <c r="W437" s="137">
        <v>4.675E-2</v>
      </c>
      <c r="X437" t="s">
        <v>131</v>
      </c>
      <c r="Y437" t="s">
        <v>51</v>
      </c>
      <c r="Z437" s="133">
        <v>3158306</v>
      </c>
      <c r="AA437" s="135">
        <v>1</v>
      </c>
      <c r="AB437" s="139">
        <v>110.85</v>
      </c>
      <c r="AD437" s="133">
        <v>3500.982</v>
      </c>
      <c r="AG437" t="s">
        <v>135</v>
      </c>
      <c r="AH437" s="137">
        <v>5.0220000000000004E-3</v>
      </c>
      <c r="AI437" s="137">
        <v>9.8743329282982399E-3</v>
      </c>
      <c r="AJ437" s="137">
        <v>1.78653515854172E-3</v>
      </c>
    </row>
    <row r="438" spans="1:36">
      <c r="A438">
        <v>161</v>
      </c>
      <c r="B438">
        <v>9943</v>
      </c>
      <c r="C438" t="s">
        <v>2138</v>
      </c>
      <c r="D438" t="s">
        <v>2139</v>
      </c>
      <c r="E438" t="s">
        <v>41</v>
      </c>
      <c r="F438" t="s">
        <v>2639</v>
      </c>
      <c r="G438" t="s">
        <v>2640</v>
      </c>
      <c r="H438" t="s">
        <v>44</v>
      </c>
      <c r="I438" t="s">
        <v>1509</v>
      </c>
      <c r="J438" t="s">
        <v>45</v>
      </c>
      <c r="K438" t="s">
        <v>45</v>
      </c>
      <c r="L438" t="s">
        <v>46</v>
      </c>
      <c r="M438" t="s">
        <v>47</v>
      </c>
      <c r="N438" t="s">
        <v>1037</v>
      </c>
      <c r="O438" t="s">
        <v>51</v>
      </c>
      <c r="P438" t="s">
        <v>166</v>
      </c>
      <c r="Q438" t="s">
        <v>167</v>
      </c>
      <c r="R438" t="s">
        <v>97</v>
      </c>
      <c r="S438" t="s">
        <v>52</v>
      </c>
      <c r="T438" t="s">
        <v>2641</v>
      </c>
      <c r="U438" t="s">
        <v>177</v>
      </c>
      <c r="V438" s="137">
        <v>5.3999999999999999E-2</v>
      </c>
      <c r="W438" s="137">
        <v>4.5969999999999997E-2</v>
      </c>
      <c r="X438" t="s">
        <v>131</v>
      </c>
      <c r="Y438" t="s">
        <v>51</v>
      </c>
      <c r="Z438" s="133">
        <v>9</v>
      </c>
      <c r="AA438" s="135">
        <v>1</v>
      </c>
      <c r="AB438" s="139">
        <v>105.64</v>
      </c>
      <c r="AD438" s="133">
        <v>0.01</v>
      </c>
      <c r="AG438" t="s">
        <v>135</v>
      </c>
      <c r="AH438" s="137">
        <v>0</v>
      </c>
      <c r="AI438" s="137">
        <v>2.6815676961246102E-8</v>
      </c>
      <c r="AJ438" s="137">
        <v>4.8516846696620002E-9</v>
      </c>
    </row>
    <row r="439" spans="1:36">
      <c r="A439">
        <v>161</v>
      </c>
      <c r="B439">
        <v>9943</v>
      </c>
      <c r="C439" t="s">
        <v>2138</v>
      </c>
      <c r="D439" t="s">
        <v>2139</v>
      </c>
      <c r="E439" t="s">
        <v>41</v>
      </c>
      <c r="F439" t="s">
        <v>2642</v>
      </c>
      <c r="G439" t="s">
        <v>2643</v>
      </c>
      <c r="H439" t="s">
        <v>44</v>
      </c>
      <c r="I439" t="s">
        <v>1509</v>
      </c>
      <c r="J439" t="s">
        <v>45</v>
      </c>
      <c r="K439" t="s">
        <v>45</v>
      </c>
      <c r="L439" t="s">
        <v>46</v>
      </c>
      <c r="M439" t="s">
        <v>47</v>
      </c>
      <c r="N439" t="s">
        <v>1037</v>
      </c>
      <c r="O439" t="s">
        <v>51</v>
      </c>
      <c r="P439" t="s">
        <v>128</v>
      </c>
      <c r="Q439" t="s">
        <v>96</v>
      </c>
      <c r="R439" t="s">
        <v>97</v>
      </c>
      <c r="S439" t="s">
        <v>52</v>
      </c>
      <c r="T439" t="s">
        <v>2644</v>
      </c>
      <c r="U439" t="s">
        <v>2539</v>
      </c>
      <c r="V439" s="137">
        <v>6.0699999999999997E-2</v>
      </c>
      <c r="W439" s="137">
        <v>4.623E-2</v>
      </c>
      <c r="X439" t="s">
        <v>131</v>
      </c>
      <c r="Y439" t="s">
        <v>51</v>
      </c>
      <c r="Z439" s="133">
        <v>1800000</v>
      </c>
      <c r="AA439" s="135">
        <v>1</v>
      </c>
      <c r="AB439" s="139">
        <v>110.14</v>
      </c>
      <c r="AD439" s="133">
        <v>1982.52</v>
      </c>
      <c r="AG439" t="s">
        <v>135</v>
      </c>
      <c r="AH439" s="137">
        <v>2.862E-3</v>
      </c>
      <c r="AI439" s="137">
        <v>5.5915915571973602E-3</v>
      </c>
      <c r="AJ439" s="137">
        <v>1.01167086239412E-3</v>
      </c>
    </row>
    <row r="440" spans="1:36">
      <c r="A440">
        <v>161</v>
      </c>
      <c r="B440">
        <v>9943</v>
      </c>
      <c r="C440" t="s">
        <v>2151</v>
      </c>
      <c r="D440" t="s">
        <v>2152</v>
      </c>
      <c r="E440" t="s">
        <v>41</v>
      </c>
      <c r="F440" t="s">
        <v>2153</v>
      </c>
      <c r="G440" t="s">
        <v>2154</v>
      </c>
      <c r="H440" t="s">
        <v>44</v>
      </c>
      <c r="I440" t="s">
        <v>1331</v>
      </c>
      <c r="J440" t="s">
        <v>45</v>
      </c>
      <c r="K440" t="s">
        <v>45</v>
      </c>
      <c r="L440" t="s">
        <v>46</v>
      </c>
      <c r="M440" t="s">
        <v>47</v>
      </c>
      <c r="N440" t="s">
        <v>58</v>
      </c>
      <c r="O440" t="s">
        <v>51</v>
      </c>
      <c r="P440" t="s">
        <v>128</v>
      </c>
      <c r="Q440" t="s">
        <v>96</v>
      </c>
      <c r="R440" t="s">
        <v>97</v>
      </c>
      <c r="S440" t="s">
        <v>52</v>
      </c>
      <c r="T440" t="s">
        <v>2155</v>
      </c>
      <c r="U440" t="s">
        <v>2156</v>
      </c>
      <c r="V440" s="137">
        <v>2.0500000000000001E-2</v>
      </c>
      <c r="W440" s="137">
        <v>1.7149999999999999E-2</v>
      </c>
      <c r="X440" t="s">
        <v>131</v>
      </c>
      <c r="Y440" t="s">
        <v>51</v>
      </c>
      <c r="Z440" s="133">
        <v>84696.12</v>
      </c>
      <c r="AA440" s="135">
        <v>1</v>
      </c>
      <c r="AB440" s="139">
        <v>119.96</v>
      </c>
      <c r="AD440" s="133">
        <v>101.601</v>
      </c>
      <c r="AG440" t="s">
        <v>135</v>
      </c>
      <c r="AH440" s="137">
        <v>1.6799999999999999E-4</v>
      </c>
      <c r="AI440" s="137">
        <v>2.8656149596445002E-4</v>
      </c>
      <c r="AJ440" s="137">
        <v>5.1846761836197302E-5</v>
      </c>
    </row>
    <row r="441" spans="1:36">
      <c r="A441">
        <v>161</v>
      </c>
      <c r="B441">
        <v>9943</v>
      </c>
      <c r="C441" t="s">
        <v>2151</v>
      </c>
      <c r="D441" t="s">
        <v>2152</v>
      </c>
      <c r="E441" t="s">
        <v>41</v>
      </c>
      <c r="F441" t="s">
        <v>2645</v>
      </c>
      <c r="G441" t="s">
        <v>2646</v>
      </c>
      <c r="H441" t="s">
        <v>44</v>
      </c>
      <c r="I441" t="s">
        <v>1331</v>
      </c>
      <c r="J441" t="s">
        <v>45</v>
      </c>
      <c r="K441" t="s">
        <v>45</v>
      </c>
      <c r="L441" t="s">
        <v>46</v>
      </c>
      <c r="M441" t="s">
        <v>47</v>
      </c>
      <c r="N441" t="s">
        <v>58</v>
      </c>
      <c r="O441" t="s">
        <v>51</v>
      </c>
      <c r="P441" t="s">
        <v>128</v>
      </c>
      <c r="Q441" t="s">
        <v>96</v>
      </c>
      <c r="R441" t="s">
        <v>97</v>
      </c>
      <c r="S441" t="s">
        <v>52</v>
      </c>
      <c r="T441" t="s">
        <v>2647</v>
      </c>
      <c r="U441" t="s">
        <v>2097</v>
      </c>
      <c r="V441" s="137">
        <v>5.0000000000000001E-3</v>
      </c>
      <c r="W441" s="137">
        <v>2.6020000000000001E-2</v>
      </c>
      <c r="X441" t="s">
        <v>131</v>
      </c>
      <c r="Y441" t="s">
        <v>51</v>
      </c>
      <c r="Z441" s="133">
        <v>1060526.3400000001</v>
      </c>
      <c r="AA441" s="135">
        <v>1</v>
      </c>
      <c r="AB441" s="139">
        <v>105.14</v>
      </c>
      <c r="AD441" s="133">
        <v>1115.037</v>
      </c>
      <c r="AG441" t="s">
        <v>135</v>
      </c>
      <c r="AH441" s="137">
        <v>1.0515E-2</v>
      </c>
      <c r="AI441" s="137">
        <v>3.1449032935639402E-3</v>
      </c>
      <c r="AJ441" s="137">
        <v>5.6899846753839605E-4</v>
      </c>
    </row>
    <row r="442" spans="1:36">
      <c r="A442">
        <v>161</v>
      </c>
      <c r="B442">
        <v>9943</v>
      </c>
      <c r="C442" t="s">
        <v>2151</v>
      </c>
      <c r="D442" t="s">
        <v>2152</v>
      </c>
      <c r="E442" t="s">
        <v>41</v>
      </c>
      <c r="F442" t="s">
        <v>2648</v>
      </c>
      <c r="G442" t="s">
        <v>2649</v>
      </c>
      <c r="H442" t="s">
        <v>44</v>
      </c>
      <c r="I442" t="s">
        <v>1331</v>
      </c>
      <c r="J442" t="s">
        <v>45</v>
      </c>
      <c r="K442" t="s">
        <v>45</v>
      </c>
      <c r="L442" t="s">
        <v>46</v>
      </c>
      <c r="M442" t="s">
        <v>47</v>
      </c>
      <c r="N442" t="s">
        <v>58</v>
      </c>
      <c r="O442" t="s">
        <v>51</v>
      </c>
      <c r="P442" t="s">
        <v>128</v>
      </c>
      <c r="Q442" t="s">
        <v>96</v>
      </c>
      <c r="R442" t="s">
        <v>97</v>
      </c>
      <c r="S442" t="s">
        <v>52</v>
      </c>
      <c r="T442" t="s">
        <v>2650</v>
      </c>
      <c r="U442" t="s">
        <v>2097</v>
      </c>
      <c r="V442" s="137">
        <v>9.7000000000000003E-3</v>
      </c>
      <c r="W442" s="137">
        <v>2.9180000000000001E-2</v>
      </c>
      <c r="X442" t="s">
        <v>131</v>
      </c>
      <c r="Y442" t="s">
        <v>51</v>
      </c>
      <c r="Z442" s="133">
        <v>2265863.4300000002</v>
      </c>
      <c r="AA442" s="135">
        <v>1</v>
      </c>
      <c r="AB442" s="139">
        <v>106.07</v>
      </c>
      <c r="AD442" s="133">
        <v>2403.4009999999998</v>
      </c>
      <c r="AG442" t="s">
        <v>135</v>
      </c>
      <c r="AH442" s="137">
        <v>4.0080000000000003E-3</v>
      </c>
      <c r="AI442" s="137">
        <v>6.7786648520190102E-3</v>
      </c>
      <c r="AJ442" s="137">
        <v>1.22644467976127E-3</v>
      </c>
    </row>
    <row r="443" spans="1:36">
      <c r="A443">
        <v>161</v>
      </c>
      <c r="B443">
        <v>9943</v>
      </c>
      <c r="C443" t="s">
        <v>2151</v>
      </c>
      <c r="D443" t="s">
        <v>2152</v>
      </c>
      <c r="E443" t="s">
        <v>41</v>
      </c>
      <c r="F443" t="s">
        <v>2651</v>
      </c>
      <c r="G443" t="s">
        <v>2652</v>
      </c>
      <c r="H443" t="s">
        <v>44</v>
      </c>
      <c r="I443" t="s">
        <v>1331</v>
      </c>
      <c r="J443" t="s">
        <v>45</v>
      </c>
      <c r="K443" t="s">
        <v>45</v>
      </c>
      <c r="L443" t="s">
        <v>46</v>
      </c>
      <c r="M443" t="s">
        <v>47</v>
      </c>
      <c r="N443" t="s">
        <v>58</v>
      </c>
      <c r="O443" t="s">
        <v>51</v>
      </c>
      <c r="P443" t="s">
        <v>1936</v>
      </c>
      <c r="Q443" t="s">
        <v>96</v>
      </c>
      <c r="R443" t="s">
        <v>97</v>
      </c>
      <c r="S443" t="s">
        <v>52</v>
      </c>
      <c r="T443" t="s">
        <v>2653</v>
      </c>
      <c r="U443" t="s">
        <v>2654</v>
      </c>
      <c r="V443" s="137">
        <v>3.1800000000000002E-2</v>
      </c>
      <c r="W443" s="137">
        <v>2.7119999999999998E-2</v>
      </c>
      <c r="X443" t="s">
        <v>131</v>
      </c>
      <c r="Y443" t="s">
        <v>51</v>
      </c>
      <c r="Z443" s="133">
        <v>4050000</v>
      </c>
      <c r="AA443" s="135">
        <v>1</v>
      </c>
      <c r="AB443" s="139">
        <v>106.69</v>
      </c>
      <c r="AD443" s="133">
        <v>4320.9449999999997</v>
      </c>
      <c r="AG443" t="s">
        <v>135</v>
      </c>
      <c r="AH443" s="137">
        <v>8.8599999999999998E-3</v>
      </c>
      <c r="AI443" s="137">
        <v>1.21869941191585E-2</v>
      </c>
      <c r="AJ443" s="137">
        <v>2.2049584137903001E-3</v>
      </c>
    </row>
    <row r="444" spans="1:36">
      <c r="A444">
        <v>161</v>
      </c>
      <c r="B444">
        <v>9943</v>
      </c>
      <c r="C444" t="s">
        <v>2161</v>
      </c>
      <c r="D444" t="s">
        <v>2162</v>
      </c>
      <c r="E444" t="s">
        <v>41</v>
      </c>
      <c r="F444" t="s">
        <v>2655</v>
      </c>
      <c r="G444" t="s">
        <v>2656</v>
      </c>
      <c r="H444" t="s">
        <v>44</v>
      </c>
      <c r="I444" t="s">
        <v>1331</v>
      </c>
      <c r="J444" t="s">
        <v>45</v>
      </c>
      <c r="K444" t="s">
        <v>45</v>
      </c>
      <c r="L444" t="s">
        <v>46</v>
      </c>
      <c r="M444" t="s">
        <v>47</v>
      </c>
      <c r="N444" t="s">
        <v>221</v>
      </c>
      <c r="O444" t="s">
        <v>51</v>
      </c>
      <c r="P444" t="s">
        <v>95</v>
      </c>
      <c r="Q444" t="s">
        <v>96</v>
      </c>
      <c r="R444" t="s">
        <v>97</v>
      </c>
      <c r="S444" t="s">
        <v>52</v>
      </c>
      <c r="T444" t="s">
        <v>2657</v>
      </c>
      <c r="U444" t="s">
        <v>2658</v>
      </c>
      <c r="V444" s="137">
        <v>1.2200000000000001E-2</v>
      </c>
      <c r="W444" s="137">
        <v>1.7590000000000001E-2</v>
      </c>
      <c r="X444" t="s">
        <v>131</v>
      </c>
      <c r="Y444" t="s">
        <v>51</v>
      </c>
      <c r="Z444" s="133">
        <v>600000</v>
      </c>
      <c r="AA444" s="135">
        <v>1</v>
      </c>
      <c r="AB444" s="139">
        <v>118.82</v>
      </c>
      <c r="AD444" s="133">
        <v>712.92</v>
      </c>
      <c r="AG444" t="s">
        <v>135</v>
      </c>
      <c r="AH444" s="137">
        <v>1.9900000000000001E-4</v>
      </c>
      <c r="AI444" s="137">
        <v>2.01075270512133E-3</v>
      </c>
      <c r="AJ444" s="137">
        <v>3.6379980591268402E-4</v>
      </c>
    </row>
    <row r="445" spans="1:36">
      <c r="A445">
        <v>161</v>
      </c>
      <c r="B445">
        <v>9943</v>
      </c>
      <c r="C445" t="s">
        <v>2161</v>
      </c>
      <c r="D445" t="s">
        <v>2162</v>
      </c>
      <c r="E445" t="s">
        <v>41</v>
      </c>
      <c r="F445" t="s">
        <v>2163</v>
      </c>
      <c r="G445" t="s">
        <v>2164</v>
      </c>
      <c r="H445" t="s">
        <v>44</v>
      </c>
      <c r="I445" t="s">
        <v>1331</v>
      </c>
      <c r="J445" t="s">
        <v>45</v>
      </c>
      <c r="K445" t="s">
        <v>45</v>
      </c>
      <c r="L445" t="s">
        <v>46</v>
      </c>
      <c r="M445" t="s">
        <v>47</v>
      </c>
      <c r="N445" t="s">
        <v>221</v>
      </c>
      <c r="O445" t="s">
        <v>51</v>
      </c>
      <c r="P445" t="s">
        <v>95</v>
      </c>
      <c r="Q445" t="s">
        <v>96</v>
      </c>
      <c r="R445" t="s">
        <v>97</v>
      </c>
      <c r="S445" t="s">
        <v>52</v>
      </c>
      <c r="T445" t="s">
        <v>2165</v>
      </c>
      <c r="U445" t="s">
        <v>2166</v>
      </c>
      <c r="V445" s="137">
        <v>1E-3</v>
      </c>
      <c r="W445" s="137">
        <v>2.3130000000000001E-2</v>
      </c>
      <c r="X445" t="s">
        <v>131</v>
      </c>
      <c r="Y445" t="s">
        <v>51</v>
      </c>
      <c r="Z445" s="133">
        <v>34580</v>
      </c>
      <c r="AA445" s="135">
        <v>1</v>
      </c>
      <c r="AB445" s="139">
        <v>108.87</v>
      </c>
      <c r="AD445" s="133">
        <v>37.646999999999998</v>
      </c>
      <c r="AG445" t="s">
        <v>135</v>
      </c>
      <c r="AH445" s="137">
        <v>1.0000000000000001E-5</v>
      </c>
      <c r="AI445" s="137">
        <v>1.0618204249406399E-4</v>
      </c>
      <c r="AJ445" s="137">
        <v>1.92112169499342E-5</v>
      </c>
    </row>
    <row r="446" spans="1:36">
      <c r="A446">
        <v>161</v>
      </c>
      <c r="B446">
        <v>9943</v>
      </c>
      <c r="C446" t="s">
        <v>2161</v>
      </c>
      <c r="D446" t="s">
        <v>2162</v>
      </c>
      <c r="E446" t="s">
        <v>41</v>
      </c>
      <c r="F446" t="s">
        <v>2171</v>
      </c>
      <c r="G446" t="s">
        <v>2172</v>
      </c>
      <c r="H446" t="s">
        <v>44</v>
      </c>
      <c r="I446" t="s">
        <v>1331</v>
      </c>
      <c r="J446" t="s">
        <v>45</v>
      </c>
      <c r="K446" t="s">
        <v>45</v>
      </c>
      <c r="L446" t="s">
        <v>46</v>
      </c>
      <c r="M446" t="s">
        <v>47</v>
      </c>
      <c r="N446" t="s">
        <v>221</v>
      </c>
      <c r="O446" t="s">
        <v>51</v>
      </c>
      <c r="P446" t="s">
        <v>202</v>
      </c>
      <c r="Q446" t="s">
        <v>167</v>
      </c>
      <c r="R446" t="s">
        <v>97</v>
      </c>
      <c r="S446" t="s">
        <v>52</v>
      </c>
      <c r="T446" t="s">
        <v>2173</v>
      </c>
      <c r="U446" t="s">
        <v>2174</v>
      </c>
      <c r="V446" s="137">
        <v>5.0000000000000001E-3</v>
      </c>
      <c r="W446" s="137">
        <v>1.523E-2</v>
      </c>
      <c r="X446" t="s">
        <v>131</v>
      </c>
      <c r="Y446" t="s">
        <v>51</v>
      </c>
      <c r="Z446" s="133">
        <v>950845</v>
      </c>
      <c r="AA446" s="135">
        <v>1</v>
      </c>
      <c r="AB446" s="139">
        <v>116.07</v>
      </c>
      <c r="AD446" s="133">
        <v>1103.646</v>
      </c>
      <c r="AG446" t="s">
        <v>135</v>
      </c>
      <c r="AH446" s="137">
        <v>1.2459999999999999E-3</v>
      </c>
      <c r="AI446" s="137">
        <v>3.1127738887314102E-3</v>
      </c>
      <c r="AJ446" s="137">
        <v>5.6318538509797804E-4</v>
      </c>
    </row>
    <row r="447" spans="1:36">
      <c r="A447">
        <v>161</v>
      </c>
      <c r="B447">
        <v>9943</v>
      </c>
      <c r="C447" t="s">
        <v>2161</v>
      </c>
      <c r="D447" t="s">
        <v>2162</v>
      </c>
      <c r="E447" t="s">
        <v>41</v>
      </c>
      <c r="F447" t="s">
        <v>2369</v>
      </c>
      <c r="G447" t="s">
        <v>2370</v>
      </c>
      <c r="H447" t="s">
        <v>44</v>
      </c>
      <c r="I447" t="s">
        <v>1331</v>
      </c>
      <c r="J447" t="s">
        <v>45</v>
      </c>
      <c r="K447" t="s">
        <v>45</v>
      </c>
      <c r="L447" t="s">
        <v>46</v>
      </c>
      <c r="M447" t="s">
        <v>47</v>
      </c>
      <c r="N447" t="s">
        <v>221</v>
      </c>
      <c r="O447" t="s">
        <v>51</v>
      </c>
      <c r="P447" t="s">
        <v>1936</v>
      </c>
      <c r="Q447" t="s">
        <v>96</v>
      </c>
      <c r="R447" t="s">
        <v>97</v>
      </c>
      <c r="S447" t="s">
        <v>52</v>
      </c>
      <c r="T447" t="s">
        <v>2371</v>
      </c>
      <c r="U447" t="s">
        <v>2372</v>
      </c>
      <c r="V447" s="137">
        <v>3.3599999999999998E-2</v>
      </c>
      <c r="W447" s="137">
        <v>2.6069999999999999E-2</v>
      </c>
      <c r="X447" t="s">
        <v>131</v>
      </c>
      <c r="Y447" t="s">
        <v>51</v>
      </c>
      <c r="Z447" s="133">
        <v>198050</v>
      </c>
      <c r="AA447" s="135">
        <v>1</v>
      </c>
      <c r="AB447" s="139">
        <v>110.93</v>
      </c>
      <c r="AD447" s="133">
        <v>219.697</v>
      </c>
      <c r="AG447" t="s">
        <v>135</v>
      </c>
      <c r="AH447" s="137">
        <v>1.7000000000000001E-4</v>
      </c>
      <c r="AI447" s="137">
        <v>6.1964324974110097E-4</v>
      </c>
      <c r="AJ447" s="137">
        <v>1.12110302483624E-4</v>
      </c>
    </row>
    <row r="448" spans="1:36">
      <c r="A448">
        <v>161</v>
      </c>
      <c r="B448">
        <v>9943</v>
      </c>
      <c r="C448" t="s">
        <v>2161</v>
      </c>
      <c r="D448" t="s">
        <v>2162</v>
      </c>
      <c r="E448" t="s">
        <v>41</v>
      </c>
      <c r="F448" t="s">
        <v>2659</v>
      </c>
      <c r="G448" t="s">
        <v>2660</v>
      </c>
      <c r="H448" t="s">
        <v>44</v>
      </c>
      <c r="I448" t="s">
        <v>1331</v>
      </c>
      <c r="J448" t="s">
        <v>45</v>
      </c>
      <c r="K448" t="s">
        <v>45</v>
      </c>
      <c r="L448" t="s">
        <v>46</v>
      </c>
      <c r="M448" t="s">
        <v>47</v>
      </c>
      <c r="N448" t="s">
        <v>221</v>
      </c>
      <c r="O448" t="s">
        <v>51</v>
      </c>
      <c r="P448" t="s">
        <v>1936</v>
      </c>
      <c r="Q448" t="s">
        <v>96</v>
      </c>
      <c r="R448" t="s">
        <v>97</v>
      </c>
      <c r="S448" t="s">
        <v>52</v>
      </c>
      <c r="T448" t="s">
        <v>2661</v>
      </c>
      <c r="U448" t="s">
        <v>2662</v>
      </c>
      <c r="V448" s="137">
        <v>3.3500000000000002E-2</v>
      </c>
      <c r="W448" s="137">
        <v>2.8049999999999999E-2</v>
      </c>
      <c r="X448" t="s">
        <v>131</v>
      </c>
      <c r="Y448" t="s">
        <v>51</v>
      </c>
      <c r="Z448" s="133">
        <v>1850000</v>
      </c>
      <c r="AA448" s="135">
        <v>1</v>
      </c>
      <c r="AB448" s="139">
        <v>105.58</v>
      </c>
      <c r="AD448" s="133">
        <v>1953.23</v>
      </c>
      <c r="AG448" t="s">
        <v>135</v>
      </c>
      <c r="AH448" s="137">
        <v>1.2210000000000001E-3</v>
      </c>
      <c r="AI448" s="137">
        <v>5.5089806797735197E-3</v>
      </c>
      <c r="AJ448" s="137">
        <v>9.967243097441941E-4</v>
      </c>
    </row>
    <row r="449" spans="1:36">
      <c r="A449">
        <v>161</v>
      </c>
      <c r="B449">
        <v>9943</v>
      </c>
      <c r="C449" t="s">
        <v>2161</v>
      </c>
      <c r="D449" t="s">
        <v>2162</v>
      </c>
      <c r="E449" t="s">
        <v>41</v>
      </c>
      <c r="F449" t="s">
        <v>2663</v>
      </c>
      <c r="G449" t="s">
        <v>2664</v>
      </c>
      <c r="H449" t="s">
        <v>44</v>
      </c>
      <c r="I449" t="s">
        <v>1331</v>
      </c>
      <c r="J449" t="s">
        <v>45</v>
      </c>
      <c r="K449" t="s">
        <v>45</v>
      </c>
      <c r="L449" t="s">
        <v>46</v>
      </c>
      <c r="M449" t="s">
        <v>47</v>
      </c>
      <c r="N449" t="s">
        <v>221</v>
      </c>
      <c r="O449" t="s">
        <v>51</v>
      </c>
      <c r="P449" t="s">
        <v>95</v>
      </c>
      <c r="Q449" t="s">
        <v>96</v>
      </c>
      <c r="R449" t="s">
        <v>97</v>
      </c>
      <c r="S449" t="s">
        <v>52</v>
      </c>
      <c r="T449" t="s">
        <v>2665</v>
      </c>
      <c r="U449" t="s">
        <v>2666</v>
      </c>
      <c r="V449" s="137">
        <v>3.8E-3</v>
      </c>
      <c r="W449" s="137">
        <v>1E-4</v>
      </c>
      <c r="X449" t="s">
        <v>131</v>
      </c>
      <c r="Y449" t="s">
        <v>51</v>
      </c>
      <c r="Z449" s="133">
        <v>1790080</v>
      </c>
      <c r="AA449" s="135">
        <v>1</v>
      </c>
      <c r="AB449" s="139">
        <v>116.87</v>
      </c>
      <c r="AD449" s="133">
        <v>2092.0659999999998</v>
      </c>
      <c r="AG449" t="s">
        <v>135</v>
      </c>
      <c r="AH449" s="137">
        <v>5.9699999999999998E-4</v>
      </c>
      <c r="AI449" s="137">
        <v>5.9005615863290499E-3</v>
      </c>
      <c r="AJ449" s="137">
        <v>1.0675719368249299E-3</v>
      </c>
    </row>
    <row r="450" spans="1:36">
      <c r="A450">
        <v>161</v>
      </c>
      <c r="B450">
        <v>9943</v>
      </c>
      <c r="C450" t="s">
        <v>2161</v>
      </c>
      <c r="D450" t="s">
        <v>2162</v>
      </c>
      <c r="E450" t="s">
        <v>41</v>
      </c>
      <c r="F450" t="s">
        <v>2179</v>
      </c>
      <c r="G450" t="s">
        <v>2180</v>
      </c>
      <c r="H450" t="s">
        <v>44</v>
      </c>
      <c r="I450" t="s">
        <v>1331</v>
      </c>
      <c r="J450" t="s">
        <v>45</v>
      </c>
      <c r="K450" t="s">
        <v>45</v>
      </c>
      <c r="L450" t="s">
        <v>46</v>
      </c>
      <c r="M450" t="s">
        <v>47</v>
      </c>
      <c r="N450" t="s">
        <v>221</v>
      </c>
      <c r="O450" t="s">
        <v>51</v>
      </c>
      <c r="P450" t="s">
        <v>95</v>
      </c>
      <c r="Q450" t="s">
        <v>96</v>
      </c>
      <c r="R450" t="s">
        <v>97</v>
      </c>
      <c r="S450" t="s">
        <v>52</v>
      </c>
      <c r="T450" t="s">
        <v>2181</v>
      </c>
      <c r="U450" t="s">
        <v>2170</v>
      </c>
      <c r="V450" s="137">
        <v>1E-3</v>
      </c>
      <c r="W450" s="137">
        <v>2.334E-2</v>
      </c>
      <c r="X450" t="s">
        <v>131</v>
      </c>
      <c r="Y450" t="s">
        <v>51</v>
      </c>
      <c r="Z450" s="133">
        <v>201568.31</v>
      </c>
      <c r="AA450" s="135">
        <v>1</v>
      </c>
      <c r="AB450" s="139">
        <v>107.76</v>
      </c>
      <c r="AD450" s="133">
        <v>217.21</v>
      </c>
      <c r="AG450" t="s">
        <v>135</v>
      </c>
      <c r="AH450" s="137">
        <v>1.08E-4</v>
      </c>
      <c r="AI450" s="137">
        <v>6.1262921072229102E-4</v>
      </c>
      <c r="AJ450" s="137">
        <v>1.10841272220873E-4</v>
      </c>
    </row>
    <row r="451" spans="1:36">
      <c r="A451">
        <v>161</v>
      </c>
      <c r="B451">
        <v>9943</v>
      </c>
      <c r="C451" t="s">
        <v>2182</v>
      </c>
      <c r="D451" t="s">
        <v>2183</v>
      </c>
      <c r="E451" t="s">
        <v>41</v>
      </c>
      <c r="F451" t="s">
        <v>2188</v>
      </c>
      <c r="G451" t="s">
        <v>2189</v>
      </c>
      <c r="H451" t="s">
        <v>44</v>
      </c>
      <c r="I451" t="s">
        <v>1331</v>
      </c>
      <c r="J451" t="s">
        <v>45</v>
      </c>
      <c r="K451" t="s">
        <v>45</v>
      </c>
      <c r="L451" t="s">
        <v>46</v>
      </c>
      <c r="M451" t="s">
        <v>47</v>
      </c>
      <c r="N451" t="s">
        <v>1035</v>
      </c>
      <c r="O451" t="s">
        <v>51</v>
      </c>
      <c r="P451" t="s">
        <v>166</v>
      </c>
      <c r="Q451" t="s">
        <v>167</v>
      </c>
      <c r="R451" t="s">
        <v>97</v>
      </c>
      <c r="S451" t="s">
        <v>52</v>
      </c>
      <c r="T451" t="s">
        <v>2190</v>
      </c>
      <c r="U451" t="s">
        <v>1866</v>
      </c>
      <c r="V451" s="137">
        <v>3.5400000000000001E-2</v>
      </c>
      <c r="W451" s="137">
        <v>2.3179999999999999E-2</v>
      </c>
      <c r="X451" t="s">
        <v>131</v>
      </c>
      <c r="Y451" t="s">
        <v>51</v>
      </c>
      <c r="Z451" s="133">
        <v>72861.5</v>
      </c>
      <c r="AA451" s="135">
        <v>1</v>
      </c>
      <c r="AB451" s="139">
        <v>110.42</v>
      </c>
      <c r="AD451" s="133">
        <v>80.453999999999994</v>
      </c>
      <c r="AG451" t="s">
        <v>135</v>
      </c>
      <c r="AH451" s="137">
        <v>1.2999999999999999E-4</v>
      </c>
      <c r="AI451" s="137">
        <v>2.2691526562750299E-4</v>
      </c>
      <c r="AJ451" s="137">
        <v>4.1055137901171797E-5</v>
      </c>
    </row>
    <row r="452" spans="1:36">
      <c r="A452">
        <v>161</v>
      </c>
      <c r="B452">
        <v>9943</v>
      </c>
      <c r="C452" t="s">
        <v>2182</v>
      </c>
      <c r="D452" t="s">
        <v>2183</v>
      </c>
      <c r="E452" t="s">
        <v>41</v>
      </c>
      <c r="F452" t="s">
        <v>2667</v>
      </c>
      <c r="G452" t="s">
        <v>2668</v>
      </c>
      <c r="H452" t="s">
        <v>44</v>
      </c>
      <c r="I452" t="s">
        <v>1331</v>
      </c>
      <c r="J452" t="s">
        <v>45</v>
      </c>
      <c r="K452" t="s">
        <v>45</v>
      </c>
      <c r="L452" t="s">
        <v>46</v>
      </c>
      <c r="M452" t="s">
        <v>47</v>
      </c>
      <c r="N452" t="s">
        <v>1035</v>
      </c>
      <c r="O452" t="s">
        <v>51</v>
      </c>
      <c r="P452" t="s">
        <v>166</v>
      </c>
      <c r="Q452" t="s">
        <v>167</v>
      </c>
      <c r="R452" t="s">
        <v>97</v>
      </c>
      <c r="S452" t="s">
        <v>52</v>
      </c>
      <c r="T452" t="s">
        <v>2669</v>
      </c>
      <c r="U452" t="s">
        <v>2589</v>
      </c>
      <c r="V452" s="137">
        <v>3.5200000000000002E-2</v>
      </c>
      <c r="W452" s="137">
        <v>3.0939999999999999E-2</v>
      </c>
      <c r="X452" t="s">
        <v>131</v>
      </c>
      <c r="Y452" t="s">
        <v>51</v>
      </c>
      <c r="Z452" s="133">
        <v>3600000</v>
      </c>
      <c r="AA452" s="135">
        <v>1</v>
      </c>
      <c r="AB452" s="139">
        <v>104.14</v>
      </c>
      <c r="AD452" s="133">
        <v>3749.04</v>
      </c>
      <c r="AG452" t="s">
        <v>135</v>
      </c>
      <c r="AH452" s="137">
        <v>3.8470000000000002E-3</v>
      </c>
      <c r="AI452" s="137">
        <v>1.0573966674533E-2</v>
      </c>
      <c r="AJ452" s="137">
        <v>1.91311791555699E-3</v>
      </c>
    </row>
    <row r="453" spans="1:36">
      <c r="A453">
        <v>161</v>
      </c>
      <c r="B453">
        <v>9943</v>
      </c>
      <c r="C453" t="s">
        <v>2670</v>
      </c>
      <c r="D453" t="s">
        <v>2671</v>
      </c>
      <c r="E453" t="s">
        <v>41</v>
      </c>
      <c r="F453" t="s">
        <v>2672</v>
      </c>
      <c r="G453" t="s">
        <v>2673</v>
      </c>
      <c r="H453" t="s">
        <v>44</v>
      </c>
      <c r="I453" t="s">
        <v>1331</v>
      </c>
      <c r="J453" t="s">
        <v>45</v>
      </c>
      <c r="K453" t="s">
        <v>45</v>
      </c>
      <c r="L453" t="s">
        <v>46</v>
      </c>
      <c r="M453" t="s">
        <v>47</v>
      </c>
      <c r="N453" t="s">
        <v>1050</v>
      </c>
      <c r="O453" t="s">
        <v>51</v>
      </c>
      <c r="P453" t="s">
        <v>1898</v>
      </c>
      <c r="Q453" t="s">
        <v>167</v>
      </c>
      <c r="R453" t="s">
        <v>97</v>
      </c>
      <c r="S453" t="s">
        <v>52</v>
      </c>
      <c r="T453" t="s">
        <v>2674</v>
      </c>
      <c r="U453" t="s">
        <v>143</v>
      </c>
      <c r="V453" s="137">
        <v>3.3700000000000001E-2</v>
      </c>
      <c r="W453" s="137">
        <v>4.1529999999999997E-2</v>
      </c>
      <c r="X453" t="s">
        <v>131</v>
      </c>
      <c r="Y453" t="s">
        <v>51</v>
      </c>
      <c r="Z453" s="133">
        <v>129744.46</v>
      </c>
      <c r="AA453" s="135">
        <v>1</v>
      </c>
      <c r="AB453" s="139">
        <v>115.39</v>
      </c>
      <c r="AD453" s="133">
        <v>149.71199999999999</v>
      </c>
      <c r="AG453" t="s">
        <v>135</v>
      </c>
      <c r="AH453" s="137">
        <v>7.2800000000000002E-4</v>
      </c>
      <c r="AI453" s="137">
        <v>4.2225505694989398E-4</v>
      </c>
      <c r="AJ453" s="137">
        <v>7.6397414447218807E-5</v>
      </c>
    </row>
    <row r="454" spans="1:36">
      <c r="A454">
        <v>161</v>
      </c>
      <c r="B454">
        <v>9943</v>
      </c>
      <c r="C454" t="s">
        <v>2191</v>
      </c>
      <c r="D454" t="s">
        <v>2192</v>
      </c>
      <c r="E454" t="s">
        <v>41</v>
      </c>
      <c r="F454" t="s">
        <v>2193</v>
      </c>
      <c r="G454" t="s">
        <v>2194</v>
      </c>
      <c r="H454" t="s">
        <v>44</v>
      </c>
      <c r="I454" t="s">
        <v>1331</v>
      </c>
      <c r="J454" t="s">
        <v>45</v>
      </c>
      <c r="K454" t="s">
        <v>45</v>
      </c>
      <c r="L454" t="s">
        <v>46</v>
      </c>
      <c r="M454" t="s">
        <v>47</v>
      </c>
      <c r="N454" t="s">
        <v>58</v>
      </c>
      <c r="O454" t="s">
        <v>51</v>
      </c>
      <c r="P454" t="s">
        <v>1919</v>
      </c>
      <c r="Q454" t="s">
        <v>96</v>
      </c>
      <c r="R454" t="s">
        <v>97</v>
      </c>
      <c r="S454" t="s">
        <v>52</v>
      </c>
      <c r="T454" t="s">
        <v>2195</v>
      </c>
      <c r="U454" t="s">
        <v>2196</v>
      </c>
      <c r="V454" s="137">
        <v>1.43E-2</v>
      </c>
      <c r="W454" s="137">
        <v>2.5870000000000001E-2</v>
      </c>
      <c r="X454" t="s">
        <v>131</v>
      </c>
      <c r="Y454" t="s">
        <v>51</v>
      </c>
      <c r="Z454" s="133">
        <v>139654.64000000001</v>
      </c>
      <c r="AA454" s="135">
        <v>1</v>
      </c>
      <c r="AB454" s="139">
        <v>114.25</v>
      </c>
      <c r="AD454" s="133">
        <v>159.55500000000001</v>
      </c>
      <c r="AG454" t="s">
        <v>135</v>
      </c>
      <c r="AH454" s="137">
        <v>7.2999999999999999E-5</v>
      </c>
      <c r="AI454" s="137">
        <v>4.50017540324913E-4</v>
      </c>
      <c r="AJ454" s="137">
        <v>8.1420402126291199E-5</v>
      </c>
    </row>
    <row r="455" spans="1:36">
      <c r="A455">
        <v>161</v>
      </c>
      <c r="B455">
        <v>9943</v>
      </c>
      <c r="C455" t="s">
        <v>2191</v>
      </c>
      <c r="D455" t="s">
        <v>2192</v>
      </c>
      <c r="E455" t="s">
        <v>41</v>
      </c>
      <c r="F455" t="s">
        <v>2197</v>
      </c>
      <c r="G455" t="s">
        <v>2198</v>
      </c>
      <c r="H455" t="s">
        <v>44</v>
      </c>
      <c r="I455" t="s">
        <v>1331</v>
      </c>
      <c r="J455" t="s">
        <v>45</v>
      </c>
      <c r="K455" t="s">
        <v>45</v>
      </c>
      <c r="L455" t="s">
        <v>46</v>
      </c>
      <c r="M455" t="s">
        <v>47</v>
      </c>
      <c r="N455" t="s">
        <v>58</v>
      </c>
      <c r="O455" t="s">
        <v>51</v>
      </c>
      <c r="P455" t="s">
        <v>1919</v>
      </c>
      <c r="Q455" t="s">
        <v>96</v>
      </c>
      <c r="R455" t="s">
        <v>97</v>
      </c>
      <c r="S455" t="s">
        <v>52</v>
      </c>
      <c r="T455" t="s">
        <v>2199</v>
      </c>
      <c r="U455" t="s">
        <v>2200</v>
      </c>
      <c r="V455" s="137">
        <v>3.61E-2</v>
      </c>
      <c r="W455" s="137">
        <v>2.8160000000000001E-2</v>
      </c>
      <c r="X455" t="s">
        <v>131</v>
      </c>
      <c r="Y455" t="s">
        <v>51</v>
      </c>
      <c r="Z455" s="133">
        <v>4211795.41</v>
      </c>
      <c r="AA455" s="135">
        <v>1</v>
      </c>
      <c r="AB455" s="139">
        <v>113.57</v>
      </c>
      <c r="AD455" s="133">
        <v>4783.3360000000002</v>
      </c>
      <c r="AG455" t="s">
        <v>135</v>
      </c>
      <c r="AH455" s="137">
        <v>1.7240000000000001E-3</v>
      </c>
      <c r="AI455" s="137">
        <v>1.34911433208286E-2</v>
      </c>
      <c r="AJ455" s="137">
        <v>2.4409144442063399E-3</v>
      </c>
    </row>
    <row r="456" spans="1:36">
      <c r="A456">
        <v>161</v>
      </c>
      <c r="B456">
        <v>9943</v>
      </c>
      <c r="C456" t="s">
        <v>2191</v>
      </c>
      <c r="D456" t="s">
        <v>2192</v>
      </c>
      <c r="E456" t="s">
        <v>41</v>
      </c>
      <c r="F456" t="s">
        <v>2201</v>
      </c>
      <c r="G456" t="s">
        <v>2202</v>
      </c>
      <c r="H456" t="s">
        <v>44</v>
      </c>
      <c r="I456" t="s">
        <v>1331</v>
      </c>
      <c r="J456" t="s">
        <v>45</v>
      </c>
      <c r="K456" t="s">
        <v>45</v>
      </c>
      <c r="L456" t="s">
        <v>46</v>
      </c>
      <c r="M456" t="s">
        <v>47</v>
      </c>
      <c r="N456" t="s">
        <v>58</v>
      </c>
      <c r="O456" t="s">
        <v>51</v>
      </c>
      <c r="P456" t="s">
        <v>1919</v>
      </c>
      <c r="Q456" t="s">
        <v>96</v>
      </c>
      <c r="R456" t="s">
        <v>97</v>
      </c>
      <c r="S456" t="s">
        <v>52</v>
      </c>
      <c r="T456" t="s">
        <v>2203</v>
      </c>
      <c r="U456" t="s">
        <v>2204</v>
      </c>
      <c r="V456" s="137">
        <v>2.1499999999999998E-2</v>
      </c>
      <c r="W456" s="137">
        <v>1E-4</v>
      </c>
      <c r="X456" t="s">
        <v>131</v>
      </c>
      <c r="Y456" t="s">
        <v>51</v>
      </c>
      <c r="Z456" s="133">
        <v>13851.43</v>
      </c>
      <c r="AA456" s="135">
        <v>1</v>
      </c>
      <c r="AB456" s="139">
        <v>121.27</v>
      </c>
      <c r="AD456" s="133">
        <v>16.797999999999998</v>
      </c>
      <c r="AG456" t="s">
        <v>135</v>
      </c>
      <c r="AH456" s="137">
        <v>2.4000000000000001E-5</v>
      </c>
      <c r="AI456" s="137">
        <v>4.7376814053618502E-5</v>
      </c>
      <c r="AJ456" s="137">
        <v>8.5717531119410804E-6</v>
      </c>
    </row>
    <row r="457" spans="1:36">
      <c r="A457">
        <v>161</v>
      </c>
      <c r="B457">
        <v>9943</v>
      </c>
      <c r="C457" t="s">
        <v>2191</v>
      </c>
      <c r="D457" t="s">
        <v>2192</v>
      </c>
      <c r="E457" t="s">
        <v>41</v>
      </c>
      <c r="F457" t="s">
        <v>2205</v>
      </c>
      <c r="G457" t="s">
        <v>2206</v>
      </c>
      <c r="H457" t="s">
        <v>44</v>
      </c>
      <c r="I457" t="s">
        <v>1331</v>
      </c>
      <c r="J457" t="s">
        <v>45</v>
      </c>
      <c r="K457" t="s">
        <v>45</v>
      </c>
      <c r="L457" t="s">
        <v>46</v>
      </c>
      <c r="M457" t="s">
        <v>47</v>
      </c>
      <c r="N457" t="s">
        <v>58</v>
      </c>
      <c r="O457" t="s">
        <v>51</v>
      </c>
      <c r="P457" t="s">
        <v>1919</v>
      </c>
      <c r="Q457" t="s">
        <v>96</v>
      </c>
      <c r="R457" t="s">
        <v>97</v>
      </c>
      <c r="S457" t="s">
        <v>52</v>
      </c>
      <c r="T457" t="s">
        <v>2207</v>
      </c>
      <c r="U457" t="s">
        <v>2208</v>
      </c>
      <c r="V457" s="137">
        <v>2.2499999999999999E-2</v>
      </c>
      <c r="W457" s="137">
        <v>2.5839999999999998E-2</v>
      </c>
      <c r="X457" t="s">
        <v>131</v>
      </c>
      <c r="Y457" t="s">
        <v>51</v>
      </c>
      <c r="Z457" s="133">
        <v>1791044.71</v>
      </c>
      <c r="AA457" s="135">
        <v>1</v>
      </c>
      <c r="AB457" s="139">
        <v>118.97</v>
      </c>
      <c r="AD457" s="133">
        <v>2130.806</v>
      </c>
      <c r="AG457" t="s">
        <v>135</v>
      </c>
      <c r="AH457" s="137">
        <v>1.1169999999999999E-3</v>
      </c>
      <c r="AI457" s="137">
        <v>6.0098239780002703E-3</v>
      </c>
      <c r="AJ457" s="137">
        <v>1.08734047264851E-3</v>
      </c>
    </row>
    <row r="458" spans="1:36">
      <c r="A458">
        <v>161</v>
      </c>
      <c r="B458">
        <v>9943</v>
      </c>
      <c r="C458" t="s">
        <v>2191</v>
      </c>
      <c r="D458" t="s">
        <v>2192</v>
      </c>
      <c r="E458" t="s">
        <v>41</v>
      </c>
      <c r="F458" t="s">
        <v>2209</v>
      </c>
      <c r="G458" t="s">
        <v>2210</v>
      </c>
      <c r="H458" t="s">
        <v>44</v>
      </c>
      <c r="I458" t="s">
        <v>1331</v>
      </c>
      <c r="J458" t="s">
        <v>45</v>
      </c>
      <c r="K458" t="s">
        <v>45</v>
      </c>
      <c r="L458" t="s">
        <v>46</v>
      </c>
      <c r="M458" t="s">
        <v>47</v>
      </c>
      <c r="N458" t="s">
        <v>58</v>
      </c>
      <c r="O458" t="s">
        <v>51</v>
      </c>
      <c r="P458" t="s">
        <v>1919</v>
      </c>
      <c r="Q458" t="s">
        <v>96</v>
      </c>
      <c r="R458" t="s">
        <v>97</v>
      </c>
      <c r="S458" t="s">
        <v>52</v>
      </c>
      <c r="T458" t="s">
        <v>2211</v>
      </c>
      <c r="U458" t="s">
        <v>2178</v>
      </c>
      <c r="V458" s="137">
        <v>2.5000000000000001E-3</v>
      </c>
      <c r="W458" s="137">
        <v>2.6980000000000001E-2</v>
      </c>
      <c r="X458" t="s">
        <v>131</v>
      </c>
      <c r="Y458" t="s">
        <v>51</v>
      </c>
      <c r="Z458" s="133">
        <v>124927.79</v>
      </c>
      <c r="AA458" s="135">
        <v>1</v>
      </c>
      <c r="AB458" s="139">
        <v>105.05</v>
      </c>
      <c r="AD458" s="133">
        <v>131.23699999999999</v>
      </c>
      <c r="AG458" t="s">
        <v>135</v>
      </c>
      <c r="AH458" s="137">
        <v>9.5000000000000005E-5</v>
      </c>
      <c r="AI458" s="137">
        <v>3.70145929020843E-4</v>
      </c>
      <c r="AJ458" s="137">
        <v>6.6969457156108801E-5</v>
      </c>
    </row>
    <row r="459" spans="1:36">
      <c r="A459">
        <v>161</v>
      </c>
      <c r="B459">
        <v>9943</v>
      </c>
      <c r="C459" t="s">
        <v>2216</v>
      </c>
      <c r="D459" t="s">
        <v>2217</v>
      </c>
      <c r="E459" t="s">
        <v>41</v>
      </c>
      <c r="F459" t="s">
        <v>2675</v>
      </c>
      <c r="G459" t="s">
        <v>2676</v>
      </c>
      <c r="H459" t="s">
        <v>44</v>
      </c>
      <c r="I459" t="s">
        <v>1509</v>
      </c>
      <c r="J459" t="s">
        <v>45</v>
      </c>
      <c r="K459" t="s">
        <v>45</v>
      </c>
      <c r="L459" t="s">
        <v>46</v>
      </c>
      <c r="M459" t="s">
        <v>47</v>
      </c>
      <c r="N459" t="s">
        <v>1037</v>
      </c>
      <c r="O459" t="s">
        <v>51</v>
      </c>
      <c r="P459" t="s">
        <v>1977</v>
      </c>
      <c r="Q459" t="s">
        <v>167</v>
      </c>
      <c r="R459" t="s">
        <v>97</v>
      </c>
      <c r="S459" t="s">
        <v>52</v>
      </c>
      <c r="T459" t="s">
        <v>2408</v>
      </c>
      <c r="U459" t="s">
        <v>2409</v>
      </c>
      <c r="V459" s="137">
        <v>1.84E-2</v>
      </c>
      <c r="W459" s="137">
        <v>5.0450000000000002E-2</v>
      </c>
      <c r="X459" t="s">
        <v>131</v>
      </c>
      <c r="Y459" t="s">
        <v>51</v>
      </c>
      <c r="Z459" s="133">
        <v>608315</v>
      </c>
      <c r="AA459" s="135">
        <v>1</v>
      </c>
      <c r="AB459" s="139">
        <v>98.5</v>
      </c>
      <c r="AD459" s="133">
        <v>599.19000000000005</v>
      </c>
      <c r="AG459" t="s">
        <v>135</v>
      </c>
      <c r="AH459" s="137">
        <v>2.0279999999999999E-3</v>
      </c>
      <c r="AI459" s="137">
        <v>1.68998410247804E-3</v>
      </c>
      <c r="AJ459" s="137">
        <v>3.05764048911193E-4</v>
      </c>
    </row>
    <row r="460" spans="1:36">
      <c r="A460">
        <v>161</v>
      </c>
      <c r="B460">
        <v>9943</v>
      </c>
      <c r="C460" t="s">
        <v>2427</v>
      </c>
      <c r="D460" t="s">
        <v>2428</v>
      </c>
      <c r="E460" t="s">
        <v>41</v>
      </c>
      <c r="F460" t="s">
        <v>2429</v>
      </c>
      <c r="G460" t="s">
        <v>2430</v>
      </c>
      <c r="H460" t="s">
        <v>44</v>
      </c>
      <c r="I460" t="s">
        <v>1509</v>
      </c>
      <c r="J460" t="s">
        <v>45</v>
      </c>
      <c r="K460" t="s">
        <v>45</v>
      </c>
      <c r="L460" t="s">
        <v>46</v>
      </c>
      <c r="M460" t="s">
        <v>47</v>
      </c>
      <c r="N460" t="s">
        <v>1037</v>
      </c>
      <c r="O460" t="s">
        <v>51</v>
      </c>
      <c r="P460" t="s">
        <v>183</v>
      </c>
      <c r="Q460" t="s">
        <v>167</v>
      </c>
      <c r="R460" t="s">
        <v>97</v>
      </c>
      <c r="S460" t="s">
        <v>52</v>
      </c>
      <c r="T460" t="s">
        <v>2408</v>
      </c>
      <c r="U460" t="s">
        <v>2409</v>
      </c>
      <c r="V460" s="137">
        <v>2.9399999999999999E-2</v>
      </c>
      <c r="W460" s="137">
        <v>3.9960000000000002E-2</v>
      </c>
      <c r="X460" t="s">
        <v>131</v>
      </c>
      <c r="Y460" t="s">
        <v>51</v>
      </c>
      <c r="Z460" s="133">
        <v>90013.54</v>
      </c>
      <c r="AA460" s="135">
        <v>1</v>
      </c>
      <c r="AB460" s="139">
        <v>100.97</v>
      </c>
      <c r="AD460" s="133">
        <v>90.887</v>
      </c>
      <c r="AG460" t="s">
        <v>135</v>
      </c>
      <c r="AH460" s="137">
        <v>1.6639999999999999E-3</v>
      </c>
      <c r="AI460" s="137">
        <v>2.5634099233063599E-4</v>
      </c>
      <c r="AJ460" s="137">
        <v>4.6379051496401101E-5</v>
      </c>
    </row>
    <row r="461" spans="1:36">
      <c r="A461">
        <v>161</v>
      </c>
      <c r="B461">
        <v>9943</v>
      </c>
      <c r="C461" t="s">
        <v>2677</v>
      </c>
      <c r="D461" t="s">
        <v>2678</v>
      </c>
      <c r="E461" t="s">
        <v>41</v>
      </c>
      <c r="F461" t="s">
        <v>2679</v>
      </c>
      <c r="G461" t="s">
        <v>2680</v>
      </c>
      <c r="H461" t="s">
        <v>44</v>
      </c>
      <c r="I461" t="s">
        <v>1509</v>
      </c>
      <c r="J461" t="s">
        <v>45</v>
      </c>
      <c r="K461" t="s">
        <v>45</v>
      </c>
      <c r="L461" t="s">
        <v>46</v>
      </c>
      <c r="M461" t="s">
        <v>47</v>
      </c>
      <c r="N461" t="s">
        <v>1035</v>
      </c>
      <c r="O461" t="s">
        <v>51</v>
      </c>
      <c r="P461" t="s">
        <v>175</v>
      </c>
      <c r="Q461" t="s">
        <v>167</v>
      </c>
      <c r="R461" t="s">
        <v>97</v>
      </c>
      <c r="S461" t="s">
        <v>52</v>
      </c>
      <c r="T461" t="s">
        <v>2408</v>
      </c>
      <c r="U461" t="s">
        <v>2409</v>
      </c>
      <c r="V461" s="137">
        <v>0.109</v>
      </c>
      <c r="W461" s="137">
        <v>7.0260000000000003E-2</v>
      </c>
      <c r="X461" t="s">
        <v>131</v>
      </c>
      <c r="Y461" t="s">
        <v>51</v>
      </c>
      <c r="Z461" s="133">
        <v>0.03</v>
      </c>
      <c r="AA461" s="135">
        <v>1</v>
      </c>
      <c r="AB461" s="139">
        <v>99.81</v>
      </c>
      <c r="AD461" s="133">
        <v>0</v>
      </c>
      <c r="AG461" t="s">
        <v>135</v>
      </c>
      <c r="AH461" s="137">
        <v>0</v>
      </c>
      <c r="AI461" s="137">
        <v>8.4452628975828996E-11</v>
      </c>
      <c r="AJ461" s="137">
        <v>1.5279775554681399E-11</v>
      </c>
    </row>
    <row r="462" spans="1:36">
      <c r="A462">
        <v>161</v>
      </c>
      <c r="B462">
        <v>9943</v>
      </c>
      <c r="C462" t="s">
        <v>2681</v>
      </c>
      <c r="D462" t="s">
        <v>2682</v>
      </c>
      <c r="E462" t="s">
        <v>41</v>
      </c>
      <c r="F462" t="s">
        <v>2683</v>
      </c>
      <c r="G462" t="s">
        <v>2684</v>
      </c>
      <c r="H462" t="s">
        <v>44</v>
      </c>
      <c r="I462" t="s">
        <v>1331</v>
      </c>
      <c r="J462" t="s">
        <v>45</v>
      </c>
      <c r="K462" t="s">
        <v>45</v>
      </c>
      <c r="L462" t="s">
        <v>46</v>
      </c>
      <c r="M462" t="s">
        <v>47</v>
      </c>
      <c r="N462" t="s">
        <v>1038</v>
      </c>
      <c r="O462" t="s">
        <v>51</v>
      </c>
      <c r="P462" t="s">
        <v>1898</v>
      </c>
      <c r="Q462" t="s">
        <v>167</v>
      </c>
      <c r="R462" t="s">
        <v>97</v>
      </c>
      <c r="S462" t="s">
        <v>52</v>
      </c>
      <c r="T462" t="s">
        <v>2685</v>
      </c>
      <c r="U462" t="s">
        <v>2686</v>
      </c>
      <c r="V462" s="137">
        <v>2.07E-2</v>
      </c>
      <c r="W462" s="137">
        <v>3.5229999999999997E-2</v>
      </c>
      <c r="X462" t="s">
        <v>131</v>
      </c>
      <c r="Y462" t="s">
        <v>51</v>
      </c>
      <c r="Z462" s="133">
        <v>1337702.83</v>
      </c>
      <c r="AA462" s="135">
        <v>1</v>
      </c>
      <c r="AB462" s="139">
        <v>111.06</v>
      </c>
      <c r="AD462" s="133">
        <v>1485.653</v>
      </c>
      <c r="AG462" t="s">
        <v>135</v>
      </c>
      <c r="AH462" s="137">
        <v>3.7390000000000001E-3</v>
      </c>
      <c r="AI462" s="137">
        <v>4.1902041071497599E-3</v>
      </c>
      <c r="AJ462" s="137">
        <v>7.5812179042853995E-4</v>
      </c>
    </row>
    <row r="463" spans="1:36">
      <c r="A463">
        <v>161</v>
      </c>
      <c r="B463">
        <v>9943</v>
      </c>
      <c r="C463" t="s">
        <v>2687</v>
      </c>
      <c r="D463" t="s">
        <v>2688</v>
      </c>
      <c r="E463" t="s">
        <v>41</v>
      </c>
      <c r="F463" t="s">
        <v>2689</v>
      </c>
      <c r="G463" t="s">
        <v>2690</v>
      </c>
      <c r="H463" t="s">
        <v>44</v>
      </c>
      <c r="I463" t="s">
        <v>1331</v>
      </c>
      <c r="J463" t="s">
        <v>45</v>
      </c>
      <c r="K463" t="s">
        <v>45</v>
      </c>
      <c r="L463" t="s">
        <v>46</v>
      </c>
      <c r="M463" t="s">
        <v>47</v>
      </c>
      <c r="N463" s="125" t="s">
        <v>1062</v>
      </c>
      <c r="O463" t="s">
        <v>51</v>
      </c>
      <c r="P463" t="s">
        <v>95</v>
      </c>
      <c r="Q463" t="s">
        <v>96</v>
      </c>
      <c r="R463" t="s">
        <v>97</v>
      </c>
      <c r="S463" t="s">
        <v>52</v>
      </c>
      <c r="T463" t="s">
        <v>2691</v>
      </c>
      <c r="U463" t="s">
        <v>2692</v>
      </c>
      <c r="V463" s="137">
        <v>2.07E-2</v>
      </c>
      <c r="W463" s="137">
        <v>2.8629999999999999E-2</v>
      </c>
      <c r="X463" t="s">
        <v>131</v>
      </c>
      <c r="Y463" t="s">
        <v>51</v>
      </c>
      <c r="Z463" s="133">
        <v>3450000.82</v>
      </c>
      <c r="AA463" s="135">
        <v>1</v>
      </c>
      <c r="AB463" s="139">
        <v>106.7</v>
      </c>
      <c r="AD463" s="133">
        <v>3681.1509999999998</v>
      </c>
      <c r="AG463" t="s">
        <v>135</v>
      </c>
      <c r="AH463" s="137">
        <v>5.2300000000000003E-4</v>
      </c>
      <c r="AI463" s="137">
        <v>1.03824890306701E-2</v>
      </c>
      <c r="AJ463" s="137">
        <v>1.8784744064389799E-3</v>
      </c>
    </row>
    <row r="464" spans="1:36">
      <c r="A464">
        <v>161</v>
      </c>
      <c r="B464">
        <v>9943</v>
      </c>
      <c r="C464" t="s">
        <v>2693</v>
      </c>
      <c r="D464" t="s">
        <v>2694</v>
      </c>
      <c r="E464" t="s">
        <v>146</v>
      </c>
      <c r="F464" t="s">
        <v>2695</v>
      </c>
      <c r="G464" t="s">
        <v>2696</v>
      </c>
      <c r="H464" t="s">
        <v>44</v>
      </c>
      <c r="I464" t="s">
        <v>1509</v>
      </c>
      <c r="J464" t="s">
        <v>45</v>
      </c>
      <c r="K464" t="s">
        <v>45</v>
      </c>
      <c r="L464" t="s">
        <v>46</v>
      </c>
      <c r="M464" t="s">
        <v>47</v>
      </c>
      <c r="N464" t="s">
        <v>210</v>
      </c>
      <c r="O464" t="s">
        <v>51</v>
      </c>
      <c r="P464" t="s">
        <v>2697</v>
      </c>
      <c r="Q464" t="s">
        <v>96</v>
      </c>
      <c r="R464" t="s">
        <v>97</v>
      </c>
      <c r="S464" t="s">
        <v>52</v>
      </c>
      <c r="T464" t="s">
        <v>2698</v>
      </c>
      <c r="U464" t="s">
        <v>2699</v>
      </c>
      <c r="V464" s="137">
        <v>0.06</v>
      </c>
      <c r="W464" s="137">
        <v>5.808E-2</v>
      </c>
      <c r="X464" t="s">
        <v>131</v>
      </c>
      <c r="Y464" t="s">
        <v>51</v>
      </c>
      <c r="Z464" s="133">
        <v>1800000</v>
      </c>
      <c r="AA464" s="135">
        <v>1</v>
      </c>
      <c r="AB464" s="139">
        <v>102.43</v>
      </c>
      <c r="AD464" s="133">
        <v>1843.74</v>
      </c>
      <c r="AG464" t="s">
        <v>135</v>
      </c>
      <c r="AH464" s="137">
        <v>1.8E-3</v>
      </c>
      <c r="AI464" s="137">
        <v>5.2001699945862104E-3</v>
      </c>
      <c r="AJ464" s="137">
        <v>9.4085206496304097E-4</v>
      </c>
    </row>
    <row r="465" spans="1:36">
      <c r="A465">
        <v>161</v>
      </c>
      <c r="B465">
        <v>9943</v>
      </c>
      <c r="C465" t="s">
        <v>2693</v>
      </c>
      <c r="D465" t="s">
        <v>2694</v>
      </c>
      <c r="E465" t="s">
        <v>146</v>
      </c>
      <c r="F465" t="s">
        <v>2700</v>
      </c>
      <c r="G465" t="s">
        <v>2701</v>
      </c>
      <c r="H465" t="s">
        <v>44</v>
      </c>
      <c r="I465" t="s">
        <v>1509</v>
      </c>
      <c r="J465" t="s">
        <v>45</v>
      </c>
      <c r="K465" t="s">
        <v>45</v>
      </c>
      <c r="L465" t="s">
        <v>46</v>
      </c>
      <c r="M465" t="s">
        <v>47</v>
      </c>
      <c r="N465" t="s">
        <v>210</v>
      </c>
      <c r="O465" t="s">
        <v>51</v>
      </c>
      <c r="P465" t="s">
        <v>1999</v>
      </c>
      <c r="Q465" t="s">
        <v>96</v>
      </c>
      <c r="R465" t="s">
        <v>97</v>
      </c>
      <c r="S465" t="s">
        <v>52</v>
      </c>
      <c r="T465" t="s">
        <v>1819</v>
      </c>
      <c r="U465" t="s">
        <v>2317</v>
      </c>
      <c r="V465" s="137">
        <v>6.7000000000000004E-2</v>
      </c>
      <c r="W465" s="137">
        <v>5.033E-2</v>
      </c>
      <c r="X465" t="s">
        <v>131</v>
      </c>
      <c r="Y465" t="s">
        <v>51</v>
      </c>
      <c r="Z465" s="133">
        <v>65788.12</v>
      </c>
      <c r="AA465" s="135">
        <v>1</v>
      </c>
      <c r="AB465" s="139">
        <v>104.39</v>
      </c>
      <c r="AD465" s="133">
        <v>68.676000000000002</v>
      </c>
      <c r="AG465" t="s">
        <v>135</v>
      </c>
      <c r="AH465" s="137">
        <v>1.3999999999999999E-4</v>
      </c>
      <c r="AI465" s="137">
        <v>1.9369759869555399E-4</v>
      </c>
      <c r="AJ465" s="137">
        <v>3.5045159273797101E-5</v>
      </c>
    </row>
    <row r="466" spans="1:36">
      <c r="A466">
        <v>161</v>
      </c>
      <c r="B466">
        <v>9943</v>
      </c>
      <c r="C466" t="s">
        <v>2702</v>
      </c>
      <c r="D466" t="s">
        <v>2703</v>
      </c>
      <c r="E466" t="s">
        <v>41</v>
      </c>
      <c r="F466" t="s">
        <v>2704</v>
      </c>
      <c r="G466" t="s">
        <v>2705</v>
      </c>
      <c r="H466" t="s">
        <v>44</v>
      </c>
      <c r="I466" t="s">
        <v>1331</v>
      </c>
      <c r="J466" t="s">
        <v>45</v>
      </c>
      <c r="K466" t="s">
        <v>45</v>
      </c>
      <c r="L466" t="s">
        <v>46</v>
      </c>
      <c r="M466" t="s">
        <v>47</v>
      </c>
      <c r="N466" t="s">
        <v>1050</v>
      </c>
      <c r="O466" t="s">
        <v>51</v>
      </c>
      <c r="P466" t="s">
        <v>733</v>
      </c>
      <c r="Q466" t="s">
        <v>733</v>
      </c>
      <c r="R466" t="s">
        <v>733</v>
      </c>
      <c r="S466" t="s">
        <v>52</v>
      </c>
      <c r="T466" t="s">
        <v>2706</v>
      </c>
      <c r="U466" t="s">
        <v>2097</v>
      </c>
      <c r="V466" s="137">
        <v>6.2E-2</v>
      </c>
      <c r="W466" s="137">
        <v>7.6719999999999997E-2</v>
      </c>
      <c r="X466" t="s">
        <v>131</v>
      </c>
      <c r="Y466" t="s">
        <v>51</v>
      </c>
      <c r="Z466" s="133">
        <v>3652880</v>
      </c>
      <c r="AA466" s="135">
        <v>1</v>
      </c>
      <c r="AB466" s="139">
        <v>95.72</v>
      </c>
      <c r="AD466" s="133">
        <v>3496.5369999999998</v>
      </c>
      <c r="AG466" t="s">
        <v>135</v>
      </c>
      <c r="AH466" s="137">
        <v>3.0498000000000001E-2</v>
      </c>
      <c r="AI466" s="137">
        <v>9.8617947321832898E-3</v>
      </c>
      <c r="AJ466" s="137">
        <v>1.78426665814308E-3</v>
      </c>
    </row>
    <row r="467" spans="1:36">
      <c r="A467">
        <v>161</v>
      </c>
      <c r="B467">
        <v>9943</v>
      </c>
      <c r="C467" t="s">
        <v>2707</v>
      </c>
      <c r="D467" t="s">
        <v>2708</v>
      </c>
      <c r="E467" t="s">
        <v>41</v>
      </c>
      <c r="F467" t="s">
        <v>2709</v>
      </c>
      <c r="G467" t="s">
        <v>2710</v>
      </c>
      <c r="H467" t="s">
        <v>44</v>
      </c>
      <c r="I467" t="s">
        <v>1331</v>
      </c>
      <c r="J467" t="s">
        <v>45</v>
      </c>
      <c r="K467" t="s">
        <v>45</v>
      </c>
      <c r="L467" t="s">
        <v>46</v>
      </c>
      <c r="M467" t="s">
        <v>47</v>
      </c>
      <c r="N467" t="s">
        <v>58</v>
      </c>
      <c r="O467" t="s">
        <v>51</v>
      </c>
      <c r="P467" t="s">
        <v>158</v>
      </c>
      <c r="Q467" t="s">
        <v>96</v>
      </c>
      <c r="R467" t="s">
        <v>97</v>
      </c>
      <c r="S467" t="s">
        <v>52</v>
      </c>
      <c r="T467" t="s">
        <v>2711</v>
      </c>
      <c r="U467" t="s">
        <v>2196</v>
      </c>
      <c r="V467" s="137">
        <v>3.6200000000000003E-2</v>
      </c>
      <c r="W467" s="137">
        <v>2.8379999999999999E-2</v>
      </c>
      <c r="X467" t="s">
        <v>131</v>
      </c>
      <c r="Y467" t="s">
        <v>51</v>
      </c>
      <c r="Z467" s="133">
        <v>2968377.64</v>
      </c>
      <c r="AA467" s="135">
        <v>1</v>
      </c>
      <c r="AB467" s="139">
        <v>112.2</v>
      </c>
      <c r="AD467" s="133">
        <v>3330.52</v>
      </c>
      <c r="AG467" t="s">
        <v>135</v>
      </c>
      <c r="AH467" s="137">
        <v>1.663E-3</v>
      </c>
      <c r="AI467" s="137">
        <v>9.3935526013083897E-3</v>
      </c>
      <c r="AJ467" s="137">
        <v>1.69954893233893E-3</v>
      </c>
    </row>
    <row r="468" spans="1:36">
      <c r="A468">
        <v>161</v>
      </c>
      <c r="B468">
        <v>9943</v>
      </c>
      <c r="C468" t="s">
        <v>2712</v>
      </c>
      <c r="D468" t="s">
        <v>2713</v>
      </c>
      <c r="E468" t="s">
        <v>41</v>
      </c>
      <c r="F468" t="s">
        <v>2714</v>
      </c>
      <c r="G468" t="s">
        <v>2715</v>
      </c>
      <c r="H468" t="s">
        <v>44</v>
      </c>
      <c r="I468" t="s">
        <v>1509</v>
      </c>
      <c r="J468" t="s">
        <v>45</v>
      </c>
      <c r="K468" t="s">
        <v>45</v>
      </c>
      <c r="L468" t="s">
        <v>46</v>
      </c>
      <c r="M468" t="s">
        <v>47</v>
      </c>
      <c r="N468" t="s">
        <v>1069</v>
      </c>
      <c r="O468" t="s">
        <v>51</v>
      </c>
      <c r="P468" t="s">
        <v>1936</v>
      </c>
      <c r="Q468" t="s">
        <v>96</v>
      </c>
      <c r="R468" t="s">
        <v>97</v>
      </c>
      <c r="S468" t="s">
        <v>52</v>
      </c>
      <c r="T468" t="s">
        <v>2716</v>
      </c>
      <c r="U468" t="s">
        <v>50</v>
      </c>
      <c r="V468" s="137">
        <v>2.5000000000000001E-2</v>
      </c>
      <c r="W468" s="137">
        <v>4.5229999999999999E-2</v>
      </c>
      <c r="X468" t="s">
        <v>131</v>
      </c>
      <c r="Y468" t="s">
        <v>51</v>
      </c>
      <c r="Z468" s="133">
        <v>1077064.76</v>
      </c>
      <c r="AA468" s="135">
        <v>1</v>
      </c>
      <c r="AB468" s="139">
        <v>98.18</v>
      </c>
      <c r="AD468" s="133">
        <v>1057.462</v>
      </c>
      <c r="AG468" t="s">
        <v>135</v>
      </c>
      <c r="AH468" s="137">
        <v>2.0249999999999999E-3</v>
      </c>
      <c r="AI468" s="137">
        <v>2.9825154880620702E-3</v>
      </c>
      <c r="AJ468" s="137">
        <v>5.39618100686867E-4</v>
      </c>
    </row>
    <row r="469" spans="1:36">
      <c r="A469">
        <v>161</v>
      </c>
      <c r="B469">
        <v>9943</v>
      </c>
      <c r="C469" t="s">
        <v>2226</v>
      </c>
      <c r="D469" t="s">
        <v>2227</v>
      </c>
      <c r="E469" t="s">
        <v>41</v>
      </c>
      <c r="F469" t="s">
        <v>2228</v>
      </c>
      <c r="G469" t="s">
        <v>2229</v>
      </c>
      <c r="H469" t="s">
        <v>44</v>
      </c>
      <c r="I469" t="s">
        <v>1331</v>
      </c>
      <c r="J469" t="s">
        <v>45</v>
      </c>
      <c r="K469" t="s">
        <v>45</v>
      </c>
      <c r="L469" t="s">
        <v>46</v>
      </c>
      <c r="M469" t="s">
        <v>47</v>
      </c>
      <c r="N469" t="s">
        <v>58</v>
      </c>
      <c r="O469" t="s">
        <v>51</v>
      </c>
      <c r="P469" t="s">
        <v>227</v>
      </c>
      <c r="Q469" t="s">
        <v>96</v>
      </c>
      <c r="R469" t="s">
        <v>97</v>
      </c>
      <c r="S469" t="s">
        <v>52</v>
      </c>
      <c r="T469" t="s">
        <v>2230</v>
      </c>
      <c r="U469" t="s">
        <v>2231</v>
      </c>
      <c r="V469" s="137">
        <v>1.34E-2</v>
      </c>
      <c r="W469" s="137">
        <v>2.4719999999999999E-2</v>
      </c>
      <c r="X469" t="s">
        <v>131</v>
      </c>
      <c r="Y469" t="s">
        <v>51</v>
      </c>
      <c r="Z469" s="133">
        <v>81818.179999999993</v>
      </c>
      <c r="AA469" s="135">
        <v>1</v>
      </c>
      <c r="AB469" s="139">
        <v>116.87</v>
      </c>
      <c r="AD469" s="133">
        <v>95.620999999999995</v>
      </c>
      <c r="AG469" t="s">
        <v>135</v>
      </c>
      <c r="AH469" s="137">
        <v>4.1E-5</v>
      </c>
      <c r="AI469" s="137">
        <v>2.6969365054710202E-4</v>
      </c>
      <c r="AJ469" s="137">
        <v>4.87949102219402E-5</v>
      </c>
    </row>
    <row r="470" spans="1:36">
      <c r="A470">
        <v>161</v>
      </c>
      <c r="B470">
        <v>9943</v>
      </c>
      <c r="C470" t="s">
        <v>2226</v>
      </c>
      <c r="D470" t="s">
        <v>2227</v>
      </c>
      <c r="E470" t="s">
        <v>41</v>
      </c>
      <c r="F470" t="s">
        <v>2717</v>
      </c>
      <c r="G470" t="s">
        <v>2718</v>
      </c>
      <c r="H470" t="s">
        <v>44</v>
      </c>
      <c r="I470" t="s">
        <v>1331</v>
      </c>
      <c r="J470" t="s">
        <v>45</v>
      </c>
      <c r="K470" t="s">
        <v>45</v>
      </c>
      <c r="L470" t="s">
        <v>46</v>
      </c>
      <c r="M470" t="s">
        <v>47</v>
      </c>
      <c r="N470" t="s">
        <v>58</v>
      </c>
      <c r="O470" t="s">
        <v>51</v>
      </c>
      <c r="P470" t="s">
        <v>1852</v>
      </c>
      <c r="Q470" t="s">
        <v>167</v>
      </c>
      <c r="R470" t="s">
        <v>97</v>
      </c>
      <c r="S470" t="s">
        <v>52</v>
      </c>
      <c r="T470" t="s">
        <v>2719</v>
      </c>
      <c r="U470" t="s">
        <v>2001</v>
      </c>
      <c r="V470" s="137">
        <v>1.77E-2</v>
      </c>
      <c r="W470" s="137">
        <v>2.0840000000000001E-2</v>
      </c>
      <c r="X470" t="s">
        <v>131</v>
      </c>
      <c r="Y470" t="s">
        <v>51</v>
      </c>
      <c r="Z470" s="133">
        <v>598068.56000000006</v>
      </c>
      <c r="AA470" s="135">
        <v>1</v>
      </c>
      <c r="AB470" s="139">
        <v>117.94</v>
      </c>
      <c r="AD470" s="133">
        <v>705.36199999999997</v>
      </c>
      <c r="AG470" t="s">
        <v>135</v>
      </c>
      <c r="AH470" s="137">
        <v>2.4600000000000002E-4</v>
      </c>
      <c r="AI470" s="137">
        <v>1.9894359388982498E-3</v>
      </c>
      <c r="AJ470" s="137">
        <v>3.5994302362668198E-4</v>
      </c>
    </row>
    <row r="471" spans="1:36">
      <c r="A471">
        <v>161</v>
      </c>
      <c r="B471">
        <v>9943</v>
      </c>
      <c r="C471" t="s">
        <v>2226</v>
      </c>
      <c r="D471" t="s">
        <v>2227</v>
      </c>
      <c r="E471" t="s">
        <v>41</v>
      </c>
      <c r="F471" t="s">
        <v>2232</v>
      </c>
      <c r="G471" t="s">
        <v>2233</v>
      </c>
      <c r="H471" t="s">
        <v>44</v>
      </c>
      <c r="I471" t="s">
        <v>1331</v>
      </c>
      <c r="J471" t="s">
        <v>45</v>
      </c>
      <c r="K471" t="s">
        <v>45</v>
      </c>
      <c r="L471" t="s">
        <v>46</v>
      </c>
      <c r="M471" t="s">
        <v>47</v>
      </c>
      <c r="N471" t="s">
        <v>58</v>
      </c>
      <c r="O471" t="s">
        <v>51</v>
      </c>
      <c r="P471" t="s">
        <v>227</v>
      </c>
      <c r="Q471" t="s">
        <v>96</v>
      </c>
      <c r="R471" t="s">
        <v>97</v>
      </c>
      <c r="S471" t="s">
        <v>52</v>
      </c>
      <c r="T471" t="s">
        <v>2234</v>
      </c>
      <c r="U471" t="s">
        <v>2235</v>
      </c>
      <c r="V471" s="137">
        <v>8.9999999999999993E-3</v>
      </c>
      <c r="W471" s="137">
        <v>2.6929999999999999E-2</v>
      </c>
      <c r="X471" t="s">
        <v>131</v>
      </c>
      <c r="Y471" t="s">
        <v>51</v>
      </c>
      <c r="Z471" s="133">
        <v>4011650.79</v>
      </c>
      <c r="AA471" s="135">
        <v>1</v>
      </c>
      <c r="AB471" s="139">
        <v>105.15</v>
      </c>
      <c r="AD471" s="133">
        <v>4218.2510000000002</v>
      </c>
      <c r="AG471" t="s">
        <v>135</v>
      </c>
      <c r="AH471" s="137">
        <v>1.488E-3</v>
      </c>
      <c r="AI471" s="137">
        <v>1.18973506402E-2</v>
      </c>
      <c r="AJ471" s="137">
        <v>2.1525540374785698E-3</v>
      </c>
    </row>
    <row r="472" spans="1:36">
      <c r="A472">
        <v>161</v>
      </c>
      <c r="B472">
        <v>9943</v>
      </c>
      <c r="C472" t="s">
        <v>2720</v>
      </c>
      <c r="D472" t="s">
        <v>2721</v>
      </c>
      <c r="E472" t="s">
        <v>41</v>
      </c>
      <c r="F472" t="s">
        <v>2722</v>
      </c>
      <c r="G472" t="s">
        <v>2723</v>
      </c>
      <c r="H472" t="s">
        <v>44</v>
      </c>
      <c r="I472" t="s">
        <v>1509</v>
      </c>
      <c r="J472" t="s">
        <v>45</v>
      </c>
      <c r="K472" t="s">
        <v>45</v>
      </c>
      <c r="L472" t="s">
        <v>46</v>
      </c>
      <c r="M472" t="s">
        <v>47</v>
      </c>
      <c r="N472" t="s">
        <v>1038</v>
      </c>
      <c r="O472" t="s">
        <v>51</v>
      </c>
      <c r="P472" t="s">
        <v>175</v>
      </c>
      <c r="Q472" t="s">
        <v>167</v>
      </c>
      <c r="R472" t="s">
        <v>97</v>
      </c>
      <c r="S472" t="s">
        <v>52</v>
      </c>
      <c r="T472" t="s">
        <v>2724</v>
      </c>
      <c r="U472" t="s">
        <v>1891</v>
      </c>
      <c r="V472" s="137">
        <v>0.06</v>
      </c>
      <c r="W472" s="137">
        <v>5.3629999999999997E-2</v>
      </c>
      <c r="X472" t="s">
        <v>131</v>
      </c>
      <c r="Y472" t="s">
        <v>51</v>
      </c>
      <c r="Z472" s="133">
        <v>62184.76</v>
      </c>
      <c r="AA472" s="135">
        <v>1</v>
      </c>
      <c r="AB472" s="139">
        <v>102.5</v>
      </c>
      <c r="AD472" s="133">
        <v>63.738999999999997</v>
      </c>
      <c r="AG472" t="s">
        <v>135</v>
      </c>
      <c r="AH472" s="137">
        <v>3.68E-4</v>
      </c>
      <c r="AI472" s="137">
        <v>1.7977350719155599E-4</v>
      </c>
      <c r="AJ472" s="137">
        <v>3.25259127380281E-5</v>
      </c>
    </row>
    <row r="473" spans="1:36">
      <c r="A473">
        <v>161</v>
      </c>
      <c r="B473">
        <v>9943</v>
      </c>
      <c r="C473" t="s">
        <v>2236</v>
      </c>
      <c r="D473" t="s">
        <v>2237</v>
      </c>
      <c r="E473" t="s">
        <v>41</v>
      </c>
      <c r="F473" t="s">
        <v>2725</v>
      </c>
      <c r="G473" t="s">
        <v>2726</v>
      </c>
      <c r="H473" t="s">
        <v>44</v>
      </c>
      <c r="I473" t="s">
        <v>1509</v>
      </c>
      <c r="J473" t="s">
        <v>45</v>
      </c>
      <c r="K473" t="s">
        <v>45</v>
      </c>
      <c r="L473" t="s">
        <v>46</v>
      </c>
      <c r="M473" t="s">
        <v>47</v>
      </c>
      <c r="N473" t="s">
        <v>221</v>
      </c>
      <c r="O473" t="s">
        <v>51</v>
      </c>
      <c r="P473" t="s">
        <v>95</v>
      </c>
      <c r="Q473" t="s">
        <v>96</v>
      </c>
      <c r="R473" t="s">
        <v>97</v>
      </c>
      <c r="S473" t="s">
        <v>52</v>
      </c>
      <c r="T473" t="s">
        <v>2727</v>
      </c>
      <c r="U473" t="s">
        <v>2728</v>
      </c>
      <c r="V473" s="137">
        <v>4.8800000000000003E-2</v>
      </c>
      <c r="W473" s="137">
        <v>4.4069999999999998E-2</v>
      </c>
      <c r="X473" t="s">
        <v>131</v>
      </c>
      <c r="Y473" t="s">
        <v>51</v>
      </c>
      <c r="Z473" s="133">
        <v>1800000</v>
      </c>
      <c r="AA473" s="135">
        <v>1</v>
      </c>
      <c r="AB473" s="139">
        <v>105.75</v>
      </c>
      <c r="AD473" s="133">
        <v>1903.5</v>
      </c>
      <c r="AG473" t="s">
        <v>135</v>
      </c>
      <c r="AH473" s="137">
        <v>4.0499999999999998E-4</v>
      </c>
      <c r="AI473" s="137">
        <v>5.3687198762812898E-3</v>
      </c>
      <c r="AJ473" s="137">
        <v>9.7134731885035195E-4</v>
      </c>
    </row>
    <row r="474" spans="1:36">
      <c r="A474">
        <v>161</v>
      </c>
      <c r="B474">
        <v>9943</v>
      </c>
      <c r="C474" t="s">
        <v>2236</v>
      </c>
      <c r="D474" t="s">
        <v>2237</v>
      </c>
      <c r="E474" t="s">
        <v>41</v>
      </c>
      <c r="F474" t="s">
        <v>2242</v>
      </c>
      <c r="G474" t="s">
        <v>2243</v>
      </c>
      <c r="H474" t="s">
        <v>44</v>
      </c>
      <c r="I474" t="s">
        <v>1331</v>
      </c>
      <c r="J474" t="s">
        <v>45</v>
      </c>
      <c r="K474" t="s">
        <v>45</v>
      </c>
      <c r="L474" t="s">
        <v>46</v>
      </c>
      <c r="M474" t="s">
        <v>47</v>
      </c>
      <c r="N474" t="s">
        <v>221</v>
      </c>
      <c r="O474" t="s">
        <v>51</v>
      </c>
      <c r="P474" t="s">
        <v>95</v>
      </c>
      <c r="Q474" t="s">
        <v>96</v>
      </c>
      <c r="R474" t="s">
        <v>97</v>
      </c>
      <c r="S474" t="s">
        <v>52</v>
      </c>
      <c r="T474" t="s">
        <v>2244</v>
      </c>
      <c r="U474" t="s">
        <v>2241</v>
      </c>
      <c r="V474" s="137">
        <v>1E-3</v>
      </c>
      <c r="W474" s="137">
        <v>2.3619999999999999E-2</v>
      </c>
      <c r="X474" t="s">
        <v>131</v>
      </c>
      <c r="Y474" t="s">
        <v>51</v>
      </c>
      <c r="Z474" s="133">
        <v>66420</v>
      </c>
      <c r="AA474" s="135">
        <v>1</v>
      </c>
      <c r="AB474" s="139">
        <v>107.18</v>
      </c>
      <c r="AD474" s="133">
        <v>71.188999999999993</v>
      </c>
      <c r="AG474" t="s">
        <v>135</v>
      </c>
      <c r="AH474" s="137">
        <v>7.8999999999999996E-5</v>
      </c>
      <c r="AI474" s="137">
        <v>2.0078464042496099E-4</v>
      </c>
      <c r="AJ474" s="137">
        <v>3.6327397710720097E-5</v>
      </c>
    </row>
    <row r="475" spans="1:36">
      <c r="A475">
        <v>161</v>
      </c>
      <c r="B475">
        <v>9943</v>
      </c>
      <c r="C475" t="s">
        <v>2236</v>
      </c>
      <c r="D475" t="s">
        <v>2237</v>
      </c>
      <c r="E475" t="s">
        <v>41</v>
      </c>
      <c r="F475" t="s">
        <v>2245</v>
      </c>
      <c r="G475" t="s">
        <v>2246</v>
      </c>
      <c r="H475" t="s">
        <v>44</v>
      </c>
      <c r="I475" t="s">
        <v>1331</v>
      </c>
      <c r="J475" t="s">
        <v>45</v>
      </c>
      <c r="K475" t="s">
        <v>45</v>
      </c>
      <c r="L475" t="s">
        <v>46</v>
      </c>
      <c r="M475" t="s">
        <v>47</v>
      </c>
      <c r="N475" t="s">
        <v>221</v>
      </c>
      <c r="O475" t="s">
        <v>51</v>
      </c>
      <c r="P475" t="s">
        <v>95</v>
      </c>
      <c r="Q475" t="s">
        <v>96</v>
      </c>
      <c r="R475" t="s">
        <v>97</v>
      </c>
      <c r="S475" t="s">
        <v>52</v>
      </c>
      <c r="T475" t="s">
        <v>2247</v>
      </c>
      <c r="U475" t="s">
        <v>2248</v>
      </c>
      <c r="V475" s="137">
        <v>1.3899999999999999E-2</v>
      </c>
      <c r="W475" s="137">
        <v>2.4320000000000001E-2</v>
      </c>
      <c r="X475" t="s">
        <v>131</v>
      </c>
      <c r="Y475" t="s">
        <v>51</v>
      </c>
      <c r="Z475" s="133">
        <v>102589.66</v>
      </c>
      <c r="AA475" s="135">
        <v>1</v>
      </c>
      <c r="AB475" s="139">
        <v>106.02</v>
      </c>
      <c r="AD475" s="133">
        <v>108.76600000000001</v>
      </c>
      <c r="AG475" t="s">
        <v>135</v>
      </c>
      <c r="AH475" s="137">
        <v>3.3000000000000003E-5</v>
      </c>
      <c r="AI475" s="137">
        <v>3.0676743397786401E-4</v>
      </c>
      <c r="AJ475" s="137">
        <v>5.5502565112672401E-5</v>
      </c>
    </row>
    <row r="476" spans="1:36">
      <c r="A476">
        <v>161</v>
      </c>
      <c r="B476">
        <v>9943</v>
      </c>
      <c r="C476" t="s">
        <v>2236</v>
      </c>
      <c r="D476" t="s">
        <v>2237</v>
      </c>
      <c r="E476" t="s">
        <v>41</v>
      </c>
      <c r="F476" t="s">
        <v>2249</v>
      </c>
      <c r="G476" t="s">
        <v>2250</v>
      </c>
      <c r="H476" t="s">
        <v>44</v>
      </c>
      <c r="I476" t="s">
        <v>1331</v>
      </c>
      <c r="J476" t="s">
        <v>45</v>
      </c>
      <c r="K476" t="s">
        <v>45</v>
      </c>
      <c r="L476" t="s">
        <v>46</v>
      </c>
      <c r="M476" t="s">
        <v>47</v>
      </c>
      <c r="N476" t="s">
        <v>221</v>
      </c>
      <c r="O476" t="s">
        <v>51</v>
      </c>
      <c r="P476" t="s">
        <v>95</v>
      </c>
      <c r="Q476" t="s">
        <v>96</v>
      </c>
      <c r="R476" t="s">
        <v>97</v>
      </c>
      <c r="S476" t="s">
        <v>52</v>
      </c>
      <c r="T476" t="s">
        <v>2251</v>
      </c>
      <c r="U476" t="s">
        <v>2252</v>
      </c>
      <c r="V476" s="137">
        <v>6.0000000000000001E-3</v>
      </c>
      <c r="W476" s="137">
        <v>1.687E-2</v>
      </c>
      <c r="X476" t="s">
        <v>131</v>
      </c>
      <c r="Y476" t="s">
        <v>51</v>
      </c>
      <c r="Z476" s="133">
        <v>286611</v>
      </c>
      <c r="AA476" s="135">
        <v>1</v>
      </c>
      <c r="AB476" s="139">
        <v>118.2</v>
      </c>
      <c r="AD476" s="133">
        <v>338.774</v>
      </c>
      <c r="AG476" t="s">
        <v>135</v>
      </c>
      <c r="AH476" s="137">
        <v>4.2999999999999999E-4</v>
      </c>
      <c r="AI476" s="137">
        <v>9.5549450583069697E-4</v>
      </c>
      <c r="AJ476" s="137">
        <v>1.7287492135979399E-4</v>
      </c>
    </row>
    <row r="477" spans="1:36">
      <c r="A477">
        <v>161</v>
      </c>
      <c r="B477">
        <v>9943</v>
      </c>
      <c r="C477" t="s">
        <v>2236</v>
      </c>
      <c r="D477" t="s">
        <v>2237</v>
      </c>
      <c r="E477" t="s">
        <v>41</v>
      </c>
      <c r="F477" t="s">
        <v>2253</v>
      </c>
      <c r="G477" t="s">
        <v>2254</v>
      </c>
      <c r="H477" t="s">
        <v>44</v>
      </c>
      <c r="I477" t="s">
        <v>1331</v>
      </c>
      <c r="J477" t="s">
        <v>45</v>
      </c>
      <c r="K477" t="s">
        <v>45</v>
      </c>
      <c r="L477" t="s">
        <v>46</v>
      </c>
      <c r="M477" t="s">
        <v>47</v>
      </c>
      <c r="N477" t="s">
        <v>221</v>
      </c>
      <c r="O477" t="s">
        <v>51</v>
      </c>
      <c r="P477" t="s">
        <v>95</v>
      </c>
      <c r="Q477" t="s">
        <v>96</v>
      </c>
      <c r="R477" t="s">
        <v>97</v>
      </c>
      <c r="S477" t="s">
        <v>52</v>
      </c>
      <c r="T477" t="s">
        <v>2255</v>
      </c>
      <c r="U477" t="s">
        <v>2256</v>
      </c>
      <c r="V477" s="137">
        <v>1.7500000000000002E-2</v>
      </c>
      <c r="W477" s="137">
        <v>2.359E-2</v>
      </c>
      <c r="X477" t="s">
        <v>131</v>
      </c>
      <c r="Y477" t="s">
        <v>51</v>
      </c>
      <c r="Z477" s="133">
        <v>135765.43</v>
      </c>
      <c r="AA477" s="135">
        <v>1</v>
      </c>
      <c r="AB477" s="139">
        <v>116.01</v>
      </c>
      <c r="AD477" s="133">
        <v>157.501</v>
      </c>
      <c r="AG477" t="s">
        <v>135</v>
      </c>
      <c r="AH477" s="137">
        <v>7.2999999999999999E-5</v>
      </c>
      <c r="AI477" s="137">
        <v>4.44224481858466E-4</v>
      </c>
      <c r="AJ477" s="137">
        <v>8.0372280425215596E-5</v>
      </c>
    </row>
    <row r="478" spans="1:36">
      <c r="A478">
        <v>161</v>
      </c>
      <c r="B478">
        <v>9943</v>
      </c>
      <c r="C478" t="s">
        <v>2265</v>
      </c>
      <c r="D478" t="s">
        <v>2266</v>
      </c>
      <c r="E478" t="s">
        <v>41</v>
      </c>
      <c r="F478" t="s">
        <v>2267</v>
      </c>
      <c r="G478" t="s">
        <v>2268</v>
      </c>
      <c r="H478" t="s">
        <v>44</v>
      </c>
      <c r="I478" t="s">
        <v>1509</v>
      </c>
      <c r="J478" t="s">
        <v>45</v>
      </c>
      <c r="K478" t="s">
        <v>45</v>
      </c>
      <c r="L478" t="s">
        <v>46</v>
      </c>
      <c r="M478" t="s">
        <v>47</v>
      </c>
      <c r="N478" s="125" t="s">
        <v>1061</v>
      </c>
      <c r="O478" t="s">
        <v>51</v>
      </c>
      <c r="P478" t="s">
        <v>1936</v>
      </c>
      <c r="Q478" t="s">
        <v>96</v>
      </c>
      <c r="R478" t="s">
        <v>97</v>
      </c>
      <c r="S478" t="s">
        <v>52</v>
      </c>
      <c r="T478" t="s">
        <v>2269</v>
      </c>
      <c r="U478" t="s">
        <v>2270</v>
      </c>
      <c r="V478" s="137">
        <v>2.29E-2</v>
      </c>
      <c r="W478" s="137">
        <v>5.0180000000000002E-2</v>
      </c>
      <c r="X478" t="s">
        <v>131</v>
      </c>
      <c r="Y478" t="s">
        <v>51</v>
      </c>
      <c r="Z478" s="133">
        <v>36082.080000000002</v>
      </c>
      <c r="AA478" s="135">
        <v>1</v>
      </c>
      <c r="AB478" s="139">
        <v>99.05</v>
      </c>
      <c r="AD478" s="133">
        <v>35.738999999999997</v>
      </c>
      <c r="AG478" t="s">
        <v>135</v>
      </c>
      <c r="AH478" s="137">
        <v>2.1800000000000001E-4</v>
      </c>
      <c r="AI478" s="137">
        <v>1.0080078358963601E-4</v>
      </c>
      <c r="AJ478" s="137">
        <v>1.8237600980148E-5</v>
      </c>
    </row>
    <row r="479" spans="1:36">
      <c r="A479">
        <v>161</v>
      </c>
      <c r="B479">
        <v>9943</v>
      </c>
      <c r="C479" t="s">
        <v>2377</v>
      </c>
      <c r="D479" t="s">
        <v>2378</v>
      </c>
      <c r="E479" t="s">
        <v>41</v>
      </c>
      <c r="F479" t="s">
        <v>2729</v>
      </c>
      <c r="G479" t="s">
        <v>2730</v>
      </c>
      <c r="H479" t="s">
        <v>44</v>
      </c>
      <c r="I479" t="s">
        <v>1509</v>
      </c>
      <c r="J479" t="s">
        <v>45</v>
      </c>
      <c r="K479" t="s">
        <v>45</v>
      </c>
      <c r="L479" t="s">
        <v>46</v>
      </c>
      <c r="M479" t="s">
        <v>47</v>
      </c>
      <c r="N479" t="s">
        <v>1037</v>
      </c>
      <c r="O479" t="s">
        <v>51</v>
      </c>
      <c r="P479" t="s">
        <v>1919</v>
      </c>
      <c r="Q479" t="s">
        <v>96</v>
      </c>
      <c r="R479" t="s">
        <v>97</v>
      </c>
      <c r="S479" t="s">
        <v>52</v>
      </c>
      <c r="T479" t="s">
        <v>2731</v>
      </c>
      <c r="U479" t="s">
        <v>2732</v>
      </c>
      <c r="V479" s="137">
        <v>5.1499999999999997E-2</v>
      </c>
      <c r="W479" s="137">
        <v>4.4940000000000001E-2</v>
      </c>
      <c r="X479" t="s">
        <v>131</v>
      </c>
      <c r="Y479" t="s">
        <v>51</v>
      </c>
      <c r="Z479" s="133">
        <v>3600000</v>
      </c>
      <c r="AA479" s="135">
        <v>1</v>
      </c>
      <c r="AB479" s="139">
        <v>105.59</v>
      </c>
      <c r="AD479" s="133">
        <v>3801.24</v>
      </c>
      <c r="AG479" t="s">
        <v>135</v>
      </c>
      <c r="AH479" s="137">
        <v>3.6110000000000001E-3</v>
      </c>
      <c r="AI479" s="137">
        <v>1.07211939808329E-2</v>
      </c>
      <c r="AJ479" s="137">
        <v>1.9397553361211999E-3</v>
      </c>
    </row>
    <row r="480" spans="1:36">
      <c r="A480">
        <v>161</v>
      </c>
      <c r="B480">
        <v>9943</v>
      </c>
      <c r="C480" t="s">
        <v>2377</v>
      </c>
      <c r="D480" t="s">
        <v>2378</v>
      </c>
      <c r="E480" t="s">
        <v>41</v>
      </c>
      <c r="F480" t="s">
        <v>2733</v>
      </c>
      <c r="G480" t="s">
        <v>2734</v>
      </c>
      <c r="H480" t="s">
        <v>44</v>
      </c>
      <c r="I480" t="s">
        <v>1509</v>
      </c>
      <c r="J480" t="s">
        <v>45</v>
      </c>
      <c r="K480" t="s">
        <v>45</v>
      </c>
      <c r="L480" t="s">
        <v>46</v>
      </c>
      <c r="M480" t="s">
        <v>47</v>
      </c>
      <c r="N480" t="s">
        <v>1037</v>
      </c>
      <c r="O480" t="s">
        <v>51</v>
      </c>
      <c r="P480" t="s">
        <v>1919</v>
      </c>
      <c r="Q480" t="s">
        <v>96</v>
      </c>
      <c r="R480" t="s">
        <v>97</v>
      </c>
      <c r="S480" t="s">
        <v>52</v>
      </c>
      <c r="T480" t="s">
        <v>2735</v>
      </c>
      <c r="U480" t="s">
        <v>1925</v>
      </c>
      <c r="V480" s="137">
        <v>2.6200000000000001E-2</v>
      </c>
      <c r="W480" s="137">
        <v>4.4510000000000001E-2</v>
      </c>
      <c r="X480" t="s">
        <v>131</v>
      </c>
      <c r="Y480" t="s">
        <v>51</v>
      </c>
      <c r="Z480" s="133">
        <v>72256</v>
      </c>
      <c r="AA480" s="135">
        <v>1</v>
      </c>
      <c r="AB480" s="139">
        <v>96.03</v>
      </c>
      <c r="AD480" s="133">
        <v>69.387</v>
      </c>
      <c r="AG480" t="s">
        <v>135</v>
      </c>
      <c r="AH480" s="137">
        <v>5.5999999999999999E-5</v>
      </c>
      <c r="AI480" s="137">
        <v>1.95703551937153E-4</v>
      </c>
      <c r="AJ480" s="137">
        <v>3.5408090726334801E-5</v>
      </c>
    </row>
    <row r="481" spans="1:36">
      <c r="A481">
        <v>161</v>
      </c>
      <c r="B481">
        <v>9943</v>
      </c>
      <c r="C481" t="s">
        <v>2377</v>
      </c>
      <c r="D481" t="s">
        <v>2378</v>
      </c>
      <c r="E481" t="s">
        <v>41</v>
      </c>
      <c r="F481" t="s">
        <v>2736</v>
      </c>
      <c r="G481" t="s">
        <v>2737</v>
      </c>
      <c r="H481" t="s">
        <v>44</v>
      </c>
      <c r="I481" t="s">
        <v>1331</v>
      </c>
      <c r="J481" t="s">
        <v>45</v>
      </c>
      <c r="K481" t="s">
        <v>45</v>
      </c>
      <c r="L481" t="s">
        <v>46</v>
      </c>
      <c r="M481" t="s">
        <v>47</v>
      </c>
      <c r="N481" t="s">
        <v>1037</v>
      </c>
      <c r="O481" t="s">
        <v>51</v>
      </c>
      <c r="P481" t="s">
        <v>1936</v>
      </c>
      <c r="Q481" t="s">
        <v>96</v>
      </c>
      <c r="R481" t="s">
        <v>97</v>
      </c>
      <c r="S481" t="s">
        <v>52</v>
      </c>
      <c r="T481" t="s">
        <v>2738</v>
      </c>
      <c r="U481" t="s">
        <v>2739</v>
      </c>
      <c r="V481" s="137">
        <v>2.0899999999999998E-2</v>
      </c>
      <c r="W481" s="137">
        <v>2.7789999999999999E-2</v>
      </c>
      <c r="X481" t="s">
        <v>131</v>
      </c>
      <c r="Y481" t="s">
        <v>51</v>
      </c>
      <c r="Z481" s="133">
        <v>312710</v>
      </c>
      <c r="AA481" s="135">
        <v>1</v>
      </c>
      <c r="AB481" s="139">
        <v>112.29</v>
      </c>
      <c r="AD481" s="133">
        <v>351.142</v>
      </c>
      <c r="AG481" t="s">
        <v>135</v>
      </c>
      <c r="AH481" s="137">
        <v>2.03E-4</v>
      </c>
      <c r="AI481" s="137">
        <v>9.9037738458189408E-4</v>
      </c>
      <c r="AJ481" s="137">
        <v>1.7918618205686499E-4</v>
      </c>
    </row>
    <row r="482" spans="1:36">
      <c r="A482">
        <v>161</v>
      </c>
      <c r="B482">
        <v>9943</v>
      </c>
      <c r="C482" t="s">
        <v>2740</v>
      </c>
      <c r="D482" t="s">
        <v>2741</v>
      </c>
      <c r="E482" t="s">
        <v>41</v>
      </c>
      <c r="F482" t="s">
        <v>2742</v>
      </c>
      <c r="G482" t="s">
        <v>2743</v>
      </c>
      <c r="H482" t="s">
        <v>44</v>
      </c>
      <c r="I482" t="s">
        <v>1509</v>
      </c>
      <c r="J482" t="s">
        <v>45</v>
      </c>
      <c r="K482" t="s">
        <v>45</v>
      </c>
      <c r="L482" t="s">
        <v>46</v>
      </c>
      <c r="M482" t="s">
        <v>47</v>
      </c>
      <c r="N482" t="s">
        <v>1038</v>
      </c>
      <c r="O482" t="s">
        <v>51</v>
      </c>
      <c r="P482" t="s">
        <v>1912</v>
      </c>
      <c r="Q482" t="s">
        <v>167</v>
      </c>
      <c r="R482" t="s">
        <v>97</v>
      </c>
      <c r="S482" t="s">
        <v>52</v>
      </c>
      <c r="T482" t="s">
        <v>2744</v>
      </c>
      <c r="U482" t="s">
        <v>177</v>
      </c>
      <c r="V482" s="137">
        <v>5.8799999999999998E-2</v>
      </c>
      <c r="W482" s="137">
        <v>5.0509999999999999E-2</v>
      </c>
      <c r="X482" t="s">
        <v>131</v>
      </c>
      <c r="Y482" t="s">
        <v>51</v>
      </c>
      <c r="Z482" s="133">
        <v>4000000</v>
      </c>
      <c r="AA482" s="135">
        <v>1</v>
      </c>
      <c r="AB482" s="139">
        <v>105.2</v>
      </c>
      <c r="AD482" s="133">
        <v>4208</v>
      </c>
      <c r="AG482" t="s">
        <v>135</v>
      </c>
      <c r="AH482" s="137">
        <v>1.3332999999999999E-2</v>
      </c>
      <c r="AI482" s="137">
        <v>1.1868438791379899E-2</v>
      </c>
      <c r="AJ482" s="137">
        <v>2.14732309835686E-3</v>
      </c>
    </row>
    <row r="483" spans="1:36">
      <c r="A483">
        <v>161</v>
      </c>
      <c r="B483">
        <v>9943</v>
      </c>
      <c r="C483" t="s">
        <v>2745</v>
      </c>
      <c r="D483" t="s">
        <v>2746</v>
      </c>
      <c r="E483" t="s">
        <v>41</v>
      </c>
      <c r="F483" t="s">
        <v>2747</v>
      </c>
      <c r="G483" t="s">
        <v>2748</v>
      </c>
      <c r="H483" t="s">
        <v>44</v>
      </c>
      <c r="I483" t="s">
        <v>1509</v>
      </c>
      <c r="J483" t="s">
        <v>45</v>
      </c>
      <c r="K483" t="s">
        <v>45</v>
      </c>
      <c r="L483" t="s">
        <v>46</v>
      </c>
      <c r="M483" t="s">
        <v>47</v>
      </c>
      <c r="N483" t="s">
        <v>1048</v>
      </c>
      <c r="O483" t="s">
        <v>51</v>
      </c>
      <c r="P483" t="s">
        <v>1912</v>
      </c>
      <c r="Q483" t="s">
        <v>167</v>
      </c>
      <c r="R483" t="s">
        <v>97</v>
      </c>
      <c r="S483" t="s">
        <v>52</v>
      </c>
      <c r="T483" t="s">
        <v>2749</v>
      </c>
      <c r="U483" t="s">
        <v>2750</v>
      </c>
      <c r="V483" s="137">
        <v>2.1600000000000001E-2</v>
      </c>
      <c r="W483" s="137">
        <v>5.1029999999999999E-2</v>
      </c>
      <c r="X483" t="s">
        <v>131</v>
      </c>
      <c r="Y483" t="s">
        <v>51</v>
      </c>
      <c r="Z483" s="133">
        <v>1648884.85</v>
      </c>
      <c r="AA483" s="135">
        <v>1</v>
      </c>
      <c r="AB483" s="139">
        <v>92.53</v>
      </c>
      <c r="AD483" s="133">
        <v>1525.713</v>
      </c>
      <c r="AG483" t="s">
        <v>135</v>
      </c>
      <c r="AH483" s="137">
        <v>3.075E-3</v>
      </c>
      <c r="AI483" s="137">
        <v>4.3031922894995502E-3</v>
      </c>
      <c r="AJ483" s="137">
        <v>7.7856442303302997E-4</v>
      </c>
    </row>
    <row r="484" spans="1:36">
      <c r="A484">
        <v>161</v>
      </c>
      <c r="B484">
        <v>9943</v>
      </c>
      <c r="C484" t="s">
        <v>2745</v>
      </c>
      <c r="D484" t="s">
        <v>2746</v>
      </c>
      <c r="E484" t="s">
        <v>41</v>
      </c>
      <c r="F484" t="s">
        <v>2751</v>
      </c>
      <c r="G484" t="s">
        <v>2752</v>
      </c>
      <c r="H484" t="s">
        <v>44</v>
      </c>
      <c r="I484" t="s">
        <v>1331</v>
      </c>
      <c r="J484" t="s">
        <v>45</v>
      </c>
      <c r="K484" t="s">
        <v>45</v>
      </c>
      <c r="L484" t="s">
        <v>46</v>
      </c>
      <c r="M484" t="s">
        <v>47</v>
      </c>
      <c r="N484" t="s">
        <v>1048</v>
      </c>
      <c r="O484" t="s">
        <v>51</v>
      </c>
      <c r="P484" t="s">
        <v>1912</v>
      </c>
      <c r="Q484" t="s">
        <v>167</v>
      </c>
      <c r="R484" t="s">
        <v>97</v>
      </c>
      <c r="S484" t="s">
        <v>52</v>
      </c>
      <c r="T484" t="s">
        <v>2240</v>
      </c>
      <c r="U484" t="s">
        <v>2539</v>
      </c>
      <c r="V484" s="137">
        <v>3.2500000000000001E-2</v>
      </c>
      <c r="W484" s="137">
        <v>2.853E-2</v>
      </c>
      <c r="X484" t="s">
        <v>131</v>
      </c>
      <c r="Y484" t="s">
        <v>51</v>
      </c>
      <c r="Z484" s="133">
        <v>92311.75</v>
      </c>
      <c r="AA484" s="135">
        <v>1</v>
      </c>
      <c r="AB484" s="139">
        <v>113.46</v>
      </c>
      <c r="AD484" s="133">
        <v>104.73699999999999</v>
      </c>
      <c r="AG484" t="s">
        <v>135</v>
      </c>
      <c r="AH484" s="137">
        <v>2.7900000000000001E-4</v>
      </c>
      <c r="AI484" s="137">
        <v>2.9540485359537698E-4</v>
      </c>
      <c r="AJ484" s="137">
        <v>5.34467655470234E-5</v>
      </c>
    </row>
    <row r="485" spans="1:36">
      <c r="A485">
        <v>161</v>
      </c>
      <c r="B485">
        <v>9943</v>
      </c>
      <c r="C485" t="s">
        <v>2753</v>
      </c>
      <c r="D485" t="s">
        <v>2754</v>
      </c>
      <c r="E485" t="s">
        <v>41</v>
      </c>
      <c r="F485" t="s">
        <v>2755</v>
      </c>
      <c r="G485" t="s">
        <v>2756</v>
      </c>
      <c r="H485" t="s">
        <v>44</v>
      </c>
      <c r="I485" t="s">
        <v>1331</v>
      </c>
      <c r="J485" t="s">
        <v>45</v>
      </c>
      <c r="K485" t="s">
        <v>45</v>
      </c>
      <c r="L485" t="s">
        <v>46</v>
      </c>
      <c r="M485" t="s">
        <v>47</v>
      </c>
      <c r="N485" t="s">
        <v>150</v>
      </c>
      <c r="O485" t="s">
        <v>51</v>
      </c>
      <c r="P485" t="s">
        <v>733</v>
      </c>
      <c r="Q485" t="s">
        <v>733</v>
      </c>
      <c r="R485" t="s">
        <v>733</v>
      </c>
      <c r="S485" t="s">
        <v>52</v>
      </c>
      <c r="T485" t="s">
        <v>2757</v>
      </c>
      <c r="U485" t="s">
        <v>2001</v>
      </c>
      <c r="V485" s="137">
        <v>3.6999999999999998E-2</v>
      </c>
      <c r="W485" s="137">
        <v>2.8119999999999999E-2</v>
      </c>
      <c r="X485" t="s">
        <v>131</v>
      </c>
      <c r="Y485" t="s">
        <v>51</v>
      </c>
      <c r="Z485" s="133">
        <v>332256.12</v>
      </c>
      <c r="AA485" s="135">
        <v>1</v>
      </c>
      <c r="AB485" s="139">
        <v>120.79</v>
      </c>
      <c r="AD485" s="133">
        <v>401.33199999999999</v>
      </c>
      <c r="AG485" t="s">
        <v>135</v>
      </c>
      <c r="AH485" s="137">
        <v>7.54E-4</v>
      </c>
      <c r="AI485" s="137">
        <v>1.1319358990450499E-3</v>
      </c>
      <c r="AJ485" s="137">
        <v>2.0479796413022401E-4</v>
      </c>
    </row>
    <row r="486" spans="1:36">
      <c r="A486">
        <v>161</v>
      </c>
      <c r="B486">
        <v>9943</v>
      </c>
      <c r="C486" t="s">
        <v>2758</v>
      </c>
      <c r="D486" t="s">
        <v>2759</v>
      </c>
      <c r="E486" t="s">
        <v>41</v>
      </c>
      <c r="F486" t="s">
        <v>2760</v>
      </c>
      <c r="G486" t="s">
        <v>2761</v>
      </c>
      <c r="H486" t="s">
        <v>44</v>
      </c>
      <c r="I486" t="s">
        <v>1509</v>
      </c>
      <c r="J486" t="s">
        <v>45</v>
      </c>
      <c r="K486" t="s">
        <v>45</v>
      </c>
      <c r="L486" t="s">
        <v>46</v>
      </c>
      <c r="M486" t="s">
        <v>47</v>
      </c>
      <c r="N486" t="s">
        <v>1038</v>
      </c>
      <c r="O486" t="s">
        <v>51</v>
      </c>
      <c r="P486" t="s">
        <v>1999</v>
      </c>
      <c r="Q486" t="s">
        <v>96</v>
      </c>
      <c r="R486" t="s">
        <v>97</v>
      </c>
      <c r="S486" t="s">
        <v>52</v>
      </c>
      <c r="T486" t="s">
        <v>2391</v>
      </c>
      <c r="U486" t="s">
        <v>130</v>
      </c>
      <c r="V486" s="137">
        <v>5.0999999999999997E-2</v>
      </c>
      <c r="W486" s="137">
        <v>5.4600000000000003E-2</v>
      </c>
      <c r="X486" t="s">
        <v>131</v>
      </c>
      <c r="Y486" t="s">
        <v>51</v>
      </c>
      <c r="Z486" s="133">
        <v>397838.34</v>
      </c>
      <c r="AA486" s="135">
        <v>1</v>
      </c>
      <c r="AB486" s="139">
        <v>101.1</v>
      </c>
      <c r="AD486" s="133">
        <v>402.21499999999997</v>
      </c>
      <c r="AG486" t="s">
        <v>135</v>
      </c>
      <c r="AH486" s="137">
        <v>3.0309999999999998E-3</v>
      </c>
      <c r="AI486" s="137">
        <v>1.1344246452026801E-3</v>
      </c>
      <c r="AJ486" s="137">
        <v>2.05248245941013E-4</v>
      </c>
    </row>
    <row r="487" spans="1:36">
      <c r="A487">
        <v>161</v>
      </c>
      <c r="B487">
        <v>9943</v>
      </c>
      <c r="C487" t="s">
        <v>2762</v>
      </c>
      <c r="D487" t="s">
        <v>2763</v>
      </c>
      <c r="E487" t="s">
        <v>41</v>
      </c>
      <c r="F487" t="s">
        <v>2764</v>
      </c>
      <c r="G487" t="s">
        <v>2765</v>
      </c>
      <c r="H487" t="s">
        <v>44</v>
      </c>
      <c r="I487" t="s">
        <v>1331</v>
      </c>
      <c r="J487" t="s">
        <v>45</v>
      </c>
      <c r="K487" t="s">
        <v>45</v>
      </c>
      <c r="L487" t="s">
        <v>46</v>
      </c>
      <c r="M487" t="s">
        <v>47</v>
      </c>
      <c r="N487" t="s">
        <v>150</v>
      </c>
      <c r="O487" t="s">
        <v>51</v>
      </c>
      <c r="P487" t="s">
        <v>128</v>
      </c>
      <c r="Q487" t="s">
        <v>96</v>
      </c>
      <c r="R487" t="s">
        <v>97</v>
      </c>
      <c r="S487" t="s">
        <v>52</v>
      </c>
      <c r="T487" t="s">
        <v>2766</v>
      </c>
      <c r="U487" t="s">
        <v>177</v>
      </c>
      <c r="V487" s="137">
        <v>7.4999999999999997E-3</v>
      </c>
      <c r="W487" s="137">
        <v>2.8230000000000002E-2</v>
      </c>
      <c r="X487" t="s">
        <v>131</v>
      </c>
      <c r="Y487" t="s">
        <v>51</v>
      </c>
      <c r="Z487" s="133">
        <v>3112080.39</v>
      </c>
      <c r="AA487" s="135">
        <v>1</v>
      </c>
      <c r="AB487" s="139">
        <v>107.72</v>
      </c>
      <c r="AD487" s="133">
        <v>3352.3330000000001</v>
      </c>
      <c r="AG487" t="s">
        <v>135</v>
      </c>
      <c r="AH487" s="137">
        <v>5.8060000000000004E-3</v>
      </c>
      <c r="AI487" s="137">
        <v>9.4550758014807501E-3</v>
      </c>
      <c r="AJ487" s="137">
        <v>1.71068015112323E-3</v>
      </c>
    </row>
    <row r="488" spans="1:36">
      <c r="A488">
        <v>161</v>
      </c>
      <c r="B488">
        <v>9943</v>
      </c>
      <c r="C488" t="s">
        <v>2277</v>
      </c>
      <c r="D488" t="s">
        <v>2278</v>
      </c>
      <c r="E488" t="s">
        <v>41</v>
      </c>
      <c r="F488" t="s">
        <v>2767</v>
      </c>
      <c r="G488" t="s">
        <v>2768</v>
      </c>
      <c r="H488" t="s">
        <v>44</v>
      </c>
      <c r="I488" t="s">
        <v>1509</v>
      </c>
      <c r="J488" t="s">
        <v>45</v>
      </c>
      <c r="K488" t="s">
        <v>45</v>
      </c>
      <c r="L488" t="s">
        <v>46</v>
      </c>
      <c r="M488" t="s">
        <v>47</v>
      </c>
      <c r="N488" t="s">
        <v>270</v>
      </c>
      <c r="O488" t="s">
        <v>51</v>
      </c>
      <c r="P488" t="s">
        <v>1936</v>
      </c>
      <c r="Q488" t="s">
        <v>96</v>
      </c>
      <c r="R488" t="s">
        <v>97</v>
      </c>
      <c r="S488" t="s">
        <v>52</v>
      </c>
      <c r="T488" t="s">
        <v>2769</v>
      </c>
      <c r="U488" t="s">
        <v>2770</v>
      </c>
      <c r="V488" s="137">
        <v>5.04E-2</v>
      </c>
      <c r="W488" s="137">
        <v>4.7039999999999998E-2</v>
      </c>
      <c r="X488" t="s">
        <v>131</v>
      </c>
      <c r="Y488" t="s">
        <v>51</v>
      </c>
      <c r="Z488" s="133">
        <v>4200300</v>
      </c>
      <c r="AA488" s="135">
        <v>1</v>
      </c>
      <c r="AB488" s="139">
        <v>102.13</v>
      </c>
      <c r="AD488" s="133">
        <v>4289.7659999999996</v>
      </c>
      <c r="AG488" t="s">
        <v>135</v>
      </c>
      <c r="AH488" s="137">
        <v>9.0889999999999999E-3</v>
      </c>
      <c r="AI488" s="137">
        <v>1.2099056518306501E-2</v>
      </c>
      <c r="AJ488" s="137">
        <v>2.1890481121202301E-3</v>
      </c>
    </row>
    <row r="489" spans="1:36">
      <c r="A489">
        <v>161</v>
      </c>
      <c r="B489">
        <v>9943</v>
      </c>
      <c r="C489" t="s">
        <v>2277</v>
      </c>
      <c r="D489" t="s">
        <v>2278</v>
      </c>
      <c r="E489" t="s">
        <v>41</v>
      </c>
      <c r="F489" t="s">
        <v>2771</v>
      </c>
      <c r="G489" t="s">
        <v>2772</v>
      </c>
      <c r="H489" t="s">
        <v>44</v>
      </c>
      <c r="I489" t="s">
        <v>1509</v>
      </c>
      <c r="J489" t="s">
        <v>45</v>
      </c>
      <c r="K489" t="s">
        <v>45</v>
      </c>
      <c r="L489" t="s">
        <v>46</v>
      </c>
      <c r="M489" t="s">
        <v>47</v>
      </c>
      <c r="N489" t="s">
        <v>270</v>
      </c>
      <c r="O489" t="s">
        <v>51</v>
      </c>
      <c r="P489" t="s">
        <v>1936</v>
      </c>
      <c r="Q489" t="s">
        <v>96</v>
      </c>
      <c r="R489" t="s">
        <v>97</v>
      </c>
      <c r="S489" t="s">
        <v>52</v>
      </c>
      <c r="T489" t="s">
        <v>2773</v>
      </c>
      <c r="U489" t="s">
        <v>2470</v>
      </c>
      <c r="V489" s="137">
        <v>2.3E-2</v>
      </c>
      <c r="W489" s="137">
        <v>4.895E-2</v>
      </c>
      <c r="X489" t="s">
        <v>131</v>
      </c>
      <c r="Y489" t="s">
        <v>51</v>
      </c>
      <c r="Z489" s="133">
        <v>1230769.28</v>
      </c>
      <c r="AA489" s="135">
        <v>1</v>
      </c>
      <c r="AB489" s="139">
        <v>97.97</v>
      </c>
      <c r="AD489" s="133">
        <v>1205.7850000000001</v>
      </c>
      <c r="AG489" t="s">
        <v>135</v>
      </c>
      <c r="AH489" s="137">
        <v>1.493E-3</v>
      </c>
      <c r="AI489" s="137">
        <v>3.4008511111480802E-3</v>
      </c>
      <c r="AJ489" s="137">
        <v>6.1530638303875797E-4</v>
      </c>
    </row>
    <row r="490" spans="1:36">
      <c r="A490">
        <v>161</v>
      </c>
      <c r="B490">
        <v>9943</v>
      </c>
      <c r="C490" t="s">
        <v>2774</v>
      </c>
      <c r="D490" t="s">
        <v>2775</v>
      </c>
      <c r="E490" t="s">
        <v>41</v>
      </c>
      <c r="F490" t="s">
        <v>2776</v>
      </c>
      <c r="G490" t="s">
        <v>2777</v>
      </c>
      <c r="H490" t="s">
        <v>44</v>
      </c>
      <c r="I490" t="s">
        <v>1509</v>
      </c>
      <c r="J490" t="s">
        <v>45</v>
      </c>
      <c r="K490" t="s">
        <v>45</v>
      </c>
      <c r="L490" t="s">
        <v>46</v>
      </c>
      <c r="M490" t="s">
        <v>47</v>
      </c>
      <c r="N490" t="s">
        <v>1038</v>
      </c>
      <c r="O490" t="s">
        <v>51</v>
      </c>
      <c r="P490" t="s">
        <v>158</v>
      </c>
      <c r="Q490" t="s">
        <v>96</v>
      </c>
      <c r="R490" t="s">
        <v>97</v>
      </c>
      <c r="S490" t="s">
        <v>52</v>
      </c>
      <c r="T490" t="s">
        <v>2778</v>
      </c>
      <c r="U490" t="s">
        <v>2779</v>
      </c>
      <c r="V490" s="137">
        <v>5.3400000000000003E-2</v>
      </c>
      <c r="W490" s="137">
        <v>5.1029999999999999E-2</v>
      </c>
      <c r="X490" t="s">
        <v>131</v>
      </c>
      <c r="Y490" t="s">
        <v>51</v>
      </c>
      <c r="Z490" s="133">
        <v>465045.6</v>
      </c>
      <c r="AA490" s="135">
        <v>1</v>
      </c>
      <c r="AB490" s="139">
        <v>102.4</v>
      </c>
      <c r="AD490" s="133">
        <v>476.20699999999999</v>
      </c>
      <c r="AG490" t="s">
        <v>135</v>
      </c>
      <c r="AH490" s="137">
        <v>8.34E-4</v>
      </c>
      <c r="AI490" s="137">
        <v>1.34311549537352E-3</v>
      </c>
      <c r="AJ490" s="137">
        <v>2.4300609184346199E-4</v>
      </c>
    </row>
    <row r="491" spans="1:36">
      <c r="A491">
        <v>161</v>
      </c>
      <c r="B491">
        <v>9943</v>
      </c>
      <c r="C491" t="s">
        <v>2774</v>
      </c>
      <c r="D491" t="s">
        <v>2775</v>
      </c>
      <c r="E491" t="s">
        <v>41</v>
      </c>
      <c r="F491" t="s">
        <v>2780</v>
      </c>
      <c r="G491" t="s">
        <v>2781</v>
      </c>
      <c r="H491" t="s">
        <v>44</v>
      </c>
      <c r="I491" t="s">
        <v>1509</v>
      </c>
      <c r="J491" t="s">
        <v>45</v>
      </c>
      <c r="K491" t="s">
        <v>45</v>
      </c>
      <c r="L491" t="s">
        <v>46</v>
      </c>
      <c r="M491" t="s">
        <v>47</v>
      </c>
      <c r="N491" t="s">
        <v>1038</v>
      </c>
      <c r="O491" t="s">
        <v>51</v>
      </c>
      <c r="P491" t="s">
        <v>158</v>
      </c>
      <c r="Q491" t="s">
        <v>96</v>
      </c>
      <c r="R491" t="s">
        <v>97</v>
      </c>
      <c r="S491" t="s">
        <v>52</v>
      </c>
      <c r="T491" t="s">
        <v>2782</v>
      </c>
      <c r="U491" t="s">
        <v>2539</v>
      </c>
      <c r="V491" s="137">
        <v>5.74E-2</v>
      </c>
      <c r="W491" s="137">
        <v>5.1380000000000002E-2</v>
      </c>
      <c r="X491" t="s">
        <v>131</v>
      </c>
      <c r="Y491" t="s">
        <v>51</v>
      </c>
      <c r="Z491" s="133">
        <v>3250104</v>
      </c>
      <c r="AA491" s="135">
        <v>1</v>
      </c>
      <c r="AB491" s="139">
        <v>104.48</v>
      </c>
      <c r="AD491" s="133">
        <v>3395.7089999999998</v>
      </c>
      <c r="AG491" t="s">
        <v>135</v>
      </c>
      <c r="AH491" s="137">
        <v>4.4650000000000002E-3</v>
      </c>
      <c r="AI491" s="137">
        <v>9.5774145378027392E-3</v>
      </c>
      <c r="AJ491" s="137">
        <v>1.7328145530395799E-3</v>
      </c>
    </row>
    <row r="492" spans="1:36">
      <c r="A492">
        <v>161</v>
      </c>
      <c r="B492">
        <v>9943</v>
      </c>
      <c r="C492" t="s">
        <v>2431</v>
      </c>
      <c r="D492" t="s">
        <v>2432</v>
      </c>
      <c r="E492" t="s">
        <v>41</v>
      </c>
      <c r="F492" t="s">
        <v>2783</v>
      </c>
      <c r="G492" t="s">
        <v>2784</v>
      </c>
      <c r="H492" t="s">
        <v>44</v>
      </c>
      <c r="I492" t="s">
        <v>1331</v>
      </c>
      <c r="J492" t="s">
        <v>45</v>
      </c>
      <c r="K492" t="s">
        <v>45</v>
      </c>
      <c r="L492" t="s">
        <v>46</v>
      </c>
      <c r="M492" t="s">
        <v>47</v>
      </c>
      <c r="N492" t="s">
        <v>58</v>
      </c>
      <c r="O492" t="s">
        <v>51</v>
      </c>
      <c r="P492" t="s">
        <v>1919</v>
      </c>
      <c r="Q492" t="s">
        <v>96</v>
      </c>
      <c r="R492" t="s">
        <v>97</v>
      </c>
      <c r="S492" t="s">
        <v>52</v>
      </c>
      <c r="T492" t="s">
        <v>2785</v>
      </c>
      <c r="U492" t="s">
        <v>1994</v>
      </c>
      <c r="V492" s="137">
        <v>1.15E-2</v>
      </c>
      <c r="W492" s="137">
        <v>2.9389999999999999E-2</v>
      </c>
      <c r="X492" t="s">
        <v>131</v>
      </c>
      <c r="Y492" t="s">
        <v>51</v>
      </c>
      <c r="Z492" s="133">
        <v>2500000</v>
      </c>
      <c r="AA492" s="135">
        <v>1</v>
      </c>
      <c r="AB492" s="139">
        <v>108.18</v>
      </c>
      <c r="AD492" s="133">
        <v>2704.5</v>
      </c>
      <c r="AG492" t="s">
        <v>135</v>
      </c>
      <c r="AH492" s="137">
        <v>1.0460000000000001E-3</v>
      </c>
      <c r="AI492" s="137">
        <v>7.6278975074351102E-3</v>
      </c>
      <c r="AJ492" s="137">
        <v>1.38009394474956E-3</v>
      </c>
    </row>
    <row r="493" spans="1:36">
      <c r="A493">
        <v>161</v>
      </c>
      <c r="B493">
        <v>9943</v>
      </c>
      <c r="C493" t="s">
        <v>2283</v>
      </c>
      <c r="D493" t="s">
        <v>2284</v>
      </c>
      <c r="E493" t="s">
        <v>41</v>
      </c>
      <c r="F493" t="s">
        <v>2285</v>
      </c>
      <c r="G493" t="s">
        <v>2286</v>
      </c>
      <c r="H493" t="s">
        <v>44</v>
      </c>
      <c r="I493" t="s">
        <v>1331</v>
      </c>
      <c r="J493" t="s">
        <v>45</v>
      </c>
      <c r="K493" t="s">
        <v>45</v>
      </c>
      <c r="L493" t="s">
        <v>46</v>
      </c>
      <c r="M493" t="s">
        <v>47</v>
      </c>
      <c r="N493" t="s">
        <v>58</v>
      </c>
      <c r="O493" t="s">
        <v>51</v>
      </c>
      <c r="P493" t="s">
        <v>1919</v>
      </c>
      <c r="Q493" t="s">
        <v>96</v>
      </c>
      <c r="R493" t="s">
        <v>97</v>
      </c>
      <c r="S493" t="s">
        <v>52</v>
      </c>
      <c r="T493" t="s">
        <v>2287</v>
      </c>
      <c r="U493" t="s">
        <v>2288</v>
      </c>
      <c r="V493" s="137">
        <v>2.5000000000000001E-2</v>
      </c>
      <c r="W493" s="137">
        <v>2.7720000000000002E-2</v>
      </c>
      <c r="X493" t="s">
        <v>131</v>
      </c>
      <c r="Y493" t="s">
        <v>51</v>
      </c>
      <c r="Z493" s="133">
        <v>73872.95</v>
      </c>
      <c r="AA493" s="135">
        <v>1</v>
      </c>
      <c r="AB493" s="139">
        <v>116.35</v>
      </c>
      <c r="AD493" s="133">
        <v>85.950999999999993</v>
      </c>
      <c r="AG493" t="s">
        <v>135</v>
      </c>
      <c r="AH493" s="137">
        <v>5.5000000000000002E-5</v>
      </c>
      <c r="AI493" s="137">
        <v>2.4242069561045701E-4</v>
      </c>
      <c r="AJ493" s="137">
        <v>4.3860491540147103E-5</v>
      </c>
    </row>
    <row r="494" spans="1:36">
      <c r="A494">
        <v>161</v>
      </c>
      <c r="B494">
        <v>9943</v>
      </c>
      <c r="C494" t="s">
        <v>2786</v>
      </c>
      <c r="D494" t="s">
        <v>2787</v>
      </c>
      <c r="E494" t="s">
        <v>41</v>
      </c>
      <c r="F494" t="s">
        <v>2788</v>
      </c>
      <c r="G494" t="s">
        <v>2789</v>
      </c>
      <c r="H494" t="s">
        <v>44</v>
      </c>
      <c r="I494" t="s">
        <v>1331</v>
      </c>
      <c r="J494" t="s">
        <v>45</v>
      </c>
      <c r="K494" t="s">
        <v>45</v>
      </c>
      <c r="L494" t="s">
        <v>46</v>
      </c>
      <c r="M494" t="s">
        <v>47</v>
      </c>
      <c r="N494" t="s">
        <v>58</v>
      </c>
      <c r="O494" t="s">
        <v>51</v>
      </c>
      <c r="P494" t="s">
        <v>2697</v>
      </c>
      <c r="Q494" t="s">
        <v>96</v>
      </c>
      <c r="R494" t="s">
        <v>97</v>
      </c>
      <c r="S494" t="s">
        <v>52</v>
      </c>
      <c r="T494" t="s">
        <v>2790</v>
      </c>
      <c r="U494" t="s">
        <v>2196</v>
      </c>
      <c r="V494" s="137">
        <v>9.4000000000000004E-3</v>
      </c>
      <c r="W494" s="137">
        <v>4.2110000000000002E-2</v>
      </c>
      <c r="X494" t="s">
        <v>131</v>
      </c>
      <c r="Y494" t="s">
        <v>51</v>
      </c>
      <c r="Z494" s="133">
        <v>223650.12</v>
      </c>
      <c r="AA494" s="135">
        <v>1</v>
      </c>
      <c r="AB494" s="139">
        <v>106.38</v>
      </c>
      <c r="AD494" s="133">
        <v>237.91900000000001</v>
      </c>
      <c r="AG494" t="s">
        <v>135</v>
      </c>
      <c r="AH494" s="137">
        <v>5.8E-4</v>
      </c>
      <c r="AI494" s="137">
        <v>6.7103779966413795E-4</v>
      </c>
      <c r="AJ494" s="137">
        <v>1.21408973195019E-4</v>
      </c>
    </row>
    <row r="495" spans="1:36">
      <c r="A495">
        <v>161</v>
      </c>
      <c r="B495">
        <v>9943</v>
      </c>
      <c r="C495" t="s">
        <v>2440</v>
      </c>
      <c r="D495" t="s">
        <v>2441</v>
      </c>
      <c r="E495" t="s">
        <v>41</v>
      </c>
      <c r="F495" t="s">
        <v>2791</v>
      </c>
      <c r="G495" t="s">
        <v>2792</v>
      </c>
      <c r="H495" t="s">
        <v>44</v>
      </c>
      <c r="I495" t="s">
        <v>1509</v>
      </c>
      <c r="J495" t="s">
        <v>45</v>
      </c>
      <c r="K495" t="s">
        <v>45</v>
      </c>
      <c r="L495" t="s">
        <v>46</v>
      </c>
      <c r="M495" t="s">
        <v>47</v>
      </c>
      <c r="N495" t="s">
        <v>1038</v>
      </c>
      <c r="O495" t="s">
        <v>51</v>
      </c>
      <c r="P495" t="s">
        <v>158</v>
      </c>
      <c r="Q495" t="s">
        <v>96</v>
      </c>
      <c r="R495" t="s">
        <v>97</v>
      </c>
      <c r="S495" t="s">
        <v>52</v>
      </c>
      <c r="T495" t="s">
        <v>2793</v>
      </c>
      <c r="U495" t="s">
        <v>2794</v>
      </c>
      <c r="V495" s="137">
        <v>5.5199999999999999E-2</v>
      </c>
      <c r="W495" s="137">
        <v>5.2080000000000001E-2</v>
      </c>
      <c r="X495" t="s">
        <v>131</v>
      </c>
      <c r="Y495" t="s">
        <v>51</v>
      </c>
      <c r="Z495" s="133">
        <v>951497</v>
      </c>
      <c r="AA495" s="135">
        <v>1</v>
      </c>
      <c r="AB495" s="139">
        <v>101.89</v>
      </c>
      <c r="AD495" s="133">
        <v>969.48</v>
      </c>
      <c r="AG495" t="s">
        <v>135</v>
      </c>
      <c r="AH495" s="137">
        <v>3.0869999999999999E-3</v>
      </c>
      <c r="AI495" s="137">
        <v>2.73436728148291E-3</v>
      </c>
      <c r="AJ495" s="137">
        <v>4.9472134676921897E-4</v>
      </c>
    </row>
    <row r="496" spans="1:36">
      <c r="A496">
        <v>161</v>
      </c>
      <c r="B496">
        <v>9943</v>
      </c>
      <c r="C496" t="s">
        <v>2440</v>
      </c>
      <c r="D496" t="s">
        <v>2441</v>
      </c>
      <c r="E496" t="s">
        <v>41</v>
      </c>
      <c r="F496" t="s">
        <v>2795</v>
      </c>
      <c r="G496" t="s">
        <v>2796</v>
      </c>
      <c r="H496" t="s">
        <v>44</v>
      </c>
      <c r="I496" t="s">
        <v>1509</v>
      </c>
      <c r="J496" t="s">
        <v>45</v>
      </c>
      <c r="K496" t="s">
        <v>45</v>
      </c>
      <c r="L496" t="s">
        <v>46</v>
      </c>
      <c r="M496" t="s">
        <v>47</v>
      </c>
      <c r="N496" t="s">
        <v>1038</v>
      </c>
      <c r="O496" t="s">
        <v>51</v>
      </c>
      <c r="P496" t="s">
        <v>158</v>
      </c>
      <c r="Q496" t="s">
        <v>96</v>
      </c>
      <c r="R496" t="s">
        <v>97</v>
      </c>
      <c r="S496" t="s">
        <v>52</v>
      </c>
      <c r="T496" t="s">
        <v>2797</v>
      </c>
      <c r="U496" t="s">
        <v>2798</v>
      </c>
      <c r="V496" s="137">
        <v>2.8000000000000001E-2</v>
      </c>
      <c r="W496" s="137">
        <v>5.1159999999999997E-2</v>
      </c>
      <c r="X496" t="s">
        <v>131</v>
      </c>
      <c r="Y496" t="s">
        <v>51</v>
      </c>
      <c r="Z496" s="133">
        <v>2497279</v>
      </c>
      <c r="AA496" s="135">
        <v>1</v>
      </c>
      <c r="AB496" s="139">
        <v>96.9</v>
      </c>
      <c r="AD496" s="133">
        <v>2419.8629999999998</v>
      </c>
      <c r="AG496" t="s">
        <v>135</v>
      </c>
      <c r="AH496" s="137">
        <v>1.603E-3</v>
      </c>
      <c r="AI496" s="137">
        <v>6.8250950724446204E-3</v>
      </c>
      <c r="AJ496" s="137">
        <v>1.2348451683625299E-3</v>
      </c>
    </row>
    <row r="497" spans="1:36">
      <c r="A497">
        <v>161</v>
      </c>
      <c r="B497">
        <v>9943</v>
      </c>
      <c r="C497" t="s">
        <v>2440</v>
      </c>
      <c r="D497" t="s">
        <v>2441</v>
      </c>
      <c r="E497" t="s">
        <v>41</v>
      </c>
      <c r="F497" t="s">
        <v>2442</v>
      </c>
      <c r="G497" t="s">
        <v>2443</v>
      </c>
      <c r="H497" t="s">
        <v>44</v>
      </c>
      <c r="I497" t="s">
        <v>1331</v>
      </c>
      <c r="J497" t="s">
        <v>45</v>
      </c>
      <c r="K497" t="s">
        <v>45</v>
      </c>
      <c r="L497" t="s">
        <v>46</v>
      </c>
      <c r="M497" t="s">
        <v>47</v>
      </c>
      <c r="N497" t="s">
        <v>1038</v>
      </c>
      <c r="O497" t="s">
        <v>51</v>
      </c>
      <c r="P497" t="s">
        <v>158</v>
      </c>
      <c r="Q497" t="s">
        <v>96</v>
      </c>
      <c r="R497" t="s">
        <v>97</v>
      </c>
      <c r="S497" t="s">
        <v>52</v>
      </c>
      <c r="T497" t="s">
        <v>2444</v>
      </c>
      <c r="U497" t="s">
        <v>2445</v>
      </c>
      <c r="V497" s="137">
        <v>3.9E-2</v>
      </c>
      <c r="W497" s="137">
        <v>2.8209999999999999E-2</v>
      </c>
      <c r="X497" t="s">
        <v>131</v>
      </c>
      <c r="Y497" t="s">
        <v>51</v>
      </c>
      <c r="Z497" s="133">
        <v>1744718.77</v>
      </c>
      <c r="AA497" s="135">
        <v>1</v>
      </c>
      <c r="AB497" s="139">
        <v>122.33</v>
      </c>
      <c r="AD497" s="133">
        <v>2134.3139999999999</v>
      </c>
      <c r="AG497" t="s">
        <v>135</v>
      </c>
      <c r="AH497" s="137">
        <v>1.2639999999999999E-3</v>
      </c>
      <c r="AI497" s="137">
        <v>6.0197197397022402E-3</v>
      </c>
      <c r="AJ497" s="137">
        <v>1.08913088485452E-3</v>
      </c>
    </row>
    <row r="498" spans="1:36">
      <c r="A498">
        <v>161</v>
      </c>
      <c r="B498">
        <v>9943</v>
      </c>
      <c r="C498" t="s">
        <v>2440</v>
      </c>
      <c r="D498" t="s">
        <v>2441</v>
      </c>
      <c r="E498" t="s">
        <v>41</v>
      </c>
      <c r="F498" t="s">
        <v>2799</v>
      </c>
      <c r="G498" t="s">
        <v>2800</v>
      </c>
      <c r="H498" t="s">
        <v>44</v>
      </c>
      <c r="I498" t="s">
        <v>1331</v>
      </c>
      <c r="J498" t="s">
        <v>45</v>
      </c>
      <c r="K498" t="s">
        <v>45</v>
      </c>
      <c r="L498" t="s">
        <v>46</v>
      </c>
      <c r="M498" t="s">
        <v>47</v>
      </c>
      <c r="N498" t="s">
        <v>1038</v>
      </c>
      <c r="O498" t="s">
        <v>51</v>
      </c>
      <c r="P498" t="s">
        <v>158</v>
      </c>
      <c r="Q498" t="s">
        <v>96</v>
      </c>
      <c r="R498" t="s">
        <v>97</v>
      </c>
      <c r="S498" t="s">
        <v>52</v>
      </c>
      <c r="T498" t="s">
        <v>2801</v>
      </c>
      <c r="U498" t="s">
        <v>2474</v>
      </c>
      <c r="V498" s="137">
        <v>3.2500000000000001E-2</v>
      </c>
      <c r="W498" s="137">
        <v>3.039E-2</v>
      </c>
      <c r="X498" t="s">
        <v>131</v>
      </c>
      <c r="Y498" t="s">
        <v>51</v>
      </c>
      <c r="Z498" s="133">
        <v>1093085.17</v>
      </c>
      <c r="AA498" s="135">
        <v>1</v>
      </c>
      <c r="AB498" s="139">
        <v>118.91</v>
      </c>
      <c r="AD498" s="133">
        <v>1299.788</v>
      </c>
      <c r="AG498" t="s">
        <v>135</v>
      </c>
      <c r="AH498" s="137">
        <v>3.5509999999999999E-3</v>
      </c>
      <c r="AI498" s="137">
        <v>3.6659812935747401E-3</v>
      </c>
      <c r="AJ498" s="137">
        <v>6.6327563786693598E-4</v>
      </c>
    </row>
    <row r="499" spans="1:36">
      <c r="A499">
        <v>161</v>
      </c>
      <c r="B499">
        <v>9943</v>
      </c>
      <c r="C499" t="s">
        <v>2802</v>
      </c>
      <c r="D499" t="s">
        <v>2803</v>
      </c>
      <c r="E499" t="s">
        <v>41</v>
      </c>
      <c r="F499" t="s">
        <v>2804</v>
      </c>
      <c r="G499" t="s">
        <v>2805</v>
      </c>
      <c r="H499" t="s">
        <v>44</v>
      </c>
      <c r="I499" t="s">
        <v>1509</v>
      </c>
      <c r="J499" t="s">
        <v>45</v>
      </c>
      <c r="K499" t="s">
        <v>45</v>
      </c>
      <c r="L499" t="s">
        <v>46</v>
      </c>
      <c r="M499" t="s">
        <v>47</v>
      </c>
      <c r="N499" t="s">
        <v>1049</v>
      </c>
      <c r="O499" t="s">
        <v>51</v>
      </c>
      <c r="P499" t="s">
        <v>128</v>
      </c>
      <c r="Q499" t="s">
        <v>96</v>
      </c>
      <c r="R499" t="s">
        <v>97</v>
      </c>
      <c r="S499" t="s">
        <v>52</v>
      </c>
      <c r="T499" t="s">
        <v>2806</v>
      </c>
      <c r="U499" t="s">
        <v>2807</v>
      </c>
      <c r="V499" s="137">
        <v>2.3400000000000001E-2</v>
      </c>
      <c r="W499" s="137">
        <v>4.6489999999999997E-2</v>
      </c>
      <c r="X499" t="s">
        <v>131</v>
      </c>
      <c r="Y499" t="s">
        <v>51</v>
      </c>
      <c r="Z499" s="133">
        <v>884436.67</v>
      </c>
      <c r="AA499" s="135">
        <v>1</v>
      </c>
      <c r="AB499" s="139">
        <v>89.25</v>
      </c>
      <c r="AD499" s="133">
        <v>789.36</v>
      </c>
      <c r="AG499" t="s">
        <v>135</v>
      </c>
      <c r="AH499" s="137">
        <v>9.2400000000000002E-4</v>
      </c>
      <c r="AI499" s="137">
        <v>2.22634686688488E-3</v>
      </c>
      <c r="AJ499" s="137">
        <v>4.0280664847752002E-4</v>
      </c>
    </row>
    <row r="500" spans="1:36">
      <c r="A500">
        <v>161</v>
      </c>
      <c r="B500">
        <v>9943</v>
      </c>
      <c r="C500" t="s">
        <v>2236</v>
      </c>
      <c r="D500" t="s">
        <v>2237</v>
      </c>
      <c r="E500" t="s">
        <v>41</v>
      </c>
      <c r="F500" t="s">
        <v>2808</v>
      </c>
      <c r="G500" t="s">
        <v>2809</v>
      </c>
      <c r="H500" t="s">
        <v>44</v>
      </c>
      <c r="I500" t="s">
        <v>124</v>
      </c>
      <c r="J500" t="s">
        <v>68</v>
      </c>
      <c r="K500" t="s">
        <v>45</v>
      </c>
      <c r="L500" t="s">
        <v>46</v>
      </c>
      <c r="M500" t="s">
        <v>215</v>
      </c>
      <c r="N500" t="s">
        <v>1119</v>
      </c>
      <c r="O500" t="s">
        <v>51</v>
      </c>
      <c r="P500" t="s">
        <v>2305</v>
      </c>
      <c r="Q500" t="s">
        <v>159</v>
      </c>
      <c r="R500" t="s">
        <v>97</v>
      </c>
      <c r="S500" t="s">
        <v>72</v>
      </c>
      <c r="T500" t="s">
        <v>2810</v>
      </c>
      <c r="U500" t="s">
        <v>2811</v>
      </c>
      <c r="V500" s="137">
        <v>3.2550000000000003E-2</v>
      </c>
      <c r="W500" s="137">
        <v>5.7729999999999997E-2</v>
      </c>
      <c r="X500" t="s">
        <v>131</v>
      </c>
      <c r="Y500" t="s">
        <v>51</v>
      </c>
      <c r="Z500" s="133">
        <v>500000</v>
      </c>
      <c r="AA500" s="135">
        <v>3.165</v>
      </c>
      <c r="AB500" s="139">
        <v>99.308999999999997</v>
      </c>
      <c r="AD500" s="133">
        <v>1571.5709999999999</v>
      </c>
      <c r="AG500" t="s">
        <v>135</v>
      </c>
      <c r="AH500" s="137">
        <v>5.0000000000000001E-4</v>
      </c>
      <c r="AI500" s="137">
        <v>4.4325314997168503E-3</v>
      </c>
      <c r="AJ500" s="137">
        <v>8.01965400912661E-4</v>
      </c>
    </row>
    <row r="501" spans="1:36">
      <c r="A501">
        <v>161</v>
      </c>
      <c r="B501">
        <v>9943</v>
      </c>
      <c r="C501" t="s">
        <v>2301</v>
      </c>
      <c r="D501" t="s">
        <v>2302</v>
      </c>
      <c r="E501" t="s">
        <v>41</v>
      </c>
      <c r="F501" t="s">
        <v>2303</v>
      </c>
      <c r="G501" t="s">
        <v>2304</v>
      </c>
      <c r="H501" t="s">
        <v>44</v>
      </c>
      <c r="I501" t="s">
        <v>124</v>
      </c>
      <c r="J501" t="s">
        <v>68</v>
      </c>
      <c r="K501" t="s">
        <v>45</v>
      </c>
      <c r="L501" t="s">
        <v>46</v>
      </c>
      <c r="M501" t="s">
        <v>215</v>
      </c>
      <c r="N501" t="s">
        <v>1119</v>
      </c>
      <c r="O501" t="s">
        <v>51</v>
      </c>
      <c r="P501" t="s">
        <v>2305</v>
      </c>
      <c r="Q501" t="s">
        <v>159</v>
      </c>
      <c r="R501" t="s">
        <v>97</v>
      </c>
      <c r="S501" t="s">
        <v>72</v>
      </c>
      <c r="T501" t="s">
        <v>2306</v>
      </c>
      <c r="U501" t="s">
        <v>2307</v>
      </c>
      <c r="V501" s="137">
        <v>3.0769999999999999E-2</v>
      </c>
      <c r="W501" s="137">
        <v>6.0539999999999997E-2</v>
      </c>
      <c r="X501" t="s">
        <v>131</v>
      </c>
      <c r="Y501" t="s">
        <v>51</v>
      </c>
      <c r="Z501" s="133">
        <v>86000</v>
      </c>
      <c r="AA501" s="135">
        <v>3.165</v>
      </c>
      <c r="AB501" s="139">
        <v>101.44</v>
      </c>
      <c r="AD501" s="133">
        <v>276.10899999999998</v>
      </c>
      <c r="AG501" t="s">
        <v>135</v>
      </c>
      <c r="AH501" s="137">
        <v>1.4300000000000001E-4</v>
      </c>
      <c r="AI501" s="137">
        <v>7.7874963127336802E-4</v>
      </c>
      <c r="AJ501" s="137">
        <v>1.40896970567412E-4</v>
      </c>
    </row>
    <row r="502" spans="1:36">
      <c r="A502">
        <v>161</v>
      </c>
      <c r="B502">
        <v>9943</v>
      </c>
      <c r="C502" t="s">
        <v>2812</v>
      </c>
      <c r="D502" t="s">
        <v>2813</v>
      </c>
      <c r="E502" t="s">
        <v>402</v>
      </c>
      <c r="F502" t="s">
        <v>2814</v>
      </c>
      <c r="G502" t="s">
        <v>2815</v>
      </c>
      <c r="H502" t="s">
        <v>44</v>
      </c>
      <c r="I502" t="s">
        <v>1509</v>
      </c>
      <c r="J502" t="s">
        <v>45</v>
      </c>
      <c r="K502" t="s">
        <v>69</v>
      </c>
      <c r="L502" t="s">
        <v>215</v>
      </c>
      <c r="M502" t="s">
        <v>47</v>
      </c>
      <c r="N502" t="s">
        <v>1050</v>
      </c>
      <c r="O502" t="s">
        <v>51</v>
      </c>
      <c r="P502" t="s">
        <v>239</v>
      </c>
      <c r="Q502" t="s">
        <v>167</v>
      </c>
      <c r="R502" t="s">
        <v>97</v>
      </c>
      <c r="S502" t="s">
        <v>52</v>
      </c>
      <c r="T502" t="s">
        <v>240</v>
      </c>
      <c r="U502" t="s">
        <v>2816</v>
      </c>
      <c r="V502" s="137">
        <v>7.0000000000000007E-2</v>
      </c>
      <c r="W502" s="137">
        <v>1E-4</v>
      </c>
      <c r="X502" t="s">
        <v>242</v>
      </c>
      <c r="Y502" t="s">
        <v>243</v>
      </c>
      <c r="Z502" s="133">
        <v>145534.70000000001</v>
      </c>
      <c r="AA502" s="135">
        <v>1</v>
      </c>
      <c r="AB502" s="139">
        <v>0</v>
      </c>
      <c r="AD502" s="133">
        <v>0</v>
      </c>
      <c r="AG502" t="s">
        <v>135</v>
      </c>
      <c r="AH502" s="137">
        <v>0</v>
      </c>
      <c r="AI502" s="137">
        <v>4.1047283245528401E-12</v>
      </c>
      <c r="AJ502" s="137">
        <v>7.4265689857993396E-13</v>
      </c>
    </row>
    <row r="503" spans="1:36">
      <c r="A503">
        <v>161</v>
      </c>
      <c r="B503">
        <v>12468</v>
      </c>
      <c r="C503" t="s">
        <v>2301</v>
      </c>
      <c r="D503" t="s">
        <v>2302</v>
      </c>
      <c r="E503" t="s">
        <v>41</v>
      </c>
      <c r="F503" t="s">
        <v>2303</v>
      </c>
      <c r="G503" t="s">
        <v>2304</v>
      </c>
      <c r="H503" t="s">
        <v>44</v>
      </c>
      <c r="I503" t="s">
        <v>124</v>
      </c>
      <c r="J503" t="s">
        <v>68</v>
      </c>
      <c r="K503" t="s">
        <v>45</v>
      </c>
      <c r="L503" t="s">
        <v>46</v>
      </c>
      <c r="M503" t="s">
        <v>215</v>
      </c>
      <c r="N503" t="s">
        <v>1119</v>
      </c>
      <c r="O503" t="s">
        <v>51</v>
      </c>
      <c r="P503" t="s">
        <v>2305</v>
      </c>
      <c r="Q503" t="s">
        <v>159</v>
      </c>
      <c r="R503" t="s">
        <v>97</v>
      </c>
      <c r="S503" t="s">
        <v>72</v>
      </c>
      <c r="T503" t="s">
        <v>2306</v>
      </c>
      <c r="U503" t="s">
        <v>2307</v>
      </c>
      <c r="V503" s="137">
        <v>3.0769999999999999E-2</v>
      </c>
      <c r="W503" s="137">
        <v>6.0539999999999997E-2</v>
      </c>
      <c r="X503" t="s">
        <v>131</v>
      </c>
      <c r="Y503" t="s">
        <v>51</v>
      </c>
      <c r="Z503" s="133">
        <v>2000</v>
      </c>
      <c r="AA503" s="135">
        <v>3.165</v>
      </c>
      <c r="AB503" s="139">
        <v>101.44</v>
      </c>
      <c r="AD503" s="133">
        <v>6.4210000000000003</v>
      </c>
      <c r="AG503" t="s">
        <v>135</v>
      </c>
      <c r="AH503" s="137">
        <v>3.0000000000000001E-6</v>
      </c>
      <c r="AI503" s="137">
        <v>1</v>
      </c>
      <c r="AJ503" s="137">
        <v>1.9890054138775601E-4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34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1636</v>
      </c>
      <c r="U1" s="14" t="s">
        <v>36</v>
      </c>
      <c r="V1" s="136" t="s">
        <v>1637</v>
      </c>
      <c r="W1" s="136" t="s">
        <v>37</v>
      </c>
      <c r="X1" s="136" t="s">
        <v>38</v>
      </c>
    </row>
    <row r="2" spans="1:24">
      <c r="A2">
        <v>14076</v>
      </c>
      <c r="B2">
        <v>14077</v>
      </c>
      <c r="C2" t="s">
        <v>2817</v>
      </c>
      <c r="D2" t="s">
        <v>2818</v>
      </c>
      <c r="E2" t="s">
        <v>41</v>
      </c>
      <c r="F2" t="s">
        <v>2819</v>
      </c>
      <c r="G2" t="s">
        <v>2820</v>
      </c>
      <c r="H2" t="s">
        <v>44</v>
      </c>
      <c r="I2" t="s">
        <v>1476</v>
      </c>
      <c r="J2" t="s">
        <v>45</v>
      </c>
      <c r="K2" t="s">
        <v>45</v>
      </c>
      <c r="L2" t="s">
        <v>46</v>
      </c>
      <c r="M2" t="s">
        <v>47</v>
      </c>
      <c r="N2" t="s">
        <v>189</v>
      </c>
      <c r="O2" t="s">
        <v>51</v>
      </c>
      <c r="P2" t="s">
        <v>52</v>
      </c>
      <c r="Q2" s="133">
        <v>74</v>
      </c>
      <c r="R2" s="135">
        <v>1</v>
      </c>
      <c r="S2" s="139">
        <v>263700</v>
      </c>
      <c r="U2" s="133">
        <v>195.13800000000001</v>
      </c>
      <c r="V2" s="137">
        <v>1.9999999999999999E-6</v>
      </c>
      <c r="W2" s="137">
        <v>8.1193514176183201E-2</v>
      </c>
      <c r="X2" s="137">
        <v>6.4790397675533202E-3</v>
      </c>
    </row>
    <row r="3" spans="1:24">
      <c r="A3">
        <v>14076</v>
      </c>
      <c r="B3">
        <v>14077</v>
      </c>
      <c r="C3" t="s">
        <v>1932</v>
      </c>
      <c r="D3" t="s">
        <v>1933</v>
      </c>
      <c r="E3" t="s">
        <v>41</v>
      </c>
      <c r="F3" t="s">
        <v>2821</v>
      </c>
      <c r="G3" t="s">
        <v>2822</v>
      </c>
      <c r="H3" t="s">
        <v>44</v>
      </c>
      <c r="I3" t="s">
        <v>1476</v>
      </c>
      <c r="J3" t="s">
        <v>45</v>
      </c>
      <c r="K3" t="s">
        <v>45</v>
      </c>
      <c r="L3" t="s">
        <v>46</v>
      </c>
      <c r="M3" t="s">
        <v>47</v>
      </c>
      <c r="N3" t="s">
        <v>58</v>
      </c>
      <c r="O3" t="s">
        <v>51</v>
      </c>
      <c r="P3" t="s">
        <v>52</v>
      </c>
      <c r="Q3" s="133">
        <v>1100</v>
      </c>
      <c r="R3" s="135">
        <v>1</v>
      </c>
      <c r="S3" s="139">
        <v>3375</v>
      </c>
      <c r="T3" s="133">
        <v>0.27500000000000002</v>
      </c>
      <c r="U3" s="133">
        <v>37.4</v>
      </c>
      <c r="V3" s="137">
        <v>5.0000000000000004E-6</v>
      </c>
      <c r="W3" s="137">
        <v>1.5561486897422599E-2</v>
      </c>
      <c r="X3" s="137">
        <v>1.2417678120432399E-3</v>
      </c>
    </row>
    <row r="4" spans="1:24">
      <c r="A4">
        <v>14076</v>
      </c>
      <c r="B4">
        <v>14077</v>
      </c>
      <c r="C4" t="s">
        <v>1961</v>
      </c>
      <c r="D4" t="s">
        <v>1962</v>
      </c>
      <c r="E4" t="s">
        <v>41</v>
      </c>
      <c r="F4" t="s">
        <v>2823</v>
      </c>
      <c r="G4" t="s">
        <v>2824</v>
      </c>
      <c r="H4" t="s">
        <v>44</v>
      </c>
      <c r="I4" t="s">
        <v>1476</v>
      </c>
      <c r="J4" t="s">
        <v>45</v>
      </c>
      <c r="K4" t="s">
        <v>69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3">
        <v>530</v>
      </c>
      <c r="R4" s="135">
        <v>1</v>
      </c>
      <c r="S4" s="139">
        <v>20930</v>
      </c>
      <c r="U4" s="133">
        <v>110.929</v>
      </c>
      <c r="V4" s="137">
        <v>3.9999999999999998E-6</v>
      </c>
      <c r="W4" s="137">
        <v>4.6155619787277898E-2</v>
      </c>
      <c r="X4" s="137">
        <v>3.6831032519290098E-3</v>
      </c>
    </row>
    <row r="5" spans="1:24">
      <c r="A5">
        <v>14076</v>
      </c>
      <c r="B5">
        <v>14077</v>
      </c>
      <c r="C5" t="s">
        <v>2540</v>
      </c>
      <c r="D5" t="s">
        <v>2541</v>
      </c>
      <c r="E5" t="s">
        <v>41</v>
      </c>
      <c r="F5" t="s">
        <v>2825</v>
      </c>
      <c r="G5" t="s">
        <v>2826</v>
      </c>
      <c r="H5" t="s">
        <v>44</v>
      </c>
      <c r="I5" t="s">
        <v>1476</v>
      </c>
      <c r="J5" t="s">
        <v>45</v>
      </c>
      <c r="K5" t="s">
        <v>45</v>
      </c>
      <c r="L5" t="s">
        <v>46</v>
      </c>
      <c r="M5" t="s">
        <v>47</v>
      </c>
      <c r="N5" t="s">
        <v>1069</v>
      </c>
      <c r="O5" t="s">
        <v>51</v>
      </c>
      <c r="P5" t="s">
        <v>52</v>
      </c>
      <c r="Q5" s="133">
        <v>7000</v>
      </c>
      <c r="R5" s="135">
        <v>1</v>
      </c>
      <c r="S5" s="139">
        <v>749</v>
      </c>
      <c r="U5" s="133">
        <v>52.43</v>
      </c>
      <c r="V5" s="137">
        <v>3.0000000000000001E-6</v>
      </c>
      <c r="W5" s="137">
        <v>2.1815207434007101E-2</v>
      </c>
      <c r="X5" s="137">
        <v>1.7407991012146299E-3</v>
      </c>
    </row>
    <row r="6" spans="1:24">
      <c r="A6">
        <v>14076</v>
      </c>
      <c r="B6">
        <v>14077</v>
      </c>
      <c r="C6" t="s">
        <v>53</v>
      </c>
      <c r="D6" t="s">
        <v>54</v>
      </c>
      <c r="E6" t="s">
        <v>41</v>
      </c>
      <c r="F6" t="s">
        <v>2827</v>
      </c>
      <c r="G6" t="s">
        <v>57</v>
      </c>
      <c r="H6" t="s">
        <v>44</v>
      </c>
      <c r="I6" t="s">
        <v>1476</v>
      </c>
      <c r="J6" t="s">
        <v>45</v>
      </c>
      <c r="K6" t="s">
        <v>45</v>
      </c>
      <c r="L6" t="s">
        <v>46</v>
      </c>
      <c r="M6" t="s">
        <v>47</v>
      </c>
      <c r="N6" t="s">
        <v>58</v>
      </c>
      <c r="O6" t="s">
        <v>51</v>
      </c>
      <c r="P6" t="s">
        <v>52</v>
      </c>
      <c r="Q6" s="133">
        <v>75</v>
      </c>
      <c r="R6" s="135">
        <v>1</v>
      </c>
      <c r="S6" s="139">
        <v>71680</v>
      </c>
      <c r="U6" s="133">
        <v>53.76</v>
      </c>
      <c r="V6" s="137">
        <v>3.0000000000000001E-6</v>
      </c>
      <c r="W6" s="137">
        <v>2.2368597208701602E-2</v>
      </c>
      <c r="X6" s="137">
        <v>1.78495822394237E-3</v>
      </c>
    </row>
    <row r="7" spans="1:24">
      <c r="A7">
        <v>14076</v>
      </c>
      <c r="B7">
        <v>14077</v>
      </c>
      <c r="C7" t="s">
        <v>2828</v>
      </c>
      <c r="D7" t="s">
        <v>2829</v>
      </c>
      <c r="E7" t="s">
        <v>41</v>
      </c>
      <c r="F7" t="s">
        <v>2830</v>
      </c>
      <c r="G7" t="s">
        <v>2831</v>
      </c>
      <c r="H7" t="s">
        <v>44</v>
      </c>
      <c r="I7" t="s">
        <v>1476</v>
      </c>
      <c r="J7" t="s">
        <v>45</v>
      </c>
      <c r="K7" t="s">
        <v>45</v>
      </c>
      <c r="L7" t="s">
        <v>46</v>
      </c>
      <c r="M7" t="s">
        <v>47</v>
      </c>
      <c r="N7" t="s">
        <v>1063</v>
      </c>
      <c r="O7" t="s">
        <v>51</v>
      </c>
      <c r="P7" t="s">
        <v>52</v>
      </c>
      <c r="Q7" s="133">
        <v>300</v>
      </c>
      <c r="R7" s="135">
        <v>1</v>
      </c>
      <c r="S7" s="139">
        <v>13860</v>
      </c>
      <c r="U7" s="133">
        <v>41.58</v>
      </c>
      <c r="V7" s="137">
        <v>3.0000000000000001E-6</v>
      </c>
      <c r="W7" s="137">
        <v>1.73007119036051E-2</v>
      </c>
      <c r="X7" s="137">
        <v>1.3805536263304301E-3</v>
      </c>
    </row>
    <row r="8" spans="1:24">
      <c r="A8">
        <v>14076</v>
      </c>
      <c r="B8">
        <v>14077</v>
      </c>
      <c r="C8" t="s">
        <v>2030</v>
      </c>
      <c r="D8" t="s">
        <v>2031</v>
      </c>
      <c r="E8" t="s">
        <v>41</v>
      </c>
      <c r="F8" t="s">
        <v>2832</v>
      </c>
      <c r="G8" t="s">
        <v>2833</v>
      </c>
      <c r="H8" t="s">
        <v>44</v>
      </c>
      <c r="I8" t="s">
        <v>1476</v>
      </c>
      <c r="J8" t="s">
        <v>45</v>
      </c>
      <c r="K8" t="s">
        <v>45</v>
      </c>
      <c r="L8" t="s">
        <v>46</v>
      </c>
      <c r="M8" t="s">
        <v>47</v>
      </c>
      <c r="N8" t="s">
        <v>1037</v>
      </c>
      <c r="O8" t="s">
        <v>51</v>
      </c>
      <c r="P8" t="s">
        <v>52</v>
      </c>
      <c r="Q8" s="133">
        <v>550</v>
      </c>
      <c r="R8" s="135">
        <v>1</v>
      </c>
      <c r="S8" s="139">
        <v>16600</v>
      </c>
      <c r="U8" s="133">
        <v>91.3</v>
      </c>
      <c r="V8" s="137">
        <v>1.9999999999999999E-6</v>
      </c>
      <c r="W8" s="137">
        <v>3.7988335661355198E-2</v>
      </c>
      <c r="X8" s="137">
        <v>3.0313743646938002E-3</v>
      </c>
    </row>
    <row r="9" spans="1:24">
      <c r="A9">
        <v>14076</v>
      </c>
      <c r="B9">
        <v>14077</v>
      </c>
      <c r="C9" t="s">
        <v>2834</v>
      </c>
      <c r="D9" t="s">
        <v>2835</v>
      </c>
      <c r="E9" t="s">
        <v>41</v>
      </c>
      <c r="F9" t="s">
        <v>2836</v>
      </c>
      <c r="G9" t="s">
        <v>2837</v>
      </c>
      <c r="H9" t="s">
        <v>44</v>
      </c>
      <c r="I9" t="s">
        <v>1476</v>
      </c>
      <c r="J9" t="s">
        <v>45</v>
      </c>
      <c r="K9" t="s">
        <v>264</v>
      </c>
      <c r="L9" t="s">
        <v>46</v>
      </c>
      <c r="M9" t="s">
        <v>47</v>
      </c>
      <c r="N9" t="s">
        <v>1045</v>
      </c>
      <c r="O9" t="s">
        <v>51</v>
      </c>
      <c r="P9" t="s">
        <v>52</v>
      </c>
      <c r="Q9" s="133">
        <v>180</v>
      </c>
      <c r="R9" s="135">
        <v>1</v>
      </c>
      <c r="S9" s="139">
        <v>53870</v>
      </c>
      <c r="U9" s="133">
        <v>96.965999999999994</v>
      </c>
      <c r="V9" s="137">
        <v>1.9999999999999999E-6</v>
      </c>
      <c r="W9" s="137">
        <v>4.0345859318060999E-2</v>
      </c>
      <c r="X9" s="137">
        <v>3.2194988679835599E-3</v>
      </c>
    </row>
    <row r="10" spans="1:24">
      <c r="A10">
        <v>14076</v>
      </c>
      <c r="B10">
        <v>14077</v>
      </c>
      <c r="C10" t="s">
        <v>2838</v>
      </c>
      <c r="D10" t="s">
        <v>2839</v>
      </c>
      <c r="E10" t="s">
        <v>41</v>
      </c>
      <c r="F10" t="s">
        <v>2840</v>
      </c>
      <c r="G10" t="s">
        <v>2841</v>
      </c>
      <c r="H10" t="s">
        <v>44</v>
      </c>
      <c r="I10" t="s">
        <v>1476</v>
      </c>
      <c r="J10" t="s">
        <v>45</v>
      </c>
      <c r="K10" t="s">
        <v>69</v>
      </c>
      <c r="L10" t="s">
        <v>46</v>
      </c>
      <c r="M10" t="s">
        <v>47</v>
      </c>
      <c r="N10" t="s">
        <v>1052</v>
      </c>
      <c r="O10" t="s">
        <v>51</v>
      </c>
      <c r="P10" t="s">
        <v>52</v>
      </c>
      <c r="Q10" s="133">
        <v>1765</v>
      </c>
      <c r="R10" s="135">
        <v>1</v>
      </c>
      <c r="S10" s="139">
        <v>9239</v>
      </c>
      <c r="U10" s="133">
        <v>163.06800000000001</v>
      </c>
      <c r="V10" s="137">
        <v>9.9999999999999995E-7</v>
      </c>
      <c r="W10" s="137">
        <v>6.7849892831800096E-2</v>
      </c>
      <c r="X10" s="137">
        <v>5.4142520907219703E-3</v>
      </c>
    </row>
    <row r="11" spans="1:24">
      <c r="A11">
        <v>14076</v>
      </c>
      <c r="B11">
        <v>14077</v>
      </c>
      <c r="C11" t="s">
        <v>2628</v>
      </c>
      <c r="D11" t="s">
        <v>2629</v>
      </c>
      <c r="E11" t="s">
        <v>41</v>
      </c>
      <c r="F11" t="s">
        <v>2842</v>
      </c>
      <c r="G11" t="s">
        <v>2843</v>
      </c>
      <c r="H11" t="s">
        <v>44</v>
      </c>
      <c r="I11" t="s">
        <v>1476</v>
      </c>
      <c r="J11" t="s">
        <v>45</v>
      </c>
      <c r="K11" t="s">
        <v>45</v>
      </c>
      <c r="L11" t="s">
        <v>46</v>
      </c>
      <c r="M11" t="s">
        <v>47</v>
      </c>
      <c r="N11" t="s">
        <v>1038</v>
      </c>
      <c r="O11" t="s">
        <v>51</v>
      </c>
      <c r="P11" t="s">
        <v>52</v>
      </c>
      <c r="Q11" s="133">
        <v>1700</v>
      </c>
      <c r="R11" s="135">
        <v>1</v>
      </c>
      <c r="S11" s="139">
        <v>1751</v>
      </c>
      <c r="T11" s="133">
        <v>0.125</v>
      </c>
      <c r="U11" s="133">
        <v>29.891999999999999</v>
      </c>
      <c r="V11" s="137">
        <v>5.0000000000000004E-6</v>
      </c>
      <c r="W11" s="137">
        <v>1.24373686130516E-2</v>
      </c>
      <c r="X11" s="137">
        <v>9.9247097093031192E-4</v>
      </c>
    </row>
    <row r="12" spans="1:24">
      <c r="A12">
        <v>14076</v>
      </c>
      <c r="B12">
        <v>14077</v>
      </c>
      <c r="C12" t="s">
        <v>216</v>
      </c>
      <c r="D12" t="s">
        <v>217</v>
      </c>
      <c r="E12" t="s">
        <v>41</v>
      </c>
      <c r="F12" t="s">
        <v>2844</v>
      </c>
      <c r="G12" t="s">
        <v>2845</v>
      </c>
      <c r="H12" t="s">
        <v>44</v>
      </c>
      <c r="I12" t="s">
        <v>1476</v>
      </c>
      <c r="J12" t="s">
        <v>45</v>
      </c>
      <c r="K12" t="s">
        <v>45</v>
      </c>
      <c r="L12" t="s">
        <v>46</v>
      </c>
      <c r="M12" t="s">
        <v>47</v>
      </c>
      <c r="N12" t="s">
        <v>221</v>
      </c>
      <c r="O12" t="s">
        <v>51</v>
      </c>
      <c r="P12" t="s">
        <v>52</v>
      </c>
      <c r="Q12" s="133">
        <v>1300</v>
      </c>
      <c r="R12" s="135">
        <v>1</v>
      </c>
      <c r="S12" s="139">
        <v>6979</v>
      </c>
      <c r="U12" s="133">
        <v>90.727000000000004</v>
      </c>
      <c r="V12" s="137">
        <v>9.9999999999999995E-7</v>
      </c>
      <c r="W12" s="137">
        <v>3.7749920367445497E-2</v>
      </c>
      <c r="X12" s="137">
        <v>3.0123494193381598E-3</v>
      </c>
    </row>
    <row r="13" spans="1:24">
      <c r="A13">
        <v>14076</v>
      </c>
      <c r="B13">
        <v>14077</v>
      </c>
      <c r="C13" t="s">
        <v>2151</v>
      </c>
      <c r="D13" t="s">
        <v>2152</v>
      </c>
      <c r="E13" t="s">
        <v>41</v>
      </c>
      <c r="F13" t="s">
        <v>2846</v>
      </c>
      <c r="G13" t="s">
        <v>2847</v>
      </c>
      <c r="H13" t="s">
        <v>44</v>
      </c>
      <c r="I13" t="s">
        <v>1476</v>
      </c>
      <c r="J13" t="s">
        <v>45</v>
      </c>
      <c r="K13" t="s">
        <v>45</v>
      </c>
      <c r="L13" t="s">
        <v>46</v>
      </c>
      <c r="M13" t="s">
        <v>47</v>
      </c>
      <c r="N13" t="s">
        <v>58</v>
      </c>
      <c r="O13" t="s">
        <v>51</v>
      </c>
      <c r="P13" t="s">
        <v>52</v>
      </c>
      <c r="Q13" s="133">
        <v>120</v>
      </c>
      <c r="R13" s="135">
        <v>1</v>
      </c>
      <c r="S13" s="139">
        <v>50060</v>
      </c>
      <c r="U13" s="133">
        <v>60.072000000000003</v>
      </c>
      <c r="V13" s="137">
        <v>3.0000000000000001E-6</v>
      </c>
      <c r="W13" s="137">
        <v>2.4994910184544701E-2</v>
      </c>
      <c r="X13" s="137">
        <v>1.9945314439856099E-3</v>
      </c>
    </row>
    <row r="14" spans="1:24">
      <c r="A14">
        <v>14076</v>
      </c>
      <c r="B14">
        <v>14077</v>
      </c>
      <c r="C14" t="s">
        <v>2848</v>
      </c>
      <c r="D14" t="s">
        <v>2849</v>
      </c>
      <c r="E14" t="s">
        <v>41</v>
      </c>
      <c r="F14" t="s">
        <v>2850</v>
      </c>
      <c r="G14" t="s">
        <v>2851</v>
      </c>
      <c r="H14" t="s">
        <v>44</v>
      </c>
      <c r="I14" t="s">
        <v>1476</v>
      </c>
      <c r="J14" t="s">
        <v>45</v>
      </c>
      <c r="K14" t="s">
        <v>45</v>
      </c>
      <c r="L14" t="s">
        <v>46</v>
      </c>
      <c r="M14" t="s">
        <v>47</v>
      </c>
      <c r="N14" t="s">
        <v>1061</v>
      </c>
      <c r="O14" t="s">
        <v>51</v>
      </c>
      <c r="P14" t="s">
        <v>52</v>
      </c>
      <c r="Q14" s="133">
        <v>280</v>
      </c>
      <c r="R14" s="135">
        <v>1</v>
      </c>
      <c r="S14" s="139">
        <v>8714</v>
      </c>
      <c r="U14" s="133">
        <v>24.399000000000001</v>
      </c>
      <c r="V14" s="137">
        <v>3.0000000000000001E-6</v>
      </c>
      <c r="W14" s="137">
        <v>1.01520810456576E-2</v>
      </c>
      <c r="X14" s="137">
        <v>8.1011072726217903E-4</v>
      </c>
    </row>
    <row r="15" spans="1:24">
      <c r="A15">
        <v>14076</v>
      </c>
      <c r="B15">
        <v>14077</v>
      </c>
      <c r="C15" t="s">
        <v>2191</v>
      </c>
      <c r="D15" t="s">
        <v>2192</v>
      </c>
      <c r="E15" t="s">
        <v>41</v>
      </c>
      <c r="F15" t="s">
        <v>2852</v>
      </c>
      <c r="G15" t="s">
        <v>2853</v>
      </c>
      <c r="H15" t="s">
        <v>44</v>
      </c>
      <c r="I15" t="s">
        <v>1476</v>
      </c>
      <c r="J15" t="s">
        <v>45</v>
      </c>
      <c r="K15" t="s">
        <v>45</v>
      </c>
      <c r="L15" t="s">
        <v>46</v>
      </c>
      <c r="M15" t="s">
        <v>47</v>
      </c>
      <c r="N15" t="s">
        <v>58</v>
      </c>
      <c r="O15" t="s">
        <v>51</v>
      </c>
      <c r="P15" t="s">
        <v>52</v>
      </c>
      <c r="Q15" s="133">
        <v>252</v>
      </c>
      <c r="R15" s="135">
        <v>1</v>
      </c>
      <c r="S15" s="139">
        <v>40600</v>
      </c>
      <c r="T15" s="133">
        <v>0.47599999999999998</v>
      </c>
      <c r="U15" s="133">
        <v>102.788</v>
      </c>
      <c r="V15" s="137">
        <v>5.0000000000000004E-6</v>
      </c>
      <c r="W15" s="137">
        <v>4.2768104613453803E-2</v>
      </c>
      <c r="X15" s="137">
        <v>3.4127879964915898E-3</v>
      </c>
    </row>
    <row r="16" spans="1:24">
      <c r="A16">
        <v>14076</v>
      </c>
      <c r="B16">
        <v>14077</v>
      </c>
      <c r="C16" t="s">
        <v>2427</v>
      </c>
      <c r="D16" t="s">
        <v>2428</v>
      </c>
      <c r="E16" t="s">
        <v>41</v>
      </c>
      <c r="F16" t="s">
        <v>2854</v>
      </c>
      <c r="G16" t="s">
        <v>2855</v>
      </c>
      <c r="H16" t="s">
        <v>44</v>
      </c>
      <c r="I16" t="s">
        <v>1476</v>
      </c>
      <c r="J16" t="s">
        <v>45</v>
      </c>
      <c r="K16" t="s">
        <v>45</v>
      </c>
      <c r="L16" t="s">
        <v>46</v>
      </c>
      <c r="M16" t="s">
        <v>47</v>
      </c>
      <c r="N16" t="s">
        <v>1037</v>
      </c>
      <c r="O16" t="s">
        <v>51</v>
      </c>
      <c r="P16" t="s">
        <v>52</v>
      </c>
      <c r="Q16" s="133">
        <v>90</v>
      </c>
      <c r="R16" s="135">
        <v>1</v>
      </c>
      <c r="S16" s="139">
        <v>45370</v>
      </c>
      <c r="U16" s="133">
        <v>40.832999999999998</v>
      </c>
      <c r="V16" s="137">
        <v>9.9999999999999995E-7</v>
      </c>
      <c r="W16" s="137">
        <v>1.6989898248194E-2</v>
      </c>
      <c r="X16" s="137">
        <v>1.3557514724374801E-3</v>
      </c>
    </row>
    <row r="17" spans="1:24">
      <c r="A17">
        <v>14076</v>
      </c>
      <c r="B17">
        <v>14077</v>
      </c>
      <c r="C17" t="s">
        <v>2693</v>
      </c>
      <c r="D17" t="s">
        <v>2694</v>
      </c>
      <c r="E17" t="s">
        <v>146</v>
      </c>
      <c r="F17" t="s">
        <v>2856</v>
      </c>
      <c r="G17" t="s">
        <v>2857</v>
      </c>
      <c r="H17" t="s">
        <v>44</v>
      </c>
      <c r="I17" t="s">
        <v>1476</v>
      </c>
      <c r="J17" t="s">
        <v>45</v>
      </c>
      <c r="K17" t="s">
        <v>69</v>
      </c>
      <c r="L17" t="s">
        <v>46</v>
      </c>
      <c r="M17" t="s">
        <v>47</v>
      </c>
      <c r="N17" t="s">
        <v>210</v>
      </c>
      <c r="O17" t="s">
        <v>51</v>
      </c>
      <c r="P17" t="s">
        <v>52</v>
      </c>
      <c r="Q17" s="133">
        <v>900</v>
      </c>
      <c r="R17" s="135">
        <v>1</v>
      </c>
      <c r="S17" s="139">
        <v>12900</v>
      </c>
      <c r="U17" s="133">
        <v>116.1</v>
      </c>
      <c r="V17" s="137">
        <v>7.9999999999999996E-6</v>
      </c>
      <c r="W17" s="137">
        <v>4.8307182587988398E-2</v>
      </c>
      <c r="X17" s="137">
        <v>3.8547925930005498E-3</v>
      </c>
    </row>
    <row r="18" spans="1:24">
      <c r="A18">
        <v>14076</v>
      </c>
      <c r="B18">
        <v>14077</v>
      </c>
      <c r="C18" t="s">
        <v>2858</v>
      </c>
      <c r="D18" t="s">
        <v>2859</v>
      </c>
      <c r="E18" t="s">
        <v>146</v>
      </c>
      <c r="F18" t="s">
        <v>2860</v>
      </c>
      <c r="G18" t="s">
        <v>2861</v>
      </c>
      <c r="H18" t="s">
        <v>44</v>
      </c>
      <c r="I18" t="s">
        <v>1476</v>
      </c>
      <c r="J18" t="s">
        <v>45</v>
      </c>
      <c r="K18" t="s">
        <v>45</v>
      </c>
      <c r="L18" t="s">
        <v>46</v>
      </c>
      <c r="M18" t="s">
        <v>47</v>
      </c>
      <c r="N18" t="s">
        <v>210</v>
      </c>
      <c r="O18" t="s">
        <v>51</v>
      </c>
      <c r="P18" t="s">
        <v>52</v>
      </c>
      <c r="Q18" s="133">
        <v>3550</v>
      </c>
      <c r="R18" s="135">
        <v>1</v>
      </c>
      <c r="S18" s="139">
        <v>1799</v>
      </c>
      <c r="U18" s="133">
        <v>63.863999999999997</v>
      </c>
      <c r="V18" s="137">
        <v>3.0000000000000001E-6</v>
      </c>
      <c r="W18" s="137">
        <v>2.65729032074986E-2</v>
      </c>
      <c r="X18" s="137">
        <v>2.1204513484554999E-3</v>
      </c>
    </row>
    <row r="19" spans="1:24">
      <c r="A19">
        <v>14076</v>
      </c>
      <c r="B19">
        <v>14077</v>
      </c>
      <c r="C19" t="s">
        <v>2862</v>
      </c>
      <c r="D19" t="s">
        <v>2863</v>
      </c>
      <c r="E19" t="s">
        <v>41</v>
      </c>
      <c r="F19" t="s">
        <v>2862</v>
      </c>
      <c r="G19" t="s">
        <v>2864</v>
      </c>
      <c r="H19" t="s">
        <v>44</v>
      </c>
      <c r="I19" t="s">
        <v>1476</v>
      </c>
      <c r="J19" t="s">
        <v>45</v>
      </c>
      <c r="K19" t="s">
        <v>45</v>
      </c>
      <c r="L19" t="s">
        <v>46</v>
      </c>
      <c r="M19" t="s">
        <v>47</v>
      </c>
      <c r="N19" t="s">
        <v>1033</v>
      </c>
      <c r="O19" t="s">
        <v>51</v>
      </c>
      <c r="P19" t="s">
        <v>52</v>
      </c>
      <c r="Q19" s="133">
        <v>450</v>
      </c>
      <c r="R19" s="135">
        <v>1</v>
      </c>
      <c r="S19" s="139">
        <v>30500</v>
      </c>
      <c r="U19" s="133">
        <v>137.25</v>
      </c>
      <c r="V19" s="137">
        <v>5.0000000000000004E-6</v>
      </c>
      <c r="W19" s="137">
        <v>5.7107328253242003E-2</v>
      </c>
      <c r="X19" s="137">
        <v>4.5570222514153798E-3</v>
      </c>
    </row>
    <row r="20" spans="1:24">
      <c r="A20">
        <v>14076</v>
      </c>
      <c r="B20">
        <v>14077</v>
      </c>
      <c r="C20" t="s">
        <v>2226</v>
      </c>
      <c r="D20" t="s">
        <v>2227</v>
      </c>
      <c r="E20" t="s">
        <v>41</v>
      </c>
      <c r="F20" t="s">
        <v>2865</v>
      </c>
      <c r="G20" t="s">
        <v>2866</v>
      </c>
      <c r="H20" t="s">
        <v>44</v>
      </c>
      <c r="I20" t="s">
        <v>1476</v>
      </c>
      <c r="J20" t="s">
        <v>45</v>
      </c>
      <c r="K20" t="s">
        <v>45</v>
      </c>
      <c r="L20" t="s">
        <v>46</v>
      </c>
      <c r="M20" t="s">
        <v>47</v>
      </c>
      <c r="N20" t="s">
        <v>58</v>
      </c>
      <c r="O20" t="s">
        <v>51</v>
      </c>
      <c r="P20" t="s">
        <v>52</v>
      </c>
      <c r="Q20" s="133">
        <v>210</v>
      </c>
      <c r="R20" s="135">
        <v>1</v>
      </c>
      <c r="S20" s="139">
        <v>41870</v>
      </c>
      <c r="U20" s="133">
        <v>87.927000000000007</v>
      </c>
      <c r="V20" s="137">
        <v>1.9999999999999999E-6</v>
      </c>
      <c r="W20" s="137">
        <v>3.6584889262825597E-2</v>
      </c>
      <c r="X20" s="137">
        <v>2.9193828451745001E-3</v>
      </c>
    </row>
    <row r="21" spans="1:24">
      <c r="A21">
        <v>14076</v>
      </c>
      <c r="B21">
        <v>14077</v>
      </c>
      <c r="C21" t="s">
        <v>2236</v>
      </c>
      <c r="D21" t="s">
        <v>2237</v>
      </c>
      <c r="E21" t="s">
        <v>41</v>
      </c>
      <c r="F21" t="s">
        <v>2867</v>
      </c>
      <c r="G21" t="s">
        <v>2868</v>
      </c>
      <c r="H21" t="s">
        <v>44</v>
      </c>
      <c r="I21" t="s">
        <v>1476</v>
      </c>
      <c r="J21" t="s">
        <v>45</v>
      </c>
      <c r="K21" t="s">
        <v>45</v>
      </c>
      <c r="L21" t="s">
        <v>46</v>
      </c>
      <c r="M21" t="s">
        <v>47</v>
      </c>
      <c r="N21" t="s">
        <v>221</v>
      </c>
      <c r="O21" t="s">
        <v>51</v>
      </c>
      <c r="P21" t="s">
        <v>52</v>
      </c>
      <c r="Q21" s="133">
        <v>1100</v>
      </c>
      <c r="R21" s="135">
        <v>1</v>
      </c>
      <c r="S21" s="139">
        <v>7332</v>
      </c>
      <c r="U21" s="133">
        <v>80.652000000000001</v>
      </c>
      <c r="V21" s="137">
        <v>9.9999999999999995E-7</v>
      </c>
      <c r="W21" s="137">
        <v>3.3557888803500698E-2</v>
      </c>
      <c r="X21" s="137">
        <v>2.6778357640885502E-3</v>
      </c>
    </row>
    <row r="22" spans="1:24">
      <c r="A22">
        <v>14076</v>
      </c>
      <c r="B22">
        <v>14077</v>
      </c>
      <c r="C22" t="s">
        <v>2869</v>
      </c>
      <c r="D22" t="s">
        <v>2870</v>
      </c>
      <c r="E22" t="s">
        <v>41</v>
      </c>
      <c r="F22" t="s">
        <v>2871</v>
      </c>
      <c r="G22" t="s">
        <v>2872</v>
      </c>
      <c r="H22" t="s">
        <v>44</v>
      </c>
      <c r="I22" t="s">
        <v>1476</v>
      </c>
      <c r="J22" t="s">
        <v>45</v>
      </c>
      <c r="K22" t="s">
        <v>45</v>
      </c>
      <c r="L22" t="s">
        <v>46</v>
      </c>
      <c r="M22" t="s">
        <v>47</v>
      </c>
      <c r="N22" t="s">
        <v>1032</v>
      </c>
      <c r="O22" t="s">
        <v>51</v>
      </c>
      <c r="P22" t="s">
        <v>52</v>
      </c>
      <c r="Q22" s="133">
        <v>160</v>
      </c>
      <c r="R22" s="135">
        <v>1</v>
      </c>
      <c r="S22" s="139">
        <v>26010</v>
      </c>
      <c r="U22" s="133">
        <v>41.616</v>
      </c>
      <c r="V22" s="137">
        <v>1.7E-5</v>
      </c>
      <c r="W22" s="137">
        <v>1.7315690874950201E-2</v>
      </c>
      <c r="X22" s="137">
        <v>1.3817489108553899E-3</v>
      </c>
    </row>
    <row r="23" spans="1:24">
      <c r="A23">
        <v>14076</v>
      </c>
      <c r="B23">
        <v>14077</v>
      </c>
      <c r="C23" t="s">
        <v>2873</v>
      </c>
      <c r="D23" t="s">
        <v>2874</v>
      </c>
      <c r="E23" t="s">
        <v>41</v>
      </c>
      <c r="F23" t="s">
        <v>2875</v>
      </c>
      <c r="G23" t="s">
        <v>2876</v>
      </c>
      <c r="H23" t="s">
        <v>44</v>
      </c>
      <c r="I23" t="s">
        <v>1476</v>
      </c>
      <c r="J23" t="s">
        <v>45</v>
      </c>
      <c r="K23" t="s">
        <v>45</v>
      </c>
      <c r="L23" t="s">
        <v>46</v>
      </c>
      <c r="M23" t="s">
        <v>47</v>
      </c>
      <c r="N23" t="s">
        <v>1069</v>
      </c>
      <c r="O23" t="s">
        <v>51</v>
      </c>
      <c r="P23" t="s">
        <v>52</v>
      </c>
      <c r="Q23" s="133">
        <v>1820</v>
      </c>
      <c r="R23" s="135">
        <v>1</v>
      </c>
      <c r="S23" s="139">
        <v>3509</v>
      </c>
      <c r="U23" s="133">
        <v>63.863999999999997</v>
      </c>
      <c r="V23" s="137">
        <v>9.0000000000000002E-6</v>
      </c>
      <c r="W23" s="137">
        <v>2.6572611949722401E-2</v>
      </c>
      <c r="X23" s="137">
        <v>2.12042810681196E-3</v>
      </c>
    </row>
    <row r="24" spans="1:24">
      <c r="A24">
        <v>14076</v>
      </c>
      <c r="B24">
        <v>14077</v>
      </c>
      <c r="C24" t="s">
        <v>2877</v>
      </c>
      <c r="D24" t="s">
        <v>2878</v>
      </c>
      <c r="E24" t="s">
        <v>41</v>
      </c>
      <c r="F24" t="s">
        <v>2879</v>
      </c>
      <c r="G24" t="s">
        <v>2880</v>
      </c>
      <c r="H24" t="s">
        <v>44</v>
      </c>
      <c r="I24" t="s">
        <v>1476</v>
      </c>
      <c r="J24" t="s">
        <v>45</v>
      </c>
      <c r="K24" t="s">
        <v>45</v>
      </c>
      <c r="L24" t="s">
        <v>46</v>
      </c>
      <c r="M24" t="s">
        <v>47</v>
      </c>
      <c r="N24" t="s">
        <v>1049</v>
      </c>
      <c r="O24" t="s">
        <v>51</v>
      </c>
      <c r="P24" t="s">
        <v>52</v>
      </c>
      <c r="Q24" s="133">
        <v>6000</v>
      </c>
      <c r="R24" s="135">
        <v>1</v>
      </c>
      <c r="S24" s="139">
        <v>805.7</v>
      </c>
      <c r="T24" s="133">
        <v>1.04</v>
      </c>
      <c r="U24" s="133">
        <v>49.381999999999998</v>
      </c>
      <c r="V24" s="137">
        <v>2.0999999999999999E-5</v>
      </c>
      <c r="W24" s="137">
        <v>2.0546958734343299E-2</v>
      </c>
      <c r="X24" s="137">
        <v>1.63959602060354E-3</v>
      </c>
    </row>
    <row r="25" spans="1:24">
      <c r="A25">
        <v>14076</v>
      </c>
      <c r="B25">
        <v>14077</v>
      </c>
      <c r="C25" t="s">
        <v>2881</v>
      </c>
      <c r="D25" t="s">
        <v>2882</v>
      </c>
      <c r="E25" t="s">
        <v>64</v>
      </c>
      <c r="F25" t="s">
        <v>2883</v>
      </c>
      <c r="G25" t="s">
        <v>2884</v>
      </c>
      <c r="H25" t="s">
        <v>44</v>
      </c>
      <c r="I25" t="s">
        <v>1476</v>
      </c>
      <c r="J25" t="s">
        <v>68</v>
      </c>
      <c r="K25" t="s">
        <v>69</v>
      </c>
      <c r="L25" t="s">
        <v>46</v>
      </c>
      <c r="M25" t="s">
        <v>949</v>
      </c>
      <c r="N25" t="s">
        <v>1130</v>
      </c>
      <c r="O25" t="s">
        <v>51</v>
      </c>
      <c r="P25" t="s">
        <v>72</v>
      </c>
      <c r="Q25" s="133">
        <v>60</v>
      </c>
      <c r="R25" s="135">
        <v>3.165</v>
      </c>
      <c r="S25" s="139">
        <v>28686</v>
      </c>
      <c r="U25" s="133">
        <v>54.475000000000001</v>
      </c>
      <c r="V25" s="137">
        <v>0</v>
      </c>
      <c r="W25" s="137">
        <v>2.26659772233113E-2</v>
      </c>
      <c r="X25" s="137">
        <v>1.8086884068305199E-3</v>
      </c>
    </row>
    <row r="26" spans="1:24">
      <c r="A26">
        <v>14076</v>
      </c>
      <c r="B26">
        <v>14077</v>
      </c>
      <c r="C26" t="s">
        <v>2885</v>
      </c>
      <c r="D26" t="s">
        <v>2886</v>
      </c>
      <c r="E26" t="s">
        <v>64</v>
      </c>
      <c r="F26" t="s">
        <v>2887</v>
      </c>
      <c r="G26" t="s">
        <v>2888</v>
      </c>
      <c r="H26" t="s">
        <v>44</v>
      </c>
      <c r="I26" t="s">
        <v>1476</v>
      </c>
      <c r="J26" t="s">
        <v>68</v>
      </c>
      <c r="K26" t="s">
        <v>69</v>
      </c>
      <c r="L26" t="s">
        <v>46</v>
      </c>
      <c r="M26" t="s">
        <v>949</v>
      </c>
      <c r="N26" t="s">
        <v>1102</v>
      </c>
      <c r="O26" t="s">
        <v>51</v>
      </c>
      <c r="P26" t="s">
        <v>72</v>
      </c>
      <c r="Q26" s="133">
        <v>70</v>
      </c>
      <c r="R26" s="135">
        <v>3.165</v>
      </c>
      <c r="S26" s="139">
        <v>20827</v>
      </c>
      <c r="U26" s="133">
        <v>46.142000000000003</v>
      </c>
      <c r="V26" s="137">
        <v>0</v>
      </c>
      <c r="W26" s="137">
        <v>1.9198971353095201E-2</v>
      </c>
      <c r="X26" s="137">
        <v>1.53202999223439E-3</v>
      </c>
    </row>
    <row r="27" spans="1:24">
      <c r="A27">
        <v>14076</v>
      </c>
      <c r="B27">
        <v>14077</v>
      </c>
      <c r="C27" t="s">
        <v>2889</v>
      </c>
      <c r="D27" t="s">
        <v>2890</v>
      </c>
      <c r="E27" t="s">
        <v>64</v>
      </c>
      <c r="F27" t="s">
        <v>2891</v>
      </c>
      <c r="G27" t="s">
        <v>2892</v>
      </c>
      <c r="H27" t="s">
        <v>44</v>
      </c>
      <c r="I27" t="s">
        <v>1476</v>
      </c>
      <c r="J27" t="s">
        <v>68</v>
      </c>
      <c r="K27" t="s">
        <v>69</v>
      </c>
      <c r="L27" t="s">
        <v>46</v>
      </c>
      <c r="M27" t="s">
        <v>949</v>
      </c>
      <c r="N27" t="s">
        <v>1129</v>
      </c>
      <c r="O27" t="s">
        <v>51</v>
      </c>
      <c r="P27" t="s">
        <v>72</v>
      </c>
      <c r="Q27" s="133">
        <v>15</v>
      </c>
      <c r="R27" s="135">
        <v>3.165</v>
      </c>
      <c r="S27" s="139">
        <v>132083</v>
      </c>
      <c r="U27" s="133">
        <v>62.706000000000003</v>
      </c>
      <c r="V27" s="137">
        <v>0</v>
      </c>
      <c r="W27" s="137">
        <v>2.6091039789327801E-2</v>
      </c>
      <c r="X27" s="137">
        <v>2.0819998504444299E-3</v>
      </c>
    </row>
    <row r="28" spans="1:24">
      <c r="A28">
        <v>14076</v>
      </c>
      <c r="B28">
        <v>14077</v>
      </c>
      <c r="C28" t="s">
        <v>2893</v>
      </c>
      <c r="D28" t="s">
        <v>2894</v>
      </c>
      <c r="E28" t="s">
        <v>41</v>
      </c>
      <c r="F28" t="s">
        <v>2895</v>
      </c>
      <c r="G28" t="s">
        <v>2896</v>
      </c>
      <c r="H28" t="s">
        <v>44</v>
      </c>
      <c r="I28" t="s">
        <v>1476</v>
      </c>
      <c r="J28" t="s">
        <v>68</v>
      </c>
      <c r="K28" t="s">
        <v>264</v>
      </c>
      <c r="L28" t="s">
        <v>46</v>
      </c>
      <c r="M28" t="s">
        <v>949</v>
      </c>
      <c r="N28" t="s">
        <v>1129</v>
      </c>
      <c r="O28" t="s">
        <v>51</v>
      </c>
      <c r="P28" t="s">
        <v>72</v>
      </c>
      <c r="Q28" s="133">
        <v>140</v>
      </c>
      <c r="R28" s="135">
        <v>3.165</v>
      </c>
      <c r="S28" s="139">
        <v>15161</v>
      </c>
      <c r="U28" s="133">
        <v>67.177999999999997</v>
      </c>
      <c r="V28" s="137">
        <v>3.0000000000000001E-6</v>
      </c>
      <c r="W28" s="137">
        <v>2.7951755383327101E-2</v>
      </c>
      <c r="X28" s="137">
        <v>2.2304803103918602E-3</v>
      </c>
    </row>
    <row r="29" spans="1:24">
      <c r="A29">
        <v>14076</v>
      </c>
      <c r="B29">
        <v>14077</v>
      </c>
      <c r="C29" t="s">
        <v>2897</v>
      </c>
      <c r="D29" t="s">
        <v>2898</v>
      </c>
      <c r="E29" t="s">
        <v>64</v>
      </c>
      <c r="F29" t="s">
        <v>2899</v>
      </c>
      <c r="G29" t="s">
        <v>2900</v>
      </c>
      <c r="H29" t="s">
        <v>44</v>
      </c>
      <c r="I29" t="s">
        <v>1476</v>
      </c>
      <c r="J29" t="s">
        <v>68</v>
      </c>
      <c r="K29" t="s">
        <v>45</v>
      </c>
      <c r="L29" t="s">
        <v>46</v>
      </c>
      <c r="M29" t="s">
        <v>949</v>
      </c>
      <c r="N29" t="s">
        <v>1126</v>
      </c>
      <c r="O29" t="s">
        <v>51</v>
      </c>
      <c r="P29" t="s">
        <v>72</v>
      </c>
      <c r="Q29" s="133">
        <v>75</v>
      </c>
      <c r="R29" s="135">
        <v>3.165</v>
      </c>
      <c r="S29" s="139">
        <v>14285</v>
      </c>
      <c r="U29" s="133">
        <v>33.908999999999999</v>
      </c>
      <c r="V29" s="137">
        <v>9.9999999999999995E-7</v>
      </c>
      <c r="W29" s="137">
        <v>1.41089505610316E-2</v>
      </c>
      <c r="X29" s="137">
        <v>1.12585903801392E-3</v>
      </c>
    </row>
    <row r="30" spans="1:24">
      <c r="A30">
        <v>14076</v>
      </c>
      <c r="B30">
        <v>14077</v>
      </c>
      <c r="C30" t="s">
        <v>2901</v>
      </c>
      <c r="D30" t="s">
        <v>2902</v>
      </c>
      <c r="E30" t="s">
        <v>64</v>
      </c>
      <c r="F30" t="s">
        <v>2903</v>
      </c>
      <c r="G30" t="s">
        <v>2904</v>
      </c>
      <c r="H30" t="s">
        <v>44</v>
      </c>
      <c r="I30" t="s">
        <v>1476</v>
      </c>
      <c r="J30" t="s">
        <v>68</v>
      </c>
      <c r="K30" t="s">
        <v>69</v>
      </c>
      <c r="L30" t="s">
        <v>46</v>
      </c>
      <c r="M30" t="s">
        <v>949</v>
      </c>
      <c r="N30" t="s">
        <v>1126</v>
      </c>
      <c r="O30" t="s">
        <v>51</v>
      </c>
      <c r="P30" t="s">
        <v>72</v>
      </c>
      <c r="Q30" s="133">
        <v>95</v>
      </c>
      <c r="R30" s="135">
        <v>3.165</v>
      </c>
      <c r="S30" s="139">
        <v>37017</v>
      </c>
      <c r="U30" s="133">
        <v>111.301</v>
      </c>
      <c r="V30" s="137">
        <v>0</v>
      </c>
      <c r="W30" s="137">
        <v>4.6310346216014202E-2</v>
      </c>
      <c r="X30" s="137">
        <v>3.6954500347360498E-3</v>
      </c>
    </row>
    <row r="31" spans="1:24">
      <c r="A31">
        <v>14076</v>
      </c>
      <c r="B31">
        <v>14077</v>
      </c>
      <c r="C31" t="s">
        <v>2905</v>
      </c>
      <c r="D31" t="s">
        <v>2906</v>
      </c>
      <c r="E31" t="s">
        <v>41</v>
      </c>
      <c r="F31" t="s">
        <v>2907</v>
      </c>
      <c r="G31" t="s">
        <v>2908</v>
      </c>
      <c r="H31" t="s">
        <v>44</v>
      </c>
      <c r="I31" t="s">
        <v>1476</v>
      </c>
      <c r="J31" t="s">
        <v>68</v>
      </c>
      <c r="K31" t="s">
        <v>264</v>
      </c>
      <c r="L31" t="s">
        <v>46</v>
      </c>
      <c r="M31" t="s">
        <v>949</v>
      </c>
      <c r="N31" t="s">
        <v>1129</v>
      </c>
      <c r="O31" t="s">
        <v>51</v>
      </c>
      <c r="P31" t="s">
        <v>72</v>
      </c>
      <c r="Q31" s="133">
        <v>50</v>
      </c>
      <c r="R31" s="135">
        <v>3.165</v>
      </c>
      <c r="S31" s="139">
        <v>43428</v>
      </c>
      <c r="U31" s="133">
        <v>68.724999999999994</v>
      </c>
      <c r="V31" s="137">
        <v>1.9999999999999999E-6</v>
      </c>
      <c r="W31" s="137">
        <v>2.8595193324675298E-2</v>
      </c>
      <c r="X31" s="137">
        <v>2.2818250520531399E-3</v>
      </c>
    </row>
    <row r="32" spans="1:24">
      <c r="A32">
        <v>14076</v>
      </c>
      <c r="B32">
        <v>14077</v>
      </c>
      <c r="C32" t="s">
        <v>2909</v>
      </c>
      <c r="D32" t="s">
        <v>2910</v>
      </c>
      <c r="E32" t="s">
        <v>64</v>
      </c>
      <c r="F32" t="s">
        <v>2911</v>
      </c>
      <c r="G32" t="s">
        <v>2912</v>
      </c>
      <c r="H32" t="s">
        <v>44</v>
      </c>
      <c r="I32" t="s">
        <v>1476</v>
      </c>
      <c r="J32" t="s">
        <v>68</v>
      </c>
      <c r="K32" t="s">
        <v>69</v>
      </c>
      <c r="L32" t="s">
        <v>46</v>
      </c>
      <c r="M32" t="s">
        <v>949</v>
      </c>
      <c r="N32" t="s">
        <v>1129</v>
      </c>
      <c r="O32" t="s">
        <v>51</v>
      </c>
      <c r="P32" t="s">
        <v>72</v>
      </c>
      <c r="Q32" s="133">
        <v>90</v>
      </c>
      <c r="R32" s="135">
        <v>3.165</v>
      </c>
      <c r="S32" s="139">
        <v>17440</v>
      </c>
      <c r="T32" s="133">
        <v>1E-3</v>
      </c>
      <c r="U32" s="133">
        <v>49.680999999999997</v>
      </c>
      <c r="V32" s="137">
        <v>0</v>
      </c>
      <c r="W32" s="137">
        <v>2.0671266929082499E-2</v>
      </c>
      <c r="X32" s="137">
        <v>1.64951550426329E-3</v>
      </c>
    </row>
    <row r="33" spans="1:24">
      <c r="A33">
        <v>14076</v>
      </c>
      <c r="B33">
        <v>14077</v>
      </c>
      <c r="C33" t="s">
        <v>2913</v>
      </c>
      <c r="D33" t="s">
        <v>2914</v>
      </c>
      <c r="E33" t="s">
        <v>64</v>
      </c>
      <c r="F33" t="s">
        <v>2915</v>
      </c>
      <c r="G33" t="s">
        <v>2916</v>
      </c>
      <c r="H33" t="s">
        <v>44</v>
      </c>
      <c r="I33" t="s">
        <v>1476</v>
      </c>
      <c r="J33" t="s">
        <v>68</v>
      </c>
      <c r="K33" t="s">
        <v>861</v>
      </c>
      <c r="L33" t="s">
        <v>46</v>
      </c>
      <c r="M33" t="s">
        <v>969</v>
      </c>
      <c r="N33" t="s">
        <v>1080</v>
      </c>
      <c r="O33" t="s">
        <v>51</v>
      </c>
      <c r="P33" t="s">
        <v>395</v>
      </c>
      <c r="Q33" s="133">
        <v>8</v>
      </c>
      <c r="R33" s="135">
        <v>3.6360000000000001</v>
      </c>
      <c r="S33" s="139">
        <v>144450</v>
      </c>
      <c r="U33" s="133">
        <v>42.018000000000001</v>
      </c>
      <c r="V33" s="137">
        <v>0</v>
      </c>
      <c r="W33" s="137">
        <v>1.7482796279276298E-2</v>
      </c>
      <c r="X33" s="137">
        <v>1.3950835050158599E-3</v>
      </c>
    </row>
    <row r="34" spans="1:24">
      <c r="A34">
        <v>14076</v>
      </c>
      <c r="B34">
        <v>14077</v>
      </c>
      <c r="C34" t="s">
        <v>2917</v>
      </c>
      <c r="D34" t="s">
        <v>2918</v>
      </c>
      <c r="E34" t="s">
        <v>64</v>
      </c>
      <c r="F34" t="s">
        <v>2917</v>
      </c>
      <c r="G34" t="s">
        <v>2919</v>
      </c>
      <c r="H34" t="s">
        <v>44</v>
      </c>
      <c r="I34" t="s">
        <v>1476</v>
      </c>
      <c r="J34" t="s">
        <v>68</v>
      </c>
      <c r="K34" t="s">
        <v>69</v>
      </c>
      <c r="L34" t="s">
        <v>46</v>
      </c>
      <c r="M34" t="s">
        <v>949</v>
      </c>
      <c r="N34" t="s">
        <v>1095</v>
      </c>
      <c r="O34" t="s">
        <v>51</v>
      </c>
      <c r="P34" t="s">
        <v>72</v>
      </c>
      <c r="Q34" s="133">
        <v>30</v>
      </c>
      <c r="R34" s="135">
        <v>3.165</v>
      </c>
      <c r="S34" s="139">
        <v>37175</v>
      </c>
      <c r="U34" s="133">
        <v>35.298000000000002</v>
      </c>
      <c r="V34" s="137">
        <v>0</v>
      </c>
      <c r="W34" s="137">
        <v>1.46867409760266E-2</v>
      </c>
      <c r="X34" s="137">
        <v>1.17196527093224E-3</v>
      </c>
    </row>
    <row r="35" spans="1:24">
      <c r="A35">
        <v>14076</v>
      </c>
      <c r="B35">
        <v>14079</v>
      </c>
      <c r="C35" t="s">
        <v>2817</v>
      </c>
      <c r="D35" t="s">
        <v>2818</v>
      </c>
      <c r="E35" t="s">
        <v>41</v>
      </c>
      <c r="F35" t="s">
        <v>2819</v>
      </c>
      <c r="G35" t="s">
        <v>2820</v>
      </c>
      <c r="H35" t="s">
        <v>44</v>
      </c>
      <c r="I35" t="s">
        <v>1476</v>
      </c>
      <c r="J35" t="s">
        <v>45</v>
      </c>
      <c r="K35" t="s">
        <v>45</v>
      </c>
      <c r="L35" t="s">
        <v>46</v>
      </c>
      <c r="M35" t="s">
        <v>47</v>
      </c>
      <c r="N35" t="s">
        <v>189</v>
      </c>
      <c r="O35" t="s">
        <v>51</v>
      </c>
      <c r="P35" t="s">
        <v>52</v>
      </c>
      <c r="Q35" s="133">
        <v>49</v>
      </c>
      <c r="R35" s="135">
        <v>1</v>
      </c>
      <c r="S35" s="139">
        <v>263700</v>
      </c>
      <c r="U35" s="133">
        <v>129.21299999999999</v>
      </c>
      <c r="V35" s="137">
        <v>9.9999999999999995E-7</v>
      </c>
      <c r="W35" s="137">
        <v>4.87210249262982E-2</v>
      </c>
      <c r="X35" s="137">
        <v>9.1038267393715698E-3</v>
      </c>
    </row>
    <row r="36" spans="1:24">
      <c r="A36">
        <v>14076</v>
      </c>
      <c r="B36">
        <v>14079</v>
      </c>
      <c r="C36" t="s">
        <v>1932</v>
      </c>
      <c r="D36" t="s">
        <v>1933</v>
      </c>
      <c r="E36" t="s">
        <v>41</v>
      </c>
      <c r="F36" t="s">
        <v>2821</v>
      </c>
      <c r="G36" t="s">
        <v>2822</v>
      </c>
      <c r="H36" t="s">
        <v>44</v>
      </c>
      <c r="I36" t="s">
        <v>1476</v>
      </c>
      <c r="J36" t="s">
        <v>45</v>
      </c>
      <c r="K36" t="s">
        <v>45</v>
      </c>
      <c r="L36" t="s">
        <v>46</v>
      </c>
      <c r="M36" t="s">
        <v>47</v>
      </c>
      <c r="N36" t="s">
        <v>58</v>
      </c>
      <c r="O36" t="s">
        <v>51</v>
      </c>
      <c r="P36" t="s">
        <v>52</v>
      </c>
      <c r="Q36" s="133">
        <v>1000</v>
      </c>
      <c r="R36" s="135">
        <v>1</v>
      </c>
      <c r="S36" s="139">
        <v>3375</v>
      </c>
      <c r="T36" s="133">
        <v>0.25</v>
      </c>
      <c r="U36" s="133">
        <v>34</v>
      </c>
      <c r="V36" s="137">
        <v>3.9999999999999998E-6</v>
      </c>
      <c r="W36" s="137">
        <v>1.2820032407684499E-2</v>
      </c>
      <c r="X36" s="137">
        <v>2.3955028452139798E-3</v>
      </c>
    </row>
    <row r="37" spans="1:24">
      <c r="A37">
        <v>14076</v>
      </c>
      <c r="B37">
        <v>14079</v>
      </c>
      <c r="C37" t="s">
        <v>1948</v>
      </c>
      <c r="D37" t="s">
        <v>1949</v>
      </c>
      <c r="E37" t="s">
        <v>41</v>
      </c>
      <c r="F37" t="s">
        <v>2920</v>
      </c>
      <c r="G37" t="s">
        <v>2921</v>
      </c>
      <c r="H37" t="s">
        <v>44</v>
      </c>
      <c r="I37" t="s">
        <v>1476</v>
      </c>
      <c r="J37" t="s">
        <v>45</v>
      </c>
      <c r="K37" t="s">
        <v>45</v>
      </c>
      <c r="L37" t="s">
        <v>46</v>
      </c>
      <c r="M37" t="s">
        <v>47</v>
      </c>
      <c r="N37" t="s">
        <v>58</v>
      </c>
      <c r="O37" t="s">
        <v>51</v>
      </c>
      <c r="P37" t="s">
        <v>52</v>
      </c>
      <c r="Q37" s="133">
        <v>1100</v>
      </c>
      <c r="R37" s="135">
        <v>1</v>
      </c>
      <c r="S37" s="139">
        <v>1923</v>
      </c>
      <c r="U37" s="133">
        <v>21.152999999999999</v>
      </c>
      <c r="V37" s="137">
        <v>1.9999999999999999E-6</v>
      </c>
      <c r="W37" s="137">
        <v>7.9759454564632508E-3</v>
      </c>
      <c r="X37" s="137">
        <v>1.49035504955327E-3</v>
      </c>
    </row>
    <row r="38" spans="1:24">
      <c r="A38">
        <v>14076</v>
      </c>
      <c r="B38">
        <v>14079</v>
      </c>
      <c r="C38" t="s">
        <v>1961</v>
      </c>
      <c r="D38" t="s">
        <v>1962</v>
      </c>
      <c r="E38" t="s">
        <v>41</v>
      </c>
      <c r="F38" t="s">
        <v>2823</v>
      </c>
      <c r="G38" t="s">
        <v>2824</v>
      </c>
      <c r="H38" t="s">
        <v>44</v>
      </c>
      <c r="I38" t="s">
        <v>1476</v>
      </c>
      <c r="J38" t="s">
        <v>45</v>
      </c>
      <c r="K38" t="s">
        <v>69</v>
      </c>
      <c r="L38" t="s">
        <v>46</v>
      </c>
      <c r="M38" t="s">
        <v>47</v>
      </c>
      <c r="N38" t="s">
        <v>49</v>
      </c>
      <c r="O38" t="s">
        <v>51</v>
      </c>
      <c r="P38" t="s">
        <v>52</v>
      </c>
      <c r="Q38" s="133">
        <v>580</v>
      </c>
      <c r="R38" s="135">
        <v>1</v>
      </c>
      <c r="S38" s="139">
        <v>20930</v>
      </c>
      <c r="U38" s="133">
        <v>121.39400000000001</v>
      </c>
      <c r="V38" s="137">
        <v>3.9999999999999998E-6</v>
      </c>
      <c r="W38" s="137">
        <v>4.5772794532307502E-2</v>
      </c>
      <c r="X38" s="137">
        <v>8.5529315409383893E-3</v>
      </c>
    </row>
    <row r="39" spans="1:24">
      <c r="A39">
        <v>14076</v>
      </c>
      <c r="B39">
        <v>14079</v>
      </c>
      <c r="C39" t="s">
        <v>2322</v>
      </c>
      <c r="D39" t="s">
        <v>2323</v>
      </c>
      <c r="E39" t="s">
        <v>41</v>
      </c>
      <c r="F39" t="s">
        <v>2922</v>
      </c>
      <c r="G39" t="s">
        <v>2923</v>
      </c>
      <c r="H39" t="s">
        <v>44</v>
      </c>
      <c r="I39" t="s">
        <v>1476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52</v>
      </c>
      <c r="Q39" s="133">
        <v>1590</v>
      </c>
      <c r="R39" s="135">
        <v>1</v>
      </c>
      <c r="S39" s="139">
        <v>1890</v>
      </c>
      <c r="U39" s="133">
        <v>30.050999999999998</v>
      </c>
      <c r="V39" s="137">
        <v>3.0000000000000001E-6</v>
      </c>
      <c r="W39" s="137">
        <v>1.1331023349509599E-2</v>
      </c>
      <c r="X39" s="137">
        <v>2.11727223533898E-3</v>
      </c>
    </row>
    <row r="40" spans="1:24">
      <c r="A40">
        <v>14076</v>
      </c>
      <c r="B40">
        <v>14079</v>
      </c>
      <c r="C40" t="s">
        <v>2540</v>
      </c>
      <c r="D40" t="s">
        <v>2541</v>
      </c>
      <c r="E40" t="s">
        <v>41</v>
      </c>
      <c r="F40" t="s">
        <v>2825</v>
      </c>
      <c r="G40" t="s">
        <v>2826</v>
      </c>
      <c r="H40" t="s">
        <v>44</v>
      </c>
      <c r="I40" t="s">
        <v>1476</v>
      </c>
      <c r="J40" t="s">
        <v>45</v>
      </c>
      <c r="K40" t="s">
        <v>45</v>
      </c>
      <c r="L40" t="s">
        <v>46</v>
      </c>
      <c r="M40" t="s">
        <v>47</v>
      </c>
      <c r="N40" t="s">
        <v>1069</v>
      </c>
      <c r="O40" t="s">
        <v>51</v>
      </c>
      <c r="P40" t="s">
        <v>52</v>
      </c>
      <c r="Q40" s="133">
        <v>7400</v>
      </c>
      <c r="R40" s="135">
        <v>1</v>
      </c>
      <c r="S40" s="139">
        <v>749</v>
      </c>
      <c r="U40" s="133">
        <v>55.426000000000002</v>
      </c>
      <c r="V40" s="137">
        <v>3.0000000000000001E-6</v>
      </c>
      <c r="W40" s="137">
        <v>2.0898915183185901E-2</v>
      </c>
      <c r="X40" s="137">
        <v>3.9050923734949999E-3</v>
      </c>
    </row>
    <row r="41" spans="1:24">
      <c r="A41">
        <v>14076</v>
      </c>
      <c r="B41">
        <v>14079</v>
      </c>
      <c r="C41" t="s">
        <v>53</v>
      </c>
      <c r="D41" t="s">
        <v>54</v>
      </c>
      <c r="E41" t="s">
        <v>41</v>
      </c>
      <c r="F41" t="s">
        <v>2827</v>
      </c>
      <c r="G41" t="s">
        <v>57</v>
      </c>
      <c r="H41" t="s">
        <v>44</v>
      </c>
      <c r="I41" t="s">
        <v>1476</v>
      </c>
      <c r="J41" t="s">
        <v>45</v>
      </c>
      <c r="K41" t="s">
        <v>45</v>
      </c>
      <c r="L41" t="s">
        <v>46</v>
      </c>
      <c r="M41" t="s">
        <v>47</v>
      </c>
      <c r="N41" t="s">
        <v>58</v>
      </c>
      <c r="O41" t="s">
        <v>51</v>
      </c>
      <c r="P41" t="s">
        <v>52</v>
      </c>
      <c r="Q41" s="133">
        <v>45</v>
      </c>
      <c r="R41" s="135">
        <v>1</v>
      </c>
      <c r="S41" s="139">
        <v>71680</v>
      </c>
      <c r="U41" s="133">
        <v>32.256</v>
      </c>
      <c r="V41" s="137">
        <v>1.9999999999999999E-6</v>
      </c>
      <c r="W41" s="137">
        <v>1.2162440157125601E-2</v>
      </c>
      <c r="X41" s="137">
        <v>2.2726276404477102E-3</v>
      </c>
    </row>
    <row r="42" spans="1:24">
      <c r="A42">
        <v>14076</v>
      </c>
      <c r="B42">
        <v>14079</v>
      </c>
      <c r="C42" t="s">
        <v>1989</v>
      </c>
      <c r="D42" t="s">
        <v>1990</v>
      </c>
      <c r="E42" t="s">
        <v>41</v>
      </c>
      <c r="F42" t="s">
        <v>2924</v>
      </c>
      <c r="G42" t="s">
        <v>2925</v>
      </c>
      <c r="H42" t="s">
        <v>44</v>
      </c>
      <c r="I42" t="s">
        <v>1476</v>
      </c>
      <c r="J42" t="s">
        <v>45</v>
      </c>
      <c r="K42" t="s">
        <v>45</v>
      </c>
      <c r="L42" t="s">
        <v>46</v>
      </c>
      <c r="M42" t="s">
        <v>47</v>
      </c>
      <c r="N42" t="s">
        <v>58</v>
      </c>
      <c r="O42" t="s">
        <v>51</v>
      </c>
      <c r="P42" t="s">
        <v>52</v>
      </c>
      <c r="Q42" s="133">
        <v>700</v>
      </c>
      <c r="R42" s="135">
        <v>1</v>
      </c>
      <c r="S42" s="139">
        <v>3584</v>
      </c>
      <c r="U42" s="133">
        <v>25.088000000000001</v>
      </c>
      <c r="V42" s="137">
        <v>3.0000000000000001E-6</v>
      </c>
      <c r="W42" s="137">
        <v>9.4596756777643801E-3</v>
      </c>
      <c r="X42" s="137">
        <v>1.76759927590377E-3</v>
      </c>
    </row>
    <row r="43" spans="1:24">
      <c r="A43">
        <v>14076</v>
      </c>
      <c r="B43">
        <v>14079</v>
      </c>
      <c r="C43" t="s">
        <v>2926</v>
      </c>
      <c r="D43" t="s">
        <v>2927</v>
      </c>
      <c r="E43" t="s">
        <v>41</v>
      </c>
      <c r="F43" t="s">
        <v>2928</v>
      </c>
      <c r="G43" t="s">
        <v>2929</v>
      </c>
      <c r="H43" t="s">
        <v>44</v>
      </c>
      <c r="I43" t="s">
        <v>1476</v>
      </c>
      <c r="J43" t="s">
        <v>45</v>
      </c>
      <c r="K43" t="s">
        <v>45</v>
      </c>
      <c r="L43" t="s">
        <v>46</v>
      </c>
      <c r="M43" t="s">
        <v>47</v>
      </c>
      <c r="N43" t="s">
        <v>221</v>
      </c>
      <c r="O43" t="s">
        <v>51</v>
      </c>
      <c r="P43" t="s">
        <v>52</v>
      </c>
      <c r="Q43" s="133">
        <v>1900</v>
      </c>
      <c r="R43" s="135">
        <v>1</v>
      </c>
      <c r="S43" s="139">
        <v>3148</v>
      </c>
      <c r="T43" s="133">
        <v>0.66500000000000004</v>
      </c>
      <c r="U43" s="133">
        <v>60.476999999999997</v>
      </c>
      <c r="V43" s="137">
        <v>1.9999999999999999E-6</v>
      </c>
      <c r="W43" s="137">
        <v>2.28033159149564E-2</v>
      </c>
      <c r="X43" s="137">
        <v>4.26094150291289E-3</v>
      </c>
    </row>
    <row r="44" spans="1:24">
      <c r="A44">
        <v>14076</v>
      </c>
      <c r="B44">
        <v>14079</v>
      </c>
      <c r="C44" t="s">
        <v>2930</v>
      </c>
      <c r="D44" t="s">
        <v>2931</v>
      </c>
      <c r="E44" t="s">
        <v>41</v>
      </c>
      <c r="F44" t="s">
        <v>2932</v>
      </c>
      <c r="G44" t="s">
        <v>2933</v>
      </c>
      <c r="H44" t="s">
        <v>44</v>
      </c>
      <c r="I44" t="s">
        <v>1476</v>
      </c>
      <c r="J44" t="s">
        <v>45</v>
      </c>
      <c r="K44" t="s">
        <v>45</v>
      </c>
      <c r="L44" t="s">
        <v>46</v>
      </c>
      <c r="M44" t="s">
        <v>47</v>
      </c>
      <c r="N44" t="s">
        <v>1038</v>
      </c>
      <c r="O44" t="s">
        <v>51</v>
      </c>
      <c r="P44" t="s">
        <v>52</v>
      </c>
      <c r="Q44" s="133">
        <v>100</v>
      </c>
      <c r="R44" s="135">
        <v>1</v>
      </c>
      <c r="S44" s="139">
        <v>42240</v>
      </c>
      <c r="U44" s="133">
        <v>42.24</v>
      </c>
      <c r="V44" s="137">
        <v>5.0000000000000004E-6</v>
      </c>
      <c r="W44" s="137">
        <v>1.5927004967664499E-2</v>
      </c>
      <c r="X44" s="137">
        <v>2.9760600053481902E-3</v>
      </c>
    </row>
    <row r="45" spans="1:24">
      <c r="A45">
        <v>14076</v>
      </c>
      <c r="B45">
        <v>14079</v>
      </c>
      <c r="C45" t="s">
        <v>2828</v>
      </c>
      <c r="D45" t="s">
        <v>2829</v>
      </c>
      <c r="E45" t="s">
        <v>41</v>
      </c>
      <c r="F45" t="s">
        <v>2830</v>
      </c>
      <c r="G45" t="s">
        <v>2831</v>
      </c>
      <c r="H45" t="s">
        <v>44</v>
      </c>
      <c r="I45" t="s">
        <v>1476</v>
      </c>
      <c r="J45" t="s">
        <v>45</v>
      </c>
      <c r="K45" t="s">
        <v>45</v>
      </c>
      <c r="L45" t="s">
        <v>46</v>
      </c>
      <c r="M45" t="s">
        <v>47</v>
      </c>
      <c r="N45" s="125" t="s">
        <v>1063</v>
      </c>
      <c r="O45" t="s">
        <v>51</v>
      </c>
      <c r="P45" t="s">
        <v>52</v>
      </c>
      <c r="Q45" s="133">
        <v>270</v>
      </c>
      <c r="R45" s="135">
        <v>1</v>
      </c>
      <c r="S45" s="139">
        <v>13860</v>
      </c>
      <c r="U45" s="133">
        <v>37.421999999999997</v>
      </c>
      <c r="V45" s="137">
        <v>3.0000000000000001E-6</v>
      </c>
      <c r="W45" s="137">
        <v>1.41103309635403E-2</v>
      </c>
      <c r="X45" s="137">
        <v>2.6366031609881598E-3</v>
      </c>
    </row>
    <row r="46" spans="1:24">
      <c r="A46">
        <v>14076</v>
      </c>
      <c r="B46">
        <v>14079</v>
      </c>
      <c r="C46" t="s">
        <v>2030</v>
      </c>
      <c r="D46" t="s">
        <v>2031</v>
      </c>
      <c r="E46" t="s">
        <v>41</v>
      </c>
      <c r="F46" t="s">
        <v>2832</v>
      </c>
      <c r="G46" t="s">
        <v>2833</v>
      </c>
      <c r="H46" t="s">
        <v>44</v>
      </c>
      <c r="I46" t="s">
        <v>1476</v>
      </c>
      <c r="J46" t="s">
        <v>45</v>
      </c>
      <c r="K46" t="s">
        <v>45</v>
      </c>
      <c r="L46" t="s">
        <v>46</v>
      </c>
      <c r="M46" t="s">
        <v>47</v>
      </c>
      <c r="N46" t="s">
        <v>1037</v>
      </c>
      <c r="O46" t="s">
        <v>51</v>
      </c>
      <c r="P46" t="s">
        <v>52</v>
      </c>
      <c r="Q46" s="133">
        <v>700</v>
      </c>
      <c r="R46" s="135">
        <v>1</v>
      </c>
      <c r="S46" s="139">
        <v>16600</v>
      </c>
      <c r="U46" s="133">
        <v>116.2</v>
      </c>
      <c r="V46" s="137">
        <v>3.0000000000000001E-6</v>
      </c>
      <c r="W46" s="137">
        <v>4.3814346052145299E-2</v>
      </c>
      <c r="X46" s="137">
        <v>8.1869832533489392E-3</v>
      </c>
    </row>
    <row r="47" spans="1:24">
      <c r="A47">
        <v>14076</v>
      </c>
      <c r="B47">
        <v>14079</v>
      </c>
      <c r="C47" t="s">
        <v>2834</v>
      </c>
      <c r="D47" t="s">
        <v>2835</v>
      </c>
      <c r="E47" t="s">
        <v>41</v>
      </c>
      <c r="F47" t="s">
        <v>2836</v>
      </c>
      <c r="G47" t="s">
        <v>2837</v>
      </c>
      <c r="H47" t="s">
        <v>44</v>
      </c>
      <c r="I47" t="s">
        <v>1476</v>
      </c>
      <c r="J47" t="s">
        <v>45</v>
      </c>
      <c r="K47" t="s">
        <v>264</v>
      </c>
      <c r="L47" t="s">
        <v>46</v>
      </c>
      <c r="M47" t="s">
        <v>47</v>
      </c>
      <c r="N47" t="s">
        <v>1045</v>
      </c>
      <c r="O47" t="s">
        <v>51</v>
      </c>
      <c r="P47" t="s">
        <v>52</v>
      </c>
      <c r="Q47" s="133">
        <v>180</v>
      </c>
      <c r="R47" s="135">
        <v>1</v>
      </c>
      <c r="S47" s="139">
        <v>53870</v>
      </c>
      <c r="U47" s="133">
        <v>96.965999999999994</v>
      </c>
      <c r="V47" s="137">
        <v>1.9999999999999999E-6</v>
      </c>
      <c r="W47" s="137">
        <v>3.6561978307162797E-2</v>
      </c>
      <c r="X47" s="137">
        <v>6.8318332026181903E-3</v>
      </c>
    </row>
    <row r="48" spans="1:24">
      <c r="A48">
        <v>14076</v>
      </c>
      <c r="B48">
        <v>14079</v>
      </c>
      <c r="C48" t="s">
        <v>2838</v>
      </c>
      <c r="D48" t="s">
        <v>2839</v>
      </c>
      <c r="E48" t="s">
        <v>41</v>
      </c>
      <c r="F48" t="s">
        <v>2840</v>
      </c>
      <c r="G48" t="s">
        <v>2841</v>
      </c>
      <c r="H48" t="s">
        <v>44</v>
      </c>
      <c r="I48" t="s">
        <v>1476</v>
      </c>
      <c r="J48" t="s">
        <v>45</v>
      </c>
      <c r="K48" t="s">
        <v>69</v>
      </c>
      <c r="L48" t="s">
        <v>46</v>
      </c>
      <c r="M48" t="s">
        <v>47</v>
      </c>
      <c r="N48" t="s">
        <v>1052</v>
      </c>
      <c r="O48" t="s">
        <v>51</v>
      </c>
      <c r="P48" t="s">
        <v>52</v>
      </c>
      <c r="Q48" s="133">
        <v>1805</v>
      </c>
      <c r="R48" s="135">
        <v>1</v>
      </c>
      <c r="S48" s="139">
        <v>9239</v>
      </c>
      <c r="U48" s="133">
        <v>166.76400000000001</v>
      </c>
      <c r="V48" s="137">
        <v>9.9999999999999995E-7</v>
      </c>
      <c r="W48" s="137">
        <v>6.2879977748043506E-2</v>
      </c>
      <c r="X48" s="137">
        <v>1.174951519718E-2</v>
      </c>
    </row>
    <row r="49" spans="1:24">
      <c r="A49">
        <v>14076</v>
      </c>
      <c r="B49">
        <v>14079</v>
      </c>
      <c r="C49" t="s">
        <v>2628</v>
      </c>
      <c r="D49" t="s">
        <v>2629</v>
      </c>
      <c r="E49" t="s">
        <v>41</v>
      </c>
      <c r="F49" t="s">
        <v>2842</v>
      </c>
      <c r="G49" t="s">
        <v>2843</v>
      </c>
      <c r="H49" t="s">
        <v>44</v>
      </c>
      <c r="I49" t="s">
        <v>1476</v>
      </c>
      <c r="J49" t="s">
        <v>45</v>
      </c>
      <c r="K49" t="s">
        <v>45</v>
      </c>
      <c r="L49" t="s">
        <v>46</v>
      </c>
      <c r="M49" t="s">
        <v>47</v>
      </c>
      <c r="N49" t="s">
        <v>1038</v>
      </c>
      <c r="O49" t="s">
        <v>51</v>
      </c>
      <c r="P49" t="s">
        <v>52</v>
      </c>
      <c r="Q49" s="133">
        <v>1460</v>
      </c>
      <c r="R49" s="135">
        <v>1</v>
      </c>
      <c r="S49" s="139">
        <v>1751</v>
      </c>
      <c r="T49" s="133">
        <v>0.107</v>
      </c>
      <c r="U49" s="133">
        <v>25.672000000000001</v>
      </c>
      <c r="V49" s="137">
        <v>3.9999999999999998E-6</v>
      </c>
      <c r="W49" s="137">
        <v>9.6797277634445202E-3</v>
      </c>
      <c r="X49" s="137">
        <v>1.80871737768221E-3</v>
      </c>
    </row>
    <row r="50" spans="1:24">
      <c r="A50">
        <v>14076</v>
      </c>
      <c r="B50">
        <v>14079</v>
      </c>
      <c r="C50" t="s">
        <v>216</v>
      </c>
      <c r="D50" t="s">
        <v>217</v>
      </c>
      <c r="E50" t="s">
        <v>41</v>
      </c>
      <c r="F50" t="s">
        <v>2844</v>
      </c>
      <c r="G50" t="s">
        <v>2845</v>
      </c>
      <c r="H50" t="s">
        <v>44</v>
      </c>
      <c r="I50" t="s">
        <v>1476</v>
      </c>
      <c r="J50" t="s">
        <v>45</v>
      </c>
      <c r="K50" t="s">
        <v>45</v>
      </c>
      <c r="L50" t="s">
        <v>46</v>
      </c>
      <c r="M50" t="s">
        <v>47</v>
      </c>
      <c r="N50" t="s">
        <v>221</v>
      </c>
      <c r="O50" t="s">
        <v>51</v>
      </c>
      <c r="P50" t="s">
        <v>52</v>
      </c>
      <c r="Q50" s="133">
        <v>3549</v>
      </c>
      <c r="R50" s="135">
        <v>1</v>
      </c>
      <c r="S50" s="139">
        <v>6979</v>
      </c>
      <c r="U50" s="133">
        <v>247.685</v>
      </c>
      <c r="V50" s="137">
        <v>1.9999999999999999E-6</v>
      </c>
      <c r="W50" s="137">
        <v>9.3391941443762894E-2</v>
      </c>
      <c r="X50" s="137">
        <v>1.7450865515323499E-2</v>
      </c>
    </row>
    <row r="51" spans="1:24">
      <c r="A51">
        <v>14076</v>
      </c>
      <c r="B51">
        <v>14079</v>
      </c>
      <c r="C51" t="s">
        <v>2151</v>
      </c>
      <c r="D51" t="s">
        <v>2152</v>
      </c>
      <c r="E51" t="s">
        <v>41</v>
      </c>
      <c r="F51" t="s">
        <v>2846</v>
      </c>
      <c r="G51" t="s">
        <v>2847</v>
      </c>
      <c r="H51" t="s">
        <v>44</v>
      </c>
      <c r="I51" t="s">
        <v>1476</v>
      </c>
      <c r="J51" t="s">
        <v>45</v>
      </c>
      <c r="K51" t="s">
        <v>45</v>
      </c>
      <c r="L51" t="s">
        <v>46</v>
      </c>
      <c r="M51" t="s">
        <v>47</v>
      </c>
      <c r="N51" t="s">
        <v>58</v>
      </c>
      <c r="O51" t="s">
        <v>51</v>
      </c>
      <c r="P51" t="s">
        <v>52</v>
      </c>
      <c r="Q51" s="133">
        <v>120</v>
      </c>
      <c r="R51" s="135">
        <v>1</v>
      </c>
      <c r="S51" s="139">
        <v>50060</v>
      </c>
      <c r="U51" s="133">
        <v>60.072000000000003</v>
      </c>
      <c r="V51" s="137">
        <v>3.0000000000000001E-6</v>
      </c>
      <c r="W51" s="137">
        <v>2.2650734905718398E-2</v>
      </c>
      <c r="X51" s="137">
        <v>4.2324307916968796E-3</v>
      </c>
    </row>
    <row r="52" spans="1:24">
      <c r="A52">
        <v>14076</v>
      </c>
      <c r="B52">
        <v>14079</v>
      </c>
      <c r="C52" t="s">
        <v>2301</v>
      </c>
      <c r="D52" t="s">
        <v>2302</v>
      </c>
      <c r="E52" t="s">
        <v>41</v>
      </c>
      <c r="F52" t="s">
        <v>2934</v>
      </c>
      <c r="G52" t="s">
        <v>2935</v>
      </c>
      <c r="H52" t="s">
        <v>44</v>
      </c>
      <c r="I52" t="s">
        <v>1476</v>
      </c>
      <c r="J52" t="s">
        <v>45</v>
      </c>
      <c r="K52" t="s">
        <v>45</v>
      </c>
      <c r="L52" t="s">
        <v>46</v>
      </c>
      <c r="M52" t="s">
        <v>47</v>
      </c>
      <c r="N52" t="s">
        <v>221</v>
      </c>
      <c r="O52" t="s">
        <v>51</v>
      </c>
      <c r="P52" t="s">
        <v>52</v>
      </c>
      <c r="Q52" s="133">
        <v>290</v>
      </c>
      <c r="R52" s="135">
        <v>1</v>
      </c>
      <c r="S52" s="139">
        <v>22780</v>
      </c>
      <c r="U52" s="133">
        <v>66.061999999999998</v>
      </c>
      <c r="V52" s="137">
        <v>9.9999999999999995E-7</v>
      </c>
      <c r="W52" s="137">
        <v>2.4909322968131E-2</v>
      </c>
      <c r="X52" s="137">
        <v>4.6544620282507601E-3</v>
      </c>
    </row>
    <row r="53" spans="1:24">
      <c r="A53">
        <v>14076</v>
      </c>
      <c r="B53">
        <v>14079</v>
      </c>
      <c r="C53" t="s">
        <v>2848</v>
      </c>
      <c r="D53" t="s">
        <v>2849</v>
      </c>
      <c r="E53" t="s">
        <v>41</v>
      </c>
      <c r="F53" t="s">
        <v>2850</v>
      </c>
      <c r="G53" t="s">
        <v>2851</v>
      </c>
      <c r="H53" t="s">
        <v>44</v>
      </c>
      <c r="I53" t="s">
        <v>1476</v>
      </c>
      <c r="J53" t="s">
        <v>45</v>
      </c>
      <c r="K53" t="s">
        <v>45</v>
      </c>
      <c r="L53" t="s">
        <v>46</v>
      </c>
      <c r="M53" t="s">
        <v>47</v>
      </c>
      <c r="N53" s="125" t="s">
        <v>1061</v>
      </c>
      <c r="O53" t="s">
        <v>51</v>
      </c>
      <c r="P53" t="s">
        <v>52</v>
      </c>
      <c r="Q53" s="133">
        <v>280</v>
      </c>
      <c r="R53" s="135">
        <v>1</v>
      </c>
      <c r="S53" s="139">
        <v>8714</v>
      </c>
      <c r="U53" s="133">
        <v>24.399000000000001</v>
      </c>
      <c r="V53" s="137">
        <v>3.0000000000000001E-6</v>
      </c>
      <c r="W53" s="137">
        <v>9.1999569035757598E-3</v>
      </c>
      <c r="X53" s="137">
        <v>1.71906920649838E-3</v>
      </c>
    </row>
    <row r="54" spans="1:24">
      <c r="A54">
        <v>14076</v>
      </c>
      <c r="B54">
        <v>14079</v>
      </c>
      <c r="C54" t="s">
        <v>2191</v>
      </c>
      <c r="D54" t="s">
        <v>2192</v>
      </c>
      <c r="E54" t="s">
        <v>41</v>
      </c>
      <c r="F54" t="s">
        <v>2852</v>
      </c>
      <c r="G54" t="s">
        <v>2853</v>
      </c>
      <c r="H54" t="s">
        <v>44</v>
      </c>
      <c r="I54" t="s">
        <v>1476</v>
      </c>
      <c r="J54" t="s">
        <v>45</v>
      </c>
      <c r="K54" t="s">
        <v>45</v>
      </c>
      <c r="L54" t="s">
        <v>46</v>
      </c>
      <c r="M54" t="s">
        <v>47</v>
      </c>
      <c r="N54" t="s">
        <v>58</v>
      </c>
      <c r="O54" t="s">
        <v>51</v>
      </c>
      <c r="P54" t="s">
        <v>52</v>
      </c>
      <c r="Q54" s="133">
        <v>90</v>
      </c>
      <c r="R54" s="135">
        <v>1</v>
      </c>
      <c r="S54" s="139">
        <v>40600</v>
      </c>
      <c r="T54" s="133">
        <v>0.17</v>
      </c>
      <c r="U54" s="133">
        <v>36.71</v>
      </c>
      <c r="V54" s="137">
        <v>1.9999999999999999E-6</v>
      </c>
      <c r="W54" s="137">
        <v>1.3841804072968001E-2</v>
      </c>
      <c r="X54" s="137">
        <v>2.58642724021617E-3</v>
      </c>
    </row>
    <row r="55" spans="1:24">
      <c r="A55">
        <v>14076</v>
      </c>
      <c r="B55">
        <v>14079</v>
      </c>
      <c r="C55" t="s">
        <v>2427</v>
      </c>
      <c r="D55" t="s">
        <v>2428</v>
      </c>
      <c r="E55" t="s">
        <v>41</v>
      </c>
      <c r="F55" t="s">
        <v>2854</v>
      </c>
      <c r="G55" t="s">
        <v>2855</v>
      </c>
      <c r="H55" t="s">
        <v>44</v>
      </c>
      <c r="I55" t="s">
        <v>1476</v>
      </c>
      <c r="J55" t="s">
        <v>45</v>
      </c>
      <c r="K55" t="s">
        <v>45</v>
      </c>
      <c r="L55" t="s">
        <v>46</v>
      </c>
      <c r="M55" t="s">
        <v>47</v>
      </c>
      <c r="N55" t="s">
        <v>1037</v>
      </c>
      <c r="O55" t="s">
        <v>51</v>
      </c>
      <c r="P55" t="s">
        <v>52</v>
      </c>
      <c r="Q55" s="133">
        <v>80</v>
      </c>
      <c r="R55" s="135">
        <v>1</v>
      </c>
      <c r="S55" s="139">
        <v>45370</v>
      </c>
      <c r="U55" s="133">
        <v>36.295999999999999</v>
      </c>
      <c r="V55" s="137">
        <v>9.9999999999999995E-7</v>
      </c>
      <c r="W55" s="137">
        <v>1.36857616549799E-2</v>
      </c>
      <c r="X55" s="137">
        <v>2.55726974323196E-3</v>
      </c>
    </row>
    <row r="56" spans="1:24">
      <c r="A56">
        <v>14076</v>
      </c>
      <c r="B56">
        <v>14079</v>
      </c>
      <c r="C56" t="s">
        <v>2693</v>
      </c>
      <c r="D56" t="s">
        <v>2694</v>
      </c>
      <c r="E56" t="s">
        <v>146</v>
      </c>
      <c r="F56" t="s">
        <v>2856</v>
      </c>
      <c r="G56" t="s">
        <v>2857</v>
      </c>
      <c r="H56" t="s">
        <v>44</v>
      </c>
      <c r="I56" t="s">
        <v>1476</v>
      </c>
      <c r="J56" t="s">
        <v>45</v>
      </c>
      <c r="K56" t="s">
        <v>69</v>
      </c>
      <c r="L56" t="s">
        <v>46</v>
      </c>
      <c r="M56" t="s">
        <v>47</v>
      </c>
      <c r="N56" t="s">
        <v>210</v>
      </c>
      <c r="O56" t="s">
        <v>51</v>
      </c>
      <c r="P56" t="s">
        <v>52</v>
      </c>
      <c r="Q56" s="133">
        <v>540</v>
      </c>
      <c r="R56" s="135">
        <v>1</v>
      </c>
      <c r="S56" s="139">
        <v>12900</v>
      </c>
      <c r="U56" s="133">
        <v>69.66</v>
      </c>
      <c r="V56" s="137">
        <v>5.0000000000000004E-6</v>
      </c>
      <c r="W56" s="137">
        <v>2.62659840446854E-2</v>
      </c>
      <c r="X56" s="137">
        <v>4.9079625940472204E-3</v>
      </c>
    </row>
    <row r="57" spans="1:24">
      <c r="A57">
        <v>14076</v>
      </c>
      <c r="B57">
        <v>14079</v>
      </c>
      <c r="C57" t="s">
        <v>2858</v>
      </c>
      <c r="D57" t="s">
        <v>2859</v>
      </c>
      <c r="E57" t="s">
        <v>146</v>
      </c>
      <c r="F57" t="s">
        <v>2860</v>
      </c>
      <c r="G57" t="s">
        <v>2861</v>
      </c>
      <c r="H57" t="s">
        <v>44</v>
      </c>
      <c r="I57" t="s">
        <v>1476</v>
      </c>
      <c r="J57" t="s">
        <v>45</v>
      </c>
      <c r="K57" t="s">
        <v>45</v>
      </c>
      <c r="L57" t="s">
        <v>46</v>
      </c>
      <c r="M57" t="s">
        <v>47</v>
      </c>
      <c r="N57" t="s">
        <v>210</v>
      </c>
      <c r="O57" t="s">
        <v>51</v>
      </c>
      <c r="P57" t="s">
        <v>52</v>
      </c>
      <c r="Q57" s="133">
        <v>1800</v>
      </c>
      <c r="R57" s="135">
        <v>1</v>
      </c>
      <c r="S57" s="139">
        <v>1799</v>
      </c>
      <c r="U57" s="133">
        <v>32.381999999999998</v>
      </c>
      <c r="V57" s="137">
        <v>1.9999999999999999E-6</v>
      </c>
      <c r="W57" s="137">
        <v>1.22099496889894E-2</v>
      </c>
      <c r="X57" s="137">
        <v>2.2815050921681998E-3</v>
      </c>
    </row>
    <row r="58" spans="1:24">
      <c r="A58">
        <v>14076</v>
      </c>
      <c r="B58">
        <v>14079</v>
      </c>
      <c r="C58" t="s">
        <v>2936</v>
      </c>
      <c r="D58" t="s">
        <v>2937</v>
      </c>
      <c r="E58" t="s">
        <v>41</v>
      </c>
      <c r="F58" t="s">
        <v>2938</v>
      </c>
      <c r="G58" t="s">
        <v>2939</v>
      </c>
      <c r="H58" t="s">
        <v>44</v>
      </c>
      <c r="I58" t="s">
        <v>1476</v>
      </c>
      <c r="J58" t="s">
        <v>45</v>
      </c>
      <c r="K58" t="s">
        <v>69</v>
      </c>
      <c r="L58" t="s">
        <v>46</v>
      </c>
      <c r="M58" t="s">
        <v>47</v>
      </c>
      <c r="N58" t="s">
        <v>1065</v>
      </c>
      <c r="O58" t="s">
        <v>51</v>
      </c>
      <c r="P58" t="s">
        <v>52</v>
      </c>
      <c r="Q58" s="133">
        <v>70</v>
      </c>
      <c r="R58" s="135">
        <v>1</v>
      </c>
      <c r="S58" s="139">
        <v>34690</v>
      </c>
      <c r="U58" s="133">
        <v>24.283000000000001</v>
      </c>
      <c r="V58" s="137">
        <v>9.9999999999999995E-7</v>
      </c>
      <c r="W58" s="137">
        <v>9.1561425575236201E-3</v>
      </c>
      <c r="X58" s="137">
        <v>1.71088222324503E-3</v>
      </c>
    </row>
    <row r="59" spans="1:24">
      <c r="A59">
        <v>14076</v>
      </c>
      <c r="B59">
        <v>14079</v>
      </c>
      <c r="C59" t="s">
        <v>2862</v>
      </c>
      <c r="D59" t="s">
        <v>2863</v>
      </c>
      <c r="E59" t="s">
        <v>41</v>
      </c>
      <c r="F59" t="s">
        <v>2862</v>
      </c>
      <c r="G59" t="s">
        <v>2864</v>
      </c>
      <c r="H59" t="s">
        <v>44</v>
      </c>
      <c r="I59" t="s">
        <v>1476</v>
      </c>
      <c r="J59" t="s">
        <v>45</v>
      </c>
      <c r="K59" t="s">
        <v>45</v>
      </c>
      <c r="L59" t="s">
        <v>46</v>
      </c>
      <c r="M59" t="s">
        <v>47</v>
      </c>
      <c r="N59" t="s">
        <v>1033</v>
      </c>
      <c r="O59" t="s">
        <v>51</v>
      </c>
      <c r="P59" t="s">
        <v>52</v>
      </c>
      <c r="Q59" s="133">
        <v>410</v>
      </c>
      <c r="R59" s="135">
        <v>1</v>
      </c>
      <c r="S59" s="139">
        <v>30500</v>
      </c>
      <c r="U59" s="133">
        <v>125.05</v>
      </c>
      <c r="V59" s="137">
        <v>3.9999999999999998E-6</v>
      </c>
      <c r="W59" s="137">
        <v>4.7151325075910203E-2</v>
      </c>
      <c r="X59" s="137">
        <v>8.8105185527649291E-3</v>
      </c>
    </row>
    <row r="60" spans="1:24">
      <c r="A60">
        <v>14076</v>
      </c>
      <c r="B60">
        <v>14079</v>
      </c>
      <c r="C60" t="s">
        <v>2226</v>
      </c>
      <c r="D60" t="s">
        <v>2227</v>
      </c>
      <c r="E60" t="s">
        <v>41</v>
      </c>
      <c r="F60" t="s">
        <v>2865</v>
      </c>
      <c r="G60" t="s">
        <v>2866</v>
      </c>
      <c r="H60" t="s">
        <v>44</v>
      </c>
      <c r="I60" t="s">
        <v>1476</v>
      </c>
      <c r="J60" t="s">
        <v>45</v>
      </c>
      <c r="K60" t="s">
        <v>45</v>
      </c>
      <c r="L60" t="s">
        <v>46</v>
      </c>
      <c r="M60" t="s">
        <v>47</v>
      </c>
      <c r="N60" t="s">
        <v>58</v>
      </c>
      <c r="O60" t="s">
        <v>51</v>
      </c>
      <c r="P60" t="s">
        <v>52</v>
      </c>
      <c r="Q60" s="133">
        <v>120</v>
      </c>
      <c r="R60" s="135">
        <v>1</v>
      </c>
      <c r="S60" s="139">
        <v>41870</v>
      </c>
      <c r="U60" s="133">
        <v>50.244</v>
      </c>
      <c r="V60" s="137">
        <v>9.9999999999999995E-7</v>
      </c>
      <c r="W60" s="137">
        <v>1.8944991420344101E-2</v>
      </c>
      <c r="X60" s="137">
        <v>3.53998955749797E-3</v>
      </c>
    </row>
    <row r="61" spans="1:24">
      <c r="A61">
        <v>14076</v>
      </c>
      <c r="B61">
        <v>14079</v>
      </c>
      <c r="C61" t="s">
        <v>2236</v>
      </c>
      <c r="D61" t="s">
        <v>2237</v>
      </c>
      <c r="E61" t="s">
        <v>41</v>
      </c>
      <c r="F61" t="s">
        <v>2867</v>
      </c>
      <c r="G61" t="s">
        <v>2868</v>
      </c>
      <c r="H61" t="s">
        <v>44</v>
      </c>
      <c r="I61" t="s">
        <v>1476</v>
      </c>
      <c r="J61" t="s">
        <v>45</v>
      </c>
      <c r="K61" t="s">
        <v>45</v>
      </c>
      <c r="L61" t="s">
        <v>46</v>
      </c>
      <c r="M61" t="s">
        <v>47</v>
      </c>
      <c r="N61" t="s">
        <v>221</v>
      </c>
      <c r="O61" t="s">
        <v>51</v>
      </c>
      <c r="P61" t="s">
        <v>52</v>
      </c>
      <c r="Q61" s="133">
        <v>2775</v>
      </c>
      <c r="R61" s="135">
        <v>1</v>
      </c>
      <c r="S61" s="139">
        <v>7332</v>
      </c>
      <c r="U61" s="133">
        <v>203.46299999999999</v>
      </c>
      <c r="V61" s="137">
        <v>1.9999999999999999E-6</v>
      </c>
      <c r="W61" s="137">
        <v>7.6717713346020996E-2</v>
      </c>
      <c r="X61" s="137">
        <v>1.43351822175227E-2</v>
      </c>
    </row>
    <row r="62" spans="1:24">
      <c r="A62">
        <v>14076</v>
      </c>
      <c r="B62">
        <v>14079</v>
      </c>
      <c r="C62" t="s">
        <v>2869</v>
      </c>
      <c r="D62" t="s">
        <v>2870</v>
      </c>
      <c r="E62" t="s">
        <v>41</v>
      </c>
      <c r="F62" t="s">
        <v>2871</v>
      </c>
      <c r="G62" t="s">
        <v>2872</v>
      </c>
      <c r="H62" t="s">
        <v>44</v>
      </c>
      <c r="I62" t="s">
        <v>1476</v>
      </c>
      <c r="J62" t="s">
        <v>45</v>
      </c>
      <c r="K62" t="s">
        <v>45</v>
      </c>
      <c r="L62" t="s">
        <v>46</v>
      </c>
      <c r="M62" t="s">
        <v>47</v>
      </c>
      <c r="N62" t="s">
        <v>1032</v>
      </c>
      <c r="O62" t="s">
        <v>51</v>
      </c>
      <c r="P62" t="s">
        <v>52</v>
      </c>
      <c r="Q62" s="133">
        <v>280</v>
      </c>
      <c r="R62" s="135">
        <v>1</v>
      </c>
      <c r="S62" s="139">
        <v>26010</v>
      </c>
      <c r="U62" s="133">
        <v>72.828000000000003</v>
      </c>
      <c r="V62" s="137">
        <v>3.0000000000000001E-5</v>
      </c>
      <c r="W62" s="137">
        <v>2.74605094172602E-2</v>
      </c>
      <c r="X62" s="137">
        <v>5.1311670944483396E-3</v>
      </c>
    </row>
    <row r="63" spans="1:24">
      <c r="A63">
        <v>14076</v>
      </c>
      <c r="B63">
        <v>14079</v>
      </c>
      <c r="C63" t="s">
        <v>2873</v>
      </c>
      <c r="D63" t="s">
        <v>2874</v>
      </c>
      <c r="E63" t="s">
        <v>41</v>
      </c>
      <c r="F63" t="s">
        <v>2875</v>
      </c>
      <c r="G63" t="s">
        <v>2876</v>
      </c>
      <c r="H63" t="s">
        <v>44</v>
      </c>
      <c r="I63" t="s">
        <v>1476</v>
      </c>
      <c r="J63" t="s">
        <v>45</v>
      </c>
      <c r="K63" t="s">
        <v>45</v>
      </c>
      <c r="L63" t="s">
        <v>46</v>
      </c>
      <c r="M63" t="s">
        <v>47</v>
      </c>
      <c r="N63" t="s">
        <v>1069</v>
      </c>
      <c r="O63" t="s">
        <v>51</v>
      </c>
      <c r="P63" t="s">
        <v>52</v>
      </c>
      <c r="Q63" s="133">
        <v>1590</v>
      </c>
      <c r="R63" s="135">
        <v>1</v>
      </c>
      <c r="S63" s="139">
        <v>3509</v>
      </c>
      <c r="U63" s="133">
        <v>55.792999999999999</v>
      </c>
      <c r="V63" s="137">
        <v>7.9999999999999996E-6</v>
      </c>
      <c r="W63" s="137">
        <v>2.1037333827211301E-2</v>
      </c>
      <c r="X63" s="137">
        <v>3.9309567586266999E-3</v>
      </c>
    </row>
    <row r="64" spans="1:24">
      <c r="A64">
        <v>14076</v>
      </c>
      <c r="B64">
        <v>14079</v>
      </c>
      <c r="C64" t="s">
        <v>2877</v>
      </c>
      <c r="D64" t="s">
        <v>2878</v>
      </c>
      <c r="E64" t="s">
        <v>41</v>
      </c>
      <c r="F64" t="s">
        <v>2879</v>
      </c>
      <c r="G64" t="s">
        <v>2880</v>
      </c>
      <c r="H64" t="s">
        <v>44</v>
      </c>
      <c r="I64" t="s">
        <v>1476</v>
      </c>
      <c r="J64" t="s">
        <v>45</v>
      </c>
      <c r="K64" t="s">
        <v>45</v>
      </c>
      <c r="L64" t="s">
        <v>46</v>
      </c>
      <c r="M64" t="s">
        <v>47</v>
      </c>
      <c r="N64" t="s">
        <v>1049</v>
      </c>
      <c r="O64" t="s">
        <v>51</v>
      </c>
      <c r="P64" t="s">
        <v>52</v>
      </c>
      <c r="Q64" s="133">
        <v>3000</v>
      </c>
      <c r="R64" s="135">
        <v>1</v>
      </c>
      <c r="S64" s="139">
        <v>805.7</v>
      </c>
      <c r="T64" s="133">
        <v>0.52</v>
      </c>
      <c r="U64" s="133">
        <v>24.690999999999999</v>
      </c>
      <c r="V64" s="137">
        <v>1.0000000000000001E-5</v>
      </c>
      <c r="W64" s="137">
        <v>9.3099716346225301E-3</v>
      </c>
      <c r="X64" s="137">
        <v>1.7396261437086201E-3</v>
      </c>
    </row>
    <row r="65" spans="1:24">
      <c r="A65">
        <v>14076</v>
      </c>
      <c r="B65">
        <v>14079</v>
      </c>
      <c r="C65" t="s">
        <v>2881</v>
      </c>
      <c r="D65" t="s">
        <v>2882</v>
      </c>
      <c r="E65" t="s">
        <v>64</v>
      </c>
      <c r="F65" t="s">
        <v>2883</v>
      </c>
      <c r="G65" t="s">
        <v>2884</v>
      </c>
      <c r="H65" t="s">
        <v>44</v>
      </c>
      <c r="I65" t="s">
        <v>1476</v>
      </c>
      <c r="J65" t="s">
        <v>68</v>
      </c>
      <c r="K65" t="s">
        <v>69</v>
      </c>
      <c r="L65" t="s">
        <v>46</v>
      </c>
      <c r="M65" t="s">
        <v>949</v>
      </c>
      <c r="N65" t="s">
        <v>1130</v>
      </c>
      <c r="O65" t="s">
        <v>51</v>
      </c>
      <c r="P65" t="s">
        <v>72</v>
      </c>
      <c r="Q65" s="133">
        <v>35</v>
      </c>
      <c r="R65" s="135">
        <v>3.165</v>
      </c>
      <c r="S65" s="139">
        <v>28686</v>
      </c>
      <c r="U65" s="133">
        <v>31.777000000000001</v>
      </c>
      <c r="V65" s="137">
        <v>0</v>
      </c>
      <c r="W65" s="137">
        <v>1.1981797039596599E-2</v>
      </c>
      <c r="X65" s="137">
        <v>2.2388733496434398E-3</v>
      </c>
    </row>
    <row r="66" spans="1:24">
      <c r="A66">
        <v>14076</v>
      </c>
      <c r="B66">
        <v>14079</v>
      </c>
      <c r="C66" t="s">
        <v>2885</v>
      </c>
      <c r="D66" t="s">
        <v>2886</v>
      </c>
      <c r="E66" t="s">
        <v>64</v>
      </c>
      <c r="F66" t="s">
        <v>2887</v>
      </c>
      <c r="G66" t="s">
        <v>2888</v>
      </c>
      <c r="H66" t="s">
        <v>44</v>
      </c>
      <c r="I66" t="s">
        <v>1476</v>
      </c>
      <c r="J66" t="s">
        <v>68</v>
      </c>
      <c r="K66" t="s">
        <v>69</v>
      </c>
      <c r="L66" t="s">
        <v>46</v>
      </c>
      <c r="M66" t="s">
        <v>949</v>
      </c>
      <c r="N66" t="s">
        <v>1102</v>
      </c>
      <c r="O66" t="s">
        <v>51</v>
      </c>
      <c r="P66" t="s">
        <v>72</v>
      </c>
      <c r="Q66" s="133">
        <v>40</v>
      </c>
      <c r="R66" s="135">
        <v>3.165</v>
      </c>
      <c r="S66" s="139">
        <v>20827</v>
      </c>
      <c r="U66" s="133">
        <v>26.367000000000001</v>
      </c>
      <c r="V66" s="137">
        <v>0</v>
      </c>
      <c r="W66" s="137">
        <v>9.9419283450833604E-3</v>
      </c>
      <c r="X66" s="137">
        <v>1.85771118825605E-3</v>
      </c>
    </row>
    <row r="67" spans="1:24">
      <c r="A67">
        <v>14076</v>
      </c>
      <c r="B67">
        <v>14079</v>
      </c>
      <c r="C67" t="s">
        <v>2889</v>
      </c>
      <c r="D67" t="s">
        <v>2890</v>
      </c>
      <c r="E67" t="s">
        <v>64</v>
      </c>
      <c r="F67" t="s">
        <v>2891</v>
      </c>
      <c r="G67" t="s">
        <v>2892</v>
      </c>
      <c r="H67" t="s">
        <v>44</v>
      </c>
      <c r="I67" t="s">
        <v>1476</v>
      </c>
      <c r="J67" t="s">
        <v>68</v>
      </c>
      <c r="K67" t="s">
        <v>69</v>
      </c>
      <c r="L67" t="s">
        <v>46</v>
      </c>
      <c r="M67" t="s">
        <v>949</v>
      </c>
      <c r="N67" t="s">
        <v>1129</v>
      </c>
      <c r="O67" t="s">
        <v>51</v>
      </c>
      <c r="P67" t="s">
        <v>72</v>
      </c>
      <c r="Q67" s="133">
        <v>10</v>
      </c>
      <c r="R67" s="135">
        <v>3.165</v>
      </c>
      <c r="S67" s="139">
        <v>132083</v>
      </c>
      <c r="U67" s="133">
        <v>41.804000000000002</v>
      </c>
      <c r="V67" s="137">
        <v>0</v>
      </c>
      <c r="W67" s="137">
        <v>1.5762708522634599E-2</v>
      </c>
      <c r="X67" s="137">
        <v>2.94536019203947E-3</v>
      </c>
    </row>
    <row r="68" spans="1:24">
      <c r="A68">
        <v>14076</v>
      </c>
      <c r="B68">
        <v>14079</v>
      </c>
      <c r="C68" t="s">
        <v>2893</v>
      </c>
      <c r="D68" t="s">
        <v>2894</v>
      </c>
      <c r="E68" t="s">
        <v>41</v>
      </c>
      <c r="F68" t="s">
        <v>2895</v>
      </c>
      <c r="G68" t="s">
        <v>2896</v>
      </c>
      <c r="H68" t="s">
        <v>44</v>
      </c>
      <c r="I68" t="s">
        <v>1476</v>
      </c>
      <c r="J68" t="s">
        <v>68</v>
      </c>
      <c r="K68" t="s">
        <v>264</v>
      </c>
      <c r="L68" t="s">
        <v>46</v>
      </c>
      <c r="M68" t="s">
        <v>949</v>
      </c>
      <c r="N68" t="s">
        <v>1129</v>
      </c>
      <c r="O68" t="s">
        <v>51</v>
      </c>
      <c r="P68" t="s">
        <v>72</v>
      </c>
      <c r="Q68" s="133">
        <v>145</v>
      </c>
      <c r="R68" s="135">
        <v>3.165</v>
      </c>
      <c r="S68" s="139">
        <v>15161</v>
      </c>
      <c r="U68" s="133">
        <v>69.578000000000003</v>
      </c>
      <c r="V68" s="137">
        <v>3.0000000000000001E-6</v>
      </c>
      <c r="W68" s="137">
        <v>2.62349215774863E-2</v>
      </c>
      <c r="X68" s="137">
        <v>4.9021583787232301E-3</v>
      </c>
    </row>
    <row r="69" spans="1:24">
      <c r="A69">
        <v>14076</v>
      </c>
      <c r="B69">
        <v>14079</v>
      </c>
      <c r="C69" t="s">
        <v>2897</v>
      </c>
      <c r="D69" t="s">
        <v>2898</v>
      </c>
      <c r="E69" t="s">
        <v>64</v>
      </c>
      <c r="F69" t="s">
        <v>2899</v>
      </c>
      <c r="G69" t="s">
        <v>2900</v>
      </c>
      <c r="H69" t="s">
        <v>44</v>
      </c>
      <c r="I69" t="s">
        <v>1476</v>
      </c>
      <c r="J69" s="125" t="s">
        <v>68</v>
      </c>
      <c r="K69" t="s">
        <v>45</v>
      </c>
      <c r="L69" t="s">
        <v>46</v>
      </c>
      <c r="M69" t="s">
        <v>949</v>
      </c>
      <c r="N69" t="s">
        <v>1126</v>
      </c>
      <c r="O69" t="s">
        <v>51</v>
      </c>
      <c r="P69" t="s">
        <v>72</v>
      </c>
      <c r="Q69" s="133">
        <v>75</v>
      </c>
      <c r="R69" s="135">
        <v>3.165</v>
      </c>
      <c r="S69" s="139">
        <v>14285</v>
      </c>
      <c r="U69" s="133">
        <v>33.908999999999999</v>
      </c>
      <c r="V69" s="137">
        <v>9.9999999999999995E-7</v>
      </c>
      <c r="W69" s="137">
        <v>1.2785727037875901E-2</v>
      </c>
      <c r="X69" s="137">
        <v>2.3890926733540901E-3</v>
      </c>
    </row>
    <row r="70" spans="1:24">
      <c r="A70">
        <v>14076</v>
      </c>
      <c r="B70">
        <v>14079</v>
      </c>
      <c r="C70" t="s">
        <v>2901</v>
      </c>
      <c r="D70" t="s">
        <v>2902</v>
      </c>
      <c r="E70" t="s">
        <v>64</v>
      </c>
      <c r="F70" t="s">
        <v>2903</v>
      </c>
      <c r="G70" t="s">
        <v>2904</v>
      </c>
      <c r="H70" t="s">
        <v>44</v>
      </c>
      <c r="I70" t="s">
        <v>1476</v>
      </c>
      <c r="J70" t="s">
        <v>68</v>
      </c>
      <c r="K70" t="s">
        <v>69</v>
      </c>
      <c r="L70" t="s">
        <v>46</v>
      </c>
      <c r="M70" t="s">
        <v>949</v>
      </c>
      <c r="N70" t="s">
        <v>1126</v>
      </c>
      <c r="O70" t="s">
        <v>51</v>
      </c>
      <c r="P70" t="s">
        <v>72</v>
      </c>
      <c r="Q70" s="133">
        <v>95</v>
      </c>
      <c r="R70" s="135">
        <v>3.165</v>
      </c>
      <c r="S70" s="139">
        <v>37017</v>
      </c>
      <c r="U70" s="133">
        <v>111.301</v>
      </c>
      <c r="V70" s="137">
        <v>0</v>
      </c>
      <c r="W70" s="137">
        <v>4.1967079208773801E-2</v>
      </c>
      <c r="X70" s="137">
        <v>7.8418099465706204E-3</v>
      </c>
    </row>
    <row r="71" spans="1:24">
      <c r="A71">
        <v>14076</v>
      </c>
      <c r="B71">
        <v>14079</v>
      </c>
      <c r="C71" t="s">
        <v>2905</v>
      </c>
      <c r="D71" t="s">
        <v>2906</v>
      </c>
      <c r="E71" t="s">
        <v>41</v>
      </c>
      <c r="F71" t="s">
        <v>2907</v>
      </c>
      <c r="G71" t="s">
        <v>2908</v>
      </c>
      <c r="H71" t="s">
        <v>44</v>
      </c>
      <c r="I71" t="s">
        <v>1476</v>
      </c>
      <c r="J71" t="s">
        <v>68</v>
      </c>
      <c r="K71" t="s">
        <v>264</v>
      </c>
      <c r="L71" t="s">
        <v>46</v>
      </c>
      <c r="M71" t="s">
        <v>949</v>
      </c>
      <c r="N71" t="s">
        <v>1129</v>
      </c>
      <c r="O71" t="s">
        <v>51</v>
      </c>
      <c r="P71" t="s">
        <v>72</v>
      </c>
      <c r="Q71" s="133">
        <v>50</v>
      </c>
      <c r="R71" s="135">
        <v>3.165</v>
      </c>
      <c r="S71" s="139">
        <v>43428</v>
      </c>
      <c r="U71" s="133">
        <v>68.724999999999994</v>
      </c>
      <c r="V71" s="137">
        <v>1.9999999999999999E-6</v>
      </c>
      <c r="W71" s="137">
        <v>2.5913361512116501E-2</v>
      </c>
      <c r="X71" s="137">
        <v>4.8420728791702897E-3</v>
      </c>
    </row>
    <row r="72" spans="1:24">
      <c r="A72">
        <v>14076</v>
      </c>
      <c r="B72">
        <v>14079</v>
      </c>
      <c r="C72" t="s">
        <v>2909</v>
      </c>
      <c r="D72" t="s">
        <v>2910</v>
      </c>
      <c r="E72" t="s">
        <v>64</v>
      </c>
      <c r="F72" t="s">
        <v>2911</v>
      </c>
      <c r="G72" t="s">
        <v>2912</v>
      </c>
      <c r="H72" t="s">
        <v>44</v>
      </c>
      <c r="I72" t="s">
        <v>1476</v>
      </c>
      <c r="J72" t="s">
        <v>68</v>
      </c>
      <c r="K72" t="s">
        <v>69</v>
      </c>
      <c r="L72" t="s">
        <v>46</v>
      </c>
      <c r="M72" t="s">
        <v>949</v>
      </c>
      <c r="N72" t="s">
        <v>1129</v>
      </c>
      <c r="O72" t="s">
        <v>51</v>
      </c>
      <c r="P72" t="s">
        <v>72</v>
      </c>
      <c r="Q72" s="133">
        <v>50</v>
      </c>
      <c r="R72" s="135">
        <v>3.165</v>
      </c>
      <c r="S72" s="139">
        <v>17440</v>
      </c>
      <c r="T72" s="133">
        <v>1E-3</v>
      </c>
      <c r="U72" s="133">
        <v>27.6</v>
      </c>
      <c r="V72" s="137">
        <v>0</v>
      </c>
      <c r="W72" s="137">
        <v>1.04069940621908E-2</v>
      </c>
      <c r="X72" s="137">
        <v>1.9446116119924701E-3</v>
      </c>
    </row>
    <row r="73" spans="1:24">
      <c r="A73">
        <v>14076</v>
      </c>
      <c r="B73">
        <v>14079</v>
      </c>
      <c r="C73" t="s">
        <v>2940</v>
      </c>
      <c r="D73" t="s">
        <v>2941</v>
      </c>
      <c r="E73" t="s">
        <v>64</v>
      </c>
      <c r="F73" t="s">
        <v>2942</v>
      </c>
      <c r="G73" t="s">
        <v>2943</v>
      </c>
      <c r="H73" t="s">
        <v>44</v>
      </c>
      <c r="I73" t="s">
        <v>1476</v>
      </c>
      <c r="J73" t="s">
        <v>68</v>
      </c>
      <c r="K73" t="s">
        <v>69</v>
      </c>
      <c r="L73" t="s">
        <v>46</v>
      </c>
      <c r="M73" t="s">
        <v>949</v>
      </c>
      <c r="N73" t="s">
        <v>1126</v>
      </c>
      <c r="O73" t="s">
        <v>51</v>
      </c>
      <c r="P73" t="s">
        <v>72</v>
      </c>
      <c r="Q73" s="133">
        <v>90</v>
      </c>
      <c r="R73" s="135">
        <v>3.165</v>
      </c>
      <c r="S73" s="139">
        <v>16032</v>
      </c>
      <c r="U73" s="133">
        <v>45.667000000000002</v>
      </c>
      <c r="V73" s="137">
        <v>0</v>
      </c>
      <c r="W73" s="137">
        <v>1.72192461354898E-2</v>
      </c>
      <c r="X73" s="137">
        <v>3.2175233102593901E-3</v>
      </c>
    </row>
    <row r="74" spans="1:24">
      <c r="A74">
        <v>14076</v>
      </c>
      <c r="B74">
        <v>14079</v>
      </c>
      <c r="C74" t="s">
        <v>2913</v>
      </c>
      <c r="D74" t="s">
        <v>2914</v>
      </c>
      <c r="E74" t="s">
        <v>64</v>
      </c>
      <c r="F74" t="s">
        <v>2915</v>
      </c>
      <c r="G74" t="s">
        <v>2916</v>
      </c>
      <c r="H74" t="s">
        <v>44</v>
      </c>
      <c r="I74" t="s">
        <v>1476</v>
      </c>
      <c r="J74" t="s">
        <v>68</v>
      </c>
      <c r="K74" t="s">
        <v>861</v>
      </c>
      <c r="L74" t="s">
        <v>46</v>
      </c>
      <c r="M74" t="s">
        <v>969</v>
      </c>
      <c r="N74" t="s">
        <v>1080</v>
      </c>
      <c r="O74" t="s">
        <v>51</v>
      </c>
      <c r="P74" t="s">
        <v>395</v>
      </c>
      <c r="Q74" s="133">
        <v>8</v>
      </c>
      <c r="R74" s="135">
        <v>3.6360000000000001</v>
      </c>
      <c r="S74" s="139">
        <v>144450</v>
      </c>
      <c r="U74" s="133">
        <v>42.018000000000001</v>
      </c>
      <c r="V74" s="137">
        <v>0</v>
      </c>
      <c r="W74" s="137">
        <v>1.5843152906283599E-2</v>
      </c>
      <c r="X74" s="137">
        <v>2.9603917257973E-3</v>
      </c>
    </row>
    <row r="75" spans="1:24">
      <c r="A75">
        <v>14076</v>
      </c>
      <c r="B75">
        <v>14079</v>
      </c>
      <c r="C75" t="s">
        <v>2917</v>
      </c>
      <c r="D75" t="s">
        <v>2918</v>
      </c>
      <c r="E75" t="s">
        <v>64</v>
      </c>
      <c r="F75" t="s">
        <v>2917</v>
      </c>
      <c r="G75" t="s">
        <v>2919</v>
      </c>
      <c r="H75" t="s">
        <v>44</v>
      </c>
      <c r="I75" t="s">
        <v>1476</v>
      </c>
      <c r="J75" t="s">
        <v>68</v>
      </c>
      <c r="K75" t="s">
        <v>69</v>
      </c>
      <c r="L75" t="s">
        <v>46</v>
      </c>
      <c r="M75" t="s">
        <v>949</v>
      </c>
      <c r="N75" t="s">
        <v>1095</v>
      </c>
      <c r="O75" t="s">
        <v>51</v>
      </c>
      <c r="P75" t="s">
        <v>72</v>
      </c>
      <c r="Q75" s="133">
        <v>25</v>
      </c>
      <c r="R75" s="135">
        <v>3.165</v>
      </c>
      <c r="S75" s="139">
        <v>37175</v>
      </c>
      <c r="U75" s="133">
        <v>29.414999999999999</v>
      </c>
      <c r="V75" s="137">
        <v>0</v>
      </c>
      <c r="W75" s="137">
        <v>1.1091107283468399E-2</v>
      </c>
      <c r="X75" s="137">
        <v>2.0724424251998201E-3</v>
      </c>
    </row>
    <row r="76" spans="1:24">
      <c r="A76">
        <v>161</v>
      </c>
      <c r="B76">
        <v>9938</v>
      </c>
      <c r="C76" t="s">
        <v>2944</v>
      </c>
      <c r="D76" t="s">
        <v>2945</v>
      </c>
      <c r="E76" t="s">
        <v>64</v>
      </c>
      <c r="F76" t="s">
        <v>2946</v>
      </c>
      <c r="G76" t="s">
        <v>2947</v>
      </c>
      <c r="H76" t="s">
        <v>44</v>
      </c>
      <c r="I76" t="s">
        <v>1476</v>
      </c>
      <c r="J76" t="s">
        <v>45</v>
      </c>
      <c r="K76" t="s">
        <v>69</v>
      </c>
      <c r="L76" t="s">
        <v>46</v>
      </c>
      <c r="M76" t="s">
        <v>47</v>
      </c>
      <c r="N76" t="s">
        <v>49</v>
      </c>
      <c r="O76" t="s">
        <v>51</v>
      </c>
      <c r="P76" t="s">
        <v>52</v>
      </c>
      <c r="Q76" s="133">
        <v>100</v>
      </c>
      <c r="R76" s="135">
        <v>1</v>
      </c>
      <c r="S76" s="139">
        <v>35120</v>
      </c>
      <c r="U76" s="133">
        <v>35.119999999999997</v>
      </c>
      <c r="V76" s="137">
        <v>1.9999999999999999E-6</v>
      </c>
      <c r="W76" s="137">
        <v>2.0118615103216302E-3</v>
      </c>
      <c r="X76" s="137">
        <v>4.0243791225279198E-4</v>
      </c>
    </row>
    <row r="77" spans="1:24">
      <c r="A77">
        <v>161</v>
      </c>
      <c r="B77">
        <v>9938</v>
      </c>
      <c r="C77" t="s">
        <v>2817</v>
      </c>
      <c r="D77" t="s">
        <v>2818</v>
      </c>
      <c r="E77" t="s">
        <v>41</v>
      </c>
      <c r="F77" t="s">
        <v>2819</v>
      </c>
      <c r="G77" t="s">
        <v>2820</v>
      </c>
      <c r="H77" t="s">
        <v>44</v>
      </c>
      <c r="I77" t="s">
        <v>1476</v>
      </c>
      <c r="J77" t="s">
        <v>45</v>
      </c>
      <c r="K77" t="s">
        <v>45</v>
      </c>
      <c r="L77" t="s">
        <v>46</v>
      </c>
      <c r="M77" t="s">
        <v>47</v>
      </c>
      <c r="N77" t="s">
        <v>189</v>
      </c>
      <c r="O77" t="s">
        <v>51</v>
      </c>
      <c r="P77" t="s">
        <v>52</v>
      </c>
      <c r="Q77" s="133">
        <v>331</v>
      </c>
      <c r="R77" s="135">
        <v>1</v>
      </c>
      <c r="S77" s="139">
        <v>263700</v>
      </c>
      <c r="U77" s="133">
        <v>872.84699999999998</v>
      </c>
      <c r="V77" s="137">
        <v>6.9999999999999999E-6</v>
      </c>
      <c r="W77" s="137">
        <v>5.0001346346802401E-2</v>
      </c>
      <c r="X77" s="137">
        <v>1.00018998973836E-2</v>
      </c>
    </row>
    <row r="78" spans="1:24">
      <c r="A78">
        <v>161</v>
      </c>
      <c r="B78">
        <v>9938</v>
      </c>
      <c r="C78" t="s">
        <v>1932</v>
      </c>
      <c r="D78" t="s">
        <v>1933</v>
      </c>
      <c r="E78" t="s">
        <v>41</v>
      </c>
      <c r="F78" t="s">
        <v>2821</v>
      </c>
      <c r="G78" t="s">
        <v>2822</v>
      </c>
      <c r="H78" t="s">
        <v>44</v>
      </c>
      <c r="I78" t="s">
        <v>1476</v>
      </c>
      <c r="J78" t="s">
        <v>45</v>
      </c>
      <c r="K78" t="s">
        <v>45</v>
      </c>
      <c r="L78" t="s">
        <v>46</v>
      </c>
      <c r="M78" t="s">
        <v>47</v>
      </c>
      <c r="N78" t="s">
        <v>58</v>
      </c>
      <c r="O78" t="s">
        <v>51</v>
      </c>
      <c r="P78" t="s">
        <v>52</v>
      </c>
      <c r="Q78" s="133">
        <v>5500</v>
      </c>
      <c r="R78" s="135">
        <v>1</v>
      </c>
      <c r="S78" s="139">
        <v>3375</v>
      </c>
      <c r="T78" s="133">
        <v>2.0249999999999999</v>
      </c>
      <c r="U78" s="133">
        <v>187.65</v>
      </c>
      <c r="V78" s="137">
        <v>2.4000000000000001E-5</v>
      </c>
      <c r="W78" s="137">
        <v>1.0749596025394499E-2</v>
      </c>
      <c r="X78" s="137">
        <v>2.1502697674896502E-3</v>
      </c>
    </row>
    <row r="79" spans="1:24">
      <c r="A79">
        <v>161</v>
      </c>
      <c r="B79">
        <v>9938</v>
      </c>
      <c r="C79" t="s">
        <v>1948</v>
      </c>
      <c r="D79" t="s">
        <v>1949</v>
      </c>
      <c r="E79" t="s">
        <v>41</v>
      </c>
      <c r="F79" t="s">
        <v>2920</v>
      </c>
      <c r="G79" t="s">
        <v>2921</v>
      </c>
      <c r="H79" t="s">
        <v>44</v>
      </c>
      <c r="I79" t="s">
        <v>1476</v>
      </c>
      <c r="J79" t="s">
        <v>45</v>
      </c>
      <c r="K79" t="s">
        <v>45</v>
      </c>
      <c r="L79" t="s">
        <v>46</v>
      </c>
      <c r="M79" t="s">
        <v>47</v>
      </c>
      <c r="N79" t="s">
        <v>58</v>
      </c>
      <c r="O79" t="s">
        <v>51</v>
      </c>
      <c r="P79" t="s">
        <v>52</v>
      </c>
      <c r="Q79" s="133">
        <v>7538</v>
      </c>
      <c r="R79" s="135">
        <v>1</v>
      </c>
      <c r="S79" s="139">
        <v>1923</v>
      </c>
      <c r="U79" s="133">
        <v>144.95599999999999</v>
      </c>
      <c r="V79" s="137">
        <v>1.5E-5</v>
      </c>
      <c r="W79" s="137">
        <v>8.3038403760304393E-3</v>
      </c>
      <c r="X79" s="137">
        <v>1.6610388774105499E-3</v>
      </c>
    </row>
    <row r="80" spans="1:24">
      <c r="A80">
        <v>161</v>
      </c>
      <c r="B80">
        <v>9938</v>
      </c>
      <c r="C80" t="s">
        <v>1961</v>
      </c>
      <c r="D80" t="s">
        <v>1962</v>
      </c>
      <c r="E80" t="s">
        <v>41</v>
      </c>
      <c r="F80" t="s">
        <v>2823</v>
      </c>
      <c r="G80" t="s">
        <v>2824</v>
      </c>
      <c r="H80" t="s">
        <v>44</v>
      </c>
      <c r="I80" t="s">
        <v>1476</v>
      </c>
      <c r="J80" t="s">
        <v>45</v>
      </c>
      <c r="K80" t="s">
        <v>69</v>
      </c>
      <c r="L80" t="s">
        <v>46</v>
      </c>
      <c r="M80" t="s">
        <v>47</v>
      </c>
      <c r="N80" t="s">
        <v>49</v>
      </c>
      <c r="O80" t="s">
        <v>51</v>
      </c>
      <c r="P80" t="s">
        <v>52</v>
      </c>
      <c r="Q80" s="133">
        <v>4002.2</v>
      </c>
      <c r="R80" s="135">
        <v>1</v>
      </c>
      <c r="S80" s="139">
        <v>20930</v>
      </c>
      <c r="U80" s="133">
        <v>837.66</v>
      </c>
      <c r="V80" s="137">
        <v>2.9E-5</v>
      </c>
      <c r="W80" s="137">
        <v>4.79856730692571E-2</v>
      </c>
      <c r="X80" s="137">
        <v>9.5986995073779596E-3</v>
      </c>
    </row>
    <row r="81" spans="1:24">
      <c r="A81">
        <v>161</v>
      </c>
      <c r="B81">
        <v>9938</v>
      </c>
      <c r="C81" t="s">
        <v>2322</v>
      </c>
      <c r="D81" t="s">
        <v>2323</v>
      </c>
      <c r="E81" t="s">
        <v>41</v>
      </c>
      <c r="F81" t="s">
        <v>2922</v>
      </c>
      <c r="G81" t="s">
        <v>2923</v>
      </c>
      <c r="H81" t="s">
        <v>44</v>
      </c>
      <c r="I81" t="s">
        <v>1476</v>
      </c>
      <c r="J81" t="s">
        <v>45</v>
      </c>
      <c r="K81" t="s">
        <v>45</v>
      </c>
      <c r="L81" t="s">
        <v>46</v>
      </c>
      <c r="M81" t="s">
        <v>47</v>
      </c>
      <c r="N81" t="s">
        <v>49</v>
      </c>
      <c r="O81" t="s">
        <v>51</v>
      </c>
      <c r="P81" t="s">
        <v>52</v>
      </c>
      <c r="Q81" s="133">
        <v>12080</v>
      </c>
      <c r="R81" s="135">
        <v>1</v>
      </c>
      <c r="S81" s="139">
        <v>1890</v>
      </c>
      <c r="U81" s="133">
        <v>228.31200000000001</v>
      </c>
      <c r="V81" s="137">
        <v>2.0999999999999999E-5</v>
      </c>
      <c r="W81" s="137">
        <v>1.30789329483073E-2</v>
      </c>
      <c r="X81" s="137">
        <v>2.61621311566798E-3</v>
      </c>
    </row>
    <row r="82" spans="1:24">
      <c r="A82">
        <v>161</v>
      </c>
      <c r="B82">
        <v>9938</v>
      </c>
      <c r="C82" t="s">
        <v>2540</v>
      </c>
      <c r="D82" t="s">
        <v>2541</v>
      </c>
      <c r="E82" t="s">
        <v>41</v>
      </c>
      <c r="F82" t="s">
        <v>2825</v>
      </c>
      <c r="G82" t="s">
        <v>2826</v>
      </c>
      <c r="H82" t="s">
        <v>44</v>
      </c>
      <c r="I82" t="s">
        <v>1476</v>
      </c>
      <c r="J82" t="s">
        <v>45</v>
      </c>
      <c r="K82" t="s">
        <v>45</v>
      </c>
      <c r="L82" t="s">
        <v>46</v>
      </c>
      <c r="M82" t="s">
        <v>47</v>
      </c>
      <c r="N82" t="s">
        <v>1069</v>
      </c>
      <c r="O82" t="s">
        <v>51</v>
      </c>
      <c r="P82" t="s">
        <v>52</v>
      </c>
      <c r="Q82" s="133">
        <v>58545</v>
      </c>
      <c r="R82" s="135">
        <v>1</v>
      </c>
      <c r="S82" s="139">
        <v>749</v>
      </c>
      <c r="U82" s="133">
        <v>438.50200000000001</v>
      </c>
      <c r="V82" s="137">
        <v>2.0999999999999999E-5</v>
      </c>
      <c r="W82" s="137">
        <v>2.5119743638728102E-2</v>
      </c>
      <c r="X82" s="137">
        <v>5.0247679248453803E-3</v>
      </c>
    </row>
    <row r="83" spans="1:24">
      <c r="A83">
        <v>161</v>
      </c>
      <c r="B83">
        <v>9938</v>
      </c>
      <c r="C83" t="s">
        <v>53</v>
      </c>
      <c r="D83" t="s">
        <v>54</v>
      </c>
      <c r="E83" t="s">
        <v>41</v>
      </c>
      <c r="F83" t="s">
        <v>2827</v>
      </c>
      <c r="G83" t="s">
        <v>57</v>
      </c>
      <c r="H83" t="s">
        <v>44</v>
      </c>
      <c r="I83" t="s">
        <v>1476</v>
      </c>
      <c r="J83" t="s">
        <v>45</v>
      </c>
      <c r="K83" t="s">
        <v>45</v>
      </c>
      <c r="L83" t="s">
        <v>46</v>
      </c>
      <c r="M83" t="s">
        <v>47</v>
      </c>
      <c r="N83" t="s">
        <v>58</v>
      </c>
      <c r="O83" t="s">
        <v>51</v>
      </c>
      <c r="P83" t="s">
        <v>52</v>
      </c>
      <c r="Q83" s="133">
        <v>240</v>
      </c>
      <c r="R83" s="135">
        <v>1</v>
      </c>
      <c r="S83" s="139">
        <v>71680</v>
      </c>
      <c r="U83" s="133">
        <v>172.03200000000001</v>
      </c>
      <c r="V83" s="137">
        <v>1.0000000000000001E-5</v>
      </c>
      <c r="W83" s="137">
        <v>9.85491342094676E-3</v>
      </c>
      <c r="X83" s="137">
        <v>1.97130406949523E-3</v>
      </c>
    </row>
    <row r="84" spans="1:24">
      <c r="A84">
        <v>161</v>
      </c>
      <c r="B84">
        <v>9938</v>
      </c>
      <c r="C84" t="s">
        <v>1989</v>
      </c>
      <c r="D84" t="s">
        <v>1990</v>
      </c>
      <c r="E84" t="s">
        <v>41</v>
      </c>
      <c r="F84" t="s">
        <v>2924</v>
      </c>
      <c r="G84" t="s">
        <v>2925</v>
      </c>
      <c r="H84" t="s">
        <v>44</v>
      </c>
      <c r="I84" t="s">
        <v>1476</v>
      </c>
      <c r="J84" t="s">
        <v>45</v>
      </c>
      <c r="K84" t="s">
        <v>45</v>
      </c>
      <c r="L84" t="s">
        <v>46</v>
      </c>
      <c r="M84" t="s">
        <v>47</v>
      </c>
      <c r="N84" t="s">
        <v>58</v>
      </c>
      <c r="O84" t="s">
        <v>51</v>
      </c>
      <c r="P84" t="s">
        <v>52</v>
      </c>
      <c r="Q84" s="133">
        <v>3500</v>
      </c>
      <c r="R84" s="135">
        <v>1</v>
      </c>
      <c r="S84" s="139">
        <v>3584</v>
      </c>
      <c r="U84" s="133">
        <v>125.44</v>
      </c>
      <c r="V84" s="137">
        <v>1.5999999999999999E-5</v>
      </c>
      <c r="W84" s="137">
        <v>7.1858743694403404E-3</v>
      </c>
      <c r="X84" s="137">
        <v>1.4374092173402701E-3</v>
      </c>
    </row>
    <row r="85" spans="1:24">
      <c r="A85">
        <v>161</v>
      </c>
      <c r="B85">
        <v>9938</v>
      </c>
      <c r="C85" t="s">
        <v>2926</v>
      </c>
      <c r="D85" t="s">
        <v>2927</v>
      </c>
      <c r="E85" t="s">
        <v>41</v>
      </c>
      <c r="F85" t="s">
        <v>2928</v>
      </c>
      <c r="G85" t="s">
        <v>2929</v>
      </c>
      <c r="H85" t="s">
        <v>44</v>
      </c>
      <c r="I85" t="s">
        <v>1476</v>
      </c>
      <c r="J85" t="s">
        <v>45</v>
      </c>
      <c r="K85" t="s">
        <v>45</v>
      </c>
      <c r="L85" t="s">
        <v>46</v>
      </c>
      <c r="M85" t="s">
        <v>47</v>
      </c>
      <c r="N85" t="s">
        <v>221</v>
      </c>
      <c r="O85" t="s">
        <v>51</v>
      </c>
      <c r="P85" t="s">
        <v>52</v>
      </c>
      <c r="Q85" s="133">
        <v>11345</v>
      </c>
      <c r="R85" s="135">
        <v>1</v>
      </c>
      <c r="S85" s="139">
        <v>3148</v>
      </c>
      <c r="T85" s="133">
        <v>3.9689999999999999</v>
      </c>
      <c r="U85" s="133">
        <v>361.10899999999998</v>
      </c>
      <c r="V85" s="137">
        <v>9.0000000000000002E-6</v>
      </c>
      <c r="W85" s="137">
        <v>2.06862739728478E-2</v>
      </c>
      <c r="X85" s="137">
        <v>4.1379294087649596E-3</v>
      </c>
    </row>
    <row r="86" spans="1:24">
      <c r="A86">
        <v>161</v>
      </c>
      <c r="B86">
        <v>9938</v>
      </c>
      <c r="C86" t="s">
        <v>2930</v>
      </c>
      <c r="D86" t="s">
        <v>2931</v>
      </c>
      <c r="E86" t="s">
        <v>41</v>
      </c>
      <c r="F86" t="s">
        <v>2932</v>
      </c>
      <c r="G86" t="s">
        <v>2933</v>
      </c>
      <c r="H86" t="s">
        <v>44</v>
      </c>
      <c r="I86" t="s">
        <v>1476</v>
      </c>
      <c r="J86" t="s">
        <v>45</v>
      </c>
      <c r="K86" t="s">
        <v>45</v>
      </c>
      <c r="L86" t="s">
        <v>46</v>
      </c>
      <c r="M86" t="s">
        <v>47</v>
      </c>
      <c r="N86" t="s">
        <v>1038</v>
      </c>
      <c r="O86" t="s">
        <v>51</v>
      </c>
      <c r="P86" t="s">
        <v>52</v>
      </c>
      <c r="Q86" s="133">
        <v>420</v>
      </c>
      <c r="R86" s="135">
        <v>1</v>
      </c>
      <c r="S86" s="139">
        <v>42240</v>
      </c>
      <c r="U86" s="133">
        <v>177.40799999999999</v>
      </c>
      <c r="V86" s="137">
        <v>1.9000000000000001E-5</v>
      </c>
      <c r="W86" s="137">
        <v>1.0162879465351301E-2</v>
      </c>
      <c r="X86" s="137">
        <v>2.0329073216669501E-3</v>
      </c>
    </row>
    <row r="87" spans="1:24">
      <c r="A87">
        <v>161</v>
      </c>
      <c r="B87">
        <v>9938</v>
      </c>
      <c r="C87" t="s">
        <v>2828</v>
      </c>
      <c r="D87" t="s">
        <v>2829</v>
      </c>
      <c r="E87" t="s">
        <v>41</v>
      </c>
      <c r="F87" t="s">
        <v>2830</v>
      </c>
      <c r="G87" t="s">
        <v>2831</v>
      </c>
      <c r="H87" t="s">
        <v>44</v>
      </c>
      <c r="I87" t="s">
        <v>1476</v>
      </c>
      <c r="J87" t="s">
        <v>45</v>
      </c>
      <c r="K87" t="s">
        <v>45</v>
      </c>
      <c r="L87" t="s">
        <v>46</v>
      </c>
      <c r="M87" t="s">
        <v>47</v>
      </c>
      <c r="N87" s="125" t="s">
        <v>1063</v>
      </c>
      <c r="O87" t="s">
        <v>51</v>
      </c>
      <c r="P87" t="s">
        <v>52</v>
      </c>
      <c r="Q87" s="133">
        <v>1300</v>
      </c>
      <c r="R87" s="135">
        <v>1</v>
      </c>
      <c r="S87" s="139">
        <v>13860</v>
      </c>
      <c r="U87" s="133">
        <v>180.18</v>
      </c>
      <c r="V87" s="137">
        <v>1.2E-5</v>
      </c>
      <c r="W87" s="137">
        <v>1.03216744569975E-2</v>
      </c>
      <c r="X87" s="137">
        <v>2.0646714985679999E-3</v>
      </c>
    </row>
    <row r="88" spans="1:24">
      <c r="A88">
        <v>161</v>
      </c>
      <c r="B88">
        <v>9938</v>
      </c>
      <c r="C88" t="s">
        <v>2030</v>
      </c>
      <c r="D88" t="s">
        <v>2031</v>
      </c>
      <c r="E88" t="s">
        <v>41</v>
      </c>
      <c r="F88" t="s">
        <v>2832</v>
      </c>
      <c r="G88" t="s">
        <v>2833</v>
      </c>
      <c r="H88" t="s">
        <v>44</v>
      </c>
      <c r="I88" t="s">
        <v>1476</v>
      </c>
      <c r="J88" t="s">
        <v>45</v>
      </c>
      <c r="K88" t="s">
        <v>45</v>
      </c>
      <c r="L88" t="s">
        <v>46</v>
      </c>
      <c r="M88" t="s">
        <v>47</v>
      </c>
      <c r="N88" t="s">
        <v>1037</v>
      </c>
      <c r="O88" t="s">
        <v>51</v>
      </c>
      <c r="P88" t="s">
        <v>52</v>
      </c>
      <c r="Q88" s="133">
        <v>4643</v>
      </c>
      <c r="R88" s="135">
        <v>1</v>
      </c>
      <c r="S88" s="139">
        <v>16600</v>
      </c>
      <c r="U88" s="133">
        <v>770.73800000000006</v>
      </c>
      <c r="V88" s="137">
        <v>1.8E-5</v>
      </c>
      <c r="W88" s="137">
        <v>4.4151996490383497E-2</v>
      </c>
      <c r="X88" s="137">
        <v>8.8318391689604994E-3</v>
      </c>
    </row>
    <row r="89" spans="1:24">
      <c r="A89">
        <v>161</v>
      </c>
      <c r="B89">
        <v>9938</v>
      </c>
      <c r="C89" t="s">
        <v>2834</v>
      </c>
      <c r="D89" t="s">
        <v>2835</v>
      </c>
      <c r="E89" t="s">
        <v>41</v>
      </c>
      <c r="F89" t="s">
        <v>2836</v>
      </c>
      <c r="G89" t="s">
        <v>2837</v>
      </c>
      <c r="H89" t="s">
        <v>44</v>
      </c>
      <c r="I89" t="s">
        <v>1476</v>
      </c>
      <c r="J89" t="s">
        <v>45</v>
      </c>
      <c r="K89" t="s">
        <v>264</v>
      </c>
      <c r="L89" t="s">
        <v>46</v>
      </c>
      <c r="M89" t="s">
        <v>47</v>
      </c>
      <c r="N89" t="s">
        <v>1045</v>
      </c>
      <c r="O89" t="s">
        <v>51</v>
      </c>
      <c r="P89" t="s">
        <v>52</v>
      </c>
      <c r="Q89" s="133">
        <v>670</v>
      </c>
      <c r="R89" s="135">
        <v>1</v>
      </c>
      <c r="S89" s="139">
        <v>53870</v>
      </c>
      <c r="U89" s="133">
        <v>360.92899999999997</v>
      </c>
      <c r="V89" s="137">
        <v>6.0000000000000002E-6</v>
      </c>
      <c r="W89" s="137">
        <v>2.0675944278441799E-2</v>
      </c>
      <c r="X89" s="137">
        <v>4.13586313301504E-3</v>
      </c>
    </row>
    <row r="90" spans="1:24">
      <c r="A90">
        <v>161</v>
      </c>
      <c r="B90">
        <v>9938</v>
      </c>
      <c r="C90" t="s">
        <v>2838</v>
      </c>
      <c r="D90" t="s">
        <v>2839</v>
      </c>
      <c r="E90" t="s">
        <v>41</v>
      </c>
      <c r="F90" t="s">
        <v>2840</v>
      </c>
      <c r="G90" t="s">
        <v>2841</v>
      </c>
      <c r="H90" t="s">
        <v>44</v>
      </c>
      <c r="I90" t="s">
        <v>1476</v>
      </c>
      <c r="J90" t="s">
        <v>45</v>
      </c>
      <c r="K90" t="s">
        <v>69</v>
      </c>
      <c r="L90" t="s">
        <v>46</v>
      </c>
      <c r="M90" t="s">
        <v>47</v>
      </c>
      <c r="N90" t="s">
        <v>1052</v>
      </c>
      <c r="O90" t="s">
        <v>51</v>
      </c>
      <c r="P90" t="s">
        <v>52</v>
      </c>
      <c r="Q90" s="133">
        <v>10107</v>
      </c>
      <c r="R90" s="135">
        <v>1</v>
      </c>
      <c r="S90" s="139">
        <v>9239</v>
      </c>
      <c r="U90" s="133">
        <v>933.78599999999994</v>
      </c>
      <c r="V90" s="137">
        <v>7.9999999999999996E-6</v>
      </c>
      <c r="W90" s="137">
        <v>5.3492242855198803E-2</v>
      </c>
      <c r="X90" s="137">
        <v>1.0700193043070899E-2</v>
      </c>
    </row>
    <row r="91" spans="1:24">
      <c r="A91">
        <v>161</v>
      </c>
      <c r="B91">
        <v>9938</v>
      </c>
      <c r="C91" t="s">
        <v>2628</v>
      </c>
      <c r="D91" t="s">
        <v>2629</v>
      </c>
      <c r="E91" t="s">
        <v>41</v>
      </c>
      <c r="F91" t="s">
        <v>2842</v>
      </c>
      <c r="G91" t="s">
        <v>2843</v>
      </c>
      <c r="H91" t="s">
        <v>44</v>
      </c>
      <c r="I91" t="s">
        <v>1476</v>
      </c>
      <c r="J91" t="s">
        <v>45</v>
      </c>
      <c r="K91" t="s">
        <v>45</v>
      </c>
      <c r="L91" t="s">
        <v>46</v>
      </c>
      <c r="M91" t="s">
        <v>47</v>
      </c>
      <c r="N91" t="s">
        <v>1038</v>
      </c>
      <c r="O91" t="s">
        <v>51</v>
      </c>
      <c r="P91" t="s">
        <v>52</v>
      </c>
      <c r="Q91" s="133">
        <v>6119</v>
      </c>
      <c r="R91" s="135">
        <v>1</v>
      </c>
      <c r="S91" s="139">
        <v>1751</v>
      </c>
      <c r="T91" s="133">
        <v>0.44800000000000001</v>
      </c>
      <c r="U91" s="133">
        <v>107.592</v>
      </c>
      <c r="V91" s="137">
        <v>1.8E-5</v>
      </c>
      <c r="W91" s="137">
        <v>6.1634540261318602E-3</v>
      </c>
      <c r="X91" s="137">
        <v>1.23289180583113E-3</v>
      </c>
    </row>
    <row r="92" spans="1:24">
      <c r="A92">
        <v>161</v>
      </c>
      <c r="B92">
        <v>9938</v>
      </c>
      <c r="C92" t="s">
        <v>2348</v>
      </c>
      <c r="D92" t="s">
        <v>2349</v>
      </c>
      <c r="E92" t="s">
        <v>41</v>
      </c>
      <c r="F92" t="s">
        <v>2948</v>
      </c>
      <c r="G92" t="s">
        <v>2949</v>
      </c>
      <c r="H92" t="s">
        <v>44</v>
      </c>
      <c r="I92" t="s">
        <v>1476</v>
      </c>
      <c r="J92" t="s">
        <v>45</v>
      </c>
      <c r="K92" t="s">
        <v>45</v>
      </c>
      <c r="L92" t="s">
        <v>46</v>
      </c>
      <c r="M92" t="s">
        <v>47</v>
      </c>
      <c r="N92" t="s">
        <v>1037</v>
      </c>
      <c r="O92" t="s">
        <v>51</v>
      </c>
      <c r="P92" t="s">
        <v>52</v>
      </c>
      <c r="Q92" s="133">
        <v>2710</v>
      </c>
      <c r="R92" s="135">
        <v>1</v>
      </c>
      <c r="S92" s="139">
        <v>22200</v>
      </c>
      <c r="U92" s="133">
        <v>601.62</v>
      </c>
      <c r="V92" s="137">
        <v>3.4E-5</v>
      </c>
      <c r="W92" s="137">
        <v>3.4464012580856997E-2</v>
      </c>
      <c r="X92" s="137">
        <v>6.8939264456015104E-3</v>
      </c>
    </row>
    <row r="93" spans="1:24">
      <c r="A93">
        <v>161</v>
      </c>
      <c r="B93">
        <v>9938</v>
      </c>
      <c r="C93" t="s">
        <v>216</v>
      </c>
      <c r="D93" t="s">
        <v>217</v>
      </c>
      <c r="E93" t="s">
        <v>41</v>
      </c>
      <c r="F93" t="s">
        <v>2844</v>
      </c>
      <c r="G93" t="s">
        <v>2845</v>
      </c>
      <c r="H93" t="s">
        <v>44</v>
      </c>
      <c r="I93" t="s">
        <v>1476</v>
      </c>
      <c r="J93" t="s">
        <v>45</v>
      </c>
      <c r="K93" t="s">
        <v>45</v>
      </c>
      <c r="L93" t="s">
        <v>46</v>
      </c>
      <c r="M93" t="s">
        <v>47</v>
      </c>
      <c r="N93" t="s">
        <v>221</v>
      </c>
      <c r="O93" t="s">
        <v>51</v>
      </c>
      <c r="P93" t="s">
        <v>52</v>
      </c>
      <c r="Q93" s="133">
        <v>18111</v>
      </c>
      <c r="R93" s="135">
        <v>1</v>
      </c>
      <c r="S93" s="139">
        <v>6979</v>
      </c>
      <c r="U93" s="133">
        <v>1263.9670000000001</v>
      </c>
      <c r="V93" s="137">
        <v>1.1E-5</v>
      </c>
      <c r="W93" s="137">
        <v>7.2406774884385794E-2</v>
      </c>
      <c r="X93" s="137">
        <v>1.4483716283618201E-2</v>
      </c>
    </row>
    <row r="94" spans="1:24">
      <c r="A94">
        <v>161</v>
      </c>
      <c r="B94">
        <v>9938</v>
      </c>
      <c r="C94" t="s">
        <v>2151</v>
      </c>
      <c r="D94" t="s">
        <v>2152</v>
      </c>
      <c r="E94" t="s">
        <v>41</v>
      </c>
      <c r="F94" t="s">
        <v>2846</v>
      </c>
      <c r="G94" t="s">
        <v>2847</v>
      </c>
      <c r="H94" t="s">
        <v>44</v>
      </c>
      <c r="I94" t="s">
        <v>1476</v>
      </c>
      <c r="J94" t="s">
        <v>45</v>
      </c>
      <c r="K94" t="s">
        <v>45</v>
      </c>
      <c r="L94" t="s">
        <v>46</v>
      </c>
      <c r="M94" t="s">
        <v>47</v>
      </c>
      <c r="N94" t="s">
        <v>58</v>
      </c>
      <c r="O94" t="s">
        <v>51</v>
      </c>
      <c r="P94" t="s">
        <v>52</v>
      </c>
      <c r="Q94" s="133">
        <v>520</v>
      </c>
      <c r="R94" s="135">
        <v>1</v>
      </c>
      <c r="S94" s="139">
        <v>50060</v>
      </c>
      <c r="U94" s="133">
        <v>260.31200000000001</v>
      </c>
      <c r="V94" s="137">
        <v>1.4E-5</v>
      </c>
      <c r="W94" s="137">
        <v>1.4912064165001199E-2</v>
      </c>
      <c r="X94" s="137">
        <v>2.9828991404996798E-3</v>
      </c>
    </row>
    <row r="95" spans="1:24">
      <c r="A95">
        <v>161</v>
      </c>
      <c r="B95">
        <v>9938</v>
      </c>
      <c r="C95" t="s">
        <v>2301</v>
      </c>
      <c r="D95" t="s">
        <v>2302</v>
      </c>
      <c r="E95" t="s">
        <v>41</v>
      </c>
      <c r="F95" t="s">
        <v>2934</v>
      </c>
      <c r="G95" t="s">
        <v>2935</v>
      </c>
      <c r="H95" t="s">
        <v>44</v>
      </c>
      <c r="I95" t="s">
        <v>1476</v>
      </c>
      <c r="J95" t="s">
        <v>45</v>
      </c>
      <c r="K95" t="s">
        <v>45</v>
      </c>
      <c r="L95" t="s">
        <v>46</v>
      </c>
      <c r="M95" t="s">
        <v>47</v>
      </c>
      <c r="N95" t="s">
        <v>221</v>
      </c>
      <c r="O95" t="s">
        <v>51</v>
      </c>
      <c r="P95" t="s">
        <v>52</v>
      </c>
      <c r="Q95" s="133">
        <v>2025</v>
      </c>
      <c r="R95" s="135">
        <v>1</v>
      </c>
      <c r="S95" s="139">
        <v>22780</v>
      </c>
      <c r="U95" s="133">
        <v>461.29500000000002</v>
      </c>
      <c r="V95" s="137">
        <v>7.9999999999999996E-6</v>
      </c>
      <c r="W95" s="137">
        <v>2.6425445768901299E-2</v>
      </c>
      <c r="X95" s="137">
        <v>5.2859509320231203E-3</v>
      </c>
    </row>
    <row r="96" spans="1:24">
      <c r="A96">
        <v>161</v>
      </c>
      <c r="B96">
        <v>9938</v>
      </c>
      <c r="C96" t="s">
        <v>2848</v>
      </c>
      <c r="D96" t="s">
        <v>2849</v>
      </c>
      <c r="E96" t="s">
        <v>41</v>
      </c>
      <c r="F96" t="s">
        <v>2850</v>
      </c>
      <c r="G96" t="s">
        <v>2851</v>
      </c>
      <c r="H96" t="s">
        <v>44</v>
      </c>
      <c r="I96" t="s">
        <v>1476</v>
      </c>
      <c r="J96" t="s">
        <v>45</v>
      </c>
      <c r="K96" t="s">
        <v>45</v>
      </c>
      <c r="L96" t="s">
        <v>46</v>
      </c>
      <c r="M96" t="s">
        <v>47</v>
      </c>
      <c r="N96" s="125" t="s">
        <v>1061</v>
      </c>
      <c r="O96" t="s">
        <v>51</v>
      </c>
      <c r="P96" t="s">
        <v>52</v>
      </c>
      <c r="Q96" s="133">
        <v>1200</v>
      </c>
      <c r="R96" s="135">
        <v>1</v>
      </c>
      <c r="S96" s="139">
        <v>8714</v>
      </c>
      <c r="U96" s="133">
        <v>104.568</v>
      </c>
      <c r="V96" s="137">
        <v>1.2999999999999999E-5</v>
      </c>
      <c r="W96" s="137">
        <v>5.9902145333517003E-3</v>
      </c>
      <c r="X96" s="137">
        <v>1.1982382576437901E-3</v>
      </c>
    </row>
    <row r="97" spans="1:24">
      <c r="A97">
        <v>161</v>
      </c>
      <c r="B97">
        <v>9938</v>
      </c>
      <c r="C97" t="s">
        <v>2191</v>
      </c>
      <c r="D97" t="s">
        <v>2192</v>
      </c>
      <c r="E97" t="s">
        <v>41</v>
      </c>
      <c r="F97" t="s">
        <v>2852</v>
      </c>
      <c r="G97" t="s">
        <v>2853</v>
      </c>
      <c r="H97" t="s">
        <v>44</v>
      </c>
      <c r="I97" t="s">
        <v>1476</v>
      </c>
      <c r="J97" t="s">
        <v>45</v>
      </c>
      <c r="K97" t="s">
        <v>45</v>
      </c>
      <c r="L97" t="s">
        <v>46</v>
      </c>
      <c r="M97" t="s">
        <v>47</v>
      </c>
      <c r="N97" t="s">
        <v>58</v>
      </c>
      <c r="O97" t="s">
        <v>51</v>
      </c>
      <c r="P97" t="s">
        <v>52</v>
      </c>
      <c r="Q97" s="133">
        <v>954</v>
      </c>
      <c r="R97" s="135">
        <v>1</v>
      </c>
      <c r="S97" s="139">
        <v>40600</v>
      </c>
      <c r="T97" s="133">
        <v>1.8</v>
      </c>
      <c r="U97" s="133">
        <v>389.12400000000002</v>
      </c>
      <c r="V97" s="137">
        <v>2.0000000000000002E-5</v>
      </c>
      <c r="W97" s="137">
        <v>2.2291121922005899E-2</v>
      </c>
      <c r="X97" s="137">
        <v>4.4589513353880802E-3</v>
      </c>
    </row>
    <row r="98" spans="1:24">
      <c r="A98">
        <v>161</v>
      </c>
      <c r="B98">
        <v>9938</v>
      </c>
      <c r="C98" t="s">
        <v>2427</v>
      </c>
      <c r="D98" t="s">
        <v>2428</v>
      </c>
      <c r="E98" t="s">
        <v>41</v>
      </c>
      <c r="F98" t="s">
        <v>2854</v>
      </c>
      <c r="G98" t="s">
        <v>2855</v>
      </c>
      <c r="H98" t="s">
        <v>44</v>
      </c>
      <c r="I98" t="s">
        <v>1476</v>
      </c>
      <c r="J98" t="s">
        <v>45</v>
      </c>
      <c r="K98" t="s">
        <v>45</v>
      </c>
      <c r="L98" t="s">
        <v>46</v>
      </c>
      <c r="M98" t="s">
        <v>47</v>
      </c>
      <c r="N98" t="s">
        <v>1037</v>
      </c>
      <c r="O98" t="s">
        <v>51</v>
      </c>
      <c r="P98" t="s">
        <v>52</v>
      </c>
      <c r="Q98" s="133">
        <v>400</v>
      </c>
      <c r="R98" s="135">
        <v>1</v>
      </c>
      <c r="S98" s="139">
        <v>45370</v>
      </c>
      <c r="U98" s="133">
        <v>181.48</v>
      </c>
      <c r="V98" s="137">
        <v>6.0000000000000002E-6</v>
      </c>
      <c r="W98" s="137">
        <v>1.0396145412675599E-2</v>
      </c>
      <c r="X98" s="137">
        <v>2.0795681183267902E-3</v>
      </c>
    </row>
    <row r="99" spans="1:24">
      <c r="A99">
        <v>161</v>
      </c>
      <c r="B99">
        <v>9938</v>
      </c>
      <c r="C99" t="s">
        <v>2693</v>
      </c>
      <c r="D99" t="s">
        <v>2694</v>
      </c>
      <c r="E99" t="s">
        <v>146</v>
      </c>
      <c r="F99" t="s">
        <v>2856</v>
      </c>
      <c r="G99" t="s">
        <v>2857</v>
      </c>
      <c r="H99" t="s">
        <v>44</v>
      </c>
      <c r="I99" t="s">
        <v>1476</v>
      </c>
      <c r="J99" t="s">
        <v>45</v>
      </c>
      <c r="K99" t="s">
        <v>69</v>
      </c>
      <c r="L99" t="s">
        <v>46</v>
      </c>
      <c r="M99" t="s">
        <v>47</v>
      </c>
      <c r="N99" t="s">
        <v>210</v>
      </c>
      <c r="O99" t="s">
        <v>51</v>
      </c>
      <c r="P99" t="s">
        <v>52</v>
      </c>
      <c r="Q99" s="133">
        <v>5230</v>
      </c>
      <c r="R99" s="135">
        <v>1</v>
      </c>
      <c r="S99" s="139">
        <v>12900</v>
      </c>
      <c r="U99" s="133">
        <v>674.67</v>
      </c>
      <c r="V99" s="137">
        <v>4.3999999999999999E-5</v>
      </c>
      <c r="W99" s="137">
        <v>3.8648707436466201E-2</v>
      </c>
      <c r="X99" s="137">
        <v>7.73100188666263E-3</v>
      </c>
    </row>
    <row r="100" spans="1:24">
      <c r="A100">
        <v>161</v>
      </c>
      <c r="B100">
        <v>9938</v>
      </c>
      <c r="C100" t="s">
        <v>2905</v>
      </c>
      <c r="D100" t="s">
        <v>2906</v>
      </c>
      <c r="E100" t="s">
        <v>41</v>
      </c>
      <c r="F100" t="s">
        <v>2950</v>
      </c>
      <c r="G100" t="s">
        <v>2908</v>
      </c>
      <c r="H100" t="s">
        <v>44</v>
      </c>
      <c r="I100" t="s">
        <v>1476</v>
      </c>
      <c r="J100" t="s">
        <v>45</v>
      </c>
      <c r="K100" t="s">
        <v>264</v>
      </c>
      <c r="L100" t="s">
        <v>46</v>
      </c>
      <c r="M100" t="s">
        <v>47</v>
      </c>
      <c r="N100" t="s">
        <v>1045</v>
      </c>
      <c r="O100" t="s">
        <v>51</v>
      </c>
      <c r="P100" t="s">
        <v>52</v>
      </c>
      <c r="Q100" s="133">
        <v>340</v>
      </c>
      <c r="R100" s="135">
        <v>1</v>
      </c>
      <c r="S100" s="139">
        <v>135650</v>
      </c>
      <c r="U100" s="133">
        <v>461.21</v>
      </c>
      <c r="V100" s="137">
        <v>1.1E-5</v>
      </c>
      <c r="W100" s="137">
        <v>2.6420576514107001E-2</v>
      </c>
      <c r="X100" s="137">
        <v>5.2849769222696602E-3</v>
      </c>
    </row>
    <row r="101" spans="1:24">
      <c r="A101">
        <v>161</v>
      </c>
      <c r="B101">
        <v>9938</v>
      </c>
      <c r="C101" t="s">
        <v>2858</v>
      </c>
      <c r="D101" t="s">
        <v>2859</v>
      </c>
      <c r="E101" t="s">
        <v>146</v>
      </c>
      <c r="F101" t="s">
        <v>2860</v>
      </c>
      <c r="G101" t="s">
        <v>2861</v>
      </c>
      <c r="H101" t="s">
        <v>44</v>
      </c>
      <c r="I101" t="s">
        <v>1476</v>
      </c>
      <c r="J101" t="s">
        <v>45</v>
      </c>
      <c r="K101" t="s">
        <v>45</v>
      </c>
      <c r="L101" t="s">
        <v>46</v>
      </c>
      <c r="M101" t="s">
        <v>47</v>
      </c>
      <c r="N101" t="s">
        <v>210</v>
      </c>
      <c r="O101" t="s">
        <v>51</v>
      </c>
      <c r="P101" t="s">
        <v>52</v>
      </c>
      <c r="Q101" s="133">
        <v>16825</v>
      </c>
      <c r="R101" s="135">
        <v>1</v>
      </c>
      <c r="S101" s="139">
        <v>1799</v>
      </c>
      <c r="U101" s="133">
        <v>302.68200000000002</v>
      </c>
      <c r="V101" s="137">
        <v>1.4E-5</v>
      </c>
      <c r="W101" s="137">
        <v>1.73392301452675E-2</v>
      </c>
      <c r="X101" s="137">
        <v>3.4684114905188402E-3</v>
      </c>
    </row>
    <row r="102" spans="1:24">
      <c r="A102">
        <v>161</v>
      </c>
      <c r="B102">
        <v>9938</v>
      </c>
      <c r="C102" t="s">
        <v>2936</v>
      </c>
      <c r="D102" t="s">
        <v>2937</v>
      </c>
      <c r="E102" t="s">
        <v>41</v>
      </c>
      <c r="F102" t="s">
        <v>2938</v>
      </c>
      <c r="G102" t="s">
        <v>2939</v>
      </c>
      <c r="H102" t="s">
        <v>44</v>
      </c>
      <c r="I102" t="s">
        <v>1476</v>
      </c>
      <c r="J102" t="s">
        <v>45</v>
      </c>
      <c r="K102" t="s">
        <v>69</v>
      </c>
      <c r="L102" t="s">
        <v>46</v>
      </c>
      <c r="M102" t="s">
        <v>47</v>
      </c>
      <c r="N102" t="s">
        <v>1065</v>
      </c>
      <c r="O102" t="s">
        <v>51</v>
      </c>
      <c r="P102" t="s">
        <v>52</v>
      </c>
      <c r="Q102" s="133">
        <v>508</v>
      </c>
      <c r="R102" s="135">
        <v>1</v>
      </c>
      <c r="S102" s="139">
        <v>34690</v>
      </c>
      <c r="U102" s="133">
        <v>176.22499999999999</v>
      </c>
      <c r="V102" s="137">
        <v>6.9999999999999999E-6</v>
      </c>
      <c r="W102" s="137">
        <v>1.00951223527543E-2</v>
      </c>
      <c r="X102" s="137">
        <v>2.01935368947411E-3</v>
      </c>
    </row>
    <row r="103" spans="1:24">
      <c r="A103">
        <v>161</v>
      </c>
      <c r="B103">
        <v>9938</v>
      </c>
      <c r="C103" t="s">
        <v>2862</v>
      </c>
      <c r="D103" t="s">
        <v>2863</v>
      </c>
      <c r="E103" t="s">
        <v>41</v>
      </c>
      <c r="F103" t="s">
        <v>2862</v>
      </c>
      <c r="G103" t="s">
        <v>2864</v>
      </c>
      <c r="H103" t="s">
        <v>44</v>
      </c>
      <c r="I103" t="s">
        <v>1476</v>
      </c>
      <c r="J103" t="s">
        <v>45</v>
      </c>
      <c r="K103" t="s">
        <v>45</v>
      </c>
      <c r="L103" t="s">
        <v>46</v>
      </c>
      <c r="M103" t="s">
        <v>47</v>
      </c>
      <c r="N103" t="s">
        <v>1033</v>
      </c>
      <c r="O103" t="s">
        <v>51</v>
      </c>
      <c r="P103" t="s">
        <v>52</v>
      </c>
      <c r="Q103" s="133">
        <v>2630</v>
      </c>
      <c r="R103" s="135">
        <v>1</v>
      </c>
      <c r="S103" s="139">
        <v>30500</v>
      </c>
      <c r="U103" s="133">
        <v>802.15</v>
      </c>
      <c r="V103" s="137">
        <v>2.9E-5</v>
      </c>
      <c r="W103" s="137">
        <v>4.5951443920970801E-2</v>
      </c>
      <c r="X103" s="137">
        <v>9.1917873380859202E-3</v>
      </c>
    </row>
    <row r="104" spans="1:24">
      <c r="A104">
        <v>161</v>
      </c>
      <c r="B104">
        <v>9938</v>
      </c>
      <c r="C104" t="s">
        <v>2226</v>
      </c>
      <c r="D104" t="s">
        <v>2227</v>
      </c>
      <c r="E104" t="s">
        <v>41</v>
      </c>
      <c r="F104" t="s">
        <v>2865</v>
      </c>
      <c r="G104" t="s">
        <v>2866</v>
      </c>
      <c r="H104" t="s">
        <v>44</v>
      </c>
      <c r="I104" t="s">
        <v>1476</v>
      </c>
      <c r="J104" t="s">
        <v>45</v>
      </c>
      <c r="K104" t="s">
        <v>45</v>
      </c>
      <c r="L104" t="s">
        <v>46</v>
      </c>
      <c r="M104" t="s">
        <v>47</v>
      </c>
      <c r="N104" t="s">
        <v>58</v>
      </c>
      <c r="O104" t="s">
        <v>51</v>
      </c>
      <c r="P104" t="s">
        <v>52</v>
      </c>
      <c r="Q104" s="133">
        <v>699</v>
      </c>
      <c r="R104" s="135">
        <v>1</v>
      </c>
      <c r="S104" s="139">
        <v>41870</v>
      </c>
      <c r="U104" s="133">
        <v>292.67099999999999</v>
      </c>
      <c r="V104" s="137">
        <v>6.0000000000000002E-6</v>
      </c>
      <c r="W104" s="137">
        <v>1.67657780081376E-2</v>
      </c>
      <c r="X104" s="137">
        <v>3.3537023618539501E-3</v>
      </c>
    </row>
    <row r="105" spans="1:24">
      <c r="A105">
        <v>161</v>
      </c>
      <c r="B105">
        <v>9938</v>
      </c>
      <c r="C105" t="s">
        <v>2236</v>
      </c>
      <c r="D105" t="s">
        <v>2237</v>
      </c>
      <c r="E105" t="s">
        <v>41</v>
      </c>
      <c r="F105" t="s">
        <v>2867</v>
      </c>
      <c r="G105" t="s">
        <v>2868</v>
      </c>
      <c r="H105" t="s">
        <v>44</v>
      </c>
      <c r="I105" t="s">
        <v>1476</v>
      </c>
      <c r="J105" t="s">
        <v>45</v>
      </c>
      <c r="K105" t="s">
        <v>45</v>
      </c>
      <c r="L105" t="s">
        <v>46</v>
      </c>
      <c r="M105" t="s">
        <v>47</v>
      </c>
      <c r="N105" t="s">
        <v>221</v>
      </c>
      <c r="O105" t="s">
        <v>51</v>
      </c>
      <c r="P105" t="s">
        <v>52</v>
      </c>
      <c r="Q105" s="133">
        <v>16882</v>
      </c>
      <c r="R105" s="135">
        <v>1</v>
      </c>
      <c r="S105" s="139">
        <v>7332</v>
      </c>
      <c r="U105" s="133">
        <v>1237.788</v>
      </c>
      <c r="V105" s="137">
        <v>1.2999999999999999E-5</v>
      </c>
      <c r="W105" s="137">
        <v>7.0907133200021302E-2</v>
      </c>
      <c r="X105" s="137">
        <v>1.41837390409071E-2</v>
      </c>
    </row>
    <row r="106" spans="1:24">
      <c r="A106">
        <v>161</v>
      </c>
      <c r="B106">
        <v>9938</v>
      </c>
      <c r="C106" t="s">
        <v>2869</v>
      </c>
      <c r="D106" t="s">
        <v>2870</v>
      </c>
      <c r="E106" t="s">
        <v>41</v>
      </c>
      <c r="F106" t="s">
        <v>2871</v>
      </c>
      <c r="G106" t="s">
        <v>2872</v>
      </c>
      <c r="H106" t="s">
        <v>44</v>
      </c>
      <c r="I106" t="s">
        <v>1476</v>
      </c>
      <c r="J106" t="s">
        <v>45</v>
      </c>
      <c r="K106" t="s">
        <v>45</v>
      </c>
      <c r="L106" t="s">
        <v>46</v>
      </c>
      <c r="M106" t="s">
        <v>47</v>
      </c>
      <c r="N106" t="s">
        <v>1032</v>
      </c>
      <c r="O106" t="s">
        <v>51</v>
      </c>
      <c r="P106" t="s">
        <v>52</v>
      </c>
      <c r="Q106" s="133">
        <v>700</v>
      </c>
      <c r="R106" s="135">
        <v>1</v>
      </c>
      <c r="S106" s="139">
        <v>26010</v>
      </c>
      <c r="U106" s="133">
        <v>182.07</v>
      </c>
      <c r="V106" s="137">
        <v>7.6000000000000004E-5</v>
      </c>
      <c r="W106" s="137">
        <v>1.0429943769483399E-2</v>
      </c>
      <c r="X106" s="137">
        <v>2.0863288919096201E-3</v>
      </c>
    </row>
    <row r="107" spans="1:24">
      <c r="A107">
        <v>161</v>
      </c>
      <c r="B107">
        <v>9938</v>
      </c>
      <c r="C107" t="s">
        <v>2873</v>
      </c>
      <c r="D107" t="s">
        <v>2874</v>
      </c>
      <c r="E107" t="s">
        <v>41</v>
      </c>
      <c r="F107" t="s">
        <v>2875</v>
      </c>
      <c r="G107" t="s">
        <v>2876</v>
      </c>
      <c r="H107" t="s">
        <v>44</v>
      </c>
      <c r="I107" t="s">
        <v>1476</v>
      </c>
      <c r="J107" t="s">
        <v>45</v>
      </c>
      <c r="K107" t="s">
        <v>45</v>
      </c>
      <c r="L107" t="s">
        <v>46</v>
      </c>
      <c r="M107" t="s">
        <v>47</v>
      </c>
      <c r="N107" t="s">
        <v>1069</v>
      </c>
      <c r="O107" t="s">
        <v>51</v>
      </c>
      <c r="P107" t="s">
        <v>52</v>
      </c>
      <c r="Q107" s="133">
        <v>9240</v>
      </c>
      <c r="R107" s="135">
        <v>1</v>
      </c>
      <c r="S107" s="139">
        <v>3509</v>
      </c>
      <c r="U107" s="133">
        <v>324.23200000000003</v>
      </c>
      <c r="V107" s="137">
        <v>4.8000000000000001E-5</v>
      </c>
      <c r="W107" s="137">
        <v>1.8573720856207201E-2</v>
      </c>
      <c r="X107" s="137">
        <v>3.7153498915256998E-3</v>
      </c>
    </row>
    <row r="108" spans="1:24">
      <c r="A108">
        <v>161</v>
      </c>
      <c r="B108">
        <v>9938</v>
      </c>
      <c r="C108" t="s">
        <v>2877</v>
      </c>
      <c r="D108" t="s">
        <v>2878</v>
      </c>
      <c r="E108" t="s">
        <v>41</v>
      </c>
      <c r="F108" t="s">
        <v>2879</v>
      </c>
      <c r="G108" t="s">
        <v>2880</v>
      </c>
      <c r="H108" t="s">
        <v>44</v>
      </c>
      <c r="I108" t="s">
        <v>1476</v>
      </c>
      <c r="J108" t="s">
        <v>45</v>
      </c>
      <c r="K108" t="s">
        <v>45</v>
      </c>
      <c r="L108" t="s">
        <v>46</v>
      </c>
      <c r="M108" t="s">
        <v>47</v>
      </c>
      <c r="N108" t="s">
        <v>1049</v>
      </c>
      <c r="O108" t="s">
        <v>51</v>
      </c>
      <c r="P108" t="s">
        <v>52</v>
      </c>
      <c r="Q108" s="133">
        <v>19241</v>
      </c>
      <c r="R108" s="135">
        <v>1</v>
      </c>
      <c r="S108" s="139">
        <v>805.7</v>
      </c>
      <c r="T108" s="133">
        <v>3.335</v>
      </c>
      <c r="U108" s="133">
        <v>158.36000000000001</v>
      </c>
      <c r="V108" s="137">
        <v>6.7000000000000002E-5</v>
      </c>
      <c r="W108" s="137">
        <v>9.0716867411785203E-3</v>
      </c>
      <c r="X108" s="137">
        <v>1.8146331912019099E-3</v>
      </c>
    </row>
    <row r="109" spans="1:24">
      <c r="A109">
        <v>161</v>
      </c>
      <c r="B109">
        <v>9938</v>
      </c>
      <c r="C109" t="s">
        <v>2893</v>
      </c>
      <c r="D109" t="s">
        <v>2894</v>
      </c>
      <c r="E109" t="s">
        <v>41</v>
      </c>
      <c r="F109" t="s">
        <v>2951</v>
      </c>
      <c r="G109" t="s">
        <v>2896</v>
      </c>
      <c r="H109" t="s">
        <v>44</v>
      </c>
      <c r="I109" t="s">
        <v>1476</v>
      </c>
      <c r="J109" t="s">
        <v>45</v>
      </c>
      <c r="K109" t="s">
        <v>264</v>
      </c>
      <c r="L109" t="s">
        <v>46</v>
      </c>
      <c r="M109" t="s">
        <v>47</v>
      </c>
      <c r="N109" t="s">
        <v>1045</v>
      </c>
      <c r="O109" t="s">
        <v>51</v>
      </c>
      <c r="P109" t="s">
        <v>52</v>
      </c>
      <c r="Q109" s="133">
        <v>778</v>
      </c>
      <c r="R109" s="135">
        <v>1</v>
      </c>
      <c r="S109" s="139">
        <v>46340</v>
      </c>
      <c r="U109" s="133">
        <v>360.52499999999998</v>
      </c>
      <c r="V109" s="137">
        <v>1.5999999999999999E-5</v>
      </c>
      <c r="W109" s="137">
        <v>2.06528124539011E-2</v>
      </c>
      <c r="X109" s="137">
        <v>4.1312360137391903E-3</v>
      </c>
    </row>
    <row r="110" spans="1:24">
      <c r="A110">
        <v>161</v>
      </c>
      <c r="B110">
        <v>9938</v>
      </c>
      <c r="C110" t="s">
        <v>2952</v>
      </c>
      <c r="D110" t="s">
        <v>2953</v>
      </c>
      <c r="E110" t="s">
        <v>146</v>
      </c>
      <c r="F110" t="s">
        <v>2954</v>
      </c>
      <c r="G110" t="s">
        <v>2955</v>
      </c>
      <c r="H110" t="s">
        <v>44</v>
      </c>
      <c r="I110" t="s">
        <v>1476</v>
      </c>
      <c r="J110" t="s">
        <v>45</v>
      </c>
      <c r="K110" t="s">
        <v>45</v>
      </c>
      <c r="L110" t="s">
        <v>46</v>
      </c>
      <c r="M110" t="s">
        <v>47</v>
      </c>
      <c r="N110" t="s">
        <v>210</v>
      </c>
      <c r="O110" t="s">
        <v>51</v>
      </c>
      <c r="P110" t="s">
        <v>52</v>
      </c>
      <c r="Q110" s="133">
        <v>13705</v>
      </c>
      <c r="R110" s="135">
        <v>1</v>
      </c>
      <c r="S110" s="139">
        <v>435</v>
      </c>
      <c r="T110" s="133">
        <v>1.544</v>
      </c>
      <c r="U110" s="133">
        <v>61.161000000000001</v>
      </c>
      <c r="V110" s="137">
        <v>1.2E-5</v>
      </c>
      <c r="W110" s="137">
        <v>3.50360125343511E-3</v>
      </c>
      <c r="X110" s="137">
        <v>7.0083450901811E-4</v>
      </c>
    </row>
    <row r="111" spans="1:24">
      <c r="A111">
        <v>161</v>
      </c>
      <c r="B111">
        <v>9938</v>
      </c>
      <c r="C111" t="s">
        <v>2956</v>
      </c>
      <c r="D111" t="s">
        <v>2957</v>
      </c>
      <c r="E111" t="s">
        <v>64</v>
      </c>
      <c r="F111" t="s">
        <v>2958</v>
      </c>
      <c r="G111" t="s">
        <v>2959</v>
      </c>
      <c r="H111" t="s">
        <v>44</v>
      </c>
      <c r="I111" t="s">
        <v>1476</v>
      </c>
      <c r="J111" t="s">
        <v>68</v>
      </c>
      <c r="K111" t="s">
        <v>909</v>
      </c>
      <c r="L111" t="s">
        <v>46</v>
      </c>
      <c r="M111" t="s">
        <v>949</v>
      </c>
      <c r="N111" t="s">
        <v>1129</v>
      </c>
      <c r="O111" t="s">
        <v>51</v>
      </c>
      <c r="P111" t="s">
        <v>72</v>
      </c>
      <c r="Q111" s="133">
        <v>240</v>
      </c>
      <c r="R111" s="135">
        <v>3.165</v>
      </c>
      <c r="S111" s="139">
        <v>20343</v>
      </c>
      <c r="U111" s="133">
        <v>154.52500000000001</v>
      </c>
      <c r="V111" s="137">
        <v>0</v>
      </c>
      <c r="W111" s="137">
        <v>8.8520433074936195E-3</v>
      </c>
      <c r="X111" s="137">
        <v>1.77069734152304E-3</v>
      </c>
    </row>
    <row r="112" spans="1:24">
      <c r="A112">
        <v>161</v>
      </c>
      <c r="B112">
        <v>9938</v>
      </c>
      <c r="C112" t="s">
        <v>2881</v>
      </c>
      <c r="D112" t="s">
        <v>2882</v>
      </c>
      <c r="E112" t="s">
        <v>64</v>
      </c>
      <c r="F112" t="s">
        <v>2883</v>
      </c>
      <c r="G112" t="s">
        <v>2884</v>
      </c>
      <c r="H112" t="s">
        <v>44</v>
      </c>
      <c r="I112" t="s">
        <v>1476</v>
      </c>
      <c r="J112" t="s">
        <v>68</v>
      </c>
      <c r="K112" t="s">
        <v>69</v>
      </c>
      <c r="L112" t="s">
        <v>46</v>
      </c>
      <c r="M112" t="s">
        <v>949</v>
      </c>
      <c r="N112" t="s">
        <v>1130</v>
      </c>
      <c r="O112" t="s">
        <v>51</v>
      </c>
      <c r="P112" t="s">
        <v>72</v>
      </c>
      <c r="Q112" s="133">
        <v>457</v>
      </c>
      <c r="R112" s="135">
        <v>3.165</v>
      </c>
      <c r="S112" s="139">
        <v>28686</v>
      </c>
      <c r="U112" s="133">
        <v>414.916</v>
      </c>
      <c r="V112" s="137">
        <v>0</v>
      </c>
      <c r="W112" s="137">
        <v>2.3768593505479801E-2</v>
      </c>
      <c r="X112" s="137">
        <v>4.7544938349168E-3</v>
      </c>
    </row>
    <row r="113" spans="1:24">
      <c r="A113">
        <v>161</v>
      </c>
      <c r="B113">
        <v>9938</v>
      </c>
      <c r="C113" t="s">
        <v>2885</v>
      </c>
      <c r="D113" t="s">
        <v>2886</v>
      </c>
      <c r="E113" t="s">
        <v>64</v>
      </c>
      <c r="F113" t="s">
        <v>2887</v>
      </c>
      <c r="G113" t="s">
        <v>2888</v>
      </c>
      <c r="H113" t="s">
        <v>44</v>
      </c>
      <c r="I113" t="s">
        <v>1476</v>
      </c>
      <c r="J113" t="s">
        <v>68</v>
      </c>
      <c r="K113" t="s">
        <v>69</v>
      </c>
      <c r="L113" t="s">
        <v>46</v>
      </c>
      <c r="M113" t="s">
        <v>949</v>
      </c>
      <c r="N113" t="s">
        <v>1102</v>
      </c>
      <c r="O113" t="s">
        <v>51</v>
      </c>
      <c r="P113" t="s">
        <v>72</v>
      </c>
      <c r="Q113" s="133">
        <v>300</v>
      </c>
      <c r="R113" s="135">
        <v>3.165</v>
      </c>
      <c r="S113" s="139">
        <v>20827</v>
      </c>
      <c r="U113" s="133">
        <v>197.75200000000001</v>
      </c>
      <c r="V113" s="137">
        <v>0</v>
      </c>
      <c r="W113" s="137">
        <v>1.1328313545517501E-2</v>
      </c>
      <c r="X113" s="137">
        <v>2.2660321444661802E-3</v>
      </c>
    </row>
    <row r="114" spans="1:24">
      <c r="A114">
        <v>161</v>
      </c>
      <c r="B114">
        <v>9938</v>
      </c>
      <c r="C114" t="s">
        <v>2889</v>
      </c>
      <c r="D114" t="s">
        <v>2890</v>
      </c>
      <c r="E114" t="s">
        <v>64</v>
      </c>
      <c r="F114" t="s">
        <v>2891</v>
      </c>
      <c r="G114" t="s">
        <v>2892</v>
      </c>
      <c r="H114" t="s">
        <v>44</v>
      </c>
      <c r="I114" t="s">
        <v>1476</v>
      </c>
      <c r="J114" t="s">
        <v>68</v>
      </c>
      <c r="K114" t="s">
        <v>69</v>
      </c>
      <c r="L114" t="s">
        <v>46</v>
      </c>
      <c r="M114" t="s">
        <v>949</v>
      </c>
      <c r="N114" t="s">
        <v>1129</v>
      </c>
      <c r="O114" t="s">
        <v>51</v>
      </c>
      <c r="P114" t="s">
        <v>72</v>
      </c>
      <c r="Q114" s="133">
        <v>101</v>
      </c>
      <c r="R114" s="135">
        <v>3.165</v>
      </c>
      <c r="S114" s="139">
        <v>132083</v>
      </c>
      <c r="U114" s="133">
        <v>422.22300000000001</v>
      </c>
      <c r="V114" s="137">
        <v>0</v>
      </c>
      <c r="W114" s="137">
        <v>2.4187199539266499E-2</v>
      </c>
      <c r="X114" s="137">
        <v>4.8382286931211299E-3</v>
      </c>
    </row>
    <row r="115" spans="1:24">
      <c r="A115">
        <v>161</v>
      </c>
      <c r="B115">
        <v>9938</v>
      </c>
      <c r="C115" t="s">
        <v>2960</v>
      </c>
      <c r="D115" t="s">
        <v>2961</v>
      </c>
      <c r="E115" t="s">
        <v>64</v>
      </c>
      <c r="F115" t="s">
        <v>2962</v>
      </c>
      <c r="G115" t="s">
        <v>2963</v>
      </c>
      <c r="H115" t="s">
        <v>44</v>
      </c>
      <c r="I115" t="s">
        <v>1476</v>
      </c>
      <c r="J115" t="s">
        <v>68</v>
      </c>
      <c r="K115" t="s">
        <v>69</v>
      </c>
      <c r="L115" t="s">
        <v>46</v>
      </c>
      <c r="M115" t="s">
        <v>949</v>
      </c>
      <c r="N115" t="s">
        <v>1129</v>
      </c>
      <c r="O115" t="s">
        <v>51</v>
      </c>
      <c r="P115" t="s">
        <v>72</v>
      </c>
      <c r="Q115" s="133">
        <v>200</v>
      </c>
      <c r="R115" s="135">
        <v>3.165</v>
      </c>
      <c r="S115" s="139">
        <v>30951</v>
      </c>
      <c r="U115" s="133">
        <v>195.92</v>
      </c>
      <c r="V115" s="137">
        <v>0</v>
      </c>
      <c r="W115" s="137">
        <v>1.1223336135699201E-2</v>
      </c>
      <c r="X115" s="137">
        <v>2.2450332390125901E-3</v>
      </c>
    </row>
    <row r="116" spans="1:24">
      <c r="A116">
        <v>161</v>
      </c>
      <c r="B116">
        <v>9938</v>
      </c>
      <c r="C116" t="s">
        <v>2897</v>
      </c>
      <c r="D116" t="s">
        <v>2898</v>
      </c>
      <c r="E116" t="s">
        <v>64</v>
      </c>
      <c r="F116" t="s">
        <v>2899</v>
      </c>
      <c r="G116" t="s">
        <v>2900</v>
      </c>
      <c r="H116" t="s">
        <v>44</v>
      </c>
      <c r="I116" t="s">
        <v>1476</v>
      </c>
      <c r="J116" s="125" t="s">
        <v>68</v>
      </c>
      <c r="K116" t="s">
        <v>45</v>
      </c>
      <c r="L116" t="s">
        <v>46</v>
      </c>
      <c r="M116" t="s">
        <v>949</v>
      </c>
      <c r="N116" t="s">
        <v>1126</v>
      </c>
      <c r="O116" t="s">
        <v>51</v>
      </c>
      <c r="P116" t="s">
        <v>72</v>
      </c>
      <c r="Q116" s="133">
        <v>360</v>
      </c>
      <c r="R116" s="135">
        <v>3.165</v>
      </c>
      <c r="S116" s="139">
        <v>14285</v>
      </c>
      <c r="U116" s="133">
        <v>162.76300000000001</v>
      </c>
      <c r="V116" s="137">
        <v>3.0000000000000001E-6</v>
      </c>
      <c r="W116" s="137">
        <v>9.3239521197128993E-3</v>
      </c>
      <c r="X116" s="137">
        <v>1.8650944937071701E-3</v>
      </c>
    </row>
    <row r="117" spans="1:24">
      <c r="A117">
        <v>161</v>
      </c>
      <c r="B117">
        <v>9938</v>
      </c>
      <c r="C117" t="s">
        <v>2964</v>
      </c>
      <c r="D117" t="s">
        <v>2965</v>
      </c>
      <c r="E117" t="s">
        <v>64</v>
      </c>
      <c r="F117" t="s">
        <v>2966</v>
      </c>
      <c r="G117" t="s">
        <v>2967</v>
      </c>
      <c r="H117" t="s">
        <v>44</v>
      </c>
      <c r="I117" t="s">
        <v>1476</v>
      </c>
      <c r="J117" t="s">
        <v>68</v>
      </c>
      <c r="K117" t="s">
        <v>69</v>
      </c>
      <c r="L117" t="s">
        <v>46</v>
      </c>
      <c r="M117" t="s">
        <v>947</v>
      </c>
      <c r="N117" t="s">
        <v>1119</v>
      </c>
      <c r="O117" t="s">
        <v>51</v>
      </c>
      <c r="P117" t="s">
        <v>72</v>
      </c>
      <c r="Q117" s="133">
        <v>104</v>
      </c>
      <c r="R117" s="135">
        <v>3.165</v>
      </c>
      <c r="S117" s="139">
        <v>29416</v>
      </c>
      <c r="U117" s="133">
        <v>96.825999999999993</v>
      </c>
      <c r="V117" s="137">
        <v>0</v>
      </c>
      <c r="W117" s="137">
        <v>5.5466944848056197E-3</v>
      </c>
      <c r="X117" s="137">
        <v>1.1095197839996499E-3</v>
      </c>
    </row>
    <row r="118" spans="1:24">
      <c r="A118">
        <v>161</v>
      </c>
      <c r="B118">
        <v>9938</v>
      </c>
      <c r="C118" t="s">
        <v>2968</v>
      </c>
      <c r="D118" t="s">
        <v>2969</v>
      </c>
      <c r="E118" t="s">
        <v>64</v>
      </c>
      <c r="F118" t="s">
        <v>2970</v>
      </c>
      <c r="G118" t="s">
        <v>2971</v>
      </c>
      <c r="H118" t="s">
        <v>44</v>
      </c>
      <c r="I118" t="s">
        <v>1476</v>
      </c>
      <c r="J118" t="s">
        <v>68</v>
      </c>
      <c r="K118" t="s">
        <v>69</v>
      </c>
      <c r="L118" t="s">
        <v>46</v>
      </c>
      <c r="M118" t="s">
        <v>947</v>
      </c>
      <c r="N118" t="s">
        <v>1121</v>
      </c>
      <c r="O118" t="s">
        <v>51</v>
      </c>
      <c r="P118" t="s">
        <v>72</v>
      </c>
      <c r="Q118" s="133">
        <v>75</v>
      </c>
      <c r="R118" s="135">
        <v>3.165</v>
      </c>
      <c r="S118" s="139">
        <v>49966</v>
      </c>
      <c r="U118" s="133">
        <v>118.607</v>
      </c>
      <c r="V118" s="137">
        <v>0</v>
      </c>
      <c r="W118" s="137">
        <v>6.7944316826154304E-3</v>
      </c>
      <c r="X118" s="137">
        <v>1.35910791437073E-3</v>
      </c>
    </row>
    <row r="119" spans="1:24">
      <c r="A119">
        <v>161</v>
      </c>
      <c r="B119">
        <v>9938</v>
      </c>
      <c r="C119" t="s">
        <v>2901</v>
      </c>
      <c r="D119" t="s">
        <v>2902</v>
      </c>
      <c r="E119" t="s">
        <v>64</v>
      </c>
      <c r="F119" t="s">
        <v>2903</v>
      </c>
      <c r="G119" t="s">
        <v>2904</v>
      </c>
      <c r="H119" t="s">
        <v>44</v>
      </c>
      <c r="I119" t="s">
        <v>1476</v>
      </c>
      <c r="J119" t="s">
        <v>68</v>
      </c>
      <c r="K119" t="s">
        <v>69</v>
      </c>
      <c r="L119" t="s">
        <v>46</v>
      </c>
      <c r="M119" t="s">
        <v>949</v>
      </c>
      <c r="N119" t="s">
        <v>1126</v>
      </c>
      <c r="O119" t="s">
        <v>51</v>
      </c>
      <c r="P119" t="s">
        <v>72</v>
      </c>
      <c r="Q119" s="133">
        <v>288</v>
      </c>
      <c r="R119" s="135">
        <v>3.165</v>
      </c>
      <c r="S119" s="139">
        <v>37017</v>
      </c>
      <c r="U119" s="133">
        <v>337.41699999999997</v>
      </c>
      <c r="V119" s="137">
        <v>0</v>
      </c>
      <c r="W119" s="137">
        <v>1.9329071648045499E-2</v>
      </c>
      <c r="X119" s="137">
        <v>3.8664446831534198E-3</v>
      </c>
    </row>
    <row r="120" spans="1:24">
      <c r="A120">
        <v>161</v>
      </c>
      <c r="B120">
        <v>9938</v>
      </c>
      <c r="C120" t="s">
        <v>2909</v>
      </c>
      <c r="D120" t="s">
        <v>2910</v>
      </c>
      <c r="E120" t="s">
        <v>64</v>
      </c>
      <c r="F120" t="s">
        <v>2911</v>
      </c>
      <c r="G120" t="s">
        <v>2912</v>
      </c>
      <c r="H120" t="s">
        <v>44</v>
      </c>
      <c r="I120" t="s">
        <v>1476</v>
      </c>
      <c r="J120" t="s">
        <v>68</v>
      </c>
      <c r="K120" t="s">
        <v>69</v>
      </c>
      <c r="L120" t="s">
        <v>46</v>
      </c>
      <c r="M120" t="s">
        <v>949</v>
      </c>
      <c r="N120" t="s">
        <v>1129</v>
      </c>
      <c r="O120" t="s">
        <v>51</v>
      </c>
      <c r="P120" t="s">
        <v>72</v>
      </c>
      <c r="Q120" s="133">
        <v>450</v>
      </c>
      <c r="R120" s="135">
        <v>3.165</v>
      </c>
      <c r="S120" s="139">
        <v>17440</v>
      </c>
      <c r="T120" s="133">
        <v>4.0000000000000001E-3</v>
      </c>
      <c r="U120" s="133">
        <v>248.40299999999999</v>
      </c>
      <c r="V120" s="137">
        <v>0</v>
      </c>
      <c r="W120" s="137">
        <v>1.42298782744061E-2</v>
      </c>
      <c r="X120" s="137">
        <v>2.8464397151510999E-3</v>
      </c>
    </row>
    <row r="121" spans="1:24">
      <c r="A121">
        <v>161</v>
      </c>
      <c r="B121">
        <v>9938</v>
      </c>
      <c r="C121" t="s">
        <v>2944</v>
      </c>
      <c r="D121" t="s">
        <v>2945</v>
      </c>
      <c r="E121" t="s">
        <v>64</v>
      </c>
      <c r="F121" t="s">
        <v>2972</v>
      </c>
      <c r="G121" t="s">
        <v>2947</v>
      </c>
      <c r="H121" t="s">
        <v>44</v>
      </c>
      <c r="I121" t="s">
        <v>1476</v>
      </c>
      <c r="J121" t="s">
        <v>68</v>
      </c>
      <c r="K121" t="s">
        <v>69</v>
      </c>
      <c r="L121" t="s">
        <v>46</v>
      </c>
      <c r="M121" t="s">
        <v>947</v>
      </c>
      <c r="N121" t="s">
        <v>1138</v>
      </c>
      <c r="O121" t="s">
        <v>51</v>
      </c>
      <c r="P121" t="s">
        <v>72</v>
      </c>
      <c r="Q121" s="133">
        <v>170</v>
      </c>
      <c r="R121" s="135">
        <v>3.165</v>
      </c>
      <c r="S121" s="139">
        <v>11192</v>
      </c>
      <c r="U121" s="133">
        <v>60.219000000000001</v>
      </c>
      <c r="V121" s="137">
        <v>3.0000000000000001E-6</v>
      </c>
      <c r="W121" s="137">
        <v>3.4496410883698E-3</v>
      </c>
      <c r="X121" s="137">
        <v>6.9004071627328802E-4</v>
      </c>
    </row>
    <row r="122" spans="1:24">
      <c r="A122">
        <v>161</v>
      </c>
      <c r="B122">
        <v>9938</v>
      </c>
      <c r="C122" t="s">
        <v>2940</v>
      </c>
      <c r="D122" t="s">
        <v>2941</v>
      </c>
      <c r="E122" t="s">
        <v>64</v>
      </c>
      <c r="F122" t="s">
        <v>2942</v>
      </c>
      <c r="G122" t="s">
        <v>2943</v>
      </c>
      <c r="H122" t="s">
        <v>44</v>
      </c>
      <c r="I122" t="s">
        <v>1476</v>
      </c>
      <c r="J122" t="s">
        <v>68</v>
      </c>
      <c r="K122" t="s">
        <v>69</v>
      </c>
      <c r="L122" t="s">
        <v>46</v>
      </c>
      <c r="M122" t="s">
        <v>949</v>
      </c>
      <c r="N122" t="s">
        <v>1126</v>
      </c>
      <c r="O122" t="s">
        <v>51</v>
      </c>
      <c r="P122" t="s">
        <v>72</v>
      </c>
      <c r="Q122" s="133">
        <v>330</v>
      </c>
      <c r="R122" s="135">
        <v>3.165</v>
      </c>
      <c r="S122" s="139">
        <v>16032</v>
      </c>
      <c r="U122" s="133">
        <v>167.446</v>
      </c>
      <c r="V122" s="137">
        <v>9.9999999999999995E-7</v>
      </c>
      <c r="W122" s="137">
        <v>9.5922156353728198E-3</v>
      </c>
      <c r="X122" s="137">
        <v>1.9187559453637099E-3</v>
      </c>
    </row>
    <row r="123" spans="1:24">
      <c r="A123">
        <v>161</v>
      </c>
      <c r="B123">
        <v>9938</v>
      </c>
      <c r="C123" t="s">
        <v>2913</v>
      </c>
      <c r="D123" t="s">
        <v>2914</v>
      </c>
      <c r="E123" t="s">
        <v>64</v>
      </c>
      <c r="F123" t="s">
        <v>2915</v>
      </c>
      <c r="G123" t="s">
        <v>2916</v>
      </c>
      <c r="H123" t="s">
        <v>44</v>
      </c>
      <c r="I123" t="s">
        <v>1476</v>
      </c>
      <c r="J123" t="s">
        <v>68</v>
      </c>
      <c r="K123" t="s">
        <v>861</v>
      </c>
      <c r="L123" t="s">
        <v>46</v>
      </c>
      <c r="M123" t="s">
        <v>969</v>
      </c>
      <c r="N123" t="s">
        <v>1080</v>
      </c>
      <c r="O123" t="s">
        <v>51</v>
      </c>
      <c r="P123" t="s">
        <v>395</v>
      </c>
      <c r="Q123" s="133">
        <v>45</v>
      </c>
      <c r="R123" s="135">
        <v>3.6360000000000001</v>
      </c>
      <c r="S123" s="139">
        <v>144450</v>
      </c>
      <c r="U123" s="133">
        <v>236.34899999999999</v>
      </c>
      <c r="V123" s="137">
        <v>9.9999999999999995E-7</v>
      </c>
      <c r="W123" s="137">
        <v>1.3539340466131601E-2</v>
      </c>
      <c r="X123" s="137">
        <v>2.7083096338965701E-3</v>
      </c>
    </row>
    <row r="124" spans="1:24">
      <c r="A124">
        <v>161</v>
      </c>
      <c r="B124">
        <v>9938</v>
      </c>
      <c r="C124" t="s">
        <v>2973</v>
      </c>
      <c r="D124" t="s">
        <v>2974</v>
      </c>
      <c r="E124" t="s">
        <v>64</v>
      </c>
      <c r="F124" t="s">
        <v>2975</v>
      </c>
      <c r="G124" t="s">
        <v>2976</v>
      </c>
      <c r="H124" t="s">
        <v>44</v>
      </c>
      <c r="I124" t="s">
        <v>1476</v>
      </c>
      <c r="J124" t="s">
        <v>68</v>
      </c>
      <c r="K124" t="s">
        <v>871</v>
      </c>
      <c r="L124" t="s">
        <v>46</v>
      </c>
      <c r="M124" t="s">
        <v>947</v>
      </c>
      <c r="N124" t="s">
        <v>1129</v>
      </c>
      <c r="O124" t="s">
        <v>51</v>
      </c>
      <c r="P124" t="s">
        <v>72</v>
      </c>
      <c r="Q124" s="133">
        <v>385</v>
      </c>
      <c r="R124" s="135">
        <v>3.165</v>
      </c>
      <c r="S124" s="139">
        <v>33795</v>
      </c>
      <c r="T124" s="133">
        <v>0.29399999999999998</v>
      </c>
      <c r="U124" s="133">
        <v>412.73200000000003</v>
      </c>
      <c r="V124" s="137">
        <v>0</v>
      </c>
      <c r="W124" s="137">
        <v>2.3643505397393801E-2</v>
      </c>
      <c r="X124" s="137">
        <v>4.7294721339659496E-3</v>
      </c>
    </row>
    <row r="125" spans="1:24">
      <c r="A125">
        <v>161</v>
      </c>
      <c r="B125">
        <v>9942</v>
      </c>
      <c r="C125" t="s">
        <v>2944</v>
      </c>
      <c r="D125" t="s">
        <v>2945</v>
      </c>
      <c r="E125" t="s">
        <v>64</v>
      </c>
      <c r="F125" t="s">
        <v>2946</v>
      </c>
      <c r="G125" t="s">
        <v>2947</v>
      </c>
      <c r="H125" t="s">
        <v>44</v>
      </c>
      <c r="I125" t="s">
        <v>1476</v>
      </c>
      <c r="J125" t="s">
        <v>45</v>
      </c>
      <c r="K125" t="s">
        <v>69</v>
      </c>
      <c r="L125" t="s">
        <v>46</v>
      </c>
      <c r="M125" t="s">
        <v>47</v>
      </c>
      <c r="N125" t="s">
        <v>49</v>
      </c>
      <c r="O125" t="s">
        <v>51</v>
      </c>
      <c r="P125" t="s">
        <v>52</v>
      </c>
      <c r="Q125" s="133">
        <v>113</v>
      </c>
      <c r="R125" s="135">
        <v>1</v>
      </c>
      <c r="S125" s="139">
        <v>35120</v>
      </c>
      <c r="U125" s="133">
        <v>39.686</v>
      </c>
      <c r="V125" s="137">
        <v>1.9999999999999999E-6</v>
      </c>
      <c r="W125" s="137">
        <v>3.0755612650359399E-3</v>
      </c>
      <c r="X125" s="137">
        <v>3.9292374277778502E-4</v>
      </c>
    </row>
    <row r="126" spans="1:24">
      <c r="A126">
        <v>161</v>
      </c>
      <c r="B126">
        <v>9942</v>
      </c>
      <c r="C126" t="s">
        <v>2817</v>
      </c>
      <c r="D126" t="s">
        <v>2818</v>
      </c>
      <c r="E126" t="s">
        <v>41</v>
      </c>
      <c r="F126" t="s">
        <v>2819</v>
      </c>
      <c r="G126" t="s">
        <v>2820</v>
      </c>
      <c r="H126" t="s">
        <v>44</v>
      </c>
      <c r="I126" t="s">
        <v>1476</v>
      </c>
      <c r="J126" t="s">
        <v>45</v>
      </c>
      <c r="K126" t="s">
        <v>45</v>
      </c>
      <c r="L126" t="s">
        <v>46</v>
      </c>
      <c r="M126" t="s">
        <v>47</v>
      </c>
      <c r="N126" t="s">
        <v>189</v>
      </c>
      <c r="O126" t="s">
        <v>51</v>
      </c>
      <c r="P126" t="s">
        <v>52</v>
      </c>
      <c r="Q126" s="133">
        <v>196</v>
      </c>
      <c r="R126" s="135">
        <v>1</v>
      </c>
      <c r="S126" s="139">
        <v>263700</v>
      </c>
      <c r="U126" s="133">
        <v>516.85199999999998</v>
      </c>
      <c r="V126" s="137">
        <v>3.9999999999999998E-6</v>
      </c>
      <c r="W126" s="137">
        <v>4.0055082724120498E-2</v>
      </c>
      <c r="X126" s="137">
        <v>5.1173075952532796E-3</v>
      </c>
    </row>
    <row r="127" spans="1:24">
      <c r="A127">
        <v>161</v>
      </c>
      <c r="B127">
        <v>9942</v>
      </c>
      <c r="C127" t="s">
        <v>1932</v>
      </c>
      <c r="D127" t="s">
        <v>1933</v>
      </c>
      <c r="E127" t="s">
        <v>41</v>
      </c>
      <c r="F127" t="s">
        <v>2821</v>
      </c>
      <c r="G127" t="s">
        <v>2822</v>
      </c>
      <c r="H127" t="s">
        <v>44</v>
      </c>
      <c r="I127" t="s">
        <v>1476</v>
      </c>
      <c r="J127" t="s">
        <v>45</v>
      </c>
      <c r="K127" t="s">
        <v>45</v>
      </c>
      <c r="L127" t="s">
        <v>46</v>
      </c>
      <c r="M127" t="s">
        <v>47</v>
      </c>
      <c r="N127" t="s">
        <v>58</v>
      </c>
      <c r="O127" t="s">
        <v>51</v>
      </c>
      <c r="P127" t="s">
        <v>52</v>
      </c>
      <c r="Q127" s="133">
        <v>4600</v>
      </c>
      <c r="R127" s="135">
        <v>1</v>
      </c>
      <c r="S127" s="139">
        <v>3375</v>
      </c>
      <c r="T127" s="133">
        <v>1.5249999999999999</v>
      </c>
      <c r="U127" s="133">
        <v>156.77500000000001</v>
      </c>
      <c r="V127" s="137">
        <v>2.0000000000000002E-5</v>
      </c>
      <c r="W127" s="137">
        <v>1.2149775165954601E-2</v>
      </c>
      <c r="X127" s="137">
        <v>1.5522159114133901E-3</v>
      </c>
    </row>
    <row r="128" spans="1:24">
      <c r="A128">
        <v>161</v>
      </c>
      <c r="B128">
        <v>9942</v>
      </c>
      <c r="C128" t="s">
        <v>1948</v>
      </c>
      <c r="D128" t="s">
        <v>1949</v>
      </c>
      <c r="E128" t="s">
        <v>41</v>
      </c>
      <c r="F128" t="s">
        <v>2920</v>
      </c>
      <c r="G128" t="s">
        <v>2921</v>
      </c>
      <c r="H128" t="s">
        <v>44</v>
      </c>
      <c r="I128" t="s">
        <v>1476</v>
      </c>
      <c r="J128" t="s">
        <v>45</v>
      </c>
      <c r="K128" t="s">
        <v>45</v>
      </c>
      <c r="L128" t="s">
        <v>46</v>
      </c>
      <c r="M128" t="s">
        <v>47</v>
      </c>
      <c r="N128" t="s">
        <v>58</v>
      </c>
      <c r="O128" t="s">
        <v>51</v>
      </c>
      <c r="P128" t="s">
        <v>52</v>
      </c>
      <c r="Q128" s="133">
        <v>5550</v>
      </c>
      <c r="R128" s="135">
        <v>1</v>
      </c>
      <c r="S128" s="139">
        <v>1923</v>
      </c>
      <c r="U128" s="133">
        <v>106.727</v>
      </c>
      <c r="V128" s="137">
        <v>1.1E-5</v>
      </c>
      <c r="W128" s="137">
        <v>8.2711081438319699E-3</v>
      </c>
      <c r="X128" s="137">
        <v>1.05668997907486E-3</v>
      </c>
    </row>
    <row r="129" spans="1:24">
      <c r="A129">
        <v>161</v>
      </c>
      <c r="B129">
        <v>9942</v>
      </c>
      <c r="C129" t="s">
        <v>1961</v>
      </c>
      <c r="D129" t="s">
        <v>1962</v>
      </c>
      <c r="E129" t="s">
        <v>41</v>
      </c>
      <c r="F129" t="s">
        <v>2823</v>
      </c>
      <c r="G129" t="s">
        <v>2824</v>
      </c>
      <c r="H129" t="s">
        <v>44</v>
      </c>
      <c r="I129" t="s">
        <v>1476</v>
      </c>
      <c r="J129" t="s">
        <v>45</v>
      </c>
      <c r="K129" t="s">
        <v>69</v>
      </c>
      <c r="L129" t="s">
        <v>46</v>
      </c>
      <c r="M129" t="s">
        <v>47</v>
      </c>
      <c r="N129" t="s">
        <v>49</v>
      </c>
      <c r="O129" t="s">
        <v>51</v>
      </c>
      <c r="P129" t="s">
        <v>52</v>
      </c>
      <c r="Q129" s="133">
        <v>3335.7</v>
      </c>
      <c r="R129" s="135">
        <v>1</v>
      </c>
      <c r="S129" s="139">
        <v>20930</v>
      </c>
      <c r="U129" s="133">
        <v>698.16200000000003</v>
      </c>
      <c r="V129" s="137">
        <v>2.4000000000000001E-5</v>
      </c>
      <c r="W129" s="137">
        <v>5.41062761978056E-2</v>
      </c>
      <c r="X129" s="137">
        <v>6.9124425492990199E-3</v>
      </c>
    </row>
    <row r="130" spans="1:24">
      <c r="A130">
        <v>161</v>
      </c>
      <c r="B130">
        <v>9942</v>
      </c>
      <c r="C130" t="s">
        <v>2322</v>
      </c>
      <c r="D130" t="s">
        <v>2323</v>
      </c>
      <c r="E130" t="s">
        <v>41</v>
      </c>
      <c r="F130" t="s">
        <v>2922</v>
      </c>
      <c r="G130" t="s">
        <v>2923</v>
      </c>
      <c r="H130" t="s">
        <v>44</v>
      </c>
      <c r="I130" t="s">
        <v>1476</v>
      </c>
      <c r="J130" t="s">
        <v>45</v>
      </c>
      <c r="K130" t="s">
        <v>45</v>
      </c>
      <c r="L130" t="s">
        <v>46</v>
      </c>
      <c r="M130" t="s">
        <v>47</v>
      </c>
      <c r="N130" t="s">
        <v>49</v>
      </c>
      <c r="O130" t="s">
        <v>51</v>
      </c>
      <c r="P130" t="s">
        <v>52</v>
      </c>
      <c r="Q130" s="133">
        <v>11357</v>
      </c>
      <c r="R130" s="135">
        <v>1</v>
      </c>
      <c r="S130" s="139">
        <v>1890</v>
      </c>
      <c r="U130" s="133">
        <v>214.64699999999999</v>
      </c>
      <c r="V130" s="137">
        <v>2.0000000000000002E-5</v>
      </c>
      <c r="W130" s="137">
        <v>1.6634772348775102E-2</v>
      </c>
      <c r="X130" s="137">
        <v>2.12520462064693E-3</v>
      </c>
    </row>
    <row r="131" spans="1:24">
      <c r="A131">
        <v>161</v>
      </c>
      <c r="B131">
        <v>9942</v>
      </c>
      <c r="C131" t="s">
        <v>2540</v>
      </c>
      <c r="D131" t="s">
        <v>2541</v>
      </c>
      <c r="E131" t="s">
        <v>41</v>
      </c>
      <c r="F131" t="s">
        <v>2825</v>
      </c>
      <c r="G131" t="s">
        <v>2826</v>
      </c>
      <c r="H131" t="s">
        <v>44</v>
      </c>
      <c r="I131" t="s">
        <v>1476</v>
      </c>
      <c r="J131" t="s">
        <v>45</v>
      </c>
      <c r="K131" t="s">
        <v>45</v>
      </c>
      <c r="L131" t="s">
        <v>46</v>
      </c>
      <c r="M131" t="s">
        <v>47</v>
      </c>
      <c r="N131" t="s">
        <v>1069</v>
      </c>
      <c r="O131" t="s">
        <v>51</v>
      </c>
      <c r="P131" t="s">
        <v>52</v>
      </c>
      <c r="Q131" s="133">
        <v>55646</v>
      </c>
      <c r="R131" s="135">
        <v>1</v>
      </c>
      <c r="S131" s="139">
        <v>749</v>
      </c>
      <c r="U131" s="133">
        <v>416.78899999999999</v>
      </c>
      <c r="V131" s="137">
        <v>2.0000000000000002E-5</v>
      </c>
      <c r="W131" s="137">
        <v>3.2300347968403698E-2</v>
      </c>
      <c r="X131" s="137">
        <v>4.1265878072572499E-3</v>
      </c>
    </row>
    <row r="132" spans="1:24">
      <c r="A132">
        <v>161</v>
      </c>
      <c r="B132">
        <v>9942</v>
      </c>
      <c r="C132" t="s">
        <v>53</v>
      </c>
      <c r="D132" t="s">
        <v>54</v>
      </c>
      <c r="E132" t="s">
        <v>41</v>
      </c>
      <c r="F132" t="s">
        <v>2827</v>
      </c>
      <c r="G132" t="s">
        <v>57</v>
      </c>
      <c r="H132" t="s">
        <v>44</v>
      </c>
      <c r="I132" t="s">
        <v>1476</v>
      </c>
      <c r="J132" t="s">
        <v>45</v>
      </c>
      <c r="K132" t="s">
        <v>45</v>
      </c>
      <c r="L132" t="s">
        <v>46</v>
      </c>
      <c r="M132" t="s">
        <v>47</v>
      </c>
      <c r="N132" t="s">
        <v>58</v>
      </c>
      <c r="O132" t="s">
        <v>51</v>
      </c>
      <c r="P132" t="s">
        <v>52</v>
      </c>
      <c r="Q132" s="133">
        <v>140</v>
      </c>
      <c r="R132" s="135">
        <v>1</v>
      </c>
      <c r="S132" s="139">
        <v>71680</v>
      </c>
      <c r="U132" s="133">
        <v>100.352</v>
      </c>
      <c r="V132" s="137">
        <v>6.0000000000000002E-6</v>
      </c>
      <c r="W132" s="137">
        <v>7.7770960768864901E-3</v>
      </c>
      <c r="X132" s="137">
        <v>9.9357659794072008E-4</v>
      </c>
    </row>
    <row r="133" spans="1:24">
      <c r="A133">
        <v>161</v>
      </c>
      <c r="B133">
        <v>9942</v>
      </c>
      <c r="C133" t="s">
        <v>1989</v>
      </c>
      <c r="D133" t="s">
        <v>1990</v>
      </c>
      <c r="E133" t="s">
        <v>41</v>
      </c>
      <c r="F133" t="s">
        <v>2924</v>
      </c>
      <c r="G133" t="s">
        <v>2925</v>
      </c>
      <c r="H133" t="s">
        <v>44</v>
      </c>
      <c r="I133" t="s">
        <v>1476</v>
      </c>
      <c r="J133" t="s">
        <v>45</v>
      </c>
      <c r="K133" t="s">
        <v>45</v>
      </c>
      <c r="L133" t="s">
        <v>46</v>
      </c>
      <c r="M133" t="s">
        <v>47</v>
      </c>
      <c r="N133" t="s">
        <v>58</v>
      </c>
      <c r="O133" t="s">
        <v>51</v>
      </c>
      <c r="P133" t="s">
        <v>52</v>
      </c>
      <c r="Q133" s="133">
        <v>1800</v>
      </c>
      <c r="R133" s="135">
        <v>1</v>
      </c>
      <c r="S133" s="139">
        <v>3584</v>
      </c>
      <c r="U133" s="133">
        <v>64.512</v>
      </c>
      <c r="V133" s="137">
        <v>7.9999999999999996E-6</v>
      </c>
      <c r="W133" s="137">
        <v>4.9995617637127402E-3</v>
      </c>
      <c r="X133" s="137">
        <v>6.3872781296189199E-4</v>
      </c>
    </row>
    <row r="134" spans="1:24">
      <c r="A134">
        <v>161</v>
      </c>
      <c r="B134">
        <v>9942</v>
      </c>
      <c r="C134" t="s">
        <v>2926</v>
      </c>
      <c r="D134" t="s">
        <v>2927</v>
      </c>
      <c r="E134" t="s">
        <v>41</v>
      </c>
      <c r="F134" t="s">
        <v>2928</v>
      </c>
      <c r="G134" t="s">
        <v>2929</v>
      </c>
      <c r="H134" t="s">
        <v>44</v>
      </c>
      <c r="I134" t="s">
        <v>1476</v>
      </c>
      <c r="J134" t="s">
        <v>45</v>
      </c>
      <c r="K134" t="s">
        <v>45</v>
      </c>
      <c r="L134" t="s">
        <v>46</v>
      </c>
      <c r="M134" t="s">
        <v>47</v>
      </c>
      <c r="N134" t="s">
        <v>221</v>
      </c>
      <c r="O134" t="s">
        <v>51</v>
      </c>
      <c r="P134" t="s">
        <v>52</v>
      </c>
      <c r="Q134" s="133">
        <v>14720</v>
      </c>
      <c r="R134" s="135">
        <v>1</v>
      </c>
      <c r="S134" s="139">
        <v>3148</v>
      </c>
      <c r="T134" s="133">
        <v>5.149</v>
      </c>
      <c r="U134" s="133">
        <v>468.53500000000003</v>
      </c>
      <c r="V134" s="137">
        <v>1.2E-5</v>
      </c>
      <c r="W134" s="137">
        <v>3.6310601453594597E-2</v>
      </c>
      <c r="X134" s="137">
        <v>4.6389247997933002E-3</v>
      </c>
    </row>
    <row r="135" spans="1:24">
      <c r="A135">
        <v>161</v>
      </c>
      <c r="B135">
        <v>9942</v>
      </c>
      <c r="C135" t="s">
        <v>2930</v>
      </c>
      <c r="D135" t="s">
        <v>2931</v>
      </c>
      <c r="E135" t="s">
        <v>41</v>
      </c>
      <c r="F135" t="s">
        <v>2932</v>
      </c>
      <c r="G135" t="s">
        <v>2933</v>
      </c>
      <c r="H135" t="s">
        <v>44</v>
      </c>
      <c r="I135" t="s">
        <v>1476</v>
      </c>
      <c r="J135" t="s">
        <v>45</v>
      </c>
      <c r="K135" t="s">
        <v>45</v>
      </c>
      <c r="L135" t="s">
        <v>46</v>
      </c>
      <c r="M135" t="s">
        <v>47</v>
      </c>
      <c r="N135" t="s">
        <v>1038</v>
      </c>
      <c r="O135" t="s">
        <v>51</v>
      </c>
      <c r="P135" t="s">
        <v>52</v>
      </c>
      <c r="Q135" s="133">
        <v>309</v>
      </c>
      <c r="R135" s="135">
        <v>1</v>
      </c>
      <c r="S135" s="139">
        <v>42240</v>
      </c>
      <c r="U135" s="133">
        <v>130.52199999999999</v>
      </c>
      <c r="V135" s="137">
        <v>1.4E-5</v>
      </c>
      <c r="W135" s="137">
        <v>1.01151847826545E-2</v>
      </c>
      <c r="X135" s="137">
        <v>1.2922832358675401E-3</v>
      </c>
    </row>
    <row r="136" spans="1:24">
      <c r="A136">
        <v>161</v>
      </c>
      <c r="B136">
        <v>9942</v>
      </c>
      <c r="C136" t="s">
        <v>2828</v>
      </c>
      <c r="D136" t="s">
        <v>2829</v>
      </c>
      <c r="E136" t="s">
        <v>41</v>
      </c>
      <c r="F136" t="s">
        <v>2830</v>
      </c>
      <c r="G136" t="s">
        <v>2831</v>
      </c>
      <c r="H136" t="s">
        <v>44</v>
      </c>
      <c r="I136" t="s">
        <v>1476</v>
      </c>
      <c r="J136" t="s">
        <v>45</v>
      </c>
      <c r="K136" t="s">
        <v>45</v>
      </c>
      <c r="L136" t="s">
        <v>46</v>
      </c>
      <c r="M136" t="s">
        <v>47</v>
      </c>
      <c r="N136" s="125" t="s">
        <v>1063</v>
      </c>
      <c r="O136" t="s">
        <v>51</v>
      </c>
      <c r="P136" t="s">
        <v>52</v>
      </c>
      <c r="Q136" s="133">
        <v>690</v>
      </c>
      <c r="R136" s="135">
        <v>1</v>
      </c>
      <c r="S136" s="139">
        <v>13860</v>
      </c>
      <c r="U136" s="133">
        <v>95.634</v>
      </c>
      <c r="V136" s="137">
        <v>6.0000000000000002E-6</v>
      </c>
      <c r="W136" s="137">
        <v>7.41145972394135E-3</v>
      </c>
      <c r="X136" s="137">
        <v>9.4686408210561599E-4</v>
      </c>
    </row>
    <row r="137" spans="1:24">
      <c r="A137">
        <v>161</v>
      </c>
      <c r="B137">
        <v>9942</v>
      </c>
      <c r="C137" t="s">
        <v>2030</v>
      </c>
      <c r="D137" t="s">
        <v>2031</v>
      </c>
      <c r="E137" t="s">
        <v>41</v>
      </c>
      <c r="F137" t="s">
        <v>2832</v>
      </c>
      <c r="G137" t="s">
        <v>2833</v>
      </c>
      <c r="H137" t="s">
        <v>44</v>
      </c>
      <c r="I137" t="s">
        <v>1476</v>
      </c>
      <c r="J137" t="s">
        <v>45</v>
      </c>
      <c r="K137" t="s">
        <v>45</v>
      </c>
      <c r="L137" t="s">
        <v>46</v>
      </c>
      <c r="M137" t="s">
        <v>47</v>
      </c>
      <c r="N137" t="s">
        <v>1037</v>
      </c>
      <c r="O137" t="s">
        <v>51</v>
      </c>
      <c r="P137" t="s">
        <v>52</v>
      </c>
      <c r="Q137" s="133">
        <v>2509</v>
      </c>
      <c r="R137" s="135">
        <v>1</v>
      </c>
      <c r="S137" s="139">
        <v>16600</v>
      </c>
      <c r="U137" s="133">
        <v>416.49400000000003</v>
      </c>
      <c r="V137" s="137">
        <v>1.0000000000000001E-5</v>
      </c>
      <c r="W137" s="137">
        <v>3.2277521658230703E-2</v>
      </c>
      <c r="X137" s="137">
        <v>4.1236715918240002E-3</v>
      </c>
    </row>
    <row r="138" spans="1:24">
      <c r="A138">
        <v>161</v>
      </c>
      <c r="B138">
        <v>9942</v>
      </c>
      <c r="C138" t="s">
        <v>2834</v>
      </c>
      <c r="D138" t="s">
        <v>2835</v>
      </c>
      <c r="E138" t="s">
        <v>41</v>
      </c>
      <c r="F138" t="s">
        <v>2836</v>
      </c>
      <c r="G138" t="s">
        <v>2837</v>
      </c>
      <c r="H138" t="s">
        <v>44</v>
      </c>
      <c r="I138" t="s">
        <v>1476</v>
      </c>
      <c r="J138" t="s">
        <v>45</v>
      </c>
      <c r="K138" t="s">
        <v>264</v>
      </c>
      <c r="L138" t="s">
        <v>46</v>
      </c>
      <c r="M138" t="s">
        <v>47</v>
      </c>
      <c r="N138" t="s">
        <v>1045</v>
      </c>
      <c r="O138" t="s">
        <v>51</v>
      </c>
      <c r="P138" t="s">
        <v>52</v>
      </c>
      <c r="Q138" s="133">
        <v>380</v>
      </c>
      <c r="R138" s="135">
        <v>1</v>
      </c>
      <c r="S138" s="139">
        <v>53870</v>
      </c>
      <c r="U138" s="133">
        <v>204.70599999999999</v>
      </c>
      <c r="V138" s="137">
        <v>3.0000000000000001E-6</v>
      </c>
      <c r="W138" s="137">
        <v>1.58643398189884E-2</v>
      </c>
      <c r="X138" s="137">
        <v>2.02677665674877E-3</v>
      </c>
    </row>
    <row r="139" spans="1:24">
      <c r="A139">
        <v>161</v>
      </c>
      <c r="B139">
        <v>9942</v>
      </c>
      <c r="C139" t="s">
        <v>2838</v>
      </c>
      <c r="D139" t="s">
        <v>2839</v>
      </c>
      <c r="E139" t="s">
        <v>41</v>
      </c>
      <c r="F139" t="s">
        <v>2840</v>
      </c>
      <c r="G139" t="s">
        <v>2841</v>
      </c>
      <c r="H139" t="s">
        <v>44</v>
      </c>
      <c r="I139" t="s">
        <v>1476</v>
      </c>
      <c r="J139" t="s">
        <v>45</v>
      </c>
      <c r="K139" t="s">
        <v>69</v>
      </c>
      <c r="L139" t="s">
        <v>46</v>
      </c>
      <c r="M139" t="s">
        <v>47</v>
      </c>
      <c r="N139" t="s">
        <v>1052</v>
      </c>
      <c r="O139" t="s">
        <v>51</v>
      </c>
      <c r="P139" t="s">
        <v>52</v>
      </c>
      <c r="Q139" s="133">
        <v>7190</v>
      </c>
      <c r="R139" s="135">
        <v>1</v>
      </c>
      <c r="S139" s="139">
        <v>9239</v>
      </c>
      <c r="U139" s="133">
        <v>664.28399999999999</v>
      </c>
      <c r="V139" s="137">
        <v>6.0000000000000002E-6</v>
      </c>
      <c r="W139" s="137">
        <v>5.1480800263552999E-2</v>
      </c>
      <c r="X139" s="137">
        <v>6.5770202501605601E-3</v>
      </c>
    </row>
    <row r="140" spans="1:24">
      <c r="A140">
        <v>161</v>
      </c>
      <c r="B140">
        <v>9942</v>
      </c>
      <c r="C140" t="s">
        <v>2628</v>
      </c>
      <c r="D140" t="s">
        <v>2629</v>
      </c>
      <c r="E140" t="s">
        <v>41</v>
      </c>
      <c r="F140" t="s">
        <v>2842</v>
      </c>
      <c r="G140" t="s">
        <v>2843</v>
      </c>
      <c r="H140" t="s">
        <v>44</v>
      </c>
      <c r="I140" t="s">
        <v>1476</v>
      </c>
      <c r="J140" t="s">
        <v>45</v>
      </c>
      <c r="K140" t="s">
        <v>45</v>
      </c>
      <c r="L140" t="s">
        <v>46</v>
      </c>
      <c r="M140" t="s">
        <v>47</v>
      </c>
      <c r="N140" t="s">
        <v>1038</v>
      </c>
      <c r="O140" t="s">
        <v>51</v>
      </c>
      <c r="P140" t="s">
        <v>52</v>
      </c>
      <c r="Q140" s="133">
        <v>4583</v>
      </c>
      <c r="R140" s="135">
        <v>1</v>
      </c>
      <c r="S140" s="139">
        <v>1751</v>
      </c>
      <c r="T140" s="133">
        <v>0.33600000000000002</v>
      </c>
      <c r="U140" s="133">
        <v>80.584000000000003</v>
      </c>
      <c r="V140" s="137">
        <v>1.2999999999999999E-5</v>
      </c>
      <c r="W140" s="137">
        <v>6.2451293568733801E-3</v>
      </c>
      <c r="X140" s="137">
        <v>7.9785749317708198E-4</v>
      </c>
    </row>
    <row r="141" spans="1:24">
      <c r="A141">
        <v>161</v>
      </c>
      <c r="B141">
        <v>9942</v>
      </c>
      <c r="C141" t="s">
        <v>2348</v>
      </c>
      <c r="D141" t="s">
        <v>2349</v>
      </c>
      <c r="E141" t="s">
        <v>41</v>
      </c>
      <c r="F141" t="s">
        <v>2948</v>
      </c>
      <c r="G141" t="s">
        <v>2949</v>
      </c>
      <c r="H141" t="s">
        <v>44</v>
      </c>
      <c r="I141" t="s">
        <v>1476</v>
      </c>
      <c r="J141" t="s">
        <v>45</v>
      </c>
      <c r="K141" t="s">
        <v>45</v>
      </c>
      <c r="L141" t="s">
        <v>46</v>
      </c>
      <c r="M141" t="s">
        <v>47</v>
      </c>
      <c r="N141" t="s">
        <v>1037</v>
      </c>
      <c r="O141" t="s">
        <v>51</v>
      </c>
      <c r="P141" t="s">
        <v>52</v>
      </c>
      <c r="Q141" s="133">
        <v>1860</v>
      </c>
      <c r="R141" s="135">
        <v>1</v>
      </c>
      <c r="S141" s="139">
        <v>22200</v>
      </c>
      <c r="U141" s="133">
        <v>412.92</v>
      </c>
      <c r="V141" s="137">
        <v>2.3E-5</v>
      </c>
      <c r="W141" s="137">
        <v>3.2000543208585502E-2</v>
      </c>
      <c r="X141" s="137">
        <v>4.0882857224737099E-3</v>
      </c>
    </row>
    <row r="142" spans="1:24">
      <c r="A142">
        <v>161</v>
      </c>
      <c r="B142">
        <v>9942</v>
      </c>
      <c r="C142" t="s">
        <v>216</v>
      </c>
      <c r="D142" t="s">
        <v>217</v>
      </c>
      <c r="E142" t="s">
        <v>41</v>
      </c>
      <c r="F142" t="s">
        <v>2844</v>
      </c>
      <c r="G142" t="s">
        <v>2845</v>
      </c>
      <c r="H142" t="s">
        <v>44</v>
      </c>
      <c r="I142" t="s">
        <v>1476</v>
      </c>
      <c r="J142" t="s">
        <v>45</v>
      </c>
      <c r="K142" t="s">
        <v>45</v>
      </c>
      <c r="L142" t="s">
        <v>46</v>
      </c>
      <c r="M142" t="s">
        <v>47</v>
      </c>
      <c r="N142" t="s">
        <v>221</v>
      </c>
      <c r="O142" t="s">
        <v>51</v>
      </c>
      <c r="P142" t="s">
        <v>52</v>
      </c>
      <c r="Q142" s="133">
        <v>14775</v>
      </c>
      <c r="R142" s="135">
        <v>1</v>
      </c>
      <c r="S142" s="139">
        <v>6979</v>
      </c>
      <c r="U142" s="133">
        <v>1031.1469999999999</v>
      </c>
      <c r="V142" s="137">
        <v>9.0000000000000002E-6</v>
      </c>
      <c r="W142" s="137">
        <v>7.9912022009200598E-2</v>
      </c>
      <c r="X142" s="137">
        <v>1.0209301026695299E-2</v>
      </c>
    </row>
    <row r="143" spans="1:24">
      <c r="A143">
        <v>161</v>
      </c>
      <c r="B143">
        <v>9942</v>
      </c>
      <c r="C143" t="s">
        <v>2151</v>
      </c>
      <c r="D143" t="s">
        <v>2152</v>
      </c>
      <c r="E143" t="s">
        <v>41</v>
      </c>
      <c r="F143" t="s">
        <v>2846</v>
      </c>
      <c r="G143" t="s">
        <v>2847</v>
      </c>
      <c r="H143" t="s">
        <v>44</v>
      </c>
      <c r="I143" t="s">
        <v>1476</v>
      </c>
      <c r="J143" t="s">
        <v>45</v>
      </c>
      <c r="K143" t="s">
        <v>45</v>
      </c>
      <c r="L143" t="s">
        <v>46</v>
      </c>
      <c r="M143" t="s">
        <v>47</v>
      </c>
      <c r="N143" t="s">
        <v>58</v>
      </c>
      <c r="O143" t="s">
        <v>51</v>
      </c>
      <c r="P143" t="s">
        <v>52</v>
      </c>
      <c r="Q143" s="133">
        <v>300</v>
      </c>
      <c r="R143" s="135">
        <v>1</v>
      </c>
      <c r="S143" s="139">
        <v>50060</v>
      </c>
      <c r="U143" s="133">
        <v>150.18</v>
      </c>
      <c r="V143" s="137">
        <v>7.9999999999999996E-6</v>
      </c>
      <c r="W143" s="137">
        <v>1.1638674753137099E-2</v>
      </c>
      <c r="X143" s="137">
        <v>1.48691937857479E-3</v>
      </c>
    </row>
    <row r="144" spans="1:24">
      <c r="A144">
        <v>161</v>
      </c>
      <c r="B144">
        <v>9942</v>
      </c>
      <c r="C144" t="s">
        <v>2301</v>
      </c>
      <c r="D144" t="s">
        <v>2302</v>
      </c>
      <c r="E144" t="s">
        <v>41</v>
      </c>
      <c r="F144" t="s">
        <v>2934</v>
      </c>
      <c r="G144" t="s">
        <v>2935</v>
      </c>
      <c r="H144" t="s">
        <v>44</v>
      </c>
      <c r="I144" t="s">
        <v>1476</v>
      </c>
      <c r="J144" t="s">
        <v>45</v>
      </c>
      <c r="K144" t="s">
        <v>45</v>
      </c>
      <c r="L144" t="s">
        <v>46</v>
      </c>
      <c r="M144" t="s">
        <v>47</v>
      </c>
      <c r="N144" t="s">
        <v>221</v>
      </c>
      <c r="O144" t="s">
        <v>51</v>
      </c>
      <c r="P144" t="s">
        <v>52</v>
      </c>
      <c r="Q144" s="133">
        <v>1379</v>
      </c>
      <c r="R144" s="135">
        <v>1</v>
      </c>
      <c r="S144" s="139">
        <v>22780</v>
      </c>
      <c r="U144" s="133">
        <v>314.13600000000002</v>
      </c>
      <c r="V144" s="137">
        <v>5.0000000000000004E-6</v>
      </c>
      <c r="W144" s="137">
        <v>2.4344979757533799E-2</v>
      </c>
      <c r="X144" s="137">
        <v>3.1102357390587702E-3</v>
      </c>
    </row>
    <row r="145" spans="1:24">
      <c r="A145">
        <v>161</v>
      </c>
      <c r="B145">
        <v>9942</v>
      </c>
      <c r="C145" t="s">
        <v>2848</v>
      </c>
      <c r="D145" t="s">
        <v>2849</v>
      </c>
      <c r="E145" t="s">
        <v>41</v>
      </c>
      <c r="F145" t="s">
        <v>2850</v>
      </c>
      <c r="G145" t="s">
        <v>2851</v>
      </c>
      <c r="H145" t="s">
        <v>44</v>
      </c>
      <c r="I145" t="s">
        <v>1476</v>
      </c>
      <c r="J145" t="s">
        <v>45</v>
      </c>
      <c r="K145" t="s">
        <v>45</v>
      </c>
      <c r="L145" t="s">
        <v>46</v>
      </c>
      <c r="M145" t="s">
        <v>47</v>
      </c>
      <c r="N145" s="125" t="s">
        <v>1061</v>
      </c>
      <c r="O145" t="s">
        <v>51</v>
      </c>
      <c r="P145" t="s">
        <v>52</v>
      </c>
      <c r="Q145" s="133">
        <v>700</v>
      </c>
      <c r="R145" s="135">
        <v>1</v>
      </c>
      <c r="S145" s="139">
        <v>8714</v>
      </c>
      <c r="U145" s="133">
        <v>60.997999999999998</v>
      </c>
      <c r="V145" s="137">
        <v>7.9999999999999996E-6</v>
      </c>
      <c r="W145" s="137">
        <v>4.72723320410079E-3</v>
      </c>
      <c r="X145" s="137">
        <v>6.0393599849717003E-4</v>
      </c>
    </row>
    <row r="146" spans="1:24">
      <c r="A146">
        <v>161</v>
      </c>
      <c r="B146">
        <v>9942</v>
      </c>
      <c r="C146" t="s">
        <v>2191</v>
      </c>
      <c r="D146" t="s">
        <v>2192</v>
      </c>
      <c r="E146" t="s">
        <v>41</v>
      </c>
      <c r="F146" t="s">
        <v>2852</v>
      </c>
      <c r="G146" t="s">
        <v>2853</v>
      </c>
      <c r="H146" t="s">
        <v>44</v>
      </c>
      <c r="I146" t="s">
        <v>1476</v>
      </c>
      <c r="J146" t="s">
        <v>45</v>
      </c>
      <c r="K146" t="s">
        <v>45</v>
      </c>
      <c r="L146" t="s">
        <v>46</v>
      </c>
      <c r="M146" t="s">
        <v>47</v>
      </c>
      <c r="N146" t="s">
        <v>58</v>
      </c>
      <c r="O146" t="s">
        <v>51</v>
      </c>
      <c r="P146" t="s">
        <v>52</v>
      </c>
      <c r="Q146" s="133">
        <v>609</v>
      </c>
      <c r="R146" s="135">
        <v>1</v>
      </c>
      <c r="S146" s="139">
        <v>40600</v>
      </c>
      <c r="T146" s="133">
        <v>1.149</v>
      </c>
      <c r="U146" s="133">
        <v>248.40299999999999</v>
      </c>
      <c r="V146" s="137">
        <v>1.2999999999999999E-5</v>
      </c>
      <c r="W146" s="137">
        <v>1.9250796606553499E-2</v>
      </c>
      <c r="X146" s="137">
        <v>2.4594194042213201E-3</v>
      </c>
    </row>
    <row r="147" spans="1:24">
      <c r="A147">
        <v>161</v>
      </c>
      <c r="B147">
        <v>9942</v>
      </c>
      <c r="C147" t="s">
        <v>2427</v>
      </c>
      <c r="D147" t="s">
        <v>2428</v>
      </c>
      <c r="E147" t="s">
        <v>41</v>
      </c>
      <c r="F147" t="s">
        <v>2854</v>
      </c>
      <c r="G147" t="s">
        <v>2855</v>
      </c>
      <c r="H147" t="s">
        <v>44</v>
      </c>
      <c r="I147" t="s">
        <v>1476</v>
      </c>
      <c r="J147" t="s">
        <v>45</v>
      </c>
      <c r="K147" t="s">
        <v>45</v>
      </c>
      <c r="L147" t="s">
        <v>46</v>
      </c>
      <c r="M147" t="s">
        <v>47</v>
      </c>
      <c r="N147" t="s">
        <v>1037</v>
      </c>
      <c r="O147" t="s">
        <v>51</v>
      </c>
      <c r="P147" t="s">
        <v>52</v>
      </c>
      <c r="Q147" s="133">
        <v>190</v>
      </c>
      <c r="R147" s="135">
        <v>1</v>
      </c>
      <c r="S147" s="139">
        <v>45370</v>
      </c>
      <c r="U147" s="133">
        <v>86.203000000000003</v>
      </c>
      <c r="V147" s="137">
        <v>3.0000000000000001E-6</v>
      </c>
      <c r="W147" s="137">
        <v>6.6805745088871797E-3</v>
      </c>
      <c r="X147" s="137">
        <v>8.5348855500920701E-4</v>
      </c>
    </row>
    <row r="148" spans="1:24">
      <c r="A148">
        <v>161</v>
      </c>
      <c r="B148">
        <v>9942</v>
      </c>
      <c r="C148" t="s">
        <v>2693</v>
      </c>
      <c r="D148" t="s">
        <v>2694</v>
      </c>
      <c r="E148" t="s">
        <v>146</v>
      </c>
      <c r="F148" t="s">
        <v>2856</v>
      </c>
      <c r="G148" t="s">
        <v>2857</v>
      </c>
      <c r="H148" t="s">
        <v>44</v>
      </c>
      <c r="I148" t="s">
        <v>1476</v>
      </c>
      <c r="J148" t="s">
        <v>45</v>
      </c>
      <c r="K148" t="s">
        <v>69</v>
      </c>
      <c r="L148" t="s">
        <v>46</v>
      </c>
      <c r="M148" t="s">
        <v>47</v>
      </c>
      <c r="N148" t="s">
        <v>210</v>
      </c>
      <c r="O148" t="s">
        <v>51</v>
      </c>
      <c r="P148" t="s">
        <v>52</v>
      </c>
      <c r="Q148" s="133">
        <v>3474</v>
      </c>
      <c r="R148" s="135">
        <v>1</v>
      </c>
      <c r="S148" s="139">
        <v>12900</v>
      </c>
      <c r="U148" s="133">
        <v>448.14600000000002</v>
      </c>
      <c r="V148" s="137">
        <v>2.9E-5</v>
      </c>
      <c r="W148" s="137">
        <v>3.4730493647085997E-2</v>
      </c>
      <c r="X148" s="137">
        <v>4.4370553457902398E-3</v>
      </c>
    </row>
    <row r="149" spans="1:24">
      <c r="A149">
        <v>161</v>
      </c>
      <c r="B149">
        <v>9942</v>
      </c>
      <c r="C149" t="s">
        <v>2905</v>
      </c>
      <c r="D149" t="s">
        <v>2906</v>
      </c>
      <c r="E149" t="s">
        <v>41</v>
      </c>
      <c r="F149" t="s">
        <v>2950</v>
      </c>
      <c r="G149" t="s">
        <v>2908</v>
      </c>
      <c r="H149" t="s">
        <v>44</v>
      </c>
      <c r="I149" t="s">
        <v>1476</v>
      </c>
      <c r="J149" t="s">
        <v>45</v>
      </c>
      <c r="K149" t="s">
        <v>264</v>
      </c>
      <c r="L149" t="s">
        <v>46</v>
      </c>
      <c r="M149" t="s">
        <v>47</v>
      </c>
      <c r="N149" t="s">
        <v>1045</v>
      </c>
      <c r="O149" t="s">
        <v>51</v>
      </c>
      <c r="P149" t="s">
        <v>52</v>
      </c>
      <c r="Q149" s="133">
        <v>248</v>
      </c>
      <c r="R149" s="135">
        <v>1</v>
      </c>
      <c r="S149" s="139">
        <v>135650</v>
      </c>
      <c r="U149" s="133">
        <v>336.41199999999998</v>
      </c>
      <c r="V149" s="137">
        <v>7.9999999999999996E-6</v>
      </c>
      <c r="W149" s="137">
        <v>2.60713134308986E-2</v>
      </c>
      <c r="X149" s="137">
        <v>3.3307865360574099E-3</v>
      </c>
    </row>
    <row r="150" spans="1:24">
      <c r="A150">
        <v>161</v>
      </c>
      <c r="B150">
        <v>9942</v>
      </c>
      <c r="C150" t="s">
        <v>2858</v>
      </c>
      <c r="D150" t="s">
        <v>2859</v>
      </c>
      <c r="E150" t="s">
        <v>146</v>
      </c>
      <c r="F150" t="s">
        <v>2860</v>
      </c>
      <c r="G150" t="s">
        <v>2861</v>
      </c>
      <c r="H150" t="s">
        <v>44</v>
      </c>
      <c r="I150" t="s">
        <v>1476</v>
      </c>
      <c r="J150" t="s">
        <v>45</v>
      </c>
      <c r="K150" t="s">
        <v>45</v>
      </c>
      <c r="L150" t="s">
        <v>46</v>
      </c>
      <c r="M150" t="s">
        <v>47</v>
      </c>
      <c r="N150" t="s">
        <v>210</v>
      </c>
      <c r="O150" t="s">
        <v>51</v>
      </c>
      <c r="P150" t="s">
        <v>52</v>
      </c>
      <c r="Q150" s="133">
        <v>7879</v>
      </c>
      <c r="R150" s="135">
        <v>1</v>
      </c>
      <c r="S150" s="139">
        <v>1799</v>
      </c>
      <c r="U150" s="133">
        <v>141.74299999999999</v>
      </c>
      <c r="V150" s="137">
        <v>6.9999999999999999E-6</v>
      </c>
      <c r="W150" s="137">
        <v>1.0984838990915E-2</v>
      </c>
      <c r="X150" s="137">
        <v>1.4033874399413801E-3</v>
      </c>
    </row>
    <row r="151" spans="1:24">
      <c r="A151">
        <v>161</v>
      </c>
      <c r="B151">
        <v>9942</v>
      </c>
      <c r="C151" t="s">
        <v>2936</v>
      </c>
      <c r="D151" t="s">
        <v>2937</v>
      </c>
      <c r="E151" t="s">
        <v>41</v>
      </c>
      <c r="F151" t="s">
        <v>2938</v>
      </c>
      <c r="G151" t="s">
        <v>2939</v>
      </c>
      <c r="H151" t="s">
        <v>44</v>
      </c>
      <c r="I151" t="s">
        <v>1476</v>
      </c>
      <c r="J151" t="s">
        <v>45</v>
      </c>
      <c r="K151" t="s">
        <v>69</v>
      </c>
      <c r="L151" t="s">
        <v>46</v>
      </c>
      <c r="M151" t="s">
        <v>47</v>
      </c>
      <c r="N151" t="s">
        <v>1065</v>
      </c>
      <c r="O151" t="s">
        <v>51</v>
      </c>
      <c r="P151" t="s">
        <v>52</v>
      </c>
      <c r="Q151" s="133">
        <v>223</v>
      </c>
      <c r="R151" s="135">
        <v>1</v>
      </c>
      <c r="S151" s="139">
        <v>34690</v>
      </c>
      <c r="U151" s="133">
        <v>77.358999999999995</v>
      </c>
      <c r="V151" s="137">
        <v>3.0000000000000001E-6</v>
      </c>
      <c r="W151" s="137">
        <v>5.9951574685411201E-3</v>
      </c>
      <c r="X151" s="137">
        <v>7.6592189460216798E-4</v>
      </c>
    </row>
    <row r="152" spans="1:24">
      <c r="A152">
        <v>161</v>
      </c>
      <c r="B152">
        <v>9942</v>
      </c>
      <c r="C152" t="s">
        <v>2862</v>
      </c>
      <c r="D152" t="s">
        <v>2863</v>
      </c>
      <c r="E152" t="s">
        <v>41</v>
      </c>
      <c r="F152" t="s">
        <v>2862</v>
      </c>
      <c r="G152" t="s">
        <v>2864</v>
      </c>
      <c r="H152" t="s">
        <v>44</v>
      </c>
      <c r="I152" t="s">
        <v>1476</v>
      </c>
      <c r="J152" t="s">
        <v>45</v>
      </c>
      <c r="K152" t="s">
        <v>45</v>
      </c>
      <c r="L152" t="s">
        <v>46</v>
      </c>
      <c r="M152" t="s">
        <v>47</v>
      </c>
      <c r="N152" t="s">
        <v>1033</v>
      </c>
      <c r="O152" t="s">
        <v>51</v>
      </c>
      <c r="P152" t="s">
        <v>52</v>
      </c>
      <c r="Q152" s="133">
        <v>1330</v>
      </c>
      <c r="R152" s="135">
        <v>1</v>
      </c>
      <c r="S152" s="139">
        <v>30500</v>
      </c>
      <c r="U152" s="133">
        <v>405.65</v>
      </c>
      <c r="V152" s="137">
        <v>1.4E-5</v>
      </c>
      <c r="W152" s="137">
        <v>3.1437131532894298E-2</v>
      </c>
      <c r="X152" s="137">
        <v>4.0163060721724797E-3</v>
      </c>
    </row>
    <row r="153" spans="1:24">
      <c r="A153">
        <v>161</v>
      </c>
      <c r="B153">
        <v>9942</v>
      </c>
      <c r="C153" t="s">
        <v>2226</v>
      </c>
      <c r="D153" t="s">
        <v>2227</v>
      </c>
      <c r="E153" t="s">
        <v>41</v>
      </c>
      <c r="F153" t="s">
        <v>2865</v>
      </c>
      <c r="G153" t="s">
        <v>2866</v>
      </c>
      <c r="H153" t="s">
        <v>44</v>
      </c>
      <c r="I153" t="s">
        <v>1476</v>
      </c>
      <c r="J153" t="s">
        <v>45</v>
      </c>
      <c r="K153" t="s">
        <v>45</v>
      </c>
      <c r="L153" t="s">
        <v>46</v>
      </c>
      <c r="M153" t="s">
        <v>47</v>
      </c>
      <c r="N153" t="s">
        <v>58</v>
      </c>
      <c r="O153" t="s">
        <v>51</v>
      </c>
      <c r="P153" t="s">
        <v>52</v>
      </c>
      <c r="Q153" s="133">
        <v>570</v>
      </c>
      <c r="R153" s="135">
        <v>1</v>
      </c>
      <c r="S153" s="139">
        <v>41870</v>
      </c>
      <c r="U153" s="133">
        <v>238.65899999999999</v>
      </c>
      <c r="V153" s="137">
        <v>5.0000000000000004E-6</v>
      </c>
      <c r="W153" s="137">
        <v>1.84956350906176E-2</v>
      </c>
      <c r="X153" s="137">
        <v>2.3629424155765101E-3</v>
      </c>
    </row>
    <row r="154" spans="1:24">
      <c r="A154">
        <v>161</v>
      </c>
      <c r="B154">
        <v>9942</v>
      </c>
      <c r="C154" t="s">
        <v>2236</v>
      </c>
      <c r="D154" t="s">
        <v>2237</v>
      </c>
      <c r="E154" t="s">
        <v>41</v>
      </c>
      <c r="F154" t="s">
        <v>2867</v>
      </c>
      <c r="G154" t="s">
        <v>2868</v>
      </c>
      <c r="H154" t="s">
        <v>44</v>
      </c>
      <c r="I154" t="s">
        <v>1476</v>
      </c>
      <c r="J154" t="s">
        <v>45</v>
      </c>
      <c r="K154" t="s">
        <v>45</v>
      </c>
      <c r="L154" t="s">
        <v>46</v>
      </c>
      <c r="M154" t="s">
        <v>47</v>
      </c>
      <c r="N154" t="s">
        <v>221</v>
      </c>
      <c r="O154" t="s">
        <v>51</v>
      </c>
      <c r="P154" t="s">
        <v>52</v>
      </c>
      <c r="Q154" s="133">
        <v>9574</v>
      </c>
      <c r="R154" s="135">
        <v>1</v>
      </c>
      <c r="S154" s="139">
        <v>7332</v>
      </c>
      <c r="U154" s="133">
        <v>701.96600000000001</v>
      </c>
      <c r="V154" s="137">
        <v>6.9999999999999999E-6</v>
      </c>
      <c r="W154" s="137">
        <v>5.44010536515162E-2</v>
      </c>
      <c r="X154" s="137">
        <v>6.9501023617421099E-3</v>
      </c>
    </row>
    <row r="155" spans="1:24">
      <c r="A155">
        <v>161</v>
      </c>
      <c r="B155">
        <v>9942</v>
      </c>
      <c r="C155" t="s">
        <v>2869</v>
      </c>
      <c r="D155" t="s">
        <v>2870</v>
      </c>
      <c r="E155" t="s">
        <v>41</v>
      </c>
      <c r="F155" t="s">
        <v>2871</v>
      </c>
      <c r="G155" t="s">
        <v>2872</v>
      </c>
      <c r="H155" t="s">
        <v>44</v>
      </c>
      <c r="I155" t="s">
        <v>1476</v>
      </c>
      <c r="J155" t="s">
        <v>45</v>
      </c>
      <c r="K155" t="s">
        <v>45</v>
      </c>
      <c r="L155" t="s">
        <v>46</v>
      </c>
      <c r="M155" t="s">
        <v>47</v>
      </c>
      <c r="N155" t="s">
        <v>1032</v>
      </c>
      <c r="O155" t="s">
        <v>51</v>
      </c>
      <c r="P155" t="s">
        <v>52</v>
      </c>
      <c r="Q155" s="133">
        <v>400</v>
      </c>
      <c r="R155" s="135">
        <v>1</v>
      </c>
      <c r="S155" s="139">
        <v>26010</v>
      </c>
      <c r="U155" s="133">
        <v>104.04</v>
      </c>
      <c r="V155" s="137">
        <v>4.3999999999999999E-5</v>
      </c>
      <c r="W155" s="137">
        <v>8.06290931759477E-3</v>
      </c>
      <c r="X155" s="137">
        <v>1.0300911715735901E-3</v>
      </c>
    </row>
    <row r="156" spans="1:24">
      <c r="A156">
        <v>161</v>
      </c>
      <c r="B156">
        <v>9942</v>
      </c>
      <c r="C156" t="s">
        <v>2873</v>
      </c>
      <c r="D156" t="s">
        <v>2874</v>
      </c>
      <c r="E156" t="s">
        <v>41</v>
      </c>
      <c r="F156" t="s">
        <v>2875</v>
      </c>
      <c r="G156" t="s">
        <v>2876</v>
      </c>
      <c r="H156" t="s">
        <v>44</v>
      </c>
      <c r="I156" t="s">
        <v>1476</v>
      </c>
      <c r="J156" t="s">
        <v>45</v>
      </c>
      <c r="K156" t="s">
        <v>45</v>
      </c>
      <c r="L156" t="s">
        <v>46</v>
      </c>
      <c r="M156" t="s">
        <v>47</v>
      </c>
      <c r="N156" t="s">
        <v>1069</v>
      </c>
      <c r="O156" t="s">
        <v>51</v>
      </c>
      <c r="P156" t="s">
        <v>52</v>
      </c>
      <c r="Q156" s="133">
        <v>6050</v>
      </c>
      <c r="R156" s="135">
        <v>1</v>
      </c>
      <c r="S156" s="139">
        <v>3509</v>
      </c>
      <c r="U156" s="133">
        <v>212.29400000000001</v>
      </c>
      <c r="V156" s="137">
        <v>3.1000000000000001E-5</v>
      </c>
      <c r="W156" s="137">
        <v>1.6452434660939302E-2</v>
      </c>
      <c r="X156" s="137">
        <v>2.1019097484008902E-3</v>
      </c>
    </row>
    <row r="157" spans="1:24">
      <c r="A157">
        <v>161</v>
      </c>
      <c r="B157">
        <v>9942</v>
      </c>
      <c r="C157" t="s">
        <v>2877</v>
      </c>
      <c r="D157" t="s">
        <v>2878</v>
      </c>
      <c r="E157" t="s">
        <v>41</v>
      </c>
      <c r="F157" t="s">
        <v>2879</v>
      </c>
      <c r="G157" t="s">
        <v>2880</v>
      </c>
      <c r="H157" t="s">
        <v>44</v>
      </c>
      <c r="I157" t="s">
        <v>1476</v>
      </c>
      <c r="J157" t="s">
        <v>45</v>
      </c>
      <c r="K157" t="s">
        <v>45</v>
      </c>
      <c r="L157" t="s">
        <v>46</v>
      </c>
      <c r="M157" t="s">
        <v>47</v>
      </c>
      <c r="N157" t="s">
        <v>1049</v>
      </c>
      <c r="O157" t="s">
        <v>51</v>
      </c>
      <c r="P157" t="s">
        <v>52</v>
      </c>
      <c r="Q157" s="133">
        <v>10058</v>
      </c>
      <c r="R157" s="135">
        <v>1</v>
      </c>
      <c r="S157" s="139">
        <v>805.7</v>
      </c>
      <c r="T157" s="133">
        <v>1.7430000000000001</v>
      </c>
      <c r="U157" s="133">
        <v>82.781000000000006</v>
      </c>
      <c r="V157" s="137">
        <v>3.4999999999999997E-5</v>
      </c>
      <c r="W157" s="137">
        <v>6.4153429214365799E-3</v>
      </c>
      <c r="X157" s="137">
        <v>8.1960342671449698E-4</v>
      </c>
    </row>
    <row r="158" spans="1:24">
      <c r="A158">
        <v>161</v>
      </c>
      <c r="B158">
        <v>9942</v>
      </c>
      <c r="C158" t="s">
        <v>2893</v>
      </c>
      <c r="D158" t="s">
        <v>2894</v>
      </c>
      <c r="E158" t="s">
        <v>41</v>
      </c>
      <c r="F158" t="s">
        <v>2951</v>
      </c>
      <c r="G158" t="s">
        <v>2896</v>
      </c>
      <c r="H158" t="s">
        <v>44</v>
      </c>
      <c r="I158" t="s">
        <v>1476</v>
      </c>
      <c r="J158" t="s">
        <v>45</v>
      </c>
      <c r="K158" t="s">
        <v>264</v>
      </c>
      <c r="L158" t="s">
        <v>46</v>
      </c>
      <c r="M158" t="s">
        <v>47</v>
      </c>
      <c r="N158" t="s">
        <v>1045</v>
      </c>
      <c r="O158" t="s">
        <v>51</v>
      </c>
      <c r="P158" t="s">
        <v>52</v>
      </c>
      <c r="Q158" s="133">
        <v>420</v>
      </c>
      <c r="R158" s="135">
        <v>1</v>
      </c>
      <c r="S158" s="139">
        <v>46340</v>
      </c>
      <c r="U158" s="133">
        <v>194.62799999999999</v>
      </c>
      <c r="V158" s="137">
        <v>9.0000000000000002E-6</v>
      </c>
      <c r="W158" s="137">
        <v>1.50833132897427E-2</v>
      </c>
      <c r="X158" s="137">
        <v>1.9269952378030001E-3</v>
      </c>
    </row>
    <row r="159" spans="1:24">
      <c r="A159">
        <v>161</v>
      </c>
      <c r="B159">
        <v>9942</v>
      </c>
      <c r="C159" t="s">
        <v>2952</v>
      </c>
      <c r="D159" t="s">
        <v>2953</v>
      </c>
      <c r="E159" t="s">
        <v>146</v>
      </c>
      <c r="F159" t="s">
        <v>2954</v>
      </c>
      <c r="G159" t="s">
        <v>2955</v>
      </c>
      <c r="H159" t="s">
        <v>44</v>
      </c>
      <c r="I159" t="s">
        <v>1476</v>
      </c>
      <c r="J159" t="s">
        <v>45</v>
      </c>
      <c r="K159" t="s">
        <v>45</v>
      </c>
      <c r="L159" t="s">
        <v>46</v>
      </c>
      <c r="M159" t="s">
        <v>47</v>
      </c>
      <c r="N159" t="s">
        <v>210</v>
      </c>
      <c r="O159" t="s">
        <v>51</v>
      </c>
      <c r="P159" t="s">
        <v>52</v>
      </c>
      <c r="Q159" s="133">
        <v>19273</v>
      </c>
      <c r="R159" s="135">
        <v>1</v>
      </c>
      <c r="S159" s="139">
        <v>435</v>
      </c>
      <c r="T159" s="133">
        <v>2.1709999999999998</v>
      </c>
      <c r="U159" s="133">
        <v>86.009</v>
      </c>
      <c r="V159" s="137">
        <v>1.7E-5</v>
      </c>
      <c r="W159" s="137">
        <v>6.6655018903445098E-3</v>
      </c>
      <c r="X159" s="137">
        <v>8.5156292609764002E-4</v>
      </c>
    </row>
    <row r="160" spans="1:24">
      <c r="A160">
        <v>161</v>
      </c>
      <c r="B160">
        <v>9942</v>
      </c>
      <c r="C160" t="s">
        <v>2956</v>
      </c>
      <c r="D160" t="s">
        <v>2957</v>
      </c>
      <c r="E160" t="s">
        <v>64</v>
      </c>
      <c r="F160" t="s">
        <v>2958</v>
      </c>
      <c r="G160" t="s">
        <v>2959</v>
      </c>
      <c r="H160" t="s">
        <v>44</v>
      </c>
      <c r="I160" t="s">
        <v>1476</v>
      </c>
      <c r="J160" t="s">
        <v>68</v>
      </c>
      <c r="K160" t="s">
        <v>909</v>
      </c>
      <c r="L160" t="s">
        <v>46</v>
      </c>
      <c r="M160" t="s">
        <v>949</v>
      </c>
      <c r="N160" t="s">
        <v>1129</v>
      </c>
      <c r="O160" t="s">
        <v>51</v>
      </c>
      <c r="P160" t="s">
        <v>72</v>
      </c>
      <c r="Q160" s="133">
        <v>260</v>
      </c>
      <c r="R160" s="135">
        <v>3.165</v>
      </c>
      <c r="S160" s="139">
        <v>20343</v>
      </c>
      <c r="U160" s="133">
        <v>167.40299999999999</v>
      </c>
      <c r="V160" s="137">
        <v>0</v>
      </c>
      <c r="W160" s="137">
        <v>1.29733905805017E-2</v>
      </c>
      <c r="X160" s="137">
        <v>1.6574383483624799E-3</v>
      </c>
    </row>
    <row r="161" spans="1:24">
      <c r="A161">
        <v>161</v>
      </c>
      <c r="B161">
        <v>9942</v>
      </c>
      <c r="C161" t="s">
        <v>2881</v>
      </c>
      <c r="D161" t="s">
        <v>2882</v>
      </c>
      <c r="E161" t="s">
        <v>64</v>
      </c>
      <c r="F161" t="s">
        <v>2883</v>
      </c>
      <c r="G161" t="s">
        <v>2884</v>
      </c>
      <c r="H161" t="s">
        <v>44</v>
      </c>
      <c r="I161" t="s">
        <v>1476</v>
      </c>
      <c r="J161" t="s">
        <v>68</v>
      </c>
      <c r="K161" t="s">
        <v>69</v>
      </c>
      <c r="L161" t="s">
        <v>46</v>
      </c>
      <c r="M161" t="s">
        <v>949</v>
      </c>
      <c r="N161" t="s">
        <v>1130</v>
      </c>
      <c r="O161" t="s">
        <v>51</v>
      </c>
      <c r="P161" t="s">
        <v>72</v>
      </c>
      <c r="Q161" s="133">
        <v>652</v>
      </c>
      <c r="R161" s="135">
        <v>3.165</v>
      </c>
      <c r="S161" s="139">
        <v>28686</v>
      </c>
      <c r="U161" s="133">
        <v>591.95899999999995</v>
      </c>
      <c r="V161" s="137">
        <v>0</v>
      </c>
      <c r="W161" s="137">
        <v>4.5875703377340399E-2</v>
      </c>
      <c r="X161" s="137">
        <v>5.8609312318079901E-3</v>
      </c>
    </row>
    <row r="162" spans="1:24">
      <c r="A162">
        <v>161</v>
      </c>
      <c r="B162">
        <v>9942</v>
      </c>
      <c r="C162" t="s">
        <v>2885</v>
      </c>
      <c r="D162" t="s">
        <v>2886</v>
      </c>
      <c r="E162" t="s">
        <v>64</v>
      </c>
      <c r="F162" t="s">
        <v>2887</v>
      </c>
      <c r="G162" t="s">
        <v>2888</v>
      </c>
      <c r="H162" t="s">
        <v>44</v>
      </c>
      <c r="I162" t="s">
        <v>1476</v>
      </c>
      <c r="J162" t="s">
        <v>68</v>
      </c>
      <c r="K162" t="s">
        <v>69</v>
      </c>
      <c r="L162" t="s">
        <v>46</v>
      </c>
      <c r="M162" t="s">
        <v>949</v>
      </c>
      <c r="N162" t="s">
        <v>1102</v>
      </c>
      <c r="O162" t="s">
        <v>51</v>
      </c>
      <c r="P162" t="s">
        <v>72</v>
      </c>
      <c r="Q162" s="133">
        <v>350</v>
      </c>
      <c r="R162" s="135">
        <v>3.165</v>
      </c>
      <c r="S162" s="139">
        <v>20827</v>
      </c>
      <c r="U162" s="133">
        <v>230.71100000000001</v>
      </c>
      <c r="V162" s="137">
        <v>0</v>
      </c>
      <c r="W162" s="137">
        <v>1.7879686826131499E-2</v>
      </c>
      <c r="X162" s="137">
        <v>2.2842508609029902E-3</v>
      </c>
    </row>
    <row r="163" spans="1:24">
      <c r="A163">
        <v>161</v>
      </c>
      <c r="B163">
        <v>9942</v>
      </c>
      <c r="C163" t="s">
        <v>2889</v>
      </c>
      <c r="D163" t="s">
        <v>2890</v>
      </c>
      <c r="E163" t="s">
        <v>64</v>
      </c>
      <c r="F163" t="s">
        <v>2891</v>
      </c>
      <c r="G163" t="s">
        <v>2892</v>
      </c>
      <c r="H163" t="s">
        <v>44</v>
      </c>
      <c r="I163" t="s">
        <v>1476</v>
      </c>
      <c r="J163" t="s">
        <v>68</v>
      </c>
      <c r="K163" t="s">
        <v>69</v>
      </c>
      <c r="L163" t="s">
        <v>46</v>
      </c>
      <c r="M163" t="s">
        <v>949</v>
      </c>
      <c r="N163" t="s">
        <v>1129</v>
      </c>
      <c r="O163" t="s">
        <v>51</v>
      </c>
      <c r="P163" t="s">
        <v>72</v>
      </c>
      <c r="Q163" s="133">
        <v>121</v>
      </c>
      <c r="R163" s="135">
        <v>3.165</v>
      </c>
      <c r="S163" s="139">
        <v>132083</v>
      </c>
      <c r="U163" s="133">
        <v>505.83199999999999</v>
      </c>
      <c r="V163" s="137">
        <v>0</v>
      </c>
      <c r="W163" s="137">
        <v>3.9201026645599699E-2</v>
      </c>
      <c r="X163" s="137">
        <v>5.0081961576989497E-3</v>
      </c>
    </row>
    <row r="164" spans="1:24">
      <c r="A164">
        <v>161</v>
      </c>
      <c r="B164">
        <v>9942</v>
      </c>
      <c r="C164" t="s">
        <v>2960</v>
      </c>
      <c r="D164" t="s">
        <v>2961</v>
      </c>
      <c r="E164" t="s">
        <v>64</v>
      </c>
      <c r="F164" t="s">
        <v>2962</v>
      </c>
      <c r="G164" t="s">
        <v>2963</v>
      </c>
      <c r="H164" t="s">
        <v>44</v>
      </c>
      <c r="I164" t="s">
        <v>1476</v>
      </c>
      <c r="J164" t="s">
        <v>68</v>
      </c>
      <c r="K164" t="s">
        <v>69</v>
      </c>
      <c r="L164" t="s">
        <v>46</v>
      </c>
      <c r="M164" t="s">
        <v>949</v>
      </c>
      <c r="N164" t="s">
        <v>1129</v>
      </c>
      <c r="O164" t="s">
        <v>51</v>
      </c>
      <c r="P164" t="s">
        <v>72</v>
      </c>
      <c r="Q164" s="133">
        <v>150</v>
      </c>
      <c r="R164" s="135">
        <v>3.165</v>
      </c>
      <c r="S164" s="139">
        <v>30951</v>
      </c>
      <c r="U164" s="133">
        <v>146.94</v>
      </c>
      <c r="V164" s="137">
        <v>0</v>
      </c>
      <c r="W164" s="137">
        <v>1.1387570810327201E-2</v>
      </c>
      <c r="X164" s="137">
        <v>1.45483915238753E-3</v>
      </c>
    </row>
    <row r="165" spans="1:24">
      <c r="A165">
        <v>161</v>
      </c>
      <c r="B165">
        <v>9942</v>
      </c>
      <c r="C165" t="s">
        <v>2897</v>
      </c>
      <c r="D165" t="s">
        <v>2898</v>
      </c>
      <c r="E165" t="s">
        <v>64</v>
      </c>
      <c r="F165" t="s">
        <v>2899</v>
      </c>
      <c r="G165" t="s">
        <v>2900</v>
      </c>
      <c r="H165" t="s">
        <v>44</v>
      </c>
      <c r="I165" t="s">
        <v>1476</v>
      </c>
      <c r="J165" s="125" t="s">
        <v>68</v>
      </c>
      <c r="K165" t="s">
        <v>45</v>
      </c>
      <c r="L165" t="s">
        <v>46</v>
      </c>
      <c r="M165" t="s">
        <v>949</v>
      </c>
      <c r="N165" t="s">
        <v>1126</v>
      </c>
      <c r="O165" t="s">
        <v>51</v>
      </c>
      <c r="P165" t="s">
        <v>72</v>
      </c>
      <c r="Q165" s="133">
        <v>250</v>
      </c>
      <c r="R165" s="135">
        <v>3.165</v>
      </c>
      <c r="S165" s="139">
        <v>14285</v>
      </c>
      <c r="U165" s="133">
        <v>113.03</v>
      </c>
      <c r="V165" s="137">
        <v>1.9999999999999999E-6</v>
      </c>
      <c r="W165" s="137">
        <v>8.7596226845402698E-3</v>
      </c>
      <c r="X165" s="137">
        <v>1.11910101406825E-3</v>
      </c>
    </row>
    <row r="166" spans="1:24">
      <c r="A166">
        <v>161</v>
      </c>
      <c r="B166">
        <v>9942</v>
      </c>
      <c r="C166" t="s">
        <v>2964</v>
      </c>
      <c r="D166" t="s">
        <v>2965</v>
      </c>
      <c r="E166" t="s">
        <v>64</v>
      </c>
      <c r="F166" t="s">
        <v>2966</v>
      </c>
      <c r="G166" t="s">
        <v>2967</v>
      </c>
      <c r="H166" t="s">
        <v>44</v>
      </c>
      <c r="I166" t="s">
        <v>1476</v>
      </c>
      <c r="J166" t="s">
        <v>68</v>
      </c>
      <c r="K166" t="s">
        <v>69</v>
      </c>
      <c r="L166" t="s">
        <v>46</v>
      </c>
      <c r="M166" t="s">
        <v>947</v>
      </c>
      <c r="N166" t="s">
        <v>1119</v>
      </c>
      <c r="O166" t="s">
        <v>51</v>
      </c>
      <c r="P166" t="s">
        <v>72</v>
      </c>
      <c r="Q166" s="133">
        <v>160</v>
      </c>
      <c r="R166" s="135">
        <v>3.165</v>
      </c>
      <c r="S166" s="139">
        <v>29416</v>
      </c>
      <c r="U166" s="133">
        <v>148.96299999999999</v>
      </c>
      <c r="V166" s="137">
        <v>0</v>
      </c>
      <c r="W166" s="137">
        <v>1.15443303443192E-2</v>
      </c>
      <c r="X166" s="137">
        <v>1.47486624256859E-3</v>
      </c>
    </row>
    <row r="167" spans="1:24">
      <c r="A167">
        <v>161</v>
      </c>
      <c r="B167">
        <v>9942</v>
      </c>
      <c r="C167" t="s">
        <v>2968</v>
      </c>
      <c r="D167" t="s">
        <v>2969</v>
      </c>
      <c r="E167" t="s">
        <v>64</v>
      </c>
      <c r="F167" t="s">
        <v>2970</v>
      </c>
      <c r="G167" t="s">
        <v>2971</v>
      </c>
      <c r="H167" t="s">
        <v>44</v>
      </c>
      <c r="I167" t="s">
        <v>1476</v>
      </c>
      <c r="J167" t="s">
        <v>68</v>
      </c>
      <c r="K167" t="s">
        <v>69</v>
      </c>
      <c r="L167" t="s">
        <v>46</v>
      </c>
      <c r="M167" t="s">
        <v>947</v>
      </c>
      <c r="N167" t="s">
        <v>1121</v>
      </c>
      <c r="O167" t="s">
        <v>51</v>
      </c>
      <c r="P167" t="s">
        <v>72</v>
      </c>
      <c r="Q167" s="133">
        <v>75</v>
      </c>
      <c r="R167" s="135">
        <v>3.165</v>
      </c>
      <c r="S167" s="139">
        <v>49966</v>
      </c>
      <c r="U167" s="133">
        <v>118.607</v>
      </c>
      <c r="V167" s="137">
        <v>0</v>
      </c>
      <c r="W167" s="137">
        <v>9.1918090386224494E-3</v>
      </c>
      <c r="X167" s="137">
        <v>1.17431574243474E-3</v>
      </c>
    </row>
    <row r="168" spans="1:24">
      <c r="A168">
        <v>161</v>
      </c>
      <c r="B168">
        <v>9942</v>
      </c>
      <c r="C168" t="s">
        <v>2901</v>
      </c>
      <c r="D168" t="s">
        <v>2902</v>
      </c>
      <c r="E168" t="s">
        <v>64</v>
      </c>
      <c r="F168" t="s">
        <v>2903</v>
      </c>
      <c r="G168" t="s">
        <v>2904</v>
      </c>
      <c r="H168" t="s">
        <v>44</v>
      </c>
      <c r="I168" t="s">
        <v>1476</v>
      </c>
      <c r="J168" t="s">
        <v>68</v>
      </c>
      <c r="K168" t="s">
        <v>69</v>
      </c>
      <c r="L168" t="s">
        <v>46</v>
      </c>
      <c r="M168" t="s">
        <v>949</v>
      </c>
      <c r="N168" t="s">
        <v>1126</v>
      </c>
      <c r="O168" t="s">
        <v>51</v>
      </c>
      <c r="P168" t="s">
        <v>72</v>
      </c>
      <c r="Q168" s="133">
        <v>331</v>
      </c>
      <c r="R168" s="135">
        <v>3.165</v>
      </c>
      <c r="S168" s="139">
        <v>37017</v>
      </c>
      <c r="U168" s="133">
        <v>387.79599999999999</v>
      </c>
      <c r="V168" s="137">
        <v>0</v>
      </c>
      <c r="W168" s="137">
        <v>3.00534517086204E-2</v>
      </c>
      <c r="X168" s="137">
        <v>3.8395316207770402E-3</v>
      </c>
    </row>
    <row r="169" spans="1:24">
      <c r="A169">
        <v>161</v>
      </c>
      <c r="B169">
        <v>9942</v>
      </c>
      <c r="C169" t="s">
        <v>2909</v>
      </c>
      <c r="D169" t="s">
        <v>2910</v>
      </c>
      <c r="E169" t="s">
        <v>64</v>
      </c>
      <c r="F169" t="s">
        <v>2911</v>
      </c>
      <c r="G169" t="s">
        <v>2912</v>
      </c>
      <c r="H169" t="s">
        <v>44</v>
      </c>
      <c r="I169" t="s">
        <v>1476</v>
      </c>
      <c r="J169" t="s">
        <v>68</v>
      </c>
      <c r="K169" t="s">
        <v>69</v>
      </c>
      <c r="L169" t="s">
        <v>46</v>
      </c>
      <c r="M169" t="s">
        <v>949</v>
      </c>
      <c r="N169" t="s">
        <v>1129</v>
      </c>
      <c r="O169" t="s">
        <v>51</v>
      </c>
      <c r="P169" t="s">
        <v>72</v>
      </c>
      <c r="Q169" s="133">
        <v>380</v>
      </c>
      <c r="R169" s="135">
        <v>3.165</v>
      </c>
      <c r="S169" s="139">
        <v>17440</v>
      </c>
      <c r="T169" s="133">
        <v>4.0000000000000001E-3</v>
      </c>
      <c r="U169" s="133">
        <v>209.76300000000001</v>
      </c>
      <c r="V169" s="137">
        <v>0</v>
      </c>
      <c r="W169" s="137">
        <v>1.6256240843291699E-2</v>
      </c>
      <c r="X169" s="137">
        <v>2.07684466190226E-3</v>
      </c>
    </row>
    <row r="170" spans="1:24">
      <c r="A170">
        <v>161</v>
      </c>
      <c r="B170">
        <v>9942</v>
      </c>
      <c r="C170" t="s">
        <v>2944</v>
      </c>
      <c r="D170" t="s">
        <v>2945</v>
      </c>
      <c r="E170" t="s">
        <v>64</v>
      </c>
      <c r="F170" t="s">
        <v>2972</v>
      </c>
      <c r="G170" t="s">
        <v>2947</v>
      </c>
      <c r="H170" t="s">
        <v>44</v>
      </c>
      <c r="I170" t="s">
        <v>1476</v>
      </c>
      <c r="J170" t="s">
        <v>68</v>
      </c>
      <c r="K170" t="s">
        <v>69</v>
      </c>
      <c r="L170" t="s">
        <v>46</v>
      </c>
      <c r="M170" t="s">
        <v>947</v>
      </c>
      <c r="N170" t="s">
        <v>1138</v>
      </c>
      <c r="O170" t="s">
        <v>51</v>
      </c>
      <c r="P170" t="s">
        <v>72</v>
      </c>
      <c r="Q170" s="133">
        <v>274</v>
      </c>
      <c r="R170" s="135">
        <v>3.165</v>
      </c>
      <c r="S170" s="139">
        <v>11192</v>
      </c>
      <c r="U170" s="133">
        <v>97.058000000000007</v>
      </c>
      <c r="V170" s="137">
        <v>5.0000000000000004E-6</v>
      </c>
      <c r="W170" s="137">
        <v>7.5218282118005401E-3</v>
      </c>
      <c r="X170" s="137">
        <v>9.6096440253407196E-4</v>
      </c>
    </row>
    <row r="171" spans="1:24">
      <c r="A171">
        <v>161</v>
      </c>
      <c r="B171">
        <v>9942</v>
      </c>
      <c r="C171" t="s">
        <v>2940</v>
      </c>
      <c r="D171" t="s">
        <v>2941</v>
      </c>
      <c r="E171" t="s">
        <v>64</v>
      </c>
      <c r="F171" t="s">
        <v>2942</v>
      </c>
      <c r="G171" t="s">
        <v>2943</v>
      </c>
      <c r="H171" t="s">
        <v>44</v>
      </c>
      <c r="I171" t="s">
        <v>1476</v>
      </c>
      <c r="J171" t="s">
        <v>68</v>
      </c>
      <c r="K171" t="s">
        <v>69</v>
      </c>
      <c r="L171" t="s">
        <v>46</v>
      </c>
      <c r="M171" t="s">
        <v>949</v>
      </c>
      <c r="N171" t="s">
        <v>1126</v>
      </c>
      <c r="O171" t="s">
        <v>51</v>
      </c>
      <c r="P171" t="s">
        <v>72</v>
      </c>
      <c r="Q171" s="133">
        <v>235</v>
      </c>
      <c r="R171" s="135">
        <v>3.165</v>
      </c>
      <c r="S171" s="139">
        <v>16032</v>
      </c>
      <c r="U171" s="133">
        <v>119.242</v>
      </c>
      <c r="V171" s="137">
        <v>9.9999999999999995E-7</v>
      </c>
      <c r="W171" s="137">
        <v>9.2410370756623398E-3</v>
      </c>
      <c r="X171" s="137">
        <v>1.1806049569541199E-3</v>
      </c>
    </row>
    <row r="172" spans="1:24">
      <c r="A172">
        <v>161</v>
      </c>
      <c r="B172">
        <v>9942</v>
      </c>
      <c r="C172" t="s">
        <v>2913</v>
      </c>
      <c r="D172" t="s">
        <v>2914</v>
      </c>
      <c r="E172" t="s">
        <v>64</v>
      </c>
      <c r="F172" t="s">
        <v>2915</v>
      </c>
      <c r="G172" t="s">
        <v>2916</v>
      </c>
      <c r="H172" t="s">
        <v>44</v>
      </c>
      <c r="I172" t="s">
        <v>1476</v>
      </c>
      <c r="J172" t="s">
        <v>68</v>
      </c>
      <c r="K172" t="s">
        <v>861</v>
      </c>
      <c r="L172" t="s">
        <v>46</v>
      </c>
      <c r="M172" t="s">
        <v>969</v>
      </c>
      <c r="N172" t="s">
        <v>1080</v>
      </c>
      <c r="O172" t="s">
        <v>51</v>
      </c>
      <c r="P172" t="s">
        <v>395</v>
      </c>
      <c r="Q172" s="133">
        <v>17</v>
      </c>
      <c r="R172" s="135">
        <v>3.6360000000000001</v>
      </c>
      <c r="S172" s="139">
        <v>144450</v>
      </c>
      <c r="U172" s="133">
        <v>89.287000000000006</v>
      </c>
      <c r="V172" s="137">
        <v>0</v>
      </c>
      <c r="W172" s="137">
        <v>6.9196124907989999E-3</v>
      </c>
      <c r="X172" s="137">
        <v>8.8402727312436797E-4</v>
      </c>
    </row>
    <row r="173" spans="1:24">
      <c r="A173">
        <v>161</v>
      </c>
      <c r="B173">
        <v>9942</v>
      </c>
      <c r="C173" t="s">
        <v>2973</v>
      </c>
      <c r="D173" t="s">
        <v>2974</v>
      </c>
      <c r="E173" t="s">
        <v>64</v>
      </c>
      <c r="F173" t="s">
        <v>2975</v>
      </c>
      <c r="G173" t="s">
        <v>2976</v>
      </c>
      <c r="H173" t="s">
        <v>44</v>
      </c>
      <c r="I173" t="s">
        <v>1476</v>
      </c>
      <c r="J173" t="s">
        <v>68</v>
      </c>
      <c r="K173" t="s">
        <v>871</v>
      </c>
      <c r="L173" t="s">
        <v>46</v>
      </c>
      <c r="M173" t="s">
        <v>947</v>
      </c>
      <c r="N173" t="s">
        <v>1129</v>
      </c>
      <c r="O173" t="s">
        <v>51</v>
      </c>
      <c r="P173" t="s">
        <v>72</v>
      </c>
      <c r="Q173" s="133">
        <v>250</v>
      </c>
      <c r="R173" s="135">
        <v>3.165</v>
      </c>
      <c r="S173" s="139">
        <v>33795</v>
      </c>
      <c r="T173" s="133">
        <v>0.191</v>
      </c>
      <c r="U173" s="133">
        <v>268.00799999999998</v>
      </c>
      <c r="V173" s="137">
        <v>0</v>
      </c>
      <c r="W173" s="137">
        <v>2.0770120709556E-2</v>
      </c>
      <c r="X173" s="137">
        <v>2.6535233291962298E-3</v>
      </c>
    </row>
    <row r="174" spans="1:24">
      <c r="A174">
        <v>161</v>
      </c>
      <c r="B174">
        <v>9943</v>
      </c>
      <c r="C174" t="s">
        <v>2817</v>
      </c>
      <c r="D174" t="s">
        <v>2818</v>
      </c>
      <c r="E174" t="s">
        <v>41</v>
      </c>
      <c r="F174" t="s">
        <v>2819</v>
      </c>
      <c r="G174" t="s">
        <v>2820</v>
      </c>
      <c r="H174" t="s">
        <v>44</v>
      </c>
      <c r="I174" t="s">
        <v>1476</v>
      </c>
      <c r="J174" t="s">
        <v>45</v>
      </c>
      <c r="K174" t="s">
        <v>45</v>
      </c>
      <c r="L174" t="s">
        <v>46</v>
      </c>
      <c r="M174" t="s">
        <v>47</v>
      </c>
      <c r="N174" t="s">
        <v>189</v>
      </c>
      <c r="O174" t="s">
        <v>51</v>
      </c>
      <c r="P174" t="s">
        <v>52</v>
      </c>
      <c r="Q174" s="133">
        <v>2938</v>
      </c>
      <c r="R174" s="135">
        <v>1</v>
      </c>
      <c r="S174" s="139">
        <v>263700</v>
      </c>
      <c r="U174" s="133">
        <v>7747.5060000000003</v>
      </c>
      <c r="V174" s="137">
        <v>6.3E-5</v>
      </c>
      <c r="W174" s="137">
        <v>1.8004853080066299E-2</v>
      </c>
      <c r="X174" s="137">
        <v>3.9535167748237596E-3</v>
      </c>
    </row>
    <row r="175" spans="1:24">
      <c r="A175">
        <v>161</v>
      </c>
      <c r="B175">
        <v>9943</v>
      </c>
      <c r="C175" t="s">
        <v>1932</v>
      </c>
      <c r="D175" t="s">
        <v>1933</v>
      </c>
      <c r="E175" t="s">
        <v>41</v>
      </c>
      <c r="F175" t="s">
        <v>2821</v>
      </c>
      <c r="G175" t="s">
        <v>2822</v>
      </c>
      <c r="H175" t="s">
        <v>44</v>
      </c>
      <c r="I175" t="s">
        <v>1476</v>
      </c>
      <c r="J175" t="s">
        <v>45</v>
      </c>
      <c r="K175" t="s">
        <v>45</v>
      </c>
      <c r="L175" t="s">
        <v>46</v>
      </c>
      <c r="M175" t="s">
        <v>47</v>
      </c>
      <c r="N175" t="s">
        <v>58</v>
      </c>
      <c r="O175" t="s">
        <v>51</v>
      </c>
      <c r="P175" t="s">
        <v>52</v>
      </c>
      <c r="Q175" s="133">
        <v>60500</v>
      </c>
      <c r="R175" s="135">
        <v>1</v>
      </c>
      <c r="S175" s="139">
        <v>3375</v>
      </c>
      <c r="T175" s="133">
        <v>21.625</v>
      </c>
      <c r="U175" s="133">
        <v>2063.5</v>
      </c>
      <c r="V175" s="137">
        <v>2.6699999999999998E-4</v>
      </c>
      <c r="W175" s="137">
        <v>4.7954805495751601E-3</v>
      </c>
      <c r="X175" s="137">
        <v>1.05299458494757E-3</v>
      </c>
    </row>
    <row r="176" spans="1:24">
      <c r="A176">
        <v>161</v>
      </c>
      <c r="B176">
        <v>9943</v>
      </c>
      <c r="C176" t="s">
        <v>1948</v>
      </c>
      <c r="D176" t="s">
        <v>1949</v>
      </c>
      <c r="E176" t="s">
        <v>41</v>
      </c>
      <c r="F176" t="s">
        <v>2920</v>
      </c>
      <c r="G176" t="s">
        <v>2921</v>
      </c>
      <c r="H176" t="s">
        <v>44</v>
      </c>
      <c r="I176" t="s">
        <v>1476</v>
      </c>
      <c r="J176" t="s">
        <v>45</v>
      </c>
      <c r="K176" t="s">
        <v>45</v>
      </c>
      <c r="L176" t="s">
        <v>46</v>
      </c>
      <c r="M176" t="s">
        <v>47</v>
      </c>
      <c r="N176" t="s">
        <v>58</v>
      </c>
      <c r="O176" t="s">
        <v>51</v>
      </c>
      <c r="P176" t="s">
        <v>52</v>
      </c>
      <c r="Q176" s="133">
        <v>106904</v>
      </c>
      <c r="R176" s="135">
        <v>1</v>
      </c>
      <c r="S176" s="139">
        <v>1923</v>
      </c>
      <c r="U176" s="133">
        <v>2055.7640000000001</v>
      </c>
      <c r="V176" s="137">
        <v>2.1699999999999999E-4</v>
      </c>
      <c r="W176" s="137">
        <v>4.7775022500016404E-3</v>
      </c>
      <c r="X176" s="137">
        <v>1.04904689880814E-3</v>
      </c>
    </row>
    <row r="177" spans="1:24">
      <c r="A177">
        <v>161</v>
      </c>
      <c r="B177">
        <v>9943</v>
      </c>
      <c r="C177" t="s">
        <v>1961</v>
      </c>
      <c r="D177" t="s">
        <v>1962</v>
      </c>
      <c r="E177" t="s">
        <v>41</v>
      </c>
      <c r="F177" t="s">
        <v>2823</v>
      </c>
      <c r="G177" t="s">
        <v>2824</v>
      </c>
      <c r="H177" t="s">
        <v>44</v>
      </c>
      <c r="I177" t="s">
        <v>1476</v>
      </c>
      <c r="J177" t="s">
        <v>45</v>
      </c>
      <c r="K177" t="s">
        <v>69</v>
      </c>
      <c r="L177" t="s">
        <v>46</v>
      </c>
      <c r="M177" t="s">
        <v>47</v>
      </c>
      <c r="N177" t="s">
        <v>49</v>
      </c>
      <c r="O177" t="s">
        <v>51</v>
      </c>
      <c r="P177" t="s">
        <v>52</v>
      </c>
      <c r="Q177" s="133">
        <v>49411.7</v>
      </c>
      <c r="R177" s="135">
        <v>1</v>
      </c>
      <c r="S177" s="139">
        <v>20930</v>
      </c>
      <c r="U177" s="133">
        <v>10341.869000000001</v>
      </c>
      <c r="V177" s="137">
        <v>3.5599999999999998E-4</v>
      </c>
      <c r="W177" s="137">
        <v>2.4034034758717199E-2</v>
      </c>
      <c r="X177" s="137">
        <v>5.2774082167037504E-3</v>
      </c>
    </row>
    <row r="178" spans="1:24">
      <c r="A178">
        <v>161</v>
      </c>
      <c r="B178">
        <v>9943</v>
      </c>
      <c r="C178" t="s">
        <v>2322</v>
      </c>
      <c r="D178" t="s">
        <v>2323</v>
      </c>
      <c r="E178" t="s">
        <v>41</v>
      </c>
      <c r="F178" t="s">
        <v>2922</v>
      </c>
      <c r="G178" t="s">
        <v>2923</v>
      </c>
      <c r="H178" t="s">
        <v>44</v>
      </c>
      <c r="I178" t="s">
        <v>1476</v>
      </c>
      <c r="J178" t="s">
        <v>45</v>
      </c>
      <c r="K178" t="s">
        <v>45</v>
      </c>
      <c r="L178" t="s">
        <v>46</v>
      </c>
      <c r="M178" t="s">
        <v>47</v>
      </c>
      <c r="N178" t="s">
        <v>49</v>
      </c>
      <c r="O178" t="s">
        <v>51</v>
      </c>
      <c r="P178" t="s">
        <v>52</v>
      </c>
      <c r="Q178" s="133">
        <v>189015</v>
      </c>
      <c r="R178" s="135">
        <v>1</v>
      </c>
      <c r="S178" s="139">
        <v>1890</v>
      </c>
      <c r="U178" s="133">
        <v>3572.3829999999998</v>
      </c>
      <c r="V178" s="137">
        <v>3.2699999999999998E-4</v>
      </c>
      <c r="W178" s="137">
        <v>8.3020574702559902E-3</v>
      </c>
      <c r="X178" s="137">
        <v>1.82297091391134E-3</v>
      </c>
    </row>
    <row r="179" spans="1:24">
      <c r="A179">
        <v>161</v>
      </c>
      <c r="B179">
        <v>9943</v>
      </c>
      <c r="C179" t="s">
        <v>2540</v>
      </c>
      <c r="D179" t="s">
        <v>2541</v>
      </c>
      <c r="E179" t="s">
        <v>41</v>
      </c>
      <c r="F179" t="s">
        <v>2825</v>
      </c>
      <c r="G179" t="s">
        <v>2826</v>
      </c>
      <c r="H179" t="s">
        <v>44</v>
      </c>
      <c r="I179" t="s">
        <v>1476</v>
      </c>
      <c r="J179" t="s">
        <v>45</v>
      </c>
      <c r="K179" t="s">
        <v>45</v>
      </c>
      <c r="L179" t="s">
        <v>46</v>
      </c>
      <c r="M179" t="s">
        <v>47</v>
      </c>
      <c r="N179" t="s">
        <v>1069</v>
      </c>
      <c r="O179" t="s">
        <v>51</v>
      </c>
      <c r="P179" t="s">
        <v>52</v>
      </c>
      <c r="Q179" s="133">
        <v>603728</v>
      </c>
      <c r="R179" s="135">
        <v>1</v>
      </c>
      <c r="S179" s="139">
        <v>749</v>
      </c>
      <c r="U179" s="133">
        <v>4521.9229999999998</v>
      </c>
      <c r="V179" s="137">
        <v>2.1699999999999999E-4</v>
      </c>
      <c r="W179" s="137">
        <v>1.0508743615431099E-2</v>
      </c>
      <c r="X179" s="137">
        <v>2.3075164224431299E-3</v>
      </c>
    </row>
    <row r="180" spans="1:24">
      <c r="A180">
        <v>161</v>
      </c>
      <c r="B180">
        <v>9943</v>
      </c>
      <c r="C180" t="s">
        <v>53</v>
      </c>
      <c r="D180" t="s">
        <v>54</v>
      </c>
      <c r="E180" t="s">
        <v>41</v>
      </c>
      <c r="F180" t="s">
        <v>2827</v>
      </c>
      <c r="G180" t="s">
        <v>57</v>
      </c>
      <c r="H180" t="s">
        <v>44</v>
      </c>
      <c r="I180" t="s">
        <v>1476</v>
      </c>
      <c r="J180" t="s">
        <v>45</v>
      </c>
      <c r="K180" t="s">
        <v>45</v>
      </c>
      <c r="L180" t="s">
        <v>46</v>
      </c>
      <c r="M180" t="s">
        <v>47</v>
      </c>
      <c r="N180" t="s">
        <v>58</v>
      </c>
      <c r="O180" t="s">
        <v>51</v>
      </c>
      <c r="P180" t="s">
        <v>52</v>
      </c>
      <c r="Q180" s="133">
        <v>2500</v>
      </c>
      <c r="R180" s="135">
        <v>1</v>
      </c>
      <c r="S180" s="139">
        <v>71680</v>
      </c>
      <c r="U180" s="133">
        <v>1792</v>
      </c>
      <c r="V180" s="137">
        <v>9.8999999999999994E-5</v>
      </c>
      <c r="W180" s="137">
        <v>4.1645268450878001E-3</v>
      </c>
      <c r="X180" s="137">
        <v>9.1444938028885305E-4</v>
      </c>
    </row>
    <row r="181" spans="1:24">
      <c r="A181">
        <v>161</v>
      </c>
      <c r="B181">
        <v>9943</v>
      </c>
      <c r="C181" t="s">
        <v>1989</v>
      </c>
      <c r="D181" t="s">
        <v>1990</v>
      </c>
      <c r="E181" t="s">
        <v>41</v>
      </c>
      <c r="F181" t="s">
        <v>2924</v>
      </c>
      <c r="G181" t="s">
        <v>2925</v>
      </c>
      <c r="H181" t="s">
        <v>44</v>
      </c>
      <c r="I181" t="s">
        <v>1476</v>
      </c>
      <c r="J181" t="s">
        <v>45</v>
      </c>
      <c r="K181" t="s">
        <v>45</v>
      </c>
      <c r="L181" t="s">
        <v>46</v>
      </c>
      <c r="M181" t="s">
        <v>47</v>
      </c>
      <c r="N181" t="s">
        <v>58</v>
      </c>
      <c r="O181" t="s">
        <v>51</v>
      </c>
      <c r="P181" t="s">
        <v>52</v>
      </c>
      <c r="Q181" s="133">
        <v>36000</v>
      </c>
      <c r="R181" s="135">
        <v>1</v>
      </c>
      <c r="S181" s="139">
        <v>3584</v>
      </c>
      <c r="U181" s="133">
        <v>1290.24</v>
      </c>
      <c r="V181" s="137">
        <v>1.63E-4</v>
      </c>
      <c r="W181" s="137">
        <v>2.9984593284632199E-3</v>
      </c>
      <c r="X181" s="137">
        <v>6.5840355380797399E-4</v>
      </c>
    </row>
    <row r="182" spans="1:24">
      <c r="A182">
        <v>161</v>
      </c>
      <c r="B182">
        <v>9943</v>
      </c>
      <c r="C182" t="s">
        <v>2926</v>
      </c>
      <c r="D182" t="s">
        <v>2927</v>
      </c>
      <c r="E182" t="s">
        <v>41</v>
      </c>
      <c r="F182" t="s">
        <v>2928</v>
      </c>
      <c r="G182" t="s">
        <v>2929</v>
      </c>
      <c r="H182" t="s">
        <v>44</v>
      </c>
      <c r="I182" t="s">
        <v>1476</v>
      </c>
      <c r="J182" t="s">
        <v>45</v>
      </c>
      <c r="K182" t="s">
        <v>45</v>
      </c>
      <c r="L182" t="s">
        <v>46</v>
      </c>
      <c r="M182" t="s">
        <v>47</v>
      </c>
      <c r="N182" t="s">
        <v>221</v>
      </c>
      <c r="O182" t="s">
        <v>51</v>
      </c>
      <c r="P182" t="s">
        <v>52</v>
      </c>
      <c r="Q182" s="133">
        <v>380725</v>
      </c>
      <c r="R182" s="135">
        <v>1</v>
      </c>
      <c r="S182" s="139">
        <v>3148</v>
      </c>
      <c r="T182" s="133">
        <v>133.18600000000001</v>
      </c>
      <c r="U182" s="133">
        <v>12118.409</v>
      </c>
      <c r="V182" s="137">
        <v>3.0699999999999998E-4</v>
      </c>
      <c r="W182" s="137">
        <v>2.81626329618332E-2</v>
      </c>
      <c r="X182" s="137">
        <v>6.18396836356755E-3</v>
      </c>
    </row>
    <row r="183" spans="1:24">
      <c r="A183">
        <v>161</v>
      </c>
      <c r="B183">
        <v>9943</v>
      </c>
      <c r="C183" t="s">
        <v>2930</v>
      </c>
      <c r="D183" t="s">
        <v>2931</v>
      </c>
      <c r="E183" t="s">
        <v>41</v>
      </c>
      <c r="F183" t="s">
        <v>2932</v>
      </c>
      <c r="G183" t="s">
        <v>2933</v>
      </c>
      <c r="H183" t="s">
        <v>44</v>
      </c>
      <c r="I183" t="s">
        <v>1476</v>
      </c>
      <c r="J183" t="s">
        <v>45</v>
      </c>
      <c r="K183" t="s">
        <v>45</v>
      </c>
      <c r="L183" t="s">
        <v>46</v>
      </c>
      <c r="M183" t="s">
        <v>47</v>
      </c>
      <c r="N183" t="s">
        <v>1038</v>
      </c>
      <c r="O183" t="s">
        <v>51</v>
      </c>
      <c r="P183" t="s">
        <v>52</v>
      </c>
      <c r="Q183" s="133">
        <v>4460</v>
      </c>
      <c r="R183" s="135">
        <v>1</v>
      </c>
      <c r="S183" s="139">
        <v>42240</v>
      </c>
      <c r="U183" s="133">
        <v>1883.904</v>
      </c>
      <c r="V183" s="137">
        <v>2.0100000000000001E-4</v>
      </c>
      <c r="W183" s="137">
        <v>4.3781075790001603E-3</v>
      </c>
      <c r="X183" s="137">
        <v>9.6134756993509595E-4</v>
      </c>
    </row>
    <row r="184" spans="1:24">
      <c r="A184">
        <v>161</v>
      </c>
      <c r="B184">
        <v>9943</v>
      </c>
      <c r="C184" t="s">
        <v>2828</v>
      </c>
      <c r="D184" t="s">
        <v>2829</v>
      </c>
      <c r="E184" t="s">
        <v>41</v>
      </c>
      <c r="F184" t="s">
        <v>2830</v>
      </c>
      <c r="G184" t="s">
        <v>2831</v>
      </c>
      <c r="H184" t="s">
        <v>44</v>
      </c>
      <c r="I184" t="s">
        <v>1476</v>
      </c>
      <c r="J184" t="s">
        <v>45</v>
      </c>
      <c r="K184" t="s">
        <v>45</v>
      </c>
      <c r="L184" t="s">
        <v>46</v>
      </c>
      <c r="M184" t="s">
        <v>47</v>
      </c>
      <c r="N184" s="125" t="s">
        <v>1063</v>
      </c>
      <c r="O184" t="s">
        <v>51</v>
      </c>
      <c r="P184" t="s">
        <v>52</v>
      </c>
      <c r="Q184" s="133">
        <v>13800</v>
      </c>
      <c r="R184" s="135">
        <v>1</v>
      </c>
      <c r="S184" s="139">
        <v>13860</v>
      </c>
      <c r="U184" s="133">
        <v>1912.68</v>
      </c>
      <c r="V184" s="137">
        <v>1.2799999999999999E-4</v>
      </c>
      <c r="W184" s="137">
        <v>4.4449816998116901E-3</v>
      </c>
      <c r="X184" s="137">
        <v>9.7603183074267998E-4</v>
      </c>
    </row>
    <row r="185" spans="1:24">
      <c r="A185">
        <v>161</v>
      </c>
      <c r="B185">
        <v>9943</v>
      </c>
      <c r="C185" t="s">
        <v>2030</v>
      </c>
      <c r="D185" t="s">
        <v>2031</v>
      </c>
      <c r="E185" t="s">
        <v>41</v>
      </c>
      <c r="F185" t="s">
        <v>2832</v>
      </c>
      <c r="G185" t="s">
        <v>2833</v>
      </c>
      <c r="H185" t="s">
        <v>44</v>
      </c>
      <c r="I185" t="s">
        <v>1476</v>
      </c>
      <c r="J185" t="s">
        <v>45</v>
      </c>
      <c r="K185" t="s">
        <v>45</v>
      </c>
      <c r="L185" t="s">
        <v>46</v>
      </c>
      <c r="M185" t="s">
        <v>47</v>
      </c>
      <c r="N185" t="s">
        <v>1037</v>
      </c>
      <c r="O185" t="s">
        <v>51</v>
      </c>
      <c r="P185" t="s">
        <v>52</v>
      </c>
      <c r="Q185" s="133">
        <v>37769</v>
      </c>
      <c r="R185" s="135">
        <v>1</v>
      </c>
      <c r="S185" s="139">
        <v>16600</v>
      </c>
      <c r="U185" s="133">
        <v>6269.6540000000005</v>
      </c>
      <c r="V185" s="137">
        <v>1.4300000000000001E-4</v>
      </c>
      <c r="W185" s="137">
        <v>1.45703919600514E-2</v>
      </c>
      <c r="X185" s="137">
        <v>3.1993756779718401E-3</v>
      </c>
    </row>
    <row r="186" spans="1:24">
      <c r="A186">
        <v>161</v>
      </c>
      <c r="B186">
        <v>9943</v>
      </c>
      <c r="C186" t="s">
        <v>2834</v>
      </c>
      <c r="D186" t="s">
        <v>2835</v>
      </c>
      <c r="E186" t="s">
        <v>41</v>
      </c>
      <c r="F186" t="s">
        <v>2836</v>
      </c>
      <c r="G186" t="s">
        <v>2837</v>
      </c>
      <c r="H186" t="s">
        <v>44</v>
      </c>
      <c r="I186" t="s">
        <v>1476</v>
      </c>
      <c r="J186" t="s">
        <v>45</v>
      </c>
      <c r="K186" t="s">
        <v>264</v>
      </c>
      <c r="L186" t="s">
        <v>46</v>
      </c>
      <c r="M186" t="s">
        <v>47</v>
      </c>
      <c r="N186" t="s">
        <v>1045</v>
      </c>
      <c r="O186" t="s">
        <v>51</v>
      </c>
      <c r="P186" t="s">
        <v>52</v>
      </c>
      <c r="Q186" s="133">
        <v>5400</v>
      </c>
      <c r="R186" s="135">
        <v>1</v>
      </c>
      <c r="S186" s="139">
        <v>53870</v>
      </c>
      <c r="U186" s="133">
        <v>2908.98</v>
      </c>
      <c r="V186" s="137">
        <v>4.8000000000000001E-5</v>
      </c>
      <c r="W186" s="137">
        <v>6.7603377800354502E-3</v>
      </c>
      <c r="X186" s="137">
        <v>1.4844391508218001E-3</v>
      </c>
    </row>
    <row r="187" spans="1:24">
      <c r="A187">
        <v>161</v>
      </c>
      <c r="B187">
        <v>9943</v>
      </c>
      <c r="C187" t="s">
        <v>2838</v>
      </c>
      <c r="D187" t="s">
        <v>2839</v>
      </c>
      <c r="E187" t="s">
        <v>41</v>
      </c>
      <c r="F187" t="s">
        <v>2840</v>
      </c>
      <c r="G187" t="s">
        <v>2841</v>
      </c>
      <c r="H187" t="s">
        <v>44</v>
      </c>
      <c r="I187" t="s">
        <v>1476</v>
      </c>
      <c r="J187" t="s">
        <v>45</v>
      </c>
      <c r="K187" t="s">
        <v>69</v>
      </c>
      <c r="L187" t="s">
        <v>46</v>
      </c>
      <c r="M187" t="s">
        <v>47</v>
      </c>
      <c r="N187" t="s">
        <v>1052</v>
      </c>
      <c r="O187" t="s">
        <v>51</v>
      </c>
      <c r="P187" t="s">
        <v>52</v>
      </c>
      <c r="Q187" s="133">
        <v>121135</v>
      </c>
      <c r="R187" s="135">
        <v>1</v>
      </c>
      <c r="S187" s="139">
        <v>9239</v>
      </c>
      <c r="U187" s="133">
        <v>11191.663</v>
      </c>
      <c r="V187" s="137">
        <v>9.5000000000000005E-5</v>
      </c>
      <c r="W187" s="137">
        <v>2.6008917157975198E-2</v>
      </c>
      <c r="X187" s="137">
        <v>5.7110541153428604E-3</v>
      </c>
    </row>
    <row r="188" spans="1:24">
      <c r="A188">
        <v>161</v>
      </c>
      <c r="B188">
        <v>9943</v>
      </c>
      <c r="C188" t="s">
        <v>2628</v>
      </c>
      <c r="D188" t="s">
        <v>2629</v>
      </c>
      <c r="E188" t="s">
        <v>41</v>
      </c>
      <c r="F188" t="s">
        <v>2842</v>
      </c>
      <c r="G188" t="s">
        <v>2843</v>
      </c>
      <c r="H188" t="s">
        <v>44</v>
      </c>
      <c r="I188" t="s">
        <v>1476</v>
      </c>
      <c r="J188" t="s">
        <v>45</v>
      </c>
      <c r="K188" t="s">
        <v>45</v>
      </c>
      <c r="L188" t="s">
        <v>46</v>
      </c>
      <c r="M188" t="s">
        <v>47</v>
      </c>
      <c r="N188" t="s">
        <v>1038</v>
      </c>
      <c r="O188" t="s">
        <v>51</v>
      </c>
      <c r="P188" t="s">
        <v>52</v>
      </c>
      <c r="Q188" s="133">
        <v>71383</v>
      </c>
      <c r="R188" s="135">
        <v>1</v>
      </c>
      <c r="S188" s="139">
        <v>1751</v>
      </c>
      <c r="T188" s="133">
        <v>5.2320000000000002</v>
      </c>
      <c r="U188" s="133">
        <v>1255.1479999999999</v>
      </c>
      <c r="V188" s="137">
        <v>2.0900000000000001E-4</v>
      </c>
      <c r="W188" s="137">
        <v>2.91690708644699E-3</v>
      </c>
      <c r="X188" s="137">
        <v>6.4049626206824704E-4</v>
      </c>
    </row>
    <row r="189" spans="1:24">
      <c r="A189">
        <v>161</v>
      </c>
      <c r="B189">
        <v>9943</v>
      </c>
      <c r="C189" t="s">
        <v>2348</v>
      </c>
      <c r="D189" t="s">
        <v>2349</v>
      </c>
      <c r="E189" t="s">
        <v>41</v>
      </c>
      <c r="F189" t="s">
        <v>2948</v>
      </c>
      <c r="G189" t="s">
        <v>2949</v>
      </c>
      <c r="H189" t="s">
        <v>44</v>
      </c>
      <c r="I189" t="s">
        <v>1476</v>
      </c>
      <c r="J189" t="s">
        <v>45</v>
      </c>
      <c r="K189" t="s">
        <v>45</v>
      </c>
      <c r="L189" t="s">
        <v>46</v>
      </c>
      <c r="M189" t="s">
        <v>47</v>
      </c>
      <c r="N189" t="s">
        <v>1037</v>
      </c>
      <c r="O189" t="s">
        <v>51</v>
      </c>
      <c r="P189" t="s">
        <v>52</v>
      </c>
      <c r="Q189" s="133">
        <v>27000</v>
      </c>
      <c r="R189" s="135">
        <v>1</v>
      </c>
      <c r="S189" s="139">
        <v>22200</v>
      </c>
      <c r="U189" s="133">
        <v>5994</v>
      </c>
      <c r="V189" s="137">
        <v>3.3399999999999999E-4</v>
      </c>
      <c r="W189" s="137">
        <v>1.39297845476877E-2</v>
      </c>
      <c r="X189" s="137">
        <v>3.0587107061670702E-3</v>
      </c>
    </row>
    <row r="190" spans="1:24">
      <c r="A190">
        <v>161</v>
      </c>
      <c r="B190">
        <v>9943</v>
      </c>
      <c r="C190" t="s">
        <v>216</v>
      </c>
      <c r="D190" t="s">
        <v>217</v>
      </c>
      <c r="E190" t="s">
        <v>41</v>
      </c>
      <c r="F190" t="s">
        <v>2844</v>
      </c>
      <c r="G190" t="s">
        <v>2845</v>
      </c>
      <c r="H190" t="s">
        <v>44</v>
      </c>
      <c r="I190" t="s">
        <v>1476</v>
      </c>
      <c r="J190" t="s">
        <v>45</v>
      </c>
      <c r="K190" t="s">
        <v>45</v>
      </c>
      <c r="L190" t="s">
        <v>46</v>
      </c>
      <c r="M190" t="s">
        <v>47</v>
      </c>
      <c r="N190" t="s">
        <v>221</v>
      </c>
      <c r="O190" t="s">
        <v>51</v>
      </c>
      <c r="P190" t="s">
        <v>52</v>
      </c>
      <c r="Q190" s="133">
        <v>152901</v>
      </c>
      <c r="R190" s="135">
        <v>1</v>
      </c>
      <c r="S190" s="139">
        <v>6979</v>
      </c>
      <c r="U190" s="133">
        <v>10670.960999999999</v>
      </c>
      <c r="V190" s="137">
        <v>9.5000000000000005E-5</v>
      </c>
      <c r="W190" s="137">
        <v>2.4798829616537E-2</v>
      </c>
      <c r="X190" s="137">
        <v>5.44534234458825E-3</v>
      </c>
    </row>
    <row r="191" spans="1:24">
      <c r="A191">
        <v>161</v>
      </c>
      <c r="B191">
        <v>9943</v>
      </c>
      <c r="C191" t="s">
        <v>2151</v>
      </c>
      <c r="D191" t="s">
        <v>2152</v>
      </c>
      <c r="E191" t="s">
        <v>41</v>
      </c>
      <c r="F191" t="s">
        <v>2846</v>
      </c>
      <c r="G191" t="s">
        <v>2847</v>
      </c>
      <c r="H191" t="s">
        <v>44</v>
      </c>
      <c r="I191" t="s">
        <v>1476</v>
      </c>
      <c r="J191" t="s">
        <v>45</v>
      </c>
      <c r="K191" t="s">
        <v>45</v>
      </c>
      <c r="L191" t="s">
        <v>46</v>
      </c>
      <c r="M191" t="s">
        <v>47</v>
      </c>
      <c r="N191" t="s">
        <v>58</v>
      </c>
      <c r="O191" t="s">
        <v>51</v>
      </c>
      <c r="P191" t="s">
        <v>52</v>
      </c>
      <c r="Q191" s="133">
        <v>4000</v>
      </c>
      <c r="R191" s="135">
        <v>1</v>
      </c>
      <c r="S191" s="139">
        <v>50060</v>
      </c>
      <c r="U191" s="133">
        <v>2002.4</v>
      </c>
      <c r="V191" s="137">
        <v>1.05E-4</v>
      </c>
      <c r="W191" s="137">
        <v>4.6534869166315997E-3</v>
      </c>
      <c r="X191" s="137">
        <v>1.0218155352067001E-3</v>
      </c>
    </row>
    <row r="192" spans="1:24">
      <c r="A192">
        <v>161</v>
      </c>
      <c r="B192">
        <v>9943</v>
      </c>
      <c r="C192" t="s">
        <v>2977</v>
      </c>
      <c r="D192" t="s">
        <v>2978</v>
      </c>
      <c r="E192" t="s">
        <v>41</v>
      </c>
      <c r="F192" t="s">
        <v>2979</v>
      </c>
      <c r="G192" t="s">
        <v>2980</v>
      </c>
      <c r="H192" t="s">
        <v>44</v>
      </c>
      <c r="I192" t="s">
        <v>1476</v>
      </c>
      <c r="J192" t="s">
        <v>45</v>
      </c>
      <c r="K192" t="s">
        <v>45</v>
      </c>
      <c r="L192" t="s">
        <v>46</v>
      </c>
      <c r="M192" t="s">
        <v>47</v>
      </c>
      <c r="N192" s="125" t="s">
        <v>1063</v>
      </c>
      <c r="O192" t="s">
        <v>51</v>
      </c>
      <c r="P192" t="s">
        <v>52</v>
      </c>
      <c r="Q192" s="133">
        <v>33000</v>
      </c>
      <c r="R192" s="135">
        <v>1</v>
      </c>
      <c r="S192" s="139">
        <v>3525</v>
      </c>
      <c r="U192" s="133">
        <v>1163.25</v>
      </c>
      <c r="V192" s="137">
        <v>4.46E-4</v>
      </c>
      <c r="W192" s="137">
        <v>2.7033403195024499E-3</v>
      </c>
      <c r="X192" s="137">
        <v>5.9360113929743798E-4</v>
      </c>
    </row>
    <row r="193" spans="1:24">
      <c r="A193">
        <v>161</v>
      </c>
      <c r="B193">
        <v>9943</v>
      </c>
      <c r="C193" t="s">
        <v>2301</v>
      </c>
      <c r="D193" t="s">
        <v>2302</v>
      </c>
      <c r="E193" t="s">
        <v>41</v>
      </c>
      <c r="F193" t="s">
        <v>2934</v>
      </c>
      <c r="G193" t="s">
        <v>2935</v>
      </c>
      <c r="H193" t="s">
        <v>44</v>
      </c>
      <c r="I193" t="s">
        <v>1476</v>
      </c>
      <c r="J193" t="s">
        <v>45</v>
      </c>
      <c r="K193" t="s">
        <v>45</v>
      </c>
      <c r="L193" t="s">
        <v>46</v>
      </c>
      <c r="M193" t="s">
        <v>47</v>
      </c>
      <c r="N193" t="s">
        <v>221</v>
      </c>
      <c r="O193" t="s">
        <v>51</v>
      </c>
      <c r="P193" t="s">
        <v>52</v>
      </c>
      <c r="Q193" s="133">
        <v>36476</v>
      </c>
      <c r="R193" s="135">
        <v>1</v>
      </c>
      <c r="S193" s="139">
        <v>22780</v>
      </c>
      <c r="U193" s="133">
        <v>8309.2330000000002</v>
      </c>
      <c r="V193" s="137">
        <v>1.3999999999999999E-4</v>
      </c>
      <c r="W193" s="137">
        <v>1.93102807241541E-2</v>
      </c>
      <c r="X193" s="137">
        <v>4.2401633842833802E-3</v>
      </c>
    </row>
    <row r="194" spans="1:24">
      <c r="A194">
        <v>161</v>
      </c>
      <c r="B194">
        <v>9943</v>
      </c>
      <c r="C194" t="s">
        <v>2848</v>
      </c>
      <c r="D194" t="s">
        <v>2849</v>
      </c>
      <c r="E194" t="s">
        <v>41</v>
      </c>
      <c r="F194" t="s">
        <v>2850</v>
      </c>
      <c r="G194" t="s">
        <v>2851</v>
      </c>
      <c r="H194" t="s">
        <v>44</v>
      </c>
      <c r="I194" t="s">
        <v>1476</v>
      </c>
      <c r="J194" t="s">
        <v>45</v>
      </c>
      <c r="K194" t="s">
        <v>45</v>
      </c>
      <c r="L194" t="s">
        <v>46</v>
      </c>
      <c r="M194" t="s">
        <v>47</v>
      </c>
      <c r="N194" s="125" t="s">
        <v>1061</v>
      </c>
      <c r="O194" t="s">
        <v>51</v>
      </c>
      <c r="P194" t="s">
        <v>52</v>
      </c>
      <c r="Q194" s="133">
        <v>12500</v>
      </c>
      <c r="R194" s="135">
        <v>1</v>
      </c>
      <c r="S194" s="139">
        <v>8714</v>
      </c>
      <c r="U194" s="133">
        <v>1089.25</v>
      </c>
      <c r="V194" s="137">
        <v>1.34E-4</v>
      </c>
      <c r="W194" s="137">
        <v>2.5313676707655599E-3</v>
      </c>
      <c r="X194" s="137">
        <v>5.5583927872747396E-4</v>
      </c>
    </row>
    <row r="195" spans="1:24">
      <c r="A195">
        <v>161</v>
      </c>
      <c r="B195">
        <v>9943</v>
      </c>
      <c r="C195" t="s">
        <v>2191</v>
      </c>
      <c r="D195" t="s">
        <v>2192</v>
      </c>
      <c r="E195" t="s">
        <v>41</v>
      </c>
      <c r="F195" t="s">
        <v>2852</v>
      </c>
      <c r="G195" t="s">
        <v>2853</v>
      </c>
      <c r="H195" t="s">
        <v>44</v>
      </c>
      <c r="I195" t="s">
        <v>1476</v>
      </c>
      <c r="J195" t="s">
        <v>45</v>
      </c>
      <c r="K195" t="s">
        <v>45</v>
      </c>
      <c r="L195" t="s">
        <v>46</v>
      </c>
      <c r="M195" t="s">
        <v>47</v>
      </c>
      <c r="N195" t="s">
        <v>58</v>
      </c>
      <c r="O195" t="s">
        <v>51</v>
      </c>
      <c r="P195" t="s">
        <v>52</v>
      </c>
      <c r="Q195" s="133">
        <v>9853</v>
      </c>
      <c r="R195" s="135">
        <v>1</v>
      </c>
      <c r="S195" s="139">
        <v>40600</v>
      </c>
      <c r="T195" s="133">
        <v>18.594000000000001</v>
      </c>
      <c r="U195" s="133">
        <v>4018.9119999999998</v>
      </c>
      <c r="V195" s="137">
        <v>2.0699999999999999E-4</v>
      </c>
      <c r="W195" s="137">
        <v>9.3397686223050096E-3</v>
      </c>
      <c r="X195" s="137">
        <v>2.0508321704738601E-3</v>
      </c>
    </row>
    <row r="196" spans="1:24">
      <c r="A196">
        <v>161</v>
      </c>
      <c r="B196">
        <v>9943</v>
      </c>
      <c r="C196" t="s">
        <v>2427</v>
      </c>
      <c r="D196" t="s">
        <v>2428</v>
      </c>
      <c r="E196" t="s">
        <v>41</v>
      </c>
      <c r="F196" t="s">
        <v>2854</v>
      </c>
      <c r="G196" t="s">
        <v>2855</v>
      </c>
      <c r="H196" t="s">
        <v>44</v>
      </c>
      <c r="I196" t="s">
        <v>1476</v>
      </c>
      <c r="J196" t="s">
        <v>45</v>
      </c>
      <c r="K196" t="s">
        <v>45</v>
      </c>
      <c r="L196" t="s">
        <v>46</v>
      </c>
      <c r="M196" t="s">
        <v>47</v>
      </c>
      <c r="N196" t="s">
        <v>1037</v>
      </c>
      <c r="O196" t="s">
        <v>51</v>
      </c>
      <c r="P196" t="s">
        <v>52</v>
      </c>
      <c r="Q196" s="133">
        <v>3500</v>
      </c>
      <c r="R196" s="135">
        <v>1</v>
      </c>
      <c r="S196" s="139">
        <v>45370</v>
      </c>
      <c r="U196" s="133">
        <v>1587.95</v>
      </c>
      <c r="V196" s="137">
        <v>5.5000000000000002E-5</v>
      </c>
      <c r="W196" s="137">
        <v>3.6903238859694099E-3</v>
      </c>
      <c r="X196" s="137">
        <v>8.1032360124424303E-4</v>
      </c>
    </row>
    <row r="197" spans="1:24">
      <c r="A197">
        <v>161</v>
      </c>
      <c r="B197">
        <v>9943</v>
      </c>
      <c r="C197" t="s">
        <v>2981</v>
      </c>
      <c r="D197" t="s">
        <v>2982</v>
      </c>
      <c r="E197" t="s">
        <v>41</v>
      </c>
      <c r="F197" t="s">
        <v>2983</v>
      </c>
      <c r="G197" t="s">
        <v>2984</v>
      </c>
      <c r="H197" t="s">
        <v>44</v>
      </c>
      <c r="I197" t="s">
        <v>1476</v>
      </c>
      <c r="J197" t="s">
        <v>45</v>
      </c>
      <c r="K197" t="s">
        <v>45</v>
      </c>
      <c r="L197" t="s">
        <v>46</v>
      </c>
      <c r="M197" t="s">
        <v>47</v>
      </c>
      <c r="N197" t="s">
        <v>58</v>
      </c>
      <c r="O197" t="s">
        <v>51</v>
      </c>
      <c r="P197" t="s">
        <v>52</v>
      </c>
      <c r="Q197" s="133">
        <v>535000</v>
      </c>
      <c r="R197" s="135">
        <v>1</v>
      </c>
      <c r="S197" s="139">
        <v>210</v>
      </c>
      <c r="T197" s="133">
        <v>17.494</v>
      </c>
      <c r="U197" s="133">
        <v>1140.9949999999999</v>
      </c>
      <c r="V197" s="137">
        <v>6.3000000000000003E-4</v>
      </c>
      <c r="W197" s="137">
        <v>2.65161954539483E-3</v>
      </c>
      <c r="X197" s="137">
        <v>5.8224425973102097E-4</v>
      </c>
    </row>
    <row r="198" spans="1:24">
      <c r="A198">
        <v>161</v>
      </c>
      <c r="B198">
        <v>9943</v>
      </c>
      <c r="C198" t="s">
        <v>2693</v>
      </c>
      <c r="D198" t="s">
        <v>2694</v>
      </c>
      <c r="E198" t="s">
        <v>146</v>
      </c>
      <c r="F198" t="s">
        <v>2856</v>
      </c>
      <c r="G198" t="s">
        <v>2857</v>
      </c>
      <c r="H198" t="s">
        <v>44</v>
      </c>
      <c r="I198" t="s">
        <v>1476</v>
      </c>
      <c r="J198" t="s">
        <v>45</v>
      </c>
      <c r="K198" t="s">
        <v>69</v>
      </c>
      <c r="L198" t="s">
        <v>46</v>
      </c>
      <c r="M198" t="s">
        <v>47</v>
      </c>
      <c r="N198" t="s">
        <v>210</v>
      </c>
      <c r="O198" t="s">
        <v>51</v>
      </c>
      <c r="P198" t="s">
        <v>52</v>
      </c>
      <c r="Q198" s="133">
        <v>48800</v>
      </c>
      <c r="R198" s="135">
        <v>1</v>
      </c>
      <c r="S198" s="139">
        <v>12900</v>
      </c>
      <c r="U198" s="133">
        <v>6295.2</v>
      </c>
      <c r="V198" s="137">
        <v>4.1100000000000002E-4</v>
      </c>
      <c r="W198" s="137">
        <v>1.4629759707140999E-2</v>
      </c>
      <c r="X198" s="137">
        <v>3.2124116845950799E-3</v>
      </c>
    </row>
    <row r="199" spans="1:24">
      <c r="A199">
        <v>161</v>
      </c>
      <c r="B199">
        <v>9943</v>
      </c>
      <c r="C199" t="s">
        <v>2905</v>
      </c>
      <c r="D199" t="s">
        <v>2906</v>
      </c>
      <c r="E199" t="s">
        <v>41</v>
      </c>
      <c r="F199" t="s">
        <v>2950</v>
      </c>
      <c r="G199" t="s">
        <v>2908</v>
      </c>
      <c r="H199" t="s">
        <v>44</v>
      </c>
      <c r="I199" t="s">
        <v>1476</v>
      </c>
      <c r="J199" t="s">
        <v>45</v>
      </c>
      <c r="K199" t="s">
        <v>264</v>
      </c>
      <c r="L199" t="s">
        <v>46</v>
      </c>
      <c r="M199" t="s">
        <v>47</v>
      </c>
      <c r="N199" t="s">
        <v>1045</v>
      </c>
      <c r="O199" t="s">
        <v>51</v>
      </c>
      <c r="P199" t="s">
        <v>52</v>
      </c>
      <c r="Q199" s="133">
        <v>1526</v>
      </c>
      <c r="R199" s="135">
        <v>1</v>
      </c>
      <c r="S199" s="139">
        <v>135650</v>
      </c>
      <c r="U199" s="133">
        <v>2070.0189999999998</v>
      </c>
      <c r="V199" s="137">
        <v>5.0000000000000002E-5</v>
      </c>
      <c r="W199" s="137">
        <v>4.8106304103469897E-3</v>
      </c>
      <c r="X199" s="137">
        <v>1.05632120074562E-3</v>
      </c>
    </row>
    <row r="200" spans="1:24">
      <c r="A200">
        <v>161</v>
      </c>
      <c r="B200">
        <v>9943</v>
      </c>
      <c r="C200" t="s">
        <v>2858</v>
      </c>
      <c r="D200" t="s">
        <v>2859</v>
      </c>
      <c r="E200" t="s">
        <v>146</v>
      </c>
      <c r="F200" t="s">
        <v>2860</v>
      </c>
      <c r="G200" t="s">
        <v>2861</v>
      </c>
      <c r="H200" t="s">
        <v>44</v>
      </c>
      <c r="I200" t="s">
        <v>1476</v>
      </c>
      <c r="J200" t="s">
        <v>45</v>
      </c>
      <c r="K200" t="s">
        <v>45</v>
      </c>
      <c r="L200" t="s">
        <v>46</v>
      </c>
      <c r="M200" t="s">
        <v>47</v>
      </c>
      <c r="N200" t="s">
        <v>210</v>
      </c>
      <c r="O200" t="s">
        <v>51</v>
      </c>
      <c r="P200" t="s">
        <v>52</v>
      </c>
      <c r="Q200" s="133">
        <v>94264</v>
      </c>
      <c r="R200" s="135">
        <v>1</v>
      </c>
      <c r="S200" s="139">
        <v>1799</v>
      </c>
      <c r="U200" s="133">
        <v>1695.809</v>
      </c>
      <c r="V200" s="137">
        <v>8.0000000000000007E-5</v>
      </c>
      <c r="W200" s="137">
        <v>3.94098415394596E-3</v>
      </c>
      <c r="X200" s="137">
        <v>8.6536373791296702E-4</v>
      </c>
    </row>
    <row r="201" spans="1:24">
      <c r="A201">
        <v>161</v>
      </c>
      <c r="B201">
        <v>9943</v>
      </c>
      <c r="C201" t="s">
        <v>2936</v>
      </c>
      <c r="D201" t="s">
        <v>2937</v>
      </c>
      <c r="E201" t="s">
        <v>41</v>
      </c>
      <c r="F201" t="s">
        <v>2938</v>
      </c>
      <c r="G201" t="s">
        <v>2939</v>
      </c>
      <c r="H201" t="s">
        <v>44</v>
      </c>
      <c r="I201" t="s">
        <v>1476</v>
      </c>
      <c r="J201" t="s">
        <v>45</v>
      </c>
      <c r="K201" t="s">
        <v>69</v>
      </c>
      <c r="L201" t="s">
        <v>46</v>
      </c>
      <c r="M201" t="s">
        <v>47</v>
      </c>
      <c r="N201" t="s">
        <v>1065</v>
      </c>
      <c r="O201" t="s">
        <v>51</v>
      </c>
      <c r="P201" t="s">
        <v>52</v>
      </c>
      <c r="Q201" s="133">
        <v>5093</v>
      </c>
      <c r="R201" s="135">
        <v>1</v>
      </c>
      <c r="S201" s="139">
        <v>34690</v>
      </c>
      <c r="U201" s="133">
        <v>1766.7619999999999</v>
      </c>
      <c r="V201" s="137">
        <v>6.7999999999999999E-5</v>
      </c>
      <c r="W201" s="137">
        <v>4.1058741788632599E-3</v>
      </c>
      <c r="X201" s="137">
        <v>9.0157039156421896E-4</v>
      </c>
    </row>
    <row r="202" spans="1:24">
      <c r="A202">
        <v>161</v>
      </c>
      <c r="B202">
        <v>9943</v>
      </c>
      <c r="C202" t="s">
        <v>2862</v>
      </c>
      <c r="D202" t="s">
        <v>2863</v>
      </c>
      <c r="E202" t="s">
        <v>41</v>
      </c>
      <c r="F202" t="s">
        <v>2862</v>
      </c>
      <c r="G202" t="s">
        <v>2864</v>
      </c>
      <c r="H202" t="s">
        <v>44</v>
      </c>
      <c r="I202" t="s">
        <v>1476</v>
      </c>
      <c r="J202" t="s">
        <v>45</v>
      </c>
      <c r="K202" t="s">
        <v>45</v>
      </c>
      <c r="L202" t="s">
        <v>46</v>
      </c>
      <c r="M202" t="s">
        <v>47</v>
      </c>
      <c r="N202" t="s">
        <v>1033</v>
      </c>
      <c r="O202" t="s">
        <v>51</v>
      </c>
      <c r="P202" t="s">
        <v>52</v>
      </c>
      <c r="Q202" s="133">
        <v>19075</v>
      </c>
      <c r="R202" s="135">
        <v>1</v>
      </c>
      <c r="S202" s="139">
        <v>30500</v>
      </c>
      <c r="U202" s="133">
        <v>5817.875</v>
      </c>
      <c r="V202" s="137">
        <v>2.0699999999999999E-4</v>
      </c>
      <c r="W202" s="137">
        <v>1.35204780239203E-2</v>
      </c>
      <c r="X202" s="137">
        <v>2.9688349265334902E-3</v>
      </c>
    </row>
    <row r="203" spans="1:24">
      <c r="A203">
        <v>161</v>
      </c>
      <c r="B203">
        <v>9943</v>
      </c>
      <c r="C203" t="s">
        <v>2226</v>
      </c>
      <c r="D203" t="s">
        <v>2227</v>
      </c>
      <c r="E203" t="s">
        <v>41</v>
      </c>
      <c r="F203" t="s">
        <v>2865</v>
      </c>
      <c r="G203" t="s">
        <v>2866</v>
      </c>
      <c r="H203" t="s">
        <v>44</v>
      </c>
      <c r="I203" t="s">
        <v>1476</v>
      </c>
      <c r="J203" t="s">
        <v>45</v>
      </c>
      <c r="K203" t="s">
        <v>45</v>
      </c>
      <c r="L203" t="s">
        <v>46</v>
      </c>
      <c r="M203" t="s">
        <v>47</v>
      </c>
      <c r="N203" t="s">
        <v>58</v>
      </c>
      <c r="O203" t="s">
        <v>51</v>
      </c>
      <c r="P203" t="s">
        <v>52</v>
      </c>
      <c r="Q203" s="133">
        <v>8357</v>
      </c>
      <c r="R203" s="135">
        <v>1</v>
      </c>
      <c r="S203" s="139">
        <v>41870</v>
      </c>
      <c r="U203" s="133">
        <v>3499.076</v>
      </c>
      <c r="V203" s="137">
        <v>6.7000000000000002E-5</v>
      </c>
      <c r="W203" s="137">
        <v>8.1316939277621507E-3</v>
      </c>
      <c r="X203" s="137">
        <v>1.7855623818854101E-3</v>
      </c>
    </row>
    <row r="204" spans="1:24">
      <c r="A204">
        <v>161</v>
      </c>
      <c r="B204">
        <v>9943</v>
      </c>
      <c r="C204" t="s">
        <v>2236</v>
      </c>
      <c r="D204" t="s">
        <v>2237</v>
      </c>
      <c r="E204" t="s">
        <v>41</v>
      </c>
      <c r="F204" t="s">
        <v>2867</v>
      </c>
      <c r="G204" t="s">
        <v>2868</v>
      </c>
      <c r="H204" t="s">
        <v>44</v>
      </c>
      <c r="I204" t="s">
        <v>1476</v>
      </c>
      <c r="J204" t="s">
        <v>45</v>
      </c>
      <c r="K204" t="s">
        <v>45</v>
      </c>
      <c r="L204" t="s">
        <v>46</v>
      </c>
      <c r="M204" t="s">
        <v>47</v>
      </c>
      <c r="N204" t="s">
        <v>221</v>
      </c>
      <c r="O204" t="s">
        <v>51</v>
      </c>
      <c r="P204" t="s">
        <v>52</v>
      </c>
      <c r="Q204" s="133">
        <v>188164</v>
      </c>
      <c r="R204" s="135">
        <v>1</v>
      </c>
      <c r="S204" s="139">
        <v>7332</v>
      </c>
      <c r="U204" s="133">
        <v>13796.183999999999</v>
      </c>
      <c r="V204" s="137">
        <v>1.4100000000000001E-4</v>
      </c>
      <c r="W204" s="137">
        <v>3.2061707939031098E-2</v>
      </c>
      <c r="X204" s="137">
        <v>7.0401296585305201E-3</v>
      </c>
    </row>
    <row r="205" spans="1:24">
      <c r="A205">
        <v>161</v>
      </c>
      <c r="B205">
        <v>9943</v>
      </c>
      <c r="C205" t="s">
        <v>2869</v>
      </c>
      <c r="D205" t="s">
        <v>2870</v>
      </c>
      <c r="E205" t="s">
        <v>41</v>
      </c>
      <c r="F205" t="s">
        <v>2871</v>
      </c>
      <c r="G205" t="s">
        <v>2872</v>
      </c>
      <c r="H205" t="s">
        <v>44</v>
      </c>
      <c r="I205" t="s">
        <v>1476</v>
      </c>
      <c r="J205" t="s">
        <v>45</v>
      </c>
      <c r="K205" t="s">
        <v>45</v>
      </c>
      <c r="L205" t="s">
        <v>46</v>
      </c>
      <c r="M205" t="s">
        <v>47</v>
      </c>
      <c r="N205" t="s">
        <v>1032</v>
      </c>
      <c r="O205" t="s">
        <v>51</v>
      </c>
      <c r="P205" t="s">
        <v>52</v>
      </c>
      <c r="Q205" s="133">
        <v>7100</v>
      </c>
      <c r="R205" s="135">
        <v>1</v>
      </c>
      <c r="S205" s="139">
        <v>26010</v>
      </c>
      <c r="U205" s="133">
        <v>1846.71</v>
      </c>
      <c r="V205" s="137">
        <v>7.7200000000000001E-4</v>
      </c>
      <c r="W205" s="137">
        <v>4.2916704074174696E-3</v>
      </c>
      <c r="X205" s="137">
        <v>9.4236764233997098E-4</v>
      </c>
    </row>
    <row r="206" spans="1:24">
      <c r="A206">
        <v>161</v>
      </c>
      <c r="B206">
        <v>9943</v>
      </c>
      <c r="C206" t="s">
        <v>2873</v>
      </c>
      <c r="D206" t="s">
        <v>2874</v>
      </c>
      <c r="E206" t="s">
        <v>41</v>
      </c>
      <c r="F206" t="s">
        <v>2875</v>
      </c>
      <c r="G206" t="s">
        <v>2876</v>
      </c>
      <c r="H206" t="s">
        <v>44</v>
      </c>
      <c r="I206" t="s">
        <v>1476</v>
      </c>
      <c r="J206" t="s">
        <v>45</v>
      </c>
      <c r="K206" t="s">
        <v>45</v>
      </c>
      <c r="L206" t="s">
        <v>46</v>
      </c>
      <c r="M206" t="s">
        <v>47</v>
      </c>
      <c r="N206" t="s">
        <v>1069</v>
      </c>
      <c r="O206" t="s">
        <v>51</v>
      </c>
      <c r="P206" t="s">
        <v>52</v>
      </c>
      <c r="Q206" s="133">
        <v>72000</v>
      </c>
      <c r="R206" s="135">
        <v>1</v>
      </c>
      <c r="S206" s="139">
        <v>3509</v>
      </c>
      <c r="U206" s="133">
        <v>2526.48</v>
      </c>
      <c r="V206" s="137">
        <v>3.7399999999999998E-4</v>
      </c>
      <c r="W206" s="137">
        <v>5.87142510244277E-3</v>
      </c>
      <c r="X206" s="137">
        <v>1.28925115530814E-3</v>
      </c>
    </row>
    <row r="207" spans="1:24">
      <c r="A207">
        <v>161</v>
      </c>
      <c r="B207">
        <v>9943</v>
      </c>
      <c r="C207" t="s">
        <v>2877</v>
      </c>
      <c r="D207" t="s">
        <v>2878</v>
      </c>
      <c r="E207" t="s">
        <v>41</v>
      </c>
      <c r="F207" t="s">
        <v>2879</v>
      </c>
      <c r="G207" t="s">
        <v>2880</v>
      </c>
      <c r="H207" t="s">
        <v>44</v>
      </c>
      <c r="I207" t="s">
        <v>1476</v>
      </c>
      <c r="J207" t="s">
        <v>45</v>
      </c>
      <c r="K207" t="s">
        <v>45</v>
      </c>
      <c r="L207" t="s">
        <v>46</v>
      </c>
      <c r="M207" t="s">
        <v>47</v>
      </c>
      <c r="N207" t="s">
        <v>1049</v>
      </c>
      <c r="O207" t="s">
        <v>51</v>
      </c>
      <c r="P207" t="s">
        <v>52</v>
      </c>
      <c r="Q207" s="133">
        <v>192407</v>
      </c>
      <c r="R207" s="135">
        <v>1</v>
      </c>
      <c r="S207" s="139">
        <v>805.7</v>
      </c>
      <c r="T207" s="133">
        <v>33.347999999999999</v>
      </c>
      <c r="U207" s="133">
        <v>1583.5719999999999</v>
      </c>
      <c r="V207" s="137">
        <v>6.6699999999999995E-4</v>
      </c>
      <c r="W207" s="137">
        <v>3.68014865709199E-3</v>
      </c>
      <c r="X207" s="137">
        <v>8.0808931819424299E-4</v>
      </c>
    </row>
    <row r="208" spans="1:24">
      <c r="A208">
        <v>161</v>
      </c>
      <c r="B208">
        <v>9943</v>
      </c>
      <c r="C208" t="s">
        <v>2952</v>
      </c>
      <c r="D208" t="s">
        <v>2953</v>
      </c>
      <c r="E208" t="s">
        <v>146</v>
      </c>
      <c r="F208" t="s">
        <v>2954</v>
      </c>
      <c r="G208" t="s">
        <v>2955</v>
      </c>
      <c r="H208" t="s">
        <v>44</v>
      </c>
      <c r="I208" t="s">
        <v>1476</v>
      </c>
      <c r="J208" t="s">
        <v>45</v>
      </c>
      <c r="K208" t="s">
        <v>45</v>
      </c>
      <c r="L208" t="s">
        <v>46</v>
      </c>
      <c r="M208" t="s">
        <v>47</v>
      </c>
      <c r="N208" t="s">
        <v>210</v>
      </c>
      <c r="O208" t="s">
        <v>51</v>
      </c>
      <c r="P208" t="s">
        <v>52</v>
      </c>
      <c r="Q208" s="133">
        <v>69416</v>
      </c>
      <c r="R208" s="135">
        <v>1</v>
      </c>
      <c r="S208" s="139">
        <v>435</v>
      </c>
      <c r="T208" s="133">
        <v>7.819</v>
      </c>
      <c r="U208" s="133">
        <v>309.779</v>
      </c>
      <c r="V208" s="137">
        <v>6.2000000000000003E-5</v>
      </c>
      <c r="W208" s="137">
        <v>7.1991187890279998E-4</v>
      </c>
      <c r="X208" s="137">
        <v>1.5807869561502801E-4</v>
      </c>
    </row>
    <row r="209" spans="1:24">
      <c r="A209">
        <v>161</v>
      </c>
      <c r="B209">
        <v>9943</v>
      </c>
      <c r="C209" t="s">
        <v>2446</v>
      </c>
      <c r="D209" t="s">
        <v>2447</v>
      </c>
      <c r="E209" t="s">
        <v>41</v>
      </c>
      <c r="F209" t="s">
        <v>2985</v>
      </c>
      <c r="G209" t="s">
        <v>2986</v>
      </c>
      <c r="H209" t="s">
        <v>44</v>
      </c>
      <c r="I209" t="s">
        <v>1476</v>
      </c>
      <c r="J209" t="s">
        <v>45</v>
      </c>
      <c r="K209" t="s">
        <v>45</v>
      </c>
      <c r="L209" t="s">
        <v>46</v>
      </c>
      <c r="M209" t="s">
        <v>47</v>
      </c>
      <c r="N209" t="s">
        <v>1038</v>
      </c>
      <c r="O209" t="s">
        <v>51</v>
      </c>
      <c r="P209" t="s">
        <v>52</v>
      </c>
      <c r="Q209" s="133">
        <v>174511</v>
      </c>
      <c r="R209" s="135">
        <v>1</v>
      </c>
      <c r="S209" s="139">
        <v>1900</v>
      </c>
      <c r="T209" s="133">
        <v>18.324000000000002</v>
      </c>
      <c r="U209" s="133">
        <v>3334.0329999999999</v>
      </c>
      <c r="V209" s="137">
        <v>6.0700000000000001E-4</v>
      </c>
      <c r="W209" s="137">
        <v>7.7481421208278204E-3</v>
      </c>
      <c r="X209" s="137">
        <v>1.70134183890261E-3</v>
      </c>
    </row>
    <row r="210" spans="1:24">
      <c r="A210">
        <v>161</v>
      </c>
      <c r="B210">
        <v>9943</v>
      </c>
      <c r="C210" t="s">
        <v>2460</v>
      </c>
      <c r="D210" t="s">
        <v>2461</v>
      </c>
      <c r="E210" t="s">
        <v>41</v>
      </c>
      <c r="F210" t="s">
        <v>2987</v>
      </c>
      <c r="G210" t="s">
        <v>2988</v>
      </c>
      <c r="H210" t="s">
        <v>44</v>
      </c>
      <c r="I210" t="s">
        <v>1476</v>
      </c>
      <c r="J210" t="s">
        <v>45</v>
      </c>
      <c r="K210" t="s">
        <v>45</v>
      </c>
      <c r="L210" t="s">
        <v>46</v>
      </c>
      <c r="M210" t="s">
        <v>47</v>
      </c>
      <c r="N210" t="s">
        <v>1038</v>
      </c>
      <c r="O210" t="s">
        <v>51</v>
      </c>
      <c r="P210" t="s">
        <v>52</v>
      </c>
      <c r="Q210" s="133">
        <v>184374</v>
      </c>
      <c r="R210" s="135">
        <v>1</v>
      </c>
      <c r="S210" s="139">
        <v>1318</v>
      </c>
      <c r="U210" s="133">
        <v>2430.049</v>
      </c>
      <c r="V210" s="137">
        <v>8.9309999999999997E-3</v>
      </c>
      <c r="W210" s="137">
        <v>5.6473245692116999E-3</v>
      </c>
      <c r="X210" s="137">
        <v>1.24004302162129E-3</v>
      </c>
    </row>
    <row r="211" spans="1:24">
      <c r="A211">
        <v>161</v>
      </c>
      <c r="B211">
        <v>9943</v>
      </c>
      <c r="C211" t="s">
        <v>2989</v>
      </c>
      <c r="D211" t="s">
        <v>2990</v>
      </c>
      <c r="E211" t="s">
        <v>41</v>
      </c>
      <c r="F211" t="s">
        <v>2991</v>
      </c>
      <c r="G211" t="s">
        <v>2992</v>
      </c>
      <c r="H211" t="s">
        <v>44</v>
      </c>
      <c r="I211" t="s">
        <v>1476</v>
      </c>
      <c r="J211" t="s">
        <v>45</v>
      </c>
      <c r="K211" t="s">
        <v>45</v>
      </c>
      <c r="L211" t="s">
        <v>46</v>
      </c>
      <c r="M211" t="s">
        <v>47</v>
      </c>
      <c r="N211" t="s">
        <v>1034</v>
      </c>
      <c r="O211" t="s">
        <v>51</v>
      </c>
      <c r="P211" t="s">
        <v>52</v>
      </c>
      <c r="Q211" s="133">
        <v>49435</v>
      </c>
      <c r="R211" s="135">
        <v>1</v>
      </c>
      <c r="S211" s="139">
        <v>10860</v>
      </c>
      <c r="U211" s="133">
        <v>5368.6409999999996</v>
      </c>
      <c r="V211" s="137">
        <v>1.5899999999999999E-4</v>
      </c>
      <c r="W211" s="137">
        <v>1.2476478552532901E-2</v>
      </c>
      <c r="X211" s="137">
        <v>2.7395928769215002E-3</v>
      </c>
    </row>
    <row r="212" spans="1:24">
      <c r="A212">
        <v>161</v>
      </c>
      <c r="B212">
        <v>9943</v>
      </c>
      <c r="C212" t="s">
        <v>2993</v>
      </c>
      <c r="D212" t="s">
        <v>2994</v>
      </c>
      <c r="E212" t="s">
        <v>41</v>
      </c>
      <c r="F212" t="s">
        <v>2995</v>
      </c>
      <c r="G212" t="s">
        <v>2996</v>
      </c>
      <c r="H212" t="s">
        <v>44</v>
      </c>
      <c r="I212" t="s">
        <v>1476</v>
      </c>
      <c r="J212" t="s">
        <v>45</v>
      </c>
      <c r="K212" t="s">
        <v>45</v>
      </c>
      <c r="L212" t="s">
        <v>46</v>
      </c>
      <c r="M212" t="s">
        <v>47</v>
      </c>
      <c r="N212" t="s">
        <v>1039</v>
      </c>
      <c r="O212" t="s">
        <v>51</v>
      </c>
      <c r="P212" t="s">
        <v>52</v>
      </c>
      <c r="Q212" s="133">
        <v>90000</v>
      </c>
      <c r="R212" s="135">
        <v>1</v>
      </c>
      <c r="S212" s="139">
        <v>1242</v>
      </c>
      <c r="U212" s="133">
        <v>1117.8</v>
      </c>
      <c r="V212" s="137">
        <v>1.2093E-2</v>
      </c>
      <c r="W212" s="137">
        <v>2.5977165778120199E-3</v>
      </c>
      <c r="X212" s="137">
        <v>5.7040821277169599E-4</v>
      </c>
    </row>
    <row r="213" spans="1:24">
      <c r="A213">
        <v>161</v>
      </c>
      <c r="B213">
        <v>9943</v>
      </c>
      <c r="C213" t="s">
        <v>2997</v>
      </c>
      <c r="D213" t="s">
        <v>2998</v>
      </c>
      <c r="E213" t="s">
        <v>41</v>
      </c>
      <c r="F213" t="s">
        <v>2999</v>
      </c>
      <c r="G213" t="s">
        <v>3000</v>
      </c>
      <c r="H213" t="s">
        <v>44</v>
      </c>
      <c r="I213" t="s">
        <v>1476</v>
      </c>
      <c r="J213" t="s">
        <v>45</v>
      </c>
      <c r="K213" t="s">
        <v>45</v>
      </c>
      <c r="L213" t="s">
        <v>46</v>
      </c>
      <c r="M213" t="s">
        <v>47</v>
      </c>
      <c r="N213" s="125" t="s">
        <v>1063</v>
      </c>
      <c r="O213" t="s">
        <v>51</v>
      </c>
      <c r="P213" t="s">
        <v>52</v>
      </c>
      <c r="Q213" s="133">
        <v>30000</v>
      </c>
      <c r="R213" s="135">
        <v>1</v>
      </c>
      <c r="S213" s="139">
        <v>7232</v>
      </c>
      <c r="U213" s="133">
        <v>2169.6</v>
      </c>
      <c r="V213" s="137">
        <v>2.0170000000000001E-3</v>
      </c>
      <c r="W213" s="137">
        <v>5.0420521445884497E-3</v>
      </c>
      <c r="X213" s="137">
        <v>1.1071369282782901E-3</v>
      </c>
    </row>
    <row r="214" spans="1:24">
      <c r="A214">
        <v>161</v>
      </c>
      <c r="B214">
        <v>9943</v>
      </c>
      <c r="C214" t="s">
        <v>3001</v>
      </c>
      <c r="D214" t="s">
        <v>3002</v>
      </c>
      <c r="E214" t="s">
        <v>41</v>
      </c>
      <c r="F214" t="s">
        <v>3003</v>
      </c>
      <c r="G214" t="s">
        <v>3004</v>
      </c>
      <c r="H214" t="s">
        <v>44</v>
      </c>
      <c r="I214" t="s">
        <v>1476</v>
      </c>
      <c r="J214" t="s">
        <v>45</v>
      </c>
      <c r="K214" t="s">
        <v>264</v>
      </c>
      <c r="L214" t="s">
        <v>46</v>
      </c>
      <c r="M214" t="s">
        <v>47</v>
      </c>
      <c r="N214" t="s">
        <v>189</v>
      </c>
      <c r="O214" t="s">
        <v>51</v>
      </c>
      <c r="P214" t="s">
        <v>52</v>
      </c>
      <c r="Q214" s="133">
        <v>110100</v>
      </c>
      <c r="R214" s="135">
        <v>1</v>
      </c>
      <c r="S214" s="139">
        <v>1390</v>
      </c>
      <c r="U214" s="133">
        <v>1530.39</v>
      </c>
      <c r="V214" s="137">
        <v>1.789E-3</v>
      </c>
      <c r="W214" s="137">
        <v>3.55655705270866E-3</v>
      </c>
      <c r="X214" s="137">
        <v>7.8095099726576897E-4</v>
      </c>
    </row>
    <row r="215" spans="1:24">
      <c r="A215">
        <v>161</v>
      </c>
      <c r="B215">
        <v>9943</v>
      </c>
      <c r="C215" t="s">
        <v>3005</v>
      </c>
      <c r="D215" t="s">
        <v>3006</v>
      </c>
      <c r="E215" t="s">
        <v>41</v>
      </c>
      <c r="F215" t="s">
        <v>3007</v>
      </c>
      <c r="G215" t="s">
        <v>3008</v>
      </c>
      <c r="H215" t="s">
        <v>44</v>
      </c>
      <c r="I215" t="s">
        <v>1476</v>
      </c>
      <c r="J215" t="s">
        <v>45</v>
      </c>
      <c r="K215" t="s">
        <v>45</v>
      </c>
      <c r="L215" t="s">
        <v>46</v>
      </c>
      <c r="M215" t="s">
        <v>47</v>
      </c>
      <c r="N215" t="s">
        <v>1062</v>
      </c>
      <c r="O215" t="s">
        <v>51</v>
      </c>
      <c r="P215" t="s">
        <v>52</v>
      </c>
      <c r="Q215" s="133">
        <v>200670</v>
      </c>
      <c r="R215" s="135">
        <v>1</v>
      </c>
      <c r="S215" s="139">
        <v>1373</v>
      </c>
      <c r="U215" s="133">
        <v>2755.1990000000001</v>
      </c>
      <c r="V215" s="137">
        <v>3.4000000000000002E-4</v>
      </c>
      <c r="W215" s="137">
        <v>6.4029579327632598E-3</v>
      </c>
      <c r="X215" s="137">
        <v>1.4059654629282399E-3</v>
      </c>
    </row>
    <row r="216" spans="1:24">
      <c r="A216">
        <v>161</v>
      </c>
      <c r="B216">
        <v>9943</v>
      </c>
      <c r="C216" t="s">
        <v>2817</v>
      </c>
      <c r="D216" t="s">
        <v>2818</v>
      </c>
      <c r="E216" t="s">
        <v>41</v>
      </c>
      <c r="F216" t="s">
        <v>2819</v>
      </c>
      <c r="G216" t="s">
        <v>2820</v>
      </c>
      <c r="H216" t="s">
        <v>44</v>
      </c>
      <c r="I216" t="s">
        <v>1476</v>
      </c>
      <c r="J216" t="s">
        <v>45</v>
      </c>
      <c r="K216" t="s">
        <v>45</v>
      </c>
      <c r="L216" t="s">
        <v>46</v>
      </c>
      <c r="M216" t="s">
        <v>47</v>
      </c>
      <c r="N216" t="s">
        <v>189</v>
      </c>
      <c r="O216" t="s">
        <v>51</v>
      </c>
      <c r="P216" t="s">
        <v>52</v>
      </c>
      <c r="Q216" s="133">
        <v>3000</v>
      </c>
      <c r="R216" s="135">
        <v>1</v>
      </c>
      <c r="S216" s="139">
        <v>263700</v>
      </c>
      <c r="U216" s="133">
        <v>7911</v>
      </c>
      <c r="V216" s="137">
        <v>6.3999999999999997E-5</v>
      </c>
      <c r="W216" s="137">
        <v>1.8384805731857998E-2</v>
      </c>
      <c r="X216" s="137">
        <v>4.0369470130943701E-3</v>
      </c>
    </row>
    <row r="217" spans="1:24">
      <c r="A217">
        <v>161</v>
      </c>
      <c r="B217">
        <v>9943</v>
      </c>
      <c r="C217" t="s">
        <v>1932</v>
      </c>
      <c r="D217" t="s">
        <v>1933</v>
      </c>
      <c r="E217" t="s">
        <v>41</v>
      </c>
      <c r="F217" t="s">
        <v>2821</v>
      </c>
      <c r="G217" t="s">
        <v>2822</v>
      </c>
      <c r="H217" t="s">
        <v>44</v>
      </c>
      <c r="I217" t="s">
        <v>1476</v>
      </c>
      <c r="J217" t="s">
        <v>45</v>
      </c>
      <c r="K217" t="s">
        <v>45</v>
      </c>
      <c r="L217" t="s">
        <v>46</v>
      </c>
      <c r="M217" t="s">
        <v>47</v>
      </c>
      <c r="N217" t="s">
        <v>58</v>
      </c>
      <c r="O217" t="s">
        <v>51</v>
      </c>
      <c r="P217" t="s">
        <v>52</v>
      </c>
      <c r="Q217" s="133">
        <v>73508</v>
      </c>
      <c r="R217" s="135">
        <v>1</v>
      </c>
      <c r="S217" s="139">
        <v>3375</v>
      </c>
      <c r="T217" s="133">
        <v>18.376999999999999</v>
      </c>
      <c r="U217" s="133">
        <v>2499.2719999999999</v>
      </c>
      <c r="V217" s="137">
        <v>3.2499999999999999E-4</v>
      </c>
      <c r="W217" s="137">
        <v>5.8081949426207003E-3</v>
      </c>
      <c r="X217" s="137">
        <v>1.2753670377082999E-3</v>
      </c>
    </row>
    <row r="218" spans="1:24">
      <c r="A218">
        <v>161</v>
      </c>
      <c r="B218">
        <v>9943</v>
      </c>
      <c r="C218" t="s">
        <v>3009</v>
      </c>
      <c r="D218" t="s">
        <v>3010</v>
      </c>
      <c r="E218" t="s">
        <v>41</v>
      </c>
      <c r="F218" t="s">
        <v>3011</v>
      </c>
      <c r="G218" t="s">
        <v>3012</v>
      </c>
      <c r="H218" t="s">
        <v>44</v>
      </c>
      <c r="I218" t="s">
        <v>1476</v>
      </c>
      <c r="J218" t="s">
        <v>45</v>
      </c>
      <c r="K218" t="s">
        <v>45</v>
      </c>
      <c r="L218" t="s">
        <v>46</v>
      </c>
      <c r="M218" t="s">
        <v>47</v>
      </c>
      <c r="N218" t="s">
        <v>1060</v>
      </c>
      <c r="O218" t="s">
        <v>51</v>
      </c>
      <c r="P218" t="s">
        <v>52</v>
      </c>
      <c r="Q218" s="133">
        <v>27500</v>
      </c>
      <c r="R218" s="135">
        <v>1</v>
      </c>
      <c r="S218" s="139">
        <v>7450</v>
      </c>
      <c r="U218" s="133">
        <v>2048.75</v>
      </c>
      <c r="V218" s="137">
        <v>1.093E-3</v>
      </c>
      <c r="W218" s="137">
        <v>4.76120221756341E-3</v>
      </c>
      <c r="X218" s="137">
        <v>1.0454677276042299E-3</v>
      </c>
    </row>
    <row r="219" spans="1:24">
      <c r="A219">
        <v>161</v>
      </c>
      <c r="B219">
        <v>9943</v>
      </c>
      <c r="C219" t="s">
        <v>3013</v>
      </c>
      <c r="D219" t="s">
        <v>3014</v>
      </c>
      <c r="E219" t="s">
        <v>41</v>
      </c>
      <c r="F219" t="s">
        <v>3015</v>
      </c>
      <c r="G219" t="s">
        <v>3016</v>
      </c>
      <c r="H219" t="s">
        <v>44</v>
      </c>
      <c r="I219" t="s">
        <v>1476</v>
      </c>
      <c r="J219" t="s">
        <v>45</v>
      </c>
      <c r="K219" t="s">
        <v>45</v>
      </c>
      <c r="L219" t="s">
        <v>46</v>
      </c>
      <c r="M219" t="s">
        <v>47</v>
      </c>
      <c r="N219" t="s">
        <v>189</v>
      </c>
      <c r="O219" t="s">
        <v>51</v>
      </c>
      <c r="P219" t="s">
        <v>52</v>
      </c>
      <c r="Q219" s="133">
        <v>114147</v>
      </c>
      <c r="R219" s="135">
        <v>1</v>
      </c>
      <c r="S219" s="139">
        <v>4551</v>
      </c>
      <c r="U219" s="133">
        <v>5194.83</v>
      </c>
      <c r="V219" s="137">
        <v>1.122E-3</v>
      </c>
      <c r="W219" s="137">
        <v>1.2072549590252E-2</v>
      </c>
      <c r="X219" s="137">
        <v>2.6508979055649899E-3</v>
      </c>
    </row>
    <row r="220" spans="1:24">
      <c r="A220">
        <v>161</v>
      </c>
      <c r="B220">
        <v>9943</v>
      </c>
      <c r="C220" t="s">
        <v>3017</v>
      </c>
      <c r="D220" t="s">
        <v>3018</v>
      </c>
      <c r="E220" t="s">
        <v>41</v>
      </c>
      <c r="F220" t="s">
        <v>3019</v>
      </c>
      <c r="G220" t="s">
        <v>3020</v>
      </c>
      <c r="H220" t="s">
        <v>44</v>
      </c>
      <c r="I220" t="s">
        <v>1476</v>
      </c>
      <c r="J220" t="s">
        <v>45</v>
      </c>
      <c r="K220" t="s">
        <v>45</v>
      </c>
      <c r="L220" t="s">
        <v>46</v>
      </c>
      <c r="M220" t="s">
        <v>47</v>
      </c>
      <c r="N220" t="s">
        <v>221</v>
      </c>
      <c r="O220" t="s">
        <v>51</v>
      </c>
      <c r="P220" t="s">
        <v>52</v>
      </c>
      <c r="Q220" s="133">
        <v>1634</v>
      </c>
      <c r="R220" s="135">
        <v>1</v>
      </c>
      <c r="S220" s="139">
        <v>24230</v>
      </c>
      <c r="U220" s="133">
        <v>395.91800000000001</v>
      </c>
      <c r="V220" s="137">
        <v>1.5999999999999999E-5</v>
      </c>
      <c r="W220" s="137">
        <v>9.2009596671810401E-4</v>
      </c>
      <c r="X220" s="137">
        <v>2.0203524142582501E-4</v>
      </c>
    </row>
    <row r="221" spans="1:24">
      <c r="A221">
        <v>161</v>
      </c>
      <c r="B221">
        <v>9943</v>
      </c>
      <c r="C221" t="s">
        <v>3021</v>
      </c>
      <c r="D221" t="s">
        <v>3022</v>
      </c>
      <c r="E221" t="s">
        <v>41</v>
      </c>
      <c r="F221" t="s">
        <v>3023</v>
      </c>
      <c r="G221" t="s">
        <v>3024</v>
      </c>
      <c r="H221" t="s">
        <v>44</v>
      </c>
      <c r="I221" t="s">
        <v>1476</v>
      </c>
      <c r="J221" t="s">
        <v>45</v>
      </c>
      <c r="K221" t="s">
        <v>45</v>
      </c>
      <c r="L221" t="s">
        <v>46</v>
      </c>
      <c r="M221" t="s">
        <v>47</v>
      </c>
      <c r="N221" t="s">
        <v>1049</v>
      </c>
      <c r="O221" t="s">
        <v>51</v>
      </c>
      <c r="P221" t="s">
        <v>52</v>
      </c>
      <c r="Q221" s="133">
        <v>9003</v>
      </c>
      <c r="R221" s="135">
        <v>1</v>
      </c>
      <c r="S221" s="139">
        <v>70150</v>
      </c>
      <c r="U221" s="133">
        <v>6315.6049999999996</v>
      </c>
      <c r="V221" s="137">
        <v>9.4399999999999996E-4</v>
      </c>
      <c r="W221" s="137">
        <v>1.46771788410755E-2</v>
      </c>
      <c r="X221" s="137">
        <v>3.2228240073518401E-3</v>
      </c>
    </row>
    <row r="222" spans="1:24">
      <c r="A222">
        <v>161</v>
      </c>
      <c r="B222">
        <v>9943</v>
      </c>
      <c r="C222" t="s">
        <v>2338</v>
      </c>
      <c r="D222" t="s">
        <v>2339</v>
      </c>
      <c r="E222" t="s">
        <v>41</v>
      </c>
      <c r="F222" t="s">
        <v>3025</v>
      </c>
      <c r="G222" t="s">
        <v>3026</v>
      </c>
      <c r="H222" t="s">
        <v>44</v>
      </c>
      <c r="I222" t="s">
        <v>1476</v>
      </c>
      <c r="J222" t="s">
        <v>45</v>
      </c>
      <c r="K222" t="s">
        <v>45</v>
      </c>
      <c r="L222" t="s">
        <v>46</v>
      </c>
      <c r="M222" t="s">
        <v>47</v>
      </c>
      <c r="N222" t="s">
        <v>150</v>
      </c>
      <c r="O222" t="s">
        <v>51</v>
      </c>
      <c r="P222" t="s">
        <v>52</v>
      </c>
      <c r="Q222" s="133">
        <v>2733084</v>
      </c>
      <c r="R222" s="135">
        <v>1</v>
      </c>
      <c r="S222" s="139">
        <v>244.8</v>
      </c>
      <c r="U222" s="133">
        <v>6690.59</v>
      </c>
      <c r="V222" s="137">
        <v>1.665E-3</v>
      </c>
      <c r="W222" s="137">
        <v>1.55486273057646E-2</v>
      </c>
      <c r="X222" s="137">
        <v>3.4141772001949899E-3</v>
      </c>
    </row>
    <row r="223" spans="1:24">
      <c r="A223">
        <v>161</v>
      </c>
      <c r="B223">
        <v>9943</v>
      </c>
      <c r="C223" t="s">
        <v>3027</v>
      </c>
      <c r="D223" t="s">
        <v>3028</v>
      </c>
      <c r="E223" t="s">
        <v>41</v>
      </c>
      <c r="F223" t="s">
        <v>3029</v>
      </c>
      <c r="G223" t="s">
        <v>3030</v>
      </c>
      <c r="H223" t="s">
        <v>44</v>
      </c>
      <c r="I223" t="s">
        <v>1476</v>
      </c>
      <c r="J223" t="s">
        <v>45</v>
      </c>
      <c r="K223" t="s">
        <v>45</v>
      </c>
      <c r="L223" t="s">
        <v>46</v>
      </c>
      <c r="M223" t="s">
        <v>47</v>
      </c>
      <c r="N223" t="s">
        <v>49</v>
      </c>
      <c r="O223" t="s">
        <v>51</v>
      </c>
      <c r="P223" t="s">
        <v>52</v>
      </c>
      <c r="Q223" s="133">
        <v>83000</v>
      </c>
      <c r="R223" s="135">
        <v>1</v>
      </c>
      <c r="S223" s="139">
        <v>5891</v>
      </c>
      <c r="U223" s="133">
        <v>4889.53</v>
      </c>
      <c r="V223" s="137">
        <v>4.06E-4</v>
      </c>
      <c r="W223" s="137">
        <v>1.1363046286195401E-2</v>
      </c>
      <c r="X223" s="137">
        <v>2.4951047312520998E-3</v>
      </c>
    </row>
    <row r="224" spans="1:24">
      <c r="A224">
        <v>161</v>
      </c>
      <c r="B224">
        <v>9943</v>
      </c>
      <c r="C224" t="s">
        <v>2926</v>
      </c>
      <c r="D224" t="s">
        <v>2927</v>
      </c>
      <c r="E224" t="s">
        <v>41</v>
      </c>
      <c r="F224" t="s">
        <v>2928</v>
      </c>
      <c r="G224" t="s">
        <v>2929</v>
      </c>
      <c r="H224" t="s">
        <v>44</v>
      </c>
      <c r="I224" t="s">
        <v>1476</v>
      </c>
      <c r="J224" t="s">
        <v>45</v>
      </c>
      <c r="K224" t="s">
        <v>45</v>
      </c>
      <c r="L224" t="s">
        <v>46</v>
      </c>
      <c r="M224" t="s">
        <v>47</v>
      </c>
      <c r="N224" t="s">
        <v>221</v>
      </c>
      <c r="O224" t="s">
        <v>51</v>
      </c>
      <c r="P224" t="s">
        <v>52</v>
      </c>
      <c r="Q224" s="133">
        <v>56123</v>
      </c>
      <c r="R224" s="135">
        <v>1</v>
      </c>
      <c r="S224" s="139">
        <v>3148</v>
      </c>
      <c r="T224" s="133">
        <v>19.632999999999999</v>
      </c>
      <c r="U224" s="133">
        <v>1786.385</v>
      </c>
      <c r="V224" s="137">
        <v>4.5000000000000003E-5</v>
      </c>
      <c r="W224" s="137">
        <v>4.1514779788134996E-3</v>
      </c>
      <c r="X224" s="137">
        <v>9.1158410216197799E-4</v>
      </c>
    </row>
    <row r="225" spans="1:24">
      <c r="A225">
        <v>161</v>
      </c>
      <c r="B225">
        <v>9943</v>
      </c>
      <c r="C225" t="s">
        <v>2828</v>
      </c>
      <c r="D225" t="s">
        <v>2829</v>
      </c>
      <c r="E225" t="s">
        <v>41</v>
      </c>
      <c r="F225" t="s">
        <v>2830</v>
      </c>
      <c r="G225" t="s">
        <v>2831</v>
      </c>
      <c r="H225" t="s">
        <v>44</v>
      </c>
      <c r="I225" t="s">
        <v>1476</v>
      </c>
      <c r="J225" t="s">
        <v>45</v>
      </c>
      <c r="K225" t="s">
        <v>45</v>
      </c>
      <c r="L225" t="s">
        <v>46</v>
      </c>
      <c r="M225" t="s">
        <v>47</v>
      </c>
      <c r="N225" s="125" t="s">
        <v>1063</v>
      </c>
      <c r="O225" t="s">
        <v>51</v>
      </c>
      <c r="P225" t="s">
        <v>52</v>
      </c>
      <c r="Q225" s="133">
        <v>89500</v>
      </c>
      <c r="R225" s="135">
        <v>1</v>
      </c>
      <c r="S225" s="139">
        <v>13860</v>
      </c>
      <c r="U225" s="133">
        <v>12404.7</v>
      </c>
      <c r="V225" s="137">
        <v>8.3299999999999997E-4</v>
      </c>
      <c r="W225" s="137">
        <v>2.8827961024141001E-2</v>
      </c>
      <c r="X225" s="137">
        <v>6.3300615109760797E-3</v>
      </c>
    </row>
    <row r="226" spans="1:24">
      <c r="A226">
        <v>161</v>
      </c>
      <c r="B226">
        <v>9943</v>
      </c>
      <c r="C226" t="s">
        <v>2030</v>
      </c>
      <c r="D226" t="s">
        <v>2031</v>
      </c>
      <c r="E226" t="s">
        <v>41</v>
      </c>
      <c r="F226" t="s">
        <v>2832</v>
      </c>
      <c r="G226" t="s">
        <v>2833</v>
      </c>
      <c r="H226" t="s">
        <v>44</v>
      </c>
      <c r="I226" t="s">
        <v>1476</v>
      </c>
      <c r="J226" t="s">
        <v>45</v>
      </c>
      <c r="K226" t="s">
        <v>45</v>
      </c>
      <c r="L226" t="s">
        <v>46</v>
      </c>
      <c r="M226" t="s">
        <v>47</v>
      </c>
      <c r="N226" t="s">
        <v>1037</v>
      </c>
      <c r="O226" t="s">
        <v>51</v>
      </c>
      <c r="P226" t="s">
        <v>52</v>
      </c>
      <c r="Q226" s="133">
        <v>17301</v>
      </c>
      <c r="R226" s="135">
        <v>1</v>
      </c>
      <c r="S226" s="139">
        <v>16600</v>
      </c>
      <c r="U226" s="133">
        <v>2871.9659999999999</v>
      </c>
      <c r="V226" s="137">
        <v>6.6000000000000005E-5</v>
      </c>
      <c r="W226" s="137">
        <v>6.6743189203010301E-3</v>
      </c>
      <c r="X226" s="137">
        <v>1.4655510764010401E-3</v>
      </c>
    </row>
    <row r="227" spans="1:24">
      <c r="A227">
        <v>161</v>
      </c>
      <c r="B227">
        <v>9943</v>
      </c>
      <c r="C227" t="s">
        <v>2036</v>
      </c>
      <c r="D227" t="s">
        <v>2037</v>
      </c>
      <c r="E227" t="s">
        <v>41</v>
      </c>
      <c r="F227" t="s">
        <v>3031</v>
      </c>
      <c r="G227" t="s">
        <v>3032</v>
      </c>
      <c r="H227" t="s">
        <v>44</v>
      </c>
      <c r="I227" t="s">
        <v>1476</v>
      </c>
      <c r="J227" t="s">
        <v>45</v>
      </c>
      <c r="K227" t="s">
        <v>45</v>
      </c>
      <c r="L227" t="s">
        <v>46</v>
      </c>
      <c r="M227" t="s">
        <v>47</v>
      </c>
      <c r="N227" t="s">
        <v>1037</v>
      </c>
      <c r="O227" t="s">
        <v>51</v>
      </c>
      <c r="P227" t="s">
        <v>52</v>
      </c>
      <c r="Q227" s="133">
        <v>56638</v>
      </c>
      <c r="R227" s="135">
        <v>1</v>
      </c>
      <c r="S227" s="139">
        <v>17410</v>
      </c>
      <c r="U227" s="133">
        <v>9860.6759999999995</v>
      </c>
      <c r="V227" s="137">
        <v>2.5000000000000001E-4</v>
      </c>
      <c r="W227" s="137">
        <v>2.2915763995428402E-2</v>
      </c>
      <c r="X227" s="137">
        <v>5.0318576308813001E-3</v>
      </c>
    </row>
    <row r="228" spans="1:24">
      <c r="A228">
        <v>161</v>
      </c>
      <c r="B228">
        <v>9943</v>
      </c>
      <c r="C228" t="s">
        <v>3033</v>
      </c>
      <c r="D228" t="s">
        <v>3034</v>
      </c>
      <c r="E228" t="s">
        <v>41</v>
      </c>
      <c r="F228" t="s">
        <v>3035</v>
      </c>
      <c r="G228" t="s">
        <v>3036</v>
      </c>
      <c r="H228" t="s">
        <v>44</v>
      </c>
      <c r="I228" t="s">
        <v>1476</v>
      </c>
      <c r="J228" t="s">
        <v>45</v>
      </c>
      <c r="K228" t="s">
        <v>45</v>
      </c>
      <c r="L228" t="s">
        <v>46</v>
      </c>
      <c r="M228" t="s">
        <v>47</v>
      </c>
      <c r="N228" s="125" t="s">
        <v>1061</v>
      </c>
      <c r="O228" t="s">
        <v>51</v>
      </c>
      <c r="P228" t="s">
        <v>52</v>
      </c>
      <c r="Q228" s="133">
        <v>49240</v>
      </c>
      <c r="R228" s="135">
        <v>1</v>
      </c>
      <c r="S228" s="139">
        <v>5900</v>
      </c>
      <c r="T228" s="133">
        <v>28.280999999999999</v>
      </c>
      <c r="U228" s="133">
        <v>2933.4409999999998</v>
      </c>
      <c r="V228" s="137">
        <v>6.6600000000000003E-4</v>
      </c>
      <c r="W228" s="137">
        <v>6.8171848031668902E-3</v>
      </c>
      <c r="X228" s="137">
        <v>1.4969216553193099E-3</v>
      </c>
    </row>
    <row r="229" spans="1:24">
      <c r="A229">
        <v>161</v>
      </c>
      <c r="B229">
        <v>9943</v>
      </c>
      <c r="C229" t="s">
        <v>3037</v>
      </c>
      <c r="D229" t="s">
        <v>3038</v>
      </c>
      <c r="E229" t="s">
        <v>41</v>
      </c>
      <c r="F229" t="s">
        <v>3039</v>
      </c>
      <c r="G229" t="s">
        <v>3040</v>
      </c>
      <c r="H229" t="s">
        <v>44</v>
      </c>
      <c r="I229" t="s">
        <v>1476</v>
      </c>
      <c r="J229" t="s">
        <v>45</v>
      </c>
      <c r="K229" t="s">
        <v>45</v>
      </c>
      <c r="L229" t="s">
        <v>46</v>
      </c>
      <c r="M229" t="s">
        <v>47</v>
      </c>
      <c r="N229" s="125" t="s">
        <v>1061</v>
      </c>
      <c r="O229" t="s">
        <v>51</v>
      </c>
      <c r="P229" t="s">
        <v>52</v>
      </c>
      <c r="Q229" s="133">
        <v>16000</v>
      </c>
      <c r="R229" s="135">
        <v>1</v>
      </c>
      <c r="S229" s="139">
        <v>19400</v>
      </c>
      <c r="T229" s="133">
        <v>32</v>
      </c>
      <c r="U229" s="133">
        <v>3136</v>
      </c>
      <c r="V229" s="137">
        <v>6.9700000000000003E-4</v>
      </c>
      <c r="W229" s="137">
        <v>7.2879219789036597E-3</v>
      </c>
      <c r="X229" s="137">
        <v>1.6002864155054901E-3</v>
      </c>
    </row>
    <row r="230" spans="1:24">
      <c r="A230">
        <v>161</v>
      </c>
      <c r="B230">
        <v>9943</v>
      </c>
      <c r="C230" t="s">
        <v>2838</v>
      </c>
      <c r="D230" t="s">
        <v>2839</v>
      </c>
      <c r="E230" t="s">
        <v>41</v>
      </c>
      <c r="F230" t="s">
        <v>2840</v>
      </c>
      <c r="G230" t="s">
        <v>2841</v>
      </c>
      <c r="H230" t="s">
        <v>44</v>
      </c>
      <c r="I230" t="s">
        <v>1476</v>
      </c>
      <c r="J230" t="s">
        <v>45</v>
      </c>
      <c r="K230" t="s">
        <v>69</v>
      </c>
      <c r="L230" t="s">
        <v>46</v>
      </c>
      <c r="M230" t="s">
        <v>47</v>
      </c>
      <c r="N230" t="s">
        <v>1052</v>
      </c>
      <c r="O230" t="s">
        <v>51</v>
      </c>
      <c r="P230" t="s">
        <v>52</v>
      </c>
      <c r="Q230" s="133">
        <v>89732</v>
      </c>
      <c r="R230" s="135">
        <v>1</v>
      </c>
      <c r="S230" s="139">
        <v>9239</v>
      </c>
      <c r="U230" s="133">
        <v>8290.3389999999999</v>
      </c>
      <c r="V230" s="137">
        <v>7.1000000000000005E-5</v>
      </c>
      <c r="W230" s="137">
        <v>1.9266373504102301E-2</v>
      </c>
      <c r="X230" s="137">
        <v>4.2305222097489999E-3</v>
      </c>
    </row>
    <row r="231" spans="1:24">
      <c r="A231">
        <v>161</v>
      </c>
      <c r="B231">
        <v>9943</v>
      </c>
      <c r="C231" t="s">
        <v>2077</v>
      </c>
      <c r="D231" t="s">
        <v>2078</v>
      </c>
      <c r="E231" t="s">
        <v>41</v>
      </c>
      <c r="F231" t="s">
        <v>3041</v>
      </c>
      <c r="G231" t="s">
        <v>3042</v>
      </c>
      <c r="H231" t="s">
        <v>44</v>
      </c>
      <c r="I231" t="s">
        <v>1476</v>
      </c>
      <c r="J231" t="s">
        <v>45</v>
      </c>
      <c r="K231" t="s">
        <v>45</v>
      </c>
      <c r="L231" t="s">
        <v>46</v>
      </c>
      <c r="M231" t="s">
        <v>47</v>
      </c>
      <c r="N231" t="s">
        <v>58</v>
      </c>
      <c r="O231" t="s">
        <v>51</v>
      </c>
      <c r="P231" t="s">
        <v>52</v>
      </c>
      <c r="Q231" s="133">
        <v>2314</v>
      </c>
      <c r="R231" s="135">
        <v>1</v>
      </c>
      <c r="S231" s="139">
        <v>80500</v>
      </c>
      <c r="U231" s="133">
        <v>1862.77</v>
      </c>
      <c r="V231" s="137">
        <v>4.28E-4</v>
      </c>
      <c r="W231" s="137">
        <v>4.3289931201027903E-3</v>
      </c>
      <c r="X231" s="137">
        <v>9.5056298667447895E-4</v>
      </c>
    </row>
    <row r="232" spans="1:24">
      <c r="A232">
        <v>161</v>
      </c>
      <c r="B232">
        <v>9943</v>
      </c>
      <c r="C232" t="s">
        <v>2348</v>
      </c>
      <c r="D232" t="s">
        <v>2349</v>
      </c>
      <c r="E232" t="s">
        <v>41</v>
      </c>
      <c r="F232" t="s">
        <v>2948</v>
      </c>
      <c r="G232" t="s">
        <v>2949</v>
      </c>
      <c r="H232" t="s">
        <v>44</v>
      </c>
      <c r="I232" t="s">
        <v>1476</v>
      </c>
      <c r="J232" t="s">
        <v>45</v>
      </c>
      <c r="K232" t="s">
        <v>45</v>
      </c>
      <c r="L232" t="s">
        <v>46</v>
      </c>
      <c r="M232" t="s">
        <v>47</v>
      </c>
      <c r="N232" t="s">
        <v>1037</v>
      </c>
      <c r="O232" t="s">
        <v>51</v>
      </c>
      <c r="P232" t="s">
        <v>52</v>
      </c>
      <c r="Q232" s="133">
        <v>27385</v>
      </c>
      <c r="R232" s="135">
        <v>1</v>
      </c>
      <c r="S232" s="139">
        <v>22200</v>
      </c>
      <c r="U232" s="133">
        <v>6079.47</v>
      </c>
      <c r="V232" s="137">
        <v>3.39E-4</v>
      </c>
      <c r="W232" s="137">
        <v>1.41284129569788E-2</v>
      </c>
      <c r="X232" s="137">
        <v>3.1023256551253801E-3</v>
      </c>
    </row>
    <row r="233" spans="1:24">
      <c r="A233">
        <v>161</v>
      </c>
      <c r="B233">
        <v>9943</v>
      </c>
      <c r="C233" t="s">
        <v>216</v>
      </c>
      <c r="D233" t="s">
        <v>217</v>
      </c>
      <c r="E233" t="s">
        <v>41</v>
      </c>
      <c r="F233" t="s">
        <v>2844</v>
      </c>
      <c r="G233" t="s">
        <v>2845</v>
      </c>
      <c r="H233" t="s">
        <v>44</v>
      </c>
      <c r="I233" t="s">
        <v>1476</v>
      </c>
      <c r="J233" t="s">
        <v>45</v>
      </c>
      <c r="K233" t="s">
        <v>45</v>
      </c>
      <c r="L233" t="s">
        <v>46</v>
      </c>
      <c r="M233" t="s">
        <v>47</v>
      </c>
      <c r="N233" t="s">
        <v>221</v>
      </c>
      <c r="O233" t="s">
        <v>51</v>
      </c>
      <c r="P233" t="s">
        <v>52</v>
      </c>
      <c r="Q233" s="133">
        <v>213333</v>
      </c>
      <c r="R233" s="135">
        <v>1</v>
      </c>
      <c r="S233" s="139">
        <v>6979</v>
      </c>
      <c r="U233" s="133">
        <v>14888.51</v>
      </c>
      <c r="V233" s="137">
        <v>1.3200000000000001E-4</v>
      </c>
      <c r="W233" s="137">
        <v>3.4600223141671403E-2</v>
      </c>
      <c r="X233" s="137">
        <v>7.5975383967275901E-3</v>
      </c>
    </row>
    <row r="234" spans="1:24">
      <c r="A234">
        <v>161</v>
      </c>
      <c r="B234">
        <v>9943</v>
      </c>
      <c r="C234" t="s">
        <v>3043</v>
      </c>
      <c r="D234" t="s">
        <v>3044</v>
      </c>
      <c r="E234" t="s">
        <v>41</v>
      </c>
      <c r="F234" t="s">
        <v>3045</v>
      </c>
      <c r="G234" t="s">
        <v>3046</v>
      </c>
      <c r="H234" t="s">
        <v>44</v>
      </c>
      <c r="I234" t="s">
        <v>1476</v>
      </c>
      <c r="J234" t="s">
        <v>45</v>
      </c>
      <c r="K234" t="s">
        <v>45</v>
      </c>
      <c r="L234" t="s">
        <v>46</v>
      </c>
      <c r="M234" t="s">
        <v>47</v>
      </c>
      <c r="N234" t="s">
        <v>1060</v>
      </c>
      <c r="O234" t="s">
        <v>51</v>
      </c>
      <c r="P234" t="s">
        <v>52</v>
      </c>
      <c r="Q234" s="133">
        <v>9100</v>
      </c>
      <c r="R234" s="135">
        <v>1</v>
      </c>
      <c r="S234" s="139">
        <v>36200</v>
      </c>
      <c r="U234" s="133">
        <v>3294.2</v>
      </c>
      <c r="V234" s="137">
        <v>6.2799999999999998E-4</v>
      </c>
      <c r="W234" s="137">
        <v>7.6555716144465604E-3</v>
      </c>
      <c r="X234" s="137">
        <v>1.68101514985912E-3</v>
      </c>
    </row>
    <row r="235" spans="1:24">
      <c r="A235">
        <v>161</v>
      </c>
      <c r="B235">
        <v>9943</v>
      </c>
      <c r="C235" t="s">
        <v>3047</v>
      </c>
      <c r="D235" t="s">
        <v>3048</v>
      </c>
      <c r="E235" t="s">
        <v>41</v>
      </c>
      <c r="F235" t="s">
        <v>3049</v>
      </c>
      <c r="G235" t="s">
        <v>3050</v>
      </c>
      <c r="H235" t="s">
        <v>44</v>
      </c>
      <c r="I235" t="s">
        <v>1476</v>
      </c>
      <c r="J235" t="s">
        <v>45</v>
      </c>
      <c r="K235" t="s">
        <v>45</v>
      </c>
      <c r="L235" t="s">
        <v>46</v>
      </c>
      <c r="M235" t="s">
        <v>47</v>
      </c>
      <c r="N235" t="s">
        <v>1037</v>
      </c>
      <c r="O235" t="s">
        <v>51</v>
      </c>
      <c r="P235" t="s">
        <v>52</v>
      </c>
      <c r="Q235" s="133">
        <v>250000</v>
      </c>
      <c r="R235" s="135">
        <v>1</v>
      </c>
      <c r="S235" s="139">
        <v>1650</v>
      </c>
      <c r="U235" s="133">
        <v>4125</v>
      </c>
      <c r="V235" s="137">
        <v>2.3599999999999999E-4</v>
      </c>
      <c r="W235" s="137">
        <v>9.5863131897250004E-3</v>
      </c>
      <c r="X235" s="137">
        <v>2.10496857906893E-3</v>
      </c>
    </row>
    <row r="236" spans="1:24">
      <c r="A236">
        <v>161</v>
      </c>
      <c r="B236">
        <v>9943</v>
      </c>
      <c r="C236" t="s">
        <v>1786</v>
      </c>
      <c r="D236" t="s">
        <v>3051</v>
      </c>
      <c r="E236" t="s">
        <v>41</v>
      </c>
      <c r="F236" t="s">
        <v>3052</v>
      </c>
      <c r="G236" t="s">
        <v>3053</v>
      </c>
      <c r="H236" t="s">
        <v>44</v>
      </c>
      <c r="I236" t="s">
        <v>1476</v>
      </c>
      <c r="J236" t="s">
        <v>45</v>
      </c>
      <c r="K236" t="s">
        <v>45</v>
      </c>
      <c r="L236" t="s">
        <v>46</v>
      </c>
      <c r="M236" t="s">
        <v>47</v>
      </c>
      <c r="N236" s="125" t="s">
        <v>1063</v>
      </c>
      <c r="O236" t="s">
        <v>51</v>
      </c>
      <c r="P236" t="s">
        <v>52</v>
      </c>
      <c r="Q236" s="133">
        <v>230000</v>
      </c>
      <c r="R236" s="135">
        <v>1</v>
      </c>
      <c r="S236" s="139">
        <v>1326</v>
      </c>
      <c r="U236" s="133">
        <v>3049.8</v>
      </c>
      <c r="V236" s="137">
        <v>1.7780000000000001E-3</v>
      </c>
      <c r="W236" s="137">
        <v>7.0875970826723101E-3</v>
      </c>
      <c r="X236" s="137">
        <v>1.5562989508956201E-3</v>
      </c>
    </row>
    <row r="237" spans="1:24">
      <c r="A237">
        <v>161</v>
      </c>
      <c r="B237">
        <v>9943</v>
      </c>
      <c r="C237" t="s">
        <v>2301</v>
      </c>
      <c r="D237" t="s">
        <v>2302</v>
      </c>
      <c r="E237" t="s">
        <v>41</v>
      </c>
      <c r="F237" t="s">
        <v>2934</v>
      </c>
      <c r="G237" t="s">
        <v>2935</v>
      </c>
      <c r="H237" t="s">
        <v>44</v>
      </c>
      <c r="I237" t="s">
        <v>1476</v>
      </c>
      <c r="J237" t="s">
        <v>45</v>
      </c>
      <c r="K237" t="s">
        <v>45</v>
      </c>
      <c r="L237" t="s">
        <v>46</v>
      </c>
      <c r="M237" t="s">
        <v>47</v>
      </c>
      <c r="N237" t="s">
        <v>221</v>
      </c>
      <c r="O237" t="s">
        <v>51</v>
      </c>
      <c r="P237" t="s">
        <v>52</v>
      </c>
      <c r="Q237" s="133">
        <v>3285</v>
      </c>
      <c r="R237" s="135">
        <v>1</v>
      </c>
      <c r="S237" s="139">
        <v>22780</v>
      </c>
      <c r="U237" s="133">
        <v>748.32299999999998</v>
      </c>
      <c r="V237" s="137">
        <v>1.2999999999999999E-5</v>
      </c>
      <c r="W237" s="137">
        <v>1.7390687624423201E-3</v>
      </c>
      <c r="X237" s="137">
        <v>3.8186579442293299E-4</v>
      </c>
    </row>
    <row r="238" spans="1:24">
      <c r="A238">
        <v>161</v>
      </c>
      <c r="B238">
        <v>9943</v>
      </c>
      <c r="C238" t="s">
        <v>2191</v>
      </c>
      <c r="D238" t="s">
        <v>2192</v>
      </c>
      <c r="E238" t="s">
        <v>41</v>
      </c>
      <c r="F238" t="s">
        <v>2852</v>
      </c>
      <c r="G238" t="s">
        <v>2853</v>
      </c>
      <c r="H238" t="s">
        <v>44</v>
      </c>
      <c r="I238" t="s">
        <v>1476</v>
      </c>
      <c r="J238" t="s">
        <v>45</v>
      </c>
      <c r="K238" t="s">
        <v>45</v>
      </c>
      <c r="L238" t="s">
        <v>46</v>
      </c>
      <c r="M238" t="s">
        <v>47</v>
      </c>
      <c r="N238" t="s">
        <v>58</v>
      </c>
      <c r="O238" t="s">
        <v>51</v>
      </c>
      <c r="P238" t="s">
        <v>52</v>
      </c>
      <c r="Q238" s="133">
        <v>7400</v>
      </c>
      <c r="R238" s="135">
        <v>1</v>
      </c>
      <c r="S238" s="139">
        <v>40600</v>
      </c>
      <c r="T238" s="133">
        <v>13.965</v>
      </c>
      <c r="U238" s="133">
        <v>3018.3649999999998</v>
      </c>
      <c r="V238" s="137">
        <v>1.55E-4</v>
      </c>
      <c r="W238" s="137">
        <v>7.0145425437397498E-3</v>
      </c>
      <c r="X238" s="137">
        <v>1.5402575900546E-3</v>
      </c>
    </row>
    <row r="239" spans="1:24">
      <c r="A239">
        <v>161</v>
      </c>
      <c r="B239">
        <v>9943</v>
      </c>
      <c r="C239" t="s">
        <v>2693</v>
      </c>
      <c r="D239" t="s">
        <v>2694</v>
      </c>
      <c r="E239" t="s">
        <v>146</v>
      </c>
      <c r="F239" t="s">
        <v>2856</v>
      </c>
      <c r="G239" t="s">
        <v>2857</v>
      </c>
      <c r="H239" t="s">
        <v>44</v>
      </c>
      <c r="I239" t="s">
        <v>1476</v>
      </c>
      <c r="J239" t="s">
        <v>45</v>
      </c>
      <c r="K239" t="s">
        <v>69</v>
      </c>
      <c r="L239" t="s">
        <v>46</v>
      </c>
      <c r="M239" t="s">
        <v>47</v>
      </c>
      <c r="N239" t="s">
        <v>210</v>
      </c>
      <c r="O239" t="s">
        <v>51</v>
      </c>
      <c r="P239" t="s">
        <v>52</v>
      </c>
      <c r="Q239" s="133">
        <v>61442</v>
      </c>
      <c r="R239" s="135">
        <v>1</v>
      </c>
      <c r="S239" s="139">
        <v>12900</v>
      </c>
      <c r="U239" s="133">
        <v>7926.018</v>
      </c>
      <c r="V239" s="137">
        <v>5.1800000000000001E-4</v>
      </c>
      <c r="W239" s="137">
        <v>1.84197068837328E-2</v>
      </c>
      <c r="X239" s="137">
        <v>4.0446106296084198E-3</v>
      </c>
    </row>
    <row r="240" spans="1:24">
      <c r="A240">
        <v>161</v>
      </c>
      <c r="B240">
        <v>9943</v>
      </c>
      <c r="C240" t="s">
        <v>2858</v>
      </c>
      <c r="D240" t="s">
        <v>2859</v>
      </c>
      <c r="E240" t="s">
        <v>146</v>
      </c>
      <c r="F240" t="s">
        <v>2860</v>
      </c>
      <c r="G240" t="s">
        <v>2861</v>
      </c>
      <c r="H240" t="s">
        <v>44</v>
      </c>
      <c r="I240" t="s">
        <v>1476</v>
      </c>
      <c r="J240" t="s">
        <v>45</v>
      </c>
      <c r="K240" t="s">
        <v>45</v>
      </c>
      <c r="L240" t="s">
        <v>46</v>
      </c>
      <c r="M240" t="s">
        <v>47</v>
      </c>
      <c r="N240" t="s">
        <v>210</v>
      </c>
      <c r="O240" t="s">
        <v>51</v>
      </c>
      <c r="P240" t="s">
        <v>52</v>
      </c>
      <c r="Q240" s="133">
        <v>413104</v>
      </c>
      <c r="R240" s="135">
        <v>1</v>
      </c>
      <c r="S240" s="139">
        <v>1799</v>
      </c>
      <c r="U240" s="133">
        <v>7431.741</v>
      </c>
      <c r="V240" s="137">
        <v>3.5199999999999999E-4</v>
      </c>
      <c r="W240" s="137">
        <v>1.72710294272648E-2</v>
      </c>
      <c r="X240" s="137">
        <v>3.7923833232920102E-3</v>
      </c>
    </row>
    <row r="241" spans="1:24">
      <c r="A241">
        <v>161</v>
      </c>
      <c r="B241">
        <v>9943</v>
      </c>
      <c r="C241" t="s">
        <v>2862</v>
      </c>
      <c r="D241" t="s">
        <v>2863</v>
      </c>
      <c r="E241" t="s">
        <v>41</v>
      </c>
      <c r="F241" t="s">
        <v>2862</v>
      </c>
      <c r="G241" t="s">
        <v>2864</v>
      </c>
      <c r="H241" t="s">
        <v>44</v>
      </c>
      <c r="I241" t="s">
        <v>1476</v>
      </c>
      <c r="J241" t="s">
        <v>45</v>
      </c>
      <c r="K241" t="s">
        <v>45</v>
      </c>
      <c r="L241" t="s">
        <v>46</v>
      </c>
      <c r="M241" t="s">
        <v>47</v>
      </c>
      <c r="N241" t="s">
        <v>1033</v>
      </c>
      <c r="O241" t="s">
        <v>51</v>
      </c>
      <c r="P241" t="s">
        <v>52</v>
      </c>
      <c r="Q241" s="133">
        <v>34926</v>
      </c>
      <c r="R241" s="135">
        <v>1</v>
      </c>
      <c r="S241" s="139">
        <v>30500</v>
      </c>
      <c r="U241" s="133">
        <v>10652.43</v>
      </c>
      <c r="V241" s="137">
        <v>3.79E-4</v>
      </c>
      <c r="W241" s="137">
        <v>2.4755764899787199E-2</v>
      </c>
      <c r="X241" s="137">
        <v>5.4358861674499897E-3</v>
      </c>
    </row>
    <row r="242" spans="1:24">
      <c r="A242">
        <v>161</v>
      </c>
      <c r="B242">
        <v>9943</v>
      </c>
      <c r="C242" t="s">
        <v>2236</v>
      </c>
      <c r="D242" t="s">
        <v>2237</v>
      </c>
      <c r="E242" t="s">
        <v>41</v>
      </c>
      <c r="F242" t="s">
        <v>2867</v>
      </c>
      <c r="G242" t="s">
        <v>2868</v>
      </c>
      <c r="H242" t="s">
        <v>44</v>
      </c>
      <c r="I242" t="s">
        <v>1476</v>
      </c>
      <c r="J242" t="s">
        <v>45</v>
      </c>
      <c r="K242" t="s">
        <v>45</v>
      </c>
      <c r="L242" t="s">
        <v>46</v>
      </c>
      <c r="M242" t="s">
        <v>47</v>
      </c>
      <c r="N242" t="s">
        <v>221</v>
      </c>
      <c r="O242" t="s">
        <v>51</v>
      </c>
      <c r="P242" t="s">
        <v>52</v>
      </c>
      <c r="Q242" s="133">
        <v>198116</v>
      </c>
      <c r="R242" s="135">
        <v>1</v>
      </c>
      <c r="S242" s="139">
        <v>7332</v>
      </c>
      <c r="U242" s="133">
        <v>14525.865</v>
      </c>
      <c r="V242" s="137">
        <v>1.4799999999999999E-4</v>
      </c>
      <c r="W242" s="137">
        <v>3.3757452701096299E-2</v>
      </c>
      <c r="X242" s="137">
        <v>7.41248234215595E-3</v>
      </c>
    </row>
    <row r="243" spans="1:24">
      <c r="A243">
        <v>161</v>
      </c>
      <c r="B243">
        <v>9943</v>
      </c>
      <c r="C243" t="s">
        <v>2265</v>
      </c>
      <c r="D243" t="s">
        <v>2266</v>
      </c>
      <c r="E243" t="s">
        <v>41</v>
      </c>
      <c r="F243" t="s">
        <v>3054</v>
      </c>
      <c r="G243" t="s">
        <v>3055</v>
      </c>
      <c r="H243" t="s">
        <v>44</v>
      </c>
      <c r="I243" t="s">
        <v>1476</v>
      </c>
      <c r="J243" t="s">
        <v>45</v>
      </c>
      <c r="K243" t="s">
        <v>45</v>
      </c>
      <c r="L243" t="s">
        <v>46</v>
      </c>
      <c r="M243" t="s">
        <v>47</v>
      </c>
      <c r="N243" s="125" t="s">
        <v>1061</v>
      </c>
      <c r="O243" t="s">
        <v>51</v>
      </c>
      <c r="P243" t="s">
        <v>52</v>
      </c>
      <c r="Q243" s="133">
        <v>7500</v>
      </c>
      <c r="R243" s="135">
        <v>1</v>
      </c>
      <c r="S243" s="139">
        <v>37870</v>
      </c>
      <c r="U243" s="133">
        <v>2840.25</v>
      </c>
      <c r="V243" s="137">
        <v>4.7199999999999998E-4</v>
      </c>
      <c r="W243" s="137">
        <v>6.6006123726342798E-3</v>
      </c>
      <c r="X243" s="137">
        <v>1.4493665470789101E-3</v>
      </c>
    </row>
    <row r="244" spans="1:24">
      <c r="A244">
        <v>161</v>
      </c>
      <c r="B244">
        <v>9943</v>
      </c>
      <c r="C244" t="s">
        <v>3056</v>
      </c>
      <c r="D244" t="s">
        <v>3057</v>
      </c>
      <c r="E244" t="s">
        <v>41</v>
      </c>
      <c r="F244" t="s">
        <v>3058</v>
      </c>
      <c r="G244" t="s">
        <v>3059</v>
      </c>
      <c r="H244" t="s">
        <v>44</v>
      </c>
      <c r="I244" t="s">
        <v>1476</v>
      </c>
      <c r="J244" t="s">
        <v>45</v>
      </c>
      <c r="K244" t="s">
        <v>45</v>
      </c>
      <c r="L244" t="s">
        <v>46</v>
      </c>
      <c r="M244" t="s">
        <v>47</v>
      </c>
      <c r="N244" t="s">
        <v>1043</v>
      </c>
      <c r="O244" t="s">
        <v>51</v>
      </c>
      <c r="P244" t="s">
        <v>52</v>
      </c>
      <c r="Q244" s="133">
        <v>20988</v>
      </c>
      <c r="R244" s="135">
        <v>1</v>
      </c>
      <c r="S244" s="139">
        <v>15590</v>
      </c>
      <c r="U244" s="133">
        <v>3272.029</v>
      </c>
      <c r="V244" s="137">
        <v>2.1979999999999999E-3</v>
      </c>
      <c r="W244" s="137">
        <v>7.6040476793031104E-3</v>
      </c>
      <c r="X244" s="137">
        <v>1.6697014923141901E-3</v>
      </c>
    </row>
    <row r="245" spans="1:24">
      <c r="A245">
        <v>161</v>
      </c>
      <c r="B245">
        <v>9943</v>
      </c>
      <c r="C245" t="s">
        <v>3060</v>
      </c>
      <c r="D245" t="s">
        <v>3061</v>
      </c>
      <c r="E245" t="s">
        <v>41</v>
      </c>
      <c r="F245" t="s">
        <v>3062</v>
      </c>
      <c r="G245" t="s">
        <v>3063</v>
      </c>
      <c r="H245" t="s">
        <v>44</v>
      </c>
      <c r="I245" t="s">
        <v>1476</v>
      </c>
      <c r="J245" t="s">
        <v>45</v>
      </c>
      <c r="K245" t="s">
        <v>264</v>
      </c>
      <c r="L245" t="s">
        <v>46</v>
      </c>
      <c r="M245" t="s">
        <v>47</v>
      </c>
      <c r="N245" t="s">
        <v>1045</v>
      </c>
      <c r="O245" t="s">
        <v>51</v>
      </c>
      <c r="P245" t="s">
        <v>52</v>
      </c>
      <c r="Q245" s="133">
        <v>2000</v>
      </c>
      <c r="R245" s="135">
        <v>1</v>
      </c>
      <c r="S245" s="139">
        <v>25650</v>
      </c>
      <c r="U245" s="133">
        <v>513</v>
      </c>
      <c r="V245" s="137">
        <v>1.5200000000000001E-4</v>
      </c>
      <c r="W245" s="137">
        <v>1.1921887675948901E-3</v>
      </c>
      <c r="X245" s="137">
        <v>2.6178154692420801E-4</v>
      </c>
    </row>
    <row r="246" spans="1:24">
      <c r="A246">
        <v>161</v>
      </c>
      <c r="B246">
        <v>9943</v>
      </c>
      <c r="C246" t="s">
        <v>2758</v>
      </c>
      <c r="D246" t="s">
        <v>2759</v>
      </c>
      <c r="E246" t="s">
        <v>41</v>
      </c>
      <c r="F246" t="s">
        <v>3064</v>
      </c>
      <c r="G246" t="s">
        <v>3065</v>
      </c>
      <c r="H246" t="s">
        <v>44</v>
      </c>
      <c r="I246" t="s">
        <v>1476</v>
      </c>
      <c r="J246" t="s">
        <v>45</v>
      </c>
      <c r="K246" t="s">
        <v>45</v>
      </c>
      <c r="L246" t="s">
        <v>46</v>
      </c>
      <c r="M246" t="s">
        <v>47</v>
      </c>
      <c r="N246" t="s">
        <v>1038</v>
      </c>
      <c r="O246" t="s">
        <v>51</v>
      </c>
      <c r="P246" t="s">
        <v>52</v>
      </c>
      <c r="Q246" s="133">
        <v>12129</v>
      </c>
      <c r="R246" s="135">
        <v>1</v>
      </c>
      <c r="S246" s="139">
        <v>4151</v>
      </c>
      <c r="U246" s="133">
        <v>503.47500000000002</v>
      </c>
      <c r="V246" s="137">
        <v>5.9500000000000004E-4</v>
      </c>
      <c r="W246" s="137">
        <v>1.17005261092631E-3</v>
      </c>
      <c r="X246" s="137">
        <v>2.5692087595232202E-4</v>
      </c>
    </row>
    <row r="247" spans="1:24">
      <c r="A247">
        <v>161</v>
      </c>
      <c r="B247">
        <v>9943</v>
      </c>
      <c r="C247" t="s">
        <v>3066</v>
      </c>
      <c r="D247" t="s">
        <v>3067</v>
      </c>
      <c r="E247" t="s">
        <v>41</v>
      </c>
      <c r="F247" t="s">
        <v>3068</v>
      </c>
      <c r="G247" t="s">
        <v>3069</v>
      </c>
      <c r="H247" t="s">
        <v>44</v>
      </c>
      <c r="I247" t="s">
        <v>1476</v>
      </c>
      <c r="J247" t="s">
        <v>45</v>
      </c>
      <c r="K247" t="s">
        <v>69</v>
      </c>
      <c r="L247" t="s">
        <v>46</v>
      </c>
      <c r="M247" t="s">
        <v>47</v>
      </c>
      <c r="N247" t="s">
        <v>1045</v>
      </c>
      <c r="O247" t="s">
        <v>51</v>
      </c>
      <c r="P247" t="s">
        <v>52</v>
      </c>
      <c r="Q247" s="133">
        <v>11247</v>
      </c>
      <c r="R247" s="135">
        <v>1</v>
      </c>
      <c r="S247" s="139">
        <v>52120</v>
      </c>
      <c r="U247" s="133">
        <v>5861.9359999999997</v>
      </c>
      <c r="V247" s="137">
        <v>2.271E-3</v>
      </c>
      <c r="W247" s="137">
        <v>1.36228747220967E-2</v>
      </c>
      <c r="X247" s="137">
        <v>2.9913192568485898E-3</v>
      </c>
    </row>
    <row r="248" spans="1:24">
      <c r="A248">
        <v>161</v>
      </c>
      <c r="B248">
        <v>9943</v>
      </c>
      <c r="C248" t="s">
        <v>2893</v>
      </c>
      <c r="D248" t="s">
        <v>2894</v>
      </c>
      <c r="E248" t="s">
        <v>41</v>
      </c>
      <c r="F248" t="s">
        <v>2951</v>
      </c>
      <c r="G248" t="s">
        <v>2896</v>
      </c>
      <c r="H248" t="s">
        <v>44</v>
      </c>
      <c r="I248" t="s">
        <v>1476</v>
      </c>
      <c r="J248" t="s">
        <v>45</v>
      </c>
      <c r="K248" t="s">
        <v>264</v>
      </c>
      <c r="L248" t="s">
        <v>46</v>
      </c>
      <c r="M248" t="s">
        <v>47</v>
      </c>
      <c r="N248" t="s">
        <v>1045</v>
      </c>
      <c r="O248" t="s">
        <v>51</v>
      </c>
      <c r="P248" t="s">
        <v>52</v>
      </c>
      <c r="Q248" s="133">
        <v>7000</v>
      </c>
      <c r="R248" s="135">
        <v>1</v>
      </c>
      <c r="S248" s="139">
        <v>46340</v>
      </c>
      <c r="U248" s="133">
        <v>3243.8</v>
      </c>
      <c r="V248" s="137">
        <v>1.46E-4</v>
      </c>
      <c r="W248" s="137">
        <v>7.5384442969284697E-3</v>
      </c>
      <c r="X248" s="137">
        <v>1.65529626103849E-3</v>
      </c>
    </row>
    <row r="249" spans="1:24">
      <c r="A249">
        <v>161</v>
      </c>
      <c r="B249">
        <v>9943</v>
      </c>
      <c r="C249" t="s">
        <v>2277</v>
      </c>
      <c r="D249" t="s">
        <v>2278</v>
      </c>
      <c r="E249" t="s">
        <v>41</v>
      </c>
      <c r="F249" t="s">
        <v>3070</v>
      </c>
      <c r="G249" t="s">
        <v>3071</v>
      </c>
      <c r="H249" t="s">
        <v>44</v>
      </c>
      <c r="I249" t="s">
        <v>1476</v>
      </c>
      <c r="J249" t="s">
        <v>45</v>
      </c>
      <c r="K249" t="s">
        <v>45</v>
      </c>
      <c r="L249" t="s">
        <v>46</v>
      </c>
      <c r="M249" t="s">
        <v>47</v>
      </c>
      <c r="N249" t="s">
        <v>270</v>
      </c>
      <c r="O249" t="s">
        <v>51</v>
      </c>
      <c r="P249" t="s">
        <v>52</v>
      </c>
      <c r="Q249" s="133">
        <v>67888</v>
      </c>
      <c r="R249" s="135">
        <v>1</v>
      </c>
      <c r="S249" s="139">
        <v>3020</v>
      </c>
      <c r="U249" s="133">
        <v>2050.2179999999998</v>
      </c>
      <c r="V249" s="137">
        <v>7.18E-4</v>
      </c>
      <c r="W249" s="137">
        <v>4.7646128534997202E-3</v>
      </c>
      <c r="X249" s="137">
        <v>1.04621663715251E-3</v>
      </c>
    </row>
    <row r="250" spans="1:24">
      <c r="A250">
        <v>161</v>
      </c>
      <c r="B250">
        <v>9943</v>
      </c>
      <c r="C250" t="s">
        <v>3072</v>
      </c>
      <c r="D250" t="s">
        <v>3073</v>
      </c>
      <c r="E250" t="s">
        <v>41</v>
      </c>
      <c r="F250" t="s">
        <v>3074</v>
      </c>
      <c r="G250" t="s">
        <v>3075</v>
      </c>
      <c r="H250" t="s">
        <v>44</v>
      </c>
      <c r="I250" t="s">
        <v>1476</v>
      </c>
      <c r="J250" t="s">
        <v>45</v>
      </c>
      <c r="K250" t="s">
        <v>45</v>
      </c>
      <c r="L250" t="s">
        <v>46</v>
      </c>
      <c r="M250" t="s">
        <v>47</v>
      </c>
      <c r="N250" t="s">
        <v>1038</v>
      </c>
      <c r="O250" t="s">
        <v>51</v>
      </c>
      <c r="P250" t="s">
        <v>52</v>
      </c>
      <c r="Q250" s="133">
        <v>44099</v>
      </c>
      <c r="R250" s="135">
        <v>1</v>
      </c>
      <c r="S250" s="139">
        <v>8000</v>
      </c>
      <c r="U250" s="133">
        <v>3527.92</v>
      </c>
      <c r="V250" s="137">
        <v>2.5040000000000001E-3</v>
      </c>
      <c r="W250" s="137">
        <v>8.1987263098896E-3</v>
      </c>
      <c r="X250" s="137">
        <v>1.8002813938106301E-3</v>
      </c>
    </row>
    <row r="251" spans="1:24">
      <c r="A251">
        <v>161</v>
      </c>
      <c r="B251">
        <v>9943</v>
      </c>
      <c r="C251" t="s">
        <v>3076</v>
      </c>
      <c r="D251" t="s">
        <v>3077</v>
      </c>
      <c r="E251" t="s">
        <v>41</v>
      </c>
      <c r="F251" t="s">
        <v>3078</v>
      </c>
      <c r="G251" t="s">
        <v>3079</v>
      </c>
      <c r="H251" t="s">
        <v>44</v>
      </c>
      <c r="I251" t="s">
        <v>1476</v>
      </c>
      <c r="J251" t="s">
        <v>45</v>
      </c>
      <c r="K251" t="s">
        <v>45</v>
      </c>
      <c r="L251" t="s">
        <v>46</v>
      </c>
      <c r="M251" t="s">
        <v>47</v>
      </c>
      <c r="N251" t="s">
        <v>150</v>
      </c>
      <c r="O251" t="s">
        <v>51</v>
      </c>
      <c r="P251" t="s">
        <v>52</v>
      </c>
      <c r="Q251" s="133">
        <v>35000</v>
      </c>
      <c r="R251" s="135">
        <v>1</v>
      </c>
      <c r="S251" s="139">
        <v>8167</v>
      </c>
      <c r="U251" s="133">
        <v>2858.45</v>
      </c>
      <c r="V251" s="137">
        <v>2.117E-3</v>
      </c>
      <c r="W251" s="137">
        <v>6.6429083484047004E-3</v>
      </c>
      <c r="X251" s="137">
        <v>1.4586539235974701E-3</v>
      </c>
    </row>
    <row r="252" spans="1:24">
      <c r="A252">
        <v>161</v>
      </c>
      <c r="B252">
        <v>9943</v>
      </c>
      <c r="C252" t="s">
        <v>2289</v>
      </c>
      <c r="D252" t="s">
        <v>2290</v>
      </c>
      <c r="E252" t="s">
        <v>41</v>
      </c>
      <c r="F252" t="s">
        <v>3080</v>
      </c>
      <c r="G252" t="s">
        <v>3081</v>
      </c>
      <c r="H252" t="s">
        <v>44</v>
      </c>
      <c r="I252" t="s">
        <v>1476</v>
      </c>
      <c r="J252" t="s">
        <v>45</v>
      </c>
      <c r="K252" t="s">
        <v>45</v>
      </c>
      <c r="L252" t="s">
        <v>46</v>
      </c>
      <c r="M252" t="s">
        <v>47</v>
      </c>
      <c r="N252" t="s">
        <v>1034</v>
      </c>
      <c r="O252" t="s">
        <v>51</v>
      </c>
      <c r="P252" t="s">
        <v>52</v>
      </c>
      <c r="Q252" s="133">
        <v>1318716</v>
      </c>
      <c r="R252" s="135">
        <v>1</v>
      </c>
      <c r="S252" s="139">
        <v>322.10000000000002</v>
      </c>
      <c r="U252" s="133">
        <v>4247.5839999999998</v>
      </c>
      <c r="V252" s="137">
        <v>1.346E-3</v>
      </c>
      <c r="W252" s="137">
        <v>9.8711934026751002E-3</v>
      </c>
      <c r="X252" s="137">
        <v>2.1675227524190301E-3</v>
      </c>
    </row>
    <row r="253" spans="1:24">
      <c r="A253">
        <v>161</v>
      </c>
      <c r="B253">
        <v>9943</v>
      </c>
      <c r="C253" t="s">
        <v>3082</v>
      </c>
      <c r="D253" t="s">
        <v>3083</v>
      </c>
      <c r="E253" t="s">
        <v>41</v>
      </c>
      <c r="F253" t="s">
        <v>3084</v>
      </c>
      <c r="G253" t="s">
        <v>3085</v>
      </c>
      <c r="H253" t="s">
        <v>44</v>
      </c>
      <c r="I253" t="s">
        <v>1476</v>
      </c>
      <c r="J253" t="s">
        <v>45</v>
      </c>
      <c r="K253" t="s">
        <v>45</v>
      </c>
      <c r="L253" t="s">
        <v>46</v>
      </c>
      <c r="M253" t="s">
        <v>47</v>
      </c>
      <c r="N253" t="s">
        <v>1060</v>
      </c>
      <c r="O253" t="s">
        <v>51</v>
      </c>
      <c r="P253" t="s">
        <v>52</v>
      </c>
      <c r="Q253" s="133">
        <v>121486</v>
      </c>
      <c r="R253" s="135">
        <v>1</v>
      </c>
      <c r="S253" s="139">
        <v>4593</v>
      </c>
      <c r="U253" s="133">
        <v>5579.8519999999999</v>
      </c>
      <c r="V253" s="137">
        <v>4.4099999999999999E-4</v>
      </c>
      <c r="W253" s="137">
        <v>1.2967323304869599E-2</v>
      </c>
      <c r="X253" s="137">
        <v>2.8473728712134598E-3</v>
      </c>
    </row>
    <row r="254" spans="1:24">
      <c r="A254">
        <v>161</v>
      </c>
      <c r="B254">
        <v>9943</v>
      </c>
      <c r="C254" t="s">
        <v>2956</v>
      </c>
      <c r="D254" t="s">
        <v>2957</v>
      </c>
      <c r="E254" t="s">
        <v>64</v>
      </c>
      <c r="F254" t="s">
        <v>2958</v>
      </c>
      <c r="G254" t="s">
        <v>2959</v>
      </c>
      <c r="H254" t="s">
        <v>44</v>
      </c>
      <c r="I254" t="s">
        <v>1476</v>
      </c>
      <c r="J254" t="s">
        <v>68</v>
      </c>
      <c r="K254" t="s">
        <v>909</v>
      </c>
      <c r="L254" t="s">
        <v>46</v>
      </c>
      <c r="M254" t="s">
        <v>949</v>
      </c>
      <c r="N254" t="s">
        <v>1129</v>
      </c>
      <c r="O254" t="s">
        <v>51</v>
      </c>
      <c r="P254" t="s">
        <v>72</v>
      </c>
      <c r="Q254" s="133">
        <v>3990</v>
      </c>
      <c r="R254" s="135">
        <v>3.165</v>
      </c>
      <c r="S254" s="139">
        <v>20343</v>
      </c>
      <c r="U254" s="133">
        <v>2568.9850000000001</v>
      </c>
      <c r="V254" s="137">
        <v>1.9999999999999999E-6</v>
      </c>
      <c r="W254" s="137">
        <v>5.9702053564155101E-3</v>
      </c>
      <c r="X254" s="137">
        <v>1.31094138456832E-3</v>
      </c>
    </row>
    <row r="255" spans="1:24">
      <c r="A255">
        <v>161</v>
      </c>
      <c r="B255">
        <v>9943</v>
      </c>
      <c r="C255" t="s">
        <v>2881</v>
      </c>
      <c r="D255" t="s">
        <v>2882</v>
      </c>
      <c r="E255" t="s">
        <v>64</v>
      </c>
      <c r="F255" t="s">
        <v>2883</v>
      </c>
      <c r="G255" t="s">
        <v>2884</v>
      </c>
      <c r="H255" t="s">
        <v>44</v>
      </c>
      <c r="I255" t="s">
        <v>1476</v>
      </c>
      <c r="J255" t="s">
        <v>68</v>
      </c>
      <c r="K255" t="s">
        <v>69</v>
      </c>
      <c r="L255" t="s">
        <v>46</v>
      </c>
      <c r="M255" t="s">
        <v>949</v>
      </c>
      <c r="N255" t="s">
        <v>1130</v>
      </c>
      <c r="O255" t="s">
        <v>51</v>
      </c>
      <c r="P255" t="s">
        <v>72</v>
      </c>
      <c r="Q255" s="133">
        <v>6563</v>
      </c>
      <c r="R255" s="135">
        <v>3.165</v>
      </c>
      <c r="S255" s="139">
        <v>28686</v>
      </c>
      <c r="U255" s="133">
        <v>5958.6260000000002</v>
      </c>
      <c r="V255" s="137">
        <v>9.9999999999999995E-7</v>
      </c>
      <c r="W255" s="137">
        <v>1.38475765081939E-2</v>
      </c>
      <c r="X255" s="137">
        <v>3.0406594140116299E-3</v>
      </c>
    </row>
    <row r="256" spans="1:24">
      <c r="A256">
        <v>161</v>
      </c>
      <c r="B256">
        <v>9943</v>
      </c>
      <c r="C256" t="s">
        <v>2885</v>
      </c>
      <c r="D256" t="s">
        <v>2886</v>
      </c>
      <c r="E256" t="s">
        <v>64</v>
      </c>
      <c r="F256" t="s">
        <v>2887</v>
      </c>
      <c r="G256" t="s">
        <v>2888</v>
      </c>
      <c r="H256" t="s">
        <v>44</v>
      </c>
      <c r="I256" t="s">
        <v>1476</v>
      </c>
      <c r="J256" t="s">
        <v>68</v>
      </c>
      <c r="K256" t="s">
        <v>69</v>
      </c>
      <c r="L256" t="s">
        <v>46</v>
      </c>
      <c r="M256" t="s">
        <v>949</v>
      </c>
      <c r="N256" t="s">
        <v>1102</v>
      </c>
      <c r="O256" t="s">
        <v>51</v>
      </c>
      <c r="P256" t="s">
        <v>72</v>
      </c>
      <c r="Q256" s="133">
        <v>3800</v>
      </c>
      <c r="R256" s="135">
        <v>3.165</v>
      </c>
      <c r="S256" s="139">
        <v>20827</v>
      </c>
      <c r="U256" s="133">
        <v>2504.8629999999998</v>
      </c>
      <c r="V256" s="137">
        <v>0</v>
      </c>
      <c r="W256" s="137">
        <v>5.8211888473660503E-3</v>
      </c>
      <c r="X256" s="137">
        <v>1.2782202473486601E-3</v>
      </c>
    </row>
    <row r="257" spans="1:24">
      <c r="A257">
        <v>161</v>
      </c>
      <c r="B257">
        <v>9943</v>
      </c>
      <c r="C257" t="s">
        <v>2889</v>
      </c>
      <c r="D257" t="s">
        <v>2890</v>
      </c>
      <c r="E257" t="s">
        <v>64</v>
      </c>
      <c r="F257" t="s">
        <v>2891</v>
      </c>
      <c r="G257" t="s">
        <v>2892</v>
      </c>
      <c r="H257" t="s">
        <v>44</v>
      </c>
      <c r="I257" t="s">
        <v>1476</v>
      </c>
      <c r="J257" t="s">
        <v>68</v>
      </c>
      <c r="K257" t="s">
        <v>69</v>
      </c>
      <c r="L257" t="s">
        <v>46</v>
      </c>
      <c r="M257" t="s">
        <v>949</v>
      </c>
      <c r="N257" t="s">
        <v>1129</v>
      </c>
      <c r="O257" t="s">
        <v>51</v>
      </c>
      <c r="P257" t="s">
        <v>72</v>
      </c>
      <c r="Q257" s="133">
        <v>1052</v>
      </c>
      <c r="R257" s="135">
        <v>3.165</v>
      </c>
      <c r="S257" s="139">
        <v>132083</v>
      </c>
      <c r="U257" s="133">
        <v>4397.8090000000002</v>
      </c>
      <c r="V257" s="137">
        <v>3.0000000000000001E-6</v>
      </c>
      <c r="W257" s="137">
        <v>1.0220309302777999E-2</v>
      </c>
      <c r="X257" s="137">
        <v>2.2441818376821299E-3</v>
      </c>
    </row>
    <row r="258" spans="1:24">
      <c r="A258">
        <v>161</v>
      </c>
      <c r="B258">
        <v>9943</v>
      </c>
      <c r="C258" t="s">
        <v>2960</v>
      </c>
      <c r="D258" t="s">
        <v>2961</v>
      </c>
      <c r="E258" t="s">
        <v>64</v>
      </c>
      <c r="F258" t="s">
        <v>2962</v>
      </c>
      <c r="G258" t="s">
        <v>2963</v>
      </c>
      <c r="H258" t="s">
        <v>44</v>
      </c>
      <c r="I258" t="s">
        <v>1476</v>
      </c>
      <c r="J258" t="s">
        <v>68</v>
      </c>
      <c r="K258" t="s">
        <v>69</v>
      </c>
      <c r="L258" t="s">
        <v>46</v>
      </c>
      <c r="M258" t="s">
        <v>949</v>
      </c>
      <c r="N258" t="s">
        <v>1129</v>
      </c>
      <c r="O258" t="s">
        <v>51</v>
      </c>
      <c r="P258" t="s">
        <v>72</v>
      </c>
      <c r="Q258" s="133">
        <v>2000</v>
      </c>
      <c r="R258" s="135">
        <v>3.165</v>
      </c>
      <c r="S258" s="139">
        <v>30951</v>
      </c>
      <c r="U258" s="133">
        <v>1959.1980000000001</v>
      </c>
      <c r="V258" s="137">
        <v>3.9999999999999998E-6</v>
      </c>
      <c r="W258" s="137">
        <v>4.5530881223216496E-3</v>
      </c>
      <c r="X258" s="137">
        <v>9.9976990585824406E-4</v>
      </c>
    </row>
    <row r="259" spans="1:24">
      <c r="A259">
        <v>161</v>
      </c>
      <c r="B259">
        <v>9943</v>
      </c>
      <c r="C259" t="s">
        <v>2893</v>
      </c>
      <c r="D259" t="s">
        <v>2894</v>
      </c>
      <c r="E259" t="s">
        <v>41</v>
      </c>
      <c r="F259" t="s">
        <v>2895</v>
      </c>
      <c r="G259" t="s">
        <v>2896</v>
      </c>
      <c r="H259" t="s">
        <v>44</v>
      </c>
      <c r="I259" t="s">
        <v>1476</v>
      </c>
      <c r="J259" t="s">
        <v>68</v>
      </c>
      <c r="K259" t="s">
        <v>264</v>
      </c>
      <c r="L259" t="s">
        <v>46</v>
      </c>
      <c r="M259" t="s">
        <v>949</v>
      </c>
      <c r="N259" t="s">
        <v>1129</v>
      </c>
      <c r="O259" t="s">
        <v>51</v>
      </c>
      <c r="P259" t="s">
        <v>72</v>
      </c>
      <c r="Q259" s="133">
        <v>8750</v>
      </c>
      <c r="R259" s="135">
        <v>3.165</v>
      </c>
      <c r="S259" s="139">
        <v>15161</v>
      </c>
      <c r="U259" s="133">
        <v>4198.6490000000003</v>
      </c>
      <c r="V259" s="137">
        <v>2.02E-4</v>
      </c>
      <c r="W259" s="137">
        <v>9.7574711470879202E-3</v>
      </c>
      <c r="X259" s="137">
        <v>2.1425515492031299E-3</v>
      </c>
    </row>
    <row r="260" spans="1:24">
      <c r="A260">
        <v>161</v>
      </c>
      <c r="B260">
        <v>9943</v>
      </c>
      <c r="C260" t="s">
        <v>2897</v>
      </c>
      <c r="D260" t="s">
        <v>2898</v>
      </c>
      <c r="E260" t="s">
        <v>64</v>
      </c>
      <c r="F260" t="s">
        <v>2899</v>
      </c>
      <c r="G260" t="s">
        <v>2900</v>
      </c>
      <c r="H260" t="s">
        <v>44</v>
      </c>
      <c r="I260" t="s">
        <v>1476</v>
      </c>
      <c r="J260" s="125" t="s">
        <v>68</v>
      </c>
      <c r="K260" t="s">
        <v>45</v>
      </c>
      <c r="L260" t="s">
        <v>46</v>
      </c>
      <c r="M260" t="s">
        <v>949</v>
      </c>
      <c r="N260" t="s">
        <v>1126</v>
      </c>
      <c r="O260" t="s">
        <v>51</v>
      </c>
      <c r="P260" t="s">
        <v>72</v>
      </c>
      <c r="Q260" s="133">
        <v>3700</v>
      </c>
      <c r="R260" s="135">
        <v>3.165</v>
      </c>
      <c r="S260" s="139">
        <v>14285</v>
      </c>
      <c r="U260" s="133">
        <v>1672.845</v>
      </c>
      <c r="V260" s="137">
        <v>3.3000000000000003E-5</v>
      </c>
      <c r="W260" s="137">
        <v>3.8876158470041301E-3</v>
      </c>
      <c r="X260" s="137">
        <v>8.5364509206785897E-4</v>
      </c>
    </row>
    <row r="261" spans="1:24">
      <c r="A261">
        <v>161</v>
      </c>
      <c r="B261">
        <v>9943</v>
      </c>
      <c r="C261" t="s">
        <v>3086</v>
      </c>
      <c r="D261" t="s">
        <v>3087</v>
      </c>
      <c r="E261" t="s">
        <v>64</v>
      </c>
      <c r="F261" t="s">
        <v>3088</v>
      </c>
      <c r="G261" t="s">
        <v>3089</v>
      </c>
      <c r="H261" t="s">
        <v>44</v>
      </c>
      <c r="I261" t="s">
        <v>1476</v>
      </c>
      <c r="J261" t="s">
        <v>68</v>
      </c>
      <c r="K261" t="s">
        <v>69</v>
      </c>
      <c r="L261" t="s">
        <v>46</v>
      </c>
      <c r="M261" t="s">
        <v>949</v>
      </c>
      <c r="N261" t="s">
        <v>1105</v>
      </c>
      <c r="O261" t="s">
        <v>51</v>
      </c>
      <c r="P261" t="s">
        <v>72</v>
      </c>
      <c r="Q261" s="133">
        <v>540</v>
      </c>
      <c r="R261" s="135">
        <v>3.165</v>
      </c>
      <c r="S261" s="139">
        <v>99643</v>
      </c>
      <c r="U261" s="133">
        <v>1702.999</v>
      </c>
      <c r="V261" s="137">
        <v>9.9999999999999995E-7</v>
      </c>
      <c r="W261" s="137">
        <v>3.95769141994035E-3</v>
      </c>
      <c r="X261" s="137">
        <v>8.69032329712996E-4</v>
      </c>
    </row>
    <row r="262" spans="1:24">
      <c r="A262">
        <v>161</v>
      </c>
      <c r="B262">
        <v>9943</v>
      </c>
      <c r="C262" t="s">
        <v>3090</v>
      </c>
      <c r="D262" t="s">
        <v>3091</v>
      </c>
      <c r="E262" t="s">
        <v>64</v>
      </c>
      <c r="F262" t="s">
        <v>3092</v>
      </c>
      <c r="G262" t="s">
        <v>3093</v>
      </c>
      <c r="H262" t="s">
        <v>44</v>
      </c>
      <c r="I262" t="s">
        <v>1476</v>
      </c>
      <c r="J262" t="s">
        <v>68</v>
      </c>
      <c r="K262" t="s">
        <v>889</v>
      </c>
      <c r="L262" t="s">
        <v>46</v>
      </c>
      <c r="M262" t="s">
        <v>971</v>
      </c>
      <c r="N262" t="s">
        <v>1098</v>
      </c>
      <c r="O262" t="s">
        <v>51</v>
      </c>
      <c r="P262" t="s">
        <v>811</v>
      </c>
      <c r="Q262" s="133">
        <v>380</v>
      </c>
      <c r="R262" s="135">
        <v>0.40439999999999998</v>
      </c>
      <c r="S262" s="139">
        <v>11320</v>
      </c>
      <c r="U262" s="133">
        <v>17.396000000000001</v>
      </c>
      <c r="V262" s="137">
        <v>0</v>
      </c>
      <c r="W262" s="137">
        <v>4.0426750205970597E-5</v>
      </c>
      <c r="X262" s="137">
        <v>8.8769308130519794E-6</v>
      </c>
    </row>
    <row r="263" spans="1:24">
      <c r="A263">
        <v>161</v>
      </c>
      <c r="B263">
        <v>9943</v>
      </c>
      <c r="C263" t="s">
        <v>2968</v>
      </c>
      <c r="D263" t="s">
        <v>2969</v>
      </c>
      <c r="E263" t="s">
        <v>64</v>
      </c>
      <c r="F263" t="s">
        <v>2970</v>
      </c>
      <c r="G263" t="s">
        <v>2971</v>
      </c>
      <c r="H263" t="s">
        <v>44</v>
      </c>
      <c r="I263" t="s">
        <v>1476</v>
      </c>
      <c r="J263" t="s">
        <v>68</v>
      </c>
      <c r="K263" t="s">
        <v>69</v>
      </c>
      <c r="L263" t="s">
        <v>46</v>
      </c>
      <c r="M263" t="s">
        <v>947</v>
      </c>
      <c r="N263" t="s">
        <v>1121</v>
      </c>
      <c r="O263" t="s">
        <v>51</v>
      </c>
      <c r="P263" t="s">
        <v>72</v>
      </c>
      <c r="Q263" s="133">
        <v>1424</v>
      </c>
      <c r="R263" s="135">
        <v>3.165</v>
      </c>
      <c r="S263" s="139">
        <v>49966</v>
      </c>
      <c r="U263" s="133">
        <v>2251.9479999999999</v>
      </c>
      <c r="V263" s="137">
        <v>9.9999999999999995E-7</v>
      </c>
      <c r="W263" s="137">
        <v>5.2334243157696201E-3</v>
      </c>
      <c r="X263" s="137">
        <v>1.14915854798464E-3</v>
      </c>
    </row>
    <row r="264" spans="1:24">
      <c r="A264">
        <v>161</v>
      </c>
      <c r="B264">
        <v>9943</v>
      </c>
      <c r="C264" t="s">
        <v>2901</v>
      </c>
      <c r="D264" t="s">
        <v>2902</v>
      </c>
      <c r="E264" t="s">
        <v>64</v>
      </c>
      <c r="F264" t="s">
        <v>2903</v>
      </c>
      <c r="G264" t="s">
        <v>2904</v>
      </c>
      <c r="H264" t="s">
        <v>44</v>
      </c>
      <c r="I264" t="s">
        <v>1476</v>
      </c>
      <c r="J264" t="s">
        <v>68</v>
      </c>
      <c r="K264" t="s">
        <v>69</v>
      </c>
      <c r="L264" t="s">
        <v>46</v>
      </c>
      <c r="M264" t="s">
        <v>949</v>
      </c>
      <c r="N264" t="s">
        <v>1126</v>
      </c>
      <c r="O264" t="s">
        <v>51</v>
      </c>
      <c r="P264" t="s">
        <v>72</v>
      </c>
      <c r="Q264" s="133">
        <v>3033</v>
      </c>
      <c r="R264" s="135">
        <v>3.165</v>
      </c>
      <c r="S264" s="139">
        <v>37017</v>
      </c>
      <c r="U264" s="133">
        <v>3553.4270000000001</v>
      </c>
      <c r="V264" s="137">
        <v>0</v>
      </c>
      <c r="W264" s="137">
        <v>8.2580023900961606E-3</v>
      </c>
      <c r="X264" s="137">
        <v>1.813297272163E-3</v>
      </c>
    </row>
    <row r="265" spans="1:24">
      <c r="A265">
        <v>161</v>
      </c>
      <c r="B265">
        <v>9943</v>
      </c>
      <c r="C265" t="s">
        <v>2905</v>
      </c>
      <c r="D265" t="s">
        <v>2906</v>
      </c>
      <c r="E265" t="s">
        <v>41</v>
      </c>
      <c r="F265" t="s">
        <v>2907</v>
      </c>
      <c r="G265" t="s">
        <v>2908</v>
      </c>
      <c r="H265" t="s">
        <v>44</v>
      </c>
      <c r="I265" t="s">
        <v>1476</v>
      </c>
      <c r="J265" t="s">
        <v>68</v>
      </c>
      <c r="K265" t="s">
        <v>264</v>
      </c>
      <c r="L265" t="s">
        <v>46</v>
      </c>
      <c r="M265" t="s">
        <v>949</v>
      </c>
      <c r="N265" t="s">
        <v>1129</v>
      </c>
      <c r="O265" t="s">
        <v>51</v>
      </c>
      <c r="P265" t="s">
        <v>72</v>
      </c>
      <c r="Q265" s="133">
        <v>3102</v>
      </c>
      <c r="R265" s="135">
        <v>3.165</v>
      </c>
      <c r="S265" s="139">
        <v>43428</v>
      </c>
      <c r="U265" s="133">
        <v>4263.6869999999999</v>
      </c>
      <c r="V265" s="137">
        <v>1.07E-4</v>
      </c>
      <c r="W265" s="137">
        <v>9.9086159905677398E-3</v>
      </c>
      <c r="X265" s="137">
        <v>2.1757400274133301E-3</v>
      </c>
    </row>
    <row r="266" spans="1:24">
      <c r="A266">
        <v>161</v>
      </c>
      <c r="B266">
        <v>9943</v>
      </c>
      <c r="C266" t="s">
        <v>2909</v>
      </c>
      <c r="D266" t="s">
        <v>2910</v>
      </c>
      <c r="E266" t="s">
        <v>64</v>
      </c>
      <c r="F266" t="s">
        <v>2911</v>
      </c>
      <c r="G266" t="s">
        <v>2912</v>
      </c>
      <c r="H266" t="s">
        <v>44</v>
      </c>
      <c r="I266" t="s">
        <v>1476</v>
      </c>
      <c r="J266" t="s">
        <v>68</v>
      </c>
      <c r="K266" t="s">
        <v>69</v>
      </c>
      <c r="L266" t="s">
        <v>46</v>
      </c>
      <c r="M266" t="s">
        <v>949</v>
      </c>
      <c r="N266" t="s">
        <v>1129</v>
      </c>
      <c r="O266" t="s">
        <v>51</v>
      </c>
      <c r="P266" t="s">
        <v>72</v>
      </c>
      <c r="Q266" s="133">
        <v>5020</v>
      </c>
      <c r="R266" s="135">
        <v>3.165</v>
      </c>
      <c r="S266" s="139">
        <v>17440</v>
      </c>
      <c r="T266" s="133">
        <v>0.05</v>
      </c>
      <c r="U266" s="133">
        <v>2771.078</v>
      </c>
      <c r="V266" s="137">
        <v>0</v>
      </c>
      <c r="W266" s="137">
        <v>6.4398607138038697E-3</v>
      </c>
      <c r="X266" s="137">
        <v>1.41406859841249E-3</v>
      </c>
    </row>
    <row r="267" spans="1:24">
      <c r="A267">
        <v>161</v>
      </c>
      <c r="B267">
        <v>9943</v>
      </c>
      <c r="C267" t="s">
        <v>2944</v>
      </c>
      <c r="D267" t="s">
        <v>2945</v>
      </c>
      <c r="E267" t="s">
        <v>64</v>
      </c>
      <c r="F267" t="s">
        <v>2972</v>
      </c>
      <c r="G267" t="s">
        <v>2947</v>
      </c>
      <c r="H267" t="s">
        <v>44</v>
      </c>
      <c r="I267" t="s">
        <v>1476</v>
      </c>
      <c r="J267" t="s">
        <v>68</v>
      </c>
      <c r="K267" t="s">
        <v>69</v>
      </c>
      <c r="L267" t="s">
        <v>46</v>
      </c>
      <c r="M267" t="s">
        <v>947</v>
      </c>
      <c r="N267" t="s">
        <v>1138</v>
      </c>
      <c r="O267" t="s">
        <v>51</v>
      </c>
      <c r="P267" t="s">
        <v>72</v>
      </c>
      <c r="Q267" s="133">
        <v>9533</v>
      </c>
      <c r="R267" s="135">
        <v>3.165</v>
      </c>
      <c r="S267" s="139">
        <v>11192</v>
      </c>
      <c r="U267" s="133">
        <v>3376.8440000000001</v>
      </c>
      <c r="V267" s="137">
        <v>1.5699999999999999E-4</v>
      </c>
      <c r="W267" s="137">
        <v>7.8476327238614606E-3</v>
      </c>
      <c r="X267" s="137">
        <v>1.7231880470489199E-3</v>
      </c>
    </row>
    <row r="268" spans="1:24">
      <c r="A268">
        <v>161</v>
      </c>
      <c r="B268">
        <v>9943</v>
      </c>
      <c r="C268" t="s">
        <v>2940</v>
      </c>
      <c r="D268" t="s">
        <v>2941</v>
      </c>
      <c r="E268" t="s">
        <v>64</v>
      </c>
      <c r="F268" t="s">
        <v>2942</v>
      </c>
      <c r="G268" t="s">
        <v>2943</v>
      </c>
      <c r="H268" t="s">
        <v>44</v>
      </c>
      <c r="I268" t="s">
        <v>1476</v>
      </c>
      <c r="J268" t="s">
        <v>68</v>
      </c>
      <c r="K268" t="s">
        <v>69</v>
      </c>
      <c r="L268" t="s">
        <v>46</v>
      </c>
      <c r="M268" t="s">
        <v>949</v>
      </c>
      <c r="N268" t="s">
        <v>1126</v>
      </c>
      <c r="O268" t="s">
        <v>51</v>
      </c>
      <c r="P268" t="s">
        <v>72</v>
      </c>
      <c r="Q268" s="133">
        <v>2750</v>
      </c>
      <c r="R268" s="135">
        <v>3.165</v>
      </c>
      <c r="S268" s="139">
        <v>16032</v>
      </c>
      <c r="U268" s="133">
        <v>1395.385</v>
      </c>
      <c r="V268" s="137">
        <v>7.9999999999999996E-6</v>
      </c>
      <c r="W268" s="137">
        <v>3.2428120115168598E-3</v>
      </c>
      <c r="X268" s="137">
        <v>7.12058667078257E-4</v>
      </c>
    </row>
    <row r="269" spans="1:24">
      <c r="A269">
        <v>161</v>
      </c>
      <c r="B269">
        <v>9943</v>
      </c>
      <c r="C269" t="s">
        <v>2913</v>
      </c>
      <c r="D269" t="s">
        <v>2914</v>
      </c>
      <c r="E269" t="s">
        <v>64</v>
      </c>
      <c r="F269" t="s">
        <v>2915</v>
      </c>
      <c r="G269" t="s">
        <v>2916</v>
      </c>
      <c r="H269" t="s">
        <v>44</v>
      </c>
      <c r="I269" t="s">
        <v>1476</v>
      </c>
      <c r="J269" t="s">
        <v>68</v>
      </c>
      <c r="K269" t="s">
        <v>861</v>
      </c>
      <c r="L269" t="s">
        <v>46</v>
      </c>
      <c r="M269" t="s">
        <v>969</v>
      </c>
      <c r="N269" t="s">
        <v>1080</v>
      </c>
      <c r="O269" t="s">
        <v>51</v>
      </c>
      <c r="P269" t="s">
        <v>395</v>
      </c>
      <c r="Q269" s="133">
        <v>470</v>
      </c>
      <c r="R269" s="135">
        <v>3.6360000000000001</v>
      </c>
      <c r="S269" s="139">
        <v>144450</v>
      </c>
      <c r="U269" s="133">
        <v>2468.5349999999999</v>
      </c>
      <c r="V269" s="137">
        <v>1.0000000000000001E-5</v>
      </c>
      <c r="W269" s="137">
        <v>5.7367634071803604E-3</v>
      </c>
      <c r="X269" s="137">
        <v>1.2596820569778901E-3</v>
      </c>
    </row>
    <row r="270" spans="1:24">
      <c r="A270">
        <v>161</v>
      </c>
      <c r="B270">
        <v>9943</v>
      </c>
      <c r="C270" t="s">
        <v>3094</v>
      </c>
      <c r="D270" t="s">
        <v>3095</v>
      </c>
      <c r="E270" t="s">
        <v>64</v>
      </c>
      <c r="F270" t="s">
        <v>3096</v>
      </c>
      <c r="G270" t="s">
        <v>3097</v>
      </c>
      <c r="H270" t="s">
        <v>44</v>
      </c>
      <c r="I270" t="s">
        <v>1476</v>
      </c>
      <c r="J270" t="s">
        <v>68</v>
      </c>
      <c r="K270" t="s">
        <v>909</v>
      </c>
      <c r="L270" t="s">
        <v>46</v>
      </c>
      <c r="M270" t="s">
        <v>981</v>
      </c>
      <c r="N270" t="s">
        <v>265</v>
      </c>
      <c r="O270" t="s">
        <v>51</v>
      </c>
      <c r="P270" t="s">
        <v>72</v>
      </c>
      <c r="Q270" s="133">
        <v>0</v>
      </c>
      <c r="R270" s="135">
        <v>3.165</v>
      </c>
      <c r="S270" s="139">
        <v>0</v>
      </c>
      <c r="T270" s="133">
        <v>3.0000000000000001E-3</v>
      </c>
      <c r="U270" s="133">
        <v>8.9999999999999993E-3</v>
      </c>
      <c r="V270" s="137">
        <v>0</v>
      </c>
      <c r="W270" s="137">
        <v>2.0594886663598301E-8</v>
      </c>
      <c r="X270" s="137">
        <v>4.5222379509597202E-9</v>
      </c>
    </row>
    <row r="271" spans="1:24">
      <c r="A271">
        <v>161</v>
      </c>
      <c r="B271">
        <v>9943</v>
      </c>
      <c r="C271" t="s">
        <v>2973</v>
      </c>
      <c r="D271" t="s">
        <v>2974</v>
      </c>
      <c r="E271" t="s">
        <v>64</v>
      </c>
      <c r="F271" t="s">
        <v>2975</v>
      </c>
      <c r="G271" t="s">
        <v>2976</v>
      </c>
      <c r="H271" t="s">
        <v>44</v>
      </c>
      <c r="I271" t="s">
        <v>1476</v>
      </c>
      <c r="J271" t="s">
        <v>68</v>
      </c>
      <c r="K271" t="s">
        <v>871</v>
      </c>
      <c r="L271" t="s">
        <v>46</v>
      </c>
      <c r="M271" t="s">
        <v>947</v>
      </c>
      <c r="N271" t="s">
        <v>1129</v>
      </c>
      <c r="O271" t="s">
        <v>51</v>
      </c>
      <c r="P271" t="s">
        <v>72</v>
      </c>
      <c r="Q271" s="133">
        <v>4800</v>
      </c>
      <c r="R271" s="135">
        <v>3.165</v>
      </c>
      <c r="S271" s="139">
        <v>33795</v>
      </c>
      <c r="T271" s="133">
        <v>3.67</v>
      </c>
      <c r="U271" s="133">
        <v>5145.7520000000004</v>
      </c>
      <c r="V271" s="137">
        <v>9.9999999999999995E-7</v>
      </c>
      <c r="W271" s="137">
        <v>1.19584937588533E-2</v>
      </c>
      <c r="X271" s="137">
        <v>2.6258534555660901E-3</v>
      </c>
    </row>
    <row r="272" spans="1:24">
      <c r="A272">
        <v>161</v>
      </c>
      <c r="B272">
        <v>9943</v>
      </c>
      <c r="C272" t="s">
        <v>2917</v>
      </c>
      <c r="D272" t="s">
        <v>2918</v>
      </c>
      <c r="E272" t="s">
        <v>64</v>
      </c>
      <c r="F272" t="s">
        <v>2917</v>
      </c>
      <c r="G272" t="s">
        <v>2919</v>
      </c>
      <c r="H272" t="s">
        <v>44</v>
      </c>
      <c r="I272" t="s">
        <v>1476</v>
      </c>
      <c r="J272" t="s">
        <v>68</v>
      </c>
      <c r="K272" t="s">
        <v>69</v>
      </c>
      <c r="L272" t="s">
        <v>46</v>
      </c>
      <c r="M272" t="s">
        <v>949</v>
      </c>
      <c r="N272" t="s">
        <v>1095</v>
      </c>
      <c r="O272" t="s">
        <v>51</v>
      </c>
      <c r="P272" t="s">
        <v>72</v>
      </c>
      <c r="Q272" s="133">
        <v>700</v>
      </c>
      <c r="R272" s="135">
        <v>3.165</v>
      </c>
      <c r="S272" s="139">
        <v>37175</v>
      </c>
      <c r="U272" s="133">
        <v>823.61199999999997</v>
      </c>
      <c r="V272" s="137">
        <v>0</v>
      </c>
      <c r="W272" s="137">
        <v>1.91403727929817E-3</v>
      </c>
      <c r="X272" s="137">
        <v>4.2028548956731898E-4</v>
      </c>
    </row>
    <row r="273" spans="1:24">
      <c r="A273">
        <v>161</v>
      </c>
      <c r="B273">
        <v>9943</v>
      </c>
      <c r="C273" t="s">
        <v>2881</v>
      </c>
      <c r="D273" t="s">
        <v>2882</v>
      </c>
      <c r="E273" t="s">
        <v>64</v>
      </c>
      <c r="F273" t="s">
        <v>2883</v>
      </c>
      <c r="G273" t="s">
        <v>2884</v>
      </c>
      <c r="H273" t="s">
        <v>44</v>
      </c>
      <c r="I273" t="s">
        <v>1476</v>
      </c>
      <c r="J273" t="s">
        <v>68</v>
      </c>
      <c r="K273" t="s">
        <v>69</v>
      </c>
      <c r="L273" t="s">
        <v>46</v>
      </c>
      <c r="M273" t="s">
        <v>949</v>
      </c>
      <c r="N273" t="s">
        <v>1130</v>
      </c>
      <c r="O273" t="s">
        <v>51</v>
      </c>
      <c r="P273" t="s">
        <v>72</v>
      </c>
      <c r="Q273" s="133">
        <v>486</v>
      </c>
      <c r="R273" s="135">
        <v>3.165</v>
      </c>
      <c r="S273" s="139">
        <v>28686</v>
      </c>
      <c r="U273" s="133">
        <v>441.245</v>
      </c>
      <c r="V273" s="137">
        <v>0</v>
      </c>
      <c r="W273" s="137">
        <v>1.0254338234012199E-3</v>
      </c>
      <c r="X273" s="137">
        <v>2.2516539314485E-4</v>
      </c>
    </row>
    <row r="274" spans="1:24">
      <c r="A274">
        <v>161</v>
      </c>
      <c r="B274">
        <v>9943</v>
      </c>
      <c r="C274" t="s">
        <v>2881</v>
      </c>
      <c r="D274" t="s">
        <v>2882</v>
      </c>
      <c r="E274" t="s">
        <v>64</v>
      </c>
      <c r="F274" t="s">
        <v>3098</v>
      </c>
      <c r="G274" t="s">
        <v>3099</v>
      </c>
      <c r="H274" t="s">
        <v>44</v>
      </c>
      <c r="I274" t="s">
        <v>1476</v>
      </c>
      <c r="J274" t="s">
        <v>68</v>
      </c>
      <c r="K274" t="s">
        <v>69</v>
      </c>
      <c r="L274" t="s">
        <v>46</v>
      </c>
      <c r="M274" t="s">
        <v>949</v>
      </c>
      <c r="N274" t="s">
        <v>1126</v>
      </c>
      <c r="O274" t="s">
        <v>51</v>
      </c>
      <c r="P274" t="s">
        <v>72</v>
      </c>
      <c r="Q274" s="133">
        <v>2567</v>
      </c>
      <c r="R274" s="135">
        <v>3.165</v>
      </c>
      <c r="S274" s="139">
        <v>28756</v>
      </c>
      <c r="U274" s="133">
        <v>2336.297</v>
      </c>
      <c r="V274" s="137">
        <v>0</v>
      </c>
      <c r="W274" s="137">
        <v>5.4294485065224099E-3</v>
      </c>
      <c r="X274" s="137">
        <v>1.1922016610256699E-3</v>
      </c>
    </row>
    <row r="275" spans="1:24">
      <c r="A275">
        <v>161</v>
      </c>
      <c r="B275">
        <v>9943</v>
      </c>
      <c r="C275" t="s">
        <v>3100</v>
      </c>
      <c r="D275" t="s">
        <v>3101</v>
      </c>
      <c r="E275" t="s">
        <v>64</v>
      </c>
      <c r="F275" t="s">
        <v>3102</v>
      </c>
      <c r="G275" t="s">
        <v>3103</v>
      </c>
      <c r="H275" t="s">
        <v>44</v>
      </c>
      <c r="I275" t="s">
        <v>1476</v>
      </c>
      <c r="J275" t="s">
        <v>68</v>
      </c>
      <c r="K275" t="s">
        <v>69</v>
      </c>
      <c r="L275" t="s">
        <v>46</v>
      </c>
      <c r="M275" t="s">
        <v>949</v>
      </c>
      <c r="N275" t="s">
        <v>265</v>
      </c>
      <c r="O275" t="s">
        <v>51</v>
      </c>
      <c r="P275" t="s">
        <v>72</v>
      </c>
      <c r="Q275" s="133">
        <v>4445</v>
      </c>
      <c r="R275" s="135">
        <v>3.165</v>
      </c>
      <c r="S275" s="139">
        <v>25379</v>
      </c>
      <c r="U275" s="133">
        <v>3570.4259999999999</v>
      </c>
      <c r="V275" s="137">
        <v>0</v>
      </c>
      <c r="W275" s="137">
        <v>8.2975073545879397E-3</v>
      </c>
      <c r="X275" s="137">
        <v>1.8219717966988301E-3</v>
      </c>
    </row>
    <row r="276" spans="1:24">
      <c r="A276">
        <v>161</v>
      </c>
      <c r="B276">
        <v>9943</v>
      </c>
      <c r="C276" t="s">
        <v>3104</v>
      </c>
      <c r="D276" t="s">
        <v>3105</v>
      </c>
      <c r="E276" t="s">
        <v>64</v>
      </c>
      <c r="F276" t="s">
        <v>3106</v>
      </c>
      <c r="G276" t="s">
        <v>3107</v>
      </c>
      <c r="H276" t="s">
        <v>44</v>
      </c>
      <c r="I276" t="s">
        <v>1476</v>
      </c>
      <c r="J276" t="s">
        <v>68</v>
      </c>
      <c r="K276" t="s">
        <v>69</v>
      </c>
      <c r="L276" t="s">
        <v>46</v>
      </c>
      <c r="M276" t="s">
        <v>947</v>
      </c>
      <c r="N276" t="s">
        <v>1119</v>
      </c>
      <c r="O276" t="s">
        <v>51</v>
      </c>
      <c r="P276" t="s">
        <v>72</v>
      </c>
      <c r="Q276" s="133">
        <v>21659</v>
      </c>
      <c r="R276" s="135">
        <v>3.165</v>
      </c>
      <c r="S276" s="139">
        <v>4875</v>
      </c>
      <c r="U276" s="133">
        <v>3341.848</v>
      </c>
      <c r="V276" s="137">
        <v>3.0000000000000001E-6</v>
      </c>
      <c r="W276" s="137">
        <v>7.7663041784054197E-3</v>
      </c>
      <c r="X276" s="137">
        <v>1.70532987473823E-3</v>
      </c>
    </row>
    <row r="277" spans="1:24">
      <c r="A277">
        <v>161</v>
      </c>
      <c r="B277">
        <v>9943</v>
      </c>
      <c r="C277" t="s">
        <v>3108</v>
      </c>
      <c r="D277" t="s">
        <v>3109</v>
      </c>
      <c r="E277" t="s">
        <v>64</v>
      </c>
      <c r="F277" t="s">
        <v>3110</v>
      </c>
      <c r="G277" t="s">
        <v>3111</v>
      </c>
      <c r="H277" t="s">
        <v>44</v>
      </c>
      <c r="I277" t="s">
        <v>1476</v>
      </c>
      <c r="J277" t="s">
        <v>68</v>
      </c>
      <c r="K277" t="s">
        <v>69</v>
      </c>
      <c r="L277" t="s">
        <v>46</v>
      </c>
      <c r="M277" t="s">
        <v>949</v>
      </c>
      <c r="N277" t="s">
        <v>1130</v>
      </c>
      <c r="O277" t="s">
        <v>51</v>
      </c>
      <c r="P277" t="s">
        <v>72</v>
      </c>
      <c r="Q277" s="133">
        <v>1617</v>
      </c>
      <c r="R277" s="135">
        <v>3.165</v>
      </c>
      <c r="S277" s="139">
        <v>57213</v>
      </c>
      <c r="U277" s="133">
        <v>2928.05</v>
      </c>
      <c r="V277" s="137">
        <v>9.9999999999999995E-7</v>
      </c>
      <c r="W277" s="137">
        <v>6.80465507270269E-3</v>
      </c>
      <c r="X277" s="137">
        <v>1.49417036935469E-3</v>
      </c>
    </row>
    <row r="278" spans="1:24">
      <c r="A278">
        <v>161</v>
      </c>
      <c r="B278">
        <v>9943</v>
      </c>
      <c r="C278" t="s">
        <v>2901</v>
      </c>
      <c r="D278" t="s">
        <v>2902</v>
      </c>
      <c r="E278" t="s">
        <v>64</v>
      </c>
      <c r="F278" t="s">
        <v>2903</v>
      </c>
      <c r="G278" t="s">
        <v>2904</v>
      </c>
      <c r="H278" t="s">
        <v>44</v>
      </c>
      <c r="I278" t="s">
        <v>1476</v>
      </c>
      <c r="J278" t="s">
        <v>68</v>
      </c>
      <c r="K278" t="s">
        <v>69</v>
      </c>
      <c r="L278" t="s">
        <v>46</v>
      </c>
      <c r="M278" t="s">
        <v>949</v>
      </c>
      <c r="N278" t="s">
        <v>1126</v>
      </c>
      <c r="O278" t="s">
        <v>51</v>
      </c>
      <c r="P278" t="s">
        <v>72</v>
      </c>
      <c r="Q278" s="133">
        <v>1903</v>
      </c>
      <c r="R278" s="135">
        <v>3.165</v>
      </c>
      <c r="S278" s="139">
        <v>37017</v>
      </c>
      <c r="U278" s="133">
        <v>2229.5320000000002</v>
      </c>
      <c r="V278" s="137">
        <v>0</v>
      </c>
      <c r="W278" s="137">
        <v>5.1813315358895402E-3</v>
      </c>
      <c r="X278" s="137">
        <v>1.1377199831606301E-3</v>
      </c>
    </row>
    <row r="279" spans="1:24">
      <c r="A279">
        <v>161</v>
      </c>
      <c r="B279">
        <v>9943</v>
      </c>
      <c r="C279" t="s">
        <v>2905</v>
      </c>
      <c r="D279" t="s">
        <v>2906</v>
      </c>
      <c r="E279" t="s">
        <v>41</v>
      </c>
      <c r="F279" t="s">
        <v>2907</v>
      </c>
      <c r="G279" t="s">
        <v>2908</v>
      </c>
      <c r="H279" t="s">
        <v>44</v>
      </c>
      <c r="I279" t="s">
        <v>1476</v>
      </c>
      <c r="J279" t="s">
        <v>68</v>
      </c>
      <c r="K279" t="s">
        <v>264</v>
      </c>
      <c r="L279" t="s">
        <v>46</v>
      </c>
      <c r="M279" t="s">
        <v>949</v>
      </c>
      <c r="N279" t="s">
        <v>1129</v>
      </c>
      <c r="O279" t="s">
        <v>51</v>
      </c>
      <c r="P279" t="s">
        <v>72</v>
      </c>
      <c r="Q279" s="133">
        <v>2000</v>
      </c>
      <c r="R279" s="135">
        <v>3.165</v>
      </c>
      <c r="S279" s="139">
        <v>43428</v>
      </c>
      <c r="U279" s="133">
        <v>2748.9920000000002</v>
      </c>
      <c r="V279" s="137">
        <v>6.8999999999999997E-5</v>
      </c>
      <c r="W279" s="137">
        <v>6.3885338430481903E-3</v>
      </c>
      <c r="X279" s="137">
        <v>1.4027982123876999E-3</v>
      </c>
    </row>
    <row r="280" spans="1:24">
      <c r="A280">
        <v>161</v>
      </c>
      <c r="B280">
        <v>9943</v>
      </c>
      <c r="C280" t="s">
        <v>3112</v>
      </c>
      <c r="D280" t="s">
        <v>3113</v>
      </c>
      <c r="E280" t="s">
        <v>64</v>
      </c>
      <c r="F280" t="s">
        <v>3114</v>
      </c>
      <c r="G280" t="s">
        <v>3115</v>
      </c>
      <c r="H280" t="s">
        <v>44</v>
      </c>
      <c r="I280" t="s">
        <v>1476</v>
      </c>
      <c r="J280" t="s">
        <v>68</v>
      </c>
      <c r="K280" t="s">
        <v>464</v>
      </c>
      <c r="L280" t="s">
        <v>46</v>
      </c>
      <c r="M280" t="s">
        <v>981</v>
      </c>
      <c r="N280" t="s">
        <v>1100</v>
      </c>
      <c r="O280" t="s">
        <v>51</v>
      </c>
      <c r="P280" t="s">
        <v>622</v>
      </c>
      <c r="Q280" s="133">
        <v>2262</v>
      </c>
      <c r="R280" s="135">
        <v>4.1872999999999996</v>
      </c>
      <c r="S280" s="139">
        <v>1592</v>
      </c>
      <c r="U280" s="133">
        <v>150.78899999999999</v>
      </c>
      <c r="V280" s="137">
        <v>5.1E-5</v>
      </c>
      <c r="W280" s="137">
        <v>3.5042687175472899E-4</v>
      </c>
      <c r="X280" s="137">
        <v>7.6946949229214794E-5</v>
      </c>
    </row>
    <row r="281" spans="1:24">
      <c r="A281">
        <v>161</v>
      </c>
      <c r="B281">
        <v>9943</v>
      </c>
      <c r="C281" t="s">
        <v>3116</v>
      </c>
      <c r="D281" t="s">
        <v>3117</v>
      </c>
      <c r="E281" t="s">
        <v>41</v>
      </c>
      <c r="F281" t="s">
        <v>3118</v>
      </c>
      <c r="G281" t="s">
        <v>3119</v>
      </c>
      <c r="H281" t="s">
        <v>44</v>
      </c>
      <c r="I281" t="s">
        <v>1476</v>
      </c>
      <c r="J281" t="s">
        <v>68</v>
      </c>
      <c r="K281" t="s">
        <v>907</v>
      </c>
      <c r="L281" t="s">
        <v>46</v>
      </c>
      <c r="M281" t="s">
        <v>997</v>
      </c>
      <c r="N281" t="s">
        <v>1113</v>
      </c>
      <c r="O281" t="s">
        <v>51</v>
      </c>
      <c r="P281" t="s">
        <v>814</v>
      </c>
      <c r="Q281" s="133">
        <v>2803</v>
      </c>
      <c r="R281" s="135">
        <v>3.9594999999999998</v>
      </c>
      <c r="S281" s="139">
        <v>108.5</v>
      </c>
      <c r="U281" s="133">
        <v>12.042</v>
      </c>
      <c r="V281" s="137">
        <v>1.7100000000000001E-4</v>
      </c>
      <c r="W281" s="137">
        <v>2.7984712133579599E-5</v>
      </c>
      <c r="X281" s="137">
        <v>6.1449003980605199E-6</v>
      </c>
    </row>
    <row r="282" spans="1:24">
      <c r="A282">
        <v>161</v>
      </c>
      <c r="B282">
        <v>9943</v>
      </c>
      <c r="C282" t="s">
        <v>2973</v>
      </c>
      <c r="D282" t="s">
        <v>2974</v>
      </c>
      <c r="E282" t="s">
        <v>64</v>
      </c>
      <c r="F282" t="s">
        <v>2975</v>
      </c>
      <c r="G282" t="s">
        <v>2976</v>
      </c>
      <c r="H282" t="s">
        <v>44</v>
      </c>
      <c r="I282" t="s">
        <v>1476</v>
      </c>
      <c r="J282" t="s">
        <v>68</v>
      </c>
      <c r="K282" t="s">
        <v>871</v>
      </c>
      <c r="L282" t="s">
        <v>46</v>
      </c>
      <c r="M282" t="s">
        <v>947</v>
      </c>
      <c r="N282" t="s">
        <v>1129</v>
      </c>
      <c r="O282" t="s">
        <v>51</v>
      </c>
      <c r="P282" t="s">
        <v>72</v>
      </c>
      <c r="Q282" s="133">
        <v>542</v>
      </c>
      <c r="R282" s="135">
        <v>3.165</v>
      </c>
      <c r="S282" s="139">
        <v>33795</v>
      </c>
      <c r="T282" s="133">
        <v>0.41399999999999998</v>
      </c>
      <c r="U282" s="133">
        <v>581.04100000000005</v>
      </c>
      <c r="V282" s="137">
        <v>0</v>
      </c>
      <c r="W282" s="137">
        <v>1.3503133060104901E-3</v>
      </c>
      <c r="X282" s="137">
        <v>2.96502630865151E-4</v>
      </c>
    </row>
    <row r="283" spans="1:24">
      <c r="A283">
        <v>161</v>
      </c>
      <c r="B283">
        <v>9943</v>
      </c>
      <c r="C283" t="s">
        <v>2838</v>
      </c>
      <c r="D283" t="s">
        <v>2839</v>
      </c>
      <c r="E283" t="s">
        <v>41</v>
      </c>
      <c r="F283" t="s">
        <v>3120</v>
      </c>
      <c r="G283" t="s">
        <v>3121</v>
      </c>
      <c r="H283" t="s">
        <v>44</v>
      </c>
      <c r="I283" t="s">
        <v>1476</v>
      </c>
      <c r="J283" t="s">
        <v>68</v>
      </c>
      <c r="K283" t="s">
        <v>69</v>
      </c>
      <c r="L283" t="s">
        <v>46</v>
      </c>
      <c r="M283" t="s">
        <v>947</v>
      </c>
      <c r="N283" t="s">
        <v>1052</v>
      </c>
      <c r="O283" t="s">
        <v>51</v>
      </c>
      <c r="P283" t="s">
        <v>72</v>
      </c>
      <c r="Q283" s="133">
        <v>50000</v>
      </c>
      <c r="R283" s="135">
        <v>3.165</v>
      </c>
      <c r="S283" s="139">
        <v>3012</v>
      </c>
      <c r="U283" s="133">
        <v>4766.49</v>
      </c>
      <c r="V283" s="137">
        <v>4.3999999999999999E-5</v>
      </c>
      <c r="W283" s="137">
        <v>1.1077106898349599E-2</v>
      </c>
      <c r="X283" s="137">
        <v>2.4323179836233302E-3</v>
      </c>
    </row>
    <row r="284" spans="1:24">
      <c r="A284">
        <v>161</v>
      </c>
      <c r="B284">
        <v>9943</v>
      </c>
      <c r="C284" t="s">
        <v>3122</v>
      </c>
      <c r="D284" t="s">
        <v>3123</v>
      </c>
      <c r="E284" t="s">
        <v>64</v>
      </c>
      <c r="F284" t="s">
        <v>3124</v>
      </c>
      <c r="G284" t="s">
        <v>3125</v>
      </c>
      <c r="H284" t="s">
        <v>44</v>
      </c>
      <c r="I284" t="s">
        <v>1476</v>
      </c>
      <c r="J284" t="s">
        <v>68</v>
      </c>
      <c r="K284" t="s">
        <v>893</v>
      </c>
      <c r="L284" t="s">
        <v>46</v>
      </c>
      <c r="M284" t="s">
        <v>995</v>
      </c>
      <c r="N284" t="s">
        <v>1149</v>
      </c>
      <c r="O284" t="s">
        <v>51</v>
      </c>
      <c r="P284" t="s">
        <v>395</v>
      </c>
      <c r="Q284" s="133">
        <v>865</v>
      </c>
      <c r="R284" s="135">
        <v>3.6360000000000001</v>
      </c>
      <c r="S284" s="139">
        <v>535</v>
      </c>
      <c r="U284" s="133">
        <v>16.826000000000001</v>
      </c>
      <c r="V284" s="137">
        <v>2.4000000000000001E-4</v>
      </c>
      <c r="W284" s="137">
        <v>3.9104021648628999E-5</v>
      </c>
      <c r="X284" s="137">
        <v>8.5864852583599301E-6</v>
      </c>
    </row>
    <row r="285" spans="1:24">
      <c r="A285">
        <v>161</v>
      </c>
      <c r="B285">
        <v>12468</v>
      </c>
      <c r="C285" t="s">
        <v>2944</v>
      </c>
      <c r="D285" t="s">
        <v>2945</v>
      </c>
      <c r="E285" t="s">
        <v>64</v>
      </c>
      <c r="F285" t="s">
        <v>2946</v>
      </c>
      <c r="G285" t="s">
        <v>2947</v>
      </c>
      <c r="H285" t="s">
        <v>44</v>
      </c>
      <c r="I285" t="s">
        <v>1476</v>
      </c>
      <c r="J285" t="s">
        <v>45</v>
      </c>
      <c r="K285" t="s">
        <v>69</v>
      </c>
      <c r="L285" t="s">
        <v>46</v>
      </c>
      <c r="M285" t="s">
        <v>47</v>
      </c>
      <c r="N285" t="s">
        <v>49</v>
      </c>
      <c r="O285" t="s">
        <v>51</v>
      </c>
      <c r="P285" t="s">
        <v>52</v>
      </c>
      <c r="Q285" s="133">
        <v>200</v>
      </c>
      <c r="R285" s="135">
        <v>1</v>
      </c>
      <c r="S285" s="139">
        <v>35120</v>
      </c>
      <c r="U285" s="133">
        <v>70.239999999999995</v>
      </c>
      <c r="V285" s="137">
        <v>3.9999999999999998E-6</v>
      </c>
      <c r="W285" s="137">
        <v>9.0720798868926499E-3</v>
      </c>
      <c r="X285" s="137">
        <v>2.17574969044671E-3</v>
      </c>
    </row>
    <row r="286" spans="1:24">
      <c r="A286">
        <v>161</v>
      </c>
      <c r="B286">
        <v>12468</v>
      </c>
      <c r="C286" t="s">
        <v>2817</v>
      </c>
      <c r="D286" t="s">
        <v>2818</v>
      </c>
      <c r="E286" t="s">
        <v>41</v>
      </c>
      <c r="F286" t="s">
        <v>2819</v>
      </c>
      <c r="G286" t="s">
        <v>2820</v>
      </c>
      <c r="H286" t="s">
        <v>44</v>
      </c>
      <c r="I286" t="s">
        <v>1476</v>
      </c>
      <c r="J286" t="s">
        <v>45</v>
      </c>
      <c r="K286" t="s">
        <v>45</v>
      </c>
      <c r="L286" t="s">
        <v>46</v>
      </c>
      <c r="M286" t="s">
        <v>47</v>
      </c>
      <c r="N286" t="s">
        <v>189</v>
      </c>
      <c r="O286" t="s">
        <v>51</v>
      </c>
      <c r="P286" t="s">
        <v>52</v>
      </c>
      <c r="Q286" s="133">
        <v>160</v>
      </c>
      <c r="R286" s="135">
        <v>1</v>
      </c>
      <c r="S286" s="139">
        <v>263700</v>
      </c>
      <c r="U286" s="133">
        <v>421.92</v>
      </c>
      <c r="V286" s="137">
        <v>3.0000000000000001E-6</v>
      </c>
      <c r="W286" s="137">
        <v>5.4494475311471398E-2</v>
      </c>
      <c r="X286" s="137">
        <v>1.3069366591589899E-2</v>
      </c>
    </row>
    <row r="287" spans="1:24">
      <c r="A287">
        <v>161</v>
      </c>
      <c r="B287">
        <v>12468</v>
      </c>
      <c r="C287" t="s">
        <v>1932</v>
      </c>
      <c r="D287" t="s">
        <v>1933</v>
      </c>
      <c r="E287" t="s">
        <v>41</v>
      </c>
      <c r="F287" t="s">
        <v>2821</v>
      </c>
      <c r="G287" t="s">
        <v>2822</v>
      </c>
      <c r="H287" t="s">
        <v>44</v>
      </c>
      <c r="I287" t="s">
        <v>1476</v>
      </c>
      <c r="J287" t="s">
        <v>45</v>
      </c>
      <c r="K287" t="s">
        <v>45</v>
      </c>
      <c r="L287" t="s">
        <v>46</v>
      </c>
      <c r="M287" t="s">
        <v>47</v>
      </c>
      <c r="N287" t="s">
        <v>58</v>
      </c>
      <c r="O287" t="s">
        <v>51</v>
      </c>
      <c r="P287" t="s">
        <v>52</v>
      </c>
      <c r="Q287" s="133">
        <v>1950</v>
      </c>
      <c r="R287" s="135">
        <v>1</v>
      </c>
      <c r="S287" s="139">
        <v>3375</v>
      </c>
      <c r="T287" s="133">
        <v>0.65700000000000003</v>
      </c>
      <c r="U287" s="133">
        <v>66.47</v>
      </c>
      <c r="V287" s="137">
        <v>9.0000000000000002E-6</v>
      </c>
      <c r="W287" s="137">
        <v>8.5851530478609703E-3</v>
      </c>
      <c r="X287" s="137">
        <v>2.05897041463543E-3</v>
      </c>
    </row>
    <row r="288" spans="1:24">
      <c r="A288">
        <v>161</v>
      </c>
      <c r="B288">
        <v>12468</v>
      </c>
      <c r="C288" t="s">
        <v>1948</v>
      </c>
      <c r="D288" t="s">
        <v>1949</v>
      </c>
      <c r="E288" t="s">
        <v>41</v>
      </c>
      <c r="F288" t="s">
        <v>2920</v>
      </c>
      <c r="G288" t="s">
        <v>2921</v>
      </c>
      <c r="H288" t="s">
        <v>44</v>
      </c>
      <c r="I288" t="s">
        <v>1476</v>
      </c>
      <c r="J288" t="s">
        <v>45</v>
      </c>
      <c r="K288" t="s">
        <v>45</v>
      </c>
      <c r="L288" t="s">
        <v>46</v>
      </c>
      <c r="M288" t="s">
        <v>47</v>
      </c>
      <c r="N288" t="s">
        <v>58</v>
      </c>
      <c r="O288" t="s">
        <v>51</v>
      </c>
      <c r="P288" t="s">
        <v>52</v>
      </c>
      <c r="Q288" s="133">
        <v>3999</v>
      </c>
      <c r="R288" s="135">
        <v>1</v>
      </c>
      <c r="S288" s="139">
        <v>1923</v>
      </c>
      <c r="U288" s="133">
        <v>76.900999999999996</v>
      </c>
      <c r="V288" s="137">
        <v>7.9999999999999996E-6</v>
      </c>
      <c r="W288" s="137">
        <v>9.9323737016451894E-3</v>
      </c>
      <c r="X288" s="137">
        <v>2.3820732705383501E-3</v>
      </c>
    </row>
    <row r="289" spans="1:24">
      <c r="A289">
        <v>161</v>
      </c>
      <c r="B289">
        <v>12468</v>
      </c>
      <c r="C289" t="s">
        <v>1961</v>
      </c>
      <c r="D289" t="s">
        <v>1962</v>
      </c>
      <c r="E289" t="s">
        <v>41</v>
      </c>
      <c r="F289" t="s">
        <v>2823</v>
      </c>
      <c r="G289" t="s">
        <v>2824</v>
      </c>
      <c r="H289" t="s">
        <v>44</v>
      </c>
      <c r="I289" t="s">
        <v>1476</v>
      </c>
      <c r="J289" t="s">
        <v>45</v>
      </c>
      <c r="K289" t="s">
        <v>69</v>
      </c>
      <c r="L289" t="s">
        <v>46</v>
      </c>
      <c r="M289" t="s">
        <v>47</v>
      </c>
      <c r="N289" t="s">
        <v>49</v>
      </c>
      <c r="O289" t="s">
        <v>51</v>
      </c>
      <c r="P289" t="s">
        <v>52</v>
      </c>
      <c r="Q289" s="133">
        <v>1795.9</v>
      </c>
      <c r="R289" s="135">
        <v>1</v>
      </c>
      <c r="S289" s="139">
        <v>20930</v>
      </c>
      <c r="U289" s="133">
        <v>375.88200000000001</v>
      </c>
      <c r="V289" s="137">
        <v>1.2999999999999999E-5</v>
      </c>
      <c r="W289" s="137">
        <v>4.8548268118943597E-2</v>
      </c>
      <c r="X289" s="137">
        <v>1.16432924586707E-2</v>
      </c>
    </row>
    <row r="290" spans="1:24">
      <c r="A290">
        <v>161</v>
      </c>
      <c r="B290">
        <v>12468</v>
      </c>
      <c r="C290" t="s">
        <v>2322</v>
      </c>
      <c r="D290" t="s">
        <v>2323</v>
      </c>
      <c r="E290" t="s">
        <v>41</v>
      </c>
      <c r="F290" t="s">
        <v>2922</v>
      </c>
      <c r="G290" t="s">
        <v>2923</v>
      </c>
      <c r="H290" t="s">
        <v>44</v>
      </c>
      <c r="I290" t="s">
        <v>1476</v>
      </c>
      <c r="J290" t="s">
        <v>45</v>
      </c>
      <c r="K290" t="s">
        <v>45</v>
      </c>
      <c r="L290" t="s">
        <v>46</v>
      </c>
      <c r="M290" t="s">
        <v>47</v>
      </c>
      <c r="N290" t="s">
        <v>49</v>
      </c>
      <c r="O290" t="s">
        <v>51</v>
      </c>
      <c r="P290" t="s">
        <v>52</v>
      </c>
      <c r="Q290" s="133">
        <v>11824</v>
      </c>
      <c r="R290" s="135">
        <v>1</v>
      </c>
      <c r="S290" s="139">
        <v>1890</v>
      </c>
      <c r="U290" s="133">
        <v>223.47399999999999</v>
      </c>
      <c r="V290" s="137">
        <v>2.0000000000000002E-5</v>
      </c>
      <c r="W290" s="137">
        <v>2.8863473118045199E-2</v>
      </c>
      <c r="X290" s="137">
        <v>6.9223037588697599E-3</v>
      </c>
    </row>
    <row r="291" spans="1:24">
      <c r="A291">
        <v>161</v>
      </c>
      <c r="B291">
        <v>12468</v>
      </c>
      <c r="C291" t="s">
        <v>2540</v>
      </c>
      <c r="D291" t="s">
        <v>2541</v>
      </c>
      <c r="E291" t="s">
        <v>41</v>
      </c>
      <c r="F291" t="s">
        <v>2825</v>
      </c>
      <c r="G291" t="s">
        <v>2826</v>
      </c>
      <c r="H291" t="s">
        <v>44</v>
      </c>
      <c r="I291" t="s">
        <v>1476</v>
      </c>
      <c r="J291" t="s">
        <v>45</v>
      </c>
      <c r="K291" t="s">
        <v>45</v>
      </c>
      <c r="L291" t="s">
        <v>46</v>
      </c>
      <c r="M291" t="s">
        <v>47</v>
      </c>
      <c r="N291" t="s">
        <v>1069</v>
      </c>
      <c r="O291" t="s">
        <v>51</v>
      </c>
      <c r="P291" t="s">
        <v>52</v>
      </c>
      <c r="Q291" s="133">
        <v>16700</v>
      </c>
      <c r="R291" s="135">
        <v>1</v>
      </c>
      <c r="S291" s="139">
        <v>749</v>
      </c>
      <c r="U291" s="133">
        <v>125.083</v>
      </c>
      <c r="V291" s="137">
        <v>6.0000000000000002E-6</v>
      </c>
      <c r="W291" s="137">
        <v>1.61555092325198E-2</v>
      </c>
      <c r="X291" s="137">
        <v>3.8745629061808901E-3</v>
      </c>
    </row>
    <row r="292" spans="1:24">
      <c r="A292">
        <v>161</v>
      </c>
      <c r="B292">
        <v>12468</v>
      </c>
      <c r="C292" t="s">
        <v>53</v>
      </c>
      <c r="D292" t="s">
        <v>54</v>
      </c>
      <c r="E292" t="s">
        <v>41</v>
      </c>
      <c r="F292" t="s">
        <v>2827</v>
      </c>
      <c r="G292" t="s">
        <v>57</v>
      </c>
      <c r="H292" t="s">
        <v>44</v>
      </c>
      <c r="I292" t="s">
        <v>1476</v>
      </c>
      <c r="J292" t="s">
        <v>45</v>
      </c>
      <c r="K292" t="s">
        <v>45</v>
      </c>
      <c r="L292" t="s">
        <v>46</v>
      </c>
      <c r="M292" t="s">
        <v>47</v>
      </c>
      <c r="N292" t="s">
        <v>58</v>
      </c>
      <c r="O292" t="s">
        <v>51</v>
      </c>
      <c r="P292" t="s">
        <v>52</v>
      </c>
      <c r="Q292" s="133">
        <v>170</v>
      </c>
      <c r="R292" s="135">
        <v>1</v>
      </c>
      <c r="S292" s="139">
        <v>71680</v>
      </c>
      <c r="U292" s="133">
        <v>121.85599999999999</v>
      </c>
      <c r="V292" s="137">
        <v>6.9999999999999999E-6</v>
      </c>
      <c r="W292" s="137">
        <v>1.5738715357306199E-2</v>
      </c>
      <c r="X292" s="137">
        <v>3.7746035631986701E-3</v>
      </c>
    </row>
    <row r="293" spans="1:24">
      <c r="A293">
        <v>161</v>
      </c>
      <c r="B293">
        <v>12468</v>
      </c>
      <c r="C293" t="s">
        <v>1989</v>
      </c>
      <c r="D293" t="s">
        <v>1990</v>
      </c>
      <c r="E293" t="s">
        <v>41</v>
      </c>
      <c r="F293" t="s">
        <v>2924</v>
      </c>
      <c r="G293" t="s">
        <v>2925</v>
      </c>
      <c r="H293" t="s">
        <v>44</v>
      </c>
      <c r="I293" t="s">
        <v>1476</v>
      </c>
      <c r="J293" t="s">
        <v>45</v>
      </c>
      <c r="K293" t="s">
        <v>45</v>
      </c>
      <c r="L293" t="s">
        <v>46</v>
      </c>
      <c r="M293" t="s">
        <v>47</v>
      </c>
      <c r="N293" t="s">
        <v>58</v>
      </c>
      <c r="O293" t="s">
        <v>51</v>
      </c>
      <c r="P293" t="s">
        <v>52</v>
      </c>
      <c r="Q293" s="133">
        <v>1300</v>
      </c>
      <c r="R293" s="135">
        <v>1</v>
      </c>
      <c r="S293" s="139">
        <v>3584</v>
      </c>
      <c r="U293" s="133">
        <v>46.591999999999999</v>
      </c>
      <c r="V293" s="137">
        <v>6.0000000000000002E-6</v>
      </c>
      <c r="W293" s="137">
        <v>6.0177441072053299E-3</v>
      </c>
      <c r="X293" s="137">
        <v>1.4432307741642E-3</v>
      </c>
    </row>
    <row r="294" spans="1:24">
      <c r="A294">
        <v>161</v>
      </c>
      <c r="B294">
        <v>12468</v>
      </c>
      <c r="C294" t="s">
        <v>2926</v>
      </c>
      <c r="D294" t="s">
        <v>2927</v>
      </c>
      <c r="E294" t="s">
        <v>41</v>
      </c>
      <c r="F294" t="s">
        <v>2928</v>
      </c>
      <c r="G294" t="s">
        <v>2929</v>
      </c>
      <c r="H294" t="s">
        <v>44</v>
      </c>
      <c r="I294" t="s">
        <v>1476</v>
      </c>
      <c r="J294" t="s">
        <v>45</v>
      </c>
      <c r="K294" t="s">
        <v>45</v>
      </c>
      <c r="L294" t="s">
        <v>46</v>
      </c>
      <c r="M294" t="s">
        <v>47</v>
      </c>
      <c r="N294" t="s">
        <v>221</v>
      </c>
      <c r="O294" t="s">
        <v>51</v>
      </c>
      <c r="P294" t="s">
        <v>52</v>
      </c>
      <c r="Q294" s="133">
        <v>4823</v>
      </c>
      <c r="R294" s="135">
        <v>1</v>
      </c>
      <c r="S294" s="139">
        <v>3148</v>
      </c>
      <c r="T294" s="133">
        <v>1.6870000000000001</v>
      </c>
      <c r="U294" s="133">
        <v>153.51499999999999</v>
      </c>
      <c r="V294" s="137">
        <v>3.9999999999999998E-6</v>
      </c>
      <c r="W294" s="137">
        <v>1.9827768086769601E-2</v>
      </c>
      <c r="X294" s="137">
        <v>4.7552778210614398E-3</v>
      </c>
    </row>
    <row r="295" spans="1:24">
      <c r="A295">
        <v>161</v>
      </c>
      <c r="B295">
        <v>12468</v>
      </c>
      <c r="C295" t="s">
        <v>2930</v>
      </c>
      <c r="D295" t="s">
        <v>2931</v>
      </c>
      <c r="E295" t="s">
        <v>41</v>
      </c>
      <c r="F295" t="s">
        <v>2932</v>
      </c>
      <c r="G295" t="s">
        <v>2933</v>
      </c>
      <c r="H295" t="s">
        <v>44</v>
      </c>
      <c r="I295" t="s">
        <v>1476</v>
      </c>
      <c r="J295" t="s">
        <v>45</v>
      </c>
      <c r="K295" t="s">
        <v>45</v>
      </c>
      <c r="L295" t="s">
        <v>46</v>
      </c>
      <c r="M295" t="s">
        <v>47</v>
      </c>
      <c r="N295" t="s">
        <v>1038</v>
      </c>
      <c r="O295" t="s">
        <v>51</v>
      </c>
      <c r="P295" t="s">
        <v>52</v>
      </c>
      <c r="Q295" s="133">
        <v>180</v>
      </c>
      <c r="R295" s="135">
        <v>1</v>
      </c>
      <c r="S295" s="139">
        <v>42240</v>
      </c>
      <c r="U295" s="133">
        <v>76.031999999999996</v>
      </c>
      <c r="V295" s="137">
        <v>7.9999999999999996E-6</v>
      </c>
      <c r="W295" s="137">
        <v>9.8201648342856208E-3</v>
      </c>
      <c r="X295" s="137">
        <v>2.3551623072899301E-3</v>
      </c>
    </row>
    <row r="296" spans="1:24">
      <c r="A296">
        <v>161</v>
      </c>
      <c r="B296">
        <v>12468</v>
      </c>
      <c r="C296" t="s">
        <v>2828</v>
      </c>
      <c r="D296" t="s">
        <v>2829</v>
      </c>
      <c r="E296" t="s">
        <v>41</v>
      </c>
      <c r="F296" t="s">
        <v>2830</v>
      </c>
      <c r="G296" t="s">
        <v>2831</v>
      </c>
      <c r="H296" t="s">
        <v>44</v>
      </c>
      <c r="I296" t="s">
        <v>1476</v>
      </c>
      <c r="J296" t="s">
        <v>45</v>
      </c>
      <c r="K296" t="s">
        <v>45</v>
      </c>
      <c r="L296" t="s">
        <v>46</v>
      </c>
      <c r="M296" t="s">
        <v>47</v>
      </c>
      <c r="N296" s="125" t="s">
        <v>1063</v>
      </c>
      <c r="O296" t="s">
        <v>51</v>
      </c>
      <c r="P296" t="s">
        <v>52</v>
      </c>
      <c r="Q296" s="133">
        <v>670</v>
      </c>
      <c r="R296" s="135">
        <v>1</v>
      </c>
      <c r="S296" s="139">
        <v>13860</v>
      </c>
      <c r="U296" s="133">
        <v>92.861999999999995</v>
      </c>
      <c r="V296" s="137">
        <v>6.0000000000000002E-6</v>
      </c>
      <c r="W296" s="137">
        <v>1.1993899237708199E-2</v>
      </c>
      <c r="X296" s="137">
        <v>2.8764872971848302E-3</v>
      </c>
    </row>
    <row r="297" spans="1:24">
      <c r="A297">
        <v>161</v>
      </c>
      <c r="B297">
        <v>12468</v>
      </c>
      <c r="C297" t="s">
        <v>2030</v>
      </c>
      <c r="D297" t="s">
        <v>2031</v>
      </c>
      <c r="E297" t="s">
        <v>41</v>
      </c>
      <c r="F297" t="s">
        <v>2832</v>
      </c>
      <c r="G297" t="s">
        <v>2833</v>
      </c>
      <c r="H297" t="s">
        <v>44</v>
      </c>
      <c r="I297" t="s">
        <v>1476</v>
      </c>
      <c r="J297" t="s">
        <v>45</v>
      </c>
      <c r="K297" t="s">
        <v>45</v>
      </c>
      <c r="L297" t="s">
        <v>46</v>
      </c>
      <c r="M297" t="s">
        <v>47</v>
      </c>
      <c r="N297" t="s">
        <v>1037</v>
      </c>
      <c r="O297" t="s">
        <v>51</v>
      </c>
      <c r="P297" t="s">
        <v>52</v>
      </c>
      <c r="Q297" s="133">
        <v>1683</v>
      </c>
      <c r="R297" s="135">
        <v>1</v>
      </c>
      <c r="S297" s="139">
        <v>16600</v>
      </c>
      <c r="U297" s="133">
        <v>279.37799999999999</v>
      </c>
      <c r="V297" s="137">
        <v>6.0000000000000002E-6</v>
      </c>
      <c r="W297" s="137">
        <v>3.60839910968151E-2</v>
      </c>
      <c r="X297" s="137">
        <v>8.6539948322554294E-3</v>
      </c>
    </row>
    <row r="298" spans="1:24">
      <c r="A298">
        <v>161</v>
      </c>
      <c r="B298">
        <v>12468</v>
      </c>
      <c r="C298" t="s">
        <v>2047</v>
      </c>
      <c r="D298" t="s">
        <v>2048</v>
      </c>
      <c r="E298" t="s">
        <v>41</v>
      </c>
      <c r="F298" t="s">
        <v>3126</v>
      </c>
      <c r="G298" t="s">
        <v>3127</v>
      </c>
      <c r="H298" t="s">
        <v>44</v>
      </c>
      <c r="I298" t="s">
        <v>1476</v>
      </c>
      <c r="J298" t="s">
        <v>45</v>
      </c>
      <c r="K298" t="s">
        <v>45</v>
      </c>
      <c r="L298" t="s">
        <v>46</v>
      </c>
      <c r="M298" t="s">
        <v>47</v>
      </c>
      <c r="N298" t="s">
        <v>1038</v>
      </c>
      <c r="O298" t="s">
        <v>51</v>
      </c>
      <c r="P298" t="s">
        <v>52</v>
      </c>
      <c r="Q298" s="133">
        <v>2800</v>
      </c>
      <c r="R298" s="135">
        <v>1</v>
      </c>
      <c r="S298" s="139">
        <v>2479</v>
      </c>
      <c r="U298" s="133">
        <v>69.412000000000006</v>
      </c>
      <c r="V298" s="137">
        <v>4.5000000000000003E-5</v>
      </c>
      <c r="W298" s="137">
        <v>8.9651368039435197E-3</v>
      </c>
      <c r="X298" s="137">
        <v>2.1501016160775498E-3</v>
      </c>
    </row>
    <row r="299" spans="1:24">
      <c r="A299">
        <v>161</v>
      </c>
      <c r="B299">
        <v>12468</v>
      </c>
      <c r="C299" t="s">
        <v>2834</v>
      </c>
      <c r="D299" t="s">
        <v>2835</v>
      </c>
      <c r="E299" t="s">
        <v>41</v>
      </c>
      <c r="F299" t="s">
        <v>2836</v>
      </c>
      <c r="G299" t="s">
        <v>2837</v>
      </c>
      <c r="H299" t="s">
        <v>44</v>
      </c>
      <c r="I299" t="s">
        <v>1476</v>
      </c>
      <c r="J299" t="s">
        <v>45</v>
      </c>
      <c r="K299" t="s">
        <v>264</v>
      </c>
      <c r="L299" t="s">
        <v>46</v>
      </c>
      <c r="M299" t="s">
        <v>47</v>
      </c>
      <c r="N299" t="s">
        <v>1045</v>
      </c>
      <c r="O299" t="s">
        <v>51</v>
      </c>
      <c r="P299" t="s">
        <v>52</v>
      </c>
      <c r="Q299" s="133">
        <v>410</v>
      </c>
      <c r="R299" s="135">
        <v>1</v>
      </c>
      <c r="S299" s="139">
        <v>53870</v>
      </c>
      <c r="U299" s="133">
        <v>220.86699999999999</v>
      </c>
      <c r="V299" s="137">
        <v>3.9999999999999998E-6</v>
      </c>
      <c r="W299" s="137">
        <v>2.8526809060055801E-2</v>
      </c>
      <c r="X299" s="137">
        <v>6.8415618861032701E-3</v>
      </c>
    </row>
    <row r="300" spans="1:24">
      <c r="A300">
        <v>161</v>
      </c>
      <c r="B300">
        <v>12468</v>
      </c>
      <c r="C300" t="s">
        <v>2838</v>
      </c>
      <c r="D300" t="s">
        <v>2839</v>
      </c>
      <c r="E300" t="s">
        <v>41</v>
      </c>
      <c r="F300" t="s">
        <v>2840</v>
      </c>
      <c r="G300" t="s">
        <v>2841</v>
      </c>
      <c r="H300" t="s">
        <v>44</v>
      </c>
      <c r="I300" t="s">
        <v>1476</v>
      </c>
      <c r="J300" t="s">
        <v>45</v>
      </c>
      <c r="K300" t="s">
        <v>69</v>
      </c>
      <c r="L300" t="s">
        <v>46</v>
      </c>
      <c r="M300" t="s">
        <v>47</v>
      </c>
      <c r="N300" t="s">
        <v>1052</v>
      </c>
      <c r="O300" t="s">
        <v>51</v>
      </c>
      <c r="P300" t="s">
        <v>52</v>
      </c>
      <c r="Q300" s="133">
        <v>4033</v>
      </c>
      <c r="R300" s="135">
        <v>1</v>
      </c>
      <c r="S300" s="139">
        <v>9239</v>
      </c>
      <c r="U300" s="133">
        <v>372.60899999999998</v>
      </c>
      <c r="V300" s="137">
        <v>3.0000000000000001E-6</v>
      </c>
      <c r="W300" s="137">
        <v>4.8125532961344003E-2</v>
      </c>
      <c r="X300" s="137">
        <v>1.1541908222668E-2</v>
      </c>
    </row>
    <row r="301" spans="1:24">
      <c r="A301">
        <v>161</v>
      </c>
      <c r="B301">
        <v>12468</v>
      </c>
      <c r="C301" t="s">
        <v>2628</v>
      </c>
      <c r="D301" t="s">
        <v>2629</v>
      </c>
      <c r="E301" t="s">
        <v>41</v>
      </c>
      <c r="F301" t="s">
        <v>2842</v>
      </c>
      <c r="G301" t="s">
        <v>2843</v>
      </c>
      <c r="H301" t="s">
        <v>44</v>
      </c>
      <c r="I301" t="s">
        <v>1476</v>
      </c>
      <c r="J301" t="s">
        <v>45</v>
      </c>
      <c r="K301" t="s">
        <v>45</v>
      </c>
      <c r="L301" t="s">
        <v>46</v>
      </c>
      <c r="M301" t="s">
        <v>47</v>
      </c>
      <c r="N301" t="s">
        <v>1038</v>
      </c>
      <c r="O301" t="s">
        <v>51</v>
      </c>
      <c r="P301" t="s">
        <v>52</v>
      </c>
      <c r="Q301" s="133">
        <v>3613</v>
      </c>
      <c r="R301" s="135">
        <v>1</v>
      </c>
      <c r="S301" s="139">
        <v>1751</v>
      </c>
      <c r="T301" s="133">
        <v>0.26500000000000001</v>
      </c>
      <c r="U301" s="133">
        <v>63.527999999999999</v>
      </c>
      <c r="V301" s="137">
        <v>1.1E-5</v>
      </c>
      <c r="W301" s="137">
        <v>8.2052248298529005E-3</v>
      </c>
      <c r="X301" s="137">
        <v>1.96785253284547E-3</v>
      </c>
    </row>
    <row r="302" spans="1:24">
      <c r="A302">
        <v>161</v>
      </c>
      <c r="B302">
        <v>12468</v>
      </c>
      <c r="C302" t="s">
        <v>2348</v>
      </c>
      <c r="D302" t="s">
        <v>2349</v>
      </c>
      <c r="E302" t="s">
        <v>41</v>
      </c>
      <c r="F302" t="s">
        <v>2948</v>
      </c>
      <c r="G302" t="s">
        <v>2949</v>
      </c>
      <c r="H302" t="s">
        <v>44</v>
      </c>
      <c r="I302" t="s">
        <v>1476</v>
      </c>
      <c r="J302" t="s">
        <v>45</v>
      </c>
      <c r="K302" t="s">
        <v>45</v>
      </c>
      <c r="L302" t="s">
        <v>46</v>
      </c>
      <c r="M302" t="s">
        <v>47</v>
      </c>
      <c r="N302" t="s">
        <v>1037</v>
      </c>
      <c r="O302" t="s">
        <v>51</v>
      </c>
      <c r="P302" t="s">
        <v>52</v>
      </c>
      <c r="Q302" s="133">
        <v>1020</v>
      </c>
      <c r="R302" s="135">
        <v>1</v>
      </c>
      <c r="S302" s="139">
        <v>22200</v>
      </c>
      <c r="U302" s="133">
        <v>226.44</v>
      </c>
      <c r="V302" s="137">
        <v>1.2999999999999999E-5</v>
      </c>
      <c r="W302" s="137">
        <v>2.92466083369586E-2</v>
      </c>
      <c r="X302" s="137">
        <v>7.0141907731314504E-3</v>
      </c>
    </row>
    <row r="303" spans="1:24">
      <c r="A303">
        <v>161</v>
      </c>
      <c r="B303">
        <v>12468</v>
      </c>
      <c r="C303" t="s">
        <v>216</v>
      </c>
      <c r="D303" t="s">
        <v>217</v>
      </c>
      <c r="E303" t="s">
        <v>41</v>
      </c>
      <c r="F303" t="s">
        <v>2844</v>
      </c>
      <c r="G303" t="s">
        <v>2845</v>
      </c>
      <c r="H303" t="s">
        <v>44</v>
      </c>
      <c r="I303" t="s">
        <v>1476</v>
      </c>
      <c r="J303" t="s">
        <v>45</v>
      </c>
      <c r="K303" t="s">
        <v>45</v>
      </c>
      <c r="L303" t="s">
        <v>46</v>
      </c>
      <c r="M303" t="s">
        <v>47</v>
      </c>
      <c r="N303" t="s">
        <v>221</v>
      </c>
      <c r="O303" t="s">
        <v>51</v>
      </c>
      <c r="P303" t="s">
        <v>52</v>
      </c>
      <c r="Q303" s="133">
        <v>6674</v>
      </c>
      <c r="R303" s="135">
        <v>1</v>
      </c>
      <c r="S303" s="139">
        <v>6979</v>
      </c>
      <c r="U303" s="133">
        <v>465.77800000000002</v>
      </c>
      <c r="V303" s="137">
        <v>3.9999999999999998E-6</v>
      </c>
      <c r="W303" s="137">
        <v>6.0159160004467999E-2</v>
      </c>
      <c r="X303" s="137">
        <v>1.44279234077697E-2</v>
      </c>
    </row>
    <row r="304" spans="1:24">
      <c r="A304">
        <v>161</v>
      </c>
      <c r="B304">
        <v>12468</v>
      </c>
      <c r="C304" t="s">
        <v>2151</v>
      </c>
      <c r="D304" t="s">
        <v>2152</v>
      </c>
      <c r="E304" t="s">
        <v>41</v>
      </c>
      <c r="F304" t="s">
        <v>2846</v>
      </c>
      <c r="G304" t="s">
        <v>2847</v>
      </c>
      <c r="H304" t="s">
        <v>44</v>
      </c>
      <c r="I304" t="s">
        <v>1476</v>
      </c>
      <c r="J304" t="s">
        <v>45</v>
      </c>
      <c r="K304" t="s">
        <v>45</v>
      </c>
      <c r="L304" t="s">
        <v>46</v>
      </c>
      <c r="M304" t="s">
        <v>47</v>
      </c>
      <c r="N304" t="s">
        <v>58</v>
      </c>
      <c r="O304" t="s">
        <v>51</v>
      </c>
      <c r="P304" t="s">
        <v>52</v>
      </c>
      <c r="Q304" s="133">
        <v>260</v>
      </c>
      <c r="R304" s="135">
        <v>1</v>
      </c>
      <c r="S304" s="139">
        <v>50060</v>
      </c>
      <c r="U304" s="133">
        <v>130.15600000000001</v>
      </c>
      <c r="V304" s="137">
        <v>6.9999999999999999E-6</v>
      </c>
      <c r="W304" s="137">
        <v>1.68107293530524E-2</v>
      </c>
      <c r="X304" s="137">
        <v>4.0317038255948496E-3</v>
      </c>
    </row>
    <row r="305" spans="1:24">
      <c r="A305">
        <v>161</v>
      </c>
      <c r="B305">
        <v>12468</v>
      </c>
      <c r="C305" t="s">
        <v>2301</v>
      </c>
      <c r="D305" t="s">
        <v>2302</v>
      </c>
      <c r="E305" t="s">
        <v>41</v>
      </c>
      <c r="F305" t="s">
        <v>2934</v>
      </c>
      <c r="G305" t="s">
        <v>2935</v>
      </c>
      <c r="H305" t="s">
        <v>44</v>
      </c>
      <c r="I305" t="s">
        <v>1476</v>
      </c>
      <c r="J305" t="s">
        <v>45</v>
      </c>
      <c r="K305" t="s">
        <v>45</v>
      </c>
      <c r="L305" t="s">
        <v>46</v>
      </c>
      <c r="M305" t="s">
        <v>47</v>
      </c>
      <c r="N305" t="s">
        <v>221</v>
      </c>
      <c r="O305" t="s">
        <v>51</v>
      </c>
      <c r="P305" t="s">
        <v>52</v>
      </c>
      <c r="Q305" s="133">
        <v>760</v>
      </c>
      <c r="R305" s="135">
        <v>1</v>
      </c>
      <c r="S305" s="139">
        <v>22780</v>
      </c>
      <c r="U305" s="133">
        <v>173.12799999999999</v>
      </c>
      <c r="V305" s="137">
        <v>3.0000000000000001E-6</v>
      </c>
      <c r="W305" s="137">
        <v>2.23609203681371E-2</v>
      </c>
      <c r="X305" s="137">
        <v>5.3628017142320402E-3</v>
      </c>
    </row>
    <row r="306" spans="1:24">
      <c r="A306">
        <v>161</v>
      </c>
      <c r="B306">
        <v>12468</v>
      </c>
      <c r="C306" t="s">
        <v>2848</v>
      </c>
      <c r="D306" t="s">
        <v>2849</v>
      </c>
      <c r="E306" t="s">
        <v>41</v>
      </c>
      <c r="F306" t="s">
        <v>2850</v>
      </c>
      <c r="G306" t="s">
        <v>2851</v>
      </c>
      <c r="H306" t="s">
        <v>44</v>
      </c>
      <c r="I306" t="s">
        <v>1476</v>
      </c>
      <c r="J306" t="s">
        <v>45</v>
      </c>
      <c r="K306" t="s">
        <v>45</v>
      </c>
      <c r="L306" t="s">
        <v>46</v>
      </c>
      <c r="M306" t="s">
        <v>47</v>
      </c>
      <c r="N306" s="125" t="s">
        <v>1061</v>
      </c>
      <c r="O306" t="s">
        <v>51</v>
      </c>
      <c r="P306" t="s">
        <v>52</v>
      </c>
      <c r="Q306" s="133">
        <v>630</v>
      </c>
      <c r="R306" s="135">
        <v>1</v>
      </c>
      <c r="S306" s="139">
        <v>8714</v>
      </c>
      <c r="U306" s="133">
        <v>54.898000000000003</v>
      </c>
      <c r="V306" s="137">
        <v>6.9999999999999999E-6</v>
      </c>
      <c r="W306" s="137">
        <v>7.0905588844904603E-3</v>
      </c>
      <c r="X306" s="137">
        <v>1.7005230873587899E-3</v>
      </c>
    </row>
    <row r="307" spans="1:24">
      <c r="A307">
        <v>161</v>
      </c>
      <c r="B307">
        <v>12468</v>
      </c>
      <c r="C307" t="s">
        <v>2191</v>
      </c>
      <c r="D307" t="s">
        <v>2192</v>
      </c>
      <c r="E307" t="s">
        <v>41</v>
      </c>
      <c r="F307" t="s">
        <v>2852</v>
      </c>
      <c r="G307" t="s">
        <v>2853</v>
      </c>
      <c r="H307" t="s">
        <v>44</v>
      </c>
      <c r="I307" t="s">
        <v>1476</v>
      </c>
      <c r="J307" t="s">
        <v>45</v>
      </c>
      <c r="K307" t="s">
        <v>45</v>
      </c>
      <c r="L307" t="s">
        <v>46</v>
      </c>
      <c r="M307" t="s">
        <v>47</v>
      </c>
      <c r="N307" t="s">
        <v>58</v>
      </c>
      <c r="O307" t="s">
        <v>51</v>
      </c>
      <c r="P307" t="s">
        <v>52</v>
      </c>
      <c r="Q307" s="133">
        <v>279</v>
      </c>
      <c r="R307" s="135">
        <v>1</v>
      </c>
      <c r="S307" s="139">
        <v>40600</v>
      </c>
      <c r="T307" s="133">
        <v>0.52600000000000002</v>
      </c>
      <c r="U307" s="133">
        <v>113.8</v>
      </c>
      <c r="V307" s="137">
        <v>6.0000000000000002E-6</v>
      </c>
      <c r="W307" s="137">
        <v>1.46982805690252E-2</v>
      </c>
      <c r="X307" s="137">
        <v>3.5250769169658399E-3</v>
      </c>
    </row>
    <row r="308" spans="1:24">
      <c r="A308">
        <v>161</v>
      </c>
      <c r="B308">
        <v>12468</v>
      </c>
      <c r="C308" t="s">
        <v>2427</v>
      </c>
      <c r="D308" t="s">
        <v>2428</v>
      </c>
      <c r="E308" t="s">
        <v>41</v>
      </c>
      <c r="F308" t="s">
        <v>2854</v>
      </c>
      <c r="G308" t="s">
        <v>2855</v>
      </c>
      <c r="H308" t="s">
        <v>44</v>
      </c>
      <c r="I308" t="s">
        <v>1476</v>
      </c>
      <c r="J308" t="s">
        <v>45</v>
      </c>
      <c r="K308" t="s">
        <v>45</v>
      </c>
      <c r="L308" t="s">
        <v>46</v>
      </c>
      <c r="M308" t="s">
        <v>47</v>
      </c>
      <c r="N308" t="s">
        <v>1037</v>
      </c>
      <c r="O308" t="s">
        <v>51</v>
      </c>
      <c r="P308" t="s">
        <v>52</v>
      </c>
      <c r="Q308" s="133">
        <v>130</v>
      </c>
      <c r="R308" s="135">
        <v>1</v>
      </c>
      <c r="S308" s="139">
        <v>45370</v>
      </c>
      <c r="U308" s="133">
        <v>58.981000000000002</v>
      </c>
      <c r="V308" s="137">
        <v>1.9999999999999999E-6</v>
      </c>
      <c r="W308" s="137">
        <v>7.6178864437473704E-3</v>
      </c>
      <c r="X308" s="137">
        <v>1.82699163570953E-3</v>
      </c>
    </row>
    <row r="309" spans="1:24">
      <c r="A309">
        <v>161</v>
      </c>
      <c r="B309">
        <v>12468</v>
      </c>
      <c r="C309" t="s">
        <v>2693</v>
      </c>
      <c r="D309" t="s">
        <v>2694</v>
      </c>
      <c r="E309" t="s">
        <v>146</v>
      </c>
      <c r="F309" t="s">
        <v>2856</v>
      </c>
      <c r="G309" t="s">
        <v>2857</v>
      </c>
      <c r="H309" t="s">
        <v>44</v>
      </c>
      <c r="I309" t="s">
        <v>1476</v>
      </c>
      <c r="J309" t="s">
        <v>45</v>
      </c>
      <c r="K309" t="s">
        <v>69</v>
      </c>
      <c r="L309" t="s">
        <v>46</v>
      </c>
      <c r="M309" t="s">
        <v>47</v>
      </c>
      <c r="N309" t="s">
        <v>210</v>
      </c>
      <c r="O309" t="s">
        <v>51</v>
      </c>
      <c r="P309" t="s">
        <v>52</v>
      </c>
      <c r="Q309" s="133">
        <v>2105</v>
      </c>
      <c r="R309" s="135">
        <v>1</v>
      </c>
      <c r="S309" s="139">
        <v>12900</v>
      </c>
      <c r="U309" s="133">
        <v>271.54500000000002</v>
      </c>
      <c r="V309" s="137">
        <v>1.8E-5</v>
      </c>
      <c r="W309" s="137">
        <v>3.5072294033118803E-2</v>
      </c>
      <c r="X309" s="137">
        <v>8.4113603316109398E-3</v>
      </c>
    </row>
    <row r="310" spans="1:24">
      <c r="A310">
        <v>161</v>
      </c>
      <c r="B310">
        <v>12468</v>
      </c>
      <c r="C310" t="s">
        <v>2905</v>
      </c>
      <c r="D310" t="s">
        <v>2906</v>
      </c>
      <c r="E310" t="s">
        <v>41</v>
      </c>
      <c r="F310" t="s">
        <v>2950</v>
      </c>
      <c r="G310" t="s">
        <v>2908</v>
      </c>
      <c r="H310" t="s">
        <v>44</v>
      </c>
      <c r="I310" t="s">
        <v>1476</v>
      </c>
      <c r="J310" t="s">
        <v>45</v>
      </c>
      <c r="K310" t="s">
        <v>264</v>
      </c>
      <c r="L310" t="s">
        <v>46</v>
      </c>
      <c r="M310" t="s">
        <v>47</v>
      </c>
      <c r="N310" t="s">
        <v>1045</v>
      </c>
      <c r="O310" t="s">
        <v>51</v>
      </c>
      <c r="P310" t="s">
        <v>52</v>
      </c>
      <c r="Q310" s="133">
        <v>128</v>
      </c>
      <c r="R310" s="135">
        <v>1</v>
      </c>
      <c r="S310" s="139">
        <v>135650</v>
      </c>
      <c r="U310" s="133">
        <v>173.63200000000001</v>
      </c>
      <c r="V310" s="137">
        <v>3.9999999999999998E-6</v>
      </c>
      <c r="W310" s="137">
        <v>2.2426016157758299E-2</v>
      </c>
      <c r="X310" s="137">
        <v>5.3784135855871797E-3</v>
      </c>
    </row>
    <row r="311" spans="1:24">
      <c r="A311">
        <v>161</v>
      </c>
      <c r="B311">
        <v>12468</v>
      </c>
      <c r="C311" t="s">
        <v>2858</v>
      </c>
      <c r="D311" t="s">
        <v>2859</v>
      </c>
      <c r="E311" t="s">
        <v>146</v>
      </c>
      <c r="F311" t="s">
        <v>2860</v>
      </c>
      <c r="G311" t="s">
        <v>2861</v>
      </c>
      <c r="H311" t="s">
        <v>44</v>
      </c>
      <c r="I311" t="s">
        <v>1476</v>
      </c>
      <c r="J311" t="s">
        <v>45</v>
      </c>
      <c r="K311" t="s">
        <v>45</v>
      </c>
      <c r="L311" t="s">
        <v>46</v>
      </c>
      <c r="M311" t="s">
        <v>47</v>
      </c>
      <c r="N311" t="s">
        <v>210</v>
      </c>
      <c r="O311" t="s">
        <v>51</v>
      </c>
      <c r="P311" t="s">
        <v>52</v>
      </c>
      <c r="Q311" s="133">
        <v>7029</v>
      </c>
      <c r="R311" s="135">
        <v>1</v>
      </c>
      <c r="S311" s="139">
        <v>1799</v>
      </c>
      <c r="U311" s="133">
        <v>126.452</v>
      </c>
      <c r="V311" s="137">
        <v>6.0000000000000002E-6</v>
      </c>
      <c r="W311" s="137">
        <v>1.6332289506750901E-2</v>
      </c>
      <c r="X311" s="137">
        <v>3.9169599784874302E-3</v>
      </c>
    </row>
    <row r="312" spans="1:24">
      <c r="A312">
        <v>161</v>
      </c>
      <c r="B312">
        <v>12468</v>
      </c>
      <c r="C312" t="s">
        <v>2936</v>
      </c>
      <c r="D312" t="s">
        <v>2937</v>
      </c>
      <c r="E312" t="s">
        <v>41</v>
      </c>
      <c r="F312" t="s">
        <v>2938</v>
      </c>
      <c r="G312" t="s">
        <v>2939</v>
      </c>
      <c r="H312" t="s">
        <v>44</v>
      </c>
      <c r="I312" t="s">
        <v>1476</v>
      </c>
      <c r="J312" t="s">
        <v>45</v>
      </c>
      <c r="K312" t="s">
        <v>69</v>
      </c>
      <c r="L312" t="s">
        <v>46</v>
      </c>
      <c r="M312" t="s">
        <v>47</v>
      </c>
      <c r="N312" t="s">
        <v>1065</v>
      </c>
      <c r="O312" t="s">
        <v>51</v>
      </c>
      <c r="P312" t="s">
        <v>52</v>
      </c>
      <c r="Q312" s="133">
        <v>185</v>
      </c>
      <c r="R312" s="135">
        <v>1</v>
      </c>
      <c r="S312" s="139">
        <v>34690</v>
      </c>
      <c r="U312" s="133">
        <v>64.177000000000007</v>
      </c>
      <c r="V312" s="137">
        <v>1.9999999999999999E-6</v>
      </c>
      <c r="W312" s="137">
        <v>8.28892845759064E-3</v>
      </c>
      <c r="X312" s="137">
        <v>1.9879271071889699E-3</v>
      </c>
    </row>
    <row r="313" spans="1:24">
      <c r="A313">
        <v>161</v>
      </c>
      <c r="B313">
        <v>12468</v>
      </c>
      <c r="C313" t="s">
        <v>2862</v>
      </c>
      <c r="D313" t="s">
        <v>2863</v>
      </c>
      <c r="E313" t="s">
        <v>41</v>
      </c>
      <c r="F313" t="s">
        <v>2862</v>
      </c>
      <c r="G313" t="s">
        <v>2864</v>
      </c>
      <c r="H313" t="s">
        <v>44</v>
      </c>
      <c r="I313" t="s">
        <v>1476</v>
      </c>
      <c r="J313" t="s">
        <v>45</v>
      </c>
      <c r="K313" t="s">
        <v>45</v>
      </c>
      <c r="L313" t="s">
        <v>46</v>
      </c>
      <c r="M313" t="s">
        <v>47</v>
      </c>
      <c r="N313" t="s">
        <v>1033</v>
      </c>
      <c r="O313" t="s">
        <v>51</v>
      </c>
      <c r="P313" t="s">
        <v>52</v>
      </c>
      <c r="Q313" s="133">
        <v>1433</v>
      </c>
      <c r="R313" s="135">
        <v>1</v>
      </c>
      <c r="S313" s="139">
        <v>30500</v>
      </c>
      <c r="U313" s="133">
        <v>437.065</v>
      </c>
      <c r="V313" s="137">
        <v>1.5999999999999999E-5</v>
      </c>
      <c r="W313" s="137">
        <v>5.6450577957926198E-2</v>
      </c>
      <c r="X313" s="137">
        <v>1.35384971306249E-2</v>
      </c>
    </row>
    <row r="314" spans="1:24">
      <c r="A314">
        <v>161</v>
      </c>
      <c r="B314">
        <v>12468</v>
      </c>
      <c r="C314" t="s">
        <v>2226</v>
      </c>
      <c r="D314" t="s">
        <v>2227</v>
      </c>
      <c r="E314" t="s">
        <v>41</v>
      </c>
      <c r="F314" t="s">
        <v>2865</v>
      </c>
      <c r="G314" t="s">
        <v>2866</v>
      </c>
      <c r="H314" t="s">
        <v>44</v>
      </c>
      <c r="I314" t="s">
        <v>1476</v>
      </c>
      <c r="J314" t="s">
        <v>45</v>
      </c>
      <c r="K314" t="s">
        <v>45</v>
      </c>
      <c r="L314" t="s">
        <v>46</v>
      </c>
      <c r="M314" t="s">
        <v>47</v>
      </c>
      <c r="N314" t="s">
        <v>58</v>
      </c>
      <c r="O314" t="s">
        <v>51</v>
      </c>
      <c r="P314" t="s">
        <v>52</v>
      </c>
      <c r="Q314" s="133">
        <v>488</v>
      </c>
      <c r="R314" s="135">
        <v>1</v>
      </c>
      <c r="S314" s="139">
        <v>41870</v>
      </c>
      <c r="U314" s="133">
        <v>204.32599999999999</v>
      </c>
      <c r="V314" s="137">
        <v>3.9999999999999998E-6</v>
      </c>
      <c r="W314" s="137">
        <v>2.63903497456901E-2</v>
      </c>
      <c r="X314" s="137">
        <v>6.3291765511152998E-3</v>
      </c>
    </row>
    <row r="315" spans="1:24">
      <c r="A315">
        <v>161</v>
      </c>
      <c r="B315">
        <v>12468</v>
      </c>
      <c r="C315" t="s">
        <v>2236</v>
      </c>
      <c r="D315" t="s">
        <v>2237</v>
      </c>
      <c r="E315" t="s">
        <v>41</v>
      </c>
      <c r="F315" t="s">
        <v>2867</v>
      </c>
      <c r="G315" t="s">
        <v>2868</v>
      </c>
      <c r="H315" t="s">
        <v>44</v>
      </c>
      <c r="I315" t="s">
        <v>1476</v>
      </c>
      <c r="J315" t="s">
        <v>45</v>
      </c>
      <c r="K315" t="s">
        <v>45</v>
      </c>
      <c r="L315" t="s">
        <v>46</v>
      </c>
      <c r="M315" t="s">
        <v>47</v>
      </c>
      <c r="N315" t="s">
        <v>221</v>
      </c>
      <c r="O315" t="s">
        <v>51</v>
      </c>
      <c r="P315" t="s">
        <v>52</v>
      </c>
      <c r="Q315" s="133">
        <v>5571</v>
      </c>
      <c r="R315" s="135">
        <v>1</v>
      </c>
      <c r="S315" s="139">
        <v>7332</v>
      </c>
      <c r="U315" s="133">
        <v>408.46600000000001</v>
      </c>
      <c r="V315" s="137">
        <v>3.9999999999999998E-6</v>
      </c>
      <c r="W315" s="137">
        <v>5.2756743207533097E-2</v>
      </c>
      <c r="X315" s="137">
        <v>1.26526076857644E-2</v>
      </c>
    </row>
    <row r="316" spans="1:24">
      <c r="A316">
        <v>161</v>
      </c>
      <c r="B316">
        <v>12468</v>
      </c>
      <c r="C316" t="s">
        <v>2869</v>
      </c>
      <c r="D316" t="s">
        <v>2870</v>
      </c>
      <c r="E316" t="s">
        <v>41</v>
      </c>
      <c r="F316" t="s">
        <v>2871</v>
      </c>
      <c r="G316" t="s">
        <v>2872</v>
      </c>
      <c r="H316" t="s">
        <v>44</v>
      </c>
      <c r="I316" t="s">
        <v>1476</v>
      </c>
      <c r="J316" t="s">
        <v>45</v>
      </c>
      <c r="K316" t="s">
        <v>45</v>
      </c>
      <c r="L316" t="s">
        <v>46</v>
      </c>
      <c r="M316" t="s">
        <v>47</v>
      </c>
      <c r="N316" t="s">
        <v>1032</v>
      </c>
      <c r="O316" t="s">
        <v>51</v>
      </c>
      <c r="P316" t="s">
        <v>52</v>
      </c>
      <c r="Q316" s="133">
        <v>600</v>
      </c>
      <c r="R316" s="135">
        <v>1</v>
      </c>
      <c r="S316" s="139">
        <v>26010</v>
      </c>
      <c r="U316" s="133">
        <v>156.06</v>
      </c>
      <c r="V316" s="137">
        <v>6.4999999999999994E-5</v>
      </c>
      <c r="W316" s="137">
        <v>2.0156446286282301E-2</v>
      </c>
      <c r="X316" s="137">
        <v>4.8341044517527599E-3</v>
      </c>
    </row>
    <row r="317" spans="1:24">
      <c r="A317">
        <v>161</v>
      </c>
      <c r="B317">
        <v>12468</v>
      </c>
      <c r="C317" t="s">
        <v>2873</v>
      </c>
      <c r="D317" t="s">
        <v>2874</v>
      </c>
      <c r="E317" t="s">
        <v>41</v>
      </c>
      <c r="F317" t="s">
        <v>2875</v>
      </c>
      <c r="G317" t="s">
        <v>2876</v>
      </c>
      <c r="H317" t="s">
        <v>44</v>
      </c>
      <c r="I317" t="s">
        <v>1476</v>
      </c>
      <c r="J317" t="s">
        <v>45</v>
      </c>
      <c r="K317" t="s">
        <v>45</v>
      </c>
      <c r="L317" t="s">
        <v>46</v>
      </c>
      <c r="M317" t="s">
        <v>47</v>
      </c>
      <c r="N317" t="s">
        <v>1069</v>
      </c>
      <c r="O317" t="s">
        <v>51</v>
      </c>
      <c r="P317" t="s">
        <v>52</v>
      </c>
      <c r="Q317" s="133">
        <v>4100</v>
      </c>
      <c r="R317" s="135">
        <v>1</v>
      </c>
      <c r="S317" s="139">
        <v>3509</v>
      </c>
      <c r="U317" s="133">
        <v>143.869</v>
      </c>
      <c r="V317" s="137">
        <v>2.0999999999999999E-5</v>
      </c>
      <c r="W317" s="137">
        <v>1.8581877295662901E-2</v>
      </c>
      <c r="X317" s="137">
        <v>4.4564768253826598E-3</v>
      </c>
    </row>
    <row r="318" spans="1:24">
      <c r="A318">
        <v>161</v>
      </c>
      <c r="B318">
        <v>12468</v>
      </c>
      <c r="C318" t="s">
        <v>2877</v>
      </c>
      <c r="D318" t="s">
        <v>2878</v>
      </c>
      <c r="E318" t="s">
        <v>41</v>
      </c>
      <c r="F318" t="s">
        <v>2879</v>
      </c>
      <c r="G318" t="s">
        <v>2880</v>
      </c>
      <c r="H318" t="s">
        <v>44</v>
      </c>
      <c r="I318" t="s">
        <v>1476</v>
      </c>
      <c r="J318" t="s">
        <v>45</v>
      </c>
      <c r="K318" t="s">
        <v>45</v>
      </c>
      <c r="L318" t="s">
        <v>46</v>
      </c>
      <c r="M318" t="s">
        <v>47</v>
      </c>
      <c r="N318" t="s">
        <v>1049</v>
      </c>
      <c r="O318" t="s">
        <v>51</v>
      </c>
      <c r="P318" t="s">
        <v>52</v>
      </c>
      <c r="Q318" s="133">
        <v>13546</v>
      </c>
      <c r="R318" s="135">
        <v>1</v>
      </c>
      <c r="S318" s="139">
        <v>805.7</v>
      </c>
      <c r="T318" s="133">
        <v>2.3479999999999999</v>
      </c>
      <c r="U318" s="133">
        <v>111.488</v>
      </c>
      <c r="V318" s="137">
        <v>4.6999999999999997E-5</v>
      </c>
      <c r="W318" s="137">
        <v>1.4399594479630601E-2</v>
      </c>
      <c r="X318" s="137">
        <v>3.4534432701457999E-3</v>
      </c>
    </row>
    <row r="319" spans="1:24">
      <c r="A319">
        <v>161</v>
      </c>
      <c r="B319">
        <v>12468</v>
      </c>
      <c r="C319" t="s">
        <v>2893</v>
      </c>
      <c r="D319" t="s">
        <v>2894</v>
      </c>
      <c r="E319" t="s">
        <v>41</v>
      </c>
      <c r="F319" t="s">
        <v>2951</v>
      </c>
      <c r="G319" t="s">
        <v>2896</v>
      </c>
      <c r="H319" t="s">
        <v>44</v>
      </c>
      <c r="I319" t="s">
        <v>1476</v>
      </c>
      <c r="J319" t="s">
        <v>45</v>
      </c>
      <c r="K319" t="s">
        <v>264</v>
      </c>
      <c r="L319" t="s">
        <v>46</v>
      </c>
      <c r="M319" t="s">
        <v>47</v>
      </c>
      <c r="N319" t="s">
        <v>1045</v>
      </c>
      <c r="O319" t="s">
        <v>51</v>
      </c>
      <c r="P319" t="s">
        <v>52</v>
      </c>
      <c r="Q319" s="133">
        <v>208</v>
      </c>
      <c r="R319" s="135">
        <v>1</v>
      </c>
      <c r="S319" s="139">
        <v>46340</v>
      </c>
      <c r="U319" s="133">
        <v>96.387</v>
      </c>
      <c r="V319" s="137">
        <v>3.9999999999999998E-6</v>
      </c>
      <c r="W319" s="137">
        <v>1.2449208121781E-2</v>
      </c>
      <c r="X319" s="137">
        <v>2.9856836640521798E-3</v>
      </c>
    </row>
    <row r="320" spans="1:24">
      <c r="A320">
        <v>161</v>
      </c>
      <c r="B320">
        <v>12468</v>
      </c>
      <c r="C320" t="s">
        <v>2952</v>
      </c>
      <c r="D320" t="s">
        <v>2953</v>
      </c>
      <c r="E320" t="s">
        <v>146</v>
      </c>
      <c r="F320" t="s">
        <v>2954</v>
      </c>
      <c r="G320" t="s">
        <v>2955</v>
      </c>
      <c r="H320" t="s">
        <v>44</v>
      </c>
      <c r="I320" t="s">
        <v>1476</v>
      </c>
      <c r="J320" t="s">
        <v>45</v>
      </c>
      <c r="K320" t="s">
        <v>45</v>
      </c>
      <c r="L320" t="s">
        <v>46</v>
      </c>
      <c r="M320" t="s">
        <v>47</v>
      </c>
      <c r="N320" t="s">
        <v>210</v>
      </c>
      <c r="O320" t="s">
        <v>51</v>
      </c>
      <c r="P320" t="s">
        <v>52</v>
      </c>
      <c r="Q320" s="133">
        <v>4548</v>
      </c>
      <c r="R320" s="135">
        <v>1</v>
      </c>
      <c r="S320" s="139">
        <v>435</v>
      </c>
      <c r="T320" s="133">
        <v>0.51200000000000001</v>
      </c>
      <c r="U320" s="133">
        <v>20.295999999999999</v>
      </c>
      <c r="V320" s="137">
        <v>3.9999999999999998E-6</v>
      </c>
      <c r="W320" s="137">
        <v>2.6214074480461901E-3</v>
      </c>
      <c r="X320" s="137">
        <v>6.2869005947154997E-4</v>
      </c>
    </row>
    <row r="321" spans="1:24">
      <c r="A321">
        <v>161</v>
      </c>
      <c r="B321">
        <v>12468</v>
      </c>
      <c r="C321" t="s">
        <v>2956</v>
      </c>
      <c r="D321" t="s">
        <v>2957</v>
      </c>
      <c r="E321" t="s">
        <v>64</v>
      </c>
      <c r="F321" t="s">
        <v>2958</v>
      </c>
      <c r="G321" t="s">
        <v>2959</v>
      </c>
      <c r="H321" t="s">
        <v>44</v>
      </c>
      <c r="I321" t="s">
        <v>1476</v>
      </c>
      <c r="J321" t="s">
        <v>68</v>
      </c>
      <c r="K321" t="s">
        <v>909</v>
      </c>
      <c r="L321" t="s">
        <v>46</v>
      </c>
      <c r="M321" t="s">
        <v>949</v>
      </c>
      <c r="N321" t="s">
        <v>1129</v>
      </c>
      <c r="O321" t="s">
        <v>51</v>
      </c>
      <c r="P321" t="s">
        <v>72</v>
      </c>
      <c r="Q321" s="133">
        <v>55</v>
      </c>
      <c r="R321" s="135">
        <v>3.165</v>
      </c>
      <c r="S321" s="139">
        <v>20343</v>
      </c>
      <c r="U321" s="133">
        <v>35.411999999999999</v>
      </c>
      <c r="V321" s="137">
        <v>0</v>
      </c>
      <c r="W321" s="137">
        <v>4.5737641482462097E-3</v>
      </c>
      <c r="X321" s="137">
        <v>1.0969222112010601E-3</v>
      </c>
    </row>
    <row r="322" spans="1:24">
      <c r="A322">
        <v>161</v>
      </c>
      <c r="B322">
        <v>12468</v>
      </c>
      <c r="C322" t="s">
        <v>2881</v>
      </c>
      <c r="D322" t="s">
        <v>2882</v>
      </c>
      <c r="E322" t="s">
        <v>64</v>
      </c>
      <c r="F322" t="s">
        <v>2883</v>
      </c>
      <c r="G322" t="s">
        <v>2884</v>
      </c>
      <c r="H322" t="s">
        <v>44</v>
      </c>
      <c r="I322" t="s">
        <v>1476</v>
      </c>
      <c r="J322" t="s">
        <v>68</v>
      </c>
      <c r="K322" t="s">
        <v>69</v>
      </c>
      <c r="L322" t="s">
        <v>46</v>
      </c>
      <c r="M322" t="s">
        <v>949</v>
      </c>
      <c r="N322" t="s">
        <v>1130</v>
      </c>
      <c r="O322" t="s">
        <v>51</v>
      </c>
      <c r="P322" t="s">
        <v>72</v>
      </c>
      <c r="Q322" s="133">
        <v>287</v>
      </c>
      <c r="R322" s="135">
        <v>3.165</v>
      </c>
      <c r="S322" s="139">
        <v>28686</v>
      </c>
      <c r="U322" s="133">
        <v>260.57100000000003</v>
      </c>
      <c r="V322" s="137">
        <v>0</v>
      </c>
      <c r="W322" s="137">
        <v>3.36548739377329E-2</v>
      </c>
      <c r="X322" s="137">
        <v>8.0714215995651099E-3</v>
      </c>
    </row>
    <row r="323" spans="1:24">
      <c r="A323">
        <v>161</v>
      </c>
      <c r="B323">
        <v>12468</v>
      </c>
      <c r="C323" t="s">
        <v>2885</v>
      </c>
      <c r="D323" t="s">
        <v>2886</v>
      </c>
      <c r="E323" t="s">
        <v>64</v>
      </c>
      <c r="F323" t="s">
        <v>2887</v>
      </c>
      <c r="G323" t="s">
        <v>2888</v>
      </c>
      <c r="H323" t="s">
        <v>44</v>
      </c>
      <c r="I323" t="s">
        <v>1476</v>
      </c>
      <c r="J323" t="s">
        <v>68</v>
      </c>
      <c r="K323" t="s">
        <v>69</v>
      </c>
      <c r="L323" t="s">
        <v>46</v>
      </c>
      <c r="M323" t="s">
        <v>949</v>
      </c>
      <c r="N323" t="s">
        <v>1102</v>
      </c>
      <c r="O323" t="s">
        <v>51</v>
      </c>
      <c r="P323" t="s">
        <v>72</v>
      </c>
      <c r="Q323" s="133">
        <v>260</v>
      </c>
      <c r="R323" s="135">
        <v>3.165</v>
      </c>
      <c r="S323" s="139">
        <v>20827</v>
      </c>
      <c r="U323" s="133">
        <v>171.38499999999999</v>
      </c>
      <c r="V323" s="137">
        <v>0</v>
      </c>
      <c r="W323" s="137">
        <v>2.2135846896664198E-2</v>
      </c>
      <c r="X323" s="137">
        <v>5.30882252291203E-3</v>
      </c>
    </row>
    <row r="324" spans="1:24">
      <c r="A324">
        <v>161</v>
      </c>
      <c r="B324">
        <v>12468</v>
      </c>
      <c r="C324" t="s">
        <v>2889</v>
      </c>
      <c r="D324" t="s">
        <v>2890</v>
      </c>
      <c r="E324" t="s">
        <v>64</v>
      </c>
      <c r="F324" t="s">
        <v>2891</v>
      </c>
      <c r="G324" t="s">
        <v>2892</v>
      </c>
      <c r="H324" t="s">
        <v>44</v>
      </c>
      <c r="I324" t="s">
        <v>1476</v>
      </c>
      <c r="J324" t="s">
        <v>68</v>
      </c>
      <c r="K324" t="s">
        <v>69</v>
      </c>
      <c r="L324" t="s">
        <v>46</v>
      </c>
      <c r="M324" t="s">
        <v>949</v>
      </c>
      <c r="N324" t="s">
        <v>1129</v>
      </c>
      <c r="O324" t="s">
        <v>51</v>
      </c>
      <c r="P324" t="s">
        <v>72</v>
      </c>
      <c r="Q324" s="133">
        <v>60</v>
      </c>
      <c r="R324" s="135">
        <v>3.165</v>
      </c>
      <c r="S324" s="139">
        <v>132083</v>
      </c>
      <c r="U324" s="133">
        <v>250.82599999999999</v>
      </c>
      <c r="V324" s="137">
        <v>0</v>
      </c>
      <c r="W324" s="137">
        <v>3.23962134838146E-2</v>
      </c>
      <c r="X324" s="137">
        <v>7.7695580658293803E-3</v>
      </c>
    </row>
    <row r="325" spans="1:24">
      <c r="A325">
        <v>161</v>
      </c>
      <c r="B325">
        <v>12468</v>
      </c>
      <c r="C325" t="s">
        <v>2960</v>
      </c>
      <c r="D325" t="s">
        <v>2961</v>
      </c>
      <c r="E325" t="s">
        <v>64</v>
      </c>
      <c r="F325" t="s">
        <v>2962</v>
      </c>
      <c r="G325" t="s">
        <v>2963</v>
      </c>
      <c r="H325" t="s">
        <v>44</v>
      </c>
      <c r="I325" t="s">
        <v>1476</v>
      </c>
      <c r="J325" t="s">
        <v>68</v>
      </c>
      <c r="K325" t="s">
        <v>69</v>
      </c>
      <c r="L325" t="s">
        <v>46</v>
      </c>
      <c r="M325" t="s">
        <v>949</v>
      </c>
      <c r="N325" t="s">
        <v>1129</v>
      </c>
      <c r="O325" t="s">
        <v>51</v>
      </c>
      <c r="P325" t="s">
        <v>72</v>
      </c>
      <c r="Q325" s="133">
        <v>50</v>
      </c>
      <c r="R325" s="135">
        <v>3.165</v>
      </c>
      <c r="S325" s="139">
        <v>30951</v>
      </c>
      <c r="U325" s="133">
        <v>48.98</v>
      </c>
      <c r="V325" s="137">
        <v>0</v>
      </c>
      <c r="W325" s="137">
        <v>6.3261686688013503E-3</v>
      </c>
      <c r="X325" s="137">
        <v>1.5171999910125E-3</v>
      </c>
    </row>
    <row r="326" spans="1:24">
      <c r="A326">
        <v>161</v>
      </c>
      <c r="B326">
        <v>12468</v>
      </c>
      <c r="C326" t="s">
        <v>2897</v>
      </c>
      <c r="D326" t="s">
        <v>2898</v>
      </c>
      <c r="E326" t="s">
        <v>64</v>
      </c>
      <c r="F326" t="s">
        <v>2899</v>
      </c>
      <c r="G326" t="s">
        <v>2900</v>
      </c>
      <c r="H326" t="s">
        <v>44</v>
      </c>
      <c r="I326" t="s">
        <v>1476</v>
      </c>
      <c r="J326" s="125" t="s">
        <v>68</v>
      </c>
      <c r="K326" t="s">
        <v>45</v>
      </c>
      <c r="L326" t="s">
        <v>46</v>
      </c>
      <c r="M326" t="s">
        <v>949</v>
      </c>
      <c r="N326" t="s">
        <v>1126</v>
      </c>
      <c r="O326" t="s">
        <v>51</v>
      </c>
      <c r="P326" t="s">
        <v>72</v>
      </c>
      <c r="Q326" s="133">
        <v>180</v>
      </c>
      <c r="R326" s="135">
        <v>3.165</v>
      </c>
      <c r="S326" s="139">
        <v>14285</v>
      </c>
      <c r="U326" s="133">
        <v>81.382000000000005</v>
      </c>
      <c r="V326" s="137">
        <v>1.9999999999999999E-6</v>
      </c>
      <c r="W326" s="137">
        <v>1.0511115956246301E-2</v>
      </c>
      <c r="X326" s="137">
        <v>2.5208725643051598E-3</v>
      </c>
    </row>
    <row r="327" spans="1:24">
      <c r="A327">
        <v>161</v>
      </c>
      <c r="B327">
        <v>12468</v>
      </c>
      <c r="C327" t="s">
        <v>2964</v>
      </c>
      <c r="D327" t="s">
        <v>2965</v>
      </c>
      <c r="E327" t="s">
        <v>64</v>
      </c>
      <c r="F327" t="s">
        <v>2966</v>
      </c>
      <c r="G327" t="s">
        <v>2967</v>
      </c>
      <c r="H327" t="s">
        <v>44</v>
      </c>
      <c r="I327" t="s">
        <v>1476</v>
      </c>
      <c r="J327" t="s">
        <v>68</v>
      </c>
      <c r="K327" t="s">
        <v>69</v>
      </c>
      <c r="L327" t="s">
        <v>46</v>
      </c>
      <c r="M327" t="s">
        <v>947</v>
      </c>
      <c r="N327" t="s">
        <v>1119</v>
      </c>
      <c r="O327" t="s">
        <v>51</v>
      </c>
      <c r="P327" t="s">
        <v>72</v>
      </c>
      <c r="Q327" s="133">
        <v>17</v>
      </c>
      <c r="R327" s="135">
        <v>3.165</v>
      </c>
      <c r="S327" s="139">
        <v>29416</v>
      </c>
      <c r="U327" s="133">
        <v>15.827</v>
      </c>
      <c r="V327" s="137">
        <v>0</v>
      </c>
      <c r="W327" s="137">
        <v>2.04422462508147E-3</v>
      </c>
      <c r="X327" s="137">
        <v>4.9026476295150603E-4</v>
      </c>
    </row>
    <row r="328" spans="1:24">
      <c r="A328">
        <v>161</v>
      </c>
      <c r="B328">
        <v>12468</v>
      </c>
      <c r="C328" t="s">
        <v>2968</v>
      </c>
      <c r="D328" t="s">
        <v>2969</v>
      </c>
      <c r="E328" t="s">
        <v>64</v>
      </c>
      <c r="F328" t="s">
        <v>2970</v>
      </c>
      <c r="G328" t="s">
        <v>2971</v>
      </c>
      <c r="H328" t="s">
        <v>44</v>
      </c>
      <c r="I328" t="s">
        <v>1476</v>
      </c>
      <c r="J328" t="s">
        <v>68</v>
      </c>
      <c r="K328" t="s">
        <v>69</v>
      </c>
      <c r="L328" t="s">
        <v>46</v>
      </c>
      <c r="M328" t="s">
        <v>947</v>
      </c>
      <c r="N328" t="s">
        <v>1121</v>
      </c>
      <c r="O328" t="s">
        <v>51</v>
      </c>
      <c r="P328" t="s">
        <v>72</v>
      </c>
      <c r="Q328" s="133">
        <v>25</v>
      </c>
      <c r="R328" s="135">
        <v>3.165</v>
      </c>
      <c r="S328" s="139">
        <v>49966</v>
      </c>
      <c r="U328" s="133">
        <v>39.536000000000001</v>
      </c>
      <c r="V328" s="137">
        <v>0</v>
      </c>
      <c r="W328" s="137">
        <v>5.1063510662874897E-3</v>
      </c>
      <c r="X328" s="137">
        <v>1.22465210737829E-3</v>
      </c>
    </row>
    <row r="329" spans="1:24">
      <c r="A329">
        <v>161</v>
      </c>
      <c r="B329">
        <v>12468</v>
      </c>
      <c r="C329" t="s">
        <v>2901</v>
      </c>
      <c r="D329" t="s">
        <v>2902</v>
      </c>
      <c r="E329" t="s">
        <v>64</v>
      </c>
      <c r="F329" t="s">
        <v>2903</v>
      </c>
      <c r="G329" t="s">
        <v>2904</v>
      </c>
      <c r="H329" t="s">
        <v>44</v>
      </c>
      <c r="I329" t="s">
        <v>1476</v>
      </c>
      <c r="J329" t="s">
        <v>68</v>
      </c>
      <c r="K329" t="s">
        <v>69</v>
      </c>
      <c r="L329" t="s">
        <v>46</v>
      </c>
      <c r="M329" t="s">
        <v>949</v>
      </c>
      <c r="N329" t="s">
        <v>1126</v>
      </c>
      <c r="O329" t="s">
        <v>51</v>
      </c>
      <c r="P329" t="s">
        <v>72</v>
      </c>
      <c r="Q329" s="133">
        <v>103</v>
      </c>
      <c r="R329" s="135">
        <v>3.165</v>
      </c>
      <c r="S329" s="139">
        <v>37017</v>
      </c>
      <c r="U329" s="133">
        <v>120.67400000000001</v>
      </c>
      <c r="V329" s="137">
        <v>0</v>
      </c>
      <c r="W329" s="137">
        <v>1.5585994583787901E-2</v>
      </c>
      <c r="X329" s="137">
        <v>3.7379766617769402E-3</v>
      </c>
    </row>
    <row r="330" spans="1:24">
      <c r="A330">
        <v>161</v>
      </c>
      <c r="B330">
        <v>12468</v>
      </c>
      <c r="C330" t="s">
        <v>2909</v>
      </c>
      <c r="D330" t="s">
        <v>2910</v>
      </c>
      <c r="E330" t="s">
        <v>64</v>
      </c>
      <c r="F330" t="s">
        <v>2911</v>
      </c>
      <c r="G330" t="s">
        <v>2912</v>
      </c>
      <c r="H330" t="s">
        <v>44</v>
      </c>
      <c r="I330" t="s">
        <v>1476</v>
      </c>
      <c r="J330" t="s">
        <v>68</v>
      </c>
      <c r="K330" t="s">
        <v>69</v>
      </c>
      <c r="L330" t="s">
        <v>46</v>
      </c>
      <c r="M330" t="s">
        <v>949</v>
      </c>
      <c r="N330" t="s">
        <v>1129</v>
      </c>
      <c r="O330" t="s">
        <v>51</v>
      </c>
      <c r="P330" t="s">
        <v>72</v>
      </c>
      <c r="Q330" s="133">
        <v>170</v>
      </c>
      <c r="R330" s="135">
        <v>3.165</v>
      </c>
      <c r="S330" s="139">
        <v>17440</v>
      </c>
      <c r="T330" s="133">
        <v>2E-3</v>
      </c>
      <c r="U330" s="133">
        <v>93.840999999999994</v>
      </c>
      <c r="V330" s="137">
        <v>0</v>
      </c>
      <c r="W330" s="137">
        <v>1.21203840379542E-2</v>
      </c>
      <c r="X330" s="137">
        <v>2.9068220460420199E-3</v>
      </c>
    </row>
    <row r="331" spans="1:24">
      <c r="A331">
        <v>161</v>
      </c>
      <c r="B331">
        <v>12468</v>
      </c>
      <c r="C331" t="s">
        <v>2944</v>
      </c>
      <c r="D331" t="s">
        <v>2945</v>
      </c>
      <c r="E331" t="s">
        <v>64</v>
      </c>
      <c r="F331" t="s">
        <v>2972</v>
      </c>
      <c r="G331" t="s">
        <v>2947</v>
      </c>
      <c r="H331" t="s">
        <v>44</v>
      </c>
      <c r="I331" t="s">
        <v>1476</v>
      </c>
      <c r="J331" t="s">
        <v>68</v>
      </c>
      <c r="K331" t="s">
        <v>69</v>
      </c>
      <c r="L331" t="s">
        <v>46</v>
      </c>
      <c r="M331" t="s">
        <v>947</v>
      </c>
      <c r="N331" t="s">
        <v>1138</v>
      </c>
      <c r="O331" t="s">
        <v>51</v>
      </c>
      <c r="P331" t="s">
        <v>72</v>
      </c>
      <c r="Q331" s="133">
        <v>28</v>
      </c>
      <c r="R331" s="135">
        <v>3.165</v>
      </c>
      <c r="S331" s="139">
        <v>11192</v>
      </c>
      <c r="U331" s="133">
        <v>9.9179999999999993</v>
      </c>
      <c r="V331" s="137">
        <v>0</v>
      </c>
      <c r="W331" s="137">
        <v>1.28103740283305E-3</v>
      </c>
      <c r="X331" s="137">
        <v>3.0723017956352499E-4</v>
      </c>
    </row>
    <row r="332" spans="1:24">
      <c r="A332">
        <v>161</v>
      </c>
      <c r="B332">
        <v>12468</v>
      </c>
      <c r="C332" t="s">
        <v>2940</v>
      </c>
      <c r="D332" t="s">
        <v>2941</v>
      </c>
      <c r="E332" t="s">
        <v>64</v>
      </c>
      <c r="F332" t="s">
        <v>2942</v>
      </c>
      <c r="G332" t="s">
        <v>2943</v>
      </c>
      <c r="H332" t="s">
        <v>44</v>
      </c>
      <c r="I332" t="s">
        <v>1476</v>
      </c>
      <c r="J332" t="s">
        <v>68</v>
      </c>
      <c r="K332" t="s">
        <v>69</v>
      </c>
      <c r="L332" t="s">
        <v>46</v>
      </c>
      <c r="M332" t="s">
        <v>949</v>
      </c>
      <c r="N332" t="s">
        <v>1126</v>
      </c>
      <c r="O332" t="s">
        <v>51</v>
      </c>
      <c r="P332" t="s">
        <v>72</v>
      </c>
      <c r="Q332" s="133">
        <v>150</v>
      </c>
      <c r="R332" s="135">
        <v>3.165</v>
      </c>
      <c r="S332" s="139">
        <v>16032</v>
      </c>
      <c r="U332" s="133">
        <v>76.111999999999995</v>
      </c>
      <c r="V332" s="137">
        <v>0</v>
      </c>
      <c r="W332" s="137">
        <v>9.8304871666398397E-3</v>
      </c>
      <c r="X332" s="137">
        <v>2.3576379040333799E-3</v>
      </c>
    </row>
    <row r="333" spans="1:24">
      <c r="A333">
        <v>161</v>
      </c>
      <c r="B333">
        <v>12468</v>
      </c>
      <c r="C333" t="s">
        <v>2913</v>
      </c>
      <c r="D333" t="s">
        <v>2914</v>
      </c>
      <c r="E333" t="s">
        <v>64</v>
      </c>
      <c r="F333" t="s">
        <v>2915</v>
      </c>
      <c r="G333" t="s">
        <v>2916</v>
      </c>
      <c r="H333" t="s">
        <v>44</v>
      </c>
      <c r="I333" t="s">
        <v>1476</v>
      </c>
      <c r="J333" t="s">
        <v>68</v>
      </c>
      <c r="K333" t="s">
        <v>861</v>
      </c>
      <c r="L333" t="s">
        <v>46</v>
      </c>
      <c r="M333" t="s">
        <v>969</v>
      </c>
      <c r="N333" t="s">
        <v>1080</v>
      </c>
      <c r="O333" t="s">
        <v>51</v>
      </c>
      <c r="P333" t="s">
        <v>395</v>
      </c>
      <c r="Q333" s="133">
        <v>20</v>
      </c>
      <c r="R333" s="135">
        <v>3.6360000000000001</v>
      </c>
      <c r="S333" s="139">
        <v>144450</v>
      </c>
      <c r="U333" s="133">
        <v>105.044</v>
      </c>
      <c r="V333" s="137">
        <v>0</v>
      </c>
      <c r="W333" s="137">
        <v>1.35673109698455E-2</v>
      </c>
      <c r="X333" s="137">
        <v>3.25383737917528E-3</v>
      </c>
    </row>
    <row r="334" spans="1:24">
      <c r="A334">
        <v>161</v>
      </c>
      <c r="B334">
        <v>12468</v>
      </c>
      <c r="C334" t="s">
        <v>2973</v>
      </c>
      <c r="D334" t="s">
        <v>2974</v>
      </c>
      <c r="E334" t="s">
        <v>64</v>
      </c>
      <c r="F334" t="s">
        <v>2975</v>
      </c>
      <c r="G334" t="s">
        <v>2976</v>
      </c>
      <c r="H334" t="s">
        <v>44</v>
      </c>
      <c r="I334" t="s">
        <v>1476</v>
      </c>
      <c r="J334" t="s">
        <v>68</v>
      </c>
      <c r="K334" t="s">
        <v>871</v>
      </c>
      <c r="L334" t="s">
        <v>46</v>
      </c>
      <c r="M334" t="s">
        <v>947</v>
      </c>
      <c r="N334" t="s">
        <v>1129</v>
      </c>
      <c r="O334" t="s">
        <v>51</v>
      </c>
      <c r="P334" t="s">
        <v>72</v>
      </c>
      <c r="Q334" s="133">
        <v>130</v>
      </c>
      <c r="R334" s="135">
        <v>3.165</v>
      </c>
      <c r="S334" s="139">
        <v>33795</v>
      </c>
      <c r="T334" s="133">
        <v>9.9000000000000005E-2</v>
      </c>
      <c r="U334" s="133">
        <v>139.364</v>
      </c>
      <c r="V334" s="137">
        <v>0</v>
      </c>
      <c r="W334" s="137">
        <v>1.8000031605749499E-2</v>
      </c>
      <c r="X334" s="137">
        <v>4.3169332371977903E-3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52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1150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1636</v>
      </c>
      <c r="T1" s="14" t="s">
        <v>36</v>
      </c>
      <c r="U1" s="136" t="s">
        <v>1637</v>
      </c>
      <c r="V1" s="136" t="s">
        <v>37</v>
      </c>
      <c r="W1" s="136" t="s">
        <v>38</v>
      </c>
    </row>
    <row r="2" spans="1:23">
      <c r="A2">
        <v>14076</v>
      </c>
      <c r="B2">
        <v>14077</v>
      </c>
      <c r="C2" t="s">
        <v>3128</v>
      </c>
      <c r="D2" t="s">
        <v>3129</v>
      </c>
      <c r="E2" t="s">
        <v>41</v>
      </c>
      <c r="F2" t="s">
        <v>3130</v>
      </c>
      <c r="G2" t="s">
        <v>3131</v>
      </c>
      <c r="H2" t="s">
        <v>44</v>
      </c>
      <c r="I2" t="s">
        <v>1526</v>
      </c>
      <c r="J2" t="s">
        <v>45</v>
      </c>
      <c r="K2" t="s">
        <v>45</v>
      </c>
      <c r="L2" t="s">
        <v>47</v>
      </c>
      <c r="M2" t="s">
        <v>1153</v>
      </c>
      <c r="N2" t="s">
        <v>51</v>
      </c>
      <c r="O2" t="s">
        <v>52</v>
      </c>
      <c r="P2" s="133">
        <v>14979</v>
      </c>
      <c r="Q2" s="135">
        <v>1</v>
      </c>
      <c r="R2" s="139">
        <v>6157</v>
      </c>
      <c r="T2" s="133">
        <v>922.25699999999995</v>
      </c>
      <c r="U2" s="137">
        <v>1.4300000000000001E-4</v>
      </c>
      <c r="V2" s="137">
        <v>4.7693359374007399E-2</v>
      </c>
      <c r="W2" s="137">
        <v>3.06210987776631E-2</v>
      </c>
    </row>
    <row r="3" spans="1:23">
      <c r="A3">
        <v>14076</v>
      </c>
      <c r="B3">
        <v>14077</v>
      </c>
      <c r="C3" t="s">
        <v>3128</v>
      </c>
      <c r="D3" t="s">
        <v>3129</v>
      </c>
      <c r="E3" t="s">
        <v>41</v>
      </c>
      <c r="F3" t="s">
        <v>3132</v>
      </c>
      <c r="G3" t="s">
        <v>3133</v>
      </c>
      <c r="H3" t="s">
        <v>44</v>
      </c>
      <c r="I3" t="s">
        <v>1529</v>
      </c>
      <c r="J3" t="s">
        <v>45</v>
      </c>
      <c r="K3" t="s">
        <v>45</v>
      </c>
      <c r="L3" t="s">
        <v>47</v>
      </c>
      <c r="M3" t="s">
        <v>1157</v>
      </c>
      <c r="N3" t="s">
        <v>51</v>
      </c>
      <c r="O3" t="s">
        <v>52</v>
      </c>
      <c r="P3" s="133">
        <v>141468</v>
      </c>
      <c r="Q3" s="135">
        <v>1</v>
      </c>
      <c r="R3" s="139">
        <v>503.22</v>
      </c>
      <c r="T3" s="133">
        <v>711.89499999999998</v>
      </c>
      <c r="U3" s="137">
        <v>6.7400000000000001E-4</v>
      </c>
      <c r="V3" s="137">
        <v>3.6814766193420799E-2</v>
      </c>
      <c r="W3" s="137">
        <v>2.3636594420725299E-2</v>
      </c>
    </row>
    <row r="4" spans="1:23">
      <c r="A4">
        <v>14076</v>
      </c>
      <c r="B4">
        <v>14077</v>
      </c>
      <c r="C4" t="s">
        <v>3128</v>
      </c>
      <c r="D4" t="s">
        <v>3129</v>
      </c>
      <c r="E4" t="s">
        <v>41</v>
      </c>
      <c r="F4" t="s">
        <v>3134</v>
      </c>
      <c r="G4" t="s">
        <v>3135</v>
      </c>
      <c r="H4" t="s">
        <v>44</v>
      </c>
      <c r="I4" t="s">
        <v>1528</v>
      </c>
      <c r="J4" t="s">
        <v>45</v>
      </c>
      <c r="K4" t="s">
        <v>69</v>
      </c>
      <c r="L4" t="s">
        <v>47</v>
      </c>
      <c r="M4" t="s">
        <v>1186</v>
      </c>
      <c r="N4" t="s">
        <v>51</v>
      </c>
      <c r="O4" t="s">
        <v>52</v>
      </c>
      <c r="P4" s="133">
        <v>22704</v>
      </c>
      <c r="Q4" s="135">
        <v>1</v>
      </c>
      <c r="R4" s="139">
        <v>8146</v>
      </c>
      <c r="T4" s="133">
        <v>1849.4680000000001</v>
      </c>
      <c r="U4" s="137">
        <v>9.3099999999999997E-4</v>
      </c>
      <c r="V4" s="137">
        <v>9.5642897234179E-2</v>
      </c>
      <c r="W4" s="137">
        <v>6.1406674682383498E-2</v>
      </c>
    </row>
    <row r="5" spans="1:23">
      <c r="A5">
        <v>14076</v>
      </c>
      <c r="B5">
        <v>14077</v>
      </c>
      <c r="C5" t="s">
        <v>3136</v>
      </c>
      <c r="D5" t="s">
        <v>3137</v>
      </c>
      <c r="E5" t="s">
        <v>41</v>
      </c>
      <c r="F5" t="s">
        <v>3138</v>
      </c>
      <c r="G5" t="s">
        <v>3139</v>
      </c>
      <c r="H5" t="s">
        <v>44</v>
      </c>
      <c r="I5" t="s">
        <v>1526</v>
      </c>
      <c r="J5" t="s">
        <v>45</v>
      </c>
      <c r="K5" t="s">
        <v>45</v>
      </c>
      <c r="L5" t="s">
        <v>47</v>
      </c>
      <c r="M5" t="s">
        <v>1158</v>
      </c>
      <c r="N5" t="s">
        <v>51</v>
      </c>
      <c r="O5" t="s">
        <v>52</v>
      </c>
      <c r="P5" s="133">
        <v>8352</v>
      </c>
      <c r="Q5" s="135">
        <v>1</v>
      </c>
      <c r="R5" s="139">
        <v>3438</v>
      </c>
      <c r="T5" s="133">
        <v>287.142</v>
      </c>
      <c r="U5" s="137">
        <v>3.3000000000000003E-5</v>
      </c>
      <c r="V5" s="137">
        <v>1.48491740431244E-2</v>
      </c>
      <c r="W5" s="137">
        <v>9.5337806166161995E-3</v>
      </c>
    </row>
    <row r="6" spans="1:23">
      <c r="A6">
        <v>14076</v>
      </c>
      <c r="B6">
        <v>14077</v>
      </c>
      <c r="C6" t="s">
        <v>3136</v>
      </c>
      <c r="D6" t="s">
        <v>3137</v>
      </c>
      <c r="E6" t="s">
        <v>41</v>
      </c>
      <c r="F6" t="s">
        <v>3140</v>
      </c>
      <c r="G6" t="s">
        <v>3141</v>
      </c>
      <c r="H6" t="s">
        <v>44</v>
      </c>
      <c r="I6" t="s">
        <v>1526</v>
      </c>
      <c r="J6" t="s">
        <v>45</v>
      </c>
      <c r="K6" t="s">
        <v>45</v>
      </c>
      <c r="L6" t="s">
        <v>47</v>
      </c>
      <c r="M6" t="s">
        <v>1280</v>
      </c>
      <c r="N6" t="s">
        <v>51</v>
      </c>
      <c r="O6" t="s">
        <v>52</v>
      </c>
      <c r="P6" s="133">
        <v>36080</v>
      </c>
      <c r="Q6" s="135">
        <v>1</v>
      </c>
      <c r="R6" s="139">
        <v>1346</v>
      </c>
      <c r="T6" s="133">
        <v>485.637</v>
      </c>
      <c r="U6" s="137">
        <v>6.6799999999999997E-4</v>
      </c>
      <c r="V6" s="137">
        <v>2.5114094741726101E-2</v>
      </c>
      <c r="W6" s="137">
        <v>1.6124281994216099E-2</v>
      </c>
    </row>
    <row r="7" spans="1:23">
      <c r="A7">
        <v>14076</v>
      </c>
      <c r="B7">
        <v>14077</v>
      </c>
      <c r="C7" t="s">
        <v>3136</v>
      </c>
      <c r="D7" t="s">
        <v>3137</v>
      </c>
      <c r="E7" t="s">
        <v>41</v>
      </c>
      <c r="F7" t="s">
        <v>3142</v>
      </c>
      <c r="G7" t="s">
        <v>3143</v>
      </c>
      <c r="H7" t="s">
        <v>44</v>
      </c>
      <c r="I7" t="s">
        <v>1529</v>
      </c>
      <c r="J7" t="s">
        <v>45</v>
      </c>
      <c r="K7" t="s">
        <v>45</v>
      </c>
      <c r="L7" t="s">
        <v>47</v>
      </c>
      <c r="M7" t="s">
        <v>1215</v>
      </c>
      <c r="N7" t="s">
        <v>51</v>
      </c>
      <c r="O7" t="s">
        <v>52</v>
      </c>
      <c r="P7" s="133">
        <v>282820</v>
      </c>
      <c r="Q7" s="135">
        <v>1</v>
      </c>
      <c r="R7" s="139">
        <v>427.92</v>
      </c>
      <c r="T7" s="133">
        <v>1210.2429999999999</v>
      </c>
      <c r="U7" s="137">
        <v>8.5499999999999997E-4</v>
      </c>
      <c r="V7" s="137">
        <v>6.2586208462290002E-2</v>
      </c>
      <c r="W7" s="137">
        <v>4.0182920570020798E-2</v>
      </c>
    </row>
    <row r="8" spans="1:23">
      <c r="A8">
        <v>14076</v>
      </c>
      <c r="B8">
        <v>14077</v>
      </c>
      <c r="C8" t="s">
        <v>3136</v>
      </c>
      <c r="D8" t="s">
        <v>3137</v>
      </c>
      <c r="E8" t="s">
        <v>41</v>
      </c>
      <c r="F8" t="s">
        <v>3144</v>
      </c>
      <c r="G8" t="s">
        <v>3145</v>
      </c>
      <c r="H8" t="s">
        <v>44</v>
      </c>
      <c r="I8" t="s">
        <v>1526</v>
      </c>
      <c r="J8" t="s">
        <v>45</v>
      </c>
      <c r="K8" t="s">
        <v>45</v>
      </c>
      <c r="L8" t="s">
        <v>47</v>
      </c>
      <c r="M8" t="s">
        <v>1155</v>
      </c>
      <c r="N8" t="s">
        <v>51</v>
      </c>
      <c r="O8" t="s">
        <v>52</v>
      </c>
      <c r="P8" s="133">
        <v>5430</v>
      </c>
      <c r="Q8" s="135">
        <v>1</v>
      </c>
      <c r="R8" s="139">
        <v>4021</v>
      </c>
      <c r="T8" s="133">
        <v>218.34</v>
      </c>
      <c r="U8" s="137">
        <v>6.3999999999999997E-5</v>
      </c>
      <c r="V8" s="137">
        <v>1.1291193295353399E-2</v>
      </c>
      <c r="W8" s="137">
        <v>7.2494106045953204E-3</v>
      </c>
    </row>
    <row r="9" spans="1:23">
      <c r="A9">
        <v>14076</v>
      </c>
      <c r="B9">
        <v>14077</v>
      </c>
      <c r="C9" t="s">
        <v>3136</v>
      </c>
      <c r="D9" t="s">
        <v>3137</v>
      </c>
      <c r="E9" t="s">
        <v>41</v>
      </c>
      <c r="F9" t="s">
        <v>3146</v>
      </c>
      <c r="G9" t="s">
        <v>3147</v>
      </c>
      <c r="H9" t="s">
        <v>44</v>
      </c>
      <c r="I9" t="s">
        <v>1526</v>
      </c>
      <c r="J9" t="s">
        <v>45</v>
      </c>
      <c r="K9" t="s">
        <v>45</v>
      </c>
      <c r="L9" t="s">
        <v>47</v>
      </c>
      <c r="M9" t="s">
        <v>1153</v>
      </c>
      <c r="N9" t="s">
        <v>51</v>
      </c>
      <c r="O9" t="s">
        <v>52</v>
      </c>
      <c r="P9" s="133">
        <v>19311</v>
      </c>
      <c r="Q9" s="135">
        <v>1</v>
      </c>
      <c r="R9" s="139">
        <v>3922</v>
      </c>
      <c r="T9" s="133">
        <v>757.37699999999995</v>
      </c>
      <c r="U9" s="137">
        <v>9.3999999999999994E-5</v>
      </c>
      <c r="V9" s="137">
        <v>3.9166818250025701E-2</v>
      </c>
      <c r="W9" s="137">
        <v>2.5146708602255499E-2</v>
      </c>
    </row>
    <row r="10" spans="1:23">
      <c r="A10">
        <v>14076</v>
      </c>
      <c r="B10">
        <v>14077</v>
      </c>
      <c r="C10" t="s">
        <v>3148</v>
      </c>
      <c r="D10" t="s">
        <v>3149</v>
      </c>
      <c r="E10" t="s">
        <v>41</v>
      </c>
      <c r="F10" t="s">
        <v>3150</v>
      </c>
      <c r="G10" t="s">
        <v>3151</v>
      </c>
      <c r="H10" t="s">
        <v>44</v>
      </c>
      <c r="I10" t="s">
        <v>1526</v>
      </c>
      <c r="J10" t="s">
        <v>45</v>
      </c>
      <c r="K10" t="s">
        <v>45</v>
      </c>
      <c r="L10" t="s">
        <v>47</v>
      </c>
      <c r="M10" t="s">
        <v>1153</v>
      </c>
      <c r="N10" t="s">
        <v>51</v>
      </c>
      <c r="O10" t="s">
        <v>52</v>
      </c>
      <c r="P10" s="133">
        <v>9411</v>
      </c>
      <c r="Q10" s="135">
        <v>1</v>
      </c>
      <c r="R10" s="139">
        <v>10810</v>
      </c>
      <c r="T10" s="133">
        <v>1017.329</v>
      </c>
      <c r="U10" s="137">
        <v>5.0900000000000001E-4</v>
      </c>
      <c r="V10" s="137">
        <v>5.2609891591648202E-2</v>
      </c>
      <c r="W10" s="137">
        <v>3.3777714722858801E-2</v>
      </c>
    </row>
    <row r="11" spans="1:23">
      <c r="A11">
        <v>14076</v>
      </c>
      <c r="B11">
        <v>14077</v>
      </c>
      <c r="C11" t="s">
        <v>3148</v>
      </c>
      <c r="D11" t="s">
        <v>3149</v>
      </c>
      <c r="E11" t="s">
        <v>41</v>
      </c>
      <c r="F11" t="s">
        <v>3152</v>
      </c>
      <c r="G11" t="s">
        <v>3153</v>
      </c>
      <c r="H11" t="s">
        <v>44</v>
      </c>
      <c r="I11" t="s">
        <v>1526</v>
      </c>
      <c r="J11" t="s">
        <v>45</v>
      </c>
      <c r="K11" t="s">
        <v>45</v>
      </c>
      <c r="L11" t="s">
        <v>47</v>
      </c>
      <c r="M11" t="s">
        <v>1155</v>
      </c>
      <c r="N11" t="s">
        <v>51</v>
      </c>
      <c r="O11" t="s">
        <v>52</v>
      </c>
      <c r="P11" s="133">
        <v>2260</v>
      </c>
      <c r="Q11" s="135">
        <v>1</v>
      </c>
      <c r="R11" s="139">
        <v>11520</v>
      </c>
      <c r="T11" s="133">
        <v>260.35199999999998</v>
      </c>
      <c r="U11" s="137">
        <v>2.5099999999999998E-4</v>
      </c>
      <c r="V11" s="137">
        <v>1.34637753856336E-2</v>
      </c>
      <c r="W11" s="137">
        <v>8.6442976845209196E-3</v>
      </c>
    </row>
    <row r="12" spans="1:23">
      <c r="A12">
        <v>14076</v>
      </c>
      <c r="B12">
        <v>14077</v>
      </c>
      <c r="C12" t="s">
        <v>3148</v>
      </c>
      <c r="D12" t="s">
        <v>3149</v>
      </c>
      <c r="E12" t="s">
        <v>41</v>
      </c>
      <c r="F12" t="s">
        <v>3154</v>
      </c>
      <c r="G12" t="s">
        <v>3155</v>
      </c>
      <c r="H12" t="s">
        <v>44</v>
      </c>
      <c r="I12" t="s">
        <v>1528</v>
      </c>
      <c r="J12" t="s">
        <v>45</v>
      </c>
      <c r="K12" t="s">
        <v>69</v>
      </c>
      <c r="L12" t="s">
        <v>47</v>
      </c>
      <c r="M12" t="s">
        <v>1186</v>
      </c>
      <c r="N12" t="s">
        <v>51</v>
      </c>
      <c r="O12" t="s">
        <v>52</v>
      </c>
      <c r="P12" s="133">
        <v>12590</v>
      </c>
      <c r="Q12" s="135">
        <v>1</v>
      </c>
      <c r="R12" s="139">
        <v>10000</v>
      </c>
      <c r="T12" s="133">
        <v>1259</v>
      </c>
      <c r="U12" s="137">
        <v>9.3300000000000002E-4</v>
      </c>
      <c r="V12" s="137">
        <v>6.5107597446966897E-2</v>
      </c>
      <c r="W12" s="137">
        <v>4.1801756025733799E-2</v>
      </c>
    </row>
    <row r="13" spans="1:23">
      <c r="A13">
        <v>14076</v>
      </c>
      <c r="B13">
        <v>14077</v>
      </c>
      <c r="C13" t="s">
        <v>3148</v>
      </c>
      <c r="D13" t="s">
        <v>3149</v>
      </c>
      <c r="E13" t="s">
        <v>41</v>
      </c>
      <c r="F13" t="s">
        <v>3156</v>
      </c>
      <c r="G13" t="s">
        <v>3157</v>
      </c>
      <c r="H13" t="s">
        <v>44</v>
      </c>
      <c r="I13" t="s">
        <v>1526</v>
      </c>
      <c r="J13" t="s">
        <v>45</v>
      </c>
      <c r="K13" t="s">
        <v>45</v>
      </c>
      <c r="L13" t="s">
        <v>47</v>
      </c>
      <c r="M13" t="s">
        <v>1278</v>
      </c>
      <c r="N13" t="s">
        <v>51</v>
      </c>
      <c r="O13" t="s">
        <v>52</v>
      </c>
      <c r="P13" s="133">
        <v>4256</v>
      </c>
      <c r="Q13" s="135">
        <v>1</v>
      </c>
      <c r="R13" s="139">
        <v>11270</v>
      </c>
      <c r="T13" s="133">
        <v>479.65100000000001</v>
      </c>
      <c r="U13" s="137">
        <v>1.12E-4</v>
      </c>
      <c r="V13" s="137">
        <v>2.48045569853492E-2</v>
      </c>
      <c r="W13" s="137">
        <v>1.5925546020532502E-2</v>
      </c>
    </row>
    <row r="14" spans="1:23">
      <c r="A14">
        <v>14076</v>
      </c>
      <c r="B14">
        <v>14077</v>
      </c>
      <c r="C14" t="s">
        <v>3158</v>
      </c>
      <c r="D14" t="s">
        <v>3159</v>
      </c>
      <c r="E14" t="s">
        <v>41</v>
      </c>
      <c r="F14" t="s">
        <v>3160</v>
      </c>
      <c r="G14" t="s">
        <v>3161</v>
      </c>
      <c r="H14" t="s">
        <v>44</v>
      </c>
      <c r="I14" t="s">
        <v>1529</v>
      </c>
      <c r="J14" t="s">
        <v>45</v>
      </c>
      <c r="K14" t="s">
        <v>45</v>
      </c>
      <c r="L14" t="s">
        <v>47</v>
      </c>
      <c r="M14" t="s">
        <v>1157</v>
      </c>
      <c r="N14" t="s">
        <v>51</v>
      </c>
      <c r="O14" t="s">
        <v>52</v>
      </c>
      <c r="P14" s="133">
        <v>33237</v>
      </c>
      <c r="Q14" s="135">
        <v>1</v>
      </c>
      <c r="R14" s="139">
        <v>3934.51</v>
      </c>
      <c r="T14" s="133">
        <v>1307.713</v>
      </c>
      <c r="U14" s="137">
        <v>4.6099999999999998E-4</v>
      </c>
      <c r="V14" s="137">
        <v>6.7626733403661099E-2</v>
      </c>
      <c r="W14" s="137">
        <v>4.3419144944794402E-2</v>
      </c>
    </row>
    <row r="15" spans="1:23">
      <c r="A15">
        <v>14076</v>
      </c>
      <c r="B15">
        <v>14077</v>
      </c>
      <c r="C15" t="s">
        <v>3158</v>
      </c>
      <c r="D15" t="s">
        <v>3159</v>
      </c>
      <c r="E15" t="s">
        <v>41</v>
      </c>
      <c r="F15" t="s">
        <v>3162</v>
      </c>
      <c r="G15" t="s">
        <v>3163</v>
      </c>
      <c r="H15" t="s">
        <v>44</v>
      </c>
      <c r="I15" t="s">
        <v>1529</v>
      </c>
      <c r="J15" t="s">
        <v>45</v>
      </c>
      <c r="K15" t="s">
        <v>45</v>
      </c>
      <c r="L15" t="s">
        <v>47</v>
      </c>
      <c r="M15" t="s">
        <v>1213</v>
      </c>
      <c r="N15" t="s">
        <v>51</v>
      </c>
      <c r="O15" t="s">
        <v>52</v>
      </c>
      <c r="P15" s="133">
        <v>30912</v>
      </c>
      <c r="Q15" s="135">
        <v>1</v>
      </c>
      <c r="R15" s="139">
        <v>4269.79</v>
      </c>
      <c r="T15" s="133">
        <v>1319.877</v>
      </c>
      <c r="U15" s="137">
        <v>5.7200000000000003E-4</v>
      </c>
      <c r="V15" s="137">
        <v>6.8255799809113296E-2</v>
      </c>
      <c r="W15" s="137">
        <v>4.3823031456289699E-2</v>
      </c>
    </row>
    <row r="16" spans="1:23">
      <c r="A16">
        <v>14076</v>
      </c>
      <c r="B16">
        <v>14077</v>
      </c>
      <c r="C16" t="s">
        <v>3164</v>
      </c>
      <c r="D16" t="s">
        <v>3165</v>
      </c>
      <c r="E16" t="s">
        <v>41</v>
      </c>
      <c r="F16" t="s">
        <v>3166</v>
      </c>
      <c r="G16" t="s">
        <v>3167</v>
      </c>
      <c r="H16" t="s">
        <v>44</v>
      </c>
      <c r="I16" t="s">
        <v>1529</v>
      </c>
      <c r="J16" t="s">
        <v>45</v>
      </c>
      <c r="K16" t="s">
        <v>45</v>
      </c>
      <c r="L16" t="s">
        <v>47</v>
      </c>
      <c r="M16" t="s">
        <v>1157</v>
      </c>
      <c r="N16" t="s">
        <v>51</v>
      </c>
      <c r="O16" t="s">
        <v>52</v>
      </c>
      <c r="P16" s="133">
        <v>355495</v>
      </c>
      <c r="Q16" s="135">
        <v>1</v>
      </c>
      <c r="R16" s="139">
        <v>394.8</v>
      </c>
      <c r="T16" s="133">
        <v>1403.4939999999999</v>
      </c>
      <c r="U16" s="137">
        <v>2.61E-4</v>
      </c>
      <c r="V16" s="137">
        <v>7.2579935900880604E-2</v>
      </c>
      <c r="W16" s="137">
        <v>4.6599304718060203E-2</v>
      </c>
    </row>
    <row r="17" spans="1:23">
      <c r="A17">
        <v>14076</v>
      </c>
      <c r="B17">
        <v>14077</v>
      </c>
      <c r="C17" t="s">
        <v>3164</v>
      </c>
      <c r="D17" t="s">
        <v>3165</v>
      </c>
      <c r="E17" t="s">
        <v>41</v>
      </c>
      <c r="F17" t="s">
        <v>3168</v>
      </c>
      <c r="G17" t="s">
        <v>3169</v>
      </c>
      <c r="H17" t="s">
        <v>44</v>
      </c>
      <c r="I17" t="s">
        <v>1529</v>
      </c>
      <c r="J17" t="s">
        <v>45</v>
      </c>
      <c r="K17" t="s">
        <v>45</v>
      </c>
      <c r="L17" t="s">
        <v>47</v>
      </c>
      <c r="M17" t="s">
        <v>1213</v>
      </c>
      <c r="N17" t="s">
        <v>51</v>
      </c>
      <c r="O17" t="s">
        <v>52</v>
      </c>
      <c r="P17" s="133">
        <v>367408</v>
      </c>
      <c r="Q17" s="135">
        <v>1</v>
      </c>
      <c r="R17" s="139">
        <v>429.5</v>
      </c>
      <c r="T17" s="133">
        <v>1578.0170000000001</v>
      </c>
      <c r="U17" s="137">
        <v>5.0000000000000001E-4</v>
      </c>
      <c r="V17" s="137">
        <v>8.1605177950123495E-2</v>
      </c>
      <c r="W17" s="137">
        <v>5.23938814035683E-2</v>
      </c>
    </row>
    <row r="18" spans="1:23">
      <c r="A18">
        <v>14076</v>
      </c>
      <c r="B18">
        <v>14077</v>
      </c>
      <c r="C18" t="s">
        <v>3170</v>
      </c>
      <c r="D18" t="s">
        <v>3171</v>
      </c>
      <c r="E18" t="s">
        <v>64</v>
      </c>
      <c r="F18" t="s">
        <v>3172</v>
      </c>
      <c r="G18" t="s">
        <v>3173</v>
      </c>
      <c r="H18" t="s">
        <v>44</v>
      </c>
      <c r="I18" t="s">
        <v>1528</v>
      </c>
      <c r="J18" t="s">
        <v>68</v>
      </c>
      <c r="K18" t="s">
        <v>69</v>
      </c>
      <c r="L18" t="s">
        <v>947</v>
      </c>
      <c r="M18" t="s">
        <v>1192</v>
      </c>
      <c r="N18" t="s">
        <v>51</v>
      </c>
      <c r="O18" t="s">
        <v>72</v>
      </c>
      <c r="P18" s="133">
        <v>1874</v>
      </c>
      <c r="Q18" s="135">
        <v>3.165</v>
      </c>
      <c r="R18" s="139">
        <v>13292</v>
      </c>
      <c r="T18" s="133">
        <v>788.37599999999998</v>
      </c>
      <c r="U18" s="137">
        <v>6.0000000000000002E-6</v>
      </c>
      <c r="V18" s="137">
        <v>4.0769893129039898E-2</v>
      </c>
      <c r="W18" s="137">
        <v>2.6175948623562002E-2</v>
      </c>
    </row>
    <row r="19" spans="1:23">
      <c r="A19">
        <v>14076</v>
      </c>
      <c r="B19">
        <v>14077</v>
      </c>
      <c r="C19" t="s">
        <v>3174</v>
      </c>
      <c r="D19" t="s">
        <v>3175</v>
      </c>
      <c r="E19" t="s">
        <v>64</v>
      </c>
      <c r="F19" t="s">
        <v>3176</v>
      </c>
      <c r="G19" t="s">
        <v>3177</v>
      </c>
      <c r="H19" t="s">
        <v>44</v>
      </c>
      <c r="I19" t="s">
        <v>1528</v>
      </c>
      <c r="J19" t="s">
        <v>68</v>
      </c>
      <c r="K19" t="s">
        <v>264</v>
      </c>
      <c r="L19" t="s">
        <v>949</v>
      </c>
      <c r="M19" t="s">
        <v>1283</v>
      </c>
      <c r="N19" t="s">
        <v>51</v>
      </c>
      <c r="O19" t="s">
        <v>72</v>
      </c>
      <c r="P19" s="133">
        <v>190</v>
      </c>
      <c r="Q19" s="135">
        <v>3.165</v>
      </c>
      <c r="R19" s="139">
        <v>16358</v>
      </c>
      <c r="S19" s="133">
        <v>1.9E-2</v>
      </c>
      <c r="T19" s="133">
        <v>98.429000000000002</v>
      </c>
      <c r="U19" s="137">
        <v>1.7E-5</v>
      </c>
      <c r="V19" s="137">
        <v>5.0901430587037798E-3</v>
      </c>
      <c r="W19" s="137">
        <v>3.26808124734343E-3</v>
      </c>
    </row>
    <row r="20" spans="1:23">
      <c r="A20">
        <v>14076</v>
      </c>
      <c r="B20">
        <v>14077</v>
      </c>
      <c r="C20" t="s">
        <v>3178</v>
      </c>
      <c r="D20" t="s">
        <v>3179</v>
      </c>
      <c r="E20" t="s">
        <v>64</v>
      </c>
      <c r="F20" t="s">
        <v>3180</v>
      </c>
      <c r="G20" t="s">
        <v>3181</v>
      </c>
      <c r="H20" t="s">
        <v>44</v>
      </c>
      <c r="I20" t="s">
        <v>1528</v>
      </c>
      <c r="J20" t="s">
        <v>68</v>
      </c>
      <c r="K20" t="s">
        <v>351</v>
      </c>
      <c r="L20" t="s">
        <v>969</v>
      </c>
      <c r="M20" t="s">
        <v>1316</v>
      </c>
      <c r="N20" t="s">
        <v>51</v>
      </c>
      <c r="O20" t="s">
        <v>395</v>
      </c>
      <c r="P20" s="133">
        <v>2198</v>
      </c>
      <c r="Q20" s="135">
        <v>3.6360000000000001</v>
      </c>
      <c r="R20" s="139">
        <v>5700</v>
      </c>
      <c r="T20" s="133">
        <v>455.54</v>
      </c>
      <c r="U20" s="137">
        <v>1.5E-5</v>
      </c>
      <c r="V20" s="137">
        <v>2.3557671302463199E-2</v>
      </c>
      <c r="W20" s="137">
        <v>1.5124994116425801E-2</v>
      </c>
    </row>
    <row r="21" spans="1:23">
      <c r="A21">
        <v>14076</v>
      </c>
      <c r="B21">
        <v>14077</v>
      </c>
      <c r="C21" t="s">
        <v>3178</v>
      </c>
      <c r="D21" t="s">
        <v>3179</v>
      </c>
      <c r="E21" t="s">
        <v>64</v>
      </c>
      <c r="F21" t="s">
        <v>3182</v>
      </c>
      <c r="G21" t="s">
        <v>3183</v>
      </c>
      <c r="H21" t="s">
        <v>44</v>
      </c>
      <c r="I21" t="s">
        <v>1528</v>
      </c>
      <c r="J21" t="s">
        <v>68</v>
      </c>
      <c r="K21" t="s">
        <v>69</v>
      </c>
      <c r="L21" t="s">
        <v>947</v>
      </c>
      <c r="M21" t="s">
        <v>1182</v>
      </c>
      <c r="N21" t="s">
        <v>51</v>
      </c>
      <c r="O21" t="s">
        <v>72</v>
      </c>
      <c r="P21" s="133">
        <v>2160</v>
      </c>
      <c r="Q21" s="135">
        <v>3.165</v>
      </c>
      <c r="R21" s="139">
        <v>724.2</v>
      </c>
      <c r="T21" s="133">
        <v>49.509</v>
      </c>
      <c r="U21" s="137">
        <v>0</v>
      </c>
      <c r="V21" s="137">
        <v>2.56030630378732E-3</v>
      </c>
      <c r="W21" s="137">
        <v>1.6438219756034201E-3</v>
      </c>
    </row>
    <row r="22" spans="1:23">
      <c r="A22">
        <v>14076</v>
      </c>
      <c r="B22">
        <v>14077</v>
      </c>
      <c r="C22" t="s">
        <v>3178</v>
      </c>
      <c r="D22" t="s">
        <v>3179</v>
      </c>
      <c r="E22" t="s">
        <v>64</v>
      </c>
      <c r="F22" t="s">
        <v>3184</v>
      </c>
      <c r="G22" t="s">
        <v>3185</v>
      </c>
      <c r="H22" t="s">
        <v>44</v>
      </c>
      <c r="I22" t="s">
        <v>1528</v>
      </c>
      <c r="J22" t="s">
        <v>68</v>
      </c>
      <c r="K22" t="s">
        <v>69</v>
      </c>
      <c r="L22" t="s">
        <v>947</v>
      </c>
      <c r="M22" t="s">
        <v>1185</v>
      </c>
      <c r="N22" t="s">
        <v>51</v>
      </c>
      <c r="O22" t="s">
        <v>72</v>
      </c>
      <c r="P22" s="133">
        <v>298</v>
      </c>
      <c r="Q22" s="135">
        <v>3.165</v>
      </c>
      <c r="R22" s="139">
        <v>65321</v>
      </c>
      <c r="T22" s="133">
        <v>616.08799999999997</v>
      </c>
      <c r="U22" s="137">
        <v>0</v>
      </c>
      <c r="V22" s="137">
        <v>3.1860217970255802E-2</v>
      </c>
      <c r="W22" s="137">
        <v>2.0455570636040699E-2</v>
      </c>
    </row>
    <row r="23" spans="1:23">
      <c r="A23">
        <v>14076</v>
      </c>
      <c r="B23">
        <v>14077</v>
      </c>
      <c r="C23" t="s">
        <v>3178</v>
      </c>
      <c r="D23" t="s">
        <v>3179</v>
      </c>
      <c r="E23" t="s">
        <v>64</v>
      </c>
      <c r="F23" t="s">
        <v>3186</v>
      </c>
      <c r="G23" t="s">
        <v>3187</v>
      </c>
      <c r="H23" t="s">
        <v>44</v>
      </c>
      <c r="I23" t="s">
        <v>1528</v>
      </c>
      <c r="J23" t="s">
        <v>68</v>
      </c>
      <c r="K23" t="s">
        <v>69</v>
      </c>
      <c r="L23" t="s">
        <v>947</v>
      </c>
      <c r="M23" t="s">
        <v>1283</v>
      </c>
      <c r="N23" t="s">
        <v>51</v>
      </c>
      <c r="O23" t="s">
        <v>72</v>
      </c>
      <c r="P23" s="133">
        <v>290</v>
      </c>
      <c r="Q23" s="135">
        <v>3.165</v>
      </c>
      <c r="R23" s="139">
        <v>8005</v>
      </c>
      <c r="T23" s="133">
        <v>73.474000000000004</v>
      </c>
      <c r="U23" s="137">
        <v>1.9000000000000001E-5</v>
      </c>
      <c r="V23" s="137">
        <v>3.7996097027416399E-3</v>
      </c>
      <c r="W23" s="137">
        <v>2.4395057414980099E-3</v>
      </c>
    </row>
    <row r="24" spans="1:23">
      <c r="A24">
        <v>14076</v>
      </c>
      <c r="B24">
        <v>14077</v>
      </c>
      <c r="C24" t="s">
        <v>3178</v>
      </c>
      <c r="D24" t="s">
        <v>3179</v>
      </c>
      <c r="E24" t="s">
        <v>64</v>
      </c>
      <c r="F24" t="s">
        <v>3188</v>
      </c>
      <c r="G24" t="s">
        <v>3189</v>
      </c>
      <c r="H24" t="s">
        <v>44</v>
      </c>
      <c r="I24" t="s">
        <v>1528</v>
      </c>
      <c r="J24" t="s">
        <v>68</v>
      </c>
      <c r="K24" t="s">
        <v>69</v>
      </c>
      <c r="L24" t="s">
        <v>947</v>
      </c>
      <c r="M24" t="s">
        <v>1283</v>
      </c>
      <c r="N24" t="s">
        <v>51</v>
      </c>
      <c r="O24" t="s">
        <v>72</v>
      </c>
      <c r="P24" s="133">
        <v>130</v>
      </c>
      <c r="Q24" s="135">
        <v>3.165</v>
      </c>
      <c r="R24" s="139">
        <v>16418</v>
      </c>
      <c r="T24" s="133">
        <v>67.552000000000007</v>
      </c>
      <c r="U24" s="137">
        <v>2.8E-5</v>
      </c>
      <c r="V24" s="137">
        <v>3.4933593111846398E-3</v>
      </c>
      <c r="W24" s="137">
        <v>2.2428803912678901E-3</v>
      </c>
    </row>
    <row r="25" spans="1:23">
      <c r="A25">
        <v>14076</v>
      </c>
      <c r="B25">
        <v>14077</v>
      </c>
      <c r="C25" t="s">
        <v>3190</v>
      </c>
      <c r="D25" t="s">
        <v>3191</v>
      </c>
      <c r="E25" t="s">
        <v>64</v>
      </c>
      <c r="F25" t="s">
        <v>3192</v>
      </c>
      <c r="G25" t="s">
        <v>3193</v>
      </c>
      <c r="H25" t="s">
        <v>44</v>
      </c>
      <c r="I25" t="s">
        <v>1528</v>
      </c>
      <c r="J25" t="s">
        <v>68</v>
      </c>
      <c r="K25" t="s">
        <v>889</v>
      </c>
      <c r="L25" t="s">
        <v>947</v>
      </c>
      <c r="M25" t="s">
        <v>1169</v>
      </c>
      <c r="N25" t="s">
        <v>51</v>
      </c>
      <c r="O25" t="s">
        <v>72</v>
      </c>
      <c r="P25" s="133">
        <v>470</v>
      </c>
      <c r="Q25" s="135">
        <v>3.165</v>
      </c>
      <c r="R25" s="139">
        <v>2843</v>
      </c>
      <c r="T25" s="133">
        <v>42.290999999999997</v>
      </c>
      <c r="U25" s="137">
        <v>1.9999999999999999E-6</v>
      </c>
      <c r="V25" s="137">
        <v>2.1870281422819399E-3</v>
      </c>
      <c r="W25" s="137">
        <v>1.40416203960759E-3</v>
      </c>
    </row>
    <row r="26" spans="1:23">
      <c r="A26">
        <v>14076</v>
      </c>
      <c r="B26">
        <v>14077</v>
      </c>
      <c r="C26" t="s">
        <v>3194</v>
      </c>
      <c r="D26" t="s">
        <v>3195</v>
      </c>
      <c r="E26" t="s">
        <v>64</v>
      </c>
      <c r="F26" t="s">
        <v>3196</v>
      </c>
      <c r="G26" t="s">
        <v>3197</v>
      </c>
      <c r="H26" t="s">
        <v>44</v>
      </c>
      <c r="I26" t="s">
        <v>1528</v>
      </c>
      <c r="J26" t="s">
        <v>68</v>
      </c>
      <c r="K26" t="s">
        <v>264</v>
      </c>
      <c r="L26" t="s">
        <v>215</v>
      </c>
      <c r="M26" t="s">
        <v>1316</v>
      </c>
      <c r="N26" t="s">
        <v>51</v>
      </c>
      <c r="O26" t="s">
        <v>395</v>
      </c>
      <c r="P26" s="133">
        <v>110</v>
      </c>
      <c r="Q26" s="135">
        <v>3.6360000000000001</v>
      </c>
      <c r="R26" s="139">
        <v>29271.9</v>
      </c>
      <c r="T26" s="133">
        <v>117.07599999999999</v>
      </c>
      <c r="U26" s="137">
        <v>1.8E-5</v>
      </c>
      <c r="V26" s="137">
        <v>6.0544320870522597E-3</v>
      </c>
      <c r="W26" s="137">
        <v>3.88719447347881E-3</v>
      </c>
    </row>
    <row r="27" spans="1:23">
      <c r="A27">
        <v>14076</v>
      </c>
      <c r="B27">
        <v>14077</v>
      </c>
      <c r="C27" t="s">
        <v>3198</v>
      </c>
      <c r="D27" t="s">
        <v>3171</v>
      </c>
      <c r="E27" t="s">
        <v>64</v>
      </c>
      <c r="F27" t="s">
        <v>3199</v>
      </c>
      <c r="G27" t="s">
        <v>3200</v>
      </c>
      <c r="H27" t="s">
        <v>44</v>
      </c>
      <c r="I27" t="s">
        <v>1528</v>
      </c>
      <c r="J27" t="s">
        <v>68</v>
      </c>
      <c r="K27" t="s">
        <v>917</v>
      </c>
      <c r="L27" t="s">
        <v>215</v>
      </c>
      <c r="M27" t="s">
        <v>1316</v>
      </c>
      <c r="N27" t="s">
        <v>51</v>
      </c>
      <c r="O27" t="s">
        <v>72</v>
      </c>
      <c r="P27" s="133">
        <v>1585</v>
      </c>
      <c r="Q27" s="135">
        <v>3.165</v>
      </c>
      <c r="R27" s="139">
        <v>8602</v>
      </c>
      <c r="T27" s="133">
        <v>431.52100000000002</v>
      </c>
      <c r="U27" s="137">
        <v>0</v>
      </c>
      <c r="V27" s="137">
        <v>2.2315589231225699E-2</v>
      </c>
      <c r="W27" s="137">
        <v>1.4327526328613499E-2</v>
      </c>
    </row>
    <row r="28" spans="1:23">
      <c r="A28">
        <v>14076</v>
      </c>
      <c r="B28">
        <v>14077</v>
      </c>
      <c r="C28" t="s">
        <v>3170</v>
      </c>
      <c r="D28" t="s">
        <v>3171</v>
      </c>
      <c r="E28" t="s">
        <v>64</v>
      </c>
      <c r="F28" t="s">
        <v>3201</v>
      </c>
      <c r="G28" t="s">
        <v>3202</v>
      </c>
      <c r="H28" t="s">
        <v>44</v>
      </c>
      <c r="I28" t="s">
        <v>1528</v>
      </c>
      <c r="J28" t="s">
        <v>68</v>
      </c>
      <c r="K28" t="s">
        <v>69</v>
      </c>
      <c r="L28" t="s">
        <v>947</v>
      </c>
      <c r="M28" t="s">
        <v>1185</v>
      </c>
      <c r="N28" t="s">
        <v>51</v>
      </c>
      <c r="O28" t="s">
        <v>72</v>
      </c>
      <c r="P28" s="133">
        <v>2758</v>
      </c>
      <c r="Q28" s="135">
        <v>3.165</v>
      </c>
      <c r="R28" s="139">
        <v>7654</v>
      </c>
      <c r="T28" s="133">
        <v>668.12300000000005</v>
      </c>
      <c r="U28" s="137">
        <v>9.0000000000000002E-6</v>
      </c>
      <c r="V28" s="137">
        <v>3.4551139386795202E-2</v>
      </c>
      <c r="W28" s="137">
        <v>2.2183252887412699E-2</v>
      </c>
    </row>
    <row r="29" spans="1:23">
      <c r="A29">
        <v>14076</v>
      </c>
      <c r="B29">
        <v>14077</v>
      </c>
      <c r="C29" t="s">
        <v>3170</v>
      </c>
      <c r="D29" t="s">
        <v>3171</v>
      </c>
      <c r="E29" t="s">
        <v>64</v>
      </c>
      <c r="F29" t="s">
        <v>3203</v>
      </c>
      <c r="G29" t="s">
        <v>3204</v>
      </c>
      <c r="H29" t="s">
        <v>44</v>
      </c>
      <c r="I29" t="s">
        <v>1528</v>
      </c>
      <c r="J29" t="s">
        <v>68</v>
      </c>
      <c r="K29" t="s">
        <v>69</v>
      </c>
      <c r="L29" t="s">
        <v>981</v>
      </c>
      <c r="M29" t="s">
        <v>1283</v>
      </c>
      <c r="N29" t="s">
        <v>51</v>
      </c>
      <c r="O29" t="s">
        <v>72</v>
      </c>
      <c r="P29" s="133">
        <v>1613</v>
      </c>
      <c r="Q29" s="135">
        <v>3.165</v>
      </c>
      <c r="R29" s="139">
        <v>5781.5</v>
      </c>
      <c r="T29" s="133">
        <v>295.154</v>
      </c>
      <c r="U29" s="137">
        <v>5.0000000000000004E-6</v>
      </c>
      <c r="V29" s="137">
        <v>1.52635147686551E-2</v>
      </c>
      <c r="W29" s="137">
        <v>9.7998044079912403E-3</v>
      </c>
    </row>
    <row r="30" spans="1:23">
      <c r="A30">
        <v>14076</v>
      </c>
      <c r="B30">
        <v>14077</v>
      </c>
      <c r="C30" t="s">
        <v>3205</v>
      </c>
      <c r="D30" t="s">
        <v>3206</v>
      </c>
      <c r="E30" t="s">
        <v>64</v>
      </c>
      <c r="F30" t="s">
        <v>3207</v>
      </c>
      <c r="G30" t="s">
        <v>3208</v>
      </c>
      <c r="H30" t="s">
        <v>44</v>
      </c>
      <c r="I30" t="s">
        <v>1528</v>
      </c>
      <c r="J30" t="s">
        <v>68</v>
      </c>
      <c r="K30" t="s">
        <v>69</v>
      </c>
      <c r="L30" t="s">
        <v>947</v>
      </c>
      <c r="M30" t="s">
        <v>1185</v>
      </c>
      <c r="N30" t="s">
        <v>51</v>
      </c>
      <c r="O30" t="s">
        <v>72</v>
      </c>
      <c r="P30" s="133">
        <v>235</v>
      </c>
      <c r="Q30" s="135">
        <v>3.165</v>
      </c>
      <c r="R30" s="139">
        <v>59755</v>
      </c>
      <c r="S30" s="133">
        <v>0.44</v>
      </c>
      <c r="T30" s="133">
        <v>445.83499999999998</v>
      </c>
      <c r="U30" s="137">
        <v>0</v>
      </c>
      <c r="V30" s="137">
        <v>2.30558146445334E-2</v>
      </c>
      <c r="W30" s="137">
        <v>1.48027814961282E-2</v>
      </c>
    </row>
    <row r="31" spans="1:23">
      <c r="A31">
        <v>14076</v>
      </c>
      <c r="B31">
        <v>14077</v>
      </c>
      <c r="C31" t="s">
        <v>3209</v>
      </c>
      <c r="D31" t="s">
        <v>3210</v>
      </c>
      <c r="E31" t="s">
        <v>64</v>
      </c>
      <c r="F31" t="s">
        <v>3211</v>
      </c>
      <c r="G31" t="s">
        <v>3212</v>
      </c>
      <c r="H31" t="s">
        <v>44</v>
      </c>
      <c r="I31" t="s">
        <v>1528</v>
      </c>
      <c r="J31" t="s">
        <v>68</v>
      </c>
      <c r="K31" t="s">
        <v>873</v>
      </c>
      <c r="L31" t="s">
        <v>947</v>
      </c>
      <c r="M31" t="s">
        <v>1180</v>
      </c>
      <c r="N31" t="s">
        <v>51</v>
      </c>
      <c r="O31" t="s">
        <v>72</v>
      </c>
      <c r="P31" s="133">
        <v>240</v>
      </c>
      <c r="Q31" s="135">
        <v>3.165</v>
      </c>
      <c r="R31" s="139">
        <v>15858</v>
      </c>
      <c r="T31" s="133">
        <v>120.45699999999999</v>
      </c>
      <c r="U31" s="137">
        <v>7.9999999999999996E-6</v>
      </c>
      <c r="V31" s="137">
        <v>6.2293008937769302E-3</v>
      </c>
      <c r="W31" s="137">
        <v>3.9994674413328301E-3</v>
      </c>
    </row>
    <row r="32" spans="1:23">
      <c r="A32">
        <v>14076</v>
      </c>
      <c r="B32">
        <v>14078</v>
      </c>
      <c r="C32" t="s">
        <v>3128</v>
      </c>
      <c r="D32" t="s">
        <v>3129</v>
      </c>
      <c r="E32" t="s">
        <v>41</v>
      </c>
      <c r="F32" t="s">
        <v>3130</v>
      </c>
      <c r="G32" t="s">
        <v>3131</v>
      </c>
      <c r="H32" t="s">
        <v>44</v>
      </c>
      <c r="I32" t="s">
        <v>1526</v>
      </c>
      <c r="J32" t="s">
        <v>45</v>
      </c>
      <c r="K32" t="s">
        <v>45</v>
      </c>
      <c r="L32" t="s">
        <v>47</v>
      </c>
      <c r="M32" t="s">
        <v>1153</v>
      </c>
      <c r="N32" t="s">
        <v>51</v>
      </c>
      <c r="O32" t="s">
        <v>52</v>
      </c>
      <c r="P32" s="133">
        <v>4616</v>
      </c>
      <c r="Q32" s="135">
        <v>1</v>
      </c>
      <c r="R32" s="139">
        <v>6157</v>
      </c>
      <c r="T32" s="133">
        <v>284.20699999999999</v>
      </c>
      <c r="U32" s="137">
        <v>4.3999999999999999E-5</v>
      </c>
      <c r="V32" s="137">
        <v>0.111322987727329</v>
      </c>
      <c r="W32" s="137">
        <v>6.9635396378867301E-2</v>
      </c>
    </row>
    <row r="33" spans="1:23">
      <c r="A33">
        <v>14076</v>
      </c>
      <c r="B33">
        <v>14078</v>
      </c>
      <c r="C33" t="s">
        <v>3128</v>
      </c>
      <c r="D33" t="s">
        <v>3129</v>
      </c>
      <c r="E33" t="s">
        <v>41</v>
      </c>
      <c r="F33" t="s">
        <v>3213</v>
      </c>
      <c r="G33" t="s">
        <v>3214</v>
      </c>
      <c r="H33" t="s">
        <v>44</v>
      </c>
      <c r="I33" t="s">
        <v>1529</v>
      </c>
      <c r="J33" t="s">
        <v>45</v>
      </c>
      <c r="K33" t="s">
        <v>45</v>
      </c>
      <c r="L33" t="s">
        <v>47</v>
      </c>
      <c r="M33" t="s">
        <v>1215</v>
      </c>
      <c r="N33" t="s">
        <v>51</v>
      </c>
      <c r="O33" t="s">
        <v>52</v>
      </c>
      <c r="P33" s="133">
        <v>48555</v>
      </c>
      <c r="Q33" s="135">
        <v>1</v>
      </c>
      <c r="R33" s="139">
        <v>497.26</v>
      </c>
      <c r="T33" s="133">
        <v>241.44499999999999</v>
      </c>
      <c r="U33" s="137">
        <v>1.9699999999999999E-4</v>
      </c>
      <c r="V33" s="137">
        <v>9.4573047513267797E-2</v>
      </c>
      <c r="W33" s="137">
        <v>5.9157877315280799E-2</v>
      </c>
    </row>
    <row r="34" spans="1:23">
      <c r="A34">
        <v>14076</v>
      </c>
      <c r="B34">
        <v>14078</v>
      </c>
      <c r="C34" t="s">
        <v>3178</v>
      </c>
      <c r="D34" t="s">
        <v>3179</v>
      </c>
      <c r="E34" t="s">
        <v>64</v>
      </c>
      <c r="F34" t="s">
        <v>3215</v>
      </c>
      <c r="G34" t="s">
        <v>3216</v>
      </c>
      <c r="H34" t="s">
        <v>44</v>
      </c>
      <c r="I34" t="s">
        <v>1528</v>
      </c>
      <c r="J34" t="s">
        <v>45</v>
      </c>
      <c r="K34" t="s">
        <v>69</v>
      </c>
      <c r="L34" t="s">
        <v>47</v>
      </c>
      <c r="M34" t="s">
        <v>1185</v>
      </c>
      <c r="N34" t="s">
        <v>51</v>
      </c>
      <c r="O34" t="s">
        <v>52</v>
      </c>
      <c r="P34" s="133">
        <v>84</v>
      </c>
      <c r="Q34" s="135">
        <v>1</v>
      </c>
      <c r="R34" s="139">
        <v>219220</v>
      </c>
      <c r="T34" s="133">
        <v>184.14500000000001</v>
      </c>
      <c r="U34" s="137">
        <v>2.6999999999999999E-5</v>
      </c>
      <c r="V34" s="137">
        <v>7.2128908348430804E-2</v>
      </c>
      <c r="W34" s="137">
        <v>4.5118490131799797E-2</v>
      </c>
    </row>
    <row r="35" spans="1:23">
      <c r="A35">
        <v>14076</v>
      </c>
      <c r="B35">
        <v>14078</v>
      </c>
      <c r="C35" t="s">
        <v>3136</v>
      </c>
      <c r="D35" t="s">
        <v>3137</v>
      </c>
      <c r="E35" t="s">
        <v>41</v>
      </c>
      <c r="F35" t="s">
        <v>3138</v>
      </c>
      <c r="G35" t="s">
        <v>3139</v>
      </c>
      <c r="H35" t="s">
        <v>44</v>
      </c>
      <c r="I35" t="s">
        <v>1526</v>
      </c>
      <c r="J35" t="s">
        <v>45</v>
      </c>
      <c r="K35" t="s">
        <v>45</v>
      </c>
      <c r="L35" t="s">
        <v>47</v>
      </c>
      <c r="M35" t="s">
        <v>1158</v>
      </c>
      <c r="N35" t="s">
        <v>51</v>
      </c>
      <c r="O35" t="s">
        <v>52</v>
      </c>
      <c r="P35" s="133">
        <v>1762</v>
      </c>
      <c r="Q35" s="135">
        <v>1</v>
      </c>
      <c r="R35" s="139">
        <v>3438</v>
      </c>
      <c r="T35" s="133">
        <v>60.578000000000003</v>
      </c>
      <c r="U35" s="137">
        <v>6.9999999999999999E-6</v>
      </c>
      <c r="V35" s="137">
        <v>2.3728029644125601E-2</v>
      </c>
      <c r="W35" s="137">
        <v>1.4842493749856101E-2</v>
      </c>
    </row>
    <row r="36" spans="1:23">
      <c r="A36">
        <v>14076</v>
      </c>
      <c r="B36">
        <v>14078</v>
      </c>
      <c r="C36" t="s">
        <v>3136</v>
      </c>
      <c r="D36" t="s">
        <v>3137</v>
      </c>
      <c r="E36" t="s">
        <v>41</v>
      </c>
      <c r="F36" t="s">
        <v>3217</v>
      </c>
      <c r="G36" t="s">
        <v>3218</v>
      </c>
      <c r="H36" t="s">
        <v>44</v>
      </c>
      <c r="I36" t="s">
        <v>1529</v>
      </c>
      <c r="J36" t="s">
        <v>45</v>
      </c>
      <c r="K36" t="s">
        <v>45</v>
      </c>
      <c r="L36" t="s">
        <v>47</v>
      </c>
      <c r="M36" t="s">
        <v>1157</v>
      </c>
      <c r="N36" t="s">
        <v>51</v>
      </c>
      <c r="O36" t="s">
        <v>52</v>
      </c>
      <c r="P36" s="133">
        <v>61217</v>
      </c>
      <c r="Q36" s="135">
        <v>1</v>
      </c>
      <c r="R36" s="139">
        <v>393.81</v>
      </c>
      <c r="T36" s="133">
        <v>241.07900000000001</v>
      </c>
      <c r="U36" s="137">
        <v>1.9799999999999999E-4</v>
      </c>
      <c r="V36" s="137">
        <v>9.4429715785051299E-2</v>
      </c>
      <c r="W36" s="137">
        <v>5.90682196272167E-2</v>
      </c>
    </row>
    <row r="37" spans="1:23">
      <c r="A37">
        <v>14076</v>
      </c>
      <c r="B37">
        <v>14078</v>
      </c>
      <c r="C37" t="s">
        <v>3136</v>
      </c>
      <c r="D37" t="s">
        <v>3137</v>
      </c>
      <c r="E37" t="s">
        <v>41</v>
      </c>
      <c r="F37" t="s">
        <v>3142</v>
      </c>
      <c r="G37" t="s">
        <v>3143</v>
      </c>
      <c r="H37" t="s">
        <v>44</v>
      </c>
      <c r="I37" t="s">
        <v>1529</v>
      </c>
      <c r="J37" t="s">
        <v>45</v>
      </c>
      <c r="K37" t="s">
        <v>45</v>
      </c>
      <c r="L37" t="s">
        <v>47</v>
      </c>
      <c r="M37" t="s">
        <v>1215</v>
      </c>
      <c r="N37" t="s">
        <v>51</v>
      </c>
      <c r="O37" t="s">
        <v>52</v>
      </c>
      <c r="P37" s="133">
        <v>47109</v>
      </c>
      <c r="Q37" s="135">
        <v>1</v>
      </c>
      <c r="R37" s="139">
        <v>427.92</v>
      </c>
      <c r="T37" s="133">
        <v>201.589</v>
      </c>
      <c r="U37" s="137">
        <v>1.4200000000000001E-4</v>
      </c>
      <c r="V37" s="137">
        <v>7.8961678228754495E-2</v>
      </c>
      <c r="W37" s="137">
        <v>4.9392563696437998E-2</v>
      </c>
    </row>
    <row r="38" spans="1:23">
      <c r="A38">
        <v>14076</v>
      </c>
      <c r="B38">
        <v>14078</v>
      </c>
      <c r="C38" t="s">
        <v>3148</v>
      </c>
      <c r="D38" t="s">
        <v>3149</v>
      </c>
      <c r="E38" t="s">
        <v>41</v>
      </c>
      <c r="F38" t="s">
        <v>3219</v>
      </c>
      <c r="G38" t="s">
        <v>3220</v>
      </c>
      <c r="H38" t="s">
        <v>44</v>
      </c>
      <c r="I38" t="s">
        <v>1528</v>
      </c>
      <c r="J38" t="s">
        <v>45</v>
      </c>
      <c r="K38" t="s">
        <v>69</v>
      </c>
      <c r="L38" t="s">
        <v>47</v>
      </c>
      <c r="M38" t="s">
        <v>1178</v>
      </c>
      <c r="N38" t="s">
        <v>51</v>
      </c>
      <c r="O38" t="s">
        <v>52</v>
      </c>
      <c r="P38" s="133">
        <v>891</v>
      </c>
      <c r="Q38" s="135">
        <v>1</v>
      </c>
      <c r="R38" s="139">
        <v>11230</v>
      </c>
      <c r="T38" s="133">
        <v>100.059</v>
      </c>
      <c r="U38" s="137">
        <v>9.3999999999999994E-5</v>
      </c>
      <c r="V38" s="137">
        <v>3.9192896454899297E-2</v>
      </c>
      <c r="W38" s="137">
        <v>2.4516166297635301E-2</v>
      </c>
    </row>
    <row r="39" spans="1:23">
      <c r="A39">
        <v>14076</v>
      </c>
      <c r="B39">
        <v>14078</v>
      </c>
      <c r="C39" t="s">
        <v>3158</v>
      </c>
      <c r="D39" t="s">
        <v>3159</v>
      </c>
      <c r="E39" t="s">
        <v>41</v>
      </c>
      <c r="F39" t="s">
        <v>3160</v>
      </c>
      <c r="G39" t="s">
        <v>3161</v>
      </c>
      <c r="H39" t="s">
        <v>44</v>
      </c>
      <c r="I39" t="s">
        <v>1529</v>
      </c>
      <c r="J39" t="s">
        <v>45</v>
      </c>
      <c r="K39" t="s">
        <v>45</v>
      </c>
      <c r="L39" t="s">
        <v>47</v>
      </c>
      <c r="M39" t="s">
        <v>1157</v>
      </c>
      <c r="N39" t="s">
        <v>51</v>
      </c>
      <c r="O39" t="s">
        <v>52</v>
      </c>
      <c r="P39" s="133">
        <v>6132</v>
      </c>
      <c r="Q39" s="135">
        <v>1</v>
      </c>
      <c r="R39" s="139">
        <v>3934.51</v>
      </c>
      <c r="T39" s="133">
        <v>241.26400000000001</v>
      </c>
      <c r="U39" s="137">
        <v>8.5000000000000006E-5</v>
      </c>
      <c r="V39" s="137">
        <v>9.4502369841149902E-2</v>
      </c>
      <c r="W39" s="137">
        <v>5.9113666610793397E-2</v>
      </c>
    </row>
    <row r="40" spans="1:23">
      <c r="A40">
        <v>14076</v>
      </c>
      <c r="B40">
        <v>14078</v>
      </c>
      <c r="C40" t="s">
        <v>3158</v>
      </c>
      <c r="D40" t="s">
        <v>3159</v>
      </c>
      <c r="E40" t="s">
        <v>41</v>
      </c>
      <c r="F40" t="s">
        <v>3162</v>
      </c>
      <c r="G40" t="s">
        <v>3163</v>
      </c>
      <c r="H40" t="s">
        <v>44</v>
      </c>
      <c r="I40" t="s">
        <v>1529</v>
      </c>
      <c r="J40" t="s">
        <v>45</v>
      </c>
      <c r="K40" t="s">
        <v>45</v>
      </c>
      <c r="L40" t="s">
        <v>47</v>
      </c>
      <c r="M40" t="s">
        <v>1213</v>
      </c>
      <c r="N40" t="s">
        <v>51</v>
      </c>
      <c r="O40" t="s">
        <v>52</v>
      </c>
      <c r="P40" s="133">
        <v>5657</v>
      </c>
      <c r="Q40" s="135">
        <v>1</v>
      </c>
      <c r="R40" s="139">
        <v>4269.79</v>
      </c>
      <c r="T40" s="133">
        <v>241.542</v>
      </c>
      <c r="U40" s="137">
        <v>1.05E-4</v>
      </c>
      <c r="V40" s="137">
        <v>9.4611209464038795E-2</v>
      </c>
      <c r="W40" s="137">
        <v>5.9181748598497098E-2</v>
      </c>
    </row>
    <row r="41" spans="1:23">
      <c r="A41">
        <v>14076</v>
      </c>
      <c r="B41">
        <v>14078</v>
      </c>
      <c r="C41" t="s">
        <v>3164</v>
      </c>
      <c r="D41" t="s">
        <v>3165</v>
      </c>
      <c r="E41" t="s">
        <v>41</v>
      </c>
      <c r="F41" t="s">
        <v>3221</v>
      </c>
      <c r="G41" t="s">
        <v>3222</v>
      </c>
      <c r="H41" t="s">
        <v>44</v>
      </c>
      <c r="I41" t="s">
        <v>1526</v>
      </c>
      <c r="J41" t="s">
        <v>45</v>
      </c>
      <c r="K41" t="s">
        <v>45</v>
      </c>
      <c r="L41" t="s">
        <v>47</v>
      </c>
      <c r="M41" t="s">
        <v>1153</v>
      </c>
      <c r="N41" t="s">
        <v>51</v>
      </c>
      <c r="O41" t="s">
        <v>52</v>
      </c>
      <c r="P41" s="133">
        <v>1056</v>
      </c>
      <c r="Q41" s="135">
        <v>1</v>
      </c>
      <c r="R41" s="139">
        <v>3929</v>
      </c>
      <c r="T41" s="133">
        <v>41.49</v>
      </c>
      <c r="U41" s="137">
        <v>1.9999999999999999E-6</v>
      </c>
      <c r="V41" s="137">
        <v>1.6251589609450799E-2</v>
      </c>
      <c r="W41" s="137">
        <v>1.0165787923449399E-2</v>
      </c>
    </row>
    <row r="42" spans="1:23">
      <c r="A42">
        <v>14076</v>
      </c>
      <c r="B42">
        <v>14078</v>
      </c>
      <c r="C42" t="s">
        <v>3164</v>
      </c>
      <c r="D42" t="s">
        <v>3165</v>
      </c>
      <c r="E42" t="s">
        <v>41</v>
      </c>
      <c r="F42" t="s">
        <v>3166</v>
      </c>
      <c r="G42" t="s">
        <v>3167</v>
      </c>
      <c r="H42" t="s">
        <v>44</v>
      </c>
      <c r="I42" t="s">
        <v>1529</v>
      </c>
      <c r="J42" t="s">
        <v>45</v>
      </c>
      <c r="K42" t="s">
        <v>45</v>
      </c>
      <c r="L42" t="s">
        <v>47</v>
      </c>
      <c r="M42" t="s">
        <v>1157</v>
      </c>
      <c r="N42" t="s">
        <v>51</v>
      </c>
      <c r="O42" t="s">
        <v>52</v>
      </c>
      <c r="P42" s="133">
        <v>61044</v>
      </c>
      <c r="Q42" s="135">
        <v>1</v>
      </c>
      <c r="R42" s="139">
        <v>394.8</v>
      </c>
      <c r="T42" s="133">
        <v>241.00200000000001</v>
      </c>
      <c r="U42" s="137">
        <v>4.5000000000000003E-5</v>
      </c>
      <c r="V42" s="137">
        <v>9.4399572492206804E-2</v>
      </c>
      <c r="W42" s="137">
        <v>5.9049364221084998E-2</v>
      </c>
    </row>
    <row r="43" spans="1:23">
      <c r="A43">
        <v>14076</v>
      </c>
      <c r="B43">
        <v>14078</v>
      </c>
      <c r="C43" t="s">
        <v>3164</v>
      </c>
      <c r="D43" t="s">
        <v>3165</v>
      </c>
      <c r="E43" t="s">
        <v>41</v>
      </c>
      <c r="F43" t="s">
        <v>3168</v>
      </c>
      <c r="G43" t="s">
        <v>3169</v>
      </c>
      <c r="H43" t="s">
        <v>44</v>
      </c>
      <c r="I43" t="s">
        <v>1529</v>
      </c>
      <c r="J43" t="s">
        <v>45</v>
      </c>
      <c r="K43" t="s">
        <v>45</v>
      </c>
      <c r="L43" t="s">
        <v>47</v>
      </c>
      <c r="M43" t="s">
        <v>1213</v>
      </c>
      <c r="N43" t="s">
        <v>51</v>
      </c>
      <c r="O43" t="s">
        <v>52</v>
      </c>
      <c r="P43" s="133">
        <v>56224</v>
      </c>
      <c r="Q43" s="135">
        <v>1</v>
      </c>
      <c r="R43" s="139">
        <v>429.5</v>
      </c>
      <c r="T43" s="133">
        <v>241.482</v>
      </c>
      <c r="U43" s="137">
        <v>7.7000000000000001E-5</v>
      </c>
      <c r="V43" s="137">
        <v>9.4587731047026294E-2</v>
      </c>
      <c r="W43" s="137">
        <v>5.9167062243878098E-2</v>
      </c>
    </row>
    <row r="44" spans="1:23">
      <c r="A44">
        <v>14076</v>
      </c>
      <c r="B44">
        <v>14078</v>
      </c>
      <c r="C44" t="s">
        <v>3223</v>
      </c>
      <c r="D44" t="s">
        <v>3224</v>
      </c>
      <c r="E44" t="s">
        <v>64</v>
      </c>
      <c r="F44" t="s">
        <v>3225</v>
      </c>
      <c r="G44" t="s">
        <v>3226</v>
      </c>
      <c r="H44" t="s">
        <v>44</v>
      </c>
      <c r="I44" t="s">
        <v>1528</v>
      </c>
      <c r="J44" t="s">
        <v>68</v>
      </c>
      <c r="K44" t="s">
        <v>69</v>
      </c>
      <c r="L44" t="s">
        <v>47</v>
      </c>
      <c r="M44" t="s">
        <v>1185</v>
      </c>
      <c r="N44" t="s">
        <v>51</v>
      </c>
      <c r="O44" t="s">
        <v>52</v>
      </c>
      <c r="P44" s="133">
        <v>5708</v>
      </c>
      <c r="Q44" s="135">
        <v>1</v>
      </c>
      <c r="R44" s="139">
        <v>4084</v>
      </c>
      <c r="T44" s="133">
        <v>233.11500000000001</v>
      </c>
      <c r="U44" s="137">
        <v>3.0000000000000001E-6</v>
      </c>
      <c r="V44" s="137">
        <v>9.1310263844268894E-2</v>
      </c>
      <c r="W44" s="137">
        <v>5.7116922084670702E-2</v>
      </c>
    </row>
    <row r="45" spans="1:23">
      <c r="A45">
        <v>14076</v>
      </c>
      <c r="B45">
        <v>14079</v>
      </c>
      <c r="C45" t="s">
        <v>3158</v>
      </c>
      <c r="D45" t="s">
        <v>3159</v>
      </c>
      <c r="E45" t="s">
        <v>41</v>
      </c>
      <c r="F45" t="s">
        <v>3227</v>
      </c>
      <c r="G45" t="s">
        <v>3228</v>
      </c>
      <c r="H45" t="s">
        <v>44</v>
      </c>
      <c r="I45" t="s">
        <v>1528</v>
      </c>
      <c r="J45" t="s">
        <v>45</v>
      </c>
      <c r="K45" t="s">
        <v>915</v>
      </c>
      <c r="L45" t="s">
        <v>47</v>
      </c>
      <c r="M45" t="s">
        <v>1177</v>
      </c>
      <c r="N45" t="s">
        <v>51</v>
      </c>
      <c r="O45" t="s">
        <v>52</v>
      </c>
      <c r="P45" s="133">
        <v>5826</v>
      </c>
      <c r="Q45" s="135">
        <v>1</v>
      </c>
      <c r="R45" s="139">
        <v>4403</v>
      </c>
      <c r="T45" s="133">
        <v>256.51900000000001</v>
      </c>
      <c r="U45" s="137">
        <v>1.4200000000000001E-4</v>
      </c>
      <c r="V45" s="137">
        <v>2.3163496819415701E-2</v>
      </c>
      <c r="W45" s="137">
        <v>1.8073278451200499E-2</v>
      </c>
    </row>
    <row r="46" spans="1:23">
      <c r="A46">
        <v>14076</v>
      </c>
      <c r="B46">
        <v>14079</v>
      </c>
      <c r="C46" t="s">
        <v>3128</v>
      </c>
      <c r="D46" t="s">
        <v>3129</v>
      </c>
      <c r="E46" t="s">
        <v>41</v>
      </c>
      <c r="F46" t="s">
        <v>3130</v>
      </c>
      <c r="G46" t="s">
        <v>3131</v>
      </c>
      <c r="H46" t="s">
        <v>44</v>
      </c>
      <c r="I46" t="s">
        <v>1526</v>
      </c>
      <c r="J46" t="s">
        <v>45</v>
      </c>
      <c r="K46" t="s">
        <v>45</v>
      </c>
      <c r="L46" t="s">
        <v>47</v>
      </c>
      <c r="M46" t="s">
        <v>1153</v>
      </c>
      <c r="N46" t="s">
        <v>51</v>
      </c>
      <c r="O46" t="s">
        <v>52</v>
      </c>
      <c r="P46" s="133">
        <v>16424</v>
      </c>
      <c r="Q46" s="135">
        <v>1</v>
      </c>
      <c r="R46" s="139">
        <v>6157</v>
      </c>
      <c r="T46" s="133">
        <v>1011.226</v>
      </c>
      <c r="U46" s="137">
        <v>1.56E-4</v>
      </c>
      <c r="V46" s="137">
        <v>9.1313091471865906E-2</v>
      </c>
      <c r="W46" s="137">
        <v>7.1246882164512901E-2</v>
      </c>
    </row>
    <row r="47" spans="1:23">
      <c r="A47">
        <v>14076</v>
      </c>
      <c r="B47">
        <v>14079</v>
      </c>
      <c r="C47" t="s">
        <v>3128</v>
      </c>
      <c r="D47" t="s">
        <v>3129</v>
      </c>
      <c r="E47" t="s">
        <v>41</v>
      </c>
      <c r="F47" t="s">
        <v>3134</v>
      </c>
      <c r="G47" t="s">
        <v>3135</v>
      </c>
      <c r="H47" t="s">
        <v>44</v>
      </c>
      <c r="I47" t="s">
        <v>1528</v>
      </c>
      <c r="J47" t="s">
        <v>45</v>
      </c>
      <c r="K47" t="s">
        <v>69</v>
      </c>
      <c r="L47" t="s">
        <v>47</v>
      </c>
      <c r="M47" t="s">
        <v>1186</v>
      </c>
      <c r="N47" t="s">
        <v>51</v>
      </c>
      <c r="O47" t="s">
        <v>52</v>
      </c>
      <c r="P47" s="133">
        <v>6674</v>
      </c>
      <c r="Q47" s="135">
        <v>1</v>
      </c>
      <c r="R47" s="139">
        <v>8146</v>
      </c>
      <c r="T47" s="133">
        <v>543.66399999999999</v>
      </c>
      <c r="U47" s="137">
        <v>2.7399999999999999E-4</v>
      </c>
      <c r="V47" s="137">
        <v>4.9092546991571798E-2</v>
      </c>
      <c r="W47" s="137">
        <v>3.8304375137074298E-2</v>
      </c>
    </row>
    <row r="48" spans="1:23">
      <c r="A48">
        <v>14076</v>
      </c>
      <c r="B48">
        <v>14079</v>
      </c>
      <c r="C48" t="s">
        <v>3136</v>
      </c>
      <c r="D48" t="s">
        <v>3137</v>
      </c>
      <c r="E48" t="s">
        <v>41</v>
      </c>
      <c r="F48" t="s">
        <v>3229</v>
      </c>
      <c r="G48" t="s">
        <v>3230</v>
      </c>
      <c r="H48" t="s">
        <v>44</v>
      </c>
      <c r="I48" t="s">
        <v>1528</v>
      </c>
      <c r="J48" t="s">
        <v>45</v>
      </c>
      <c r="K48" t="s">
        <v>69</v>
      </c>
      <c r="L48" t="s">
        <v>47</v>
      </c>
      <c r="M48" t="s">
        <v>1186</v>
      </c>
      <c r="N48" t="s">
        <v>51</v>
      </c>
      <c r="O48" t="s">
        <v>52</v>
      </c>
      <c r="P48" s="133">
        <v>6634</v>
      </c>
      <c r="Q48" s="135">
        <v>1</v>
      </c>
      <c r="R48" s="139">
        <v>6160</v>
      </c>
      <c r="T48" s="133">
        <v>408.654</v>
      </c>
      <c r="U48" s="137">
        <v>5.5000000000000002E-5</v>
      </c>
      <c r="V48" s="137">
        <v>3.69012549281586E-2</v>
      </c>
      <c r="W48" s="137">
        <v>2.8792140526741498E-2</v>
      </c>
    </row>
    <row r="49" spans="1:23">
      <c r="A49">
        <v>14076</v>
      </c>
      <c r="B49">
        <v>14079</v>
      </c>
      <c r="C49" t="s">
        <v>3136</v>
      </c>
      <c r="D49" t="s">
        <v>3137</v>
      </c>
      <c r="E49" t="s">
        <v>41</v>
      </c>
      <c r="F49" t="s">
        <v>3138</v>
      </c>
      <c r="G49" t="s">
        <v>3139</v>
      </c>
      <c r="H49" t="s">
        <v>44</v>
      </c>
      <c r="I49" t="s">
        <v>1526</v>
      </c>
      <c r="J49" t="s">
        <v>45</v>
      </c>
      <c r="K49" t="s">
        <v>45</v>
      </c>
      <c r="L49" t="s">
        <v>47</v>
      </c>
      <c r="M49" t="s">
        <v>1158</v>
      </c>
      <c r="N49" t="s">
        <v>51</v>
      </c>
      <c r="O49" t="s">
        <v>52</v>
      </c>
      <c r="P49" s="133">
        <v>11283</v>
      </c>
      <c r="Q49" s="135">
        <v>1</v>
      </c>
      <c r="R49" s="139">
        <v>3438</v>
      </c>
      <c r="T49" s="133">
        <v>387.91</v>
      </c>
      <c r="U49" s="137">
        <v>4.5000000000000003E-5</v>
      </c>
      <c r="V49" s="137">
        <v>3.5028006121076198E-2</v>
      </c>
      <c r="W49" s="137">
        <v>2.7330541375165999E-2</v>
      </c>
    </row>
    <row r="50" spans="1:23">
      <c r="A50">
        <v>14076</v>
      </c>
      <c r="B50">
        <v>14079</v>
      </c>
      <c r="C50" t="s">
        <v>3136</v>
      </c>
      <c r="D50" t="s">
        <v>3137</v>
      </c>
      <c r="E50" t="s">
        <v>41</v>
      </c>
      <c r="F50" t="s">
        <v>3140</v>
      </c>
      <c r="G50" t="s">
        <v>3141</v>
      </c>
      <c r="H50" t="s">
        <v>44</v>
      </c>
      <c r="I50" t="s">
        <v>1526</v>
      </c>
      <c r="J50" t="s">
        <v>45</v>
      </c>
      <c r="K50" t="s">
        <v>45</v>
      </c>
      <c r="L50" t="s">
        <v>47</v>
      </c>
      <c r="M50" t="s">
        <v>1280</v>
      </c>
      <c r="N50" t="s">
        <v>51</v>
      </c>
      <c r="O50" t="s">
        <v>52</v>
      </c>
      <c r="P50" s="133">
        <v>22045</v>
      </c>
      <c r="Q50" s="135">
        <v>1</v>
      </c>
      <c r="R50" s="139">
        <v>1346</v>
      </c>
      <c r="T50" s="133">
        <v>296.726</v>
      </c>
      <c r="U50" s="137">
        <v>4.08E-4</v>
      </c>
      <c r="V50" s="137">
        <v>2.6794158338773098E-2</v>
      </c>
      <c r="W50" s="137">
        <v>2.0906095841120801E-2</v>
      </c>
    </row>
    <row r="51" spans="1:23">
      <c r="A51">
        <v>14076</v>
      </c>
      <c r="B51">
        <v>14079</v>
      </c>
      <c r="C51" t="s">
        <v>3136</v>
      </c>
      <c r="D51" t="s">
        <v>3137</v>
      </c>
      <c r="E51" t="s">
        <v>41</v>
      </c>
      <c r="F51" t="s">
        <v>3146</v>
      </c>
      <c r="G51" t="s">
        <v>3147</v>
      </c>
      <c r="H51" t="s">
        <v>44</v>
      </c>
      <c r="I51" t="s">
        <v>1526</v>
      </c>
      <c r="J51" t="s">
        <v>45</v>
      </c>
      <c r="K51" t="s">
        <v>45</v>
      </c>
      <c r="L51" t="s">
        <v>47</v>
      </c>
      <c r="M51" t="s">
        <v>1153</v>
      </c>
      <c r="N51" t="s">
        <v>51</v>
      </c>
      <c r="O51" t="s">
        <v>52</v>
      </c>
      <c r="P51" s="133">
        <v>14309</v>
      </c>
      <c r="Q51" s="135">
        <v>1</v>
      </c>
      <c r="R51" s="139">
        <v>3922</v>
      </c>
      <c r="T51" s="133">
        <v>561.19899999999996</v>
      </c>
      <c r="U51" s="137">
        <v>6.8999999999999997E-5</v>
      </c>
      <c r="V51" s="137">
        <v>5.0675941887332099E-2</v>
      </c>
      <c r="W51" s="137">
        <v>3.9539816274152401E-2</v>
      </c>
    </row>
    <row r="52" spans="1:23">
      <c r="A52">
        <v>14076</v>
      </c>
      <c r="B52">
        <v>14079</v>
      </c>
      <c r="C52" t="s">
        <v>3231</v>
      </c>
      <c r="D52" t="s">
        <v>3232</v>
      </c>
      <c r="E52" t="s">
        <v>41</v>
      </c>
      <c r="F52" t="s">
        <v>3233</v>
      </c>
      <c r="G52" t="s">
        <v>3234</v>
      </c>
      <c r="H52" t="s">
        <v>44</v>
      </c>
      <c r="I52" t="s">
        <v>1528</v>
      </c>
      <c r="J52" t="s">
        <v>45</v>
      </c>
      <c r="K52" t="s">
        <v>69</v>
      </c>
      <c r="L52" t="s">
        <v>47</v>
      </c>
      <c r="M52" t="s">
        <v>1185</v>
      </c>
      <c r="N52" t="s">
        <v>51</v>
      </c>
      <c r="O52" t="s">
        <v>52</v>
      </c>
      <c r="P52" s="133">
        <v>13935</v>
      </c>
      <c r="Q52" s="135">
        <v>1</v>
      </c>
      <c r="R52" s="139">
        <v>6399</v>
      </c>
      <c r="T52" s="133">
        <v>891.70100000000002</v>
      </c>
      <c r="U52" s="137">
        <v>0</v>
      </c>
      <c r="V52" s="137">
        <v>8.0520050696272202E-2</v>
      </c>
      <c r="W52" s="137">
        <v>6.2825630710416205E-2</v>
      </c>
    </row>
    <row r="53" spans="1:23">
      <c r="A53">
        <v>14076</v>
      </c>
      <c r="B53">
        <v>14079</v>
      </c>
      <c r="C53" t="s">
        <v>3148</v>
      </c>
      <c r="D53" t="s">
        <v>3149</v>
      </c>
      <c r="E53" t="s">
        <v>41</v>
      </c>
      <c r="F53" t="s">
        <v>3154</v>
      </c>
      <c r="G53" t="s">
        <v>3155</v>
      </c>
      <c r="H53" t="s">
        <v>44</v>
      </c>
      <c r="I53" t="s">
        <v>1528</v>
      </c>
      <c r="J53" t="s">
        <v>45</v>
      </c>
      <c r="K53" t="s">
        <v>69</v>
      </c>
      <c r="L53" t="s">
        <v>47</v>
      </c>
      <c r="M53" t="s">
        <v>1186</v>
      </c>
      <c r="N53" t="s">
        <v>51</v>
      </c>
      <c r="O53" t="s">
        <v>52</v>
      </c>
      <c r="P53" s="133">
        <v>11207</v>
      </c>
      <c r="Q53" s="135">
        <v>1</v>
      </c>
      <c r="R53" s="139">
        <v>10000</v>
      </c>
      <c r="T53" s="133">
        <v>1120.7</v>
      </c>
      <c r="U53" s="137">
        <v>8.3000000000000001E-4</v>
      </c>
      <c r="V53" s="137">
        <v>0.101198558973028</v>
      </c>
      <c r="W53" s="137">
        <v>7.8960001136214805E-2</v>
      </c>
    </row>
    <row r="54" spans="1:23">
      <c r="A54">
        <v>14076</v>
      </c>
      <c r="B54">
        <v>14079</v>
      </c>
      <c r="C54" t="s">
        <v>3158</v>
      </c>
      <c r="D54" t="s">
        <v>3159</v>
      </c>
      <c r="E54" t="s">
        <v>41</v>
      </c>
      <c r="F54" t="s">
        <v>3235</v>
      </c>
      <c r="G54" t="s">
        <v>3236</v>
      </c>
      <c r="H54" t="s">
        <v>44</v>
      </c>
      <c r="I54" t="s">
        <v>1528</v>
      </c>
      <c r="J54" t="s">
        <v>45</v>
      </c>
      <c r="K54" t="s">
        <v>861</v>
      </c>
      <c r="L54" t="s">
        <v>47</v>
      </c>
      <c r="M54" t="s">
        <v>1163</v>
      </c>
      <c r="N54" t="s">
        <v>51</v>
      </c>
      <c r="O54" t="s">
        <v>52</v>
      </c>
      <c r="P54" s="133">
        <v>1389</v>
      </c>
      <c r="Q54" s="135">
        <v>1</v>
      </c>
      <c r="R54" s="139">
        <v>19210</v>
      </c>
      <c r="T54" s="133">
        <v>266.827</v>
      </c>
      <c r="U54" s="137">
        <v>2.6600000000000001E-4</v>
      </c>
      <c r="V54" s="137">
        <v>2.4094314067315201E-2</v>
      </c>
      <c r="W54" s="137">
        <v>1.8799547003812499E-2</v>
      </c>
    </row>
    <row r="55" spans="1:23">
      <c r="A55">
        <v>14076</v>
      </c>
      <c r="B55">
        <v>14079</v>
      </c>
      <c r="C55" t="s">
        <v>3158</v>
      </c>
      <c r="D55" t="s">
        <v>3159</v>
      </c>
      <c r="E55" t="s">
        <v>41</v>
      </c>
      <c r="F55" t="s">
        <v>3237</v>
      </c>
      <c r="G55" t="s">
        <v>3238</v>
      </c>
      <c r="H55" t="s">
        <v>44</v>
      </c>
      <c r="I55" t="s">
        <v>1526</v>
      </c>
      <c r="J55" t="s">
        <v>45</v>
      </c>
      <c r="K55" t="s">
        <v>45</v>
      </c>
      <c r="L55" t="s">
        <v>47</v>
      </c>
      <c r="M55" t="s">
        <v>1153</v>
      </c>
      <c r="N55" t="s">
        <v>51</v>
      </c>
      <c r="O55" t="s">
        <v>52</v>
      </c>
      <c r="P55" s="133">
        <v>1691</v>
      </c>
      <c r="Q55" s="135">
        <v>1</v>
      </c>
      <c r="R55" s="139">
        <v>39230</v>
      </c>
      <c r="T55" s="133">
        <v>663.37900000000002</v>
      </c>
      <c r="U55" s="137">
        <v>4.8000000000000001E-5</v>
      </c>
      <c r="V55" s="137">
        <v>5.9902765425658901E-2</v>
      </c>
      <c r="W55" s="137">
        <v>4.67390294295899E-2</v>
      </c>
    </row>
    <row r="56" spans="1:23">
      <c r="A56">
        <v>14076</v>
      </c>
      <c r="B56">
        <v>14079</v>
      </c>
      <c r="C56" t="s">
        <v>3164</v>
      </c>
      <c r="D56" t="s">
        <v>3165</v>
      </c>
      <c r="E56" t="s">
        <v>41</v>
      </c>
      <c r="F56" t="s">
        <v>3239</v>
      </c>
      <c r="G56" t="s">
        <v>3240</v>
      </c>
      <c r="H56" t="s">
        <v>44</v>
      </c>
      <c r="I56" t="s">
        <v>1528</v>
      </c>
      <c r="J56" t="s">
        <v>45</v>
      </c>
      <c r="K56" t="s">
        <v>69</v>
      </c>
      <c r="L56" t="s">
        <v>47</v>
      </c>
      <c r="M56" t="s">
        <v>1186</v>
      </c>
      <c r="N56" t="s">
        <v>51</v>
      </c>
      <c r="O56" t="s">
        <v>52</v>
      </c>
      <c r="P56" s="133">
        <v>9982</v>
      </c>
      <c r="Q56" s="135">
        <v>1</v>
      </c>
      <c r="R56" s="139">
        <v>5579</v>
      </c>
      <c r="T56" s="133">
        <v>556.89599999999996</v>
      </c>
      <c r="U56" s="137">
        <v>7.7999999999999999E-5</v>
      </c>
      <c r="V56" s="137">
        <v>5.0287365427108398E-2</v>
      </c>
      <c r="W56" s="137">
        <v>3.9236630161107497E-2</v>
      </c>
    </row>
    <row r="57" spans="1:23">
      <c r="A57">
        <v>14076</v>
      </c>
      <c r="B57">
        <v>14079</v>
      </c>
      <c r="C57" t="s">
        <v>3164</v>
      </c>
      <c r="D57" t="s">
        <v>3165</v>
      </c>
      <c r="E57" t="s">
        <v>41</v>
      </c>
      <c r="F57" t="s">
        <v>3241</v>
      </c>
      <c r="G57" t="s">
        <v>3242</v>
      </c>
      <c r="H57" t="s">
        <v>44</v>
      </c>
      <c r="I57" t="s">
        <v>1526</v>
      </c>
      <c r="J57" t="s">
        <v>45</v>
      </c>
      <c r="K57" t="s">
        <v>45</v>
      </c>
      <c r="L57" t="s">
        <v>47</v>
      </c>
      <c r="M57" t="s">
        <v>1158</v>
      </c>
      <c r="N57" t="s">
        <v>51</v>
      </c>
      <c r="O57" t="s">
        <v>52</v>
      </c>
      <c r="P57" s="133">
        <v>5111</v>
      </c>
      <c r="Q57" s="135">
        <v>1</v>
      </c>
      <c r="R57" s="139">
        <v>3413</v>
      </c>
      <c r="T57" s="133">
        <v>174.43799999999999</v>
      </c>
      <c r="U57" s="137">
        <v>1.2999999999999999E-5</v>
      </c>
      <c r="V57" s="137">
        <v>1.57516888957949E-2</v>
      </c>
      <c r="W57" s="137">
        <v>1.2290228099401701E-2</v>
      </c>
    </row>
    <row r="58" spans="1:23">
      <c r="A58">
        <v>14076</v>
      </c>
      <c r="B58">
        <v>14079</v>
      </c>
      <c r="C58" t="s">
        <v>3164</v>
      </c>
      <c r="D58" t="s">
        <v>3165</v>
      </c>
      <c r="E58" t="s">
        <v>41</v>
      </c>
      <c r="F58" t="s">
        <v>3243</v>
      </c>
      <c r="G58" t="s">
        <v>3244</v>
      </c>
      <c r="H58" t="s">
        <v>44</v>
      </c>
      <c r="I58" t="s">
        <v>1526</v>
      </c>
      <c r="J58" t="s">
        <v>45</v>
      </c>
      <c r="K58" t="s">
        <v>45</v>
      </c>
      <c r="L58" t="s">
        <v>47</v>
      </c>
      <c r="M58" t="s">
        <v>1155</v>
      </c>
      <c r="N58" t="s">
        <v>51</v>
      </c>
      <c r="O58" t="s">
        <v>52</v>
      </c>
      <c r="P58" s="133">
        <v>24962</v>
      </c>
      <c r="Q58" s="135">
        <v>1</v>
      </c>
      <c r="R58" s="139">
        <v>4013</v>
      </c>
      <c r="T58" s="133">
        <v>1001.725</v>
      </c>
      <c r="U58" s="137">
        <v>9.7E-5</v>
      </c>
      <c r="V58" s="137">
        <v>9.0455191004880697E-2</v>
      </c>
      <c r="W58" s="137">
        <v>7.0577506804474693E-2</v>
      </c>
    </row>
    <row r="59" spans="1:23">
      <c r="A59">
        <v>14076</v>
      </c>
      <c r="B59">
        <v>14079</v>
      </c>
      <c r="C59" t="s">
        <v>3178</v>
      </c>
      <c r="D59" t="s">
        <v>3179</v>
      </c>
      <c r="E59" t="s">
        <v>64</v>
      </c>
      <c r="F59" t="s">
        <v>3245</v>
      </c>
      <c r="G59" t="s">
        <v>3246</v>
      </c>
      <c r="H59" t="s">
        <v>44</v>
      </c>
      <c r="I59" t="s">
        <v>1528</v>
      </c>
      <c r="J59" t="s">
        <v>68</v>
      </c>
      <c r="K59" t="s">
        <v>69</v>
      </c>
      <c r="L59" t="s">
        <v>947</v>
      </c>
      <c r="M59" t="s">
        <v>1183</v>
      </c>
      <c r="N59" t="s">
        <v>51</v>
      </c>
      <c r="O59" t="s">
        <v>72</v>
      </c>
      <c r="P59" s="133">
        <v>171</v>
      </c>
      <c r="Q59" s="135">
        <v>3.165</v>
      </c>
      <c r="R59" s="139">
        <v>24800</v>
      </c>
      <c r="T59" s="133">
        <v>134.221</v>
      </c>
      <c r="U59" s="137">
        <v>9.9999999999999995E-7</v>
      </c>
      <c r="V59" s="137">
        <v>1.2120107225357E-2</v>
      </c>
      <c r="W59" s="137">
        <v>9.4566927631875193E-3</v>
      </c>
    </row>
    <row r="60" spans="1:23">
      <c r="A60">
        <v>14076</v>
      </c>
      <c r="B60">
        <v>14079</v>
      </c>
      <c r="C60" t="s">
        <v>3174</v>
      </c>
      <c r="D60" t="s">
        <v>3175</v>
      </c>
      <c r="E60" t="s">
        <v>64</v>
      </c>
      <c r="F60" t="s">
        <v>3176</v>
      </c>
      <c r="G60" t="s">
        <v>3177</v>
      </c>
      <c r="H60" t="s">
        <v>44</v>
      </c>
      <c r="I60" t="s">
        <v>1528</v>
      </c>
      <c r="J60" t="s">
        <v>68</v>
      </c>
      <c r="K60" t="s">
        <v>264</v>
      </c>
      <c r="L60" t="s">
        <v>949</v>
      </c>
      <c r="M60" t="s">
        <v>1283</v>
      </c>
      <c r="N60" t="s">
        <v>51</v>
      </c>
      <c r="O60" t="s">
        <v>72</v>
      </c>
      <c r="P60" s="133">
        <v>200</v>
      </c>
      <c r="Q60" s="135">
        <v>3.165</v>
      </c>
      <c r="R60" s="139">
        <v>16358</v>
      </c>
      <c r="S60" s="133">
        <v>0.02</v>
      </c>
      <c r="T60" s="133">
        <v>103.61</v>
      </c>
      <c r="U60" s="137">
        <v>1.8E-5</v>
      </c>
      <c r="V60" s="137">
        <v>9.3558951079481707E-3</v>
      </c>
      <c r="W60" s="137">
        <v>7.2999210250690397E-3</v>
      </c>
    </row>
    <row r="61" spans="1:23">
      <c r="A61">
        <v>14076</v>
      </c>
      <c r="B61">
        <v>14079</v>
      </c>
      <c r="C61" t="s">
        <v>3223</v>
      </c>
      <c r="D61" t="s">
        <v>3224</v>
      </c>
      <c r="E61" t="s">
        <v>64</v>
      </c>
      <c r="F61" t="s">
        <v>3247</v>
      </c>
      <c r="G61" t="s">
        <v>3248</v>
      </c>
      <c r="H61" t="s">
        <v>44</v>
      </c>
      <c r="I61" t="s">
        <v>1528</v>
      </c>
      <c r="J61" t="s">
        <v>68</v>
      </c>
      <c r="K61" t="s">
        <v>69</v>
      </c>
      <c r="L61" t="s">
        <v>949</v>
      </c>
      <c r="M61" t="s">
        <v>1178</v>
      </c>
      <c r="N61" t="s">
        <v>51</v>
      </c>
      <c r="O61" t="s">
        <v>72</v>
      </c>
      <c r="P61" s="133">
        <v>211</v>
      </c>
      <c r="Q61" s="135">
        <v>3.165</v>
      </c>
      <c r="R61" s="139">
        <v>57718</v>
      </c>
      <c r="T61" s="133">
        <v>385.44900000000001</v>
      </c>
      <c r="U61" s="137">
        <v>0</v>
      </c>
      <c r="V61" s="137">
        <v>3.4805862479672801E-2</v>
      </c>
      <c r="W61" s="137">
        <v>2.7157214182015998E-2</v>
      </c>
    </row>
    <row r="62" spans="1:23">
      <c r="A62">
        <v>14076</v>
      </c>
      <c r="B62">
        <v>14079</v>
      </c>
      <c r="C62" t="s">
        <v>3223</v>
      </c>
      <c r="D62" t="s">
        <v>3224</v>
      </c>
      <c r="E62" t="s">
        <v>64</v>
      </c>
      <c r="F62" t="s">
        <v>3249</v>
      </c>
      <c r="G62" t="s">
        <v>3226</v>
      </c>
      <c r="H62" t="s">
        <v>44</v>
      </c>
      <c r="I62" t="s">
        <v>1528</v>
      </c>
      <c r="J62" t="s">
        <v>68</v>
      </c>
      <c r="K62" t="s">
        <v>69</v>
      </c>
      <c r="L62" t="s">
        <v>981</v>
      </c>
      <c r="M62" t="s">
        <v>1185</v>
      </c>
      <c r="N62" t="s">
        <v>51</v>
      </c>
      <c r="O62" t="s">
        <v>72</v>
      </c>
      <c r="P62" s="133">
        <v>9980</v>
      </c>
      <c r="Q62" s="135">
        <v>3.165</v>
      </c>
      <c r="R62" s="139">
        <v>1287</v>
      </c>
      <c r="T62" s="133">
        <v>406.52100000000002</v>
      </c>
      <c r="U62" s="137">
        <v>5.0000000000000004E-6</v>
      </c>
      <c r="V62" s="137">
        <v>3.6708594706273398E-2</v>
      </c>
      <c r="W62" s="137">
        <v>2.8641817720830701E-2</v>
      </c>
    </row>
    <row r="63" spans="1:23">
      <c r="A63">
        <v>14076</v>
      </c>
      <c r="B63">
        <v>14079</v>
      </c>
      <c r="C63" t="s">
        <v>3178</v>
      </c>
      <c r="D63" t="s">
        <v>3179</v>
      </c>
      <c r="E63" t="s">
        <v>64</v>
      </c>
      <c r="F63" t="s">
        <v>3180</v>
      </c>
      <c r="G63" t="s">
        <v>3181</v>
      </c>
      <c r="H63" t="s">
        <v>44</v>
      </c>
      <c r="I63" t="s">
        <v>1528</v>
      </c>
      <c r="J63" t="s">
        <v>68</v>
      </c>
      <c r="K63" t="s">
        <v>351</v>
      </c>
      <c r="L63" t="s">
        <v>969</v>
      </c>
      <c r="M63" t="s">
        <v>1316</v>
      </c>
      <c r="N63" t="s">
        <v>51</v>
      </c>
      <c r="O63" t="s">
        <v>395</v>
      </c>
      <c r="P63" s="133">
        <v>459</v>
      </c>
      <c r="Q63" s="135">
        <v>3.6360000000000001</v>
      </c>
      <c r="R63" s="139">
        <v>5700</v>
      </c>
      <c r="T63" s="133">
        <v>95.129000000000005</v>
      </c>
      <c r="U63" s="137">
        <v>3.0000000000000001E-6</v>
      </c>
      <c r="V63" s="137">
        <v>8.5900634591091103E-3</v>
      </c>
      <c r="W63" s="137">
        <v>6.7023822016298697E-3</v>
      </c>
    </row>
    <row r="64" spans="1:23">
      <c r="A64">
        <v>14076</v>
      </c>
      <c r="B64">
        <v>14079</v>
      </c>
      <c r="C64" t="s">
        <v>3178</v>
      </c>
      <c r="D64" t="s">
        <v>3179</v>
      </c>
      <c r="E64" t="s">
        <v>64</v>
      </c>
      <c r="F64" t="s">
        <v>3182</v>
      </c>
      <c r="G64" t="s">
        <v>3183</v>
      </c>
      <c r="H64" t="s">
        <v>44</v>
      </c>
      <c r="I64" t="s">
        <v>1528</v>
      </c>
      <c r="J64" t="s">
        <v>68</v>
      </c>
      <c r="K64" t="s">
        <v>69</v>
      </c>
      <c r="L64" t="s">
        <v>947</v>
      </c>
      <c r="M64" t="s">
        <v>1182</v>
      </c>
      <c r="N64" t="s">
        <v>51</v>
      </c>
      <c r="O64" t="s">
        <v>72</v>
      </c>
      <c r="P64" s="133">
        <v>2170</v>
      </c>
      <c r="Q64" s="135">
        <v>3.165</v>
      </c>
      <c r="R64" s="139">
        <v>724.2</v>
      </c>
      <c r="T64" s="133">
        <v>49.738</v>
      </c>
      <c r="U64" s="137">
        <v>0</v>
      </c>
      <c r="V64" s="137">
        <v>4.4913502608351598E-3</v>
      </c>
      <c r="W64" s="137">
        <v>3.5043682963233E-3</v>
      </c>
    </row>
    <row r="65" spans="1:23">
      <c r="A65">
        <v>14076</v>
      </c>
      <c r="B65">
        <v>14079</v>
      </c>
      <c r="C65" t="s">
        <v>3178</v>
      </c>
      <c r="D65" t="s">
        <v>3179</v>
      </c>
      <c r="E65" t="s">
        <v>64</v>
      </c>
      <c r="F65" t="s">
        <v>3186</v>
      </c>
      <c r="G65" t="s">
        <v>3187</v>
      </c>
      <c r="H65" t="s">
        <v>44</v>
      </c>
      <c r="I65" t="s">
        <v>1528</v>
      </c>
      <c r="J65" t="s">
        <v>68</v>
      </c>
      <c r="K65" t="s">
        <v>69</v>
      </c>
      <c r="L65" t="s">
        <v>947</v>
      </c>
      <c r="M65" t="s">
        <v>1283</v>
      </c>
      <c r="N65" t="s">
        <v>51</v>
      </c>
      <c r="O65" t="s">
        <v>72</v>
      </c>
      <c r="P65" s="133">
        <v>150</v>
      </c>
      <c r="Q65" s="135">
        <v>3.165</v>
      </c>
      <c r="R65" s="139">
        <v>8005</v>
      </c>
      <c r="T65" s="133">
        <v>38.003999999999998</v>
      </c>
      <c r="U65" s="137">
        <v>1.0000000000000001E-5</v>
      </c>
      <c r="V65" s="137">
        <v>3.4317154194603498E-3</v>
      </c>
      <c r="W65" s="137">
        <v>2.67759003852985E-3</v>
      </c>
    </row>
    <row r="66" spans="1:23">
      <c r="A66">
        <v>14076</v>
      </c>
      <c r="B66">
        <v>14079</v>
      </c>
      <c r="C66" t="s">
        <v>3178</v>
      </c>
      <c r="D66" t="s">
        <v>3179</v>
      </c>
      <c r="E66" t="s">
        <v>64</v>
      </c>
      <c r="F66" t="s">
        <v>3188</v>
      </c>
      <c r="G66" t="s">
        <v>3189</v>
      </c>
      <c r="H66" t="s">
        <v>44</v>
      </c>
      <c r="I66" t="s">
        <v>1528</v>
      </c>
      <c r="J66" t="s">
        <v>68</v>
      </c>
      <c r="K66" t="s">
        <v>69</v>
      </c>
      <c r="L66" t="s">
        <v>947</v>
      </c>
      <c r="M66" t="s">
        <v>1283</v>
      </c>
      <c r="N66" t="s">
        <v>51</v>
      </c>
      <c r="O66" t="s">
        <v>72</v>
      </c>
      <c r="P66" s="133">
        <v>135</v>
      </c>
      <c r="Q66" s="135">
        <v>3.165</v>
      </c>
      <c r="R66" s="139">
        <v>16418</v>
      </c>
      <c r="T66" s="133">
        <v>70.150000000000006</v>
      </c>
      <c r="U66" s="137">
        <v>2.9E-5</v>
      </c>
      <c r="V66" s="137">
        <v>6.3345051069369201E-3</v>
      </c>
      <c r="W66" s="137">
        <v>4.9424866867363998E-3</v>
      </c>
    </row>
    <row r="67" spans="1:23">
      <c r="A67">
        <v>14076</v>
      </c>
      <c r="B67">
        <v>14079</v>
      </c>
      <c r="C67" t="s">
        <v>3190</v>
      </c>
      <c r="D67" t="s">
        <v>3191</v>
      </c>
      <c r="E67" t="s">
        <v>64</v>
      </c>
      <c r="F67" t="s">
        <v>3192</v>
      </c>
      <c r="G67" t="s">
        <v>3193</v>
      </c>
      <c r="H67" t="s">
        <v>44</v>
      </c>
      <c r="I67" t="s">
        <v>1528</v>
      </c>
      <c r="J67" t="s">
        <v>68</v>
      </c>
      <c r="K67" t="s">
        <v>889</v>
      </c>
      <c r="L67" t="s">
        <v>947</v>
      </c>
      <c r="M67" t="s">
        <v>1169</v>
      </c>
      <c r="N67" t="s">
        <v>51</v>
      </c>
      <c r="O67" t="s">
        <v>72</v>
      </c>
      <c r="P67" s="133">
        <v>470</v>
      </c>
      <c r="Q67" s="135">
        <v>3.165</v>
      </c>
      <c r="R67" s="139">
        <v>2843</v>
      </c>
      <c r="T67" s="133">
        <v>42.290999999999997</v>
      </c>
      <c r="U67" s="137">
        <v>1.9999999999999999E-6</v>
      </c>
      <c r="V67" s="137">
        <v>3.8188569316153398E-3</v>
      </c>
      <c r="W67" s="137">
        <v>2.9796565358184298E-3</v>
      </c>
    </row>
    <row r="68" spans="1:23">
      <c r="A68">
        <v>14076</v>
      </c>
      <c r="B68">
        <v>14079</v>
      </c>
      <c r="C68" t="s">
        <v>3194</v>
      </c>
      <c r="D68" t="s">
        <v>3195</v>
      </c>
      <c r="E68" t="s">
        <v>64</v>
      </c>
      <c r="F68" t="s">
        <v>3196</v>
      </c>
      <c r="G68" t="s">
        <v>3197</v>
      </c>
      <c r="H68" t="s">
        <v>44</v>
      </c>
      <c r="I68" t="s">
        <v>1528</v>
      </c>
      <c r="J68" t="s">
        <v>68</v>
      </c>
      <c r="K68" t="s">
        <v>264</v>
      </c>
      <c r="L68" t="s">
        <v>215</v>
      </c>
      <c r="M68" t="s">
        <v>1316</v>
      </c>
      <c r="N68" t="s">
        <v>51</v>
      </c>
      <c r="O68" t="s">
        <v>395</v>
      </c>
      <c r="P68" s="133">
        <v>110</v>
      </c>
      <c r="Q68" s="135">
        <v>3.6360000000000001</v>
      </c>
      <c r="R68" s="139">
        <v>29271.9</v>
      </c>
      <c r="T68" s="133">
        <v>117.07599999999999</v>
      </c>
      <c r="U68" s="137">
        <v>1.8E-5</v>
      </c>
      <c r="V68" s="137">
        <v>1.0571884968297401E-2</v>
      </c>
      <c r="W68" s="137">
        <v>8.2486950168053508E-3</v>
      </c>
    </row>
    <row r="69" spans="1:23">
      <c r="A69">
        <v>14076</v>
      </c>
      <c r="B69">
        <v>14079</v>
      </c>
      <c r="C69" t="s">
        <v>3194</v>
      </c>
      <c r="D69" t="s">
        <v>3195</v>
      </c>
      <c r="E69" t="s">
        <v>64</v>
      </c>
      <c r="F69" t="s">
        <v>3250</v>
      </c>
      <c r="G69" t="s">
        <v>3251</v>
      </c>
      <c r="H69" t="s">
        <v>44</v>
      </c>
      <c r="I69" t="s">
        <v>1528</v>
      </c>
      <c r="J69" t="s">
        <v>68</v>
      </c>
      <c r="K69" t="s">
        <v>69</v>
      </c>
      <c r="L69" t="s">
        <v>981</v>
      </c>
      <c r="M69" t="s">
        <v>1185</v>
      </c>
      <c r="N69" t="s">
        <v>51</v>
      </c>
      <c r="O69" t="s">
        <v>72</v>
      </c>
      <c r="P69" s="133">
        <v>349</v>
      </c>
      <c r="Q69" s="135">
        <v>3.165</v>
      </c>
      <c r="R69" s="139">
        <v>46624</v>
      </c>
      <c r="T69" s="133">
        <v>515.00199999999995</v>
      </c>
      <c r="U69" s="137">
        <v>3.8999999999999999E-5</v>
      </c>
      <c r="V69" s="137">
        <v>4.6504355278954801E-2</v>
      </c>
      <c r="W69" s="137">
        <v>3.6284943016272497E-2</v>
      </c>
    </row>
    <row r="70" spans="1:23">
      <c r="A70">
        <v>14076</v>
      </c>
      <c r="B70">
        <v>14079</v>
      </c>
      <c r="C70" t="s">
        <v>3198</v>
      </c>
      <c r="D70" t="s">
        <v>3171</v>
      </c>
      <c r="E70" t="s">
        <v>64</v>
      </c>
      <c r="F70" t="s">
        <v>3199</v>
      </c>
      <c r="G70" t="s">
        <v>3200</v>
      </c>
      <c r="H70" t="s">
        <v>44</v>
      </c>
      <c r="I70" t="s">
        <v>1528</v>
      </c>
      <c r="J70" t="s">
        <v>68</v>
      </c>
      <c r="K70" t="s">
        <v>917</v>
      </c>
      <c r="L70" t="s">
        <v>215</v>
      </c>
      <c r="M70" t="s">
        <v>1316</v>
      </c>
      <c r="N70" t="s">
        <v>51</v>
      </c>
      <c r="O70" t="s">
        <v>72</v>
      </c>
      <c r="P70" s="133">
        <v>885</v>
      </c>
      <c r="Q70" s="135">
        <v>3.165</v>
      </c>
      <c r="R70" s="139">
        <v>8602</v>
      </c>
      <c r="T70" s="133">
        <v>240.94399999999999</v>
      </c>
      <c r="U70" s="137">
        <v>0</v>
      </c>
      <c r="V70" s="137">
        <v>2.1757118629027902E-2</v>
      </c>
      <c r="W70" s="137">
        <v>1.6975954293249201E-2</v>
      </c>
    </row>
    <row r="71" spans="1:23">
      <c r="A71">
        <v>14076</v>
      </c>
      <c r="B71">
        <v>14079</v>
      </c>
      <c r="C71" t="s">
        <v>3170</v>
      </c>
      <c r="D71" t="s">
        <v>3171</v>
      </c>
      <c r="E71" t="s">
        <v>64</v>
      </c>
      <c r="F71" t="s">
        <v>3252</v>
      </c>
      <c r="G71" t="s">
        <v>3253</v>
      </c>
      <c r="H71" t="s">
        <v>44</v>
      </c>
      <c r="I71" t="s">
        <v>1528</v>
      </c>
      <c r="J71" t="s">
        <v>68</v>
      </c>
      <c r="K71" t="s">
        <v>69</v>
      </c>
      <c r="L71" t="s">
        <v>981</v>
      </c>
      <c r="M71" t="s">
        <v>1185</v>
      </c>
      <c r="N71" t="s">
        <v>51</v>
      </c>
      <c r="O71" t="s">
        <v>72</v>
      </c>
      <c r="P71" s="133">
        <v>3410</v>
      </c>
      <c r="Q71" s="135">
        <v>3.165</v>
      </c>
      <c r="R71" s="139">
        <v>1586.8</v>
      </c>
      <c r="T71" s="133">
        <v>171.25800000000001</v>
      </c>
      <c r="U71" s="137">
        <v>0</v>
      </c>
      <c r="V71" s="137">
        <v>1.54644771635352E-2</v>
      </c>
      <c r="W71" s="137">
        <v>1.2066131640561801E-2</v>
      </c>
    </row>
    <row r="72" spans="1:23">
      <c r="A72">
        <v>14076</v>
      </c>
      <c r="B72">
        <v>14079</v>
      </c>
      <c r="C72" t="s">
        <v>3170</v>
      </c>
      <c r="D72" t="s">
        <v>3171</v>
      </c>
      <c r="E72" t="s">
        <v>64</v>
      </c>
      <c r="F72" t="s">
        <v>3203</v>
      </c>
      <c r="G72" t="s">
        <v>3204</v>
      </c>
      <c r="H72" t="s">
        <v>44</v>
      </c>
      <c r="I72" t="s">
        <v>1528</v>
      </c>
      <c r="J72" t="s">
        <v>68</v>
      </c>
      <c r="K72" t="s">
        <v>69</v>
      </c>
      <c r="L72" t="s">
        <v>981</v>
      </c>
      <c r="M72" t="s">
        <v>1283</v>
      </c>
      <c r="N72" t="s">
        <v>51</v>
      </c>
      <c r="O72" t="s">
        <v>72</v>
      </c>
      <c r="P72" s="133">
        <v>820</v>
      </c>
      <c r="Q72" s="135">
        <v>3.165</v>
      </c>
      <c r="R72" s="139">
        <v>5781.5</v>
      </c>
      <c r="T72" s="133">
        <v>150.047</v>
      </c>
      <c r="U72" s="137">
        <v>1.9999999999999999E-6</v>
      </c>
      <c r="V72" s="137">
        <v>1.35491812717387E-2</v>
      </c>
      <c r="W72" s="137">
        <v>1.0571725323642299E-2</v>
      </c>
    </row>
    <row r="73" spans="1:23">
      <c r="A73">
        <v>14076</v>
      </c>
      <c r="B73">
        <v>14079</v>
      </c>
      <c r="C73" t="s">
        <v>3170</v>
      </c>
      <c r="D73" t="s">
        <v>3171</v>
      </c>
      <c r="E73" t="s">
        <v>64</v>
      </c>
      <c r="F73" t="s">
        <v>3254</v>
      </c>
      <c r="G73" t="s">
        <v>3255</v>
      </c>
      <c r="H73" t="s">
        <v>44</v>
      </c>
      <c r="I73" t="s">
        <v>1528</v>
      </c>
      <c r="J73" t="s">
        <v>68</v>
      </c>
      <c r="K73" t="s">
        <v>69</v>
      </c>
      <c r="L73" t="s">
        <v>215</v>
      </c>
      <c r="M73" t="s">
        <v>1316</v>
      </c>
      <c r="N73" t="s">
        <v>51</v>
      </c>
      <c r="O73" t="s">
        <v>72</v>
      </c>
      <c r="P73" s="133">
        <v>420</v>
      </c>
      <c r="Q73" s="135">
        <v>3.165</v>
      </c>
      <c r="R73" s="139">
        <v>4504.25</v>
      </c>
      <c r="T73" s="133">
        <v>59.875</v>
      </c>
      <c r="U73" s="137">
        <v>0</v>
      </c>
      <c r="V73" s="137">
        <v>5.4066772890308604E-3</v>
      </c>
      <c r="W73" s="137">
        <v>4.2185506317220104E-3</v>
      </c>
    </row>
    <row r="74" spans="1:23">
      <c r="A74">
        <v>14076</v>
      </c>
      <c r="B74">
        <v>14079</v>
      </c>
      <c r="C74" t="s">
        <v>3256</v>
      </c>
      <c r="D74" t="s">
        <v>3257</v>
      </c>
      <c r="E74" t="s">
        <v>64</v>
      </c>
      <c r="F74" t="s">
        <v>3258</v>
      </c>
      <c r="G74" t="s">
        <v>3259</v>
      </c>
      <c r="H74" t="s">
        <v>44</v>
      </c>
      <c r="I74" t="s">
        <v>1528</v>
      </c>
      <c r="J74" t="s">
        <v>68</v>
      </c>
      <c r="K74" t="s">
        <v>69</v>
      </c>
      <c r="L74" t="s">
        <v>949</v>
      </c>
      <c r="M74" t="s">
        <v>1283</v>
      </c>
      <c r="N74" t="s">
        <v>51</v>
      </c>
      <c r="O74" t="s">
        <v>72</v>
      </c>
      <c r="P74" s="133">
        <v>91</v>
      </c>
      <c r="Q74" s="135">
        <v>3.165</v>
      </c>
      <c r="R74" s="139">
        <v>38340</v>
      </c>
      <c r="T74" s="133">
        <v>110.425</v>
      </c>
      <c r="U74" s="137">
        <v>9.9999999999999995E-7</v>
      </c>
      <c r="V74" s="137">
        <v>9.9713089282298592E-3</v>
      </c>
      <c r="W74" s="137">
        <v>7.7800965971504101E-3</v>
      </c>
    </row>
    <row r="75" spans="1:23">
      <c r="A75">
        <v>14076</v>
      </c>
      <c r="B75">
        <v>14079</v>
      </c>
      <c r="C75" t="s">
        <v>3205</v>
      </c>
      <c r="D75" t="s">
        <v>3206</v>
      </c>
      <c r="E75" t="s">
        <v>64</v>
      </c>
      <c r="F75" t="s">
        <v>3260</v>
      </c>
      <c r="G75" t="s">
        <v>3261</v>
      </c>
      <c r="H75" t="s">
        <v>44</v>
      </c>
      <c r="I75" t="s">
        <v>1528</v>
      </c>
      <c r="J75" t="s">
        <v>68</v>
      </c>
      <c r="K75" t="s">
        <v>915</v>
      </c>
      <c r="L75" t="s">
        <v>981</v>
      </c>
      <c r="M75" t="s">
        <v>1177</v>
      </c>
      <c r="N75" t="s">
        <v>51</v>
      </c>
      <c r="O75" t="s">
        <v>72</v>
      </c>
      <c r="P75" s="133">
        <v>160</v>
      </c>
      <c r="Q75" s="135">
        <v>3.165</v>
      </c>
      <c r="R75" s="139">
        <v>7779</v>
      </c>
      <c r="T75" s="133">
        <v>39.393000000000001</v>
      </c>
      <c r="U75" s="137">
        <v>0</v>
      </c>
      <c r="V75" s="137">
        <v>3.55715201305612E-3</v>
      </c>
      <c r="W75" s="137">
        <v>2.77546172438543E-3</v>
      </c>
    </row>
    <row r="76" spans="1:23">
      <c r="A76">
        <v>14076</v>
      </c>
      <c r="B76">
        <v>14079</v>
      </c>
      <c r="C76" t="s">
        <v>3205</v>
      </c>
      <c r="D76" t="s">
        <v>3206</v>
      </c>
      <c r="E76" t="s">
        <v>64</v>
      </c>
      <c r="F76" t="s">
        <v>3207</v>
      </c>
      <c r="G76" t="s">
        <v>3208</v>
      </c>
      <c r="H76" t="s">
        <v>44</v>
      </c>
      <c r="I76" t="s">
        <v>1528</v>
      </c>
      <c r="J76" t="s">
        <v>68</v>
      </c>
      <c r="K76" t="s">
        <v>69</v>
      </c>
      <c r="L76" t="s">
        <v>947</v>
      </c>
      <c r="M76" t="s">
        <v>1185</v>
      </c>
      <c r="N76" t="s">
        <v>51</v>
      </c>
      <c r="O76" t="s">
        <v>72</v>
      </c>
      <c r="P76" s="133">
        <v>20</v>
      </c>
      <c r="Q76" s="135">
        <v>3.165</v>
      </c>
      <c r="R76" s="139">
        <v>59755</v>
      </c>
      <c r="S76" s="133">
        <v>3.6999999999999998E-2</v>
      </c>
      <c r="T76" s="133">
        <v>37.942999999999998</v>
      </c>
      <c r="U76" s="137">
        <v>0</v>
      </c>
      <c r="V76" s="137">
        <v>3.4262709740103701E-3</v>
      </c>
      <c r="W76" s="137">
        <v>2.6733420193556698E-3</v>
      </c>
    </row>
    <row r="77" spans="1:23">
      <c r="A77">
        <v>14076</v>
      </c>
      <c r="B77">
        <v>14079</v>
      </c>
      <c r="C77" t="s">
        <v>3209</v>
      </c>
      <c r="D77" t="s">
        <v>3210</v>
      </c>
      <c r="E77" t="s">
        <v>64</v>
      </c>
      <c r="F77" t="s">
        <v>3211</v>
      </c>
      <c r="G77" t="s">
        <v>3212</v>
      </c>
      <c r="H77" t="s">
        <v>44</v>
      </c>
      <c r="I77" t="s">
        <v>1528</v>
      </c>
      <c r="J77" t="s">
        <v>68</v>
      </c>
      <c r="K77" t="s">
        <v>873</v>
      </c>
      <c r="L77" t="s">
        <v>947</v>
      </c>
      <c r="M77" t="s">
        <v>1180</v>
      </c>
      <c r="N77" t="s">
        <v>51</v>
      </c>
      <c r="O77" t="s">
        <v>72</v>
      </c>
      <c r="P77" s="133">
        <v>330</v>
      </c>
      <c r="Q77" s="135">
        <v>3.165</v>
      </c>
      <c r="R77" s="139">
        <v>15858</v>
      </c>
      <c r="T77" s="133">
        <v>165.62899999999999</v>
      </c>
      <c r="U77" s="137">
        <v>1.0000000000000001E-5</v>
      </c>
      <c r="V77" s="137">
        <v>1.4956191738658999E-2</v>
      </c>
      <c r="W77" s="137">
        <v>1.1669542814267899E-2</v>
      </c>
    </row>
    <row r="78" spans="1:23">
      <c r="A78">
        <v>14076</v>
      </c>
      <c r="B78">
        <v>15394</v>
      </c>
      <c r="C78" t="s">
        <v>3128</v>
      </c>
      <c r="D78" t="s">
        <v>3129</v>
      </c>
      <c r="E78" t="s">
        <v>41</v>
      </c>
      <c r="F78" t="s">
        <v>3262</v>
      </c>
      <c r="G78" t="s">
        <v>3263</v>
      </c>
      <c r="H78" t="s">
        <v>44</v>
      </c>
      <c r="I78" t="s">
        <v>1528</v>
      </c>
      <c r="J78" t="s">
        <v>45</v>
      </c>
      <c r="K78" t="s">
        <v>69</v>
      </c>
      <c r="L78" t="s">
        <v>47</v>
      </c>
      <c r="M78" t="s">
        <v>1185</v>
      </c>
      <c r="N78" t="s">
        <v>51</v>
      </c>
      <c r="O78" t="s">
        <v>52</v>
      </c>
      <c r="P78" s="133">
        <v>8360</v>
      </c>
      <c r="Q78" s="135">
        <v>1</v>
      </c>
      <c r="R78" s="139">
        <v>8788</v>
      </c>
      <c r="T78" s="133">
        <v>734.67700000000002</v>
      </c>
      <c r="U78" s="137">
        <v>9.6000000000000002E-5</v>
      </c>
      <c r="V78" s="137">
        <v>0.12538213918016</v>
      </c>
      <c r="W78" s="137">
        <v>0.124507511653192</v>
      </c>
    </row>
    <row r="79" spans="1:23">
      <c r="A79">
        <v>14076</v>
      </c>
      <c r="B79">
        <v>15394</v>
      </c>
      <c r="C79" t="s">
        <v>3178</v>
      </c>
      <c r="D79" t="s">
        <v>3179</v>
      </c>
      <c r="E79" t="s">
        <v>64</v>
      </c>
      <c r="F79" t="s">
        <v>3215</v>
      </c>
      <c r="G79" t="s">
        <v>3216</v>
      </c>
      <c r="H79" t="s">
        <v>44</v>
      </c>
      <c r="I79" t="s">
        <v>1528</v>
      </c>
      <c r="J79" t="s">
        <v>45</v>
      </c>
      <c r="K79" t="s">
        <v>69</v>
      </c>
      <c r="L79" t="s">
        <v>47</v>
      </c>
      <c r="M79" t="s">
        <v>1185</v>
      </c>
      <c r="N79" t="s">
        <v>51</v>
      </c>
      <c r="O79" t="s">
        <v>52</v>
      </c>
      <c r="P79" s="133">
        <v>336</v>
      </c>
      <c r="Q79" s="135">
        <v>1</v>
      </c>
      <c r="R79" s="139">
        <v>219220</v>
      </c>
      <c r="T79" s="133">
        <v>736.57899999999995</v>
      </c>
      <c r="U79" s="137">
        <v>1.1E-4</v>
      </c>
      <c r="V79" s="137">
        <v>0.12570680845184001</v>
      </c>
      <c r="W79" s="137">
        <v>0.124829916131146</v>
      </c>
    </row>
    <row r="80" spans="1:23">
      <c r="A80">
        <v>14076</v>
      </c>
      <c r="B80">
        <v>15394</v>
      </c>
      <c r="C80" t="s">
        <v>3136</v>
      </c>
      <c r="D80" t="s">
        <v>3137</v>
      </c>
      <c r="E80" t="s">
        <v>41</v>
      </c>
      <c r="F80" t="s">
        <v>3264</v>
      </c>
      <c r="G80" t="s">
        <v>3265</v>
      </c>
      <c r="H80" t="s">
        <v>44</v>
      </c>
      <c r="I80" t="s">
        <v>1528</v>
      </c>
      <c r="J80" t="s">
        <v>45</v>
      </c>
      <c r="K80" t="s">
        <v>69</v>
      </c>
      <c r="L80" t="s">
        <v>47</v>
      </c>
      <c r="M80" t="s">
        <v>1185</v>
      </c>
      <c r="N80" t="s">
        <v>51</v>
      </c>
      <c r="O80" t="s">
        <v>52</v>
      </c>
      <c r="P80" s="133">
        <v>30778</v>
      </c>
      <c r="Q80" s="135">
        <v>1</v>
      </c>
      <c r="R80" s="139">
        <v>2387</v>
      </c>
      <c r="T80" s="133">
        <v>734.67100000000005</v>
      </c>
      <c r="U80" s="137">
        <v>8.1000000000000004E-5</v>
      </c>
      <c r="V80" s="137">
        <v>0.125381125442001</v>
      </c>
      <c r="W80" s="137">
        <v>0.12450650498656</v>
      </c>
    </row>
    <row r="81" spans="1:23">
      <c r="A81">
        <v>14076</v>
      </c>
      <c r="B81">
        <v>15394</v>
      </c>
      <c r="C81" t="s">
        <v>3231</v>
      </c>
      <c r="D81" t="s">
        <v>3232</v>
      </c>
      <c r="E81" t="s">
        <v>41</v>
      </c>
      <c r="F81" t="s">
        <v>3266</v>
      </c>
      <c r="G81" t="s">
        <v>3267</v>
      </c>
      <c r="H81" t="s">
        <v>44</v>
      </c>
      <c r="I81" t="s">
        <v>1528</v>
      </c>
      <c r="J81" t="s">
        <v>45</v>
      </c>
      <c r="K81" t="s">
        <v>69</v>
      </c>
      <c r="L81" t="s">
        <v>47</v>
      </c>
      <c r="M81" t="s">
        <v>1283</v>
      </c>
      <c r="N81" t="s">
        <v>51</v>
      </c>
      <c r="O81" t="s">
        <v>52</v>
      </c>
      <c r="P81" s="133">
        <v>12743</v>
      </c>
      <c r="Q81" s="135">
        <v>1</v>
      </c>
      <c r="R81" s="139">
        <v>5754</v>
      </c>
      <c r="T81" s="133">
        <v>733.23199999999997</v>
      </c>
      <c r="U81" s="137">
        <v>7.9600000000000005E-4</v>
      </c>
      <c r="V81" s="137">
        <v>0.12513560283844199</v>
      </c>
      <c r="W81" s="137">
        <v>0.124262695073732</v>
      </c>
    </row>
    <row r="82" spans="1:23">
      <c r="A82">
        <v>14076</v>
      </c>
      <c r="B82">
        <v>15394</v>
      </c>
      <c r="C82" t="s">
        <v>3148</v>
      </c>
      <c r="D82" t="s">
        <v>3149</v>
      </c>
      <c r="E82" t="s">
        <v>41</v>
      </c>
      <c r="F82" t="s">
        <v>3268</v>
      </c>
      <c r="G82" t="s">
        <v>3269</v>
      </c>
      <c r="H82" t="s">
        <v>44</v>
      </c>
      <c r="I82" t="s">
        <v>1528</v>
      </c>
      <c r="J82" t="s">
        <v>45</v>
      </c>
      <c r="K82" t="s">
        <v>69</v>
      </c>
      <c r="L82" t="s">
        <v>47</v>
      </c>
      <c r="M82" t="s">
        <v>1185</v>
      </c>
      <c r="N82" t="s">
        <v>51</v>
      </c>
      <c r="O82" t="s">
        <v>52</v>
      </c>
      <c r="P82" s="133">
        <v>7193</v>
      </c>
      <c r="Q82" s="135">
        <v>1</v>
      </c>
      <c r="R82" s="139">
        <v>10200</v>
      </c>
      <c r="T82" s="133">
        <v>733.68600000000004</v>
      </c>
      <c r="U82" s="137">
        <v>1.05E-4</v>
      </c>
      <c r="V82" s="137">
        <v>0.12521304628992599</v>
      </c>
      <c r="W82" s="137">
        <v>0.12433959830334</v>
      </c>
    </row>
    <row r="83" spans="1:23">
      <c r="A83">
        <v>14076</v>
      </c>
      <c r="B83">
        <v>15394</v>
      </c>
      <c r="C83" t="s">
        <v>3158</v>
      </c>
      <c r="D83" t="s">
        <v>3159</v>
      </c>
      <c r="E83" t="s">
        <v>41</v>
      </c>
      <c r="F83" t="s">
        <v>3270</v>
      </c>
      <c r="G83" t="s">
        <v>3271</v>
      </c>
      <c r="H83" t="s">
        <v>44</v>
      </c>
      <c r="I83" t="s">
        <v>1528</v>
      </c>
      <c r="J83" t="s">
        <v>45</v>
      </c>
      <c r="K83" t="s">
        <v>69</v>
      </c>
      <c r="L83" t="s">
        <v>47</v>
      </c>
      <c r="M83" t="s">
        <v>1185</v>
      </c>
      <c r="N83" t="s">
        <v>51</v>
      </c>
      <c r="O83" t="s">
        <v>52</v>
      </c>
      <c r="P83" s="133">
        <v>3281</v>
      </c>
      <c r="Q83" s="135">
        <v>1</v>
      </c>
      <c r="R83" s="139">
        <v>22480</v>
      </c>
      <c r="T83" s="133">
        <v>737.56899999999996</v>
      </c>
      <c r="U83" s="137">
        <v>1.12E-4</v>
      </c>
      <c r="V83" s="137">
        <v>0.125875696546486</v>
      </c>
      <c r="W83" s="137">
        <v>0.124997626114001</v>
      </c>
    </row>
    <row r="84" spans="1:23">
      <c r="A84">
        <v>14076</v>
      </c>
      <c r="B84">
        <v>15394</v>
      </c>
      <c r="C84" t="s">
        <v>3164</v>
      </c>
      <c r="D84" t="s">
        <v>3165</v>
      </c>
      <c r="E84" t="s">
        <v>41</v>
      </c>
      <c r="F84" t="s">
        <v>3272</v>
      </c>
      <c r="G84" t="s">
        <v>3273</v>
      </c>
      <c r="H84" t="s">
        <v>44</v>
      </c>
      <c r="I84" t="s">
        <v>1528</v>
      </c>
      <c r="J84" t="s">
        <v>45</v>
      </c>
      <c r="K84" t="s">
        <v>69</v>
      </c>
      <c r="L84" t="s">
        <v>47</v>
      </c>
      <c r="M84" t="s">
        <v>1185</v>
      </c>
      <c r="N84" t="s">
        <v>51</v>
      </c>
      <c r="O84" t="s">
        <v>52</v>
      </c>
      <c r="P84" s="133">
        <v>2969</v>
      </c>
      <c r="Q84" s="135">
        <v>1</v>
      </c>
      <c r="R84" s="139">
        <v>23980</v>
      </c>
      <c r="T84" s="133">
        <v>711.96600000000001</v>
      </c>
      <c r="U84" s="137">
        <v>7.3999999999999996E-5</v>
      </c>
      <c r="V84" s="137">
        <v>0.121506280285385</v>
      </c>
      <c r="W84" s="137">
        <v>0.120658689566866</v>
      </c>
    </row>
    <row r="85" spans="1:23">
      <c r="A85">
        <v>14076</v>
      </c>
      <c r="B85">
        <v>15394</v>
      </c>
      <c r="C85" t="s">
        <v>3223</v>
      </c>
      <c r="D85" t="s">
        <v>3224</v>
      </c>
      <c r="E85" t="s">
        <v>64</v>
      </c>
      <c r="F85" t="s">
        <v>3225</v>
      </c>
      <c r="G85" t="s">
        <v>3226</v>
      </c>
      <c r="H85" t="s">
        <v>44</v>
      </c>
      <c r="I85" t="s">
        <v>1528</v>
      </c>
      <c r="J85" t="s">
        <v>68</v>
      </c>
      <c r="K85" t="s">
        <v>69</v>
      </c>
      <c r="L85" t="s">
        <v>47</v>
      </c>
      <c r="M85" t="s">
        <v>1185</v>
      </c>
      <c r="N85" t="s">
        <v>51</v>
      </c>
      <c r="O85" t="s">
        <v>52</v>
      </c>
      <c r="P85" s="133">
        <v>18049</v>
      </c>
      <c r="Q85" s="135">
        <v>1</v>
      </c>
      <c r="R85" s="139">
        <v>4084</v>
      </c>
      <c r="T85" s="133">
        <v>737.12099999999998</v>
      </c>
      <c r="U85" s="137">
        <v>1.0000000000000001E-5</v>
      </c>
      <c r="V85" s="137">
        <v>0.125799300965759</v>
      </c>
      <c r="W85" s="137">
        <v>0.124921763445523</v>
      </c>
    </row>
    <row r="86" spans="1:23">
      <c r="A86">
        <v>161</v>
      </c>
      <c r="B86">
        <v>1434</v>
      </c>
      <c r="C86" t="s">
        <v>3128</v>
      </c>
      <c r="D86" t="s">
        <v>3129</v>
      </c>
      <c r="E86" t="s">
        <v>41</v>
      </c>
      <c r="F86" t="s">
        <v>3132</v>
      </c>
      <c r="G86" t="s">
        <v>3133</v>
      </c>
      <c r="H86" t="s">
        <v>44</v>
      </c>
      <c r="I86" t="s">
        <v>1529</v>
      </c>
      <c r="J86" t="s">
        <v>45</v>
      </c>
      <c r="K86" t="s">
        <v>45</v>
      </c>
      <c r="L86" t="s">
        <v>47</v>
      </c>
      <c r="M86" t="s">
        <v>1157</v>
      </c>
      <c r="N86" t="s">
        <v>51</v>
      </c>
      <c r="O86" t="s">
        <v>52</v>
      </c>
      <c r="P86" s="133">
        <v>115000</v>
      </c>
      <c r="Q86" s="135">
        <v>1</v>
      </c>
      <c r="R86" s="139">
        <v>503.22</v>
      </c>
      <c r="T86" s="133">
        <v>578.70299999999997</v>
      </c>
      <c r="U86" s="137">
        <v>5.4799999999999998E-4</v>
      </c>
      <c r="V86" s="137">
        <v>0.16653230434993799</v>
      </c>
      <c r="W86" s="137">
        <v>2.4296070371507099E-2</v>
      </c>
    </row>
    <row r="87" spans="1:23">
      <c r="A87">
        <v>161</v>
      </c>
      <c r="B87">
        <v>1434</v>
      </c>
      <c r="C87" t="s">
        <v>3128</v>
      </c>
      <c r="D87" t="s">
        <v>3129</v>
      </c>
      <c r="E87" t="s">
        <v>41</v>
      </c>
      <c r="F87" t="s">
        <v>3213</v>
      </c>
      <c r="G87" t="s">
        <v>3214</v>
      </c>
      <c r="H87" t="s">
        <v>44</v>
      </c>
      <c r="I87" t="s">
        <v>1529</v>
      </c>
      <c r="J87" t="s">
        <v>45</v>
      </c>
      <c r="K87" t="s">
        <v>45</v>
      </c>
      <c r="L87" t="s">
        <v>47</v>
      </c>
      <c r="M87" t="s">
        <v>1215</v>
      </c>
      <c r="N87" t="s">
        <v>51</v>
      </c>
      <c r="O87" t="s">
        <v>52</v>
      </c>
      <c r="P87" s="133">
        <v>160000</v>
      </c>
      <c r="Q87" s="135">
        <v>1</v>
      </c>
      <c r="R87" s="139">
        <v>497.26</v>
      </c>
      <c r="T87" s="133">
        <v>795.61599999999999</v>
      </c>
      <c r="U87" s="137">
        <v>6.4999999999999997E-4</v>
      </c>
      <c r="V87" s="137">
        <v>0.22895296180887301</v>
      </c>
      <c r="W87" s="137">
        <v>3.3402872154969003E-2</v>
      </c>
    </row>
    <row r="88" spans="1:23">
      <c r="A88">
        <v>161</v>
      </c>
      <c r="B88">
        <v>1434</v>
      </c>
      <c r="C88" t="s">
        <v>3136</v>
      </c>
      <c r="D88" t="s">
        <v>3137</v>
      </c>
      <c r="E88" t="s">
        <v>41</v>
      </c>
      <c r="F88" t="s">
        <v>3142</v>
      </c>
      <c r="G88" t="s">
        <v>3143</v>
      </c>
      <c r="H88" t="s">
        <v>44</v>
      </c>
      <c r="I88" t="s">
        <v>1529</v>
      </c>
      <c r="J88" t="s">
        <v>45</v>
      </c>
      <c r="K88" t="s">
        <v>45</v>
      </c>
      <c r="L88" t="s">
        <v>47</v>
      </c>
      <c r="M88" t="s">
        <v>1215</v>
      </c>
      <c r="N88" t="s">
        <v>51</v>
      </c>
      <c r="O88" t="s">
        <v>52</v>
      </c>
      <c r="P88" s="133">
        <v>273000</v>
      </c>
      <c r="Q88" s="135">
        <v>1</v>
      </c>
      <c r="R88" s="139">
        <v>427.92</v>
      </c>
      <c r="T88" s="133">
        <v>1168.222</v>
      </c>
      <c r="U88" s="137">
        <v>8.25E-4</v>
      </c>
      <c r="V88" s="137">
        <v>0.336176994139259</v>
      </c>
      <c r="W88" s="137">
        <v>4.9046219223184702E-2</v>
      </c>
    </row>
    <row r="89" spans="1:23">
      <c r="A89">
        <v>161</v>
      </c>
      <c r="B89">
        <v>1434</v>
      </c>
      <c r="C89" t="s">
        <v>3158</v>
      </c>
      <c r="D89" t="s">
        <v>3159</v>
      </c>
      <c r="E89" t="s">
        <v>41</v>
      </c>
      <c r="F89" t="s">
        <v>3160</v>
      </c>
      <c r="G89" t="s">
        <v>3161</v>
      </c>
      <c r="H89" t="s">
        <v>44</v>
      </c>
      <c r="I89" t="s">
        <v>1529</v>
      </c>
      <c r="J89" t="s">
        <v>45</v>
      </c>
      <c r="K89" t="s">
        <v>45</v>
      </c>
      <c r="L89" t="s">
        <v>47</v>
      </c>
      <c r="M89" t="s">
        <v>1157</v>
      </c>
      <c r="N89" t="s">
        <v>51</v>
      </c>
      <c r="O89" t="s">
        <v>52</v>
      </c>
      <c r="P89" s="133">
        <v>23700</v>
      </c>
      <c r="Q89" s="135">
        <v>1</v>
      </c>
      <c r="R89" s="139">
        <v>3934.51</v>
      </c>
      <c r="T89" s="133">
        <v>932.47900000000004</v>
      </c>
      <c r="U89" s="137">
        <v>3.2899999999999997E-4</v>
      </c>
      <c r="V89" s="137">
        <v>0.26833773970192998</v>
      </c>
      <c r="W89" s="137">
        <v>3.9148876445194603E-2</v>
      </c>
    </row>
    <row r="90" spans="1:23">
      <c r="A90">
        <v>161</v>
      </c>
      <c r="B90">
        <v>9938</v>
      </c>
      <c r="C90" t="s">
        <v>3128</v>
      </c>
      <c r="D90" t="s">
        <v>3129</v>
      </c>
      <c r="E90" t="s">
        <v>41</v>
      </c>
      <c r="F90" t="s">
        <v>3213</v>
      </c>
      <c r="G90" t="s">
        <v>3214</v>
      </c>
      <c r="H90" t="s">
        <v>44</v>
      </c>
      <c r="I90" t="s">
        <v>1529</v>
      </c>
      <c r="J90" t="s">
        <v>45</v>
      </c>
      <c r="K90" t="s">
        <v>45</v>
      </c>
      <c r="L90" t="s">
        <v>47</v>
      </c>
      <c r="M90" t="s">
        <v>1215</v>
      </c>
      <c r="N90" t="s">
        <v>51</v>
      </c>
      <c r="O90" t="s">
        <v>52</v>
      </c>
      <c r="P90" s="133">
        <v>130000</v>
      </c>
      <c r="Q90" s="135">
        <v>1</v>
      </c>
      <c r="R90" s="139">
        <v>497.26</v>
      </c>
      <c r="T90" s="133">
        <v>646.43799999999999</v>
      </c>
      <c r="U90" s="137">
        <v>5.2800000000000004E-4</v>
      </c>
      <c r="V90" s="137">
        <v>3.3182607369588897E-2</v>
      </c>
      <c r="W90" s="137">
        <v>7.4074931412548596E-3</v>
      </c>
    </row>
    <row r="91" spans="1:23">
      <c r="A91">
        <v>161</v>
      </c>
      <c r="B91">
        <v>9938</v>
      </c>
      <c r="C91" t="s">
        <v>3136</v>
      </c>
      <c r="D91" t="s">
        <v>3137</v>
      </c>
      <c r="E91" t="s">
        <v>41</v>
      </c>
      <c r="F91" t="s">
        <v>3138</v>
      </c>
      <c r="G91" t="s">
        <v>3139</v>
      </c>
      <c r="H91" t="s">
        <v>44</v>
      </c>
      <c r="I91" t="s">
        <v>1526</v>
      </c>
      <c r="J91" t="s">
        <v>45</v>
      </c>
      <c r="K91" t="s">
        <v>45</v>
      </c>
      <c r="L91" t="s">
        <v>47</v>
      </c>
      <c r="M91" t="s">
        <v>1158</v>
      </c>
      <c r="N91" t="s">
        <v>51</v>
      </c>
      <c r="O91" t="s">
        <v>52</v>
      </c>
      <c r="P91" s="133">
        <v>43300</v>
      </c>
      <c r="Q91" s="135">
        <v>1</v>
      </c>
      <c r="R91" s="139">
        <v>3438</v>
      </c>
      <c r="T91" s="133">
        <v>1488.654</v>
      </c>
      <c r="U91" s="137">
        <v>1.73E-4</v>
      </c>
      <c r="V91" s="137">
        <v>7.6414785627032994E-2</v>
      </c>
      <c r="W91" s="137">
        <v>1.70583943003066E-2</v>
      </c>
    </row>
    <row r="92" spans="1:23">
      <c r="A92">
        <v>161</v>
      </c>
      <c r="B92">
        <v>9938</v>
      </c>
      <c r="C92" t="s">
        <v>3136</v>
      </c>
      <c r="D92" t="s">
        <v>3137</v>
      </c>
      <c r="E92" t="s">
        <v>41</v>
      </c>
      <c r="F92" t="s">
        <v>3142</v>
      </c>
      <c r="G92" t="s">
        <v>3143</v>
      </c>
      <c r="H92" t="s">
        <v>44</v>
      </c>
      <c r="I92" t="s">
        <v>1529</v>
      </c>
      <c r="J92" t="s">
        <v>45</v>
      </c>
      <c r="K92" t="s">
        <v>45</v>
      </c>
      <c r="L92" t="s">
        <v>47</v>
      </c>
      <c r="M92" t="s">
        <v>1215</v>
      </c>
      <c r="N92" t="s">
        <v>51</v>
      </c>
      <c r="O92" t="s">
        <v>52</v>
      </c>
      <c r="P92" s="133">
        <v>234000</v>
      </c>
      <c r="Q92" s="135">
        <v>1</v>
      </c>
      <c r="R92" s="139">
        <v>427.92</v>
      </c>
      <c r="T92" s="133">
        <v>1001.333</v>
      </c>
      <c r="U92" s="137">
        <v>7.0699999999999995E-4</v>
      </c>
      <c r="V92" s="137">
        <v>5.13998761655272E-2</v>
      </c>
      <c r="W92" s="137">
        <v>1.14742107489249E-2</v>
      </c>
    </row>
    <row r="93" spans="1:23">
      <c r="A93">
        <v>161</v>
      </c>
      <c r="B93">
        <v>9938</v>
      </c>
      <c r="C93" t="s">
        <v>3136</v>
      </c>
      <c r="D93" t="s">
        <v>3137</v>
      </c>
      <c r="E93" t="s">
        <v>41</v>
      </c>
      <c r="F93" t="s">
        <v>3144</v>
      </c>
      <c r="G93" t="s">
        <v>3145</v>
      </c>
      <c r="H93" t="s">
        <v>44</v>
      </c>
      <c r="I93" t="s">
        <v>1526</v>
      </c>
      <c r="J93" t="s">
        <v>45</v>
      </c>
      <c r="K93" t="s">
        <v>45</v>
      </c>
      <c r="L93" t="s">
        <v>47</v>
      </c>
      <c r="M93" t="s">
        <v>1155</v>
      </c>
      <c r="N93" t="s">
        <v>51</v>
      </c>
      <c r="O93" t="s">
        <v>52</v>
      </c>
      <c r="P93" s="133">
        <v>17000</v>
      </c>
      <c r="Q93" s="135">
        <v>1</v>
      </c>
      <c r="R93" s="139">
        <v>4021</v>
      </c>
      <c r="T93" s="133">
        <v>683.57</v>
      </c>
      <c r="U93" s="137">
        <v>2.0000000000000001E-4</v>
      </c>
      <c r="V93" s="137">
        <v>3.5088647201479299E-2</v>
      </c>
      <c r="W93" s="137">
        <v>7.8329864373189503E-3</v>
      </c>
    </row>
    <row r="94" spans="1:23">
      <c r="A94">
        <v>161</v>
      </c>
      <c r="B94">
        <v>9938</v>
      </c>
      <c r="C94" t="s">
        <v>3136</v>
      </c>
      <c r="D94" t="s">
        <v>3137</v>
      </c>
      <c r="E94" t="s">
        <v>41</v>
      </c>
      <c r="F94" t="s">
        <v>3146</v>
      </c>
      <c r="G94" t="s">
        <v>3147</v>
      </c>
      <c r="H94" t="s">
        <v>44</v>
      </c>
      <c r="I94" t="s">
        <v>1526</v>
      </c>
      <c r="J94" t="s">
        <v>45</v>
      </c>
      <c r="K94" t="s">
        <v>45</v>
      </c>
      <c r="L94" t="s">
        <v>47</v>
      </c>
      <c r="M94" t="s">
        <v>1153</v>
      </c>
      <c r="N94" t="s">
        <v>51</v>
      </c>
      <c r="O94" t="s">
        <v>52</v>
      </c>
      <c r="P94" s="133">
        <v>50520</v>
      </c>
      <c r="Q94" s="135">
        <v>1</v>
      </c>
      <c r="R94" s="139">
        <v>3922</v>
      </c>
      <c r="T94" s="133">
        <v>1981.394</v>
      </c>
      <c r="U94" s="137">
        <v>2.4499999999999999E-4</v>
      </c>
      <c r="V94" s="137">
        <v>0.101707870545206</v>
      </c>
      <c r="W94" s="137">
        <v>2.2704676129993599E-2</v>
      </c>
    </row>
    <row r="95" spans="1:23">
      <c r="A95">
        <v>161</v>
      </c>
      <c r="B95">
        <v>9938</v>
      </c>
      <c r="C95" t="s">
        <v>3148</v>
      </c>
      <c r="D95" t="s">
        <v>3149</v>
      </c>
      <c r="E95" t="s">
        <v>41</v>
      </c>
      <c r="F95" t="s">
        <v>3150</v>
      </c>
      <c r="G95" t="s">
        <v>3151</v>
      </c>
      <c r="H95" t="s">
        <v>44</v>
      </c>
      <c r="I95" t="s">
        <v>1526</v>
      </c>
      <c r="J95" t="s">
        <v>45</v>
      </c>
      <c r="K95" t="s">
        <v>45</v>
      </c>
      <c r="L95" t="s">
        <v>47</v>
      </c>
      <c r="M95" t="s">
        <v>1153</v>
      </c>
      <c r="N95" t="s">
        <v>51</v>
      </c>
      <c r="O95" t="s">
        <v>52</v>
      </c>
      <c r="P95" s="133">
        <v>10350</v>
      </c>
      <c r="Q95" s="135">
        <v>1</v>
      </c>
      <c r="R95" s="139">
        <v>10810</v>
      </c>
      <c r="T95" s="133">
        <v>1118.835</v>
      </c>
      <c r="U95" s="137">
        <v>5.5900000000000004E-4</v>
      </c>
      <c r="V95" s="137">
        <v>5.7431435831980703E-2</v>
      </c>
      <c r="W95" s="137">
        <v>1.2820661206018E-2</v>
      </c>
    </row>
    <row r="96" spans="1:23">
      <c r="A96">
        <v>161</v>
      </c>
      <c r="B96">
        <v>9938</v>
      </c>
      <c r="C96" t="s">
        <v>3148</v>
      </c>
      <c r="D96" t="s">
        <v>3149</v>
      </c>
      <c r="E96" t="s">
        <v>41</v>
      </c>
      <c r="F96" t="s">
        <v>3154</v>
      </c>
      <c r="G96" t="s">
        <v>3155</v>
      </c>
      <c r="H96" t="s">
        <v>44</v>
      </c>
      <c r="I96" t="s">
        <v>1528</v>
      </c>
      <c r="J96" t="s">
        <v>45</v>
      </c>
      <c r="K96" t="s">
        <v>69</v>
      </c>
      <c r="L96" t="s">
        <v>47</v>
      </c>
      <c r="M96" t="s">
        <v>1186</v>
      </c>
      <c r="N96" t="s">
        <v>51</v>
      </c>
      <c r="O96" t="s">
        <v>52</v>
      </c>
      <c r="P96" s="133">
        <v>2400</v>
      </c>
      <c r="Q96" s="135">
        <v>1</v>
      </c>
      <c r="R96" s="139">
        <v>10000</v>
      </c>
      <c r="T96" s="133">
        <v>240</v>
      </c>
      <c r="U96" s="137">
        <v>1.7799999999999999E-4</v>
      </c>
      <c r="V96" s="137">
        <v>1.23195507824437E-2</v>
      </c>
      <c r="W96" s="137">
        <v>2.7501451862377599E-3</v>
      </c>
    </row>
    <row r="97" spans="1:23">
      <c r="A97">
        <v>161</v>
      </c>
      <c r="B97">
        <v>9938</v>
      </c>
      <c r="C97" t="s">
        <v>3158</v>
      </c>
      <c r="D97" t="s">
        <v>3159</v>
      </c>
      <c r="E97" t="s">
        <v>41</v>
      </c>
      <c r="F97" t="s">
        <v>3274</v>
      </c>
      <c r="G97" t="s">
        <v>3275</v>
      </c>
      <c r="H97" t="s">
        <v>44</v>
      </c>
      <c r="I97" t="s">
        <v>1528</v>
      </c>
      <c r="J97" t="s">
        <v>45</v>
      </c>
      <c r="K97" t="s">
        <v>69</v>
      </c>
      <c r="L97" t="s">
        <v>47</v>
      </c>
      <c r="M97" t="s">
        <v>1186</v>
      </c>
      <c r="N97" t="s">
        <v>51</v>
      </c>
      <c r="O97" t="s">
        <v>52</v>
      </c>
      <c r="P97" s="133">
        <v>21100</v>
      </c>
      <c r="Q97" s="135">
        <v>1</v>
      </c>
      <c r="R97" s="139">
        <v>6064</v>
      </c>
      <c r="T97" s="133">
        <v>1279.5039999999999</v>
      </c>
      <c r="U97" s="137">
        <v>3.0299999999999999E-4</v>
      </c>
      <c r="V97" s="137">
        <v>6.5678810434749199E-2</v>
      </c>
      <c r="W97" s="137">
        <v>1.4661757359883201E-2</v>
      </c>
    </row>
    <row r="98" spans="1:23">
      <c r="A98">
        <v>161</v>
      </c>
      <c r="B98">
        <v>9938</v>
      </c>
      <c r="C98" t="s">
        <v>3158</v>
      </c>
      <c r="D98" t="s">
        <v>3159</v>
      </c>
      <c r="E98" t="s">
        <v>41</v>
      </c>
      <c r="F98" t="s">
        <v>3160</v>
      </c>
      <c r="G98" t="s">
        <v>3161</v>
      </c>
      <c r="H98" t="s">
        <v>44</v>
      </c>
      <c r="I98" t="s">
        <v>1529</v>
      </c>
      <c r="J98" t="s">
        <v>45</v>
      </c>
      <c r="K98" t="s">
        <v>45</v>
      </c>
      <c r="L98" t="s">
        <v>47</v>
      </c>
      <c r="M98" t="s">
        <v>1157</v>
      </c>
      <c r="N98" t="s">
        <v>51</v>
      </c>
      <c r="O98" t="s">
        <v>52</v>
      </c>
      <c r="P98" s="133">
        <v>8900</v>
      </c>
      <c r="Q98" s="135">
        <v>1</v>
      </c>
      <c r="R98" s="139">
        <v>3934.51</v>
      </c>
      <c r="T98" s="133">
        <v>350.17099999999999</v>
      </c>
      <c r="U98" s="137">
        <v>1.2400000000000001E-4</v>
      </c>
      <c r="V98" s="137">
        <v>1.79748092569329E-2</v>
      </c>
      <c r="W98" s="137">
        <v>4.0125923440278597E-3</v>
      </c>
    </row>
    <row r="99" spans="1:23">
      <c r="A99">
        <v>161</v>
      </c>
      <c r="B99">
        <v>9938</v>
      </c>
      <c r="C99" t="s">
        <v>3158</v>
      </c>
      <c r="D99" t="s">
        <v>3159</v>
      </c>
      <c r="E99" t="s">
        <v>41</v>
      </c>
      <c r="F99" t="s">
        <v>3276</v>
      </c>
      <c r="G99" t="s">
        <v>3277</v>
      </c>
      <c r="H99" t="s">
        <v>44</v>
      </c>
      <c r="I99" t="s">
        <v>1526</v>
      </c>
      <c r="J99" t="s">
        <v>45</v>
      </c>
      <c r="K99" t="s">
        <v>45</v>
      </c>
      <c r="L99" t="s">
        <v>47</v>
      </c>
      <c r="M99" t="s">
        <v>1158</v>
      </c>
      <c r="N99" t="s">
        <v>51</v>
      </c>
      <c r="O99" t="s">
        <v>52</v>
      </c>
      <c r="P99" s="133">
        <v>3848</v>
      </c>
      <c r="Q99" s="135">
        <v>1</v>
      </c>
      <c r="R99" s="139">
        <v>33030</v>
      </c>
      <c r="T99" s="133">
        <v>1270.9939999999999</v>
      </c>
      <c r="U99" s="137">
        <v>1.27E-4</v>
      </c>
      <c r="V99" s="137">
        <v>6.5242000229173105E-2</v>
      </c>
      <c r="W99" s="137">
        <v>1.45642463787298E-2</v>
      </c>
    </row>
    <row r="100" spans="1:23">
      <c r="A100">
        <v>161</v>
      </c>
      <c r="B100">
        <v>9938</v>
      </c>
      <c r="C100" t="s">
        <v>3164</v>
      </c>
      <c r="D100" t="s">
        <v>3165</v>
      </c>
      <c r="E100" t="s">
        <v>41</v>
      </c>
      <c r="F100" t="s">
        <v>3241</v>
      </c>
      <c r="G100" t="s">
        <v>3242</v>
      </c>
      <c r="H100" t="s">
        <v>44</v>
      </c>
      <c r="I100" t="s">
        <v>1526</v>
      </c>
      <c r="J100" t="s">
        <v>45</v>
      </c>
      <c r="K100" t="s">
        <v>45</v>
      </c>
      <c r="L100" t="s">
        <v>47</v>
      </c>
      <c r="M100" t="s">
        <v>1158</v>
      </c>
      <c r="N100" t="s">
        <v>51</v>
      </c>
      <c r="O100" t="s">
        <v>52</v>
      </c>
      <c r="P100" s="133">
        <v>9517</v>
      </c>
      <c r="Q100" s="135">
        <v>1</v>
      </c>
      <c r="R100" s="139">
        <v>3413</v>
      </c>
      <c r="T100" s="133">
        <v>324.815</v>
      </c>
      <c r="U100" s="137">
        <v>2.3E-5</v>
      </c>
      <c r="V100" s="137">
        <v>1.6673239477104598E-2</v>
      </c>
      <c r="W100" s="137">
        <v>3.7220374424929499E-3</v>
      </c>
    </row>
    <row r="101" spans="1:23">
      <c r="A101">
        <v>161</v>
      </c>
      <c r="B101">
        <v>9938</v>
      </c>
      <c r="C101" t="s">
        <v>3164</v>
      </c>
      <c r="D101" t="s">
        <v>3165</v>
      </c>
      <c r="E101" t="s">
        <v>41</v>
      </c>
      <c r="F101" t="s">
        <v>3243</v>
      </c>
      <c r="G101" t="s">
        <v>3244</v>
      </c>
      <c r="H101" t="s">
        <v>44</v>
      </c>
      <c r="I101" t="s">
        <v>1526</v>
      </c>
      <c r="J101" t="s">
        <v>45</v>
      </c>
      <c r="K101" t="s">
        <v>45</v>
      </c>
      <c r="L101" t="s">
        <v>47</v>
      </c>
      <c r="M101" t="s">
        <v>1155</v>
      </c>
      <c r="N101" t="s">
        <v>51</v>
      </c>
      <c r="O101" t="s">
        <v>52</v>
      </c>
      <c r="P101" s="133">
        <v>9000</v>
      </c>
      <c r="Q101" s="135">
        <v>1</v>
      </c>
      <c r="R101" s="139">
        <v>4013</v>
      </c>
      <c r="T101" s="133">
        <v>361.17</v>
      </c>
      <c r="U101" s="137">
        <v>3.4999999999999997E-5</v>
      </c>
      <c r="V101" s="137">
        <v>1.8539383983729899E-2</v>
      </c>
      <c r="W101" s="137">
        <v>4.1386247371395504E-3</v>
      </c>
    </row>
    <row r="102" spans="1:23">
      <c r="A102">
        <v>161</v>
      </c>
      <c r="B102">
        <v>9938</v>
      </c>
      <c r="C102" t="s">
        <v>3278</v>
      </c>
      <c r="D102" t="s">
        <v>3279</v>
      </c>
      <c r="E102" t="s">
        <v>64</v>
      </c>
      <c r="F102" t="s">
        <v>3280</v>
      </c>
      <c r="G102" t="s">
        <v>3281</v>
      </c>
      <c r="H102" t="s">
        <v>44</v>
      </c>
      <c r="I102" t="s">
        <v>1528</v>
      </c>
      <c r="J102" t="s">
        <v>68</v>
      </c>
      <c r="K102" t="s">
        <v>69</v>
      </c>
      <c r="L102" t="s">
        <v>969</v>
      </c>
      <c r="M102" t="s">
        <v>1316</v>
      </c>
      <c r="N102" t="s">
        <v>51</v>
      </c>
      <c r="O102" t="s">
        <v>395</v>
      </c>
      <c r="P102" s="133">
        <v>630</v>
      </c>
      <c r="Q102" s="135">
        <v>3.6360000000000001</v>
      </c>
      <c r="R102" s="139">
        <v>20695</v>
      </c>
      <c r="T102" s="133">
        <v>474.05599999999998</v>
      </c>
      <c r="U102" s="137">
        <v>0</v>
      </c>
      <c r="V102" s="137">
        <v>2.4333998958085801E-2</v>
      </c>
      <c r="W102" s="137">
        <v>5.4321810330830904E-3</v>
      </c>
    </row>
    <row r="103" spans="1:23">
      <c r="A103">
        <v>161</v>
      </c>
      <c r="B103">
        <v>9938</v>
      </c>
      <c r="C103" t="s">
        <v>3174</v>
      </c>
      <c r="D103" t="s">
        <v>3175</v>
      </c>
      <c r="E103" t="s">
        <v>64</v>
      </c>
      <c r="F103" t="s">
        <v>3176</v>
      </c>
      <c r="G103" t="s">
        <v>3177</v>
      </c>
      <c r="H103" t="s">
        <v>44</v>
      </c>
      <c r="I103" t="s">
        <v>1528</v>
      </c>
      <c r="J103" t="s">
        <v>68</v>
      </c>
      <c r="K103" t="s">
        <v>264</v>
      </c>
      <c r="L103" t="s">
        <v>949</v>
      </c>
      <c r="M103" t="s">
        <v>1283</v>
      </c>
      <c r="N103" t="s">
        <v>51</v>
      </c>
      <c r="O103" t="s">
        <v>72</v>
      </c>
      <c r="P103" s="133">
        <v>890</v>
      </c>
      <c r="Q103" s="135">
        <v>3.165</v>
      </c>
      <c r="R103" s="139">
        <v>16358</v>
      </c>
      <c r="S103" s="133">
        <v>8.8999999999999996E-2</v>
      </c>
      <c r="T103" s="133">
        <v>461.06299999999999</v>
      </c>
      <c r="U103" s="137">
        <v>8.0000000000000007E-5</v>
      </c>
      <c r="V103" s="137">
        <v>2.3667045242948399E-2</v>
      </c>
      <c r="W103" s="137">
        <v>5.2832941473905902E-3</v>
      </c>
    </row>
    <row r="104" spans="1:23">
      <c r="A104">
        <v>161</v>
      </c>
      <c r="B104">
        <v>9938</v>
      </c>
      <c r="C104" t="s">
        <v>3223</v>
      </c>
      <c r="D104" t="s">
        <v>3224</v>
      </c>
      <c r="E104" t="s">
        <v>64</v>
      </c>
      <c r="F104" t="s">
        <v>3249</v>
      </c>
      <c r="G104" t="s">
        <v>3226</v>
      </c>
      <c r="H104" t="s">
        <v>44</v>
      </c>
      <c r="I104" t="s">
        <v>1528</v>
      </c>
      <c r="J104" t="s">
        <v>68</v>
      </c>
      <c r="K104" t="s">
        <v>69</v>
      </c>
      <c r="L104" t="s">
        <v>981</v>
      </c>
      <c r="M104" t="s">
        <v>1185</v>
      </c>
      <c r="N104" t="s">
        <v>51</v>
      </c>
      <c r="O104" t="s">
        <v>72</v>
      </c>
      <c r="P104" s="133">
        <v>5400</v>
      </c>
      <c r="Q104" s="135">
        <v>3.165</v>
      </c>
      <c r="R104" s="139">
        <v>1287</v>
      </c>
      <c r="T104" s="133">
        <v>219.96100000000001</v>
      </c>
      <c r="U104" s="137">
        <v>1.9999999999999999E-6</v>
      </c>
      <c r="V104" s="137">
        <v>1.12909283499197E-2</v>
      </c>
      <c r="W104" s="137">
        <v>2.5205214701446901E-3</v>
      </c>
    </row>
    <row r="105" spans="1:23">
      <c r="A105">
        <v>161</v>
      </c>
      <c r="B105">
        <v>9938</v>
      </c>
      <c r="C105" t="s">
        <v>3178</v>
      </c>
      <c r="D105" t="s">
        <v>3179</v>
      </c>
      <c r="E105" t="s">
        <v>64</v>
      </c>
      <c r="F105" t="s">
        <v>3282</v>
      </c>
      <c r="G105" t="s">
        <v>3283</v>
      </c>
      <c r="H105" t="s">
        <v>44</v>
      </c>
      <c r="I105" t="s">
        <v>1530</v>
      </c>
      <c r="J105" t="s">
        <v>68</v>
      </c>
      <c r="K105" t="s">
        <v>264</v>
      </c>
      <c r="L105" t="s">
        <v>981</v>
      </c>
      <c r="M105" t="s">
        <v>1259</v>
      </c>
      <c r="N105" t="s">
        <v>51</v>
      </c>
      <c r="O105" t="s">
        <v>72</v>
      </c>
      <c r="P105" s="133">
        <v>4677</v>
      </c>
      <c r="Q105" s="135">
        <v>3.165</v>
      </c>
      <c r="R105" s="139">
        <v>623.6</v>
      </c>
      <c r="T105" s="133">
        <v>92.31</v>
      </c>
      <c r="U105" s="137">
        <v>1.4E-5</v>
      </c>
      <c r="V105" s="137">
        <v>4.7383901971581096E-3</v>
      </c>
      <c r="W105" s="137">
        <v>1.0577707922435899E-3</v>
      </c>
    </row>
    <row r="106" spans="1:23">
      <c r="A106">
        <v>161</v>
      </c>
      <c r="B106">
        <v>9938</v>
      </c>
      <c r="C106" t="s">
        <v>3178</v>
      </c>
      <c r="D106" t="s">
        <v>3179</v>
      </c>
      <c r="E106" t="s">
        <v>64</v>
      </c>
      <c r="F106" t="s">
        <v>3182</v>
      </c>
      <c r="G106" t="s">
        <v>3183</v>
      </c>
      <c r="H106" t="s">
        <v>44</v>
      </c>
      <c r="I106" t="s">
        <v>1528</v>
      </c>
      <c r="J106" t="s">
        <v>68</v>
      </c>
      <c r="K106" t="s">
        <v>69</v>
      </c>
      <c r="L106" t="s">
        <v>947</v>
      </c>
      <c r="M106" t="s">
        <v>1182</v>
      </c>
      <c r="N106" t="s">
        <v>51</v>
      </c>
      <c r="O106" t="s">
        <v>72</v>
      </c>
      <c r="P106" s="133">
        <v>13295</v>
      </c>
      <c r="Q106" s="135">
        <v>3.165</v>
      </c>
      <c r="R106" s="139">
        <v>724.2</v>
      </c>
      <c r="T106" s="133">
        <v>304.73399999999998</v>
      </c>
      <c r="U106" s="137">
        <v>0</v>
      </c>
      <c r="V106" s="137">
        <v>1.5642429520979401E-2</v>
      </c>
      <c r="W106" s="137">
        <v>3.49192539629694E-3</v>
      </c>
    </row>
    <row r="107" spans="1:23">
      <c r="A107">
        <v>161</v>
      </c>
      <c r="B107">
        <v>9938</v>
      </c>
      <c r="C107" t="s">
        <v>3178</v>
      </c>
      <c r="D107" t="s">
        <v>3179</v>
      </c>
      <c r="E107" t="s">
        <v>64</v>
      </c>
      <c r="F107" t="s">
        <v>3284</v>
      </c>
      <c r="G107" t="s">
        <v>3285</v>
      </c>
      <c r="H107" t="s">
        <v>44</v>
      </c>
      <c r="I107" t="s">
        <v>1530</v>
      </c>
      <c r="J107" t="s">
        <v>68</v>
      </c>
      <c r="K107" t="s">
        <v>69</v>
      </c>
      <c r="L107" t="s">
        <v>981</v>
      </c>
      <c r="M107" t="s">
        <v>1259</v>
      </c>
      <c r="N107" t="s">
        <v>51</v>
      </c>
      <c r="O107" t="s">
        <v>72</v>
      </c>
      <c r="P107" s="133">
        <v>11800</v>
      </c>
      <c r="Q107" s="135">
        <v>3.165</v>
      </c>
      <c r="R107" s="139">
        <v>632.29999999999995</v>
      </c>
      <c r="T107" s="133">
        <v>236.14500000000001</v>
      </c>
      <c r="U107" s="137">
        <v>0</v>
      </c>
      <c r="V107" s="137">
        <v>1.2121672155849099E-2</v>
      </c>
      <c r="W107" s="137">
        <v>2.7059719073578201E-3</v>
      </c>
    </row>
    <row r="108" spans="1:23">
      <c r="A108">
        <v>161</v>
      </c>
      <c r="B108">
        <v>9938</v>
      </c>
      <c r="C108" t="s">
        <v>3178</v>
      </c>
      <c r="D108" t="s">
        <v>3179</v>
      </c>
      <c r="E108" t="s">
        <v>64</v>
      </c>
      <c r="F108" t="s">
        <v>3186</v>
      </c>
      <c r="G108" t="s">
        <v>3187</v>
      </c>
      <c r="H108" t="s">
        <v>44</v>
      </c>
      <c r="I108" t="s">
        <v>1528</v>
      </c>
      <c r="J108" t="s">
        <v>68</v>
      </c>
      <c r="K108" t="s">
        <v>69</v>
      </c>
      <c r="L108" t="s">
        <v>947</v>
      </c>
      <c r="M108" t="s">
        <v>1283</v>
      </c>
      <c r="N108" t="s">
        <v>51</v>
      </c>
      <c r="O108" t="s">
        <v>72</v>
      </c>
      <c r="P108" s="133">
        <v>900</v>
      </c>
      <c r="Q108" s="135">
        <v>3.165</v>
      </c>
      <c r="R108" s="139">
        <v>8005</v>
      </c>
      <c r="T108" s="133">
        <v>228.02199999999999</v>
      </c>
      <c r="U108" s="137">
        <v>5.8999999999999998E-5</v>
      </c>
      <c r="V108" s="137">
        <v>1.1704724351347701E-2</v>
      </c>
      <c r="W108" s="137">
        <v>2.6128948936167099E-3</v>
      </c>
    </row>
    <row r="109" spans="1:23">
      <c r="A109">
        <v>161</v>
      </c>
      <c r="B109">
        <v>9938</v>
      </c>
      <c r="C109" t="s">
        <v>3178</v>
      </c>
      <c r="D109" t="s">
        <v>3179</v>
      </c>
      <c r="E109" t="s">
        <v>64</v>
      </c>
      <c r="F109" t="s">
        <v>3286</v>
      </c>
      <c r="G109" t="s">
        <v>3287</v>
      </c>
      <c r="H109" t="s">
        <v>44</v>
      </c>
      <c r="I109" t="s">
        <v>1528</v>
      </c>
      <c r="J109" t="s">
        <v>68</v>
      </c>
      <c r="K109" t="s">
        <v>69</v>
      </c>
      <c r="L109" t="s">
        <v>981</v>
      </c>
      <c r="M109" t="s">
        <v>1178</v>
      </c>
      <c r="N109" t="s">
        <v>51</v>
      </c>
      <c r="O109" t="s">
        <v>72</v>
      </c>
      <c r="P109" s="133">
        <v>15</v>
      </c>
      <c r="Q109" s="135">
        <v>3.165</v>
      </c>
      <c r="R109" s="139">
        <v>133900</v>
      </c>
      <c r="T109" s="133">
        <v>63.569000000000003</v>
      </c>
      <c r="U109" s="137">
        <v>9.9999999999999995E-7</v>
      </c>
      <c r="V109" s="137">
        <v>3.2630909653247201E-3</v>
      </c>
      <c r="W109" s="137">
        <v>7.2843353373990797E-4</v>
      </c>
    </row>
    <row r="110" spans="1:23">
      <c r="A110">
        <v>161</v>
      </c>
      <c r="B110">
        <v>9938</v>
      </c>
      <c r="C110" t="s">
        <v>3178</v>
      </c>
      <c r="D110" t="s">
        <v>3179</v>
      </c>
      <c r="E110" t="s">
        <v>64</v>
      </c>
      <c r="F110" t="s">
        <v>3188</v>
      </c>
      <c r="G110" t="s">
        <v>3189</v>
      </c>
      <c r="H110" t="s">
        <v>44</v>
      </c>
      <c r="I110" t="s">
        <v>1528</v>
      </c>
      <c r="J110" t="s">
        <v>68</v>
      </c>
      <c r="K110" t="s">
        <v>69</v>
      </c>
      <c r="L110" t="s">
        <v>947</v>
      </c>
      <c r="M110" t="s">
        <v>1283</v>
      </c>
      <c r="N110" t="s">
        <v>51</v>
      </c>
      <c r="O110" t="s">
        <v>72</v>
      </c>
      <c r="P110" s="133">
        <v>480</v>
      </c>
      <c r="Q110" s="135">
        <v>3.165</v>
      </c>
      <c r="R110" s="139">
        <v>16418</v>
      </c>
      <c r="T110" s="133">
        <v>249.422</v>
      </c>
      <c r="U110" s="137">
        <v>1.0399999999999999E-4</v>
      </c>
      <c r="V110" s="137">
        <v>1.2803208954432E-2</v>
      </c>
      <c r="W110" s="137">
        <v>2.8581142361623498E-3</v>
      </c>
    </row>
    <row r="111" spans="1:23">
      <c r="A111">
        <v>161</v>
      </c>
      <c r="B111">
        <v>9938</v>
      </c>
      <c r="C111" t="s">
        <v>3190</v>
      </c>
      <c r="D111" t="s">
        <v>3191</v>
      </c>
      <c r="E111" t="s">
        <v>64</v>
      </c>
      <c r="F111" t="s">
        <v>3192</v>
      </c>
      <c r="G111" t="s">
        <v>3193</v>
      </c>
      <c r="H111" t="s">
        <v>44</v>
      </c>
      <c r="I111" t="s">
        <v>1528</v>
      </c>
      <c r="J111" t="s">
        <v>68</v>
      </c>
      <c r="K111" t="s">
        <v>889</v>
      </c>
      <c r="L111" t="s">
        <v>947</v>
      </c>
      <c r="M111" t="s">
        <v>1169</v>
      </c>
      <c r="N111" t="s">
        <v>51</v>
      </c>
      <c r="O111" t="s">
        <v>72</v>
      </c>
      <c r="P111" s="133">
        <v>1600</v>
      </c>
      <c r="Q111" s="135">
        <v>3.165</v>
      </c>
      <c r="R111" s="139">
        <v>2843</v>
      </c>
      <c r="T111" s="133">
        <v>143.97</v>
      </c>
      <c r="U111" s="137">
        <v>6.0000000000000002E-6</v>
      </c>
      <c r="V111" s="137">
        <v>7.3901658865168397E-3</v>
      </c>
      <c r="W111" s="137">
        <v>1.6497378433040001E-3</v>
      </c>
    </row>
    <row r="112" spans="1:23">
      <c r="A112">
        <v>161</v>
      </c>
      <c r="B112">
        <v>9938</v>
      </c>
      <c r="C112" t="s">
        <v>3194</v>
      </c>
      <c r="D112" t="s">
        <v>3195</v>
      </c>
      <c r="E112" t="s">
        <v>64</v>
      </c>
      <c r="F112" t="s">
        <v>3288</v>
      </c>
      <c r="G112" t="s">
        <v>3289</v>
      </c>
      <c r="H112" t="s">
        <v>44</v>
      </c>
      <c r="I112" t="s">
        <v>1528</v>
      </c>
      <c r="J112" t="s">
        <v>68</v>
      </c>
      <c r="K112" t="s">
        <v>351</v>
      </c>
      <c r="L112" t="s">
        <v>966</v>
      </c>
      <c r="M112" t="s">
        <v>1283</v>
      </c>
      <c r="N112" t="s">
        <v>51</v>
      </c>
      <c r="O112" t="s">
        <v>395</v>
      </c>
      <c r="P112" s="133">
        <v>880</v>
      </c>
      <c r="Q112" s="135">
        <v>3.6360000000000001</v>
      </c>
      <c r="R112" s="139">
        <v>28282</v>
      </c>
      <c r="T112" s="133">
        <v>904.93299999999999</v>
      </c>
      <c r="U112" s="137">
        <v>2.5999999999999998E-5</v>
      </c>
      <c r="V112" s="137">
        <v>4.6451559076739903E-2</v>
      </c>
      <c r="W112" s="137">
        <v>1.0369577092874799E-2</v>
      </c>
    </row>
    <row r="113" spans="1:23">
      <c r="A113">
        <v>161</v>
      </c>
      <c r="B113">
        <v>9938</v>
      </c>
      <c r="C113" t="s">
        <v>3194</v>
      </c>
      <c r="D113" t="s">
        <v>3195</v>
      </c>
      <c r="E113" t="s">
        <v>64</v>
      </c>
      <c r="F113" t="s">
        <v>3196</v>
      </c>
      <c r="G113" t="s">
        <v>3197</v>
      </c>
      <c r="H113" t="s">
        <v>44</v>
      </c>
      <c r="I113" t="s">
        <v>1528</v>
      </c>
      <c r="J113" t="s">
        <v>68</v>
      </c>
      <c r="K113" t="s">
        <v>264</v>
      </c>
      <c r="L113" t="s">
        <v>215</v>
      </c>
      <c r="M113" t="s">
        <v>1316</v>
      </c>
      <c r="N113" t="s">
        <v>51</v>
      </c>
      <c r="O113" t="s">
        <v>395</v>
      </c>
      <c r="P113" s="133">
        <v>520</v>
      </c>
      <c r="Q113" s="135">
        <v>3.6360000000000001</v>
      </c>
      <c r="R113" s="139">
        <v>29271.9</v>
      </c>
      <c r="T113" s="133">
        <v>553.45000000000005</v>
      </c>
      <c r="U113" s="137">
        <v>8.6000000000000003E-5</v>
      </c>
      <c r="V113" s="137">
        <v>2.8409380360459702E-2</v>
      </c>
      <c r="W113" s="137">
        <v>6.3419455808126704E-3</v>
      </c>
    </row>
    <row r="114" spans="1:23">
      <c r="A114">
        <v>161</v>
      </c>
      <c r="B114">
        <v>9938</v>
      </c>
      <c r="C114" t="s">
        <v>3198</v>
      </c>
      <c r="D114" t="s">
        <v>3171</v>
      </c>
      <c r="E114" t="s">
        <v>64</v>
      </c>
      <c r="F114" t="s">
        <v>3199</v>
      </c>
      <c r="G114" t="s">
        <v>3200</v>
      </c>
      <c r="H114" t="s">
        <v>44</v>
      </c>
      <c r="I114" t="s">
        <v>1528</v>
      </c>
      <c r="J114" t="s">
        <v>68</v>
      </c>
      <c r="K114" t="s">
        <v>917</v>
      </c>
      <c r="L114" t="s">
        <v>215</v>
      </c>
      <c r="M114" t="s">
        <v>1316</v>
      </c>
      <c r="N114" t="s">
        <v>51</v>
      </c>
      <c r="O114" t="s">
        <v>72</v>
      </c>
      <c r="P114" s="133">
        <v>6100</v>
      </c>
      <c r="Q114" s="135">
        <v>3.165</v>
      </c>
      <c r="R114" s="139">
        <v>8602</v>
      </c>
      <c r="T114" s="133">
        <v>1660.7449999999999</v>
      </c>
      <c r="U114" s="137">
        <v>0</v>
      </c>
      <c r="V114" s="137">
        <v>8.5248474857212597E-2</v>
      </c>
      <c r="W114" s="137">
        <v>1.9030375936822101E-2</v>
      </c>
    </row>
    <row r="115" spans="1:23">
      <c r="A115">
        <v>161</v>
      </c>
      <c r="B115">
        <v>9938</v>
      </c>
      <c r="C115" t="s">
        <v>3170</v>
      </c>
      <c r="D115" t="s">
        <v>3171</v>
      </c>
      <c r="E115" t="s">
        <v>64</v>
      </c>
      <c r="F115" t="s">
        <v>3254</v>
      </c>
      <c r="G115" t="s">
        <v>3255</v>
      </c>
      <c r="H115" t="s">
        <v>44</v>
      </c>
      <c r="I115" t="s">
        <v>1528</v>
      </c>
      <c r="J115" t="s">
        <v>68</v>
      </c>
      <c r="K115" t="s">
        <v>69</v>
      </c>
      <c r="L115" t="s">
        <v>215</v>
      </c>
      <c r="M115" t="s">
        <v>1316</v>
      </c>
      <c r="N115" t="s">
        <v>51</v>
      </c>
      <c r="O115" t="s">
        <v>72</v>
      </c>
      <c r="P115" s="133">
        <v>4000</v>
      </c>
      <c r="Q115" s="135">
        <v>3.165</v>
      </c>
      <c r="R115" s="139">
        <v>4504.25</v>
      </c>
      <c r="T115" s="133">
        <v>570.23800000000006</v>
      </c>
      <c r="U115" s="137">
        <v>0</v>
      </c>
      <c r="V115" s="137">
        <v>2.9271152562736099E-2</v>
      </c>
      <c r="W115" s="137">
        <v>6.5343226175712801E-3</v>
      </c>
    </row>
    <row r="116" spans="1:23">
      <c r="A116">
        <v>161</v>
      </c>
      <c r="B116">
        <v>9938</v>
      </c>
      <c r="C116" t="s">
        <v>3205</v>
      </c>
      <c r="D116" t="s">
        <v>3206</v>
      </c>
      <c r="E116" t="s">
        <v>64</v>
      </c>
      <c r="F116" t="s">
        <v>3290</v>
      </c>
      <c r="G116" t="s">
        <v>3291</v>
      </c>
      <c r="H116" t="s">
        <v>44</v>
      </c>
      <c r="I116" t="s">
        <v>1530</v>
      </c>
      <c r="J116" t="s">
        <v>68</v>
      </c>
      <c r="K116" t="s">
        <v>69</v>
      </c>
      <c r="L116" t="s">
        <v>981</v>
      </c>
      <c r="M116" t="s">
        <v>1259</v>
      </c>
      <c r="N116" t="s">
        <v>51</v>
      </c>
      <c r="O116" t="s">
        <v>72</v>
      </c>
      <c r="P116" s="133">
        <v>3600</v>
      </c>
      <c r="Q116" s="135">
        <v>3.165</v>
      </c>
      <c r="R116" s="139">
        <v>6069.6</v>
      </c>
      <c r="T116" s="133">
        <v>691.57</v>
      </c>
      <c r="U116" s="137">
        <v>0</v>
      </c>
      <c r="V116" s="137">
        <v>3.5499310392474802E-2</v>
      </c>
      <c r="W116" s="137">
        <v>7.9246605103290395E-3</v>
      </c>
    </row>
    <row r="117" spans="1:23">
      <c r="A117">
        <v>161</v>
      </c>
      <c r="B117">
        <v>9938</v>
      </c>
      <c r="C117" t="s">
        <v>3205</v>
      </c>
      <c r="D117" t="s">
        <v>3206</v>
      </c>
      <c r="E117" t="s">
        <v>64</v>
      </c>
      <c r="F117" t="s">
        <v>3260</v>
      </c>
      <c r="G117" t="s">
        <v>3261</v>
      </c>
      <c r="H117" t="s">
        <v>44</v>
      </c>
      <c r="I117" t="s">
        <v>1528</v>
      </c>
      <c r="J117" t="s">
        <v>68</v>
      </c>
      <c r="K117" t="s">
        <v>915</v>
      </c>
      <c r="L117" t="s">
        <v>981</v>
      </c>
      <c r="M117" t="s">
        <v>1177</v>
      </c>
      <c r="N117" t="s">
        <v>51</v>
      </c>
      <c r="O117" t="s">
        <v>72</v>
      </c>
      <c r="P117" s="133">
        <v>880</v>
      </c>
      <c r="Q117" s="135">
        <v>3.165</v>
      </c>
      <c r="R117" s="139">
        <v>7779</v>
      </c>
      <c r="T117" s="133">
        <v>216.661</v>
      </c>
      <c r="U117" s="137">
        <v>0</v>
      </c>
      <c r="V117" s="137">
        <v>1.1121510811525801E-2</v>
      </c>
      <c r="W117" s="137">
        <v>2.4827016798044401E-3</v>
      </c>
    </row>
    <row r="118" spans="1:23">
      <c r="A118">
        <v>161</v>
      </c>
      <c r="B118">
        <v>9938</v>
      </c>
      <c r="C118" t="s">
        <v>3205</v>
      </c>
      <c r="D118" t="s">
        <v>3206</v>
      </c>
      <c r="E118" t="s">
        <v>64</v>
      </c>
      <c r="F118" t="s">
        <v>3207</v>
      </c>
      <c r="G118" t="s">
        <v>3208</v>
      </c>
      <c r="H118" t="s">
        <v>44</v>
      </c>
      <c r="I118" t="s">
        <v>1528</v>
      </c>
      <c r="J118" t="s">
        <v>68</v>
      </c>
      <c r="K118" t="s">
        <v>69</v>
      </c>
      <c r="L118" t="s">
        <v>947</v>
      </c>
      <c r="M118" t="s">
        <v>1185</v>
      </c>
      <c r="N118" t="s">
        <v>51</v>
      </c>
      <c r="O118" t="s">
        <v>72</v>
      </c>
      <c r="P118" s="133">
        <v>480</v>
      </c>
      <c r="Q118" s="135">
        <v>3.165</v>
      </c>
      <c r="R118" s="139">
        <v>59755</v>
      </c>
      <c r="S118" s="133">
        <v>0.89900000000000002</v>
      </c>
      <c r="T118" s="133">
        <v>910.64300000000003</v>
      </c>
      <c r="U118" s="137">
        <v>9.9999999999999995E-7</v>
      </c>
      <c r="V118" s="137">
        <v>4.6744610706665801E-2</v>
      </c>
      <c r="W118" s="137">
        <v>1.04349962419649E-2</v>
      </c>
    </row>
    <row r="119" spans="1:23">
      <c r="A119">
        <v>161</v>
      </c>
      <c r="B119">
        <v>9938</v>
      </c>
      <c r="C119" t="s">
        <v>3209</v>
      </c>
      <c r="D119" t="s">
        <v>3210</v>
      </c>
      <c r="E119" t="s">
        <v>64</v>
      </c>
      <c r="F119" t="s">
        <v>3211</v>
      </c>
      <c r="G119" t="s">
        <v>3212</v>
      </c>
      <c r="H119" t="s">
        <v>44</v>
      </c>
      <c r="I119" t="s">
        <v>1528</v>
      </c>
      <c r="J119" t="s">
        <v>68</v>
      </c>
      <c r="K119" t="s">
        <v>873</v>
      </c>
      <c r="L119" t="s">
        <v>947</v>
      </c>
      <c r="M119" t="s">
        <v>1180</v>
      </c>
      <c r="N119" t="s">
        <v>51</v>
      </c>
      <c r="O119" t="s">
        <v>72</v>
      </c>
      <c r="P119" s="133">
        <v>1500</v>
      </c>
      <c r="Q119" s="135">
        <v>3.165</v>
      </c>
      <c r="R119" s="139">
        <v>15858</v>
      </c>
      <c r="T119" s="133">
        <v>752.85900000000004</v>
      </c>
      <c r="U119" s="137">
        <v>4.8000000000000001E-5</v>
      </c>
      <c r="V119" s="137">
        <v>3.8645329744674599E-2</v>
      </c>
      <c r="W119" s="137">
        <v>8.6269596550018392E-3</v>
      </c>
    </row>
    <row r="120" spans="1:23">
      <c r="A120">
        <v>161</v>
      </c>
      <c r="B120">
        <v>9942</v>
      </c>
      <c r="C120" t="s">
        <v>3128</v>
      </c>
      <c r="D120" t="s">
        <v>3129</v>
      </c>
      <c r="E120" t="s">
        <v>41</v>
      </c>
      <c r="F120" t="s">
        <v>3213</v>
      </c>
      <c r="G120" t="s">
        <v>3214</v>
      </c>
      <c r="H120" t="s">
        <v>44</v>
      </c>
      <c r="I120" t="s">
        <v>1529</v>
      </c>
      <c r="J120" t="s">
        <v>45</v>
      </c>
      <c r="K120" t="s">
        <v>45</v>
      </c>
      <c r="L120" t="s">
        <v>47</v>
      </c>
      <c r="M120" t="s">
        <v>1215</v>
      </c>
      <c r="N120" t="s">
        <v>51</v>
      </c>
      <c r="O120" t="s">
        <v>52</v>
      </c>
      <c r="P120" s="133">
        <v>290000</v>
      </c>
      <c r="Q120" s="135">
        <v>1</v>
      </c>
      <c r="R120" s="139">
        <v>497.26</v>
      </c>
      <c r="T120" s="133">
        <v>1442.0540000000001</v>
      </c>
      <c r="U120" s="137">
        <v>1.178E-3</v>
      </c>
      <c r="V120" s="137">
        <v>0.116420376420159</v>
      </c>
      <c r="W120" s="137">
        <v>1.4277653732529601E-2</v>
      </c>
    </row>
    <row r="121" spans="1:23">
      <c r="A121">
        <v>161</v>
      </c>
      <c r="B121">
        <v>9942</v>
      </c>
      <c r="C121" t="s">
        <v>3136</v>
      </c>
      <c r="D121" t="s">
        <v>3137</v>
      </c>
      <c r="E121" t="s">
        <v>41</v>
      </c>
      <c r="F121" t="s">
        <v>3138</v>
      </c>
      <c r="G121" t="s">
        <v>3139</v>
      </c>
      <c r="H121" t="s">
        <v>44</v>
      </c>
      <c r="I121" t="s">
        <v>1526</v>
      </c>
      <c r="J121" t="s">
        <v>45</v>
      </c>
      <c r="K121" t="s">
        <v>45</v>
      </c>
      <c r="L121" t="s">
        <v>47</v>
      </c>
      <c r="M121" t="s">
        <v>1158</v>
      </c>
      <c r="N121" t="s">
        <v>51</v>
      </c>
      <c r="O121" t="s">
        <v>52</v>
      </c>
      <c r="P121" s="133">
        <v>16400</v>
      </c>
      <c r="Q121" s="135">
        <v>1</v>
      </c>
      <c r="R121" s="139">
        <v>3438</v>
      </c>
      <c r="T121" s="133">
        <v>563.83199999999999</v>
      </c>
      <c r="U121" s="137">
        <v>6.6000000000000005E-5</v>
      </c>
      <c r="V121" s="137">
        <v>4.5519469921189597E-2</v>
      </c>
      <c r="W121" s="137">
        <v>5.5824525706524202E-3</v>
      </c>
    </row>
    <row r="122" spans="1:23">
      <c r="A122">
        <v>161</v>
      </c>
      <c r="B122">
        <v>9942</v>
      </c>
      <c r="C122" t="s">
        <v>3136</v>
      </c>
      <c r="D122" t="s">
        <v>3137</v>
      </c>
      <c r="E122" t="s">
        <v>41</v>
      </c>
      <c r="F122" t="s">
        <v>3142</v>
      </c>
      <c r="G122" t="s">
        <v>3143</v>
      </c>
      <c r="H122" t="s">
        <v>44</v>
      </c>
      <c r="I122" t="s">
        <v>1529</v>
      </c>
      <c r="J122" t="s">
        <v>45</v>
      </c>
      <c r="K122" t="s">
        <v>45</v>
      </c>
      <c r="L122" t="s">
        <v>47</v>
      </c>
      <c r="M122" t="s">
        <v>1215</v>
      </c>
      <c r="N122" t="s">
        <v>51</v>
      </c>
      <c r="O122" t="s">
        <v>52</v>
      </c>
      <c r="P122" s="133">
        <v>413000</v>
      </c>
      <c r="Q122" s="135">
        <v>1</v>
      </c>
      <c r="R122" s="139">
        <v>427.92</v>
      </c>
      <c r="T122" s="133">
        <v>1767.31</v>
      </c>
      <c r="U122" s="137">
        <v>1.248E-3</v>
      </c>
      <c r="V122" s="137">
        <v>0.142679018180291</v>
      </c>
      <c r="W122" s="137">
        <v>1.7497981703164599E-2</v>
      </c>
    </row>
    <row r="123" spans="1:23">
      <c r="A123">
        <v>161</v>
      </c>
      <c r="B123">
        <v>9942</v>
      </c>
      <c r="C123" t="s">
        <v>3136</v>
      </c>
      <c r="D123" t="s">
        <v>3137</v>
      </c>
      <c r="E123" t="s">
        <v>41</v>
      </c>
      <c r="F123" t="s">
        <v>3146</v>
      </c>
      <c r="G123" t="s">
        <v>3147</v>
      </c>
      <c r="H123" t="s">
        <v>44</v>
      </c>
      <c r="I123" t="s">
        <v>1526</v>
      </c>
      <c r="J123" t="s">
        <v>45</v>
      </c>
      <c r="K123" t="s">
        <v>45</v>
      </c>
      <c r="L123" t="s">
        <v>47</v>
      </c>
      <c r="M123" t="s">
        <v>1153</v>
      </c>
      <c r="N123" t="s">
        <v>51</v>
      </c>
      <c r="O123" t="s">
        <v>52</v>
      </c>
      <c r="P123" s="133">
        <v>12350</v>
      </c>
      <c r="Q123" s="135">
        <v>1</v>
      </c>
      <c r="R123" s="139">
        <v>3922</v>
      </c>
      <c r="T123" s="133">
        <v>484.36700000000002</v>
      </c>
      <c r="U123" s="137">
        <v>6.0000000000000002E-5</v>
      </c>
      <c r="V123" s="137">
        <v>3.9104075482265702E-2</v>
      </c>
      <c r="W123" s="137">
        <v>4.79567637929242E-3</v>
      </c>
    </row>
    <row r="124" spans="1:23">
      <c r="A124">
        <v>161</v>
      </c>
      <c r="B124">
        <v>9942</v>
      </c>
      <c r="C124" t="s">
        <v>3148</v>
      </c>
      <c r="D124" t="s">
        <v>3149</v>
      </c>
      <c r="E124" t="s">
        <v>41</v>
      </c>
      <c r="F124" t="s">
        <v>3150</v>
      </c>
      <c r="G124" t="s">
        <v>3151</v>
      </c>
      <c r="H124" t="s">
        <v>44</v>
      </c>
      <c r="I124" t="s">
        <v>1526</v>
      </c>
      <c r="J124" t="s">
        <v>45</v>
      </c>
      <c r="K124" t="s">
        <v>45</v>
      </c>
      <c r="L124" t="s">
        <v>47</v>
      </c>
      <c r="M124" t="s">
        <v>1153</v>
      </c>
      <c r="N124" t="s">
        <v>51</v>
      </c>
      <c r="O124" t="s">
        <v>52</v>
      </c>
      <c r="P124" s="133">
        <v>4000</v>
      </c>
      <c r="Q124" s="135">
        <v>1</v>
      </c>
      <c r="R124" s="139">
        <v>10810</v>
      </c>
      <c r="T124" s="133">
        <v>432.4</v>
      </c>
      <c r="U124" s="137">
        <v>2.1599999999999999E-4</v>
      </c>
      <c r="V124" s="137">
        <v>3.4908658596749402E-2</v>
      </c>
      <c r="W124" s="137">
        <v>4.28115554198788E-3</v>
      </c>
    </row>
    <row r="125" spans="1:23">
      <c r="A125">
        <v>161</v>
      </c>
      <c r="B125">
        <v>9942</v>
      </c>
      <c r="C125" t="s">
        <v>3148</v>
      </c>
      <c r="D125" t="s">
        <v>3149</v>
      </c>
      <c r="E125" t="s">
        <v>41</v>
      </c>
      <c r="F125" t="s">
        <v>3154</v>
      </c>
      <c r="G125" t="s">
        <v>3155</v>
      </c>
      <c r="H125" t="s">
        <v>44</v>
      </c>
      <c r="I125" t="s">
        <v>1528</v>
      </c>
      <c r="J125" t="s">
        <v>45</v>
      </c>
      <c r="K125" t="s">
        <v>69</v>
      </c>
      <c r="L125" t="s">
        <v>47</v>
      </c>
      <c r="M125" t="s">
        <v>1186</v>
      </c>
      <c r="N125" t="s">
        <v>51</v>
      </c>
      <c r="O125" t="s">
        <v>52</v>
      </c>
      <c r="P125" s="133">
        <v>2850</v>
      </c>
      <c r="Q125" s="135">
        <v>1</v>
      </c>
      <c r="R125" s="139">
        <v>10000</v>
      </c>
      <c r="T125" s="133">
        <v>285</v>
      </c>
      <c r="U125" s="137">
        <v>2.1100000000000001E-4</v>
      </c>
      <c r="V125" s="137">
        <v>2.3008713459929601E-2</v>
      </c>
      <c r="W125" s="137">
        <v>2.82176070644437E-3</v>
      </c>
    </row>
    <row r="126" spans="1:23">
      <c r="A126">
        <v>161</v>
      </c>
      <c r="B126">
        <v>9942</v>
      </c>
      <c r="C126" t="s">
        <v>3158</v>
      </c>
      <c r="D126" t="s">
        <v>3159</v>
      </c>
      <c r="E126" t="s">
        <v>41</v>
      </c>
      <c r="F126" t="s">
        <v>3270</v>
      </c>
      <c r="G126" t="s">
        <v>3271</v>
      </c>
      <c r="H126" t="s">
        <v>44</v>
      </c>
      <c r="I126" t="s">
        <v>1528</v>
      </c>
      <c r="J126" t="s">
        <v>45</v>
      </c>
      <c r="K126" t="s">
        <v>69</v>
      </c>
      <c r="L126" t="s">
        <v>47</v>
      </c>
      <c r="M126" t="s">
        <v>1185</v>
      </c>
      <c r="N126" t="s">
        <v>51</v>
      </c>
      <c r="O126" t="s">
        <v>52</v>
      </c>
      <c r="P126" s="133">
        <v>2000</v>
      </c>
      <c r="Q126" s="135">
        <v>1</v>
      </c>
      <c r="R126" s="139">
        <v>22480</v>
      </c>
      <c r="T126" s="133">
        <v>449.6</v>
      </c>
      <c r="U126" s="137">
        <v>6.7999999999999999E-5</v>
      </c>
      <c r="V126" s="137">
        <v>3.62972546371381E-2</v>
      </c>
      <c r="W126" s="137">
        <v>4.45145127585048E-3</v>
      </c>
    </row>
    <row r="127" spans="1:23">
      <c r="A127">
        <v>161</v>
      </c>
      <c r="B127">
        <v>9942</v>
      </c>
      <c r="C127" t="s">
        <v>3158</v>
      </c>
      <c r="D127" t="s">
        <v>3159</v>
      </c>
      <c r="E127" t="s">
        <v>41</v>
      </c>
      <c r="F127" t="s">
        <v>3237</v>
      </c>
      <c r="G127" t="s">
        <v>3238</v>
      </c>
      <c r="H127" t="s">
        <v>44</v>
      </c>
      <c r="I127" t="s">
        <v>1526</v>
      </c>
      <c r="J127" t="s">
        <v>45</v>
      </c>
      <c r="K127" t="s">
        <v>45</v>
      </c>
      <c r="L127" t="s">
        <v>47</v>
      </c>
      <c r="M127" t="s">
        <v>1153</v>
      </c>
      <c r="N127" t="s">
        <v>51</v>
      </c>
      <c r="O127" t="s">
        <v>52</v>
      </c>
      <c r="P127" s="133">
        <v>740</v>
      </c>
      <c r="Q127" s="135">
        <v>1</v>
      </c>
      <c r="R127" s="139">
        <v>39230</v>
      </c>
      <c r="T127" s="133">
        <v>290.30200000000002</v>
      </c>
      <c r="U127" s="137">
        <v>2.0999999999999999E-5</v>
      </c>
      <c r="V127" s="137">
        <v>2.34367562626123E-2</v>
      </c>
      <c r="W127" s="137">
        <v>2.8742553564989901E-3</v>
      </c>
    </row>
    <row r="128" spans="1:23">
      <c r="A128">
        <v>161</v>
      </c>
      <c r="B128">
        <v>9942</v>
      </c>
      <c r="C128" t="s">
        <v>3158</v>
      </c>
      <c r="D128" t="s">
        <v>3159</v>
      </c>
      <c r="E128" t="s">
        <v>41</v>
      </c>
      <c r="F128" t="s">
        <v>3276</v>
      </c>
      <c r="G128" t="s">
        <v>3277</v>
      </c>
      <c r="H128" t="s">
        <v>44</v>
      </c>
      <c r="I128" t="s">
        <v>1526</v>
      </c>
      <c r="J128" t="s">
        <v>45</v>
      </c>
      <c r="K128" t="s">
        <v>45</v>
      </c>
      <c r="L128" t="s">
        <v>47</v>
      </c>
      <c r="M128" t="s">
        <v>1158</v>
      </c>
      <c r="N128" t="s">
        <v>51</v>
      </c>
      <c r="O128" t="s">
        <v>52</v>
      </c>
      <c r="P128" s="133">
        <v>1445</v>
      </c>
      <c r="Q128" s="135">
        <v>1</v>
      </c>
      <c r="R128" s="139">
        <v>33030</v>
      </c>
      <c r="T128" s="133">
        <v>477.28399999999999</v>
      </c>
      <c r="U128" s="137">
        <v>4.8000000000000001E-5</v>
      </c>
      <c r="V128" s="137">
        <v>3.85322080373766E-2</v>
      </c>
      <c r="W128" s="137">
        <v>4.7255432495938304E-3</v>
      </c>
    </row>
    <row r="129" spans="1:23">
      <c r="A129">
        <v>161</v>
      </c>
      <c r="B129">
        <v>9942</v>
      </c>
      <c r="C129" t="s">
        <v>3164</v>
      </c>
      <c r="D129" t="s">
        <v>3165</v>
      </c>
      <c r="E129" t="s">
        <v>41</v>
      </c>
      <c r="F129" t="s">
        <v>3241</v>
      </c>
      <c r="G129" t="s">
        <v>3242</v>
      </c>
      <c r="H129" t="s">
        <v>44</v>
      </c>
      <c r="I129" t="s">
        <v>1526</v>
      </c>
      <c r="J129" t="s">
        <v>45</v>
      </c>
      <c r="K129" t="s">
        <v>45</v>
      </c>
      <c r="L129" t="s">
        <v>47</v>
      </c>
      <c r="M129" t="s">
        <v>1158</v>
      </c>
      <c r="N129" t="s">
        <v>51</v>
      </c>
      <c r="O129" t="s">
        <v>52</v>
      </c>
      <c r="P129" s="133">
        <v>14900</v>
      </c>
      <c r="Q129" s="135">
        <v>1</v>
      </c>
      <c r="R129" s="139">
        <v>3413</v>
      </c>
      <c r="T129" s="133">
        <v>508.53699999999998</v>
      </c>
      <c r="U129" s="137">
        <v>3.6999999999999998E-5</v>
      </c>
      <c r="V129" s="137">
        <v>4.1055375848323597E-2</v>
      </c>
      <c r="W129" s="137">
        <v>5.0349814890284202E-3</v>
      </c>
    </row>
    <row r="130" spans="1:23">
      <c r="A130">
        <v>161</v>
      </c>
      <c r="B130">
        <v>9942</v>
      </c>
      <c r="C130" t="s">
        <v>3278</v>
      </c>
      <c r="D130" t="s">
        <v>3279</v>
      </c>
      <c r="E130" t="s">
        <v>64</v>
      </c>
      <c r="F130" t="s">
        <v>3280</v>
      </c>
      <c r="G130" t="s">
        <v>3281</v>
      </c>
      <c r="H130" t="s">
        <v>44</v>
      </c>
      <c r="I130" t="s">
        <v>1528</v>
      </c>
      <c r="J130" t="s">
        <v>68</v>
      </c>
      <c r="K130" t="s">
        <v>69</v>
      </c>
      <c r="L130" t="s">
        <v>969</v>
      </c>
      <c r="M130" t="s">
        <v>1316</v>
      </c>
      <c r="N130" t="s">
        <v>51</v>
      </c>
      <c r="O130" t="s">
        <v>395</v>
      </c>
      <c r="P130" s="133">
        <v>320</v>
      </c>
      <c r="Q130" s="135">
        <v>3.6360000000000001</v>
      </c>
      <c r="R130" s="139">
        <v>20695</v>
      </c>
      <c r="T130" s="133">
        <v>240.79</v>
      </c>
      <c r="U130" s="137">
        <v>0</v>
      </c>
      <c r="V130" s="137">
        <v>1.9439574701963201E-2</v>
      </c>
      <c r="W130" s="137">
        <v>2.3840458589533598E-3</v>
      </c>
    </row>
    <row r="131" spans="1:23">
      <c r="A131">
        <v>161</v>
      </c>
      <c r="B131">
        <v>9942</v>
      </c>
      <c r="C131" t="s">
        <v>3174</v>
      </c>
      <c r="D131" t="s">
        <v>3175</v>
      </c>
      <c r="E131" t="s">
        <v>64</v>
      </c>
      <c r="F131" t="s">
        <v>3176</v>
      </c>
      <c r="G131" t="s">
        <v>3177</v>
      </c>
      <c r="H131" t="s">
        <v>44</v>
      </c>
      <c r="I131" t="s">
        <v>1528</v>
      </c>
      <c r="J131" t="s">
        <v>68</v>
      </c>
      <c r="K131" t="s">
        <v>264</v>
      </c>
      <c r="L131" t="s">
        <v>949</v>
      </c>
      <c r="M131" t="s">
        <v>1283</v>
      </c>
      <c r="N131" t="s">
        <v>51</v>
      </c>
      <c r="O131" t="s">
        <v>72</v>
      </c>
      <c r="P131" s="133">
        <v>400</v>
      </c>
      <c r="Q131" s="135">
        <v>3.165</v>
      </c>
      <c r="R131" s="139">
        <v>16358</v>
      </c>
      <c r="S131" s="133">
        <v>0.04</v>
      </c>
      <c r="T131" s="133">
        <v>207.21899999999999</v>
      </c>
      <c r="U131" s="137">
        <v>3.6000000000000001E-5</v>
      </c>
      <c r="V131" s="137">
        <v>1.6729303456210699E-2</v>
      </c>
      <c r="W131" s="137">
        <v>2.0516614812527501E-3</v>
      </c>
    </row>
    <row r="132" spans="1:23">
      <c r="A132">
        <v>161</v>
      </c>
      <c r="B132">
        <v>9942</v>
      </c>
      <c r="C132" t="s">
        <v>3178</v>
      </c>
      <c r="D132" t="s">
        <v>3179</v>
      </c>
      <c r="E132" t="s">
        <v>64</v>
      </c>
      <c r="F132" t="s">
        <v>3282</v>
      </c>
      <c r="G132" t="s">
        <v>3283</v>
      </c>
      <c r="H132" t="s">
        <v>44</v>
      </c>
      <c r="I132" t="s">
        <v>1530</v>
      </c>
      <c r="J132" t="s">
        <v>68</v>
      </c>
      <c r="K132" t="s">
        <v>264</v>
      </c>
      <c r="L132" t="s">
        <v>981</v>
      </c>
      <c r="M132" t="s">
        <v>1259</v>
      </c>
      <c r="N132" t="s">
        <v>51</v>
      </c>
      <c r="O132" t="s">
        <v>72</v>
      </c>
      <c r="P132" s="133">
        <v>33416</v>
      </c>
      <c r="Q132" s="135">
        <v>3.165</v>
      </c>
      <c r="R132" s="139">
        <v>623.6</v>
      </c>
      <c r="T132" s="133">
        <v>659.53</v>
      </c>
      <c r="U132" s="137">
        <v>9.8999999999999994E-5</v>
      </c>
      <c r="V132" s="137">
        <v>5.32453589001722E-2</v>
      </c>
      <c r="W132" s="137">
        <v>6.5299462226208896E-3</v>
      </c>
    </row>
    <row r="133" spans="1:23">
      <c r="A133">
        <v>161</v>
      </c>
      <c r="B133">
        <v>9942</v>
      </c>
      <c r="C133" t="s">
        <v>3178</v>
      </c>
      <c r="D133" t="s">
        <v>3179</v>
      </c>
      <c r="E133" t="s">
        <v>64</v>
      </c>
      <c r="F133" t="s">
        <v>3182</v>
      </c>
      <c r="G133" t="s">
        <v>3183</v>
      </c>
      <c r="H133" t="s">
        <v>44</v>
      </c>
      <c r="I133" t="s">
        <v>1528</v>
      </c>
      <c r="J133" t="s">
        <v>68</v>
      </c>
      <c r="K133" t="s">
        <v>69</v>
      </c>
      <c r="L133" t="s">
        <v>947</v>
      </c>
      <c r="M133" t="s">
        <v>1182</v>
      </c>
      <c r="N133" t="s">
        <v>51</v>
      </c>
      <c r="O133" t="s">
        <v>72</v>
      </c>
      <c r="P133" s="133">
        <v>11150</v>
      </c>
      <c r="Q133" s="135">
        <v>3.165</v>
      </c>
      <c r="R133" s="139">
        <v>724.2</v>
      </c>
      <c r="T133" s="133">
        <v>255.56800000000001</v>
      </c>
      <c r="U133" s="137">
        <v>0</v>
      </c>
      <c r="V133" s="137">
        <v>2.0632629414901502E-2</v>
      </c>
      <c r="W133" s="137">
        <v>2.53036064163212E-3</v>
      </c>
    </row>
    <row r="134" spans="1:23">
      <c r="A134">
        <v>161</v>
      </c>
      <c r="B134">
        <v>9942</v>
      </c>
      <c r="C134" t="s">
        <v>3178</v>
      </c>
      <c r="D134" t="s">
        <v>3179</v>
      </c>
      <c r="E134" t="s">
        <v>64</v>
      </c>
      <c r="F134" t="s">
        <v>3284</v>
      </c>
      <c r="G134" t="s">
        <v>3285</v>
      </c>
      <c r="H134" t="s">
        <v>44</v>
      </c>
      <c r="I134" t="s">
        <v>1530</v>
      </c>
      <c r="J134" t="s">
        <v>68</v>
      </c>
      <c r="K134" t="s">
        <v>69</v>
      </c>
      <c r="L134" t="s">
        <v>981</v>
      </c>
      <c r="M134" t="s">
        <v>1259</v>
      </c>
      <c r="N134" t="s">
        <v>51</v>
      </c>
      <c r="O134" t="s">
        <v>72</v>
      </c>
      <c r="P134" s="133">
        <v>33100</v>
      </c>
      <c r="Q134" s="135">
        <v>3.165</v>
      </c>
      <c r="R134" s="139">
        <v>632.29999999999995</v>
      </c>
      <c r="T134" s="133">
        <v>662.40700000000004</v>
      </c>
      <c r="U134" s="137">
        <v>0</v>
      </c>
      <c r="V134" s="137">
        <v>5.3477656280850099E-2</v>
      </c>
      <c r="W134" s="137">
        <v>6.55843489158312E-3</v>
      </c>
    </row>
    <row r="135" spans="1:23">
      <c r="A135">
        <v>161</v>
      </c>
      <c r="B135">
        <v>9942</v>
      </c>
      <c r="C135" t="s">
        <v>3178</v>
      </c>
      <c r="D135" t="s">
        <v>3179</v>
      </c>
      <c r="E135" t="s">
        <v>64</v>
      </c>
      <c r="F135" t="s">
        <v>3186</v>
      </c>
      <c r="G135" t="s">
        <v>3187</v>
      </c>
      <c r="H135" t="s">
        <v>44</v>
      </c>
      <c r="I135" t="s">
        <v>1528</v>
      </c>
      <c r="J135" t="s">
        <v>68</v>
      </c>
      <c r="K135" t="s">
        <v>69</v>
      </c>
      <c r="L135" t="s">
        <v>947</v>
      </c>
      <c r="M135" t="s">
        <v>1283</v>
      </c>
      <c r="N135" t="s">
        <v>51</v>
      </c>
      <c r="O135" t="s">
        <v>72</v>
      </c>
      <c r="P135" s="133">
        <v>1000</v>
      </c>
      <c r="Q135" s="135">
        <v>3.165</v>
      </c>
      <c r="R135" s="139">
        <v>8005</v>
      </c>
      <c r="T135" s="133">
        <v>253.358</v>
      </c>
      <c r="U135" s="137">
        <v>6.4999999999999994E-5</v>
      </c>
      <c r="V135" s="137">
        <v>2.0454201322663901E-2</v>
      </c>
      <c r="W135" s="137">
        <v>2.50847843685442E-3</v>
      </c>
    </row>
    <row r="136" spans="1:23">
      <c r="A136">
        <v>161</v>
      </c>
      <c r="B136">
        <v>9942</v>
      </c>
      <c r="C136" t="s">
        <v>3178</v>
      </c>
      <c r="D136" t="s">
        <v>3179</v>
      </c>
      <c r="E136" t="s">
        <v>64</v>
      </c>
      <c r="F136" t="s">
        <v>3286</v>
      </c>
      <c r="G136" t="s">
        <v>3287</v>
      </c>
      <c r="H136" t="s">
        <v>44</v>
      </c>
      <c r="I136" t="s">
        <v>1528</v>
      </c>
      <c r="J136" t="s">
        <v>68</v>
      </c>
      <c r="K136" t="s">
        <v>69</v>
      </c>
      <c r="L136" t="s">
        <v>981</v>
      </c>
      <c r="M136" t="s">
        <v>1178</v>
      </c>
      <c r="N136" t="s">
        <v>51</v>
      </c>
      <c r="O136" t="s">
        <v>72</v>
      </c>
      <c r="P136" s="133">
        <v>6</v>
      </c>
      <c r="Q136" s="135">
        <v>3.165</v>
      </c>
      <c r="R136" s="139">
        <v>133900</v>
      </c>
      <c r="T136" s="133">
        <v>25.428000000000001</v>
      </c>
      <c r="U136" s="137">
        <v>9.9999999999999995E-7</v>
      </c>
      <c r="V136" s="137">
        <v>2.0528301489854098E-3</v>
      </c>
      <c r="W136" s="137">
        <v>2.5175659914663802E-4</v>
      </c>
    </row>
    <row r="137" spans="1:23">
      <c r="A137">
        <v>161</v>
      </c>
      <c r="B137">
        <v>9942</v>
      </c>
      <c r="C137" t="s">
        <v>3178</v>
      </c>
      <c r="D137" t="s">
        <v>3179</v>
      </c>
      <c r="E137" t="s">
        <v>64</v>
      </c>
      <c r="F137" t="s">
        <v>3188</v>
      </c>
      <c r="G137" t="s">
        <v>3189</v>
      </c>
      <c r="H137" t="s">
        <v>44</v>
      </c>
      <c r="I137" t="s">
        <v>1528</v>
      </c>
      <c r="J137" t="s">
        <v>68</v>
      </c>
      <c r="K137" t="s">
        <v>69</v>
      </c>
      <c r="L137" t="s">
        <v>947</v>
      </c>
      <c r="M137" t="s">
        <v>1283</v>
      </c>
      <c r="N137" t="s">
        <v>51</v>
      </c>
      <c r="O137" t="s">
        <v>72</v>
      </c>
      <c r="P137" s="133">
        <v>370</v>
      </c>
      <c r="Q137" s="135">
        <v>3.165</v>
      </c>
      <c r="R137" s="139">
        <v>16418</v>
      </c>
      <c r="T137" s="133">
        <v>192.26300000000001</v>
      </c>
      <c r="U137" s="137">
        <v>8.0000000000000007E-5</v>
      </c>
      <c r="V137" s="137">
        <v>1.55218386766688E-2</v>
      </c>
      <c r="W137" s="137">
        <v>1.9035794654868299E-3</v>
      </c>
    </row>
    <row r="138" spans="1:23">
      <c r="A138">
        <v>161</v>
      </c>
      <c r="B138">
        <v>9942</v>
      </c>
      <c r="C138" t="s">
        <v>3190</v>
      </c>
      <c r="D138" t="s">
        <v>3191</v>
      </c>
      <c r="E138" t="s">
        <v>64</v>
      </c>
      <c r="F138" t="s">
        <v>3192</v>
      </c>
      <c r="G138" t="s">
        <v>3193</v>
      </c>
      <c r="H138" t="s">
        <v>44</v>
      </c>
      <c r="I138" t="s">
        <v>1528</v>
      </c>
      <c r="J138" t="s">
        <v>68</v>
      </c>
      <c r="K138" t="s">
        <v>889</v>
      </c>
      <c r="L138" t="s">
        <v>947</v>
      </c>
      <c r="M138" t="s">
        <v>1169</v>
      </c>
      <c r="N138" t="s">
        <v>51</v>
      </c>
      <c r="O138" t="s">
        <v>72</v>
      </c>
      <c r="P138" s="133">
        <v>840</v>
      </c>
      <c r="Q138" s="135">
        <v>3.165</v>
      </c>
      <c r="R138" s="139">
        <v>2843</v>
      </c>
      <c r="T138" s="133">
        <v>75.584000000000003</v>
      </c>
      <c r="U138" s="137">
        <v>3.0000000000000001E-6</v>
      </c>
      <c r="V138" s="137">
        <v>6.1020721127645399E-3</v>
      </c>
      <c r="W138" s="137">
        <v>7.4835072137673596E-4</v>
      </c>
    </row>
    <row r="139" spans="1:23">
      <c r="A139">
        <v>161</v>
      </c>
      <c r="B139">
        <v>9942</v>
      </c>
      <c r="C139" t="s">
        <v>3194</v>
      </c>
      <c r="D139" t="s">
        <v>3195</v>
      </c>
      <c r="E139" t="s">
        <v>64</v>
      </c>
      <c r="F139" t="s">
        <v>3288</v>
      </c>
      <c r="G139" t="s">
        <v>3289</v>
      </c>
      <c r="H139" t="s">
        <v>44</v>
      </c>
      <c r="I139" t="s">
        <v>1528</v>
      </c>
      <c r="J139" t="s">
        <v>68</v>
      </c>
      <c r="K139" t="s">
        <v>351</v>
      </c>
      <c r="L139" t="s">
        <v>966</v>
      </c>
      <c r="M139" t="s">
        <v>1283</v>
      </c>
      <c r="N139" t="s">
        <v>51</v>
      </c>
      <c r="O139" t="s">
        <v>395</v>
      </c>
      <c r="P139" s="133">
        <v>570</v>
      </c>
      <c r="Q139" s="135">
        <v>3.6360000000000001</v>
      </c>
      <c r="R139" s="139">
        <v>28282</v>
      </c>
      <c r="T139" s="133">
        <v>586.15</v>
      </c>
      <c r="U139" s="137">
        <v>1.7E-5</v>
      </c>
      <c r="V139" s="137">
        <v>4.7321262605841602E-2</v>
      </c>
      <c r="W139" s="137">
        <v>5.8034222397112499E-3</v>
      </c>
    </row>
    <row r="140" spans="1:23">
      <c r="A140">
        <v>161</v>
      </c>
      <c r="B140">
        <v>9942</v>
      </c>
      <c r="C140" t="s">
        <v>3194</v>
      </c>
      <c r="D140" t="s">
        <v>3195</v>
      </c>
      <c r="E140" t="s">
        <v>64</v>
      </c>
      <c r="F140" t="s">
        <v>3196</v>
      </c>
      <c r="G140" t="s">
        <v>3197</v>
      </c>
      <c r="H140" t="s">
        <v>44</v>
      </c>
      <c r="I140" t="s">
        <v>1528</v>
      </c>
      <c r="J140" t="s">
        <v>68</v>
      </c>
      <c r="K140" t="s">
        <v>264</v>
      </c>
      <c r="L140" t="s">
        <v>215</v>
      </c>
      <c r="M140" t="s">
        <v>1316</v>
      </c>
      <c r="N140" t="s">
        <v>51</v>
      </c>
      <c r="O140" t="s">
        <v>395</v>
      </c>
      <c r="P140" s="133">
        <v>260</v>
      </c>
      <c r="Q140" s="135">
        <v>3.6360000000000001</v>
      </c>
      <c r="R140" s="139">
        <v>29271.9</v>
      </c>
      <c r="T140" s="133">
        <v>276.72500000000002</v>
      </c>
      <c r="U140" s="137">
        <v>4.3000000000000002E-5</v>
      </c>
      <c r="V140" s="137">
        <v>2.2340640031828798E-2</v>
      </c>
      <c r="W140" s="137">
        <v>2.7398289916738898E-3</v>
      </c>
    </row>
    <row r="141" spans="1:23">
      <c r="A141">
        <v>161</v>
      </c>
      <c r="B141">
        <v>9942</v>
      </c>
      <c r="C141" t="s">
        <v>3198</v>
      </c>
      <c r="D141" t="s">
        <v>3171</v>
      </c>
      <c r="E141" t="s">
        <v>64</v>
      </c>
      <c r="F141" t="s">
        <v>3199</v>
      </c>
      <c r="G141" t="s">
        <v>3200</v>
      </c>
      <c r="H141" t="s">
        <v>44</v>
      </c>
      <c r="I141" t="s">
        <v>1528</v>
      </c>
      <c r="J141" t="s">
        <v>68</v>
      </c>
      <c r="K141" t="s">
        <v>917</v>
      </c>
      <c r="L141" t="s">
        <v>215</v>
      </c>
      <c r="M141" t="s">
        <v>1316</v>
      </c>
      <c r="N141" t="s">
        <v>51</v>
      </c>
      <c r="O141" t="s">
        <v>72</v>
      </c>
      <c r="P141" s="133">
        <v>750</v>
      </c>
      <c r="Q141" s="135">
        <v>3.165</v>
      </c>
      <c r="R141" s="139">
        <v>8602</v>
      </c>
      <c r="T141" s="133">
        <v>204.19</v>
      </c>
      <c r="U141" s="137">
        <v>0</v>
      </c>
      <c r="V141" s="137">
        <v>1.6484732021632299E-2</v>
      </c>
      <c r="W141" s="137">
        <v>2.0216675372100299E-3</v>
      </c>
    </row>
    <row r="142" spans="1:23">
      <c r="A142">
        <v>161</v>
      </c>
      <c r="B142">
        <v>9942</v>
      </c>
      <c r="C142" t="s">
        <v>3170</v>
      </c>
      <c r="D142" t="s">
        <v>3171</v>
      </c>
      <c r="E142" t="s">
        <v>64</v>
      </c>
      <c r="F142" t="s">
        <v>3252</v>
      </c>
      <c r="G142" t="s">
        <v>3253</v>
      </c>
      <c r="H142" t="s">
        <v>44</v>
      </c>
      <c r="I142" t="s">
        <v>1528</v>
      </c>
      <c r="J142" t="s">
        <v>68</v>
      </c>
      <c r="K142" t="s">
        <v>69</v>
      </c>
      <c r="L142" t="s">
        <v>981</v>
      </c>
      <c r="M142" t="s">
        <v>1185</v>
      </c>
      <c r="N142" t="s">
        <v>51</v>
      </c>
      <c r="O142" t="s">
        <v>72</v>
      </c>
      <c r="P142" s="133">
        <v>540</v>
      </c>
      <c r="Q142" s="135">
        <v>3.165</v>
      </c>
      <c r="R142" s="139">
        <v>1586.8</v>
      </c>
      <c r="T142" s="133">
        <v>27.12</v>
      </c>
      <c r="U142" s="137">
        <v>0</v>
      </c>
      <c r="V142" s="137">
        <v>2.1894606365713502E-3</v>
      </c>
      <c r="W142" s="137">
        <v>2.6851279639529302E-4</v>
      </c>
    </row>
    <row r="143" spans="1:23">
      <c r="A143">
        <v>161</v>
      </c>
      <c r="B143">
        <v>9942</v>
      </c>
      <c r="C143" t="s">
        <v>3170</v>
      </c>
      <c r="D143" t="s">
        <v>3171</v>
      </c>
      <c r="E143" t="s">
        <v>64</v>
      </c>
      <c r="F143" t="s">
        <v>3254</v>
      </c>
      <c r="G143" t="s">
        <v>3255</v>
      </c>
      <c r="H143" t="s">
        <v>44</v>
      </c>
      <c r="I143" t="s">
        <v>1528</v>
      </c>
      <c r="J143" t="s">
        <v>68</v>
      </c>
      <c r="K143" t="s">
        <v>69</v>
      </c>
      <c r="L143" t="s">
        <v>215</v>
      </c>
      <c r="M143" t="s">
        <v>1316</v>
      </c>
      <c r="N143" t="s">
        <v>51</v>
      </c>
      <c r="O143" t="s">
        <v>72</v>
      </c>
      <c r="P143" s="133">
        <v>2000</v>
      </c>
      <c r="Q143" s="135">
        <v>3.165</v>
      </c>
      <c r="R143" s="139">
        <v>4504.25</v>
      </c>
      <c r="T143" s="133">
        <v>285.11900000000003</v>
      </c>
      <c r="U143" s="137">
        <v>0</v>
      </c>
      <c r="V143" s="137">
        <v>2.3018322625261399E-2</v>
      </c>
      <c r="W143" s="137">
        <v>2.8229391628236101E-3</v>
      </c>
    </row>
    <row r="144" spans="1:23">
      <c r="A144">
        <v>161</v>
      </c>
      <c r="B144">
        <v>9942</v>
      </c>
      <c r="C144" t="s">
        <v>3170</v>
      </c>
      <c r="D144" t="s">
        <v>3171</v>
      </c>
      <c r="E144" t="s">
        <v>64</v>
      </c>
      <c r="F144" t="s">
        <v>3292</v>
      </c>
      <c r="G144" t="s">
        <v>3293</v>
      </c>
      <c r="H144" t="s">
        <v>44</v>
      </c>
      <c r="I144" t="s">
        <v>1528</v>
      </c>
      <c r="J144" t="s">
        <v>68</v>
      </c>
      <c r="K144" t="s">
        <v>69</v>
      </c>
      <c r="L144" t="s">
        <v>981</v>
      </c>
      <c r="M144" t="s">
        <v>1192</v>
      </c>
      <c r="N144" t="s">
        <v>51</v>
      </c>
      <c r="O144" t="s">
        <v>72</v>
      </c>
      <c r="P144" s="133">
        <v>432</v>
      </c>
      <c r="Q144" s="135">
        <v>3.165</v>
      </c>
      <c r="R144" s="139">
        <v>13582</v>
      </c>
      <c r="T144" s="133">
        <v>185.70400000000001</v>
      </c>
      <c r="U144" s="137">
        <v>0</v>
      </c>
      <c r="V144" s="137">
        <v>1.49923137715715E-2</v>
      </c>
      <c r="W144" s="137">
        <v>1.8386391735018201E-3</v>
      </c>
    </row>
    <row r="145" spans="1:23">
      <c r="A145">
        <v>161</v>
      </c>
      <c r="B145">
        <v>9942</v>
      </c>
      <c r="C145" t="s">
        <v>3205</v>
      </c>
      <c r="D145" t="s">
        <v>3206</v>
      </c>
      <c r="E145" t="s">
        <v>64</v>
      </c>
      <c r="F145" t="s">
        <v>3290</v>
      </c>
      <c r="G145" t="s">
        <v>3291</v>
      </c>
      <c r="H145" t="s">
        <v>44</v>
      </c>
      <c r="I145" t="s">
        <v>1530</v>
      </c>
      <c r="J145" t="s">
        <v>68</v>
      </c>
      <c r="K145" t="s">
        <v>69</v>
      </c>
      <c r="L145" t="s">
        <v>981</v>
      </c>
      <c r="M145" t="s">
        <v>1259</v>
      </c>
      <c r="N145" t="s">
        <v>51</v>
      </c>
      <c r="O145" t="s">
        <v>72</v>
      </c>
      <c r="P145" s="133">
        <v>2300</v>
      </c>
      <c r="Q145" s="135">
        <v>3.165</v>
      </c>
      <c r="R145" s="139">
        <v>6069.6</v>
      </c>
      <c r="T145" s="133">
        <v>441.83699999999999</v>
      </c>
      <c r="U145" s="137">
        <v>0</v>
      </c>
      <c r="V145" s="137">
        <v>3.56704917926913E-2</v>
      </c>
      <c r="W145" s="137">
        <v>4.3745858409447403E-3</v>
      </c>
    </row>
    <row r="146" spans="1:23">
      <c r="A146">
        <v>161</v>
      </c>
      <c r="B146">
        <v>9942</v>
      </c>
      <c r="C146" t="s">
        <v>3205</v>
      </c>
      <c r="D146" t="s">
        <v>3206</v>
      </c>
      <c r="E146" t="s">
        <v>64</v>
      </c>
      <c r="F146" t="s">
        <v>3207</v>
      </c>
      <c r="G146" t="s">
        <v>3208</v>
      </c>
      <c r="H146" t="s">
        <v>44</v>
      </c>
      <c r="I146" t="s">
        <v>1528</v>
      </c>
      <c r="J146" t="s">
        <v>68</v>
      </c>
      <c r="K146" t="s">
        <v>69</v>
      </c>
      <c r="L146" t="s">
        <v>947</v>
      </c>
      <c r="M146" t="s">
        <v>1185</v>
      </c>
      <c r="N146" t="s">
        <v>51</v>
      </c>
      <c r="O146" t="s">
        <v>72</v>
      </c>
      <c r="P146" s="133">
        <v>266</v>
      </c>
      <c r="Q146" s="135">
        <v>3.165</v>
      </c>
      <c r="R146" s="139">
        <v>59755</v>
      </c>
      <c r="S146" s="133">
        <v>0.498</v>
      </c>
      <c r="T146" s="133">
        <v>504.64800000000002</v>
      </c>
      <c r="U146" s="137">
        <v>0</v>
      </c>
      <c r="V146" s="137">
        <v>4.0741385978837599E-2</v>
      </c>
      <c r="W146" s="137">
        <v>4.9964741523413703E-3</v>
      </c>
    </row>
    <row r="147" spans="1:23">
      <c r="A147">
        <v>161</v>
      </c>
      <c r="B147">
        <v>9942</v>
      </c>
      <c r="C147" t="s">
        <v>3209</v>
      </c>
      <c r="D147" t="s">
        <v>3210</v>
      </c>
      <c r="E147" t="s">
        <v>64</v>
      </c>
      <c r="F147" t="s">
        <v>3211</v>
      </c>
      <c r="G147" t="s">
        <v>3212</v>
      </c>
      <c r="H147" t="s">
        <v>44</v>
      </c>
      <c r="I147" t="s">
        <v>1528</v>
      </c>
      <c r="J147" t="s">
        <v>68</v>
      </c>
      <c r="K147" t="s">
        <v>873</v>
      </c>
      <c r="L147" t="s">
        <v>947</v>
      </c>
      <c r="M147" t="s">
        <v>1180</v>
      </c>
      <c r="N147" t="s">
        <v>51</v>
      </c>
      <c r="O147" t="s">
        <v>72</v>
      </c>
      <c r="P147" s="133">
        <v>1200</v>
      </c>
      <c r="Q147" s="135">
        <v>3.165</v>
      </c>
      <c r="R147" s="139">
        <v>15858</v>
      </c>
      <c r="T147" s="133">
        <v>602.28700000000003</v>
      </c>
      <c r="U147" s="137">
        <v>3.8000000000000002E-5</v>
      </c>
      <c r="V147" s="137">
        <v>4.8624018674549102E-2</v>
      </c>
      <c r="W147" s="137">
        <v>5.9631906635808597E-3</v>
      </c>
    </row>
    <row r="148" spans="1:23">
      <c r="A148">
        <v>161</v>
      </c>
      <c r="B148">
        <v>9943</v>
      </c>
      <c r="C148" t="s">
        <v>3128</v>
      </c>
      <c r="D148" t="s">
        <v>3129</v>
      </c>
      <c r="E148" t="s">
        <v>41</v>
      </c>
      <c r="F148" t="s">
        <v>3130</v>
      </c>
      <c r="G148" t="s">
        <v>3131</v>
      </c>
      <c r="H148" t="s">
        <v>44</v>
      </c>
      <c r="I148" t="s">
        <v>1526</v>
      </c>
      <c r="J148" t="s">
        <v>45</v>
      </c>
      <c r="K148" t="s">
        <v>45</v>
      </c>
      <c r="L148" t="s">
        <v>47</v>
      </c>
      <c r="M148" t="s">
        <v>1153</v>
      </c>
      <c r="N148" t="s">
        <v>51</v>
      </c>
      <c r="O148" t="s">
        <v>52</v>
      </c>
      <c r="P148" s="133">
        <v>91200</v>
      </c>
      <c r="Q148" s="135">
        <v>1</v>
      </c>
      <c r="R148" s="139">
        <v>6157</v>
      </c>
      <c r="T148" s="133">
        <v>5615.1840000000002</v>
      </c>
      <c r="U148" s="137">
        <v>8.6899999999999998E-4</v>
      </c>
      <c r="V148" s="137">
        <v>1.47494026107009E-2</v>
      </c>
      <c r="W148" s="137">
        <v>2.8654026389552901E-3</v>
      </c>
    </row>
    <row r="149" spans="1:23">
      <c r="A149">
        <v>161</v>
      </c>
      <c r="B149">
        <v>9943</v>
      </c>
      <c r="C149" t="s">
        <v>3128</v>
      </c>
      <c r="D149" t="s">
        <v>3129</v>
      </c>
      <c r="E149" t="s">
        <v>41</v>
      </c>
      <c r="F149" t="s">
        <v>3294</v>
      </c>
      <c r="G149" t="s">
        <v>3295</v>
      </c>
      <c r="H149" t="s">
        <v>44</v>
      </c>
      <c r="I149" t="s">
        <v>1526</v>
      </c>
      <c r="J149" t="s">
        <v>45</v>
      </c>
      <c r="K149" t="s">
        <v>45</v>
      </c>
      <c r="L149" t="s">
        <v>47</v>
      </c>
      <c r="M149" t="s">
        <v>1158</v>
      </c>
      <c r="N149" t="s">
        <v>51</v>
      </c>
      <c r="O149" t="s">
        <v>52</v>
      </c>
      <c r="P149" s="133">
        <v>88650</v>
      </c>
      <c r="Q149" s="135">
        <v>1</v>
      </c>
      <c r="R149" s="139">
        <v>5146</v>
      </c>
      <c r="T149" s="133">
        <v>4561.9290000000001</v>
      </c>
      <c r="U149" s="137">
        <v>1.266E-3</v>
      </c>
      <c r="V149" s="137">
        <v>1.1982817927681799E-2</v>
      </c>
      <c r="W149" s="137">
        <v>2.32793144362263E-3</v>
      </c>
    </row>
    <row r="150" spans="1:23">
      <c r="A150">
        <v>161</v>
      </c>
      <c r="B150">
        <v>9943</v>
      </c>
      <c r="C150" t="s">
        <v>3128</v>
      </c>
      <c r="D150" t="s">
        <v>3129</v>
      </c>
      <c r="E150" t="s">
        <v>41</v>
      </c>
      <c r="F150" t="s">
        <v>3213</v>
      </c>
      <c r="G150" t="s">
        <v>3214</v>
      </c>
      <c r="H150" t="s">
        <v>44</v>
      </c>
      <c r="I150" t="s">
        <v>1529</v>
      </c>
      <c r="J150" t="s">
        <v>45</v>
      </c>
      <c r="K150" t="s">
        <v>45</v>
      </c>
      <c r="L150" t="s">
        <v>47</v>
      </c>
      <c r="M150" t="s">
        <v>1215</v>
      </c>
      <c r="N150" t="s">
        <v>51</v>
      </c>
      <c r="O150" t="s">
        <v>52</v>
      </c>
      <c r="P150" s="133">
        <v>400000</v>
      </c>
      <c r="Q150" s="135">
        <v>1</v>
      </c>
      <c r="R150" s="139">
        <v>497.26</v>
      </c>
      <c r="T150" s="133">
        <v>1989.04</v>
      </c>
      <c r="U150" s="137">
        <v>1.624E-3</v>
      </c>
      <c r="V150" s="137">
        <v>5.2246109421861201E-3</v>
      </c>
      <c r="W150" s="137">
        <v>1.0149979884875801E-3</v>
      </c>
    </row>
    <row r="151" spans="1:23">
      <c r="A151">
        <v>161</v>
      </c>
      <c r="B151">
        <v>9943</v>
      </c>
      <c r="C151" t="s">
        <v>3136</v>
      </c>
      <c r="D151" t="s">
        <v>3137</v>
      </c>
      <c r="E151" t="s">
        <v>41</v>
      </c>
      <c r="F151" t="s">
        <v>3138</v>
      </c>
      <c r="G151" t="s">
        <v>3139</v>
      </c>
      <c r="H151" t="s">
        <v>44</v>
      </c>
      <c r="I151" t="s">
        <v>1526</v>
      </c>
      <c r="J151" t="s">
        <v>45</v>
      </c>
      <c r="K151" t="s">
        <v>45</v>
      </c>
      <c r="L151" t="s">
        <v>47</v>
      </c>
      <c r="M151" t="s">
        <v>1158</v>
      </c>
      <c r="N151" t="s">
        <v>51</v>
      </c>
      <c r="O151" t="s">
        <v>52</v>
      </c>
      <c r="P151" s="133">
        <v>260700</v>
      </c>
      <c r="Q151" s="135">
        <v>1</v>
      </c>
      <c r="R151" s="139">
        <v>3438</v>
      </c>
      <c r="T151" s="133">
        <v>8962.866</v>
      </c>
      <c r="U151" s="137">
        <v>1.042E-3</v>
      </c>
      <c r="V151" s="137">
        <v>2.3542758203428799E-2</v>
      </c>
      <c r="W151" s="137">
        <v>4.5737094080982301E-3</v>
      </c>
    </row>
    <row r="152" spans="1:23">
      <c r="A152">
        <v>161</v>
      </c>
      <c r="B152">
        <v>9943</v>
      </c>
      <c r="C152" t="s">
        <v>3136</v>
      </c>
      <c r="D152" t="s">
        <v>3137</v>
      </c>
      <c r="E152" t="s">
        <v>41</v>
      </c>
      <c r="F152" t="s">
        <v>3142</v>
      </c>
      <c r="G152" t="s">
        <v>3143</v>
      </c>
      <c r="H152" t="s">
        <v>44</v>
      </c>
      <c r="I152" t="s">
        <v>1529</v>
      </c>
      <c r="J152" t="s">
        <v>45</v>
      </c>
      <c r="K152" t="s">
        <v>45</v>
      </c>
      <c r="L152" t="s">
        <v>47</v>
      </c>
      <c r="M152" t="s">
        <v>1215</v>
      </c>
      <c r="N152" t="s">
        <v>51</v>
      </c>
      <c r="O152" t="s">
        <v>52</v>
      </c>
      <c r="P152" s="133">
        <v>230000</v>
      </c>
      <c r="Q152" s="135">
        <v>1</v>
      </c>
      <c r="R152" s="139">
        <v>427.92</v>
      </c>
      <c r="T152" s="133">
        <v>984.21600000000001</v>
      </c>
      <c r="U152" s="137">
        <v>6.9499999999999998E-4</v>
      </c>
      <c r="V152" s="137">
        <v>2.58523995649894E-3</v>
      </c>
      <c r="W152" s="137">
        <v>5.0224091030712801E-4</v>
      </c>
    </row>
    <row r="153" spans="1:23">
      <c r="A153">
        <v>161</v>
      </c>
      <c r="B153">
        <v>9943</v>
      </c>
      <c r="C153" t="s">
        <v>3136</v>
      </c>
      <c r="D153" t="s">
        <v>3137</v>
      </c>
      <c r="E153" t="s">
        <v>41</v>
      </c>
      <c r="F153" t="s">
        <v>3146</v>
      </c>
      <c r="G153" t="s">
        <v>3147</v>
      </c>
      <c r="H153" t="s">
        <v>44</v>
      </c>
      <c r="I153" t="s">
        <v>1526</v>
      </c>
      <c r="J153" t="s">
        <v>45</v>
      </c>
      <c r="K153" t="s">
        <v>45</v>
      </c>
      <c r="L153" t="s">
        <v>47</v>
      </c>
      <c r="M153" t="s">
        <v>1153</v>
      </c>
      <c r="N153" t="s">
        <v>51</v>
      </c>
      <c r="O153" t="s">
        <v>52</v>
      </c>
      <c r="P153" s="133">
        <v>239073</v>
      </c>
      <c r="Q153" s="135">
        <v>1</v>
      </c>
      <c r="R153" s="139">
        <v>3922</v>
      </c>
      <c r="T153" s="133">
        <v>9376.4429999999993</v>
      </c>
      <c r="U153" s="137">
        <v>1.158E-3</v>
      </c>
      <c r="V153" s="137">
        <v>2.4629100978392202E-2</v>
      </c>
      <c r="W153" s="137">
        <v>4.7847558847827704E-3</v>
      </c>
    </row>
    <row r="154" spans="1:23">
      <c r="A154">
        <v>161</v>
      </c>
      <c r="B154">
        <v>9943</v>
      </c>
      <c r="C154" t="s">
        <v>3148</v>
      </c>
      <c r="D154" t="s">
        <v>3149</v>
      </c>
      <c r="E154" t="s">
        <v>41</v>
      </c>
      <c r="F154" t="s">
        <v>3154</v>
      </c>
      <c r="G154" t="s">
        <v>3155</v>
      </c>
      <c r="H154" t="s">
        <v>44</v>
      </c>
      <c r="I154" t="s">
        <v>1528</v>
      </c>
      <c r="J154" t="s">
        <v>45</v>
      </c>
      <c r="K154" t="s">
        <v>69</v>
      </c>
      <c r="L154" t="s">
        <v>47</v>
      </c>
      <c r="M154" t="s">
        <v>1186</v>
      </c>
      <c r="N154" t="s">
        <v>51</v>
      </c>
      <c r="O154" t="s">
        <v>52</v>
      </c>
      <c r="P154" s="133">
        <v>125630</v>
      </c>
      <c r="Q154" s="135">
        <v>1</v>
      </c>
      <c r="R154" s="139">
        <v>10000</v>
      </c>
      <c r="T154" s="133">
        <v>12563</v>
      </c>
      <c r="U154" s="137">
        <v>9.306E-3</v>
      </c>
      <c r="V154" s="137">
        <v>3.2999229410511699E-2</v>
      </c>
      <c r="W154" s="137">
        <v>6.4108412748710196E-3</v>
      </c>
    </row>
    <row r="155" spans="1:23">
      <c r="A155">
        <v>161</v>
      </c>
      <c r="B155">
        <v>9943</v>
      </c>
      <c r="C155" t="s">
        <v>3158</v>
      </c>
      <c r="D155" t="s">
        <v>3159</v>
      </c>
      <c r="E155" t="s">
        <v>41</v>
      </c>
      <c r="F155" t="s">
        <v>3237</v>
      </c>
      <c r="G155" t="s">
        <v>3238</v>
      </c>
      <c r="H155" t="s">
        <v>44</v>
      </c>
      <c r="I155" t="s">
        <v>1526</v>
      </c>
      <c r="J155" t="s">
        <v>45</v>
      </c>
      <c r="K155" t="s">
        <v>45</v>
      </c>
      <c r="L155" t="s">
        <v>47</v>
      </c>
      <c r="M155" t="s">
        <v>1153</v>
      </c>
      <c r="N155" t="s">
        <v>51</v>
      </c>
      <c r="O155" t="s">
        <v>52</v>
      </c>
      <c r="P155" s="133">
        <v>16400</v>
      </c>
      <c r="Q155" s="135">
        <v>1</v>
      </c>
      <c r="R155" s="139">
        <v>39230</v>
      </c>
      <c r="T155" s="133">
        <v>6433.72</v>
      </c>
      <c r="U155" s="137">
        <v>4.6299999999999998E-4</v>
      </c>
      <c r="V155" s="137">
        <v>1.6899450946668601E-2</v>
      </c>
      <c r="W155" s="137">
        <v>3.2830978052187502E-3</v>
      </c>
    </row>
    <row r="156" spans="1:23">
      <c r="A156">
        <v>161</v>
      </c>
      <c r="B156">
        <v>9943</v>
      </c>
      <c r="C156" t="s">
        <v>3158</v>
      </c>
      <c r="D156" t="s">
        <v>3159</v>
      </c>
      <c r="E156" t="s">
        <v>41</v>
      </c>
      <c r="F156" t="s">
        <v>3276</v>
      </c>
      <c r="G156" t="s">
        <v>3277</v>
      </c>
      <c r="H156" t="s">
        <v>44</v>
      </c>
      <c r="I156" t="s">
        <v>1526</v>
      </c>
      <c r="J156" t="s">
        <v>45</v>
      </c>
      <c r="K156" t="s">
        <v>45</v>
      </c>
      <c r="L156" t="s">
        <v>47</v>
      </c>
      <c r="M156" t="s">
        <v>1158</v>
      </c>
      <c r="N156" t="s">
        <v>51</v>
      </c>
      <c r="O156" t="s">
        <v>52</v>
      </c>
      <c r="P156" s="133">
        <v>4731</v>
      </c>
      <c r="Q156" s="135">
        <v>1</v>
      </c>
      <c r="R156" s="139">
        <v>33030</v>
      </c>
      <c r="T156" s="133">
        <v>1562.6489999999999</v>
      </c>
      <c r="U156" s="137">
        <v>1.5699999999999999E-4</v>
      </c>
      <c r="V156" s="137">
        <v>4.1046105817778896E-3</v>
      </c>
      <c r="W156" s="137">
        <v>7.9741277008583099E-4</v>
      </c>
    </row>
    <row r="157" spans="1:23">
      <c r="A157">
        <v>161</v>
      </c>
      <c r="B157">
        <v>9943</v>
      </c>
      <c r="C157" t="s">
        <v>3164</v>
      </c>
      <c r="D157" t="s">
        <v>3165</v>
      </c>
      <c r="E157" t="s">
        <v>41</v>
      </c>
      <c r="F157" t="s">
        <v>3241</v>
      </c>
      <c r="G157" t="s">
        <v>3242</v>
      </c>
      <c r="H157" t="s">
        <v>44</v>
      </c>
      <c r="I157" t="s">
        <v>1526</v>
      </c>
      <c r="J157" t="s">
        <v>45</v>
      </c>
      <c r="K157" t="s">
        <v>45</v>
      </c>
      <c r="L157" t="s">
        <v>47</v>
      </c>
      <c r="M157" t="s">
        <v>1158</v>
      </c>
      <c r="N157" t="s">
        <v>51</v>
      </c>
      <c r="O157" t="s">
        <v>52</v>
      </c>
      <c r="P157" s="133">
        <v>257674</v>
      </c>
      <c r="Q157" s="135">
        <v>1</v>
      </c>
      <c r="R157" s="139">
        <v>3413</v>
      </c>
      <c r="T157" s="133">
        <v>8794.4140000000007</v>
      </c>
      <c r="U157" s="137">
        <v>6.3199999999999997E-4</v>
      </c>
      <c r="V157" s="137">
        <v>2.3100284372945101E-2</v>
      </c>
      <c r="W157" s="137">
        <v>4.4877489312571701E-3</v>
      </c>
    </row>
    <row r="158" spans="1:23">
      <c r="A158">
        <v>161</v>
      </c>
      <c r="B158">
        <v>9943</v>
      </c>
      <c r="C158" t="s">
        <v>3128</v>
      </c>
      <c r="D158" t="s">
        <v>3129</v>
      </c>
      <c r="E158" t="s">
        <v>41</v>
      </c>
      <c r="F158" t="s">
        <v>3296</v>
      </c>
      <c r="G158" t="s">
        <v>3297</v>
      </c>
      <c r="H158" t="s">
        <v>44</v>
      </c>
      <c r="I158" t="s">
        <v>1528</v>
      </c>
      <c r="J158" t="s">
        <v>45</v>
      </c>
      <c r="K158" t="s">
        <v>69</v>
      </c>
      <c r="L158" t="s">
        <v>47</v>
      </c>
      <c r="M158" t="s">
        <v>1283</v>
      </c>
      <c r="N158" t="s">
        <v>51</v>
      </c>
      <c r="O158" t="s">
        <v>52</v>
      </c>
      <c r="P158" s="133">
        <v>80000</v>
      </c>
      <c r="Q158" s="135">
        <v>1</v>
      </c>
      <c r="R158" s="139">
        <v>3006</v>
      </c>
      <c r="T158" s="133">
        <v>2404.8000000000002</v>
      </c>
      <c r="U158" s="137">
        <v>8.0000000000000002E-3</v>
      </c>
      <c r="V158" s="137">
        <v>6.3166876451801798E-3</v>
      </c>
      <c r="W158" s="137">
        <v>1.2271584094412E-3</v>
      </c>
    </row>
    <row r="159" spans="1:23">
      <c r="A159">
        <v>161</v>
      </c>
      <c r="B159">
        <v>9943</v>
      </c>
      <c r="C159" t="s">
        <v>3128</v>
      </c>
      <c r="D159" t="s">
        <v>3129</v>
      </c>
      <c r="E159" t="s">
        <v>41</v>
      </c>
      <c r="F159" t="s">
        <v>3298</v>
      </c>
      <c r="G159" t="s">
        <v>3299</v>
      </c>
      <c r="H159" t="s">
        <v>44</v>
      </c>
      <c r="I159" t="s">
        <v>1528</v>
      </c>
      <c r="J159" t="s">
        <v>45</v>
      </c>
      <c r="K159" t="s">
        <v>69</v>
      </c>
      <c r="L159" t="s">
        <v>47</v>
      </c>
      <c r="M159" t="s">
        <v>1283</v>
      </c>
      <c r="N159" t="s">
        <v>51</v>
      </c>
      <c r="O159" t="s">
        <v>52</v>
      </c>
      <c r="P159" s="133">
        <v>50000</v>
      </c>
      <c r="Q159" s="135">
        <v>1</v>
      </c>
      <c r="R159" s="139">
        <v>2377</v>
      </c>
      <c r="T159" s="133">
        <v>1188.5</v>
      </c>
      <c r="U159" s="137">
        <v>7.6920000000000001E-3</v>
      </c>
      <c r="V159" s="137">
        <v>3.1218326955658E-3</v>
      </c>
      <c r="W159" s="137">
        <v>6.0648609847840495E-4</v>
      </c>
    </row>
    <row r="160" spans="1:23">
      <c r="A160">
        <v>161</v>
      </c>
      <c r="B160">
        <v>9943</v>
      </c>
      <c r="C160" t="s">
        <v>3128</v>
      </c>
      <c r="D160" t="s">
        <v>3129</v>
      </c>
      <c r="E160" t="s">
        <v>41</v>
      </c>
      <c r="F160" t="s">
        <v>3300</v>
      </c>
      <c r="G160" t="s">
        <v>3301</v>
      </c>
      <c r="H160" t="s">
        <v>44</v>
      </c>
      <c r="I160" t="s">
        <v>1528</v>
      </c>
      <c r="J160" t="s">
        <v>45</v>
      </c>
      <c r="K160" t="s">
        <v>45</v>
      </c>
      <c r="L160" t="s">
        <v>47</v>
      </c>
      <c r="M160" t="s">
        <v>1299</v>
      </c>
      <c r="N160" t="s">
        <v>51</v>
      </c>
      <c r="O160" t="s">
        <v>52</v>
      </c>
      <c r="P160" s="133">
        <v>50000</v>
      </c>
      <c r="Q160" s="135">
        <v>1</v>
      </c>
      <c r="R160" s="139">
        <v>2852</v>
      </c>
      <c r="T160" s="133">
        <v>1426</v>
      </c>
      <c r="U160" s="137">
        <v>7.143E-3</v>
      </c>
      <c r="V160" s="137">
        <v>3.7456738947217799E-3</v>
      </c>
      <c r="W160" s="137">
        <v>7.2768125909146398E-4</v>
      </c>
    </row>
    <row r="161" spans="1:23">
      <c r="A161">
        <v>161</v>
      </c>
      <c r="B161">
        <v>9943</v>
      </c>
      <c r="C161" t="s">
        <v>3128</v>
      </c>
      <c r="D161" t="s">
        <v>3129</v>
      </c>
      <c r="E161" t="s">
        <v>41</v>
      </c>
      <c r="F161" t="s">
        <v>3302</v>
      </c>
      <c r="G161" t="s">
        <v>3303</v>
      </c>
      <c r="H161" t="s">
        <v>44</v>
      </c>
      <c r="I161" t="s">
        <v>1528</v>
      </c>
      <c r="J161" t="s">
        <v>45</v>
      </c>
      <c r="K161" t="s">
        <v>69</v>
      </c>
      <c r="L161" t="s">
        <v>47</v>
      </c>
      <c r="M161" t="s">
        <v>1283</v>
      </c>
      <c r="N161" t="s">
        <v>51</v>
      </c>
      <c r="O161" t="s">
        <v>52</v>
      </c>
      <c r="P161" s="133">
        <v>60000</v>
      </c>
      <c r="Q161" s="135">
        <v>1</v>
      </c>
      <c r="R161" s="139">
        <v>2987</v>
      </c>
      <c r="T161" s="133">
        <v>1792.2</v>
      </c>
      <c r="U161" s="137">
        <v>2.4E-2</v>
      </c>
      <c r="V161" s="137">
        <v>4.7075713563256502E-3</v>
      </c>
      <c r="W161" s="137">
        <v>9.1455143937147398E-4</v>
      </c>
    </row>
    <row r="162" spans="1:23">
      <c r="A162">
        <v>161</v>
      </c>
      <c r="B162">
        <v>9943</v>
      </c>
      <c r="C162" t="s">
        <v>3128</v>
      </c>
      <c r="D162" t="s">
        <v>3129</v>
      </c>
      <c r="E162" t="s">
        <v>41</v>
      </c>
      <c r="F162" t="s">
        <v>3262</v>
      </c>
      <c r="G162" t="s">
        <v>3263</v>
      </c>
      <c r="H162" t="s">
        <v>44</v>
      </c>
      <c r="I162" t="s">
        <v>1528</v>
      </c>
      <c r="J162" t="s">
        <v>45</v>
      </c>
      <c r="K162" t="s">
        <v>69</v>
      </c>
      <c r="L162" t="s">
        <v>47</v>
      </c>
      <c r="M162" t="s">
        <v>1185</v>
      </c>
      <c r="N162" t="s">
        <v>51</v>
      </c>
      <c r="O162" t="s">
        <v>52</v>
      </c>
      <c r="P162" s="133">
        <v>27990</v>
      </c>
      <c r="Q162" s="135">
        <v>1</v>
      </c>
      <c r="R162" s="139">
        <v>8788</v>
      </c>
      <c r="T162" s="133">
        <v>2459.761</v>
      </c>
      <c r="U162" s="137">
        <v>3.21E-4</v>
      </c>
      <c r="V162" s="137">
        <v>6.4610542174540798E-3</v>
      </c>
      <c r="W162" s="137">
        <v>1.25520485770009E-3</v>
      </c>
    </row>
    <row r="163" spans="1:23">
      <c r="A163">
        <v>161</v>
      </c>
      <c r="B163">
        <v>9943</v>
      </c>
      <c r="C163" t="s">
        <v>3128</v>
      </c>
      <c r="D163" t="s">
        <v>3129</v>
      </c>
      <c r="E163" t="s">
        <v>41</v>
      </c>
      <c r="F163" t="s">
        <v>3304</v>
      </c>
      <c r="G163" t="s">
        <v>3305</v>
      </c>
      <c r="H163" t="s">
        <v>44</v>
      </c>
      <c r="I163" t="s">
        <v>1529</v>
      </c>
      <c r="J163" t="s">
        <v>45</v>
      </c>
      <c r="K163" t="s">
        <v>45</v>
      </c>
      <c r="L163" t="s">
        <v>47</v>
      </c>
      <c r="M163" t="s">
        <v>1208</v>
      </c>
      <c r="N163" t="s">
        <v>51</v>
      </c>
      <c r="O163" t="s">
        <v>52</v>
      </c>
      <c r="P163" s="133">
        <v>775000</v>
      </c>
      <c r="Q163" s="135">
        <v>1</v>
      </c>
      <c r="R163" s="139">
        <v>421.9</v>
      </c>
      <c r="T163" s="133">
        <v>3269.7249999999999</v>
      </c>
      <c r="U163" s="137">
        <v>7.7499999999999999E-3</v>
      </c>
      <c r="V163" s="137">
        <v>8.5885859575169608E-3</v>
      </c>
      <c r="W163" s="137">
        <v>1.6685256696233101E-3</v>
      </c>
    </row>
    <row r="164" spans="1:23">
      <c r="A164">
        <v>161</v>
      </c>
      <c r="B164">
        <v>9943</v>
      </c>
      <c r="C164" t="s">
        <v>3128</v>
      </c>
      <c r="D164" t="s">
        <v>3129</v>
      </c>
      <c r="E164" t="s">
        <v>41</v>
      </c>
      <c r="F164" t="s">
        <v>3306</v>
      </c>
      <c r="G164" t="s">
        <v>3307</v>
      </c>
      <c r="H164" t="s">
        <v>44</v>
      </c>
      <c r="I164" t="s">
        <v>1528</v>
      </c>
      <c r="J164" t="s">
        <v>45</v>
      </c>
      <c r="K164" t="s">
        <v>69</v>
      </c>
      <c r="L164" t="s">
        <v>47</v>
      </c>
      <c r="M164" t="s">
        <v>1192</v>
      </c>
      <c r="N164" t="s">
        <v>51</v>
      </c>
      <c r="O164" t="s">
        <v>52</v>
      </c>
      <c r="P164" s="133">
        <v>140000</v>
      </c>
      <c r="Q164" s="135">
        <v>1</v>
      </c>
      <c r="R164" s="139">
        <v>3064</v>
      </c>
      <c r="T164" s="133">
        <v>4289.6000000000004</v>
      </c>
      <c r="U164" s="137">
        <v>2.9787000000000001E-2</v>
      </c>
      <c r="V164" s="137">
        <v>1.1267491401681999E-2</v>
      </c>
      <c r="W164" s="137">
        <v>2.1889632040664399E-3</v>
      </c>
    </row>
    <row r="165" spans="1:23">
      <c r="A165">
        <v>161</v>
      </c>
      <c r="B165">
        <v>9943</v>
      </c>
      <c r="C165" t="s">
        <v>3128</v>
      </c>
      <c r="D165" t="s">
        <v>3129</v>
      </c>
      <c r="E165" t="s">
        <v>41</v>
      </c>
      <c r="F165" t="s">
        <v>3308</v>
      </c>
      <c r="G165" t="s">
        <v>3309</v>
      </c>
      <c r="H165" t="s">
        <v>44</v>
      </c>
      <c r="I165" t="s">
        <v>1528</v>
      </c>
      <c r="J165" t="s">
        <v>45</v>
      </c>
      <c r="K165" t="s">
        <v>69</v>
      </c>
      <c r="L165" t="s">
        <v>47</v>
      </c>
      <c r="M165" t="s">
        <v>1178</v>
      </c>
      <c r="N165" t="s">
        <v>51</v>
      </c>
      <c r="O165" t="s">
        <v>52</v>
      </c>
      <c r="P165" s="133">
        <v>85000</v>
      </c>
      <c r="Q165" s="135">
        <v>1</v>
      </c>
      <c r="R165" s="139">
        <v>9086</v>
      </c>
      <c r="T165" s="133">
        <v>7723.1</v>
      </c>
      <c r="U165" s="137">
        <v>2.1007999999999999E-2</v>
      </c>
      <c r="V165" s="137">
        <v>2.0286265116637999E-2</v>
      </c>
      <c r="W165" s="137">
        <v>3.9410625049714496E-3</v>
      </c>
    </row>
    <row r="166" spans="1:23">
      <c r="A166">
        <v>161</v>
      </c>
      <c r="B166">
        <v>9943</v>
      </c>
      <c r="C166" t="s">
        <v>3128</v>
      </c>
      <c r="D166" t="s">
        <v>3129</v>
      </c>
      <c r="E166" t="s">
        <v>41</v>
      </c>
      <c r="F166" t="s">
        <v>3310</v>
      </c>
      <c r="G166" t="s">
        <v>3311</v>
      </c>
      <c r="H166" t="s">
        <v>44</v>
      </c>
      <c r="I166" t="s">
        <v>1526</v>
      </c>
      <c r="J166" t="s">
        <v>45</v>
      </c>
      <c r="K166" t="s">
        <v>45</v>
      </c>
      <c r="L166" t="s">
        <v>47</v>
      </c>
      <c r="M166" t="s">
        <v>1153</v>
      </c>
      <c r="N166" t="s">
        <v>51</v>
      </c>
      <c r="O166" t="s">
        <v>52</v>
      </c>
      <c r="P166" s="133">
        <v>80000</v>
      </c>
      <c r="Q166" s="135">
        <v>1</v>
      </c>
      <c r="R166" s="139">
        <v>3754</v>
      </c>
      <c r="T166" s="133">
        <v>3003.2</v>
      </c>
      <c r="U166" s="137">
        <v>1.7391E-2</v>
      </c>
      <c r="V166" s="137">
        <v>7.8885047970746504E-3</v>
      </c>
      <c r="W166" s="137">
        <v>1.5325191846448001E-3</v>
      </c>
    </row>
    <row r="167" spans="1:23">
      <c r="A167">
        <v>161</v>
      </c>
      <c r="B167">
        <v>9943</v>
      </c>
      <c r="C167" t="s">
        <v>3128</v>
      </c>
      <c r="D167" t="s">
        <v>3129</v>
      </c>
      <c r="E167" t="s">
        <v>41</v>
      </c>
      <c r="F167" t="s">
        <v>3294</v>
      </c>
      <c r="G167" t="s">
        <v>3295</v>
      </c>
      <c r="H167" t="s">
        <v>44</v>
      </c>
      <c r="I167" t="s">
        <v>1526</v>
      </c>
      <c r="J167" t="s">
        <v>45</v>
      </c>
      <c r="K167" t="s">
        <v>45</v>
      </c>
      <c r="L167" t="s">
        <v>47</v>
      </c>
      <c r="M167" t="s">
        <v>1158</v>
      </c>
      <c r="N167" t="s">
        <v>51</v>
      </c>
      <c r="O167" t="s">
        <v>52</v>
      </c>
      <c r="P167" s="133">
        <v>40000</v>
      </c>
      <c r="Q167" s="135">
        <v>1</v>
      </c>
      <c r="R167" s="139">
        <v>5146</v>
      </c>
      <c r="T167" s="133">
        <v>2058.4</v>
      </c>
      <c r="U167" s="137">
        <v>5.71E-4</v>
      </c>
      <c r="V167" s="137">
        <v>5.40679883933753E-3</v>
      </c>
      <c r="W167" s="137">
        <v>1.05039207834072E-3</v>
      </c>
    </row>
    <row r="168" spans="1:23">
      <c r="A168">
        <v>161</v>
      </c>
      <c r="B168">
        <v>9943</v>
      </c>
      <c r="C168" t="s">
        <v>3128</v>
      </c>
      <c r="D168" t="s">
        <v>3129</v>
      </c>
      <c r="E168" t="s">
        <v>41</v>
      </c>
      <c r="F168" t="s">
        <v>3312</v>
      </c>
      <c r="G168" t="s">
        <v>3313</v>
      </c>
      <c r="H168" t="s">
        <v>44</v>
      </c>
      <c r="I168" t="s">
        <v>1529</v>
      </c>
      <c r="J168" t="s">
        <v>45</v>
      </c>
      <c r="K168" t="s">
        <v>45</v>
      </c>
      <c r="L168" t="s">
        <v>47</v>
      </c>
      <c r="M168" t="s">
        <v>1215</v>
      </c>
      <c r="N168" t="s">
        <v>51</v>
      </c>
      <c r="O168" t="s">
        <v>52</v>
      </c>
      <c r="P168" s="133">
        <v>120879</v>
      </c>
      <c r="Q168" s="135">
        <v>1</v>
      </c>
      <c r="R168" s="139">
        <v>348.39</v>
      </c>
      <c r="T168" s="133">
        <v>421.13</v>
      </c>
      <c r="U168" s="137">
        <v>4.84E-4</v>
      </c>
      <c r="V168" s="137">
        <v>1.1061829951986399E-3</v>
      </c>
      <c r="W168" s="137">
        <v>2.1490088495584501E-4</v>
      </c>
    </row>
    <row r="169" spans="1:23">
      <c r="A169">
        <v>161</v>
      </c>
      <c r="B169">
        <v>9943</v>
      </c>
      <c r="C169" t="s">
        <v>3128</v>
      </c>
      <c r="D169" t="s">
        <v>3129</v>
      </c>
      <c r="E169" t="s">
        <v>41</v>
      </c>
      <c r="F169" t="s">
        <v>3132</v>
      </c>
      <c r="G169" t="s">
        <v>3133</v>
      </c>
      <c r="H169" t="s">
        <v>44</v>
      </c>
      <c r="I169" t="s">
        <v>1529</v>
      </c>
      <c r="J169" t="s">
        <v>45</v>
      </c>
      <c r="K169" t="s">
        <v>45</v>
      </c>
      <c r="L169" t="s">
        <v>47</v>
      </c>
      <c r="M169" t="s">
        <v>1157</v>
      </c>
      <c r="N169" t="s">
        <v>51</v>
      </c>
      <c r="O169" t="s">
        <v>52</v>
      </c>
      <c r="P169" s="133">
        <v>400000</v>
      </c>
      <c r="Q169" s="135">
        <v>1</v>
      </c>
      <c r="R169" s="139">
        <v>503.22</v>
      </c>
      <c r="T169" s="133">
        <v>2012.88</v>
      </c>
      <c r="U169" s="137">
        <v>1.905E-3</v>
      </c>
      <c r="V169" s="137">
        <v>5.2872314650824603E-3</v>
      </c>
      <c r="W169" s="137">
        <v>1.02716343113606E-3</v>
      </c>
    </row>
    <row r="170" spans="1:23">
      <c r="A170">
        <v>161</v>
      </c>
      <c r="B170">
        <v>9943</v>
      </c>
      <c r="C170" t="s">
        <v>3128</v>
      </c>
      <c r="D170" t="s">
        <v>3129</v>
      </c>
      <c r="E170" t="s">
        <v>41</v>
      </c>
      <c r="F170" t="s">
        <v>3134</v>
      </c>
      <c r="G170" t="s">
        <v>3135</v>
      </c>
      <c r="H170" t="s">
        <v>44</v>
      </c>
      <c r="I170" t="s">
        <v>1528</v>
      </c>
      <c r="J170" t="s">
        <v>45</v>
      </c>
      <c r="K170" t="s">
        <v>69</v>
      </c>
      <c r="L170" t="s">
        <v>47</v>
      </c>
      <c r="M170" t="s">
        <v>1186</v>
      </c>
      <c r="N170" t="s">
        <v>51</v>
      </c>
      <c r="O170" t="s">
        <v>52</v>
      </c>
      <c r="P170" s="133">
        <v>133500</v>
      </c>
      <c r="Q170" s="135">
        <v>1</v>
      </c>
      <c r="R170" s="139">
        <v>8146</v>
      </c>
      <c r="T170" s="133">
        <v>10874.91</v>
      </c>
      <c r="U170" s="137">
        <v>5.4770000000000001E-3</v>
      </c>
      <c r="V170" s="137">
        <v>2.85651237688982E-2</v>
      </c>
      <c r="W170" s="137">
        <v>5.5494166909581802E-3</v>
      </c>
    </row>
    <row r="171" spans="1:23">
      <c r="A171">
        <v>161</v>
      </c>
      <c r="B171">
        <v>9943</v>
      </c>
      <c r="C171" t="s">
        <v>3136</v>
      </c>
      <c r="D171" t="s">
        <v>3137</v>
      </c>
      <c r="E171" t="s">
        <v>41</v>
      </c>
      <c r="F171" t="s">
        <v>3229</v>
      </c>
      <c r="G171" t="s">
        <v>3230</v>
      </c>
      <c r="H171" t="s">
        <v>44</v>
      </c>
      <c r="I171" t="s">
        <v>1528</v>
      </c>
      <c r="J171" t="s">
        <v>45</v>
      </c>
      <c r="K171" t="s">
        <v>69</v>
      </c>
      <c r="L171" t="s">
        <v>47</v>
      </c>
      <c r="M171" t="s">
        <v>1186</v>
      </c>
      <c r="N171" t="s">
        <v>51</v>
      </c>
      <c r="O171" t="s">
        <v>52</v>
      </c>
      <c r="P171" s="133">
        <v>280840</v>
      </c>
      <c r="Q171" s="135">
        <v>1</v>
      </c>
      <c r="R171" s="139">
        <v>6160</v>
      </c>
      <c r="T171" s="133">
        <v>17299.743999999999</v>
      </c>
      <c r="U171" s="137">
        <v>2.3119999999999998E-3</v>
      </c>
      <c r="V171" s="137">
        <v>4.5441233861269102E-2</v>
      </c>
      <c r="W171" s="137">
        <v>8.8279800111360496E-3</v>
      </c>
    </row>
    <row r="172" spans="1:23">
      <c r="A172">
        <v>161</v>
      </c>
      <c r="B172">
        <v>9943</v>
      </c>
      <c r="C172" t="s">
        <v>3148</v>
      </c>
      <c r="D172" t="s">
        <v>3149</v>
      </c>
      <c r="E172" t="s">
        <v>41</v>
      </c>
      <c r="F172" t="s">
        <v>3314</v>
      </c>
      <c r="G172" t="s">
        <v>3315</v>
      </c>
      <c r="H172" t="s">
        <v>44</v>
      </c>
      <c r="I172" t="s">
        <v>1528</v>
      </c>
      <c r="J172" t="s">
        <v>45</v>
      </c>
      <c r="K172" t="s">
        <v>69</v>
      </c>
      <c r="L172" t="s">
        <v>47</v>
      </c>
      <c r="M172" t="s">
        <v>1179</v>
      </c>
      <c r="N172" t="s">
        <v>51</v>
      </c>
      <c r="O172" t="s">
        <v>52</v>
      </c>
      <c r="P172" s="133">
        <v>140455</v>
      </c>
      <c r="Q172" s="135">
        <v>1</v>
      </c>
      <c r="R172" s="139">
        <v>10780</v>
      </c>
      <c r="T172" s="133">
        <v>15141.049000000001</v>
      </c>
      <c r="U172" s="137">
        <v>1.0560999999999999E-2</v>
      </c>
      <c r="V172" s="137">
        <v>3.9770990166902803E-2</v>
      </c>
      <c r="W172" s="137">
        <v>7.7264078543376998E-3</v>
      </c>
    </row>
    <row r="173" spans="1:23">
      <c r="A173">
        <v>161</v>
      </c>
      <c r="B173">
        <v>9943</v>
      </c>
      <c r="C173" t="s">
        <v>3148</v>
      </c>
      <c r="D173" t="s">
        <v>3149</v>
      </c>
      <c r="E173" t="s">
        <v>41</v>
      </c>
      <c r="F173" t="s">
        <v>3268</v>
      </c>
      <c r="G173" t="s">
        <v>3269</v>
      </c>
      <c r="H173" t="s">
        <v>44</v>
      </c>
      <c r="I173" t="s">
        <v>1528</v>
      </c>
      <c r="J173" t="s">
        <v>45</v>
      </c>
      <c r="K173" t="s">
        <v>69</v>
      </c>
      <c r="L173" t="s">
        <v>47</v>
      </c>
      <c r="M173" t="s">
        <v>1185</v>
      </c>
      <c r="N173" t="s">
        <v>51</v>
      </c>
      <c r="O173" t="s">
        <v>52</v>
      </c>
      <c r="P173" s="133">
        <v>18500</v>
      </c>
      <c r="Q173" s="135">
        <v>1</v>
      </c>
      <c r="R173" s="139">
        <v>10200</v>
      </c>
      <c r="T173" s="133">
        <v>1887</v>
      </c>
      <c r="U173" s="137">
        <v>2.7E-4</v>
      </c>
      <c r="V173" s="137">
        <v>4.9565824960308598E-3</v>
      </c>
      <c r="W173" s="137">
        <v>9.6292744453407701E-4</v>
      </c>
    </row>
    <row r="174" spans="1:23">
      <c r="A174">
        <v>161</v>
      </c>
      <c r="B174">
        <v>9943</v>
      </c>
      <c r="C174" t="s">
        <v>3148</v>
      </c>
      <c r="D174" t="s">
        <v>3149</v>
      </c>
      <c r="E174" t="s">
        <v>41</v>
      </c>
      <c r="F174" t="s">
        <v>3154</v>
      </c>
      <c r="G174" t="s">
        <v>3155</v>
      </c>
      <c r="H174" t="s">
        <v>44</v>
      </c>
      <c r="I174" t="s">
        <v>1528</v>
      </c>
      <c r="J174" t="s">
        <v>45</v>
      </c>
      <c r="K174" t="s">
        <v>69</v>
      </c>
      <c r="L174" t="s">
        <v>47</v>
      </c>
      <c r="M174" t="s">
        <v>1186</v>
      </c>
      <c r="N174" t="s">
        <v>51</v>
      </c>
      <c r="O174" t="s">
        <v>52</v>
      </c>
      <c r="P174" s="133">
        <v>159000</v>
      </c>
      <c r="Q174" s="135">
        <v>1</v>
      </c>
      <c r="R174" s="139">
        <v>10000</v>
      </c>
      <c r="T174" s="133">
        <v>15900</v>
      </c>
      <c r="U174" s="137">
        <v>1.1778E-2</v>
      </c>
      <c r="V174" s="137">
        <v>4.1764526596126499E-2</v>
      </c>
      <c r="W174" s="137">
        <v>8.1136970684111392E-3</v>
      </c>
    </row>
    <row r="175" spans="1:23">
      <c r="A175">
        <v>161</v>
      </c>
      <c r="B175">
        <v>9943</v>
      </c>
      <c r="C175" t="s">
        <v>3128</v>
      </c>
      <c r="D175" t="s">
        <v>3129</v>
      </c>
      <c r="E175" t="s">
        <v>41</v>
      </c>
      <c r="F175" t="s">
        <v>3316</v>
      </c>
      <c r="G175" t="s">
        <v>3317</v>
      </c>
      <c r="H175" t="s">
        <v>44</v>
      </c>
      <c r="I175" t="s">
        <v>1528</v>
      </c>
      <c r="J175" t="s">
        <v>45</v>
      </c>
      <c r="K175" t="s">
        <v>69</v>
      </c>
      <c r="L175" t="s">
        <v>47</v>
      </c>
      <c r="M175" t="s">
        <v>1283</v>
      </c>
      <c r="N175" t="s">
        <v>51</v>
      </c>
      <c r="O175" t="s">
        <v>52</v>
      </c>
      <c r="P175" s="133">
        <v>130000</v>
      </c>
      <c r="Q175" s="135">
        <v>1</v>
      </c>
      <c r="R175" s="139">
        <v>1496</v>
      </c>
      <c r="T175" s="133">
        <v>1944.8</v>
      </c>
      <c r="U175" s="137">
        <v>2.8889000000000001E-2</v>
      </c>
      <c r="V175" s="137">
        <v>5.1084057436570299E-3</v>
      </c>
      <c r="W175" s="137">
        <v>9.92422519411697E-4</v>
      </c>
    </row>
    <row r="176" spans="1:23">
      <c r="A176">
        <v>161</v>
      </c>
      <c r="B176">
        <v>9943</v>
      </c>
      <c r="C176" t="s">
        <v>3158</v>
      </c>
      <c r="D176" t="s">
        <v>3159</v>
      </c>
      <c r="E176" t="s">
        <v>41</v>
      </c>
      <c r="F176" t="s">
        <v>3274</v>
      </c>
      <c r="G176" t="s">
        <v>3275</v>
      </c>
      <c r="H176" t="s">
        <v>44</v>
      </c>
      <c r="I176" t="s">
        <v>1528</v>
      </c>
      <c r="J176" t="s">
        <v>45</v>
      </c>
      <c r="K176" t="s">
        <v>69</v>
      </c>
      <c r="L176" t="s">
        <v>47</v>
      </c>
      <c r="M176" t="s">
        <v>1186</v>
      </c>
      <c r="N176" t="s">
        <v>51</v>
      </c>
      <c r="O176" t="s">
        <v>52</v>
      </c>
      <c r="P176" s="133">
        <v>58112</v>
      </c>
      <c r="Q176" s="135">
        <v>1</v>
      </c>
      <c r="R176" s="139">
        <v>6064</v>
      </c>
      <c r="T176" s="133">
        <v>3523.9119999999998</v>
      </c>
      <c r="U176" s="137">
        <v>8.3500000000000002E-4</v>
      </c>
      <c r="V176" s="137">
        <v>9.2562580554566409E-3</v>
      </c>
      <c r="W176" s="137">
        <v>1.79823596650036E-3</v>
      </c>
    </row>
    <row r="177" spans="1:23">
      <c r="A177">
        <v>161</v>
      </c>
      <c r="B177">
        <v>9943</v>
      </c>
      <c r="C177" t="s">
        <v>3158</v>
      </c>
      <c r="D177" t="s">
        <v>3159</v>
      </c>
      <c r="E177" t="s">
        <v>41</v>
      </c>
      <c r="F177" t="s">
        <v>3318</v>
      </c>
      <c r="G177" t="s">
        <v>3319</v>
      </c>
      <c r="H177" t="s">
        <v>44</v>
      </c>
      <c r="I177" t="s">
        <v>1528</v>
      </c>
      <c r="J177" t="s">
        <v>45</v>
      </c>
      <c r="K177" t="s">
        <v>69</v>
      </c>
      <c r="L177" t="s">
        <v>47</v>
      </c>
      <c r="M177" t="s">
        <v>1179</v>
      </c>
      <c r="N177" t="s">
        <v>51</v>
      </c>
      <c r="O177" t="s">
        <v>52</v>
      </c>
      <c r="P177" s="133">
        <v>95270</v>
      </c>
      <c r="Q177" s="135">
        <v>1</v>
      </c>
      <c r="R177" s="139">
        <v>19010</v>
      </c>
      <c r="T177" s="133">
        <v>18110.827000000001</v>
      </c>
      <c r="U177" s="137">
        <v>1.1736E-2</v>
      </c>
      <c r="V177" s="137">
        <v>4.7571705403732401E-2</v>
      </c>
      <c r="W177" s="137">
        <v>9.2418719456856206E-3</v>
      </c>
    </row>
    <row r="178" spans="1:23">
      <c r="A178">
        <v>161</v>
      </c>
      <c r="B178">
        <v>9943</v>
      </c>
      <c r="C178" t="s">
        <v>3158</v>
      </c>
      <c r="D178" t="s">
        <v>3159</v>
      </c>
      <c r="E178" t="s">
        <v>41</v>
      </c>
      <c r="F178" t="s">
        <v>3320</v>
      </c>
      <c r="G178" t="s">
        <v>3321</v>
      </c>
      <c r="H178" t="s">
        <v>44</v>
      </c>
      <c r="I178" t="s">
        <v>1529</v>
      </c>
      <c r="J178" t="s">
        <v>45</v>
      </c>
      <c r="K178" t="s">
        <v>45</v>
      </c>
      <c r="L178" t="s">
        <v>47</v>
      </c>
      <c r="M178" t="s">
        <v>1215</v>
      </c>
      <c r="N178" t="s">
        <v>51</v>
      </c>
      <c r="O178" t="s">
        <v>52</v>
      </c>
      <c r="P178" s="133">
        <v>88000</v>
      </c>
      <c r="Q178" s="135">
        <v>1</v>
      </c>
      <c r="R178" s="139">
        <v>4348.16</v>
      </c>
      <c r="T178" s="133">
        <v>3826.3809999999999</v>
      </c>
      <c r="U178" s="137">
        <v>2.2550000000000001E-3</v>
      </c>
      <c r="V178" s="137">
        <v>1.0050753628208E-2</v>
      </c>
      <c r="W178" s="137">
        <v>1.9525845710430601E-3</v>
      </c>
    </row>
    <row r="179" spans="1:23">
      <c r="A179">
        <v>161</v>
      </c>
      <c r="B179">
        <v>9943</v>
      </c>
      <c r="C179" t="s">
        <v>3164</v>
      </c>
      <c r="D179" t="s">
        <v>3165</v>
      </c>
      <c r="E179" t="s">
        <v>41</v>
      </c>
      <c r="F179" t="s">
        <v>3322</v>
      </c>
      <c r="G179" t="s">
        <v>3323</v>
      </c>
      <c r="H179" t="s">
        <v>44</v>
      </c>
      <c r="I179" t="s">
        <v>1529</v>
      </c>
      <c r="J179" t="s">
        <v>45</v>
      </c>
      <c r="K179" t="s">
        <v>45</v>
      </c>
      <c r="L179" t="s">
        <v>47</v>
      </c>
      <c r="M179" t="s">
        <v>1215</v>
      </c>
      <c r="N179" t="s">
        <v>51</v>
      </c>
      <c r="O179" t="s">
        <v>52</v>
      </c>
      <c r="P179" s="133">
        <v>205000</v>
      </c>
      <c r="Q179" s="135">
        <v>1</v>
      </c>
      <c r="R179" s="139">
        <v>4291.2700000000004</v>
      </c>
      <c r="T179" s="133">
        <v>8797.1029999999992</v>
      </c>
      <c r="U179" s="137">
        <v>9.8019999999999999E-3</v>
      </c>
      <c r="V179" s="137">
        <v>2.31073498801652E-2</v>
      </c>
      <c r="W179" s="137">
        <v>4.4891215646829796E-3</v>
      </c>
    </row>
    <row r="180" spans="1:23">
      <c r="A180">
        <v>161</v>
      </c>
      <c r="B180">
        <v>9943</v>
      </c>
      <c r="C180" t="s">
        <v>3164</v>
      </c>
      <c r="D180" t="s">
        <v>3165</v>
      </c>
      <c r="E180" t="s">
        <v>41</v>
      </c>
      <c r="F180" t="s">
        <v>3324</v>
      </c>
      <c r="G180" t="s">
        <v>3325</v>
      </c>
      <c r="H180" t="s">
        <v>44</v>
      </c>
      <c r="I180" t="s">
        <v>1529</v>
      </c>
      <c r="J180" t="s">
        <v>45</v>
      </c>
      <c r="K180" t="s">
        <v>45</v>
      </c>
      <c r="L180" t="s">
        <v>47</v>
      </c>
      <c r="M180" t="s">
        <v>1206</v>
      </c>
      <c r="N180" t="s">
        <v>51</v>
      </c>
      <c r="O180" t="s">
        <v>52</v>
      </c>
      <c r="P180" s="133">
        <v>52760</v>
      </c>
      <c r="Q180" s="135">
        <v>1</v>
      </c>
      <c r="R180" s="139">
        <v>4454.82</v>
      </c>
      <c r="T180" s="133">
        <v>2350.3629999999998</v>
      </c>
      <c r="U180" s="137">
        <v>2.1159999999999998E-3</v>
      </c>
      <c r="V180" s="137">
        <v>6.1736980729884504E-3</v>
      </c>
      <c r="W180" s="137">
        <v>1.1993794743673199E-3</v>
      </c>
    </row>
    <row r="181" spans="1:23">
      <c r="A181">
        <v>161</v>
      </c>
      <c r="B181">
        <v>9943</v>
      </c>
      <c r="C181" t="s">
        <v>3164</v>
      </c>
      <c r="D181" t="s">
        <v>3165</v>
      </c>
      <c r="E181" t="s">
        <v>41</v>
      </c>
      <c r="F181" t="s">
        <v>3166</v>
      </c>
      <c r="G181" t="s">
        <v>3167</v>
      </c>
      <c r="H181" t="s">
        <v>44</v>
      </c>
      <c r="I181" t="s">
        <v>1529</v>
      </c>
      <c r="J181" t="s">
        <v>45</v>
      </c>
      <c r="K181" t="s">
        <v>45</v>
      </c>
      <c r="L181" t="s">
        <v>47</v>
      </c>
      <c r="M181" t="s">
        <v>1157</v>
      </c>
      <c r="N181" t="s">
        <v>51</v>
      </c>
      <c r="O181" t="s">
        <v>52</v>
      </c>
      <c r="P181" s="133">
        <v>160000</v>
      </c>
      <c r="Q181" s="135">
        <v>1</v>
      </c>
      <c r="R181" s="139">
        <v>394.8</v>
      </c>
      <c r="T181" s="133">
        <v>631.67999999999995</v>
      </c>
      <c r="U181" s="137">
        <v>1.17E-4</v>
      </c>
      <c r="V181" s="137">
        <v>1.65923372076988E-3</v>
      </c>
      <c r="W181" s="137">
        <v>3.2234340655182102E-4</v>
      </c>
    </row>
    <row r="182" spans="1:23">
      <c r="A182">
        <v>161</v>
      </c>
      <c r="B182">
        <v>9943</v>
      </c>
      <c r="C182" t="s">
        <v>3278</v>
      </c>
      <c r="D182" t="s">
        <v>3279</v>
      </c>
      <c r="E182" t="s">
        <v>64</v>
      </c>
      <c r="F182" t="s">
        <v>3280</v>
      </c>
      <c r="G182" t="s">
        <v>3281</v>
      </c>
      <c r="H182" t="s">
        <v>44</v>
      </c>
      <c r="I182" t="s">
        <v>1528</v>
      </c>
      <c r="J182" t="s">
        <v>68</v>
      </c>
      <c r="K182" t="s">
        <v>69</v>
      </c>
      <c r="L182" t="s">
        <v>969</v>
      </c>
      <c r="M182" t="s">
        <v>1316</v>
      </c>
      <c r="N182" t="s">
        <v>51</v>
      </c>
      <c r="O182" t="s">
        <v>395</v>
      </c>
      <c r="P182" s="133">
        <v>8090</v>
      </c>
      <c r="Q182" s="135">
        <v>3.6360000000000001</v>
      </c>
      <c r="R182" s="139">
        <v>20695</v>
      </c>
      <c r="T182" s="133">
        <v>6087.4840000000004</v>
      </c>
      <c r="U182" s="137">
        <v>0</v>
      </c>
      <c r="V182" s="137">
        <v>1.5989992704201501E-2</v>
      </c>
      <c r="W182" s="137">
        <v>3.1064151207218001E-3</v>
      </c>
    </row>
    <row r="183" spans="1:23">
      <c r="A183">
        <v>161</v>
      </c>
      <c r="B183">
        <v>9943</v>
      </c>
      <c r="C183" t="s">
        <v>3174</v>
      </c>
      <c r="D183" t="s">
        <v>3175</v>
      </c>
      <c r="E183" t="s">
        <v>64</v>
      </c>
      <c r="F183" t="s">
        <v>3176</v>
      </c>
      <c r="G183" t="s">
        <v>3177</v>
      </c>
      <c r="H183" t="s">
        <v>44</v>
      </c>
      <c r="I183" t="s">
        <v>1528</v>
      </c>
      <c r="J183" t="s">
        <v>68</v>
      </c>
      <c r="K183" t="s">
        <v>264</v>
      </c>
      <c r="L183" t="s">
        <v>949</v>
      </c>
      <c r="M183" t="s">
        <v>1283</v>
      </c>
      <c r="N183" t="s">
        <v>51</v>
      </c>
      <c r="O183" t="s">
        <v>72</v>
      </c>
      <c r="P183" s="133">
        <v>6400</v>
      </c>
      <c r="Q183" s="135">
        <v>3.165</v>
      </c>
      <c r="R183" s="139">
        <v>16358</v>
      </c>
      <c r="S183" s="133">
        <v>0.64300000000000002</v>
      </c>
      <c r="T183" s="133">
        <v>3315.51</v>
      </c>
      <c r="U183" s="137">
        <v>5.7700000000000004E-4</v>
      </c>
      <c r="V183" s="137">
        <v>8.7088498863253407E-3</v>
      </c>
      <c r="W183" s="137">
        <v>1.6918896381903201E-3</v>
      </c>
    </row>
    <row r="184" spans="1:23">
      <c r="A184">
        <v>161</v>
      </c>
      <c r="B184">
        <v>9943</v>
      </c>
      <c r="C184" t="s">
        <v>3223</v>
      </c>
      <c r="D184" t="s">
        <v>3224</v>
      </c>
      <c r="E184" t="s">
        <v>64</v>
      </c>
      <c r="F184" t="s">
        <v>3249</v>
      </c>
      <c r="G184" t="s">
        <v>3226</v>
      </c>
      <c r="H184" t="s">
        <v>44</v>
      </c>
      <c r="I184" t="s">
        <v>1528</v>
      </c>
      <c r="J184" t="s">
        <v>68</v>
      </c>
      <c r="K184" t="s">
        <v>69</v>
      </c>
      <c r="L184" t="s">
        <v>981</v>
      </c>
      <c r="M184" t="s">
        <v>1185</v>
      </c>
      <c r="N184" t="s">
        <v>51</v>
      </c>
      <c r="O184" t="s">
        <v>72</v>
      </c>
      <c r="P184" s="133">
        <v>227300</v>
      </c>
      <c r="Q184" s="135">
        <v>3.165</v>
      </c>
      <c r="R184" s="139">
        <v>1287</v>
      </c>
      <c r="T184" s="133">
        <v>9258.7360000000008</v>
      </c>
      <c r="U184" s="137">
        <v>1.05E-4</v>
      </c>
      <c r="V184" s="137">
        <v>2.43199196458194E-2</v>
      </c>
      <c r="W184" s="137">
        <v>4.7246904685992698E-3</v>
      </c>
    </row>
    <row r="185" spans="1:23">
      <c r="A185">
        <v>161</v>
      </c>
      <c r="B185">
        <v>9943</v>
      </c>
      <c r="C185" t="s">
        <v>3178</v>
      </c>
      <c r="D185" t="s">
        <v>3179</v>
      </c>
      <c r="E185" t="s">
        <v>64</v>
      </c>
      <c r="F185" t="s">
        <v>3180</v>
      </c>
      <c r="G185" t="s">
        <v>3181</v>
      </c>
      <c r="H185" t="s">
        <v>44</v>
      </c>
      <c r="I185" t="s">
        <v>1528</v>
      </c>
      <c r="J185" t="s">
        <v>68</v>
      </c>
      <c r="K185" t="s">
        <v>351</v>
      </c>
      <c r="L185" t="s">
        <v>969</v>
      </c>
      <c r="M185" t="s">
        <v>1316</v>
      </c>
      <c r="N185" t="s">
        <v>51</v>
      </c>
      <c r="O185" t="s">
        <v>395</v>
      </c>
      <c r="P185" s="133">
        <v>42406</v>
      </c>
      <c r="Q185" s="135">
        <v>3.6360000000000001</v>
      </c>
      <c r="R185" s="139">
        <v>5700</v>
      </c>
      <c r="T185" s="133">
        <v>8788.7279999999992</v>
      </c>
      <c r="U185" s="137">
        <v>2.99E-4</v>
      </c>
      <c r="V185" s="137">
        <v>2.3085350775638599E-2</v>
      </c>
      <c r="W185" s="137">
        <v>4.4848477446626702E-3</v>
      </c>
    </row>
    <row r="186" spans="1:23">
      <c r="A186">
        <v>161</v>
      </c>
      <c r="B186">
        <v>9943</v>
      </c>
      <c r="C186" t="s">
        <v>3178</v>
      </c>
      <c r="D186" t="s">
        <v>3179</v>
      </c>
      <c r="E186" t="s">
        <v>64</v>
      </c>
      <c r="F186" t="s">
        <v>3182</v>
      </c>
      <c r="G186" t="s">
        <v>3183</v>
      </c>
      <c r="H186" t="s">
        <v>44</v>
      </c>
      <c r="I186" t="s">
        <v>1528</v>
      </c>
      <c r="J186" t="s">
        <v>68</v>
      </c>
      <c r="K186" t="s">
        <v>69</v>
      </c>
      <c r="L186" t="s">
        <v>947</v>
      </c>
      <c r="M186" t="s">
        <v>1182</v>
      </c>
      <c r="N186" t="s">
        <v>51</v>
      </c>
      <c r="O186" t="s">
        <v>72</v>
      </c>
      <c r="P186" s="133">
        <v>178320</v>
      </c>
      <c r="Q186" s="135">
        <v>3.165</v>
      </c>
      <c r="R186" s="139">
        <v>724.2</v>
      </c>
      <c r="T186" s="133">
        <v>4087.26</v>
      </c>
      <c r="U186" s="137">
        <v>0</v>
      </c>
      <c r="V186" s="137">
        <v>1.0736005591102901E-2</v>
      </c>
      <c r="W186" s="137">
        <v>2.08571015142444E-3</v>
      </c>
    </row>
    <row r="187" spans="1:23">
      <c r="A187">
        <v>161</v>
      </c>
      <c r="B187">
        <v>9943</v>
      </c>
      <c r="C187" t="s">
        <v>3178</v>
      </c>
      <c r="D187" t="s">
        <v>3179</v>
      </c>
      <c r="E187" t="s">
        <v>64</v>
      </c>
      <c r="F187" t="s">
        <v>3284</v>
      </c>
      <c r="G187" t="s">
        <v>3285</v>
      </c>
      <c r="H187" t="s">
        <v>44</v>
      </c>
      <c r="I187" t="s">
        <v>1530</v>
      </c>
      <c r="J187" t="s">
        <v>68</v>
      </c>
      <c r="K187" t="s">
        <v>69</v>
      </c>
      <c r="L187" t="s">
        <v>981</v>
      </c>
      <c r="M187" t="s">
        <v>1259</v>
      </c>
      <c r="N187" t="s">
        <v>51</v>
      </c>
      <c r="O187" t="s">
        <v>72</v>
      </c>
      <c r="P187" s="133">
        <v>116300</v>
      </c>
      <c r="Q187" s="135">
        <v>3.165</v>
      </c>
      <c r="R187" s="139">
        <v>632.29999999999995</v>
      </c>
      <c r="T187" s="133">
        <v>2327.4299999999998</v>
      </c>
      <c r="U187" s="137">
        <v>0</v>
      </c>
      <c r="V187" s="137">
        <v>6.1134596424005302E-3</v>
      </c>
      <c r="W187" s="137">
        <v>1.1876768066370401E-3</v>
      </c>
    </row>
    <row r="188" spans="1:23">
      <c r="A188">
        <v>161</v>
      </c>
      <c r="B188">
        <v>9943</v>
      </c>
      <c r="C188" t="s">
        <v>3178</v>
      </c>
      <c r="D188" t="s">
        <v>3179</v>
      </c>
      <c r="E188" t="s">
        <v>64</v>
      </c>
      <c r="F188" t="s">
        <v>3186</v>
      </c>
      <c r="G188" t="s">
        <v>3187</v>
      </c>
      <c r="H188" t="s">
        <v>44</v>
      </c>
      <c r="I188" t="s">
        <v>1528</v>
      </c>
      <c r="J188" t="s">
        <v>68</v>
      </c>
      <c r="K188" t="s">
        <v>69</v>
      </c>
      <c r="L188" t="s">
        <v>947</v>
      </c>
      <c r="M188" t="s">
        <v>1283</v>
      </c>
      <c r="N188" t="s">
        <v>51</v>
      </c>
      <c r="O188" t="s">
        <v>72</v>
      </c>
      <c r="P188" s="133">
        <v>9000</v>
      </c>
      <c r="Q188" s="135">
        <v>3.165</v>
      </c>
      <c r="R188" s="139">
        <v>8005</v>
      </c>
      <c r="T188" s="133">
        <v>2280.2240000000002</v>
      </c>
      <c r="U188" s="137">
        <v>5.8799999999999998E-4</v>
      </c>
      <c r="V188" s="137">
        <v>5.9894645493243697E-3</v>
      </c>
      <c r="W188" s="137">
        <v>1.1635879756317601E-3</v>
      </c>
    </row>
    <row r="189" spans="1:23">
      <c r="A189">
        <v>161</v>
      </c>
      <c r="B189">
        <v>9943</v>
      </c>
      <c r="C189" t="s">
        <v>3178</v>
      </c>
      <c r="D189" t="s">
        <v>3179</v>
      </c>
      <c r="E189" t="s">
        <v>64</v>
      </c>
      <c r="F189" t="s">
        <v>3188</v>
      </c>
      <c r="G189" t="s">
        <v>3189</v>
      </c>
      <c r="H189" t="s">
        <v>44</v>
      </c>
      <c r="I189" t="s">
        <v>1528</v>
      </c>
      <c r="J189" t="s">
        <v>68</v>
      </c>
      <c r="K189" t="s">
        <v>69</v>
      </c>
      <c r="L189" t="s">
        <v>947</v>
      </c>
      <c r="M189" t="s">
        <v>1283</v>
      </c>
      <c r="N189" t="s">
        <v>51</v>
      </c>
      <c r="O189" t="s">
        <v>72</v>
      </c>
      <c r="P189" s="133">
        <v>5860</v>
      </c>
      <c r="Q189" s="135">
        <v>3.165</v>
      </c>
      <c r="R189" s="139">
        <v>16418</v>
      </c>
      <c r="T189" s="133">
        <v>3045.03</v>
      </c>
      <c r="U189" s="137">
        <v>1.274E-3</v>
      </c>
      <c r="V189" s="137">
        <v>7.9983797594410707E-3</v>
      </c>
      <c r="W189" s="137">
        <v>1.5538648632074999E-3</v>
      </c>
    </row>
    <row r="190" spans="1:23">
      <c r="A190">
        <v>161</v>
      </c>
      <c r="B190">
        <v>9943</v>
      </c>
      <c r="C190" t="s">
        <v>3190</v>
      </c>
      <c r="D190" t="s">
        <v>3191</v>
      </c>
      <c r="E190" t="s">
        <v>64</v>
      </c>
      <c r="F190" t="s">
        <v>3192</v>
      </c>
      <c r="G190" t="s">
        <v>3193</v>
      </c>
      <c r="H190" t="s">
        <v>44</v>
      </c>
      <c r="I190" t="s">
        <v>1528</v>
      </c>
      <c r="J190" t="s">
        <v>68</v>
      </c>
      <c r="K190" t="s">
        <v>889</v>
      </c>
      <c r="L190" t="s">
        <v>947</v>
      </c>
      <c r="M190" t="s">
        <v>1169</v>
      </c>
      <c r="N190" t="s">
        <v>51</v>
      </c>
      <c r="O190" t="s">
        <v>72</v>
      </c>
      <c r="P190" s="133">
        <v>20560</v>
      </c>
      <c r="Q190" s="135">
        <v>3.165</v>
      </c>
      <c r="R190" s="139">
        <v>2843</v>
      </c>
      <c r="T190" s="133">
        <v>1850.008</v>
      </c>
      <c r="U190" s="137">
        <v>8.2999999999999998E-5</v>
      </c>
      <c r="V190" s="137">
        <v>4.8594164896144402E-3</v>
      </c>
      <c r="W190" s="137">
        <v>9.44050766030477E-4</v>
      </c>
    </row>
    <row r="191" spans="1:23">
      <c r="A191">
        <v>161</v>
      </c>
      <c r="B191">
        <v>9943</v>
      </c>
      <c r="C191" t="s">
        <v>3194</v>
      </c>
      <c r="D191" t="s">
        <v>3195</v>
      </c>
      <c r="E191" t="s">
        <v>64</v>
      </c>
      <c r="F191" t="s">
        <v>3196</v>
      </c>
      <c r="G191" t="s">
        <v>3197</v>
      </c>
      <c r="H191" t="s">
        <v>44</v>
      </c>
      <c r="I191" t="s">
        <v>1528</v>
      </c>
      <c r="J191" t="s">
        <v>68</v>
      </c>
      <c r="K191" t="s">
        <v>264</v>
      </c>
      <c r="L191" t="s">
        <v>215</v>
      </c>
      <c r="M191" t="s">
        <v>1316</v>
      </c>
      <c r="N191" t="s">
        <v>51</v>
      </c>
      <c r="O191" t="s">
        <v>395</v>
      </c>
      <c r="P191" s="133">
        <v>5300</v>
      </c>
      <c r="Q191" s="135">
        <v>3.6360000000000001</v>
      </c>
      <c r="R191" s="139">
        <v>29271.9</v>
      </c>
      <c r="T191" s="133">
        <v>5640.9290000000001</v>
      </c>
      <c r="U191" s="137">
        <v>8.8000000000000003E-4</v>
      </c>
      <c r="V191" s="137">
        <v>1.4817027798358201E-2</v>
      </c>
      <c r="W191" s="137">
        <v>2.8785403501079099E-3</v>
      </c>
    </row>
    <row r="192" spans="1:23">
      <c r="A192">
        <v>161</v>
      </c>
      <c r="B192">
        <v>9943</v>
      </c>
      <c r="C192" t="s">
        <v>3170</v>
      </c>
      <c r="D192" t="s">
        <v>3171</v>
      </c>
      <c r="E192" t="s">
        <v>64</v>
      </c>
      <c r="F192" t="s">
        <v>3326</v>
      </c>
      <c r="G192" t="s">
        <v>3327</v>
      </c>
      <c r="H192" t="s">
        <v>44</v>
      </c>
      <c r="I192" t="s">
        <v>1530</v>
      </c>
      <c r="J192" t="s">
        <v>68</v>
      </c>
      <c r="K192" t="s">
        <v>69</v>
      </c>
      <c r="L192" t="s">
        <v>81</v>
      </c>
      <c r="M192" t="s">
        <v>1259</v>
      </c>
      <c r="N192" t="s">
        <v>51</v>
      </c>
      <c r="O192" t="s">
        <v>72</v>
      </c>
      <c r="P192" s="133">
        <v>33490</v>
      </c>
      <c r="Q192" s="135">
        <v>3.165</v>
      </c>
      <c r="R192" s="139">
        <v>1147.9000000000001</v>
      </c>
      <c r="T192" s="133">
        <v>1216.7260000000001</v>
      </c>
      <c r="U192" s="137">
        <v>2.055E-3</v>
      </c>
      <c r="V192" s="137">
        <v>3.1959748749825099E-3</v>
      </c>
      <c r="W192" s="137">
        <v>6.20889881612264E-4</v>
      </c>
    </row>
    <row r="193" spans="1:23">
      <c r="A193">
        <v>161</v>
      </c>
      <c r="B193">
        <v>9943</v>
      </c>
      <c r="C193" t="s">
        <v>3198</v>
      </c>
      <c r="D193" t="s">
        <v>3171</v>
      </c>
      <c r="E193" t="s">
        <v>64</v>
      </c>
      <c r="F193" t="s">
        <v>3199</v>
      </c>
      <c r="G193" t="s">
        <v>3200</v>
      </c>
      <c r="H193" t="s">
        <v>44</v>
      </c>
      <c r="I193" t="s">
        <v>1528</v>
      </c>
      <c r="J193" t="s">
        <v>68</v>
      </c>
      <c r="K193" t="s">
        <v>917</v>
      </c>
      <c r="L193" t="s">
        <v>215</v>
      </c>
      <c r="M193" t="s">
        <v>1316</v>
      </c>
      <c r="N193" t="s">
        <v>51</v>
      </c>
      <c r="O193" t="s">
        <v>72</v>
      </c>
      <c r="P193" s="133">
        <v>15000</v>
      </c>
      <c r="Q193" s="135">
        <v>3.165</v>
      </c>
      <c r="R193" s="139">
        <v>8602</v>
      </c>
      <c r="T193" s="133">
        <v>4083.8</v>
      </c>
      <c r="U193" s="137">
        <v>0</v>
      </c>
      <c r="V193" s="137">
        <v>1.07269152723898E-2</v>
      </c>
      <c r="W193" s="137">
        <v>2.0839441529011899E-3</v>
      </c>
    </row>
    <row r="194" spans="1:23">
      <c r="A194">
        <v>161</v>
      </c>
      <c r="B194">
        <v>9943</v>
      </c>
      <c r="C194" t="s">
        <v>3170</v>
      </c>
      <c r="D194" t="s">
        <v>3171</v>
      </c>
      <c r="E194" t="s">
        <v>64</v>
      </c>
      <c r="F194" t="s">
        <v>3201</v>
      </c>
      <c r="G194" t="s">
        <v>3202</v>
      </c>
      <c r="H194" t="s">
        <v>44</v>
      </c>
      <c r="I194" t="s">
        <v>1528</v>
      </c>
      <c r="J194" t="s">
        <v>68</v>
      </c>
      <c r="K194" t="s">
        <v>69</v>
      </c>
      <c r="L194" t="s">
        <v>947</v>
      </c>
      <c r="M194" t="s">
        <v>1185</v>
      </c>
      <c r="N194" t="s">
        <v>51</v>
      </c>
      <c r="O194" t="s">
        <v>72</v>
      </c>
      <c r="P194" s="133">
        <v>40082</v>
      </c>
      <c r="Q194" s="135">
        <v>3.165</v>
      </c>
      <c r="R194" s="139">
        <v>7654</v>
      </c>
      <c r="T194" s="133">
        <v>9709.8279999999995</v>
      </c>
      <c r="U194" s="137">
        <v>1.3300000000000001E-4</v>
      </c>
      <c r="V194" s="137">
        <v>2.55048042484185E-2</v>
      </c>
      <c r="W194" s="137">
        <v>4.9548809079518301E-3</v>
      </c>
    </row>
    <row r="195" spans="1:23">
      <c r="A195">
        <v>161</v>
      </c>
      <c r="B195">
        <v>9943</v>
      </c>
      <c r="C195" t="s">
        <v>3170</v>
      </c>
      <c r="D195" t="s">
        <v>3171</v>
      </c>
      <c r="E195" t="s">
        <v>64</v>
      </c>
      <c r="F195" t="s">
        <v>3252</v>
      </c>
      <c r="G195" t="s">
        <v>3253</v>
      </c>
      <c r="H195" t="s">
        <v>44</v>
      </c>
      <c r="I195" t="s">
        <v>1528</v>
      </c>
      <c r="J195" t="s">
        <v>68</v>
      </c>
      <c r="K195" t="s">
        <v>69</v>
      </c>
      <c r="L195" t="s">
        <v>981</v>
      </c>
      <c r="M195" t="s">
        <v>1185</v>
      </c>
      <c r="N195" t="s">
        <v>51</v>
      </c>
      <c r="O195" t="s">
        <v>72</v>
      </c>
      <c r="P195" s="133">
        <v>359740</v>
      </c>
      <c r="Q195" s="135">
        <v>3.165</v>
      </c>
      <c r="R195" s="139">
        <v>1586.8</v>
      </c>
      <c r="T195" s="133">
        <v>18066.940999999999</v>
      </c>
      <c r="U195" s="137">
        <v>0</v>
      </c>
      <c r="V195" s="137">
        <v>4.7456431167496198E-2</v>
      </c>
      <c r="W195" s="137">
        <v>9.2194773369388798E-3</v>
      </c>
    </row>
    <row r="196" spans="1:23">
      <c r="A196">
        <v>161</v>
      </c>
      <c r="B196">
        <v>9943</v>
      </c>
      <c r="C196" t="s">
        <v>3170</v>
      </c>
      <c r="D196" t="s">
        <v>3171</v>
      </c>
      <c r="E196" t="s">
        <v>64</v>
      </c>
      <c r="F196" t="s">
        <v>3328</v>
      </c>
      <c r="G196" t="s">
        <v>3329</v>
      </c>
      <c r="H196" t="s">
        <v>44</v>
      </c>
      <c r="I196" t="s">
        <v>1530</v>
      </c>
      <c r="J196" t="s">
        <v>68</v>
      </c>
      <c r="K196" t="s">
        <v>69</v>
      </c>
      <c r="L196" t="s">
        <v>981</v>
      </c>
      <c r="M196" t="s">
        <v>1259</v>
      </c>
      <c r="N196" t="s">
        <v>51</v>
      </c>
      <c r="O196" t="s">
        <v>72</v>
      </c>
      <c r="P196" s="133">
        <v>31520</v>
      </c>
      <c r="Q196" s="135">
        <v>3.165</v>
      </c>
      <c r="R196" s="139">
        <v>3017.75</v>
      </c>
      <c r="T196" s="133">
        <v>3010.5320000000002</v>
      </c>
      <c r="U196" s="137">
        <v>1.27E-4</v>
      </c>
      <c r="V196" s="137">
        <v>7.9077625568765193E-3</v>
      </c>
      <c r="W196" s="137">
        <v>1.53626043689841E-3</v>
      </c>
    </row>
    <row r="197" spans="1:23">
      <c r="A197">
        <v>161</v>
      </c>
      <c r="B197">
        <v>9943</v>
      </c>
      <c r="C197" t="s">
        <v>3170</v>
      </c>
      <c r="D197" t="s">
        <v>3171</v>
      </c>
      <c r="E197" t="s">
        <v>64</v>
      </c>
      <c r="F197" t="s">
        <v>3330</v>
      </c>
      <c r="G197" t="s">
        <v>3331</v>
      </c>
      <c r="H197" t="s">
        <v>44</v>
      </c>
      <c r="I197" t="s">
        <v>1528</v>
      </c>
      <c r="J197" t="s">
        <v>68</v>
      </c>
      <c r="K197" t="s">
        <v>69</v>
      </c>
      <c r="L197" t="s">
        <v>981</v>
      </c>
      <c r="M197" t="s">
        <v>1283</v>
      </c>
      <c r="N197" t="s">
        <v>51</v>
      </c>
      <c r="O197" t="s">
        <v>72</v>
      </c>
      <c r="P197" s="133">
        <v>27930</v>
      </c>
      <c r="Q197" s="135">
        <v>3.165</v>
      </c>
      <c r="R197" s="139">
        <v>5043.5</v>
      </c>
      <c r="T197" s="133">
        <v>4458.3760000000002</v>
      </c>
      <c r="U197" s="137">
        <v>0</v>
      </c>
      <c r="V197" s="137">
        <v>1.1710814827047999E-2</v>
      </c>
      <c r="W197" s="137">
        <v>2.27508873379012E-3</v>
      </c>
    </row>
    <row r="198" spans="1:23">
      <c r="A198">
        <v>161</v>
      </c>
      <c r="B198">
        <v>9943</v>
      </c>
      <c r="C198" t="s">
        <v>3170</v>
      </c>
      <c r="D198" t="s">
        <v>3171</v>
      </c>
      <c r="E198" t="s">
        <v>64</v>
      </c>
      <c r="F198" t="s">
        <v>3254</v>
      </c>
      <c r="G198" t="s">
        <v>3255</v>
      </c>
      <c r="H198" t="s">
        <v>44</v>
      </c>
      <c r="I198" t="s">
        <v>1528</v>
      </c>
      <c r="J198" t="s">
        <v>68</v>
      </c>
      <c r="K198" t="s">
        <v>69</v>
      </c>
      <c r="L198" t="s">
        <v>215</v>
      </c>
      <c r="M198" t="s">
        <v>1316</v>
      </c>
      <c r="N198" t="s">
        <v>51</v>
      </c>
      <c r="O198" t="s">
        <v>72</v>
      </c>
      <c r="P198" s="133">
        <v>29400</v>
      </c>
      <c r="Q198" s="135">
        <v>3.165</v>
      </c>
      <c r="R198" s="139">
        <v>4504.25</v>
      </c>
      <c r="T198" s="133">
        <v>4191.25</v>
      </c>
      <c r="U198" s="137">
        <v>0</v>
      </c>
      <c r="V198" s="137">
        <v>1.1009154604359099E-2</v>
      </c>
      <c r="W198" s="137">
        <v>2.1387754805140798E-3</v>
      </c>
    </row>
    <row r="199" spans="1:23">
      <c r="A199">
        <v>161</v>
      </c>
      <c r="B199">
        <v>9943</v>
      </c>
      <c r="C199" t="s">
        <v>3170</v>
      </c>
      <c r="D199" t="s">
        <v>3171</v>
      </c>
      <c r="E199" t="s">
        <v>64</v>
      </c>
      <c r="F199" t="s">
        <v>3292</v>
      </c>
      <c r="G199" t="s">
        <v>3293</v>
      </c>
      <c r="H199" t="s">
        <v>44</v>
      </c>
      <c r="I199" t="s">
        <v>1528</v>
      </c>
      <c r="J199" t="s">
        <v>68</v>
      </c>
      <c r="K199" t="s">
        <v>69</v>
      </c>
      <c r="L199" t="s">
        <v>981</v>
      </c>
      <c r="M199" t="s">
        <v>1192</v>
      </c>
      <c r="N199" t="s">
        <v>51</v>
      </c>
      <c r="O199" t="s">
        <v>72</v>
      </c>
      <c r="P199" s="133">
        <v>8066</v>
      </c>
      <c r="Q199" s="135">
        <v>3.165</v>
      </c>
      <c r="R199" s="139">
        <v>13582</v>
      </c>
      <c r="T199" s="133">
        <v>3467.3339999999998</v>
      </c>
      <c r="U199" s="137">
        <v>0</v>
      </c>
      <c r="V199" s="137">
        <v>9.1076450547155005E-3</v>
      </c>
      <c r="W199" s="137">
        <v>1.76936455416277E-3</v>
      </c>
    </row>
    <row r="200" spans="1:23">
      <c r="A200">
        <v>161</v>
      </c>
      <c r="B200">
        <v>9943</v>
      </c>
      <c r="C200" t="s">
        <v>3205</v>
      </c>
      <c r="D200" t="s">
        <v>3206</v>
      </c>
      <c r="E200" t="s">
        <v>64</v>
      </c>
      <c r="F200" t="s">
        <v>3290</v>
      </c>
      <c r="G200" t="s">
        <v>3291</v>
      </c>
      <c r="H200" t="s">
        <v>44</v>
      </c>
      <c r="I200" t="s">
        <v>1530</v>
      </c>
      <c r="J200" t="s">
        <v>68</v>
      </c>
      <c r="K200" t="s">
        <v>69</v>
      </c>
      <c r="L200" t="s">
        <v>981</v>
      </c>
      <c r="M200" t="s">
        <v>1259</v>
      </c>
      <c r="N200" t="s">
        <v>51</v>
      </c>
      <c r="O200" t="s">
        <v>72</v>
      </c>
      <c r="P200" s="133">
        <v>38600</v>
      </c>
      <c r="Q200" s="135">
        <v>3.165</v>
      </c>
      <c r="R200" s="139">
        <v>6069.6</v>
      </c>
      <c r="T200" s="133">
        <v>7415.17</v>
      </c>
      <c r="U200" s="137">
        <v>0</v>
      </c>
      <c r="V200" s="137">
        <v>1.94774244639206E-2</v>
      </c>
      <c r="W200" s="137">
        <v>3.7839270465421502E-3</v>
      </c>
    </row>
    <row r="201" spans="1:23">
      <c r="A201">
        <v>161</v>
      </c>
      <c r="B201">
        <v>9943</v>
      </c>
      <c r="C201" t="s">
        <v>3205</v>
      </c>
      <c r="D201" t="s">
        <v>3206</v>
      </c>
      <c r="E201" t="s">
        <v>64</v>
      </c>
      <c r="F201" t="s">
        <v>3260</v>
      </c>
      <c r="G201" t="s">
        <v>3261</v>
      </c>
      <c r="H201" t="s">
        <v>44</v>
      </c>
      <c r="I201" t="s">
        <v>1528</v>
      </c>
      <c r="J201" t="s">
        <v>68</v>
      </c>
      <c r="K201" t="s">
        <v>915</v>
      </c>
      <c r="L201" t="s">
        <v>981</v>
      </c>
      <c r="M201" t="s">
        <v>1177</v>
      </c>
      <c r="N201" t="s">
        <v>51</v>
      </c>
      <c r="O201" t="s">
        <v>72</v>
      </c>
      <c r="P201" s="133">
        <v>8550</v>
      </c>
      <c r="Q201" s="135">
        <v>3.165</v>
      </c>
      <c r="R201" s="139">
        <v>7779</v>
      </c>
      <c r="T201" s="133">
        <v>2105.056</v>
      </c>
      <c r="U201" s="137">
        <v>0</v>
      </c>
      <c r="V201" s="137">
        <v>5.5293494681742097E-3</v>
      </c>
      <c r="W201" s="137">
        <v>1.0742002897335999E-3</v>
      </c>
    </row>
    <row r="202" spans="1:23">
      <c r="A202">
        <v>161</v>
      </c>
      <c r="B202">
        <v>9943</v>
      </c>
      <c r="C202" t="s">
        <v>3205</v>
      </c>
      <c r="D202" t="s">
        <v>3206</v>
      </c>
      <c r="E202" t="s">
        <v>64</v>
      </c>
      <c r="F202" t="s">
        <v>3332</v>
      </c>
      <c r="G202" t="s">
        <v>3261</v>
      </c>
      <c r="H202" t="s">
        <v>44</v>
      </c>
      <c r="I202" t="s">
        <v>1528</v>
      </c>
      <c r="J202" t="s">
        <v>68</v>
      </c>
      <c r="K202" t="s">
        <v>351</v>
      </c>
      <c r="L202" t="s">
        <v>947</v>
      </c>
      <c r="M202" t="s">
        <v>1177</v>
      </c>
      <c r="N202" t="s">
        <v>51</v>
      </c>
      <c r="O202" t="s">
        <v>395</v>
      </c>
      <c r="P202" s="133">
        <v>5850</v>
      </c>
      <c r="Q202" s="135">
        <v>3.6360000000000001</v>
      </c>
      <c r="R202" s="139">
        <v>6744</v>
      </c>
      <c r="T202" s="133">
        <v>1434.489</v>
      </c>
      <c r="U202" s="137">
        <v>0</v>
      </c>
      <c r="V202" s="137">
        <v>3.7679726426531998E-3</v>
      </c>
      <c r="W202" s="137">
        <v>7.3201329157132405E-4</v>
      </c>
    </row>
    <row r="203" spans="1:23">
      <c r="A203">
        <v>161</v>
      </c>
      <c r="B203">
        <v>9943</v>
      </c>
      <c r="C203" t="s">
        <v>3209</v>
      </c>
      <c r="D203" t="s">
        <v>3210</v>
      </c>
      <c r="E203" t="s">
        <v>64</v>
      </c>
      <c r="F203" t="s">
        <v>3211</v>
      </c>
      <c r="G203" t="s">
        <v>3212</v>
      </c>
      <c r="H203" t="s">
        <v>44</v>
      </c>
      <c r="I203" t="s">
        <v>1528</v>
      </c>
      <c r="J203" t="s">
        <v>68</v>
      </c>
      <c r="K203" t="s">
        <v>873</v>
      </c>
      <c r="L203" t="s">
        <v>947</v>
      </c>
      <c r="M203" t="s">
        <v>1180</v>
      </c>
      <c r="N203" t="s">
        <v>51</v>
      </c>
      <c r="O203" t="s">
        <v>72</v>
      </c>
      <c r="P203" s="133">
        <v>17800</v>
      </c>
      <c r="Q203" s="135">
        <v>3.165</v>
      </c>
      <c r="R203" s="139">
        <v>15858</v>
      </c>
      <c r="T203" s="133">
        <v>8933.9210000000003</v>
      </c>
      <c r="U203" s="137">
        <v>5.6400000000000005E-4</v>
      </c>
      <c r="V203" s="137">
        <v>2.3466729586407199E-2</v>
      </c>
      <c r="W203" s="137">
        <v>4.5589391421017198E-3</v>
      </c>
    </row>
    <row r="204" spans="1:23">
      <c r="A204">
        <v>161</v>
      </c>
      <c r="B204">
        <v>9943</v>
      </c>
      <c r="C204" t="s">
        <v>3170</v>
      </c>
      <c r="D204" t="s">
        <v>3171</v>
      </c>
      <c r="E204" t="s">
        <v>64</v>
      </c>
      <c r="F204" t="s">
        <v>3333</v>
      </c>
      <c r="G204" t="s">
        <v>3334</v>
      </c>
      <c r="H204" t="s">
        <v>44</v>
      </c>
      <c r="I204" t="s">
        <v>1528</v>
      </c>
      <c r="J204" t="s">
        <v>68</v>
      </c>
      <c r="K204" t="s">
        <v>69</v>
      </c>
      <c r="L204" t="s">
        <v>947</v>
      </c>
      <c r="M204" t="s">
        <v>1167</v>
      </c>
      <c r="N204" t="s">
        <v>51</v>
      </c>
      <c r="O204" t="s">
        <v>72</v>
      </c>
      <c r="P204" s="133">
        <v>20000</v>
      </c>
      <c r="Q204" s="135">
        <v>3.165</v>
      </c>
      <c r="R204" s="139">
        <v>4937</v>
      </c>
      <c r="T204" s="133">
        <v>3125.1210000000001</v>
      </c>
      <c r="U204" s="137">
        <v>2.1999999999999999E-5</v>
      </c>
      <c r="V204" s="137">
        <v>8.2087546616737908E-3</v>
      </c>
      <c r="W204" s="137">
        <v>1.5947349117063001E-3</v>
      </c>
    </row>
    <row r="205" spans="1:23">
      <c r="A205">
        <v>161</v>
      </c>
      <c r="B205">
        <v>9943</v>
      </c>
      <c r="C205" t="s">
        <v>3223</v>
      </c>
      <c r="D205" t="s">
        <v>3224</v>
      </c>
      <c r="E205" t="s">
        <v>64</v>
      </c>
      <c r="F205" t="s">
        <v>3247</v>
      </c>
      <c r="G205" t="s">
        <v>3248</v>
      </c>
      <c r="H205" t="s">
        <v>44</v>
      </c>
      <c r="I205" t="s">
        <v>1528</v>
      </c>
      <c r="J205" t="s">
        <v>68</v>
      </c>
      <c r="K205" t="s">
        <v>69</v>
      </c>
      <c r="L205" t="s">
        <v>949</v>
      </c>
      <c r="M205" t="s">
        <v>1178</v>
      </c>
      <c r="N205" t="s">
        <v>51</v>
      </c>
      <c r="O205" t="s">
        <v>72</v>
      </c>
      <c r="P205" s="133">
        <v>5573</v>
      </c>
      <c r="Q205" s="135">
        <v>3.165</v>
      </c>
      <c r="R205" s="139">
        <v>57718</v>
      </c>
      <c r="T205" s="133">
        <v>10180.615</v>
      </c>
      <c r="U205" s="137">
        <v>1.0000000000000001E-5</v>
      </c>
      <c r="V205" s="137">
        <v>2.6741420299855601E-2</v>
      </c>
      <c r="W205" s="137">
        <v>5.1951213428146998E-3</v>
      </c>
    </row>
    <row r="206" spans="1:23">
      <c r="A206">
        <v>161</v>
      </c>
      <c r="B206">
        <v>9943</v>
      </c>
      <c r="C206" t="s">
        <v>3178</v>
      </c>
      <c r="D206" t="s">
        <v>3179</v>
      </c>
      <c r="E206" t="s">
        <v>64</v>
      </c>
      <c r="F206" t="s">
        <v>3335</v>
      </c>
      <c r="G206" t="s">
        <v>3336</v>
      </c>
      <c r="H206" t="s">
        <v>44</v>
      </c>
      <c r="I206" t="s">
        <v>1528</v>
      </c>
      <c r="J206" t="s">
        <v>68</v>
      </c>
      <c r="K206" t="s">
        <v>69</v>
      </c>
      <c r="L206" t="s">
        <v>949</v>
      </c>
      <c r="M206" t="s">
        <v>1283</v>
      </c>
      <c r="N206" t="s">
        <v>51</v>
      </c>
      <c r="O206" t="s">
        <v>72</v>
      </c>
      <c r="P206" s="133">
        <v>5120</v>
      </c>
      <c r="Q206" s="135">
        <v>3.165</v>
      </c>
      <c r="R206" s="139">
        <v>32866</v>
      </c>
      <c r="T206" s="133">
        <v>5325.87</v>
      </c>
      <c r="U206" s="137">
        <v>2.9500000000000001E-4</v>
      </c>
      <c r="V206" s="137">
        <v>1.39894604541029E-2</v>
      </c>
      <c r="W206" s="137">
        <v>2.7177668113598599E-3</v>
      </c>
    </row>
    <row r="207" spans="1:23">
      <c r="A207">
        <v>161</v>
      </c>
      <c r="B207">
        <v>9943</v>
      </c>
      <c r="C207" t="s">
        <v>3337</v>
      </c>
      <c r="D207" t="s">
        <v>3338</v>
      </c>
      <c r="E207" t="s">
        <v>64</v>
      </c>
      <c r="F207" t="s">
        <v>3339</v>
      </c>
      <c r="G207" t="s">
        <v>3340</v>
      </c>
      <c r="H207" t="s">
        <v>44</v>
      </c>
      <c r="I207" t="s">
        <v>1528</v>
      </c>
      <c r="J207" t="s">
        <v>68</v>
      </c>
      <c r="K207" t="s">
        <v>351</v>
      </c>
      <c r="L207" t="s">
        <v>81</v>
      </c>
      <c r="M207" t="s">
        <v>1316</v>
      </c>
      <c r="N207" t="s">
        <v>51</v>
      </c>
      <c r="O207" t="s">
        <v>72</v>
      </c>
      <c r="P207" s="133">
        <v>15000</v>
      </c>
      <c r="Q207" s="135">
        <v>3.165</v>
      </c>
      <c r="R207" s="139">
        <v>4009</v>
      </c>
      <c r="T207" s="133">
        <v>1903.2729999999999</v>
      </c>
      <c r="U207" s="137">
        <v>0</v>
      </c>
      <c r="V207" s="137">
        <v>4.9993261249721898E-3</v>
      </c>
      <c r="W207" s="137">
        <v>9.7123135421772397E-4</v>
      </c>
    </row>
    <row r="208" spans="1:23">
      <c r="A208">
        <v>161</v>
      </c>
      <c r="B208">
        <v>9943</v>
      </c>
      <c r="C208" t="s">
        <v>3170</v>
      </c>
      <c r="D208" t="s">
        <v>3171</v>
      </c>
      <c r="E208" t="s">
        <v>64</v>
      </c>
      <c r="F208" t="s">
        <v>3341</v>
      </c>
      <c r="G208" t="s">
        <v>3342</v>
      </c>
      <c r="H208" t="s">
        <v>44</v>
      </c>
      <c r="I208" t="s">
        <v>1530</v>
      </c>
      <c r="J208" t="s">
        <v>68</v>
      </c>
      <c r="K208" t="s">
        <v>69</v>
      </c>
      <c r="L208" t="s">
        <v>981</v>
      </c>
      <c r="M208" t="s">
        <v>1259</v>
      </c>
      <c r="N208" t="s">
        <v>51</v>
      </c>
      <c r="O208" t="s">
        <v>72</v>
      </c>
      <c r="P208" s="133">
        <v>21700</v>
      </c>
      <c r="Q208" s="135">
        <v>3.165</v>
      </c>
      <c r="R208" s="139">
        <v>4954</v>
      </c>
      <c r="T208" s="133">
        <v>3402.4319999999998</v>
      </c>
      <c r="U208" s="137">
        <v>0</v>
      </c>
      <c r="V208" s="137">
        <v>8.9371673272060394E-3</v>
      </c>
      <c r="W208" s="137">
        <v>1.7362454277017199E-3</v>
      </c>
    </row>
    <row r="209" spans="1:23">
      <c r="A209">
        <v>161</v>
      </c>
      <c r="B209">
        <v>9943</v>
      </c>
      <c r="C209" t="s">
        <v>3170</v>
      </c>
      <c r="D209" t="s">
        <v>3171</v>
      </c>
      <c r="E209" t="s">
        <v>64</v>
      </c>
      <c r="F209" t="s">
        <v>3343</v>
      </c>
      <c r="G209" t="s">
        <v>3344</v>
      </c>
      <c r="H209" t="s">
        <v>44</v>
      </c>
      <c r="I209" t="s">
        <v>1528</v>
      </c>
      <c r="J209" t="s">
        <v>68</v>
      </c>
      <c r="K209" t="s">
        <v>69</v>
      </c>
      <c r="L209" t="s">
        <v>947</v>
      </c>
      <c r="M209" t="s">
        <v>1185</v>
      </c>
      <c r="N209" t="s">
        <v>51</v>
      </c>
      <c r="O209" t="s">
        <v>72</v>
      </c>
      <c r="P209" s="133">
        <v>21225</v>
      </c>
      <c r="Q209" s="135">
        <v>3.165</v>
      </c>
      <c r="R209" s="139">
        <v>65034</v>
      </c>
      <c r="S209" s="133">
        <v>26.699000000000002</v>
      </c>
      <c r="T209" s="133">
        <v>43772.474000000002</v>
      </c>
      <c r="U209" s="137">
        <v>2.0000000000000002E-5</v>
      </c>
      <c r="V209" s="137">
        <v>0.114977146997399</v>
      </c>
      <c r="W209" s="137">
        <v>2.2336892491284701E-2</v>
      </c>
    </row>
    <row r="210" spans="1:23">
      <c r="A210">
        <v>161</v>
      </c>
      <c r="B210">
        <v>9943</v>
      </c>
      <c r="C210" t="s">
        <v>3205</v>
      </c>
      <c r="D210" t="s">
        <v>3206</v>
      </c>
      <c r="E210" t="s">
        <v>64</v>
      </c>
      <c r="F210" t="s">
        <v>3207</v>
      </c>
      <c r="G210" t="s">
        <v>3208</v>
      </c>
      <c r="H210" t="s">
        <v>44</v>
      </c>
      <c r="I210" t="s">
        <v>1528</v>
      </c>
      <c r="J210" t="s">
        <v>68</v>
      </c>
      <c r="K210" t="s">
        <v>69</v>
      </c>
      <c r="L210" t="s">
        <v>947</v>
      </c>
      <c r="M210" t="s">
        <v>1185</v>
      </c>
      <c r="N210" t="s">
        <v>51</v>
      </c>
      <c r="O210" t="s">
        <v>72</v>
      </c>
      <c r="P210" s="133">
        <v>2657</v>
      </c>
      <c r="Q210" s="135">
        <v>3.165</v>
      </c>
      <c r="R210" s="139">
        <v>59755</v>
      </c>
      <c r="S210" s="133">
        <v>4.9749999999999996</v>
      </c>
      <c r="T210" s="133">
        <v>5040.7860000000001</v>
      </c>
      <c r="U210" s="137">
        <v>3.0000000000000001E-6</v>
      </c>
      <c r="V210" s="137">
        <v>1.32406308183474E-2</v>
      </c>
      <c r="W210" s="137">
        <v>2.5722898404576399E-3</v>
      </c>
    </row>
    <row r="211" spans="1:23">
      <c r="A211">
        <v>161</v>
      </c>
      <c r="B211">
        <v>12468</v>
      </c>
      <c r="C211" t="s">
        <v>3128</v>
      </c>
      <c r="D211" t="s">
        <v>3129</v>
      </c>
      <c r="E211" t="s">
        <v>41</v>
      </c>
      <c r="F211" t="s">
        <v>3130</v>
      </c>
      <c r="G211" t="s">
        <v>3131</v>
      </c>
      <c r="H211" t="s">
        <v>44</v>
      </c>
      <c r="I211" t="s">
        <v>1526</v>
      </c>
      <c r="J211" t="s">
        <v>45</v>
      </c>
      <c r="K211" t="s">
        <v>45</v>
      </c>
      <c r="L211" t="s">
        <v>47</v>
      </c>
      <c r="M211" t="s">
        <v>1153</v>
      </c>
      <c r="N211" t="s">
        <v>51</v>
      </c>
      <c r="O211" t="s">
        <v>52</v>
      </c>
      <c r="P211" s="133">
        <v>23567</v>
      </c>
      <c r="Q211" s="135">
        <v>1</v>
      </c>
      <c r="R211" s="139">
        <v>6157</v>
      </c>
      <c r="T211" s="133">
        <v>1451.02</v>
      </c>
      <c r="U211" s="137">
        <v>2.24E-4</v>
      </c>
      <c r="V211" s="137">
        <v>9.1809026318642198E-2</v>
      </c>
      <c r="W211" s="137">
        <v>4.4946707420621103E-2</v>
      </c>
    </row>
    <row r="212" spans="1:23">
      <c r="A212">
        <v>161</v>
      </c>
      <c r="B212">
        <v>12468</v>
      </c>
      <c r="C212" t="s">
        <v>3128</v>
      </c>
      <c r="D212" t="s">
        <v>3129</v>
      </c>
      <c r="E212" t="s">
        <v>41</v>
      </c>
      <c r="F212" t="s">
        <v>3134</v>
      </c>
      <c r="G212" t="s">
        <v>3135</v>
      </c>
      <c r="H212" t="s">
        <v>44</v>
      </c>
      <c r="I212" t="s">
        <v>1528</v>
      </c>
      <c r="J212" t="s">
        <v>45</v>
      </c>
      <c r="K212" t="s">
        <v>69</v>
      </c>
      <c r="L212" t="s">
        <v>47</v>
      </c>
      <c r="M212" t="s">
        <v>1186</v>
      </c>
      <c r="N212" t="s">
        <v>51</v>
      </c>
      <c r="O212" t="s">
        <v>52</v>
      </c>
      <c r="P212" s="133">
        <v>2207</v>
      </c>
      <c r="Q212" s="135">
        <v>1</v>
      </c>
      <c r="R212" s="139">
        <v>8146</v>
      </c>
      <c r="T212" s="133">
        <v>179.78200000000001</v>
      </c>
      <c r="U212" s="137">
        <v>9.1000000000000003E-5</v>
      </c>
      <c r="V212" s="137">
        <v>1.1375190146461E-2</v>
      </c>
      <c r="W212" s="137">
        <v>5.5689224019479303E-3</v>
      </c>
    </row>
    <row r="213" spans="1:23">
      <c r="A213">
        <v>161</v>
      </c>
      <c r="B213">
        <v>12468</v>
      </c>
      <c r="C213" t="s">
        <v>3136</v>
      </c>
      <c r="D213" t="s">
        <v>3137</v>
      </c>
      <c r="E213" t="s">
        <v>41</v>
      </c>
      <c r="F213" t="s">
        <v>3229</v>
      </c>
      <c r="G213" t="s">
        <v>3230</v>
      </c>
      <c r="H213" t="s">
        <v>44</v>
      </c>
      <c r="I213" t="s">
        <v>1528</v>
      </c>
      <c r="J213" t="s">
        <v>45</v>
      </c>
      <c r="K213" t="s">
        <v>69</v>
      </c>
      <c r="L213" t="s">
        <v>47</v>
      </c>
      <c r="M213" t="s">
        <v>1186</v>
      </c>
      <c r="N213" t="s">
        <v>51</v>
      </c>
      <c r="O213" t="s">
        <v>52</v>
      </c>
      <c r="P213" s="133">
        <v>110</v>
      </c>
      <c r="Q213" s="135">
        <v>1</v>
      </c>
      <c r="R213" s="139">
        <v>6160</v>
      </c>
      <c r="T213" s="133">
        <v>6.7759999999999998</v>
      </c>
      <c r="U213" s="137">
        <v>9.9999999999999995E-7</v>
      </c>
      <c r="V213" s="137">
        <v>4.2873143090801501E-4</v>
      </c>
      <c r="W213" s="137">
        <v>2.0989293710801401E-4</v>
      </c>
    </row>
    <row r="214" spans="1:23">
      <c r="A214">
        <v>161</v>
      </c>
      <c r="B214">
        <v>12468</v>
      </c>
      <c r="C214" t="s">
        <v>3136</v>
      </c>
      <c r="D214" t="s">
        <v>3137</v>
      </c>
      <c r="E214" t="s">
        <v>41</v>
      </c>
      <c r="F214" t="s">
        <v>3264</v>
      </c>
      <c r="G214" t="s">
        <v>3265</v>
      </c>
      <c r="H214" t="s">
        <v>44</v>
      </c>
      <c r="I214" t="s">
        <v>1528</v>
      </c>
      <c r="J214" t="s">
        <v>45</v>
      </c>
      <c r="K214" t="s">
        <v>69</v>
      </c>
      <c r="L214" t="s">
        <v>47</v>
      </c>
      <c r="M214" t="s">
        <v>1185</v>
      </c>
      <c r="N214" t="s">
        <v>51</v>
      </c>
      <c r="O214" t="s">
        <v>52</v>
      </c>
      <c r="P214" s="133">
        <v>16400</v>
      </c>
      <c r="Q214" s="135">
        <v>1</v>
      </c>
      <c r="R214" s="139">
        <v>2387</v>
      </c>
      <c r="T214" s="133">
        <v>391.46800000000002</v>
      </c>
      <c r="U214" s="137">
        <v>4.3000000000000002E-5</v>
      </c>
      <c r="V214" s="137">
        <v>2.4768984031094898E-2</v>
      </c>
      <c r="W214" s="137">
        <v>1.2126087412013001E-2</v>
      </c>
    </row>
    <row r="215" spans="1:23">
      <c r="A215">
        <v>161</v>
      </c>
      <c r="B215">
        <v>12468</v>
      </c>
      <c r="C215" t="s">
        <v>3136</v>
      </c>
      <c r="D215" t="s">
        <v>3137</v>
      </c>
      <c r="E215" t="s">
        <v>41</v>
      </c>
      <c r="F215" t="s">
        <v>3138</v>
      </c>
      <c r="G215" t="s">
        <v>3139</v>
      </c>
      <c r="H215" t="s">
        <v>44</v>
      </c>
      <c r="I215" t="s">
        <v>1526</v>
      </c>
      <c r="J215" t="s">
        <v>45</v>
      </c>
      <c r="K215" t="s">
        <v>45</v>
      </c>
      <c r="L215" t="s">
        <v>47</v>
      </c>
      <c r="M215" t="s">
        <v>1158</v>
      </c>
      <c r="N215" t="s">
        <v>51</v>
      </c>
      <c r="O215" t="s">
        <v>52</v>
      </c>
      <c r="P215" s="133">
        <v>18000</v>
      </c>
      <c r="Q215" s="135">
        <v>1</v>
      </c>
      <c r="R215" s="139">
        <v>3438</v>
      </c>
      <c r="T215" s="133">
        <v>618.84</v>
      </c>
      <c r="U215" s="137">
        <v>7.2000000000000002E-5</v>
      </c>
      <c r="V215" s="137">
        <v>3.91552772584291E-2</v>
      </c>
      <c r="W215" s="137">
        <v>1.9169147756777399E-2</v>
      </c>
    </row>
    <row r="216" spans="1:23">
      <c r="A216">
        <v>161</v>
      </c>
      <c r="B216">
        <v>12468</v>
      </c>
      <c r="C216" t="s">
        <v>3136</v>
      </c>
      <c r="D216" t="s">
        <v>3137</v>
      </c>
      <c r="E216" t="s">
        <v>41</v>
      </c>
      <c r="F216" t="s">
        <v>3345</v>
      </c>
      <c r="G216" t="s">
        <v>3346</v>
      </c>
      <c r="H216" t="s">
        <v>44</v>
      </c>
      <c r="I216" t="s">
        <v>1526</v>
      </c>
      <c r="J216" t="s">
        <v>45</v>
      </c>
      <c r="K216" t="s">
        <v>45</v>
      </c>
      <c r="L216" t="s">
        <v>47</v>
      </c>
      <c r="M216" t="s">
        <v>1278</v>
      </c>
      <c r="N216" t="s">
        <v>51</v>
      </c>
      <c r="O216" t="s">
        <v>52</v>
      </c>
      <c r="P216" s="133">
        <v>3900</v>
      </c>
      <c r="Q216" s="135">
        <v>1</v>
      </c>
      <c r="R216" s="139">
        <v>7230</v>
      </c>
      <c r="T216" s="133">
        <v>281.97000000000003</v>
      </c>
      <c r="U216" s="137">
        <v>5.1999999999999997E-5</v>
      </c>
      <c r="V216" s="137">
        <v>1.78408207752557E-2</v>
      </c>
      <c r="W216" s="137">
        <v>8.7342844563675897E-3</v>
      </c>
    </row>
    <row r="217" spans="1:23">
      <c r="A217">
        <v>161</v>
      </c>
      <c r="B217">
        <v>12468</v>
      </c>
      <c r="C217" t="s">
        <v>3136</v>
      </c>
      <c r="D217" t="s">
        <v>3137</v>
      </c>
      <c r="E217" t="s">
        <v>41</v>
      </c>
      <c r="F217" t="s">
        <v>3144</v>
      </c>
      <c r="G217" t="s">
        <v>3145</v>
      </c>
      <c r="H217" t="s">
        <v>44</v>
      </c>
      <c r="I217" t="s">
        <v>1526</v>
      </c>
      <c r="J217" t="s">
        <v>45</v>
      </c>
      <c r="K217" t="s">
        <v>45</v>
      </c>
      <c r="L217" t="s">
        <v>47</v>
      </c>
      <c r="M217" t="s">
        <v>1155</v>
      </c>
      <c r="N217" t="s">
        <v>51</v>
      </c>
      <c r="O217" t="s">
        <v>52</v>
      </c>
      <c r="P217" s="133">
        <v>4000</v>
      </c>
      <c r="Q217" s="135">
        <v>1</v>
      </c>
      <c r="R217" s="139">
        <v>4021</v>
      </c>
      <c r="T217" s="133">
        <v>160.84</v>
      </c>
      <c r="U217" s="137">
        <v>4.6999999999999997E-5</v>
      </c>
      <c r="V217" s="137">
        <v>1.0176676999298299E-2</v>
      </c>
      <c r="W217" s="137">
        <v>4.9821694221447799E-3</v>
      </c>
    </row>
    <row r="218" spans="1:23">
      <c r="A218">
        <v>161</v>
      </c>
      <c r="B218">
        <v>12468</v>
      </c>
      <c r="C218" t="s">
        <v>3136</v>
      </c>
      <c r="D218" t="s">
        <v>3137</v>
      </c>
      <c r="E218" t="s">
        <v>41</v>
      </c>
      <c r="F218" t="s">
        <v>3146</v>
      </c>
      <c r="G218" t="s">
        <v>3147</v>
      </c>
      <c r="H218" t="s">
        <v>44</v>
      </c>
      <c r="I218" t="s">
        <v>1526</v>
      </c>
      <c r="J218" t="s">
        <v>45</v>
      </c>
      <c r="K218" t="s">
        <v>45</v>
      </c>
      <c r="L218" t="s">
        <v>47</v>
      </c>
      <c r="M218" t="s">
        <v>1153</v>
      </c>
      <c r="N218" t="s">
        <v>51</v>
      </c>
      <c r="O218" t="s">
        <v>52</v>
      </c>
      <c r="P218" s="133">
        <v>16600</v>
      </c>
      <c r="Q218" s="135">
        <v>1</v>
      </c>
      <c r="R218" s="139">
        <v>3922</v>
      </c>
      <c r="T218" s="133">
        <v>651.05200000000002</v>
      </c>
      <c r="U218" s="137">
        <v>8.0000000000000007E-5</v>
      </c>
      <c r="V218" s="137">
        <v>4.11933966286194E-2</v>
      </c>
      <c r="W218" s="137">
        <v>2.0166944582356398E-2</v>
      </c>
    </row>
    <row r="219" spans="1:23">
      <c r="A219">
        <v>161</v>
      </c>
      <c r="B219">
        <v>12468</v>
      </c>
      <c r="C219" t="s">
        <v>3231</v>
      </c>
      <c r="D219" t="s">
        <v>3232</v>
      </c>
      <c r="E219" t="s">
        <v>41</v>
      </c>
      <c r="F219" t="s">
        <v>3233</v>
      </c>
      <c r="G219" t="s">
        <v>3234</v>
      </c>
      <c r="H219" t="s">
        <v>44</v>
      </c>
      <c r="I219" t="s">
        <v>1528</v>
      </c>
      <c r="J219" t="s">
        <v>45</v>
      </c>
      <c r="K219" t="s">
        <v>69</v>
      </c>
      <c r="L219" t="s">
        <v>47</v>
      </c>
      <c r="M219" t="s">
        <v>1185</v>
      </c>
      <c r="N219" t="s">
        <v>51</v>
      </c>
      <c r="O219" t="s">
        <v>52</v>
      </c>
      <c r="P219" s="133">
        <v>14305</v>
      </c>
      <c r="Q219" s="135">
        <v>1</v>
      </c>
      <c r="R219" s="139">
        <v>6399</v>
      </c>
      <c r="T219" s="133">
        <v>915.37699999999995</v>
      </c>
      <c r="U219" s="137">
        <v>0</v>
      </c>
      <c r="V219" s="137">
        <v>5.7917778865660297E-2</v>
      </c>
      <c r="W219" s="137">
        <v>2.8354657112821102E-2</v>
      </c>
    </row>
    <row r="220" spans="1:23">
      <c r="A220">
        <v>161</v>
      </c>
      <c r="B220">
        <v>12468</v>
      </c>
      <c r="C220" t="s">
        <v>3148</v>
      </c>
      <c r="D220" t="s">
        <v>3149</v>
      </c>
      <c r="E220" t="s">
        <v>41</v>
      </c>
      <c r="F220" t="s">
        <v>3150</v>
      </c>
      <c r="G220" t="s">
        <v>3151</v>
      </c>
      <c r="H220" t="s">
        <v>44</v>
      </c>
      <c r="I220" t="s">
        <v>1526</v>
      </c>
      <c r="J220" t="s">
        <v>45</v>
      </c>
      <c r="K220" t="s">
        <v>45</v>
      </c>
      <c r="L220" t="s">
        <v>47</v>
      </c>
      <c r="M220" t="s">
        <v>1153</v>
      </c>
      <c r="N220" t="s">
        <v>51</v>
      </c>
      <c r="O220" t="s">
        <v>52</v>
      </c>
      <c r="P220" s="133">
        <v>13620</v>
      </c>
      <c r="Q220" s="135">
        <v>1</v>
      </c>
      <c r="R220" s="139">
        <v>10810</v>
      </c>
      <c r="T220" s="133">
        <v>1472.3219999999999</v>
      </c>
      <c r="U220" s="137">
        <v>7.36E-4</v>
      </c>
      <c r="V220" s="137">
        <v>9.3156835569266599E-2</v>
      </c>
      <c r="W220" s="137">
        <v>4.5606550907430002E-2</v>
      </c>
    </row>
    <row r="221" spans="1:23">
      <c r="A221">
        <v>161</v>
      </c>
      <c r="B221">
        <v>12468</v>
      </c>
      <c r="C221" t="s">
        <v>3148</v>
      </c>
      <c r="D221" t="s">
        <v>3149</v>
      </c>
      <c r="E221" t="s">
        <v>41</v>
      </c>
      <c r="F221" t="s">
        <v>3154</v>
      </c>
      <c r="G221" t="s">
        <v>3155</v>
      </c>
      <c r="H221" t="s">
        <v>44</v>
      </c>
      <c r="I221" t="s">
        <v>1528</v>
      </c>
      <c r="J221" t="s">
        <v>45</v>
      </c>
      <c r="K221" t="s">
        <v>69</v>
      </c>
      <c r="L221" t="s">
        <v>47</v>
      </c>
      <c r="M221" t="s">
        <v>1186</v>
      </c>
      <c r="N221" t="s">
        <v>51</v>
      </c>
      <c r="O221" t="s">
        <v>52</v>
      </c>
      <c r="P221" s="133">
        <v>3627</v>
      </c>
      <c r="Q221" s="135">
        <v>1</v>
      </c>
      <c r="R221" s="139">
        <v>10000</v>
      </c>
      <c r="T221" s="133">
        <v>362.7</v>
      </c>
      <c r="U221" s="137">
        <v>2.6899999999999998E-4</v>
      </c>
      <c r="V221" s="137">
        <v>2.2948773611324799E-2</v>
      </c>
      <c r="W221" s="137">
        <v>1.12349717073608E-2</v>
      </c>
    </row>
    <row r="222" spans="1:23">
      <c r="A222">
        <v>161</v>
      </c>
      <c r="B222">
        <v>12468</v>
      </c>
      <c r="C222" t="s">
        <v>3158</v>
      </c>
      <c r="D222" t="s">
        <v>3159</v>
      </c>
      <c r="E222" t="s">
        <v>41</v>
      </c>
      <c r="F222" t="s">
        <v>3270</v>
      </c>
      <c r="G222" t="s">
        <v>3271</v>
      </c>
      <c r="H222" t="s">
        <v>44</v>
      </c>
      <c r="I222" t="s">
        <v>1528</v>
      </c>
      <c r="J222" t="s">
        <v>45</v>
      </c>
      <c r="K222" t="s">
        <v>69</v>
      </c>
      <c r="L222" t="s">
        <v>47</v>
      </c>
      <c r="M222" t="s">
        <v>1185</v>
      </c>
      <c r="N222" t="s">
        <v>51</v>
      </c>
      <c r="O222" t="s">
        <v>52</v>
      </c>
      <c r="P222" s="133">
        <v>300</v>
      </c>
      <c r="Q222" s="135">
        <v>1</v>
      </c>
      <c r="R222" s="139">
        <v>22480</v>
      </c>
      <c r="T222" s="133">
        <v>67.44</v>
      </c>
      <c r="U222" s="137">
        <v>1.0000000000000001E-5</v>
      </c>
      <c r="V222" s="137">
        <v>4.2670672521305398E-3</v>
      </c>
      <c r="W222" s="137">
        <v>2.0890170718070398E-3</v>
      </c>
    </row>
    <row r="223" spans="1:23">
      <c r="A223">
        <v>161</v>
      </c>
      <c r="B223">
        <v>12468</v>
      </c>
      <c r="C223" t="s">
        <v>3158</v>
      </c>
      <c r="D223" t="s">
        <v>3159</v>
      </c>
      <c r="E223" t="s">
        <v>41</v>
      </c>
      <c r="F223" t="s">
        <v>3237</v>
      </c>
      <c r="G223" t="s">
        <v>3238</v>
      </c>
      <c r="H223" t="s">
        <v>44</v>
      </c>
      <c r="I223" t="s">
        <v>1526</v>
      </c>
      <c r="J223" t="s">
        <v>45</v>
      </c>
      <c r="K223" t="s">
        <v>45</v>
      </c>
      <c r="L223" t="s">
        <v>47</v>
      </c>
      <c r="M223" t="s">
        <v>1153</v>
      </c>
      <c r="N223" t="s">
        <v>51</v>
      </c>
      <c r="O223" t="s">
        <v>52</v>
      </c>
      <c r="P223" s="133">
        <v>2770</v>
      </c>
      <c r="Q223" s="135">
        <v>1</v>
      </c>
      <c r="R223" s="139">
        <v>39230</v>
      </c>
      <c r="T223" s="133">
        <v>1086.671</v>
      </c>
      <c r="U223" s="137">
        <v>7.7999999999999999E-5</v>
      </c>
      <c r="V223" s="137">
        <v>6.8755905070283799E-2</v>
      </c>
      <c r="W223" s="137">
        <v>3.3660650510640898E-2</v>
      </c>
    </row>
    <row r="224" spans="1:23">
      <c r="A224">
        <v>161</v>
      </c>
      <c r="B224">
        <v>12468</v>
      </c>
      <c r="C224" t="s">
        <v>3158</v>
      </c>
      <c r="D224" t="s">
        <v>3159</v>
      </c>
      <c r="E224" t="s">
        <v>41</v>
      </c>
      <c r="F224" t="s">
        <v>3276</v>
      </c>
      <c r="G224" t="s">
        <v>3277</v>
      </c>
      <c r="H224" t="s">
        <v>44</v>
      </c>
      <c r="I224" t="s">
        <v>1526</v>
      </c>
      <c r="J224" t="s">
        <v>45</v>
      </c>
      <c r="K224" t="s">
        <v>45</v>
      </c>
      <c r="L224" t="s">
        <v>47</v>
      </c>
      <c r="M224" t="s">
        <v>1158</v>
      </c>
      <c r="N224" t="s">
        <v>51</v>
      </c>
      <c r="O224" t="s">
        <v>52</v>
      </c>
      <c r="P224" s="133">
        <v>1707</v>
      </c>
      <c r="Q224" s="135">
        <v>1</v>
      </c>
      <c r="R224" s="139">
        <v>33030</v>
      </c>
      <c r="T224" s="133">
        <v>563.822</v>
      </c>
      <c r="U224" s="137">
        <v>5.5999999999999999E-5</v>
      </c>
      <c r="V224" s="137">
        <v>3.56741817754666E-2</v>
      </c>
      <c r="W224" s="137">
        <v>1.7464916849971701E-2</v>
      </c>
    </row>
    <row r="225" spans="1:23">
      <c r="A225">
        <v>161</v>
      </c>
      <c r="B225">
        <v>12468</v>
      </c>
      <c r="C225" t="s">
        <v>3164</v>
      </c>
      <c r="D225" t="s">
        <v>3165</v>
      </c>
      <c r="E225" t="s">
        <v>41</v>
      </c>
      <c r="F225" t="s">
        <v>3239</v>
      </c>
      <c r="G225" t="s">
        <v>3240</v>
      </c>
      <c r="H225" t="s">
        <v>44</v>
      </c>
      <c r="I225" t="s">
        <v>1528</v>
      </c>
      <c r="J225" t="s">
        <v>45</v>
      </c>
      <c r="K225" t="s">
        <v>69</v>
      </c>
      <c r="L225" t="s">
        <v>47</v>
      </c>
      <c r="M225" t="s">
        <v>1186</v>
      </c>
      <c r="N225" t="s">
        <v>51</v>
      </c>
      <c r="O225" t="s">
        <v>52</v>
      </c>
      <c r="P225" s="133">
        <v>13000</v>
      </c>
      <c r="Q225" s="135">
        <v>1</v>
      </c>
      <c r="R225" s="139">
        <v>5579</v>
      </c>
      <c r="T225" s="133">
        <v>725.27</v>
      </c>
      <c r="U225" s="137">
        <v>1.01E-4</v>
      </c>
      <c r="V225" s="137">
        <v>4.5889321855763797E-2</v>
      </c>
      <c r="W225" s="137">
        <v>2.2465916543141898E-2</v>
      </c>
    </row>
    <row r="226" spans="1:23">
      <c r="A226">
        <v>161</v>
      </c>
      <c r="B226">
        <v>12468</v>
      </c>
      <c r="C226" t="s">
        <v>3164</v>
      </c>
      <c r="D226" t="s">
        <v>3165</v>
      </c>
      <c r="E226" t="s">
        <v>41</v>
      </c>
      <c r="F226" t="s">
        <v>3241</v>
      </c>
      <c r="G226" t="s">
        <v>3242</v>
      </c>
      <c r="H226" t="s">
        <v>44</v>
      </c>
      <c r="I226" t="s">
        <v>1526</v>
      </c>
      <c r="J226" t="s">
        <v>45</v>
      </c>
      <c r="K226" t="s">
        <v>45</v>
      </c>
      <c r="L226" t="s">
        <v>47</v>
      </c>
      <c r="M226" t="s">
        <v>1158</v>
      </c>
      <c r="N226" t="s">
        <v>51</v>
      </c>
      <c r="O226" t="s">
        <v>52</v>
      </c>
      <c r="P226" s="133">
        <v>18870</v>
      </c>
      <c r="Q226" s="135">
        <v>1</v>
      </c>
      <c r="R226" s="139">
        <v>3413</v>
      </c>
      <c r="T226" s="133">
        <v>644.03300000000002</v>
      </c>
      <c r="U226" s="137">
        <v>4.6E-5</v>
      </c>
      <c r="V226" s="137">
        <v>4.0749296416045501E-2</v>
      </c>
      <c r="W226" s="137">
        <v>1.9949527590581401E-2</v>
      </c>
    </row>
    <row r="227" spans="1:23">
      <c r="A227">
        <v>161</v>
      </c>
      <c r="B227">
        <v>12468</v>
      </c>
      <c r="C227" t="s">
        <v>3164</v>
      </c>
      <c r="D227" t="s">
        <v>3165</v>
      </c>
      <c r="E227" t="s">
        <v>41</v>
      </c>
      <c r="F227" t="s">
        <v>3243</v>
      </c>
      <c r="G227" t="s">
        <v>3244</v>
      </c>
      <c r="H227" t="s">
        <v>44</v>
      </c>
      <c r="I227" t="s">
        <v>1526</v>
      </c>
      <c r="J227" t="s">
        <v>45</v>
      </c>
      <c r="K227" t="s">
        <v>45</v>
      </c>
      <c r="L227" t="s">
        <v>47</v>
      </c>
      <c r="M227" t="s">
        <v>1155</v>
      </c>
      <c r="N227" t="s">
        <v>51</v>
      </c>
      <c r="O227" t="s">
        <v>52</v>
      </c>
      <c r="P227" s="133">
        <v>3210</v>
      </c>
      <c r="Q227" s="135">
        <v>1</v>
      </c>
      <c r="R227" s="139">
        <v>4013</v>
      </c>
      <c r="T227" s="133">
        <v>128.81700000000001</v>
      </c>
      <c r="U227" s="137">
        <v>1.2999999999999999E-5</v>
      </c>
      <c r="V227" s="137">
        <v>8.1505350287347997E-3</v>
      </c>
      <c r="W227" s="137">
        <v>3.9902363411045199E-3</v>
      </c>
    </row>
    <row r="228" spans="1:23">
      <c r="A228">
        <v>161</v>
      </c>
      <c r="B228">
        <v>12468</v>
      </c>
      <c r="C228" t="s">
        <v>3278</v>
      </c>
      <c r="D228" t="s">
        <v>3279</v>
      </c>
      <c r="E228" t="s">
        <v>64</v>
      </c>
      <c r="F228" t="s">
        <v>3280</v>
      </c>
      <c r="G228" t="s">
        <v>3281</v>
      </c>
      <c r="H228" t="s">
        <v>44</v>
      </c>
      <c r="I228" t="s">
        <v>1528</v>
      </c>
      <c r="J228" t="s">
        <v>68</v>
      </c>
      <c r="K228" t="s">
        <v>69</v>
      </c>
      <c r="L228" t="s">
        <v>969</v>
      </c>
      <c r="M228" t="s">
        <v>1316</v>
      </c>
      <c r="N228" t="s">
        <v>51</v>
      </c>
      <c r="O228" t="s">
        <v>395</v>
      </c>
      <c r="P228" s="133">
        <v>430</v>
      </c>
      <c r="Q228" s="135">
        <v>3.6360000000000001</v>
      </c>
      <c r="R228" s="139">
        <v>20695</v>
      </c>
      <c r="T228" s="133">
        <v>323.56200000000001</v>
      </c>
      <c r="U228" s="137">
        <v>0</v>
      </c>
      <c r="V228" s="137">
        <v>2.0472443770883302E-2</v>
      </c>
      <c r="W228" s="137">
        <v>1.0022641315913501E-2</v>
      </c>
    </row>
    <row r="229" spans="1:23">
      <c r="A229">
        <v>161</v>
      </c>
      <c r="B229">
        <v>12468</v>
      </c>
      <c r="C229" t="s">
        <v>3174</v>
      </c>
      <c r="D229" t="s">
        <v>3175</v>
      </c>
      <c r="E229" t="s">
        <v>64</v>
      </c>
      <c r="F229" t="s">
        <v>3176</v>
      </c>
      <c r="G229" t="s">
        <v>3177</v>
      </c>
      <c r="H229" t="s">
        <v>44</v>
      </c>
      <c r="I229" t="s">
        <v>1528</v>
      </c>
      <c r="J229" t="s">
        <v>68</v>
      </c>
      <c r="K229" t="s">
        <v>264</v>
      </c>
      <c r="L229" t="s">
        <v>949</v>
      </c>
      <c r="M229" t="s">
        <v>1283</v>
      </c>
      <c r="N229" t="s">
        <v>51</v>
      </c>
      <c r="O229" t="s">
        <v>72</v>
      </c>
      <c r="P229" s="133">
        <v>430</v>
      </c>
      <c r="Q229" s="135">
        <v>3.165</v>
      </c>
      <c r="R229" s="139">
        <v>16358</v>
      </c>
      <c r="S229" s="133">
        <v>4.2999999999999997E-2</v>
      </c>
      <c r="T229" s="133">
        <v>222.761</v>
      </c>
      <c r="U229" s="137">
        <v>3.8999999999999999E-5</v>
      </c>
      <c r="V229" s="137">
        <v>1.4094535291103801E-2</v>
      </c>
      <c r="W229" s="137">
        <v>6.9002251669695201E-3</v>
      </c>
    </row>
    <row r="230" spans="1:23">
      <c r="A230">
        <v>161</v>
      </c>
      <c r="B230">
        <v>12468</v>
      </c>
      <c r="C230" t="s">
        <v>3223</v>
      </c>
      <c r="D230" t="s">
        <v>3224</v>
      </c>
      <c r="E230" t="s">
        <v>64</v>
      </c>
      <c r="F230" t="s">
        <v>3249</v>
      </c>
      <c r="G230" t="s">
        <v>3226</v>
      </c>
      <c r="H230" t="s">
        <v>44</v>
      </c>
      <c r="I230" t="s">
        <v>1528</v>
      </c>
      <c r="J230" t="s">
        <v>68</v>
      </c>
      <c r="K230" t="s">
        <v>69</v>
      </c>
      <c r="L230" t="s">
        <v>981</v>
      </c>
      <c r="M230" t="s">
        <v>1185</v>
      </c>
      <c r="N230" t="s">
        <v>51</v>
      </c>
      <c r="O230" t="s">
        <v>72</v>
      </c>
      <c r="P230" s="133">
        <v>23880</v>
      </c>
      <c r="Q230" s="135">
        <v>3.165</v>
      </c>
      <c r="R230" s="139">
        <v>1287</v>
      </c>
      <c r="T230" s="133">
        <v>972.71699999999998</v>
      </c>
      <c r="U230" s="137">
        <v>1.1E-5</v>
      </c>
      <c r="V230" s="137">
        <v>6.1545812555758597E-2</v>
      </c>
      <c r="W230" s="137">
        <v>3.01308241774302E-2</v>
      </c>
    </row>
    <row r="231" spans="1:23">
      <c r="A231">
        <v>161</v>
      </c>
      <c r="B231">
        <v>12468</v>
      </c>
      <c r="C231" t="s">
        <v>3178</v>
      </c>
      <c r="D231" t="s">
        <v>3179</v>
      </c>
      <c r="E231" t="s">
        <v>64</v>
      </c>
      <c r="F231" t="s">
        <v>3180</v>
      </c>
      <c r="G231" t="s">
        <v>3181</v>
      </c>
      <c r="H231" t="s">
        <v>44</v>
      </c>
      <c r="I231" t="s">
        <v>1528</v>
      </c>
      <c r="J231" t="s">
        <v>68</v>
      </c>
      <c r="K231" t="s">
        <v>351</v>
      </c>
      <c r="L231" t="s">
        <v>969</v>
      </c>
      <c r="M231" t="s">
        <v>1316</v>
      </c>
      <c r="N231" t="s">
        <v>51</v>
      </c>
      <c r="O231" t="s">
        <v>395</v>
      </c>
      <c r="P231" s="133">
        <v>60</v>
      </c>
      <c r="Q231" s="135">
        <v>3.6360000000000001</v>
      </c>
      <c r="R231" s="139">
        <v>5700</v>
      </c>
      <c r="T231" s="133">
        <v>12.435</v>
      </c>
      <c r="U231" s="137">
        <v>0</v>
      </c>
      <c r="V231" s="137">
        <v>7.8679557129764999E-4</v>
      </c>
      <c r="W231" s="137">
        <v>3.8518947167807098E-4</v>
      </c>
    </row>
    <row r="232" spans="1:23">
      <c r="A232">
        <v>161</v>
      </c>
      <c r="B232">
        <v>12468</v>
      </c>
      <c r="C232" t="s">
        <v>3178</v>
      </c>
      <c r="D232" t="s">
        <v>3179</v>
      </c>
      <c r="E232" t="s">
        <v>64</v>
      </c>
      <c r="F232" t="s">
        <v>3186</v>
      </c>
      <c r="G232" t="s">
        <v>3187</v>
      </c>
      <c r="H232" t="s">
        <v>44</v>
      </c>
      <c r="I232" t="s">
        <v>1528</v>
      </c>
      <c r="J232" t="s">
        <v>68</v>
      </c>
      <c r="K232" t="s">
        <v>69</v>
      </c>
      <c r="L232" t="s">
        <v>947</v>
      </c>
      <c r="M232" t="s">
        <v>1283</v>
      </c>
      <c r="N232" t="s">
        <v>51</v>
      </c>
      <c r="O232" t="s">
        <v>72</v>
      </c>
      <c r="P232" s="133">
        <v>330</v>
      </c>
      <c r="Q232" s="135">
        <v>3.165</v>
      </c>
      <c r="R232" s="139">
        <v>8005</v>
      </c>
      <c r="T232" s="133">
        <v>83.608000000000004</v>
      </c>
      <c r="U232" s="137">
        <v>2.1999999999999999E-5</v>
      </c>
      <c r="V232" s="137">
        <v>5.2900638825414204E-3</v>
      </c>
      <c r="W232" s="137">
        <v>2.5898428847262898E-3</v>
      </c>
    </row>
    <row r="233" spans="1:23">
      <c r="A233">
        <v>161</v>
      </c>
      <c r="B233">
        <v>12468</v>
      </c>
      <c r="C233" t="s">
        <v>3178</v>
      </c>
      <c r="D233" t="s">
        <v>3179</v>
      </c>
      <c r="E233" t="s">
        <v>64</v>
      </c>
      <c r="F233" t="s">
        <v>3286</v>
      </c>
      <c r="G233" t="s">
        <v>3287</v>
      </c>
      <c r="H233" t="s">
        <v>44</v>
      </c>
      <c r="I233" t="s">
        <v>1528</v>
      </c>
      <c r="J233" t="s">
        <v>68</v>
      </c>
      <c r="K233" t="s">
        <v>69</v>
      </c>
      <c r="L233" t="s">
        <v>981</v>
      </c>
      <c r="M233" t="s">
        <v>1178</v>
      </c>
      <c r="N233" t="s">
        <v>51</v>
      </c>
      <c r="O233" t="s">
        <v>72</v>
      </c>
      <c r="P233" s="133">
        <v>28</v>
      </c>
      <c r="Q233" s="135">
        <v>3.165</v>
      </c>
      <c r="R233" s="139">
        <v>133900</v>
      </c>
      <c r="T233" s="133">
        <v>118.66200000000001</v>
      </c>
      <c r="U233" s="137">
        <v>3.0000000000000001E-6</v>
      </c>
      <c r="V233" s="137">
        <v>7.5079997382031301E-3</v>
      </c>
      <c r="W233" s="137">
        <v>3.6756720017473198E-3</v>
      </c>
    </row>
    <row r="234" spans="1:23">
      <c r="A234">
        <v>161</v>
      </c>
      <c r="B234">
        <v>12468</v>
      </c>
      <c r="C234" t="s">
        <v>3178</v>
      </c>
      <c r="D234" t="s">
        <v>3179</v>
      </c>
      <c r="E234" t="s">
        <v>64</v>
      </c>
      <c r="F234" t="s">
        <v>3188</v>
      </c>
      <c r="G234" t="s">
        <v>3189</v>
      </c>
      <c r="H234" t="s">
        <v>44</v>
      </c>
      <c r="I234" t="s">
        <v>1528</v>
      </c>
      <c r="J234" t="s">
        <v>68</v>
      </c>
      <c r="K234" t="s">
        <v>69</v>
      </c>
      <c r="L234" t="s">
        <v>947</v>
      </c>
      <c r="M234" t="s">
        <v>1283</v>
      </c>
      <c r="N234" t="s">
        <v>51</v>
      </c>
      <c r="O234" t="s">
        <v>72</v>
      </c>
      <c r="P234" s="133">
        <v>140</v>
      </c>
      <c r="Q234" s="135">
        <v>3.165</v>
      </c>
      <c r="R234" s="139">
        <v>16418</v>
      </c>
      <c r="T234" s="133">
        <v>72.748000000000005</v>
      </c>
      <c r="U234" s="137">
        <v>3.0000000000000001E-5</v>
      </c>
      <c r="V234" s="137">
        <v>4.6029253062665797E-3</v>
      </c>
      <c r="W234" s="137">
        <v>2.2534422301974401E-3</v>
      </c>
    </row>
    <row r="235" spans="1:23">
      <c r="A235">
        <v>161</v>
      </c>
      <c r="B235">
        <v>12468</v>
      </c>
      <c r="C235" t="s">
        <v>3190</v>
      </c>
      <c r="D235" t="s">
        <v>3191</v>
      </c>
      <c r="E235" t="s">
        <v>64</v>
      </c>
      <c r="F235" t="s">
        <v>3192</v>
      </c>
      <c r="G235" t="s">
        <v>3193</v>
      </c>
      <c r="H235" t="s">
        <v>44</v>
      </c>
      <c r="I235" t="s">
        <v>1528</v>
      </c>
      <c r="J235" t="s">
        <v>68</v>
      </c>
      <c r="K235" t="s">
        <v>889</v>
      </c>
      <c r="L235" t="s">
        <v>947</v>
      </c>
      <c r="M235" t="s">
        <v>1169</v>
      </c>
      <c r="N235" t="s">
        <v>51</v>
      </c>
      <c r="O235" t="s">
        <v>72</v>
      </c>
      <c r="P235" s="133">
        <v>2260</v>
      </c>
      <c r="Q235" s="135">
        <v>3.165</v>
      </c>
      <c r="R235" s="139">
        <v>2843</v>
      </c>
      <c r="T235" s="133">
        <v>203.357</v>
      </c>
      <c r="U235" s="137">
        <v>9.0000000000000002E-6</v>
      </c>
      <c r="V235" s="137">
        <v>1.28668115219001E-2</v>
      </c>
      <c r="W235" s="137">
        <v>6.2991716185284499E-3</v>
      </c>
    </row>
    <row r="236" spans="1:23">
      <c r="A236">
        <v>161</v>
      </c>
      <c r="B236">
        <v>12468</v>
      </c>
      <c r="C236" t="s">
        <v>3194</v>
      </c>
      <c r="D236" t="s">
        <v>3195</v>
      </c>
      <c r="E236" t="s">
        <v>64</v>
      </c>
      <c r="F236" t="s">
        <v>3288</v>
      </c>
      <c r="G236" t="s">
        <v>3289</v>
      </c>
      <c r="H236" t="s">
        <v>44</v>
      </c>
      <c r="I236" t="s">
        <v>1528</v>
      </c>
      <c r="J236" t="s">
        <v>68</v>
      </c>
      <c r="K236" t="s">
        <v>351</v>
      </c>
      <c r="L236" t="s">
        <v>966</v>
      </c>
      <c r="M236" t="s">
        <v>1283</v>
      </c>
      <c r="N236" t="s">
        <v>51</v>
      </c>
      <c r="O236" t="s">
        <v>395</v>
      </c>
      <c r="P236" s="133">
        <v>540</v>
      </c>
      <c r="Q236" s="135">
        <v>3.6360000000000001</v>
      </c>
      <c r="R236" s="139">
        <v>28282</v>
      </c>
      <c r="T236" s="133">
        <v>555.29999999999995</v>
      </c>
      <c r="U236" s="137">
        <v>1.5999999999999999E-5</v>
      </c>
      <c r="V236" s="137">
        <v>3.5134977390694898E-2</v>
      </c>
      <c r="W236" s="137">
        <v>1.7200939954735602E-2</v>
      </c>
    </row>
    <row r="237" spans="1:23">
      <c r="A237">
        <v>161</v>
      </c>
      <c r="B237">
        <v>12468</v>
      </c>
      <c r="C237" t="s">
        <v>3194</v>
      </c>
      <c r="D237" t="s">
        <v>3195</v>
      </c>
      <c r="E237" t="s">
        <v>64</v>
      </c>
      <c r="F237" t="s">
        <v>3196</v>
      </c>
      <c r="G237" t="s">
        <v>3197</v>
      </c>
      <c r="H237" t="s">
        <v>44</v>
      </c>
      <c r="I237" t="s">
        <v>1528</v>
      </c>
      <c r="J237" t="s">
        <v>68</v>
      </c>
      <c r="K237" t="s">
        <v>264</v>
      </c>
      <c r="L237" t="s">
        <v>215</v>
      </c>
      <c r="M237" t="s">
        <v>1316</v>
      </c>
      <c r="N237" t="s">
        <v>51</v>
      </c>
      <c r="O237" t="s">
        <v>395</v>
      </c>
      <c r="P237" s="133">
        <v>240</v>
      </c>
      <c r="Q237" s="135">
        <v>3.6360000000000001</v>
      </c>
      <c r="R237" s="139">
        <v>29271.9</v>
      </c>
      <c r="T237" s="133">
        <v>255.43799999999999</v>
      </c>
      <c r="U237" s="137">
        <v>4.0000000000000003E-5</v>
      </c>
      <c r="V237" s="137">
        <v>1.6162106163836999E-2</v>
      </c>
      <c r="W237" s="137">
        <v>7.9124404884304E-3</v>
      </c>
    </row>
    <row r="238" spans="1:23">
      <c r="A238">
        <v>161</v>
      </c>
      <c r="B238">
        <v>12468</v>
      </c>
      <c r="C238" t="s">
        <v>3198</v>
      </c>
      <c r="D238" t="s">
        <v>3171</v>
      </c>
      <c r="E238" t="s">
        <v>64</v>
      </c>
      <c r="F238" t="s">
        <v>3199</v>
      </c>
      <c r="G238" t="s">
        <v>3200</v>
      </c>
      <c r="H238" t="s">
        <v>44</v>
      </c>
      <c r="I238" t="s">
        <v>1528</v>
      </c>
      <c r="J238" t="s">
        <v>68</v>
      </c>
      <c r="K238" t="s">
        <v>917</v>
      </c>
      <c r="L238" t="s">
        <v>215</v>
      </c>
      <c r="M238" t="s">
        <v>1316</v>
      </c>
      <c r="N238" t="s">
        <v>51</v>
      </c>
      <c r="O238" t="s">
        <v>72</v>
      </c>
      <c r="P238" s="133">
        <v>2280</v>
      </c>
      <c r="Q238" s="135">
        <v>3.165</v>
      </c>
      <c r="R238" s="139">
        <v>8602</v>
      </c>
      <c r="T238" s="133">
        <v>620.73800000000006</v>
      </c>
      <c r="U238" s="137">
        <v>0</v>
      </c>
      <c r="V238" s="137">
        <v>3.9275337497464299E-2</v>
      </c>
      <c r="W238" s="137">
        <v>1.9227925337295799E-2</v>
      </c>
    </row>
    <row r="239" spans="1:23">
      <c r="A239">
        <v>161</v>
      </c>
      <c r="B239">
        <v>12468</v>
      </c>
      <c r="C239" t="s">
        <v>3170</v>
      </c>
      <c r="D239" t="s">
        <v>3171</v>
      </c>
      <c r="E239" t="s">
        <v>64</v>
      </c>
      <c r="F239" t="s">
        <v>3201</v>
      </c>
      <c r="G239" t="s">
        <v>3202</v>
      </c>
      <c r="H239" t="s">
        <v>44</v>
      </c>
      <c r="I239" t="s">
        <v>1528</v>
      </c>
      <c r="J239" t="s">
        <v>68</v>
      </c>
      <c r="K239" t="s">
        <v>69</v>
      </c>
      <c r="L239" t="s">
        <v>947</v>
      </c>
      <c r="M239" t="s">
        <v>1185</v>
      </c>
      <c r="N239" t="s">
        <v>51</v>
      </c>
      <c r="O239" t="s">
        <v>72</v>
      </c>
      <c r="P239" s="133">
        <v>3990</v>
      </c>
      <c r="Q239" s="135">
        <v>3.165</v>
      </c>
      <c r="R239" s="139">
        <v>7654</v>
      </c>
      <c r="T239" s="133">
        <v>966.57399999999996</v>
      </c>
      <c r="U239" s="137">
        <v>1.2999999999999999E-5</v>
      </c>
      <c r="V239" s="137">
        <v>6.1157115567285002E-2</v>
      </c>
      <c r="W239" s="137">
        <v>2.9940530798698999E-2</v>
      </c>
    </row>
    <row r="240" spans="1:23">
      <c r="A240">
        <v>161</v>
      </c>
      <c r="B240">
        <v>12468</v>
      </c>
      <c r="C240" t="s">
        <v>3170</v>
      </c>
      <c r="D240" t="s">
        <v>3171</v>
      </c>
      <c r="E240" t="s">
        <v>64</v>
      </c>
      <c r="F240" t="s">
        <v>3252</v>
      </c>
      <c r="G240" t="s">
        <v>3253</v>
      </c>
      <c r="H240" t="s">
        <v>44</v>
      </c>
      <c r="I240" t="s">
        <v>1528</v>
      </c>
      <c r="J240" t="s">
        <v>68</v>
      </c>
      <c r="K240" t="s">
        <v>69</v>
      </c>
      <c r="L240" t="s">
        <v>981</v>
      </c>
      <c r="M240" t="s">
        <v>1185</v>
      </c>
      <c r="N240" t="s">
        <v>51</v>
      </c>
      <c r="O240" t="s">
        <v>72</v>
      </c>
      <c r="P240" s="133">
        <v>3652</v>
      </c>
      <c r="Q240" s="135">
        <v>3.165</v>
      </c>
      <c r="R240" s="139">
        <v>1586.8</v>
      </c>
      <c r="T240" s="133">
        <v>183.41200000000001</v>
      </c>
      <c r="U240" s="137">
        <v>0</v>
      </c>
      <c r="V240" s="137">
        <v>1.16048251444812E-2</v>
      </c>
      <c r="W240" s="137">
        <v>5.6813442136522197E-3</v>
      </c>
    </row>
    <row r="241" spans="1:23">
      <c r="A241">
        <v>161</v>
      </c>
      <c r="B241">
        <v>12468</v>
      </c>
      <c r="C241" t="s">
        <v>3170</v>
      </c>
      <c r="D241" t="s">
        <v>3171</v>
      </c>
      <c r="E241" t="s">
        <v>64</v>
      </c>
      <c r="F241" t="s">
        <v>3254</v>
      </c>
      <c r="G241" t="s">
        <v>3255</v>
      </c>
      <c r="H241" t="s">
        <v>44</v>
      </c>
      <c r="I241" t="s">
        <v>1528</v>
      </c>
      <c r="J241" t="s">
        <v>68</v>
      </c>
      <c r="K241" t="s">
        <v>69</v>
      </c>
      <c r="L241" t="s">
        <v>215</v>
      </c>
      <c r="M241" t="s">
        <v>1316</v>
      </c>
      <c r="N241" t="s">
        <v>51</v>
      </c>
      <c r="O241" t="s">
        <v>72</v>
      </c>
      <c r="P241" s="133">
        <v>1650</v>
      </c>
      <c r="Q241" s="135">
        <v>3.165</v>
      </c>
      <c r="R241" s="139">
        <v>4504.25</v>
      </c>
      <c r="T241" s="133">
        <v>235.22300000000001</v>
      </c>
      <c r="U241" s="137">
        <v>0</v>
      </c>
      <c r="V241" s="137">
        <v>1.4883054492777799E-2</v>
      </c>
      <c r="W241" s="137">
        <v>7.2862584719103098E-3</v>
      </c>
    </row>
    <row r="242" spans="1:23">
      <c r="A242">
        <v>161</v>
      </c>
      <c r="B242">
        <v>12468</v>
      </c>
      <c r="C242" t="s">
        <v>3205</v>
      </c>
      <c r="D242" t="s">
        <v>3206</v>
      </c>
      <c r="E242" t="s">
        <v>64</v>
      </c>
      <c r="F242" t="s">
        <v>3260</v>
      </c>
      <c r="G242" t="s">
        <v>3261</v>
      </c>
      <c r="H242" t="s">
        <v>44</v>
      </c>
      <c r="I242" t="s">
        <v>1528</v>
      </c>
      <c r="J242" t="s">
        <v>68</v>
      </c>
      <c r="K242" t="s">
        <v>915</v>
      </c>
      <c r="L242" t="s">
        <v>981</v>
      </c>
      <c r="M242" t="s">
        <v>1177</v>
      </c>
      <c r="N242" t="s">
        <v>51</v>
      </c>
      <c r="O242" t="s">
        <v>72</v>
      </c>
      <c r="P242" s="133">
        <v>430</v>
      </c>
      <c r="Q242" s="135">
        <v>3.165</v>
      </c>
      <c r="R242" s="139">
        <v>7779</v>
      </c>
      <c r="T242" s="133">
        <v>105.86799999999999</v>
      </c>
      <c r="U242" s="137">
        <v>0</v>
      </c>
      <c r="V242" s="137">
        <v>6.6985047168188804E-3</v>
      </c>
      <c r="W242" s="137">
        <v>3.2793696190346602E-3</v>
      </c>
    </row>
    <row r="243" spans="1:23">
      <c r="A243">
        <v>161</v>
      </c>
      <c r="B243">
        <v>12468</v>
      </c>
      <c r="C243" t="s">
        <v>3205</v>
      </c>
      <c r="D243" t="s">
        <v>3206</v>
      </c>
      <c r="E243" t="s">
        <v>64</v>
      </c>
      <c r="F243" t="s">
        <v>3207</v>
      </c>
      <c r="G243" t="s">
        <v>3208</v>
      </c>
      <c r="H243" t="s">
        <v>44</v>
      </c>
      <c r="I243" t="s">
        <v>1528</v>
      </c>
      <c r="J243" t="s">
        <v>68</v>
      </c>
      <c r="K243" t="s">
        <v>69</v>
      </c>
      <c r="L243" t="s">
        <v>947</v>
      </c>
      <c r="M243" t="s">
        <v>1185</v>
      </c>
      <c r="N243" t="s">
        <v>51</v>
      </c>
      <c r="O243" t="s">
        <v>72</v>
      </c>
      <c r="P243" s="133">
        <v>275</v>
      </c>
      <c r="Q243" s="135">
        <v>3.165</v>
      </c>
      <c r="R243" s="139">
        <v>59755</v>
      </c>
      <c r="S243" s="133">
        <v>0.51500000000000001</v>
      </c>
      <c r="T243" s="133">
        <v>521.72199999999998</v>
      </c>
      <c r="U243" s="137">
        <v>0</v>
      </c>
      <c r="V243" s="137">
        <v>3.3010439190363297E-2</v>
      </c>
      <c r="W243" s="137">
        <v>1.6160835286129101E-2</v>
      </c>
    </row>
    <row r="244" spans="1:23">
      <c r="A244">
        <v>161</v>
      </c>
      <c r="B244">
        <v>12468</v>
      </c>
      <c r="C244" t="s">
        <v>3209</v>
      </c>
      <c r="D244" t="s">
        <v>3210</v>
      </c>
      <c r="E244" t="s">
        <v>64</v>
      </c>
      <c r="F244" t="s">
        <v>3211</v>
      </c>
      <c r="G244" t="s">
        <v>3212</v>
      </c>
      <c r="H244" t="s">
        <v>44</v>
      </c>
      <c r="I244" t="s">
        <v>1528</v>
      </c>
      <c r="J244" t="s">
        <v>68</v>
      </c>
      <c r="K244" t="s">
        <v>873</v>
      </c>
      <c r="L244" t="s">
        <v>947</v>
      </c>
      <c r="M244" t="s">
        <v>1180</v>
      </c>
      <c r="N244" t="s">
        <v>51</v>
      </c>
      <c r="O244" t="s">
        <v>72</v>
      </c>
      <c r="P244" s="133">
        <v>1280</v>
      </c>
      <c r="Q244" s="135">
        <v>3.165</v>
      </c>
      <c r="R244" s="139">
        <v>15858</v>
      </c>
      <c r="T244" s="133">
        <v>642.43899999999996</v>
      </c>
      <c r="U244" s="137">
        <v>4.1E-5</v>
      </c>
      <c r="V244" s="137">
        <v>4.0648453164937703E-2</v>
      </c>
      <c r="W244" s="137">
        <v>1.99001580211105E-2</v>
      </c>
    </row>
    <row r="245" spans="1:23">
      <c r="A245">
        <v>161</v>
      </c>
      <c r="B245">
        <v>15391</v>
      </c>
      <c r="C245" t="s">
        <v>3128</v>
      </c>
      <c r="D245" t="s">
        <v>3129</v>
      </c>
      <c r="E245" t="s">
        <v>41</v>
      </c>
      <c r="F245" t="s">
        <v>3262</v>
      </c>
      <c r="G245" t="s">
        <v>3263</v>
      </c>
      <c r="H245" t="s">
        <v>44</v>
      </c>
      <c r="I245" t="s">
        <v>1528</v>
      </c>
      <c r="J245" t="s">
        <v>45</v>
      </c>
      <c r="K245" t="s">
        <v>69</v>
      </c>
      <c r="L245" t="s">
        <v>47</v>
      </c>
      <c r="M245" t="s">
        <v>1185</v>
      </c>
      <c r="N245" t="s">
        <v>51</v>
      </c>
      <c r="O245" t="s">
        <v>52</v>
      </c>
      <c r="P245" s="133">
        <v>13490</v>
      </c>
      <c r="Q245" s="135">
        <v>1</v>
      </c>
      <c r="R245" s="139">
        <v>8788</v>
      </c>
      <c r="T245" s="133">
        <v>1185.501</v>
      </c>
      <c r="U245" s="137">
        <v>1.55E-4</v>
      </c>
      <c r="V245" s="137">
        <v>0.12538609292457301</v>
      </c>
      <c r="W245" s="137">
        <v>0.124700920187618</v>
      </c>
    </row>
    <row r="246" spans="1:23">
      <c r="A246">
        <v>161</v>
      </c>
      <c r="B246">
        <v>15391</v>
      </c>
      <c r="C246" t="s">
        <v>3178</v>
      </c>
      <c r="D246" t="s">
        <v>3179</v>
      </c>
      <c r="E246" t="s">
        <v>64</v>
      </c>
      <c r="F246" t="s">
        <v>3215</v>
      </c>
      <c r="G246" t="s">
        <v>3216</v>
      </c>
      <c r="H246" t="s">
        <v>44</v>
      </c>
      <c r="I246" t="s">
        <v>1528</v>
      </c>
      <c r="J246" t="s">
        <v>45</v>
      </c>
      <c r="K246" t="s">
        <v>69</v>
      </c>
      <c r="L246" t="s">
        <v>47</v>
      </c>
      <c r="M246" t="s">
        <v>1185</v>
      </c>
      <c r="N246" t="s">
        <v>51</v>
      </c>
      <c r="O246" t="s">
        <v>52</v>
      </c>
      <c r="P246" s="133">
        <v>542</v>
      </c>
      <c r="Q246" s="135">
        <v>1</v>
      </c>
      <c r="R246" s="139">
        <v>219220</v>
      </c>
      <c r="T246" s="133">
        <v>1188.172</v>
      </c>
      <c r="U246" s="137">
        <v>1.7699999999999999E-4</v>
      </c>
      <c r="V246" s="137">
        <v>0.125668615904237</v>
      </c>
      <c r="W246" s="137">
        <v>0.124981899319486</v>
      </c>
    </row>
    <row r="247" spans="1:23">
      <c r="A247">
        <v>161</v>
      </c>
      <c r="B247">
        <v>15391</v>
      </c>
      <c r="C247" t="s">
        <v>3136</v>
      </c>
      <c r="D247" t="s">
        <v>3137</v>
      </c>
      <c r="E247" t="s">
        <v>41</v>
      </c>
      <c r="F247" t="s">
        <v>3264</v>
      </c>
      <c r="G247" t="s">
        <v>3265</v>
      </c>
      <c r="H247" t="s">
        <v>44</v>
      </c>
      <c r="I247" t="s">
        <v>1528</v>
      </c>
      <c r="J247" t="s">
        <v>45</v>
      </c>
      <c r="K247" t="s">
        <v>69</v>
      </c>
      <c r="L247" t="s">
        <v>47</v>
      </c>
      <c r="M247" t="s">
        <v>1185</v>
      </c>
      <c r="N247" t="s">
        <v>51</v>
      </c>
      <c r="O247" t="s">
        <v>52</v>
      </c>
      <c r="P247" s="133">
        <v>49665</v>
      </c>
      <c r="Q247" s="135">
        <v>1</v>
      </c>
      <c r="R247" s="139">
        <v>2387</v>
      </c>
      <c r="T247" s="133">
        <v>1185.5039999999999</v>
      </c>
      <c r="U247" s="137">
        <v>1.3100000000000001E-4</v>
      </c>
      <c r="V247" s="137">
        <v>0.125386341475412</v>
      </c>
      <c r="W247" s="137">
        <v>0.12470116738025</v>
      </c>
    </row>
    <row r="248" spans="1:23">
      <c r="A248">
        <v>161</v>
      </c>
      <c r="B248">
        <v>15391</v>
      </c>
      <c r="C248" t="s">
        <v>3231</v>
      </c>
      <c r="D248" t="s">
        <v>3232</v>
      </c>
      <c r="E248" t="s">
        <v>41</v>
      </c>
      <c r="F248" t="s">
        <v>3266</v>
      </c>
      <c r="G248" t="s">
        <v>3267</v>
      </c>
      <c r="H248" t="s">
        <v>44</v>
      </c>
      <c r="I248" t="s">
        <v>1528</v>
      </c>
      <c r="J248" t="s">
        <v>45</v>
      </c>
      <c r="K248" t="s">
        <v>69</v>
      </c>
      <c r="L248" t="s">
        <v>47</v>
      </c>
      <c r="M248" t="s">
        <v>1283</v>
      </c>
      <c r="N248" t="s">
        <v>51</v>
      </c>
      <c r="O248" t="s">
        <v>52</v>
      </c>
      <c r="P248" s="133">
        <v>20563</v>
      </c>
      <c r="Q248" s="135">
        <v>1</v>
      </c>
      <c r="R248" s="139">
        <v>5754</v>
      </c>
      <c r="T248" s="133">
        <v>1183.1949999999999</v>
      </c>
      <c r="U248" s="137">
        <v>1.2849999999999999E-3</v>
      </c>
      <c r="V248" s="137">
        <v>0.12514217676507799</v>
      </c>
      <c r="W248" s="137">
        <v>0.124458336908817</v>
      </c>
    </row>
    <row r="249" spans="1:23">
      <c r="A249">
        <v>161</v>
      </c>
      <c r="B249">
        <v>15391</v>
      </c>
      <c r="C249" t="s">
        <v>3148</v>
      </c>
      <c r="D249" t="s">
        <v>3149</v>
      </c>
      <c r="E249" t="s">
        <v>41</v>
      </c>
      <c r="F249" t="s">
        <v>3268</v>
      </c>
      <c r="G249" t="s">
        <v>3269</v>
      </c>
      <c r="H249" t="s">
        <v>44</v>
      </c>
      <c r="I249" t="s">
        <v>1528</v>
      </c>
      <c r="J249" t="s">
        <v>45</v>
      </c>
      <c r="K249" t="s">
        <v>69</v>
      </c>
      <c r="L249" t="s">
        <v>47</v>
      </c>
      <c r="M249" t="s">
        <v>1185</v>
      </c>
      <c r="N249" t="s">
        <v>51</v>
      </c>
      <c r="O249" t="s">
        <v>52</v>
      </c>
      <c r="P249" s="133">
        <v>11606</v>
      </c>
      <c r="Q249" s="135">
        <v>1</v>
      </c>
      <c r="R249" s="139">
        <v>10200</v>
      </c>
      <c r="T249" s="133">
        <v>1183.8119999999999</v>
      </c>
      <c r="U249" s="137">
        <v>1.6899999999999999E-4</v>
      </c>
      <c r="V249" s="137">
        <v>0.12520743246588401</v>
      </c>
      <c r="W249" s="137">
        <v>0.12452323601962099</v>
      </c>
    </row>
    <row r="250" spans="1:23">
      <c r="A250">
        <v>161</v>
      </c>
      <c r="B250">
        <v>15391</v>
      </c>
      <c r="C250" t="s">
        <v>3158</v>
      </c>
      <c r="D250" t="s">
        <v>3159</v>
      </c>
      <c r="E250" t="s">
        <v>41</v>
      </c>
      <c r="F250" t="s">
        <v>3270</v>
      </c>
      <c r="G250" t="s">
        <v>3271</v>
      </c>
      <c r="H250" t="s">
        <v>44</v>
      </c>
      <c r="I250" t="s">
        <v>1528</v>
      </c>
      <c r="J250" t="s">
        <v>45</v>
      </c>
      <c r="K250" t="s">
        <v>69</v>
      </c>
      <c r="L250" t="s">
        <v>47</v>
      </c>
      <c r="M250" t="s">
        <v>1185</v>
      </c>
      <c r="N250" t="s">
        <v>51</v>
      </c>
      <c r="O250" t="s">
        <v>52</v>
      </c>
      <c r="P250" s="133">
        <v>5295</v>
      </c>
      <c r="Q250" s="135">
        <v>1</v>
      </c>
      <c r="R250" s="139">
        <v>22480</v>
      </c>
      <c r="T250" s="133">
        <v>1190.316</v>
      </c>
      <c r="U250" s="137">
        <v>1.8000000000000001E-4</v>
      </c>
      <c r="V250" s="137">
        <v>0.12589533657629801</v>
      </c>
      <c r="W250" s="137">
        <v>0.12520738107565299</v>
      </c>
    </row>
    <row r="251" spans="1:23">
      <c r="A251">
        <v>161</v>
      </c>
      <c r="B251">
        <v>15391</v>
      </c>
      <c r="C251" t="s">
        <v>3164</v>
      </c>
      <c r="D251" t="s">
        <v>3165</v>
      </c>
      <c r="E251" t="s">
        <v>41</v>
      </c>
      <c r="F251" t="s">
        <v>3272</v>
      </c>
      <c r="G251" t="s">
        <v>3273</v>
      </c>
      <c r="H251" t="s">
        <v>44</v>
      </c>
      <c r="I251" t="s">
        <v>1528</v>
      </c>
      <c r="J251" t="s">
        <v>45</v>
      </c>
      <c r="K251" t="s">
        <v>69</v>
      </c>
      <c r="L251" t="s">
        <v>47</v>
      </c>
      <c r="M251" t="s">
        <v>1185</v>
      </c>
      <c r="N251" t="s">
        <v>51</v>
      </c>
      <c r="O251" t="s">
        <v>52</v>
      </c>
      <c r="P251" s="133">
        <v>4791</v>
      </c>
      <c r="Q251" s="135">
        <v>1</v>
      </c>
      <c r="R251" s="139">
        <v>23980</v>
      </c>
      <c r="T251" s="133">
        <v>1148.8820000000001</v>
      </c>
      <c r="U251" s="137">
        <v>1.2E-4</v>
      </c>
      <c r="V251" s="137">
        <v>0.121512993942267</v>
      </c>
      <c r="W251" s="137">
        <v>0.12084898576805</v>
      </c>
    </row>
    <row r="252" spans="1:23">
      <c r="A252">
        <v>161</v>
      </c>
      <c r="B252">
        <v>15391</v>
      </c>
      <c r="C252" t="s">
        <v>3223</v>
      </c>
      <c r="D252" t="s">
        <v>3224</v>
      </c>
      <c r="E252" t="s">
        <v>64</v>
      </c>
      <c r="F252" t="s">
        <v>3225</v>
      </c>
      <c r="G252" t="s">
        <v>3226</v>
      </c>
      <c r="H252" t="s">
        <v>44</v>
      </c>
      <c r="I252" t="s">
        <v>1528</v>
      </c>
      <c r="J252" t="s">
        <v>68</v>
      </c>
      <c r="K252" t="s">
        <v>69</v>
      </c>
      <c r="L252" t="s">
        <v>47</v>
      </c>
      <c r="M252" t="s">
        <v>1185</v>
      </c>
      <c r="N252" t="s">
        <v>51</v>
      </c>
      <c r="O252" t="s">
        <v>52</v>
      </c>
      <c r="P252" s="133">
        <v>29124</v>
      </c>
      <c r="Q252" s="135">
        <v>1</v>
      </c>
      <c r="R252" s="139">
        <v>4084</v>
      </c>
      <c r="T252" s="133">
        <v>1189.424</v>
      </c>
      <c r="U252" s="137">
        <v>1.7E-5</v>
      </c>
      <c r="V252" s="137">
        <v>0.12580100994624999</v>
      </c>
      <c r="W252" s="137">
        <v>0.12511356989379999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8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1150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1637</v>
      </c>
      <c r="V1" s="136" t="s">
        <v>37</v>
      </c>
      <c r="W1" s="136" t="s">
        <v>38</v>
      </c>
    </row>
    <row r="2" spans="1:23">
      <c r="A2">
        <v>14076</v>
      </c>
      <c r="B2">
        <v>14077</v>
      </c>
      <c r="C2" t="s">
        <v>3347</v>
      </c>
      <c r="D2" t="s">
        <v>3348</v>
      </c>
      <c r="E2" t="s">
        <v>64</v>
      </c>
      <c r="F2" t="s">
        <v>3349</v>
      </c>
      <c r="G2" t="s">
        <v>3350</v>
      </c>
      <c r="H2" t="s">
        <v>44</v>
      </c>
      <c r="I2" t="s">
        <v>1476</v>
      </c>
      <c r="J2" t="s">
        <v>68</v>
      </c>
      <c r="K2" t="s">
        <v>264</v>
      </c>
      <c r="L2" t="s">
        <v>46</v>
      </c>
      <c r="M2" t="s">
        <v>215</v>
      </c>
      <c r="N2" t="s">
        <v>1316</v>
      </c>
      <c r="O2" t="s">
        <v>51</v>
      </c>
      <c r="P2" t="s">
        <v>72</v>
      </c>
      <c r="Q2" s="133">
        <v>17000</v>
      </c>
      <c r="R2" s="135">
        <v>3.165</v>
      </c>
      <c r="S2" s="139">
        <v>204.72</v>
      </c>
      <c r="T2" s="133">
        <v>110.15</v>
      </c>
      <c r="U2" s="137">
        <v>6.0000000000000002E-5</v>
      </c>
      <c r="V2" s="137">
        <v>1</v>
      </c>
      <c r="W2" s="137">
        <v>3.6572252091542001E-3</v>
      </c>
    </row>
    <row r="3" spans="1:23">
      <c r="A3">
        <v>14076</v>
      </c>
      <c r="B3">
        <v>14079</v>
      </c>
      <c r="C3" t="s">
        <v>3347</v>
      </c>
      <c r="D3" t="s">
        <v>3348</v>
      </c>
      <c r="E3" t="s">
        <v>64</v>
      </c>
      <c r="F3" t="s">
        <v>3349</v>
      </c>
      <c r="G3" t="s">
        <v>3350</v>
      </c>
      <c r="H3" t="s">
        <v>44</v>
      </c>
      <c r="I3" t="s">
        <v>1476</v>
      </c>
      <c r="J3" t="s">
        <v>68</v>
      </c>
      <c r="K3" t="s">
        <v>264</v>
      </c>
      <c r="L3" t="s">
        <v>46</v>
      </c>
      <c r="M3" t="s">
        <v>215</v>
      </c>
      <c r="N3" t="s">
        <v>1316</v>
      </c>
      <c r="O3" t="s">
        <v>51</v>
      </c>
      <c r="P3" t="s">
        <v>72</v>
      </c>
      <c r="Q3" s="133">
        <v>9000</v>
      </c>
      <c r="R3" s="135">
        <v>3.165</v>
      </c>
      <c r="S3" s="139">
        <v>204.72</v>
      </c>
      <c r="T3" s="133">
        <v>58.314</v>
      </c>
      <c r="U3" s="137">
        <v>3.1999999999999999E-5</v>
      </c>
      <c r="V3" s="137">
        <v>1</v>
      </c>
      <c r="W3" s="137">
        <v>4.1086038677414002E-3</v>
      </c>
    </row>
    <row r="4" spans="1:23">
      <c r="A4">
        <v>161</v>
      </c>
      <c r="B4">
        <v>9938</v>
      </c>
      <c r="C4" t="s">
        <v>3128</v>
      </c>
      <c r="D4" t="s">
        <v>3129</v>
      </c>
      <c r="E4" t="s">
        <v>41</v>
      </c>
      <c r="F4" t="s">
        <v>3351</v>
      </c>
      <c r="G4" t="s">
        <v>3352</v>
      </c>
      <c r="H4" t="s">
        <v>44</v>
      </c>
      <c r="I4" t="s">
        <v>1476</v>
      </c>
      <c r="J4" t="s">
        <v>45</v>
      </c>
      <c r="K4" t="s">
        <v>45</v>
      </c>
      <c r="L4" t="s">
        <v>46</v>
      </c>
      <c r="M4" t="s">
        <v>47</v>
      </c>
      <c r="N4" t="s">
        <v>1153</v>
      </c>
      <c r="O4" t="s">
        <v>51</v>
      </c>
      <c r="P4" t="s">
        <v>52</v>
      </c>
      <c r="Q4" s="133">
        <v>300000</v>
      </c>
      <c r="R4" s="135">
        <v>1</v>
      </c>
      <c r="S4" s="139">
        <v>443.87</v>
      </c>
      <c r="T4" s="133">
        <v>1331.61</v>
      </c>
      <c r="U4" s="137">
        <v>6.3900000000000003E-4</v>
      </c>
      <c r="V4" s="137">
        <v>0.70087749507246699</v>
      </c>
      <c r="W4" s="137">
        <v>1.52588367976919E-2</v>
      </c>
    </row>
    <row r="5" spans="1:23">
      <c r="A5">
        <v>161</v>
      </c>
      <c r="B5">
        <v>9938</v>
      </c>
      <c r="C5" t="s">
        <v>3347</v>
      </c>
      <c r="D5" t="s">
        <v>3348</v>
      </c>
      <c r="E5" t="s">
        <v>64</v>
      </c>
      <c r="F5" t="s">
        <v>3349</v>
      </c>
      <c r="G5" t="s">
        <v>3350</v>
      </c>
      <c r="H5" t="s">
        <v>44</v>
      </c>
      <c r="I5" t="s">
        <v>1476</v>
      </c>
      <c r="J5" t="s">
        <v>68</v>
      </c>
      <c r="K5" t="s">
        <v>264</v>
      </c>
      <c r="L5" t="s">
        <v>46</v>
      </c>
      <c r="M5" t="s">
        <v>215</v>
      </c>
      <c r="N5" t="s">
        <v>1316</v>
      </c>
      <c r="O5" t="s">
        <v>51</v>
      </c>
      <c r="P5" t="s">
        <v>72</v>
      </c>
      <c r="Q5" s="133">
        <v>55000</v>
      </c>
      <c r="R5" s="135">
        <v>3.165</v>
      </c>
      <c r="S5" s="139">
        <v>204.72</v>
      </c>
      <c r="T5" s="133">
        <v>356.36599999999999</v>
      </c>
      <c r="U5" s="137">
        <v>1.93E-4</v>
      </c>
      <c r="V5" s="137">
        <v>0.18756929409312301</v>
      </c>
      <c r="W5" s="137">
        <v>4.0835798937007102E-3</v>
      </c>
    </row>
    <row r="6" spans="1:23">
      <c r="A6">
        <v>161</v>
      </c>
      <c r="B6">
        <v>9938</v>
      </c>
      <c r="C6" t="s">
        <v>3347</v>
      </c>
      <c r="D6" t="s">
        <v>3348</v>
      </c>
      <c r="E6" t="s">
        <v>64</v>
      </c>
      <c r="F6" t="s">
        <v>3353</v>
      </c>
      <c r="G6" t="s">
        <v>3354</v>
      </c>
      <c r="H6" t="s">
        <v>44</v>
      </c>
      <c r="I6" t="s">
        <v>1476</v>
      </c>
      <c r="J6" t="s">
        <v>68</v>
      </c>
      <c r="K6" t="s">
        <v>464</v>
      </c>
      <c r="L6" t="s">
        <v>46</v>
      </c>
      <c r="M6" t="s">
        <v>215</v>
      </c>
      <c r="N6" t="s">
        <v>1316</v>
      </c>
      <c r="O6" t="s">
        <v>51</v>
      </c>
      <c r="P6" t="s">
        <v>622</v>
      </c>
      <c r="Q6" s="133">
        <v>5700</v>
      </c>
      <c r="R6" s="135">
        <v>4.1872999999999996</v>
      </c>
      <c r="S6" s="139">
        <v>887.99</v>
      </c>
      <c r="T6" s="133">
        <v>211.94200000000001</v>
      </c>
      <c r="U6" s="137">
        <v>0</v>
      </c>
      <c r="V6" s="137">
        <v>0.11155321083441</v>
      </c>
      <c r="W6" s="137">
        <v>2.4286301819475302E-3</v>
      </c>
    </row>
    <row r="7" spans="1:23">
      <c r="A7">
        <v>161</v>
      </c>
      <c r="B7">
        <v>9942</v>
      </c>
      <c r="C7" t="s">
        <v>3347</v>
      </c>
      <c r="D7" t="s">
        <v>3348</v>
      </c>
      <c r="E7" t="s">
        <v>64</v>
      </c>
      <c r="F7" t="s">
        <v>3349</v>
      </c>
      <c r="G7" t="s">
        <v>3350</v>
      </c>
      <c r="H7" t="s">
        <v>44</v>
      </c>
      <c r="I7" t="s">
        <v>1476</v>
      </c>
      <c r="J7" t="s">
        <v>68</v>
      </c>
      <c r="K7" t="s">
        <v>264</v>
      </c>
      <c r="L7" t="s">
        <v>46</v>
      </c>
      <c r="M7" t="s">
        <v>215</v>
      </c>
      <c r="N7" t="s">
        <v>1316</v>
      </c>
      <c r="O7" t="s">
        <v>51</v>
      </c>
      <c r="P7" t="s">
        <v>72</v>
      </c>
      <c r="Q7" s="133">
        <v>60000</v>
      </c>
      <c r="R7" s="135">
        <v>3.165</v>
      </c>
      <c r="S7" s="139">
        <v>204.72</v>
      </c>
      <c r="T7" s="133">
        <v>388.76299999999998</v>
      </c>
      <c r="U7" s="137">
        <v>2.1100000000000001E-4</v>
      </c>
      <c r="V7" s="137">
        <v>0.60945375066257301</v>
      </c>
      <c r="W7" s="137">
        <v>3.84911209688572E-3</v>
      </c>
    </row>
    <row r="8" spans="1:23">
      <c r="A8">
        <v>161</v>
      </c>
      <c r="B8">
        <v>9942</v>
      </c>
      <c r="C8" t="s">
        <v>3347</v>
      </c>
      <c r="D8" t="s">
        <v>3348</v>
      </c>
      <c r="E8" t="s">
        <v>64</v>
      </c>
      <c r="F8" t="s">
        <v>3353</v>
      </c>
      <c r="G8" t="s">
        <v>3354</v>
      </c>
      <c r="H8" t="s">
        <v>44</v>
      </c>
      <c r="I8" t="s">
        <v>1476</v>
      </c>
      <c r="J8" t="s">
        <v>68</v>
      </c>
      <c r="K8" t="s">
        <v>464</v>
      </c>
      <c r="L8" t="s">
        <v>46</v>
      </c>
      <c r="M8" t="s">
        <v>215</v>
      </c>
      <c r="N8" t="s">
        <v>1316</v>
      </c>
      <c r="O8" t="s">
        <v>51</v>
      </c>
      <c r="P8" t="s">
        <v>622</v>
      </c>
      <c r="Q8" s="133">
        <v>6700</v>
      </c>
      <c r="R8" s="135">
        <v>4.1872999999999996</v>
      </c>
      <c r="S8" s="139">
        <v>887.99</v>
      </c>
      <c r="T8" s="133">
        <v>249.125</v>
      </c>
      <c r="U8" s="137">
        <v>0</v>
      </c>
      <c r="V8" s="137">
        <v>0.39054624933742699</v>
      </c>
      <c r="W8" s="137">
        <v>2.46656336282082E-3</v>
      </c>
    </row>
    <row r="9" spans="1:23">
      <c r="A9">
        <v>161</v>
      </c>
      <c r="B9">
        <v>9943</v>
      </c>
      <c r="C9" t="s">
        <v>3355</v>
      </c>
      <c r="D9" t="s">
        <v>3356</v>
      </c>
      <c r="E9" t="s">
        <v>64</v>
      </c>
      <c r="F9" t="s">
        <v>3357</v>
      </c>
      <c r="G9" t="s">
        <v>3358</v>
      </c>
      <c r="H9" t="s">
        <v>44</v>
      </c>
      <c r="I9" t="s">
        <v>1476</v>
      </c>
      <c r="J9" t="s">
        <v>68</v>
      </c>
      <c r="K9" t="s">
        <v>889</v>
      </c>
      <c r="L9" t="s">
        <v>46</v>
      </c>
      <c r="M9" t="s">
        <v>215</v>
      </c>
      <c r="N9" t="s">
        <v>1169</v>
      </c>
      <c r="O9" t="s">
        <v>51</v>
      </c>
      <c r="P9" t="s">
        <v>72</v>
      </c>
      <c r="Q9" s="133">
        <v>10253.09</v>
      </c>
      <c r="R9" s="135">
        <v>3.165</v>
      </c>
      <c r="S9" s="139">
        <v>15367</v>
      </c>
      <c r="T9" s="133">
        <v>4986.75</v>
      </c>
      <c r="U9" s="137">
        <v>6.1081000000000003E-2</v>
      </c>
      <c r="V9" s="137">
        <v>0.15505937362508199</v>
      </c>
      <c r="W9" s="137">
        <v>2.5447155273378898E-3</v>
      </c>
    </row>
    <row r="10" spans="1:23">
      <c r="A10">
        <v>161</v>
      </c>
      <c r="B10">
        <v>9943</v>
      </c>
      <c r="C10" t="s">
        <v>3347</v>
      </c>
      <c r="D10" t="s">
        <v>3348</v>
      </c>
      <c r="E10" t="s">
        <v>64</v>
      </c>
      <c r="F10" t="s">
        <v>3349</v>
      </c>
      <c r="G10" t="s">
        <v>3350</v>
      </c>
      <c r="H10" t="s">
        <v>44</v>
      </c>
      <c r="I10" t="s">
        <v>1476</v>
      </c>
      <c r="J10" t="s">
        <v>68</v>
      </c>
      <c r="K10" t="s">
        <v>264</v>
      </c>
      <c r="L10" t="s">
        <v>46</v>
      </c>
      <c r="M10" t="s">
        <v>215</v>
      </c>
      <c r="N10" t="s">
        <v>1316</v>
      </c>
      <c r="O10" t="s">
        <v>51</v>
      </c>
      <c r="P10" t="s">
        <v>72</v>
      </c>
      <c r="Q10" s="133">
        <v>540000</v>
      </c>
      <c r="R10" s="135">
        <v>3.165</v>
      </c>
      <c r="S10" s="139">
        <v>204.72</v>
      </c>
      <c r="T10" s="133">
        <v>3498.87</v>
      </c>
      <c r="U10" s="137">
        <v>1.8979999999999999E-3</v>
      </c>
      <c r="V10" s="137">
        <v>0.10879481477893301</v>
      </c>
      <c r="W10" s="137">
        <v>1.7854570671180601E-3</v>
      </c>
    </row>
    <row r="11" spans="1:23">
      <c r="A11">
        <v>161</v>
      </c>
      <c r="B11">
        <v>9943</v>
      </c>
      <c r="C11" t="s">
        <v>3347</v>
      </c>
      <c r="D11" t="s">
        <v>3348</v>
      </c>
      <c r="E11" t="s">
        <v>64</v>
      </c>
      <c r="F11" t="s">
        <v>3353</v>
      </c>
      <c r="G11" t="s">
        <v>3354</v>
      </c>
      <c r="H11" t="s">
        <v>44</v>
      </c>
      <c r="I11" t="s">
        <v>1476</v>
      </c>
      <c r="J11" t="s">
        <v>68</v>
      </c>
      <c r="K11" t="s">
        <v>464</v>
      </c>
      <c r="L11" t="s">
        <v>46</v>
      </c>
      <c r="M11" t="s">
        <v>215</v>
      </c>
      <c r="N11" t="s">
        <v>1316</v>
      </c>
      <c r="O11" t="s">
        <v>51</v>
      </c>
      <c r="P11" t="s">
        <v>622</v>
      </c>
      <c r="Q11" s="133">
        <v>63000</v>
      </c>
      <c r="R11" s="135">
        <v>4.1872999999999996</v>
      </c>
      <c r="S11" s="139">
        <v>887.99</v>
      </c>
      <c r="T11" s="133">
        <v>2342.5169999999998</v>
      </c>
      <c r="U11" s="137">
        <v>0</v>
      </c>
      <c r="V11" s="137">
        <v>7.2838861957784704E-2</v>
      </c>
      <c r="W11" s="137">
        <v>1.19537554347255E-3</v>
      </c>
    </row>
    <row r="12" spans="1:23">
      <c r="A12">
        <v>161</v>
      </c>
      <c r="B12">
        <v>9943</v>
      </c>
      <c r="C12" t="s">
        <v>3359</v>
      </c>
      <c r="D12" t="s">
        <v>3360</v>
      </c>
      <c r="E12" t="s">
        <v>64</v>
      </c>
      <c r="F12" t="s">
        <v>3361</v>
      </c>
      <c r="G12" t="s">
        <v>3362</v>
      </c>
      <c r="H12" t="s">
        <v>44</v>
      </c>
      <c r="I12" t="s">
        <v>1532</v>
      </c>
      <c r="J12" t="s">
        <v>68</v>
      </c>
      <c r="K12" t="s">
        <v>69</v>
      </c>
      <c r="L12" t="s">
        <v>46</v>
      </c>
      <c r="M12" t="s">
        <v>215</v>
      </c>
      <c r="N12" t="s">
        <v>1259</v>
      </c>
      <c r="O12" t="s">
        <v>51</v>
      </c>
      <c r="P12" t="s">
        <v>72</v>
      </c>
      <c r="Q12" s="133">
        <v>1620.11</v>
      </c>
      <c r="R12" s="135">
        <v>3.165</v>
      </c>
      <c r="S12" s="139">
        <v>175712.82</v>
      </c>
      <c r="T12" s="133">
        <v>9009.9349999999995</v>
      </c>
      <c r="U12" s="137">
        <v>0</v>
      </c>
      <c r="V12" s="137">
        <v>0.28015741134074601</v>
      </c>
      <c r="W12" s="137">
        <v>4.5977285866081003E-3</v>
      </c>
    </row>
    <row r="13" spans="1:23">
      <c r="A13">
        <v>161</v>
      </c>
      <c r="B13">
        <v>9943</v>
      </c>
      <c r="C13" t="s">
        <v>3223</v>
      </c>
      <c r="D13" t="s">
        <v>3224</v>
      </c>
      <c r="E13" t="s">
        <v>64</v>
      </c>
      <c r="F13" t="s">
        <v>3363</v>
      </c>
      <c r="G13" t="s">
        <v>3364</v>
      </c>
      <c r="H13" t="s">
        <v>44</v>
      </c>
      <c r="I13" t="s">
        <v>1532</v>
      </c>
      <c r="J13" t="s">
        <v>68</v>
      </c>
      <c r="K13" t="s">
        <v>264</v>
      </c>
      <c r="L13" t="s">
        <v>46</v>
      </c>
      <c r="M13" t="s">
        <v>215</v>
      </c>
      <c r="N13" t="s">
        <v>1259</v>
      </c>
      <c r="O13" t="s">
        <v>51</v>
      </c>
      <c r="P13" t="s">
        <v>72</v>
      </c>
      <c r="Q13" s="133">
        <v>9242</v>
      </c>
      <c r="R13" s="135">
        <v>3.165</v>
      </c>
      <c r="S13" s="139">
        <v>19370</v>
      </c>
      <c r="T13" s="133">
        <v>5665.9049999999997</v>
      </c>
      <c r="U13" s="137">
        <v>1.0139999999999999E-3</v>
      </c>
      <c r="V13" s="137">
        <v>0.176177218626347</v>
      </c>
      <c r="W13" s="137">
        <v>2.8912854045551801E-3</v>
      </c>
    </row>
    <row r="14" spans="1:23">
      <c r="A14">
        <v>161</v>
      </c>
      <c r="B14">
        <v>9943</v>
      </c>
      <c r="C14" t="s">
        <v>3365</v>
      </c>
      <c r="D14" t="s">
        <v>3366</v>
      </c>
      <c r="E14" t="s">
        <v>64</v>
      </c>
      <c r="F14" t="s">
        <v>3367</v>
      </c>
      <c r="G14" t="s">
        <v>3368</v>
      </c>
      <c r="H14" t="s">
        <v>44</v>
      </c>
      <c r="I14" t="s">
        <v>1532</v>
      </c>
      <c r="J14" t="s">
        <v>68</v>
      </c>
      <c r="K14" t="s">
        <v>264</v>
      </c>
      <c r="L14" t="s">
        <v>46</v>
      </c>
      <c r="M14" t="s">
        <v>215</v>
      </c>
      <c r="N14" t="s">
        <v>1259</v>
      </c>
      <c r="O14" t="s">
        <v>51</v>
      </c>
      <c r="P14" t="s">
        <v>72</v>
      </c>
      <c r="Q14" s="133">
        <v>410.51</v>
      </c>
      <c r="R14" s="135">
        <v>3.165</v>
      </c>
      <c r="S14" s="139">
        <v>190101</v>
      </c>
      <c r="T14" s="133">
        <v>2469.9140000000002</v>
      </c>
      <c r="U14" s="137">
        <v>3.4299999999999999E-4</v>
      </c>
      <c r="V14" s="137">
        <v>7.68001921878112E-2</v>
      </c>
      <c r="W14" s="137">
        <v>1.26038585732584E-3</v>
      </c>
    </row>
    <row r="15" spans="1:23">
      <c r="A15">
        <v>161</v>
      </c>
      <c r="B15">
        <v>9943</v>
      </c>
      <c r="C15" t="s">
        <v>3223</v>
      </c>
      <c r="D15" t="s">
        <v>3224</v>
      </c>
      <c r="E15" t="s">
        <v>64</v>
      </c>
      <c r="F15" t="s">
        <v>3363</v>
      </c>
      <c r="G15" t="s">
        <v>3364</v>
      </c>
      <c r="H15" t="s">
        <v>44</v>
      </c>
      <c r="I15" t="s">
        <v>1532</v>
      </c>
      <c r="J15" t="s">
        <v>68</v>
      </c>
      <c r="K15" t="s">
        <v>264</v>
      </c>
      <c r="L15" t="s">
        <v>46</v>
      </c>
      <c r="M15" t="s">
        <v>215</v>
      </c>
      <c r="N15" t="s">
        <v>1259</v>
      </c>
      <c r="O15" t="s">
        <v>51</v>
      </c>
      <c r="P15" t="s">
        <v>72</v>
      </c>
      <c r="Q15" s="133">
        <v>6828.64</v>
      </c>
      <c r="R15" s="135">
        <v>3.165</v>
      </c>
      <c r="S15" s="139">
        <v>19370</v>
      </c>
      <c r="T15" s="133">
        <v>4186.3689999999997</v>
      </c>
      <c r="U15" s="137">
        <v>7.4899999999999999E-4</v>
      </c>
      <c r="V15" s="137">
        <v>0.13017212748329601</v>
      </c>
      <c r="W15" s="137">
        <v>2.13628512929687E-3</v>
      </c>
    </row>
    <row r="16" spans="1:23">
      <c r="A16">
        <v>161</v>
      </c>
      <c r="B16">
        <v>12468</v>
      </c>
      <c r="C16" t="s">
        <v>3128</v>
      </c>
      <c r="D16" t="s">
        <v>3129</v>
      </c>
      <c r="E16" t="s">
        <v>41</v>
      </c>
      <c r="F16" t="s">
        <v>3351</v>
      </c>
      <c r="G16" t="s">
        <v>3352</v>
      </c>
      <c r="H16" t="s">
        <v>44</v>
      </c>
      <c r="I16" t="s">
        <v>1476</v>
      </c>
      <c r="J16" t="s">
        <v>45</v>
      </c>
      <c r="K16" t="s">
        <v>45</v>
      </c>
      <c r="L16" t="s">
        <v>46</v>
      </c>
      <c r="M16" t="s">
        <v>47</v>
      </c>
      <c r="N16" t="s">
        <v>1153</v>
      </c>
      <c r="O16" t="s">
        <v>51</v>
      </c>
      <c r="P16" t="s">
        <v>52</v>
      </c>
      <c r="Q16" s="133">
        <v>190000</v>
      </c>
      <c r="R16" s="135">
        <v>1</v>
      </c>
      <c r="S16" s="139">
        <v>443.87</v>
      </c>
      <c r="T16" s="133">
        <v>843.35299999999995</v>
      </c>
      <c r="U16" s="137">
        <v>4.0499999999999998E-4</v>
      </c>
      <c r="V16" s="137">
        <v>0.82500845849875004</v>
      </c>
      <c r="W16" s="137">
        <v>2.6123647902723601E-2</v>
      </c>
    </row>
    <row r="17" spans="1:23">
      <c r="A17">
        <v>161</v>
      </c>
      <c r="B17">
        <v>12468</v>
      </c>
      <c r="C17" t="s">
        <v>3347</v>
      </c>
      <c r="D17" t="s">
        <v>3348</v>
      </c>
      <c r="E17" t="s">
        <v>64</v>
      </c>
      <c r="F17" t="s">
        <v>3349</v>
      </c>
      <c r="G17" t="s">
        <v>3350</v>
      </c>
      <c r="H17" t="s">
        <v>44</v>
      </c>
      <c r="I17" t="s">
        <v>1476</v>
      </c>
      <c r="J17" t="s">
        <v>68</v>
      </c>
      <c r="K17" t="s">
        <v>264</v>
      </c>
      <c r="L17" t="s">
        <v>46</v>
      </c>
      <c r="M17" t="s">
        <v>215</v>
      </c>
      <c r="N17" t="s">
        <v>1316</v>
      </c>
      <c r="O17" t="s">
        <v>51</v>
      </c>
      <c r="P17" t="s">
        <v>72</v>
      </c>
      <c r="Q17" s="133">
        <v>19000</v>
      </c>
      <c r="R17" s="135">
        <v>3.165</v>
      </c>
      <c r="S17" s="139">
        <v>204.72</v>
      </c>
      <c r="T17" s="133">
        <v>123.108</v>
      </c>
      <c r="U17" s="137">
        <v>6.7000000000000002E-5</v>
      </c>
      <c r="V17" s="137">
        <v>0.120430529341819</v>
      </c>
      <c r="W17" s="137">
        <v>3.8133969571525999E-3</v>
      </c>
    </row>
    <row r="18" spans="1:23">
      <c r="A18">
        <v>161</v>
      </c>
      <c r="B18">
        <v>12468</v>
      </c>
      <c r="C18" t="s">
        <v>3347</v>
      </c>
      <c r="D18" t="s">
        <v>3348</v>
      </c>
      <c r="E18" t="s">
        <v>64</v>
      </c>
      <c r="F18" t="s">
        <v>3353</v>
      </c>
      <c r="G18" t="s">
        <v>3354</v>
      </c>
      <c r="H18" t="s">
        <v>44</v>
      </c>
      <c r="I18" t="s">
        <v>1476</v>
      </c>
      <c r="J18" t="s">
        <v>68</v>
      </c>
      <c r="K18" t="s">
        <v>464</v>
      </c>
      <c r="L18" t="s">
        <v>46</v>
      </c>
      <c r="M18" t="s">
        <v>215</v>
      </c>
      <c r="N18" t="s">
        <v>1316</v>
      </c>
      <c r="O18" t="s">
        <v>51</v>
      </c>
      <c r="P18" t="s">
        <v>622</v>
      </c>
      <c r="Q18" s="133">
        <v>1500</v>
      </c>
      <c r="R18" s="135">
        <v>4.1872999999999996</v>
      </c>
      <c r="S18" s="139">
        <v>887.99</v>
      </c>
      <c r="T18" s="133">
        <v>55.774000000000001</v>
      </c>
      <c r="U18" s="137">
        <v>0</v>
      </c>
      <c r="V18" s="137">
        <v>5.4561012159431301E-2</v>
      </c>
      <c r="W18" s="137">
        <v>1.72765825148369E-3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9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161</v>
      </c>
      <c r="B2">
        <v>9938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8000</v>
      </c>
      <c r="S2" s="133">
        <v>1</v>
      </c>
      <c r="T2" s="133">
        <v>318</v>
      </c>
      <c r="U2" s="135">
        <v>1</v>
      </c>
      <c r="V2" s="139">
        <v>1281</v>
      </c>
      <c r="W2" s="133">
        <v>4.0739999999999998</v>
      </c>
      <c r="X2" s="137">
        <v>0.13625571888155799</v>
      </c>
      <c r="Y2" s="137">
        <v>4.6678901782310103E-5</v>
      </c>
    </row>
    <row r="3" spans="1:25">
      <c r="A3">
        <v>161</v>
      </c>
      <c r="B3">
        <v>9938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58000</v>
      </c>
      <c r="S3" s="133">
        <v>1</v>
      </c>
      <c r="T3" s="133">
        <v>170</v>
      </c>
      <c r="U3" s="135">
        <v>1</v>
      </c>
      <c r="V3" s="139">
        <v>15190</v>
      </c>
      <c r="W3" s="133">
        <v>25.823</v>
      </c>
      <c r="X3" s="137">
        <v>0.86374428111844204</v>
      </c>
      <c r="Y3" s="137">
        <v>2.9590416310090701E-4</v>
      </c>
    </row>
    <row r="4" spans="1:25">
      <c r="A4">
        <v>161</v>
      </c>
      <c r="B4">
        <v>9942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41" t="s">
        <v>50</v>
      </c>
      <c r="P4" t="s">
        <v>51</v>
      </c>
      <c r="Q4" t="s">
        <v>52</v>
      </c>
      <c r="R4" s="139">
        <v>8000</v>
      </c>
      <c r="S4" s="133">
        <v>1</v>
      </c>
      <c r="T4" s="133">
        <v>492</v>
      </c>
      <c r="U4" s="135">
        <v>1</v>
      </c>
      <c r="V4" s="139">
        <v>1281</v>
      </c>
      <c r="W4" s="133">
        <v>6.3029999999999999</v>
      </c>
      <c r="X4" s="137">
        <v>0.14041446252121001</v>
      </c>
      <c r="Y4" s="137">
        <v>6.2400713289753501E-5</v>
      </c>
    </row>
    <row r="5" spans="1:25">
      <c r="A5">
        <v>161</v>
      </c>
      <c r="B5">
        <v>9942</v>
      </c>
      <c r="C5" t="s">
        <v>53</v>
      </c>
      <c r="D5" t="s">
        <v>54</v>
      </c>
      <c r="E5" t="s">
        <v>41</v>
      </c>
      <c r="F5" t="s">
        <v>55</v>
      </c>
      <c r="G5" t="s">
        <v>56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57</v>
      </c>
      <c r="N5" t="s">
        <v>58</v>
      </c>
      <c r="O5" s="141" t="s">
        <v>59</v>
      </c>
      <c r="P5" t="s">
        <v>51</v>
      </c>
      <c r="Q5" t="s">
        <v>52</v>
      </c>
      <c r="R5" s="139">
        <v>58000</v>
      </c>
      <c r="S5" s="133">
        <v>1</v>
      </c>
      <c r="T5" s="133">
        <v>254</v>
      </c>
      <c r="U5" s="135">
        <v>1</v>
      </c>
      <c r="V5" s="139">
        <v>15190</v>
      </c>
      <c r="W5" s="133">
        <v>38.582999999999998</v>
      </c>
      <c r="X5" s="137">
        <v>0.85958553747878996</v>
      </c>
      <c r="Y5" s="137">
        <v>3.8200303379810701E-4</v>
      </c>
    </row>
    <row r="6" spans="1:25">
      <c r="A6">
        <v>161</v>
      </c>
      <c r="B6">
        <v>9943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41" t="s">
        <v>50</v>
      </c>
      <c r="P6" t="s">
        <v>51</v>
      </c>
      <c r="Q6" t="s">
        <v>52</v>
      </c>
      <c r="R6" s="139">
        <v>8000</v>
      </c>
      <c r="S6" s="133">
        <v>1</v>
      </c>
      <c r="T6" s="133">
        <v>1667</v>
      </c>
      <c r="U6" s="135">
        <v>1</v>
      </c>
      <c r="V6" s="139">
        <v>1281</v>
      </c>
      <c r="W6" s="133">
        <v>21.353999999999999</v>
      </c>
      <c r="X6" s="137">
        <v>5.90775519594526E-2</v>
      </c>
      <c r="Y6" s="137">
        <v>1.08969860312616E-5</v>
      </c>
    </row>
    <row r="7" spans="1:25">
      <c r="A7">
        <v>161</v>
      </c>
      <c r="B7">
        <v>9943</v>
      </c>
      <c r="C7" t="s">
        <v>53</v>
      </c>
      <c r="D7" t="s">
        <v>54</v>
      </c>
      <c r="E7" t="s">
        <v>41</v>
      </c>
      <c r="F7" t="s">
        <v>55</v>
      </c>
      <c r="G7" t="s">
        <v>56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57</v>
      </c>
      <c r="N7" t="s">
        <v>58</v>
      </c>
      <c r="O7" s="141" t="s">
        <v>59</v>
      </c>
      <c r="P7" t="s">
        <v>51</v>
      </c>
      <c r="Q7" t="s">
        <v>52</v>
      </c>
      <c r="R7" s="139">
        <v>58000</v>
      </c>
      <c r="S7" s="133">
        <v>1</v>
      </c>
      <c r="T7" s="133">
        <v>2202</v>
      </c>
      <c r="U7" s="135">
        <v>1</v>
      </c>
      <c r="V7" s="139">
        <v>15190</v>
      </c>
      <c r="W7" s="133">
        <v>334.48399999999998</v>
      </c>
      <c r="X7" s="137">
        <v>0.92536453243754802</v>
      </c>
      <c r="Y7" s="137">
        <v>1.70685548898806E-4</v>
      </c>
    </row>
    <row r="8" spans="1:25">
      <c r="A8">
        <v>161</v>
      </c>
      <c r="B8">
        <v>9943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41" t="s">
        <v>50</v>
      </c>
      <c r="P8" t="s">
        <v>51</v>
      </c>
      <c r="Q8" t="s">
        <v>52</v>
      </c>
      <c r="R8" s="139">
        <v>8000</v>
      </c>
      <c r="S8" s="133">
        <v>1</v>
      </c>
      <c r="T8" s="133">
        <v>439</v>
      </c>
      <c r="U8" s="135">
        <v>1</v>
      </c>
      <c r="V8" s="139">
        <v>1281</v>
      </c>
      <c r="W8" s="133">
        <v>5.6239999999999997</v>
      </c>
      <c r="X8" s="137">
        <v>1.5557915602999199E-2</v>
      </c>
      <c r="Y8" s="137">
        <v>2.8696921821978699E-6</v>
      </c>
    </row>
    <row r="9" spans="1:25">
      <c r="A9">
        <v>161</v>
      </c>
      <c r="B9">
        <v>12468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s="141" t="s">
        <v>50</v>
      </c>
      <c r="P9" t="s">
        <v>51</v>
      </c>
      <c r="Q9" t="s">
        <v>52</v>
      </c>
      <c r="R9" s="139">
        <v>8000</v>
      </c>
      <c r="S9" s="133">
        <v>1</v>
      </c>
      <c r="T9" s="133">
        <v>120</v>
      </c>
      <c r="U9" s="135">
        <v>1</v>
      </c>
      <c r="V9" s="139">
        <v>1281</v>
      </c>
      <c r="W9" s="133">
        <v>1.5369999999999999</v>
      </c>
      <c r="X9" s="137">
        <v>1</v>
      </c>
      <c r="Y9" s="137">
        <v>4.7616207633181698E-5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61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61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161</v>
      </c>
      <c r="B2">
        <v>9938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51</v>
      </c>
      <c r="N2" t="s">
        <v>72</v>
      </c>
      <c r="O2" s="133">
        <v>14</v>
      </c>
      <c r="P2" s="135">
        <v>3.165</v>
      </c>
      <c r="Q2" s="139">
        <v>6570.75</v>
      </c>
      <c r="R2" s="133">
        <v>-573.90899999999999</v>
      </c>
      <c r="S2" s="137">
        <v>0.88703671957130403</v>
      </c>
      <c r="T2" s="137">
        <v>-6.5763922236999504E-3</v>
      </c>
    </row>
    <row r="3" spans="1:20">
      <c r="A3">
        <v>161</v>
      </c>
      <c r="B3">
        <v>9938</v>
      </c>
      <c r="C3" t="s">
        <v>62</v>
      </c>
      <c r="D3" t="s">
        <v>63</v>
      </c>
      <c r="E3" t="s">
        <v>64</v>
      </c>
      <c r="F3" t="s">
        <v>73</v>
      </c>
      <c r="G3" t="s">
        <v>74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51</v>
      </c>
      <c r="N3" t="s">
        <v>72</v>
      </c>
      <c r="O3" s="133">
        <v>9</v>
      </c>
      <c r="P3" s="135">
        <v>3.165</v>
      </c>
      <c r="Q3" s="139">
        <v>23915</v>
      </c>
      <c r="R3" s="133">
        <v>-73.087000000000003</v>
      </c>
      <c r="S3" s="137">
        <v>0.11296328042869599</v>
      </c>
      <c r="T3" s="137">
        <v>-8.3749727895587401E-4</v>
      </c>
    </row>
    <row r="4" spans="1:20">
      <c r="A4">
        <v>161</v>
      </c>
      <c r="B4">
        <v>9942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51</v>
      </c>
      <c r="N4" t="s">
        <v>72</v>
      </c>
      <c r="O4" s="133">
        <v>4</v>
      </c>
      <c r="P4" s="135">
        <v>3.165</v>
      </c>
      <c r="Q4" s="139">
        <v>6570.75</v>
      </c>
      <c r="R4" s="133">
        <v>-163.97399999999999</v>
      </c>
      <c r="S4" s="137">
        <v>0.54283362811180003</v>
      </c>
      <c r="T4" s="137">
        <v>-1.6234936870950299E-3</v>
      </c>
    </row>
    <row r="5" spans="1:20">
      <c r="A5">
        <v>161</v>
      </c>
      <c r="B5">
        <v>9942</v>
      </c>
      <c r="C5" t="s">
        <v>62</v>
      </c>
      <c r="D5" t="s">
        <v>63</v>
      </c>
      <c r="E5" t="s">
        <v>64</v>
      </c>
      <c r="F5" t="s">
        <v>75</v>
      </c>
      <c r="G5" t="s">
        <v>76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51</v>
      </c>
      <c r="N5" t="s">
        <v>72</v>
      </c>
      <c r="O5" s="133">
        <v>30</v>
      </c>
      <c r="P5" s="135">
        <v>3.165</v>
      </c>
      <c r="Q5" s="139">
        <v>6570.75</v>
      </c>
      <c r="R5" s="133">
        <v>-123.03100000000001</v>
      </c>
      <c r="S5" s="137">
        <v>0.40729260989753402</v>
      </c>
      <c r="T5" s="137">
        <v>-1.21812088773711E-3</v>
      </c>
    </row>
    <row r="6" spans="1:20">
      <c r="A6">
        <v>161</v>
      </c>
      <c r="B6">
        <v>9942</v>
      </c>
      <c r="C6" t="s">
        <v>77</v>
      </c>
      <c r="D6" t="s">
        <v>78</v>
      </c>
      <c r="E6" t="s">
        <v>64</v>
      </c>
      <c r="F6" t="s">
        <v>79</v>
      </c>
      <c r="G6" t="s">
        <v>80</v>
      </c>
      <c r="H6" t="s">
        <v>67</v>
      </c>
      <c r="I6" t="s">
        <v>68</v>
      </c>
      <c r="J6" t="s">
        <v>69</v>
      </c>
      <c r="K6" t="s">
        <v>81</v>
      </c>
      <c r="L6" t="s">
        <v>71</v>
      </c>
      <c r="M6" t="s">
        <v>51</v>
      </c>
      <c r="N6" t="s">
        <v>72</v>
      </c>
      <c r="O6" s="133">
        <v>4</v>
      </c>
      <c r="P6" s="135">
        <v>3.165</v>
      </c>
      <c r="Q6" s="139">
        <v>1454.6</v>
      </c>
      <c r="R6" s="133">
        <v>-15.065</v>
      </c>
      <c r="S6" s="137">
        <v>4.9873761990665899E-2</v>
      </c>
      <c r="T6" s="137">
        <v>-1.49161241217078E-4</v>
      </c>
    </row>
    <row r="7" spans="1:20">
      <c r="A7">
        <v>161</v>
      </c>
      <c r="B7">
        <v>9943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51</v>
      </c>
      <c r="N7" t="s">
        <v>72</v>
      </c>
      <c r="O7" s="133">
        <v>80</v>
      </c>
      <c r="P7" s="135">
        <v>3.165</v>
      </c>
      <c r="Q7" s="139">
        <v>6570.75</v>
      </c>
      <c r="R7" s="133">
        <v>-3279.482</v>
      </c>
      <c r="S7" s="137">
        <v>1</v>
      </c>
      <c r="T7" s="137">
        <v>-1.67350472529362E-3</v>
      </c>
    </row>
    <row r="8" spans="1:20">
      <c r="A8">
        <v>161</v>
      </c>
      <c r="B8">
        <v>12468</v>
      </c>
      <c r="C8" t="s">
        <v>62</v>
      </c>
      <c r="D8" t="s">
        <v>63</v>
      </c>
      <c r="E8" t="s">
        <v>64</v>
      </c>
      <c r="F8" t="s">
        <v>75</v>
      </c>
      <c r="G8" t="s">
        <v>76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51</v>
      </c>
      <c r="N8" t="s">
        <v>72</v>
      </c>
      <c r="O8" s="133">
        <v>51</v>
      </c>
      <c r="P8" s="135">
        <v>3.165</v>
      </c>
      <c r="Q8" s="139">
        <v>6570.75</v>
      </c>
      <c r="R8" s="133">
        <v>-191.38300000000001</v>
      </c>
      <c r="S8" s="137">
        <v>0.70360759939133199</v>
      </c>
      <c r="T8" s="137">
        <v>-5.9282710906108796E-3</v>
      </c>
    </row>
    <row r="9" spans="1:20">
      <c r="A9">
        <v>161</v>
      </c>
      <c r="B9">
        <v>12468</v>
      </c>
      <c r="C9" t="s">
        <v>62</v>
      </c>
      <c r="D9" t="s">
        <v>63</v>
      </c>
      <c r="E9" t="s">
        <v>64</v>
      </c>
      <c r="F9" t="s">
        <v>73</v>
      </c>
      <c r="G9" t="s">
        <v>74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51</v>
      </c>
      <c r="N9" t="s">
        <v>72</v>
      </c>
      <c r="O9" s="133">
        <v>9</v>
      </c>
      <c r="P9" s="135">
        <v>3.165</v>
      </c>
      <c r="Q9" s="139">
        <v>23915</v>
      </c>
      <c r="R9" s="133">
        <v>-73.087000000000003</v>
      </c>
      <c r="S9" s="137">
        <v>0.26869891855966399</v>
      </c>
      <c r="T9" s="137">
        <v>-2.2639323855422398E-3</v>
      </c>
    </row>
    <row r="10" spans="1:20">
      <c r="A10">
        <v>161</v>
      </c>
      <c r="B10">
        <v>12468</v>
      </c>
      <c r="C10" t="s">
        <v>77</v>
      </c>
      <c r="D10" t="s">
        <v>78</v>
      </c>
      <c r="E10" t="s">
        <v>64</v>
      </c>
      <c r="F10" t="s">
        <v>79</v>
      </c>
      <c r="G10" t="s">
        <v>80</v>
      </c>
      <c r="H10" t="s">
        <v>67</v>
      </c>
      <c r="I10" t="s">
        <v>68</v>
      </c>
      <c r="J10" t="s">
        <v>69</v>
      </c>
      <c r="K10" t="s">
        <v>81</v>
      </c>
      <c r="L10" t="s">
        <v>71</v>
      </c>
      <c r="M10" t="s">
        <v>51</v>
      </c>
      <c r="N10" t="s">
        <v>72</v>
      </c>
      <c r="O10" s="133">
        <v>2</v>
      </c>
      <c r="P10" s="135">
        <v>3.165</v>
      </c>
      <c r="Q10" s="139">
        <v>1454.6</v>
      </c>
      <c r="R10" s="133">
        <v>-7.5330000000000004</v>
      </c>
      <c r="S10" s="137">
        <v>2.7693482049003799E-2</v>
      </c>
      <c r="T10" s="137">
        <v>-2.3333242729538901E-4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61</v>
      </c>
      <c r="O1" s="14" t="s">
        <v>29</v>
      </c>
      <c r="P1" s="14" t="s">
        <v>82</v>
      </c>
      <c r="Q1" s="136" t="s">
        <v>83</v>
      </c>
      <c r="R1" s="136" t="s">
        <v>84</v>
      </c>
      <c r="S1" s="14" t="s">
        <v>85</v>
      </c>
      <c r="T1" s="14" t="s">
        <v>86</v>
      </c>
      <c r="U1" s="14" t="s">
        <v>87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161</v>
      </c>
      <c r="B2">
        <v>1434</v>
      </c>
      <c r="C2" t="s">
        <v>88</v>
      </c>
      <c r="D2" t="s">
        <v>89</v>
      </c>
      <c r="E2" t="s">
        <v>41</v>
      </c>
      <c r="F2" t="s">
        <v>90</v>
      </c>
      <c r="G2" t="s">
        <v>91</v>
      </c>
      <c r="H2" t="s">
        <v>44</v>
      </c>
      <c r="I2" t="s">
        <v>92</v>
      </c>
      <c r="J2" t="s">
        <v>45</v>
      </c>
      <c r="K2" t="s">
        <v>45</v>
      </c>
      <c r="L2" t="s">
        <v>46</v>
      </c>
      <c r="M2" t="s">
        <v>47</v>
      </c>
      <c r="N2" t="s">
        <v>93</v>
      </c>
      <c r="O2" t="s">
        <v>51</v>
      </c>
      <c r="P2" t="s">
        <v>94</v>
      </c>
      <c r="Q2" s="137">
        <v>5.0000000000000001E-4</v>
      </c>
      <c r="R2" s="137">
        <v>2.2939999999999999E-2</v>
      </c>
      <c r="S2" t="s">
        <v>95</v>
      </c>
      <c r="T2" t="s">
        <v>96</v>
      </c>
      <c r="U2" t="s">
        <v>97</v>
      </c>
      <c r="V2" t="s">
        <v>52</v>
      </c>
      <c r="W2" s="133">
        <v>70535.009999999995</v>
      </c>
      <c r="X2" s="135">
        <v>1</v>
      </c>
      <c r="Y2" s="139">
        <v>110</v>
      </c>
      <c r="Z2" s="133">
        <v>77.588999999999999</v>
      </c>
      <c r="AA2" s="137">
        <v>1</v>
      </c>
      <c r="AB2" s="137">
        <v>3.2574497164805701E-3</v>
      </c>
    </row>
    <row r="3" spans="1:28">
      <c r="A3">
        <v>161</v>
      </c>
      <c r="B3">
        <v>9938</v>
      </c>
      <c r="C3" t="s">
        <v>88</v>
      </c>
      <c r="D3" t="s">
        <v>89</v>
      </c>
      <c r="E3" t="s">
        <v>41</v>
      </c>
      <c r="F3" t="s">
        <v>90</v>
      </c>
      <c r="G3" t="s">
        <v>91</v>
      </c>
      <c r="H3" t="s">
        <v>44</v>
      </c>
      <c r="I3" t="s">
        <v>92</v>
      </c>
      <c r="J3" t="s">
        <v>45</v>
      </c>
      <c r="K3" t="s">
        <v>45</v>
      </c>
      <c r="L3" t="s">
        <v>46</v>
      </c>
      <c r="M3" t="s">
        <v>47</v>
      </c>
      <c r="N3" t="s">
        <v>93</v>
      </c>
      <c r="O3" t="s">
        <v>51</v>
      </c>
      <c r="P3" t="s">
        <v>94</v>
      </c>
      <c r="Q3" s="137">
        <v>5.0000000000000001E-4</v>
      </c>
      <c r="R3" s="137">
        <v>2.2939999999999999E-2</v>
      </c>
      <c r="S3" t="s">
        <v>95</v>
      </c>
      <c r="T3" t="s">
        <v>96</v>
      </c>
      <c r="U3" t="s">
        <v>97</v>
      </c>
      <c r="V3" t="s">
        <v>52</v>
      </c>
      <c r="W3" s="133">
        <v>30000.01</v>
      </c>
      <c r="X3" s="135">
        <v>1</v>
      </c>
      <c r="Y3" s="139">
        <v>110</v>
      </c>
      <c r="Z3" s="133">
        <v>33</v>
      </c>
      <c r="AA3" s="137">
        <v>1</v>
      </c>
      <c r="AB3" s="137">
        <v>3.7814508915601301E-4</v>
      </c>
    </row>
    <row r="4" spans="1:28">
      <c r="A4">
        <v>161</v>
      </c>
      <c r="B4">
        <v>9942</v>
      </c>
      <c r="C4" t="s">
        <v>88</v>
      </c>
      <c r="D4" t="s">
        <v>89</v>
      </c>
      <c r="E4" t="s">
        <v>41</v>
      </c>
      <c r="F4" t="s">
        <v>90</v>
      </c>
      <c r="G4" t="s">
        <v>91</v>
      </c>
      <c r="H4" t="s">
        <v>44</v>
      </c>
      <c r="I4" t="s">
        <v>92</v>
      </c>
      <c r="J4" t="s">
        <v>45</v>
      </c>
      <c r="K4" t="s">
        <v>45</v>
      </c>
      <c r="L4" t="s">
        <v>46</v>
      </c>
      <c r="M4" t="s">
        <v>47</v>
      </c>
      <c r="N4" t="s">
        <v>93</v>
      </c>
      <c r="O4" t="s">
        <v>51</v>
      </c>
      <c r="P4" t="s">
        <v>94</v>
      </c>
      <c r="Q4" s="137">
        <v>5.0000000000000001E-4</v>
      </c>
      <c r="R4" s="137">
        <v>2.2939999999999999E-2</v>
      </c>
      <c r="S4" t="s">
        <v>95</v>
      </c>
      <c r="T4" t="s">
        <v>96</v>
      </c>
      <c r="U4" t="s">
        <v>97</v>
      </c>
      <c r="V4" t="s">
        <v>52</v>
      </c>
      <c r="W4" s="133">
        <v>58636.37</v>
      </c>
      <c r="X4" s="135">
        <v>1</v>
      </c>
      <c r="Y4" s="139">
        <v>110</v>
      </c>
      <c r="Z4" s="133">
        <v>64.5</v>
      </c>
      <c r="AA4" s="137">
        <v>1</v>
      </c>
      <c r="AB4" s="137">
        <v>6.3860907129118199E-4</v>
      </c>
    </row>
    <row r="5" spans="1:28">
      <c r="A5">
        <v>161</v>
      </c>
      <c r="B5">
        <v>9943</v>
      </c>
      <c r="C5" t="s">
        <v>88</v>
      </c>
      <c r="D5" t="s">
        <v>89</v>
      </c>
      <c r="E5" t="s">
        <v>41</v>
      </c>
      <c r="F5" t="s">
        <v>98</v>
      </c>
      <c r="G5" t="s">
        <v>99</v>
      </c>
      <c r="H5" t="s">
        <v>44</v>
      </c>
      <c r="I5" t="s">
        <v>92</v>
      </c>
      <c r="J5" t="s">
        <v>45</v>
      </c>
      <c r="K5" t="s">
        <v>45</v>
      </c>
      <c r="L5" t="s">
        <v>46</v>
      </c>
      <c r="M5" t="s">
        <v>47</v>
      </c>
      <c r="N5" t="s">
        <v>100</v>
      </c>
      <c r="O5" t="s">
        <v>51</v>
      </c>
      <c r="P5" t="s">
        <v>101</v>
      </c>
      <c r="Q5" s="137">
        <v>8.8858000000000006E-2</v>
      </c>
      <c r="R5" s="137">
        <v>1E-4</v>
      </c>
      <c r="S5" t="s">
        <v>95</v>
      </c>
      <c r="T5" t="s">
        <v>96</v>
      </c>
      <c r="U5" t="s">
        <v>97</v>
      </c>
      <c r="V5" t="s">
        <v>52</v>
      </c>
      <c r="W5" s="133">
        <v>2986876</v>
      </c>
      <c r="X5" s="135">
        <v>1</v>
      </c>
      <c r="Y5" s="139">
        <v>92.15</v>
      </c>
      <c r="Z5" s="133">
        <v>2752.4059999999999</v>
      </c>
      <c r="AA5" s="137">
        <v>0.68161245102497503</v>
      </c>
      <c r="AB5" s="137">
        <v>1.40454027621902E-3</v>
      </c>
    </row>
    <row r="6" spans="1:28">
      <c r="A6">
        <v>161</v>
      </c>
      <c r="B6">
        <v>9943</v>
      </c>
      <c r="C6" t="s">
        <v>88</v>
      </c>
      <c r="D6" t="s">
        <v>89</v>
      </c>
      <c r="E6" t="s">
        <v>41</v>
      </c>
      <c r="F6" t="s">
        <v>90</v>
      </c>
      <c r="G6" t="s">
        <v>91</v>
      </c>
      <c r="H6" t="s">
        <v>44</v>
      </c>
      <c r="I6" t="s">
        <v>92</v>
      </c>
      <c r="J6" t="s">
        <v>45</v>
      </c>
      <c r="K6" t="s">
        <v>45</v>
      </c>
      <c r="L6" t="s">
        <v>46</v>
      </c>
      <c r="M6" t="s">
        <v>47</v>
      </c>
      <c r="N6" t="s">
        <v>93</v>
      </c>
      <c r="O6" t="s">
        <v>51</v>
      </c>
      <c r="P6" t="s">
        <v>94</v>
      </c>
      <c r="Q6" s="137">
        <v>5.0000000000000001E-4</v>
      </c>
      <c r="R6" s="137">
        <v>2.2939999999999999E-2</v>
      </c>
      <c r="S6" t="s">
        <v>95</v>
      </c>
      <c r="T6" t="s">
        <v>96</v>
      </c>
      <c r="U6" t="s">
        <v>97</v>
      </c>
      <c r="V6" t="s">
        <v>52</v>
      </c>
      <c r="W6" s="133">
        <v>1168795.17</v>
      </c>
      <c r="X6" s="135">
        <v>1</v>
      </c>
      <c r="Y6" s="139">
        <v>110</v>
      </c>
      <c r="Z6" s="133">
        <v>1285.675</v>
      </c>
      <c r="AA6" s="137">
        <v>0.31838754897502503</v>
      </c>
      <c r="AB6" s="137">
        <v>6.5607389552467402E-4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60</v>
      </c>
      <c r="H1" s="14" t="s">
        <v>22</v>
      </c>
      <c r="I1" s="14" t="s">
        <v>23</v>
      </c>
      <c r="J1" s="14" t="s">
        <v>102</v>
      </c>
      <c r="K1" s="14" t="s">
        <v>85</v>
      </c>
      <c r="L1" s="14" t="s">
        <v>86</v>
      </c>
      <c r="M1" s="14" t="s">
        <v>30</v>
      </c>
      <c r="N1" s="14" t="s">
        <v>82</v>
      </c>
      <c r="O1" s="14" t="s">
        <v>103</v>
      </c>
      <c r="P1" s="14" t="s">
        <v>83</v>
      </c>
      <c r="Q1" s="14" t="s">
        <v>84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104</v>
      </c>
      <c r="W1" s="14" t="s">
        <v>105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60</v>
      </c>
      <c r="D1" s="14" t="s">
        <v>19</v>
      </c>
      <c r="E1" s="14" t="s">
        <v>20</v>
      </c>
      <c r="F1" s="14" t="s">
        <v>102</v>
      </c>
      <c r="G1" s="14" t="s">
        <v>82</v>
      </c>
      <c r="H1" s="14" t="s">
        <v>106</v>
      </c>
      <c r="I1" s="14" t="s">
        <v>103</v>
      </c>
      <c r="J1" s="14" t="s">
        <v>83</v>
      </c>
      <c r="K1" s="14" t="s">
        <v>84</v>
      </c>
      <c r="L1" s="14" t="s">
        <v>33</v>
      </c>
      <c r="M1" s="14" t="s">
        <v>35</v>
      </c>
      <c r="N1" s="14" t="s">
        <v>36</v>
      </c>
      <c r="O1" s="14" t="s">
        <v>104</v>
      </c>
      <c r="P1" s="14" t="s">
        <v>105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107</v>
      </c>
      <c r="B1" s="14" t="s">
        <v>15</v>
      </c>
      <c r="C1" s="14" t="s">
        <v>60</v>
      </c>
      <c r="D1" s="14" t="s">
        <v>108</v>
      </c>
      <c r="E1" s="14" t="s">
        <v>109</v>
      </c>
      <c r="F1" s="14" t="s">
        <v>110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102</v>
      </c>
      <c r="O1" s="14" t="s">
        <v>85</v>
      </c>
      <c r="P1" s="14" t="s">
        <v>86</v>
      </c>
      <c r="Q1" s="14" t="s">
        <v>87</v>
      </c>
      <c r="R1" s="14" t="s">
        <v>30</v>
      </c>
      <c r="S1" s="14" t="s">
        <v>82</v>
      </c>
      <c r="T1" s="14" t="s">
        <v>106</v>
      </c>
      <c r="U1" s="14" t="s">
        <v>111</v>
      </c>
      <c r="V1" s="14" t="s">
        <v>103</v>
      </c>
      <c r="W1" s="14" t="s">
        <v>83</v>
      </c>
      <c r="X1" s="14" t="s">
        <v>84</v>
      </c>
      <c r="Y1" s="14" t="s">
        <v>112</v>
      </c>
      <c r="Z1" s="14" t="s">
        <v>113</v>
      </c>
      <c r="AA1" s="14" t="s">
        <v>114</v>
      </c>
      <c r="AB1" s="14" t="s">
        <v>115</v>
      </c>
      <c r="AC1" s="14" t="s">
        <v>116</v>
      </c>
      <c r="AD1" s="14" t="s">
        <v>117</v>
      </c>
      <c r="AE1" s="14" t="s">
        <v>118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104</v>
      </c>
      <c r="AK1" s="14" t="s">
        <v>119</v>
      </c>
      <c r="AL1" s="14" t="s">
        <v>105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1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102</v>
      </c>
      <c r="P1" s="14" t="s">
        <v>85</v>
      </c>
      <c r="Q1" s="14" t="s">
        <v>86</v>
      </c>
      <c r="R1" s="14" t="s">
        <v>87</v>
      </c>
      <c r="S1" s="14" t="s">
        <v>30</v>
      </c>
      <c r="T1" s="14" t="s">
        <v>82</v>
      </c>
      <c r="U1" s="14" t="s">
        <v>103</v>
      </c>
      <c r="V1" s="136" t="s">
        <v>84</v>
      </c>
      <c r="W1" s="136" t="s">
        <v>83</v>
      </c>
      <c r="X1" s="14" t="s">
        <v>112</v>
      </c>
      <c r="Y1" s="14" t="s">
        <v>113</v>
      </c>
      <c r="Z1" s="14" t="s">
        <v>114</v>
      </c>
      <c r="AA1" s="14" t="s">
        <v>115</v>
      </c>
      <c r="AB1" s="140" t="s">
        <v>117</v>
      </c>
      <c r="AC1" s="140" t="s">
        <v>118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104</v>
      </c>
      <c r="AI1" s="14" t="s">
        <v>119</v>
      </c>
      <c r="AJ1" s="14" t="s">
        <v>105</v>
      </c>
      <c r="AK1" s="136" t="s">
        <v>37</v>
      </c>
      <c r="AL1" s="136" t="s">
        <v>38</v>
      </c>
    </row>
    <row r="2" spans="1:38">
      <c r="A2">
        <v>161</v>
      </c>
      <c r="B2">
        <v>1434</v>
      </c>
      <c r="C2" t="s">
        <v>120</v>
      </c>
      <c r="D2" t="s">
        <v>121</v>
      </c>
      <c r="E2" t="s">
        <v>41</v>
      </c>
      <c r="F2" t="s">
        <v>122</v>
      </c>
      <c r="G2" t="s">
        <v>123</v>
      </c>
      <c r="H2" t="s">
        <v>44</v>
      </c>
      <c r="I2" t="s">
        <v>124</v>
      </c>
      <c r="J2" t="s">
        <v>68</v>
      </c>
      <c r="K2" t="s">
        <v>69</v>
      </c>
      <c r="L2" t="s">
        <v>125</v>
      </c>
      <c r="M2" t="s">
        <v>126</v>
      </c>
      <c r="N2" t="s">
        <v>51</v>
      </c>
      <c r="O2" s="141" t="s">
        <v>127</v>
      </c>
      <c r="P2" t="s">
        <v>128</v>
      </c>
      <c r="Q2" t="s">
        <v>96</v>
      </c>
      <c r="R2" t="s">
        <v>97</v>
      </c>
      <c r="S2" t="s">
        <v>72</v>
      </c>
      <c r="T2" t="s">
        <v>129</v>
      </c>
      <c r="U2" t="s">
        <v>130</v>
      </c>
      <c r="V2" s="137">
        <v>6.8099999999999994E-2</v>
      </c>
      <c r="W2" s="137">
        <v>6.5000000000000002E-2</v>
      </c>
      <c r="X2" t="s">
        <v>131</v>
      </c>
      <c r="Y2" t="s">
        <v>51</v>
      </c>
      <c r="Z2" t="s">
        <v>132</v>
      </c>
      <c r="AA2" t="s">
        <v>133</v>
      </c>
      <c r="AB2" s="141" t="s">
        <v>134</v>
      </c>
      <c r="AC2" s="141" t="s">
        <v>134</v>
      </c>
      <c r="AD2" s="133">
        <v>4000</v>
      </c>
      <c r="AE2" s="135">
        <v>3.165</v>
      </c>
      <c r="AF2" s="139">
        <v>101.39</v>
      </c>
      <c r="AG2" s="133">
        <v>12.836</v>
      </c>
      <c r="AJ2" t="s">
        <v>135</v>
      </c>
      <c r="AK2" s="137">
        <v>2.8333586996358601E-2</v>
      </c>
      <c r="AL2" s="137">
        <v>5.3890117658079604E-4</v>
      </c>
    </row>
    <row r="3" spans="1:38">
      <c r="A3">
        <v>161</v>
      </c>
      <c r="B3">
        <v>1434</v>
      </c>
      <c r="C3" t="s">
        <v>136</v>
      </c>
      <c r="D3" t="s">
        <v>137</v>
      </c>
      <c r="E3" t="s">
        <v>41</v>
      </c>
      <c r="F3" t="s">
        <v>138</v>
      </c>
      <c r="G3" t="s">
        <v>139</v>
      </c>
      <c r="H3" t="s">
        <v>44</v>
      </c>
      <c r="I3" t="s">
        <v>140</v>
      </c>
      <c r="J3" t="s">
        <v>45</v>
      </c>
      <c r="K3" t="s">
        <v>45</v>
      </c>
      <c r="L3" t="s">
        <v>125</v>
      </c>
      <c r="M3" t="s">
        <v>58</v>
      </c>
      <c r="N3" t="s">
        <v>51</v>
      </c>
      <c r="O3" s="141" t="s">
        <v>141</v>
      </c>
      <c r="P3" t="s">
        <v>128</v>
      </c>
      <c r="Q3" t="s">
        <v>96</v>
      </c>
      <c r="R3" t="s">
        <v>97</v>
      </c>
      <c r="S3" t="s">
        <v>52</v>
      </c>
      <c r="T3" t="s">
        <v>142</v>
      </c>
      <c r="U3" t="s">
        <v>143</v>
      </c>
      <c r="V3" s="137">
        <v>3.6200000000000003E-2</v>
      </c>
      <c r="W3" s="137">
        <v>3.8399999999999997E-2</v>
      </c>
      <c r="X3" t="s">
        <v>131</v>
      </c>
      <c r="Y3" t="s">
        <v>51</v>
      </c>
      <c r="Z3" t="s">
        <v>132</v>
      </c>
      <c r="AA3" t="s">
        <v>133</v>
      </c>
      <c r="AB3" s="141" t="s">
        <v>134</v>
      </c>
      <c r="AC3" s="141" t="s">
        <v>134</v>
      </c>
      <c r="AD3" s="133">
        <v>80925</v>
      </c>
      <c r="AE3" s="135">
        <v>1</v>
      </c>
      <c r="AF3" s="139">
        <v>105.42</v>
      </c>
      <c r="AG3" s="133">
        <v>85.311000000000007</v>
      </c>
      <c r="AJ3" t="s">
        <v>135</v>
      </c>
      <c r="AK3" s="137">
        <v>0.18831219705498001</v>
      </c>
      <c r="AL3" s="137">
        <v>3.5816737418557501E-3</v>
      </c>
    </row>
    <row r="4" spans="1:38">
      <c r="A4">
        <v>161</v>
      </c>
      <c r="B4">
        <v>1434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44</v>
      </c>
      <c r="I4" t="s">
        <v>149</v>
      </c>
      <c r="J4" t="s">
        <v>45</v>
      </c>
      <c r="K4" t="s">
        <v>45</v>
      </c>
      <c r="L4" t="s">
        <v>125</v>
      </c>
      <c r="M4" t="s">
        <v>150</v>
      </c>
      <c r="N4" t="s">
        <v>51</v>
      </c>
      <c r="O4" s="141" t="s">
        <v>151</v>
      </c>
      <c r="P4" t="s">
        <v>128</v>
      </c>
      <c r="Q4" t="s">
        <v>96</v>
      </c>
      <c r="R4" t="s">
        <v>97</v>
      </c>
      <c r="S4" t="s">
        <v>52</v>
      </c>
      <c r="T4" t="s">
        <v>152</v>
      </c>
      <c r="U4" t="s">
        <v>143</v>
      </c>
      <c r="V4" s="137">
        <v>4.7899999999999998E-2</v>
      </c>
      <c r="W4" s="137">
        <v>2.86E-2</v>
      </c>
      <c r="X4" t="s">
        <v>131</v>
      </c>
      <c r="Y4" t="s">
        <v>51</v>
      </c>
      <c r="Z4" t="s">
        <v>132</v>
      </c>
      <c r="AA4" t="s">
        <v>133</v>
      </c>
      <c r="AB4" s="141" t="s">
        <v>134</v>
      </c>
      <c r="AC4" s="141" t="s">
        <v>134</v>
      </c>
      <c r="AD4" s="133">
        <v>11571.44</v>
      </c>
      <c r="AE4" s="135">
        <v>1</v>
      </c>
      <c r="AF4" s="139">
        <v>97.54</v>
      </c>
      <c r="AG4" s="133">
        <v>11.287000000000001</v>
      </c>
      <c r="AJ4" t="s">
        <v>135</v>
      </c>
      <c r="AK4" s="137">
        <v>2.4913967263106102E-2</v>
      </c>
      <c r="AL4" s="137">
        <v>4.73860449547344E-4</v>
      </c>
    </row>
    <row r="5" spans="1:38">
      <c r="A5">
        <v>161</v>
      </c>
      <c r="B5">
        <v>1434</v>
      </c>
      <c r="C5" t="s">
        <v>153</v>
      </c>
      <c r="D5" t="s">
        <v>154</v>
      </c>
      <c r="E5" t="s">
        <v>41</v>
      </c>
      <c r="F5" t="s">
        <v>155</v>
      </c>
      <c r="G5" t="s">
        <v>156</v>
      </c>
      <c r="H5" t="s">
        <v>44</v>
      </c>
      <c r="I5" t="s">
        <v>149</v>
      </c>
      <c r="J5" t="s">
        <v>45</v>
      </c>
      <c r="K5" t="s">
        <v>45</v>
      </c>
      <c r="L5" t="s">
        <v>125</v>
      </c>
      <c r="M5" t="s">
        <v>150</v>
      </c>
      <c r="N5" t="s">
        <v>51</v>
      </c>
      <c r="O5" s="141" t="s">
        <v>157</v>
      </c>
      <c r="P5" t="s">
        <v>158</v>
      </c>
      <c r="Q5" t="s">
        <v>159</v>
      </c>
      <c r="R5" t="s">
        <v>97</v>
      </c>
      <c r="S5" t="s">
        <v>52</v>
      </c>
      <c r="T5" t="s">
        <v>160</v>
      </c>
      <c r="U5" t="s">
        <v>130</v>
      </c>
      <c r="V5" s="137">
        <v>5.1299999999999998E-2</v>
      </c>
      <c r="W5" s="137">
        <v>4.4699999999999997E-2</v>
      </c>
      <c r="X5" t="s">
        <v>131</v>
      </c>
      <c r="Y5" t="s">
        <v>51</v>
      </c>
      <c r="Z5" t="s">
        <v>132</v>
      </c>
      <c r="AA5" t="s">
        <v>133</v>
      </c>
      <c r="AB5" s="141" t="s">
        <v>134</v>
      </c>
      <c r="AC5" s="141" t="s">
        <v>134</v>
      </c>
      <c r="AD5" s="133">
        <v>44706.6</v>
      </c>
      <c r="AE5" s="135">
        <v>1</v>
      </c>
      <c r="AF5" s="139">
        <v>100.47</v>
      </c>
      <c r="AG5" s="133">
        <v>44.917000000000002</v>
      </c>
      <c r="AJ5" t="s">
        <v>135</v>
      </c>
      <c r="AK5" s="137">
        <v>9.9147273328174398E-2</v>
      </c>
      <c r="AL5" s="137">
        <v>1.8857683729983699E-3</v>
      </c>
    </row>
    <row r="6" spans="1:38">
      <c r="A6">
        <v>161</v>
      </c>
      <c r="B6">
        <v>1434</v>
      </c>
      <c r="C6" t="s">
        <v>161</v>
      </c>
      <c r="D6" t="s">
        <v>162</v>
      </c>
      <c r="E6" t="s">
        <v>41</v>
      </c>
      <c r="F6" t="s">
        <v>163</v>
      </c>
      <c r="G6" t="s">
        <v>164</v>
      </c>
      <c r="H6" t="s">
        <v>44</v>
      </c>
      <c r="I6" t="s">
        <v>149</v>
      </c>
      <c r="J6" t="s">
        <v>45</v>
      </c>
      <c r="K6" t="s">
        <v>45</v>
      </c>
      <c r="L6" t="s">
        <v>125</v>
      </c>
      <c r="M6" t="s">
        <v>150</v>
      </c>
      <c r="N6" t="s">
        <v>51</v>
      </c>
      <c r="O6" s="141" t="s">
        <v>165</v>
      </c>
      <c r="P6" t="s">
        <v>166</v>
      </c>
      <c r="Q6" t="s">
        <v>167</v>
      </c>
      <c r="R6" t="s">
        <v>97</v>
      </c>
      <c r="S6" t="s">
        <v>52</v>
      </c>
      <c r="T6" t="s">
        <v>168</v>
      </c>
      <c r="U6" t="s">
        <v>169</v>
      </c>
      <c r="V6" s="137">
        <v>4.48E-2</v>
      </c>
      <c r="W6" s="137">
        <v>2.1000000000000001E-2</v>
      </c>
      <c r="X6" t="s">
        <v>131</v>
      </c>
      <c r="Y6" t="s">
        <v>51</v>
      </c>
      <c r="Z6" t="s">
        <v>132</v>
      </c>
      <c r="AA6" t="s">
        <v>133</v>
      </c>
      <c r="AB6" s="141" t="s">
        <v>134</v>
      </c>
      <c r="AC6" s="141" t="s">
        <v>134</v>
      </c>
      <c r="AD6" s="133">
        <v>11428.6</v>
      </c>
      <c r="AE6" s="135">
        <v>1</v>
      </c>
      <c r="AF6" s="139">
        <v>97.14</v>
      </c>
      <c r="AG6" s="133">
        <v>11.102</v>
      </c>
      <c r="AJ6" t="s">
        <v>135</v>
      </c>
      <c r="AK6" s="137">
        <v>2.45055165974527E-2</v>
      </c>
      <c r="AL6" s="137">
        <v>4.66091770476668E-4</v>
      </c>
    </row>
    <row r="7" spans="1:38">
      <c r="A7">
        <v>161</v>
      </c>
      <c r="B7">
        <v>1434</v>
      </c>
      <c r="C7" t="s">
        <v>170</v>
      </c>
      <c r="D7" t="s">
        <v>171</v>
      </c>
      <c r="E7" t="s">
        <v>41</v>
      </c>
      <c r="F7" t="s">
        <v>172</v>
      </c>
      <c r="G7" t="s">
        <v>173</v>
      </c>
      <c r="H7" t="s">
        <v>44</v>
      </c>
      <c r="I7" t="s">
        <v>140</v>
      </c>
      <c r="J7" t="s">
        <v>45</v>
      </c>
      <c r="K7" t="s">
        <v>45</v>
      </c>
      <c r="L7" t="s">
        <v>125</v>
      </c>
      <c r="M7" t="s">
        <v>1063</v>
      </c>
      <c r="N7" t="s">
        <v>51</v>
      </c>
      <c r="O7" s="141" t="s">
        <v>174</v>
      </c>
      <c r="P7" t="s">
        <v>175</v>
      </c>
      <c r="Q7" t="s">
        <v>167</v>
      </c>
      <c r="R7" t="s">
        <v>97</v>
      </c>
      <c r="S7" t="s">
        <v>52</v>
      </c>
      <c r="T7" t="s">
        <v>176</v>
      </c>
      <c r="U7" t="s">
        <v>177</v>
      </c>
      <c r="V7" s="137">
        <v>4.8000000000000001E-2</v>
      </c>
      <c r="W7" s="137">
        <v>4.4499999999999998E-2</v>
      </c>
      <c r="X7" t="s">
        <v>131</v>
      </c>
      <c r="Y7" t="s">
        <v>51</v>
      </c>
      <c r="Z7" t="s">
        <v>132</v>
      </c>
      <c r="AA7" t="s">
        <v>133</v>
      </c>
      <c r="AB7" s="141" t="s">
        <v>134</v>
      </c>
      <c r="AC7" s="141" t="s">
        <v>134</v>
      </c>
      <c r="AD7" s="133">
        <v>76500</v>
      </c>
      <c r="AE7" s="135">
        <v>1</v>
      </c>
      <c r="AF7" s="139">
        <v>104.03</v>
      </c>
      <c r="AG7" s="133">
        <v>79.582999999999998</v>
      </c>
      <c r="AJ7" t="s">
        <v>135</v>
      </c>
      <c r="AK7" s="137">
        <v>0.17566804336405301</v>
      </c>
      <c r="AL7" s="137">
        <v>3.3411835666518701E-3</v>
      </c>
    </row>
    <row r="8" spans="1:38">
      <c r="A8">
        <v>161</v>
      </c>
      <c r="B8">
        <v>1434</v>
      </c>
      <c r="C8" t="s">
        <v>178</v>
      </c>
      <c r="D8" t="s">
        <v>179</v>
      </c>
      <c r="E8" t="s">
        <v>41</v>
      </c>
      <c r="F8" t="s">
        <v>180</v>
      </c>
      <c r="G8" t="s">
        <v>181</v>
      </c>
      <c r="H8" t="s">
        <v>44</v>
      </c>
      <c r="I8" t="s">
        <v>149</v>
      </c>
      <c r="J8" t="s">
        <v>45</v>
      </c>
      <c r="K8" t="s">
        <v>45</v>
      </c>
      <c r="L8" t="s">
        <v>125</v>
      </c>
      <c r="M8" t="s">
        <v>58</v>
      </c>
      <c r="N8" t="s">
        <v>51</v>
      </c>
      <c r="O8" s="141" t="s">
        <v>182</v>
      </c>
      <c r="P8" t="s">
        <v>183</v>
      </c>
      <c r="Q8" t="s">
        <v>167</v>
      </c>
      <c r="R8" t="s">
        <v>97</v>
      </c>
      <c r="S8" t="s">
        <v>52</v>
      </c>
      <c r="T8" t="s">
        <v>184</v>
      </c>
      <c r="U8" t="s">
        <v>130</v>
      </c>
      <c r="V8" s="137">
        <v>4.5199999999999997E-2</v>
      </c>
      <c r="W8" s="137">
        <v>3.1E-2</v>
      </c>
      <c r="X8" t="s">
        <v>131</v>
      </c>
      <c r="Y8" t="s">
        <v>51</v>
      </c>
      <c r="Z8" t="s">
        <v>132</v>
      </c>
      <c r="AA8" t="s">
        <v>133</v>
      </c>
      <c r="AB8" s="141" t="s">
        <v>134</v>
      </c>
      <c r="AC8" s="141" t="s">
        <v>134</v>
      </c>
      <c r="AD8" s="133">
        <v>30178.09</v>
      </c>
      <c r="AE8" s="135">
        <v>1</v>
      </c>
      <c r="AF8" s="139">
        <v>99.02</v>
      </c>
      <c r="AG8" s="133">
        <v>29.882000000000001</v>
      </c>
      <c r="AJ8" t="s">
        <v>135</v>
      </c>
      <c r="AK8" s="137">
        <v>6.5961025920014404E-2</v>
      </c>
      <c r="AL8" s="137">
        <v>1.2545702201892199E-3</v>
      </c>
    </row>
    <row r="9" spans="1:38">
      <c r="A9">
        <v>161</v>
      </c>
      <c r="B9">
        <v>1434</v>
      </c>
      <c r="C9" t="s">
        <v>185</v>
      </c>
      <c r="D9" t="s">
        <v>186</v>
      </c>
      <c r="E9" t="s">
        <v>41</v>
      </c>
      <c r="F9" t="s">
        <v>187</v>
      </c>
      <c r="G9" t="s">
        <v>188</v>
      </c>
      <c r="H9" t="s">
        <v>44</v>
      </c>
      <c r="I9" t="s">
        <v>140</v>
      </c>
      <c r="J9" t="s">
        <v>45</v>
      </c>
      <c r="K9" t="s">
        <v>45</v>
      </c>
      <c r="L9" t="s">
        <v>125</v>
      </c>
      <c r="M9" t="s">
        <v>189</v>
      </c>
      <c r="N9" t="s">
        <v>51</v>
      </c>
      <c r="O9" s="141" t="s">
        <v>190</v>
      </c>
      <c r="P9" t="s">
        <v>95</v>
      </c>
      <c r="Q9" t="s">
        <v>96</v>
      </c>
      <c r="R9" t="s">
        <v>97</v>
      </c>
      <c r="S9" t="s">
        <v>52</v>
      </c>
      <c r="T9" t="s">
        <v>191</v>
      </c>
      <c r="U9" t="s">
        <v>192</v>
      </c>
      <c r="V9" s="137">
        <v>2.4299999999999999E-2</v>
      </c>
      <c r="W9" s="137">
        <v>2.3217999999999999E-2</v>
      </c>
      <c r="X9" t="s">
        <v>131</v>
      </c>
      <c r="Y9" t="s">
        <v>51</v>
      </c>
      <c r="Z9" t="s">
        <v>132</v>
      </c>
      <c r="AA9" t="s">
        <v>133</v>
      </c>
      <c r="AB9" s="141" t="s">
        <v>134</v>
      </c>
      <c r="AC9" s="141" t="s">
        <v>134</v>
      </c>
      <c r="AD9" s="133">
        <v>45670.02</v>
      </c>
      <c r="AE9" s="135">
        <v>1</v>
      </c>
      <c r="AF9" s="139">
        <v>118.21</v>
      </c>
      <c r="AG9" s="133">
        <v>53.987000000000002</v>
      </c>
      <c r="AJ9" t="s">
        <v>135</v>
      </c>
      <c r="AK9" s="137">
        <v>0.119167588106418</v>
      </c>
      <c r="AL9" s="137">
        <v>2.2665521823656701E-3</v>
      </c>
    </row>
    <row r="10" spans="1:38">
      <c r="A10">
        <v>161</v>
      </c>
      <c r="B10">
        <v>1434</v>
      </c>
      <c r="C10" t="s">
        <v>185</v>
      </c>
      <c r="D10" t="s">
        <v>186</v>
      </c>
      <c r="E10" t="s">
        <v>41</v>
      </c>
      <c r="F10" t="s">
        <v>193</v>
      </c>
      <c r="G10" t="s">
        <v>194</v>
      </c>
      <c r="H10" t="s">
        <v>44</v>
      </c>
      <c r="I10" t="s">
        <v>149</v>
      </c>
      <c r="J10" t="s">
        <v>45</v>
      </c>
      <c r="K10" t="s">
        <v>45</v>
      </c>
      <c r="L10" t="s">
        <v>125</v>
      </c>
      <c r="M10" t="s">
        <v>189</v>
      </c>
      <c r="N10" t="s">
        <v>51</v>
      </c>
      <c r="O10" s="141" t="s">
        <v>195</v>
      </c>
      <c r="P10" t="s">
        <v>95</v>
      </c>
      <c r="Q10" t="s">
        <v>96</v>
      </c>
      <c r="R10" t="s">
        <v>97</v>
      </c>
      <c r="S10" t="s">
        <v>52</v>
      </c>
      <c r="T10" t="s">
        <v>196</v>
      </c>
      <c r="U10" t="s">
        <v>192</v>
      </c>
      <c r="V10" s="137">
        <v>4.41E-2</v>
      </c>
      <c r="W10" s="137">
        <v>3.7400000000000003E-2</v>
      </c>
      <c r="X10" t="s">
        <v>131</v>
      </c>
      <c r="Y10" t="s">
        <v>51</v>
      </c>
      <c r="Z10" t="s">
        <v>132</v>
      </c>
      <c r="AA10" t="s">
        <v>133</v>
      </c>
      <c r="AB10" s="141" t="s">
        <v>134</v>
      </c>
      <c r="AC10" s="141" t="s">
        <v>134</v>
      </c>
      <c r="AD10" s="133">
        <v>96485.97</v>
      </c>
      <c r="AE10" s="135">
        <v>1</v>
      </c>
      <c r="AF10" s="139">
        <v>97.69</v>
      </c>
      <c r="AG10" s="133">
        <v>94.257000000000005</v>
      </c>
      <c r="AJ10" t="s">
        <v>135</v>
      </c>
      <c r="AK10" s="137">
        <v>0.208059239773104</v>
      </c>
      <c r="AL10" s="137">
        <v>3.9572599518247096E-3</v>
      </c>
    </row>
    <row r="11" spans="1:38">
      <c r="A11">
        <v>161</v>
      </c>
      <c r="B11">
        <v>1434</v>
      </c>
      <c r="C11" t="s">
        <v>197</v>
      </c>
      <c r="D11" t="s">
        <v>198</v>
      </c>
      <c r="E11" t="s">
        <v>41</v>
      </c>
      <c r="F11" t="s">
        <v>199</v>
      </c>
      <c r="G11" t="s">
        <v>200</v>
      </c>
      <c r="H11" t="s">
        <v>44</v>
      </c>
      <c r="I11" t="s">
        <v>140</v>
      </c>
      <c r="J11" t="s">
        <v>45</v>
      </c>
      <c r="K11" t="s">
        <v>45</v>
      </c>
      <c r="L11" t="s">
        <v>125</v>
      </c>
      <c r="M11" t="s">
        <v>1062</v>
      </c>
      <c r="N11" t="s">
        <v>51</v>
      </c>
      <c r="O11" s="141" t="s">
        <v>201</v>
      </c>
      <c r="P11" t="s">
        <v>202</v>
      </c>
      <c r="Q11" t="s">
        <v>167</v>
      </c>
      <c r="R11" t="s">
        <v>97</v>
      </c>
      <c r="S11" t="s">
        <v>52</v>
      </c>
      <c r="T11" t="s">
        <v>203</v>
      </c>
      <c r="U11" t="s">
        <v>204</v>
      </c>
      <c r="V11" s="137">
        <v>2.7699999999999999E-2</v>
      </c>
      <c r="W11" s="137">
        <v>1.7500000000000002E-2</v>
      </c>
      <c r="X11" t="s">
        <v>131</v>
      </c>
      <c r="Y11" t="s">
        <v>51</v>
      </c>
      <c r="Z11" t="s">
        <v>132</v>
      </c>
      <c r="AA11" t="s">
        <v>133</v>
      </c>
      <c r="AB11" s="141" t="s">
        <v>134</v>
      </c>
      <c r="AC11" s="141" t="s">
        <v>134</v>
      </c>
      <c r="AD11" s="133">
        <v>28333.33</v>
      </c>
      <c r="AE11" s="135">
        <v>1</v>
      </c>
      <c r="AF11" s="139">
        <v>105.42</v>
      </c>
      <c r="AG11" s="133">
        <v>29.869</v>
      </c>
      <c r="AJ11" t="s">
        <v>135</v>
      </c>
      <c r="AK11" s="137">
        <v>6.5931561596339394E-2</v>
      </c>
      <c r="AL11" s="137">
        <v>1.2540098125466E-3</v>
      </c>
    </row>
    <row r="12" spans="1:38">
      <c r="A12">
        <v>161</v>
      </c>
      <c r="B12">
        <v>9938</v>
      </c>
      <c r="C12" t="s">
        <v>120</v>
      </c>
      <c r="D12" t="s">
        <v>121</v>
      </c>
      <c r="E12" t="s">
        <v>41</v>
      </c>
      <c r="F12" t="s">
        <v>122</v>
      </c>
      <c r="G12" t="s">
        <v>123</v>
      </c>
      <c r="H12" t="s">
        <v>44</v>
      </c>
      <c r="I12" t="s">
        <v>124</v>
      </c>
      <c r="J12" t="s">
        <v>68</v>
      </c>
      <c r="K12" t="s">
        <v>69</v>
      </c>
      <c r="L12" t="s">
        <v>125</v>
      </c>
      <c r="M12" t="s">
        <v>126</v>
      </c>
      <c r="N12" t="s">
        <v>51</v>
      </c>
      <c r="O12" s="141" t="s">
        <v>127</v>
      </c>
      <c r="P12" t="s">
        <v>128</v>
      </c>
      <c r="Q12" t="s">
        <v>96</v>
      </c>
      <c r="R12" t="s">
        <v>97</v>
      </c>
      <c r="S12" t="s">
        <v>72</v>
      </c>
      <c r="T12" t="s">
        <v>129</v>
      </c>
      <c r="U12" t="s">
        <v>130</v>
      </c>
      <c r="V12" s="137">
        <v>6.8099999999999994E-2</v>
      </c>
      <c r="W12" s="137">
        <v>6.5000000000000002E-2</v>
      </c>
      <c r="X12" t="s">
        <v>131</v>
      </c>
      <c r="Y12" t="s">
        <v>51</v>
      </c>
      <c r="Z12" t="s">
        <v>132</v>
      </c>
      <c r="AA12" t="s">
        <v>133</v>
      </c>
      <c r="AB12" s="141" t="s">
        <v>134</v>
      </c>
      <c r="AC12" s="141" t="s">
        <v>134</v>
      </c>
      <c r="AD12" s="133">
        <v>9000</v>
      </c>
      <c r="AE12" s="135">
        <v>3.165</v>
      </c>
      <c r="AF12" s="139">
        <v>101.39</v>
      </c>
      <c r="AG12" s="133">
        <v>28.881</v>
      </c>
      <c r="AJ12" t="s">
        <v>135</v>
      </c>
      <c r="AK12" s="137">
        <v>2.5160407375795599E-2</v>
      </c>
      <c r="AL12" s="137">
        <v>3.30944926000998E-4</v>
      </c>
    </row>
    <row r="13" spans="1:38">
      <c r="A13">
        <v>161</v>
      </c>
      <c r="B13">
        <v>9938</v>
      </c>
      <c r="C13" t="s">
        <v>136</v>
      </c>
      <c r="D13" t="s">
        <v>137</v>
      </c>
      <c r="E13" t="s">
        <v>41</v>
      </c>
      <c r="F13" t="s">
        <v>138</v>
      </c>
      <c r="G13" t="s">
        <v>139</v>
      </c>
      <c r="H13" t="s">
        <v>44</v>
      </c>
      <c r="I13" t="s">
        <v>140</v>
      </c>
      <c r="J13" t="s">
        <v>45</v>
      </c>
      <c r="K13" t="s">
        <v>45</v>
      </c>
      <c r="L13" t="s">
        <v>125</v>
      </c>
      <c r="M13" t="s">
        <v>58</v>
      </c>
      <c r="N13" t="s">
        <v>51</v>
      </c>
      <c r="O13" s="141" t="s">
        <v>141</v>
      </c>
      <c r="P13" t="s">
        <v>128</v>
      </c>
      <c r="Q13" t="s">
        <v>96</v>
      </c>
      <c r="R13" t="s">
        <v>97</v>
      </c>
      <c r="S13" t="s">
        <v>52</v>
      </c>
      <c r="T13" t="s">
        <v>142</v>
      </c>
      <c r="U13" t="s">
        <v>143</v>
      </c>
      <c r="V13" s="137">
        <v>3.6200000000000003E-2</v>
      </c>
      <c r="W13" s="137">
        <v>3.8399999999999997E-2</v>
      </c>
      <c r="X13" t="s">
        <v>131</v>
      </c>
      <c r="Y13" t="s">
        <v>51</v>
      </c>
      <c r="Z13" t="s">
        <v>132</v>
      </c>
      <c r="AA13" t="s">
        <v>133</v>
      </c>
      <c r="AB13" s="141" t="s">
        <v>134</v>
      </c>
      <c r="AC13" s="141" t="s">
        <v>134</v>
      </c>
      <c r="AD13" s="133">
        <v>221325</v>
      </c>
      <c r="AE13" s="135">
        <v>1</v>
      </c>
      <c r="AF13" s="139">
        <v>105.42</v>
      </c>
      <c r="AG13" s="133">
        <v>233.321</v>
      </c>
      <c r="AJ13" t="s">
        <v>135</v>
      </c>
      <c r="AK13" s="137">
        <v>0.203263690508588</v>
      </c>
      <c r="AL13" s="137">
        <v>2.67360881758884E-3</v>
      </c>
    </row>
    <row r="14" spans="1:38">
      <c r="A14">
        <v>161</v>
      </c>
      <c r="B14">
        <v>9938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44</v>
      </c>
      <c r="I14" t="s">
        <v>149</v>
      </c>
      <c r="J14" t="s">
        <v>45</v>
      </c>
      <c r="K14" t="s">
        <v>45</v>
      </c>
      <c r="L14" t="s">
        <v>125</v>
      </c>
      <c r="M14" t="s">
        <v>150</v>
      </c>
      <c r="N14" t="s">
        <v>51</v>
      </c>
      <c r="O14" s="141" t="s">
        <v>151</v>
      </c>
      <c r="P14" t="s">
        <v>128</v>
      </c>
      <c r="Q14" t="s">
        <v>96</v>
      </c>
      <c r="R14" t="s">
        <v>97</v>
      </c>
      <c r="S14" t="s">
        <v>52</v>
      </c>
      <c r="T14" t="s">
        <v>152</v>
      </c>
      <c r="U14" t="s">
        <v>143</v>
      </c>
      <c r="V14" s="137">
        <v>4.7899999999999998E-2</v>
      </c>
      <c r="W14" s="137">
        <v>2.86E-2</v>
      </c>
      <c r="X14" t="s">
        <v>131</v>
      </c>
      <c r="Y14" t="s">
        <v>51</v>
      </c>
      <c r="Z14" t="s">
        <v>132</v>
      </c>
      <c r="AA14" t="s">
        <v>133</v>
      </c>
      <c r="AB14" s="141" t="s">
        <v>134</v>
      </c>
      <c r="AC14" s="141" t="s">
        <v>134</v>
      </c>
      <c r="AD14" s="133">
        <v>25285.72</v>
      </c>
      <c r="AE14" s="135">
        <v>1</v>
      </c>
      <c r="AF14" s="139">
        <v>97.54</v>
      </c>
      <c r="AG14" s="133">
        <v>24.664000000000001</v>
      </c>
      <c r="AJ14" t="s">
        <v>135</v>
      </c>
      <c r="AK14" s="137">
        <v>2.14864366591699E-2</v>
      </c>
      <c r="AL14" s="137">
        <v>2.8261971612728102E-4</v>
      </c>
    </row>
    <row r="15" spans="1:38">
      <c r="A15">
        <v>161</v>
      </c>
      <c r="B15">
        <v>9938</v>
      </c>
      <c r="C15" t="s">
        <v>153</v>
      </c>
      <c r="D15" t="s">
        <v>154</v>
      </c>
      <c r="E15" t="s">
        <v>41</v>
      </c>
      <c r="F15" t="s">
        <v>155</v>
      </c>
      <c r="G15" t="s">
        <v>156</v>
      </c>
      <c r="H15" t="s">
        <v>44</v>
      </c>
      <c r="I15" t="s">
        <v>149</v>
      </c>
      <c r="J15" t="s">
        <v>45</v>
      </c>
      <c r="K15" t="s">
        <v>45</v>
      </c>
      <c r="L15" t="s">
        <v>125</v>
      </c>
      <c r="M15" t="s">
        <v>150</v>
      </c>
      <c r="N15" t="s">
        <v>51</v>
      </c>
      <c r="O15" s="141" t="s">
        <v>205</v>
      </c>
      <c r="P15" t="s">
        <v>158</v>
      </c>
      <c r="Q15" t="s">
        <v>159</v>
      </c>
      <c r="R15" t="s">
        <v>97</v>
      </c>
      <c r="S15" t="s">
        <v>52</v>
      </c>
      <c r="T15" t="s">
        <v>160</v>
      </c>
      <c r="U15" t="s">
        <v>130</v>
      </c>
      <c r="V15" s="137">
        <v>5.1299999999999998E-2</v>
      </c>
      <c r="W15" s="137">
        <v>4.4699999999999997E-2</v>
      </c>
      <c r="X15" t="s">
        <v>131</v>
      </c>
      <c r="Y15" t="s">
        <v>51</v>
      </c>
      <c r="Z15" t="s">
        <v>132</v>
      </c>
      <c r="AA15" t="s">
        <v>133</v>
      </c>
      <c r="AB15" s="141" t="s">
        <v>134</v>
      </c>
      <c r="AC15" s="141" t="s">
        <v>134</v>
      </c>
      <c r="AD15" s="133">
        <v>141471.63</v>
      </c>
      <c r="AE15" s="135">
        <v>1</v>
      </c>
      <c r="AF15" s="139">
        <v>100.47</v>
      </c>
      <c r="AG15" s="133">
        <v>142.137</v>
      </c>
      <c r="AJ15" t="s">
        <v>135</v>
      </c>
      <c r="AK15" s="137">
        <v>0.123826067684793</v>
      </c>
      <c r="AL15" s="137">
        <v>1.6287339149508701E-3</v>
      </c>
    </row>
    <row r="16" spans="1:38">
      <c r="A16">
        <v>161</v>
      </c>
      <c r="B16">
        <v>9938</v>
      </c>
      <c r="C16" t="s">
        <v>161</v>
      </c>
      <c r="D16" t="s">
        <v>162</v>
      </c>
      <c r="E16" t="s">
        <v>41</v>
      </c>
      <c r="F16" t="s">
        <v>163</v>
      </c>
      <c r="G16" t="s">
        <v>164</v>
      </c>
      <c r="H16" t="s">
        <v>44</v>
      </c>
      <c r="I16" t="s">
        <v>149</v>
      </c>
      <c r="J16" t="s">
        <v>45</v>
      </c>
      <c r="K16" t="s">
        <v>45</v>
      </c>
      <c r="L16" t="s">
        <v>125</v>
      </c>
      <c r="M16" t="s">
        <v>150</v>
      </c>
      <c r="N16" t="s">
        <v>51</v>
      </c>
      <c r="O16" s="141" t="s">
        <v>165</v>
      </c>
      <c r="P16" t="s">
        <v>166</v>
      </c>
      <c r="Q16" t="s">
        <v>167</v>
      </c>
      <c r="R16" t="s">
        <v>97</v>
      </c>
      <c r="S16" t="s">
        <v>52</v>
      </c>
      <c r="T16" t="s">
        <v>168</v>
      </c>
      <c r="U16" t="s">
        <v>169</v>
      </c>
      <c r="V16" s="137">
        <v>4.48E-2</v>
      </c>
      <c r="W16" s="137">
        <v>2.1000000000000001E-2</v>
      </c>
      <c r="X16" t="s">
        <v>131</v>
      </c>
      <c r="Y16" t="s">
        <v>51</v>
      </c>
      <c r="Z16" t="s">
        <v>132</v>
      </c>
      <c r="AA16" t="s">
        <v>133</v>
      </c>
      <c r="AB16" s="141" t="s">
        <v>134</v>
      </c>
      <c r="AC16" s="141" t="s">
        <v>134</v>
      </c>
      <c r="AD16" s="133">
        <v>8571.4500000000007</v>
      </c>
      <c r="AE16" s="135">
        <v>1</v>
      </c>
      <c r="AF16" s="139">
        <v>97.14</v>
      </c>
      <c r="AG16" s="133">
        <v>8.3260000000000005</v>
      </c>
      <c r="AJ16" t="s">
        <v>135</v>
      </c>
      <c r="AK16" s="137">
        <v>7.2536854184808101E-3</v>
      </c>
      <c r="AL16" s="137">
        <v>9.5410632594248099E-5</v>
      </c>
    </row>
    <row r="17" spans="1:38">
      <c r="A17">
        <v>161</v>
      </c>
      <c r="B17">
        <v>9938</v>
      </c>
      <c r="C17" t="s">
        <v>170</v>
      </c>
      <c r="D17" t="s">
        <v>171</v>
      </c>
      <c r="E17" t="s">
        <v>41</v>
      </c>
      <c r="F17" t="s">
        <v>172</v>
      </c>
      <c r="G17" t="s">
        <v>173</v>
      </c>
      <c r="H17" t="s">
        <v>44</v>
      </c>
      <c r="I17" t="s">
        <v>140</v>
      </c>
      <c r="J17" t="s">
        <v>45</v>
      </c>
      <c r="K17" t="s">
        <v>45</v>
      </c>
      <c r="L17" t="s">
        <v>125</v>
      </c>
      <c r="M17" s="125" t="s">
        <v>1063</v>
      </c>
      <c r="N17" t="s">
        <v>51</v>
      </c>
      <c r="O17" s="141" t="s">
        <v>174</v>
      </c>
      <c r="P17" t="s">
        <v>175</v>
      </c>
      <c r="Q17" t="s">
        <v>167</v>
      </c>
      <c r="R17" t="s">
        <v>97</v>
      </c>
      <c r="S17" t="s">
        <v>52</v>
      </c>
      <c r="T17" t="s">
        <v>176</v>
      </c>
      <c r="U17" t="s">
        <v>177</v>
      </c>
      <c r="V17" s="137">
        <v>4.8000000000000001E-2</v>
      </c>
      <c r="W17" s="137">
        <v>4.4499999999999998E-2</v>
      </c>
      <c r="X17" t="s">
        <v>131</v>
      </c>
      <c r="Y17" t="s">
        <v>51</v>
      </c>
      <c r="Z17" t="s">
        <v>132</v>
      </c>
      <c r="AA17" t="s">
        <v>133</v>
      </c>
      <c r="AB17" s="141" t="s">
        <v>134</v>
      </c>
      <c r="AC17" s="141" t="s">
        <v>134</v>
      </c>
      <c r="AD17" s="133">
        <v>212499.98</v>
      </c>
      <c r="AE17" s="135">
        <v>1</v>
      </c>
      <c r="AF17" s="139">
        <v>104.03</v>
      </c>
      <c r="AG17" s="133">
        <v>221.06399999999999</v>
      </c>
      <c r="AJ17" t="s">
        <v>135</v>
      </c>
      <c r="AK17" s="137">
        <v>0.192585601218492</v>
      </c>
      <c r="AL17" s="137">
        <v>2.5331556278943598E-3</v>
      </c>
    </row>
    <row r="18" spans="1:38">
      <c r="A18">
        <v>161</v>
      </c>
      <c r="B18">
        <v>9938</v>
      </c>
      <c r="C18" t="s">
        <v>178</v>
      </c>
      <c r="D18" t="s">
        <v>179</v>
      </c>
      <c r="E18" t="s">
        <v>41</v>
      </c>
      <c r="F18" t="s">
        <v>180</v>
      </c>
      <c r="G18" t="s">
        <v>181</v>
      </c>
      <c r="H18" t="s">
        <v>44</v>
      </c>
      <c r="I18" t="s">
        <v>149</v>
      </c>
      <c r="J18" t="s">
        <v>45</v>
      </c>
      <c r="K18" t="s">
        <v>45</v>
      </c>
      <c r="L18" t="s">
        <v>125</v>
      </c>
      <c r="M18" t="s">
        <v>58</v>
      </c>
      <c r="N18" t="s">
        <v>51</v>
      </c>
      <c r="O18" s="141" t="s">
        <v>182</v>
      </c>
      <c r="P18" t="s">
        <v>183</v>
      </c>
      <c r="Q18" t="s">
        <v>167</v>
      </c>
      <c r="R18" t="s">
        <v>97</v>
      </c>
      <c r="S18" t="s">
        <v>52</v>
      </c>
      <c r="T18" t="s">
        <v>184</v>
      </c>
      <c r="U18" t="s">
        <v>130</v>
      </c>
      <c r="V18" s="137">
        <v>4.5199999999999997E-2</v>
      </c>
      <c r="W18" s="137">
        <v>3.1E-2</v>
      </c>
      <c r="X18" t="s">
        <v>131</v>
      </c>
      <c r="Y18" t="s">
        <v>51</v>
      </c>
      <c r="Z18" t="s">
        <v>132</v>
      </c>
      <c r="AA18" t="s">
        <v>133</v>
      </c>
      <c r="AB18" s="141" t="s">
        <v>134</v>
      </c>
      <c r="AC18" s="141" t="s">
        <v>134</v>
      </c>
      <c r="AD18" s="133">
        <v>50950.46</v>
      </c>
      <c r="AE18" s="135">
        <v>1</v>
      </c>
      <c r="AF18" s="139">
        <v>99.02</v>
      </c>
      <c r="AG18" s="133">
        <v>50.451000000000001</v>
      </c>
      <c r="AJ18" t="s">
        <v>135</v>
      </c>
      <c r="AK18" s="137">
        <v>4.3951869545328197E-2</v>
      </c>
      <c r="AL18" s="137">
        <v>5.7811656214585303E-4</v>
      </c>
    </row>
    <row r="19" spans="1:38">
      <c r="A19">
        <v>161</v>
      </c>
      <c r="B19">
        <v>9938</v>
      </c>
      <c r="C19" t="s">
        <v>185</v>
      </c>
      <c r="D19" t="s">
        <v>186</v>
      </c>
      <c r="E19" t="s">
        <v>41</v>
      </c>
      <c r="F19" t="s">
        <v>187</v>
      </c>
      <c r="G19" t="s">
        <v>188</v>
      </c>
      <c r="H19" t="s">
        <v>44</v>
      </c>
      <c r="I19" t="s">
        <v>140</v>
      </c>
      <c r="J19" t="s">
        <v>45</v>
      </c>
      <c r="K19" t="s">
        <v>45</v>
      </c>
      <c r="L19" t="s">
        <v>125</v>
      </c>
      <c r="M19" t="s">
        <v>189</v>
      </c>
      <c r="N19" t="s">
        <v>51</v>
      </c>
      <c r="O19" s="141" t="s">
        <v>190</v>
      </c>
      <c r="P19" t="s">
        <v>95</v>
      </c>
      <c r="Q19" t="s">
        <v>96</v>
      </c>
      <c r="R19" t="s">
        <v>97</v>
      </c>
      <c r="S19" t="s">
        <v>52</v>
      </c>
      <c r="T19" t="s">
        <v>191</v>
      </c>
      <c r="U19" t="s">
        <v>192</v>
      </c>
      <c r="V19" s="137">
        <v>2.4299999999999999E-2</v>
      </c>
      <c r="W19" s="137">
        <v>2.3217999999999999E-2</v>
      </c>
      <c r="X19" t="s">
        <v>131</v>
      </c>
      <c r="Y19" t="s">
        <v>51</v>
      </c>
      <c r="Z19" t="s">
        <v>132</v>
      </c>
      <c r="AA19" t="s">
        <v>133</v>
      </c>
      <c r="AB19" s="141" t="s">
        <v>134</v>
      </c>
      <c r="AC19" s="141" t="s">
        <v>134</v>
      </c>
      <c r="AD19" s="133">
        <v>79118.490000000005</v>
      </c>
      <c r="AE19" s="135">
        <v>1</v>
      </c>
      <c r="AF19" s="139">
        <v>118.21</v>
      </c>
      <c r="AG19" s="133">
        <v>93.525999999999996</v>
      </c>
      <c r="AJ19" t="s">
        <v>135</v>
      </c>
      <c r="AK19" s="137">
        <v>8.1477656490695397E-2</v>
      </c>
      <c r="AL19" s="137">
        <v>1.0717082833876499E-3</v>
      </c>
    </row>
    <row r="20" spans="1:38">
      <c r="A20">
        <v>161</v>
      </c>
      <c r="B20">
        <v>9938</v>
      </c>
      <c r="C20" t="s">
        <v>185</v>
      </c>
      <c r="D20" t="s">
        <v>186</v>
      </c>
      <c r="E20" t="s">
        <v>41</v>
      </c>
      <c r="F20" t="s">
        <v>193</v>
      </c>
      <c r="G20" t="s">
        <v>194</v>
      </c>
      <c r="H20" t="s">
        <v>44</v>
      </c>
      <c r="I20" t="s">
        <v>149</v>
      </c>
      <c r="J20" t="s">
        <v>45</v>
      </c>
      <c r="K20" t="s">
        <v>45</v>
      </c>
      <c r="L20" t="s">
        <v>125</v>
      </c>
      <c r="M20" t="s">
        <v>189</v>
      </c>
      <c r="N20" t="s">
        <v>51</v>
      </c>
      <c r="O20" s="141" t="s">
        <v>195</v>
      </c>
      <c r="P20" t="s">
        <v>95</v>
      </c>
      <c r="Q20" t="s">
        <v>96</v>
      </c>
      <c r="R20" t="s">
        <v>97</v>
      </c>
      <c r="S20" t="s">
        <v>52</v>
      </c>
      <c r="T20" t="s">
        <v>196</v>
      </c>
      <c r="U20" t="s">
        <v>192</v>
      </c>
      <c r="V20" s="137">
        <v>4.41E-2</v>
      </c>
      <c r="W20" s="137">
        <v>3.7400000000000003E-2</v>
      </c>
      <c r="X20" t="s">
        <v>131</v>
      </c>
      <c r="Y20" t="s">
        <v>51</v>
      </c>
      <c r="Z20" t="s">
        <v>132</v>
      </c>
      <c r="AA20" t="s">
        <v>133</v>
      </c>
      <c r="AB20" s="141" t="s">
        <v>134</v>
      </c>
      <c r="AC20" s="141" t="s">
        <v>134</v>
      </c>
      <c r="AD20" s="133">
        <v>167242.34</v>
      </c>
      <c r="AE20" s="135">
        <v>1</v>
      </c>
      <c r="AF20" s="139">
        <v>97.69</v>
      </c>
      <c r="AG20" s="133">
        <v>163.37899999999999</v>
      </c>
      <c r="AJ20" t="s">
        <v>135</v>
      </c>
      <c r="AK20" s="137">
        <v>0.142332037618253</v>
      </c>
      <c r="AL20" s="137">
        <v>1.87215035724971E-3</v>
      </c>
    </row>
    <row r="21" spans="1:38">
      <c r="A21">
        <v>161</v>
      </c>
      <c r="B21">
        <v>9938</v>
      </c>
      <c r="C21" t="s">
        <v>197</v>
      </c>
      <c r="D21" t="s">
        <v>198</v>
      </c>
      <c r="E21" t="s">
        <v>41</v>
      </c>
      <c r="F21" t="s">
        <v>199</v>
      </c>
      <c r="G21" t="s">
        <v>200</v>
      </c>
      <c r="H21" t="s">
        <v>44</v>
      </c>
      <c r="I21" t="s">
        <v>140</v>
      </c>
      <c r="J21" t="s">
        <v>45</v>
      </c>
      <c r="K21" t="s">
        <v>45</v>
      </c>
      <c r="L21" t="s">
        <v>125</v>
      </c>
      <c r="M21" s="125" t="s">
        <v>1062</v>
      </c>
      <c r="N21" t="s">
        <v>51</v>
      </c>
      <c r="O21" s="141" t="s">
        <v>201</v>
      </c>
      <c r="P21" t="s">
        <v>202</v>
      </c>
      <c r="Q21" t="s">
        <v>167</v>
      </c>
      <c r="R21" t="s">
        <v>97</v>
      </c>
      <c r="S21" t="s">
        <v>52</v>
      </c>
      <c r="T21" t="s">
        <v>203</v>
      </c>
      <c r="U21" t="s">
        <v>204</v>
      </c>
      <c r="V21" s="137">
        <v>2.7699999999999999E-2</v>
      </c>
      <c r="W21" s="137">
        <v>1.7500000000000002E-2</v>
      </c>
      <c r="X21" t="s">
        <v>131</v>
      </c>
      <c r="Y21" t="s">
        <v>51</v>
      </c>
      <c r="Z21" t="s">
        <v>132</v>
      </c>
      <c r="AA21" t="s">
        <v>133</v>
      </c>
      <c r="AB21" s="141" t="s">
        <v>134</v>
      </c>
      <c r="AC21" s="141" t="s">
        <v>134</v>
      </c>
      <c r="AD21" s="133">
        <v>113333.33</v>
      </c>
      <c r="AE21" s="135">
        <v>1</v>
      </c>
      <c r="AF21" s="139">
        <v>105.42</v>
      </c>
      <c r="AG21" s="133">
        <v>119.476</v>
      </c>
      <c r="AJ21" t="s">
        <v>135</v>
      </c>
      <c r="AK21" s="137">
        <v>0.104084721172157</v>
      </c>
      <c r="AL21" s="137">
        <v>1.3690680691955501E-3</v>
      </c>
    </row>
    <row r="22" spans="1:38">
      <c r="A22">
        <v>161</v>
      </c>
      <c r="B22">
        <v>9938</v>
      </c>
      <c r="C22" t="s">
        <v>206</v>
      </c>
      <c r="D22" t="s">
        <v>207</v>
      </c>
      <c r="E22" t="s">
        <v>64</v>
      </c>
      <c r="F22" t="s">
        <v>208</v>
      </c>
      <c r="G22" t="s">
        <v>209</v>
      </c>
      <c r="H22" t="s">
        <v>44</v>
      </c>
      <c r="I22" t="s">
        <v>124</v>
      </c>
      <c r="J22" t="s">
        <v>45</v>
      </c>
      <c r="K22" t="s">
        <v>45</v>
      </c>
      <c r="L22" t="s">
        <v>125</v>
      </c>
      <c r="M22" t="s">
        <v>210</v>
      </c>
      <c r="N22" t="s">
        <v>51</v>
      </c>
      <c r="O22" s="141" t="s">
        <v>211</v>
      </c>
      <c r="P22" t="s">
        <v>212</v>
      </c>
      <c r="Q22" t="s">
        <v>159</v>
      </c>
      <c r="R22" t="s">
        <v>97</v>
      </c>
      <c r="S22" t="s">
        <v>72</v>
      </c>
      <c r="T22" t="s">
        <v>213</v>
      </c>
      <c r="U22" t="s">
        <v>214</v>
      </c>
      <c r="V22" s="137">
        <v>7.1099999999999997E-2</v>
      </c>
      <c r="W22" s="137">
        <v>5.3749999999999999E-2</v>
      </c>
      <c r="X22" t="s">
        <v>131</v>
      </c>
      <c r="Y22" t="s">
        <v>51</v>
      </c>
      <c r="Z22" t="s">
        <v>215</v>
      </c>
      <c r="AA22" t="s">
        <v>133</v>
      </c>
      <c r="AB22" s="141" t="s">
        <v>134</v>
      </c>
      <c r="AC22" s="141" t="s">
        <v>134</v>
      </c>
      <c r="AD22" s="133">
        <v>20400</v>
      </c>
      <c r="AE22" s="135">
        <v>3.165</v>
      </c>
      <c r="AF22" s="139">
        <v>97.03</v>
      </c>
      <c r="AG22" s="133">
        <v>62.648000000000003</v>
      </c>
      <c r="AJ22" t="s">
        <v>135</v>
      </c>
      <c r="AK22" s="137">
        <v>5.4577826308246903E-2</v>
      </c>
      <c r="AL22" s="137">
        <v>7.1788403180840401E-4</v>
      </c>
    </row>
    <row r="23" spans="1:38">
      <c r="A23">
        <v>161</v>
      </c>
      <c r="B23">
        <v>9942</v>
      </c>
      <c r="C23" t="s">
        <v>120</v>
      </c>
      <c r="D23" t="s">
        <v>121</v>
      </c>
      <c r="E23" t="s">
        <v>41</v>
      </c>
      <c r="F23" t="s">
        <v>122</v>
      </c>
      <c r="G23" t="s">
        <v>123</v>
      </c>
      <c r="H23" t="s">
        <v>44</v>
      </c>
      <c r="I23" t="s">
        <v>124</v>
      </c>
      <c r="J23" t="s">
        <v>68</v>
      </c>
      <c r="K23" t="s">
        <v>69</v>
      </c>
      <c r="L23" t="s">
        <v>125</v>
      </c>
      <c r="M23" t="s">
        <v>126</v>
      </c>
      <c r="N23" t="s">
        <v>51</v>
      </c>
      <c r="O23" s="141" t="s">
        <v>127</v>
      </c>
      <c r="P23" t="s">
        <v>128</v>
      </c>
      <c r="Q23" t="s">
        <v>96</v>
      </c>
      <c r="R23" t="s">
        <v>97</v>
      </c>
      <c r="S23" t="s">
        <v>72</v>
      </c>
      <c r="T23" t="s">
        <v>129</v>
      </c>
      <c r="U23" t="s">
        <v>130</v>
      </c>
      <c r="V23" s="137">
        <v>6.8099999999999994E-2</v>
      </c>
      <c r="W23" s="137">
        <v>6.5000000000000002E-2</v>
      </c>
      <c r="X23" t="s">
        <v>131</v>
      </c>
      <c r="Y23" t="s">
        <v>51</v>
      </c>
      <c r="Z23" t="s">
        <v>132</v>
      </c>
      <c r="AA23" t="s">
        <v>133</v>
      </c>
      <c r="AB23" s="141" t="s">
        <v>134</v>
      </c>
      <c r="AC23" s="141" t="s">
        <v>134</v>
      </c>
      <c r="AD23" s="133">
        <v>14000</v>
      </c>
      <c r="AE23" s="135">
        <v>3.165</v>
      </c>
      <c r="AF23" s="139">
        <v>101.39</v>
      </c>
      <c r="AG23" s="133">
        <v>44.926000000000002</v>
      </c>
      <c r="AJ23" t="s">
        <v>135</v>
      </c>
      <c r="AK23" s="137">
        <v>2.7212667649653501E-2</v>
      </c>
      <c r="AL23" s="137">
        <v>4.4480759549998399E-4</v>
      </c>
    </row>
    <row r="24" spans="1:38">
      <c r="A24">
        <v>161</v>
      </c>
      <c r="B24">
        <v>9942</v>
      </c>
      <c r="C24" t="s">
        <v>136</v>
      </c>
      <c r="D24" t="s">
        <v>137</v>
      </c>
      <c r="E24" t="s">
        <v>41</v>
      </c>
      <c r="F24" t="s">
        <v>138</v>
      </c>
      <c r="G24" t="s">
        <v>139</v>
      </c>
      <c r="H24" t="s">
        <v>44</v>
      </c>
      <c r="I24" t="s">
        <v>140</v>
      </c>
      <c r="J24" t="s">
        <v>45</v>
      </c>
      <c r="K24" t="s">
        <v>45</v>
      </c>
      <c r="L24" t="s">
        <v>125</v>
      </c>
      <c r="M24" t="s">
        <v>58</v>
      </c>
      <c r="N24" t="s">
        <v>51</v>
      </c>
      <c r="O24" s="141" t="s">
        <v>141</v>
      </c>
      <c r="P24" t="s">
        <v>128</v>
      </c>
      <c r="Q24" t="s">
        <v>96</v>
      </c>
      <c r="R24" t="s">
        <v>97</v>
      </c>
      <c r="S24" t="s">
        <v>52</v>
      </c>
      <c r="T24" t="s">
        <v>142</v>
      </c>
      <c r="U24" t="s">
        <v>143</v>
      </c>
      <c r="V24" s="137">
        <v>3.6200000000000003E-2</v>
      </c>
      <c r="W24" s="137">
        <v>3.8399999999999997E-2</v>
      </c>
      <c r="X24" t="s">
        <v>131</v>
      </c>
      <c r="Y24" t="s">
        <v>51</v>
      </c>
      <c r="Z24" t="s">
        <v>132</v>
      </c>
      <c r="AA24" t="s">
        <v>133</v>
      </c>
      <c r="AB24" s="141" t="s">
        <v>134</v>
      </c>
      <c r="AC24" s="141" t="s">
        <v>134</v>
      </c>
      <c r="AD24" s="133">
        <v>323700</v>
      </c>
      <c r="AE24" s="135">
        <v>1</v>
      </c>
      <c r="AF24" s="139">
        <v>105.42</v>
      </c>
      <c r="AG24" s="133">
        <v>341.245</v>
      </c>
      <c r="AJ24" t="s">
        <v>135</v>
      </c>
      <c r="AK24" s="137">
        <v>0.20669975212474601</v>
      </c>
      <c r="AL24" s="137">
        <v>3.3786331026690601E-3</v>
      </c>
    </row>
    <row r="25" spans="1:38">
      <c r="A25">
        <v>161</v>
      </c>
      <c r="B25">
        <v>9942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44</v>
      </c>
      <c r="I25" t="s">
        <v>149</v>
      </c>
      <c r="J25" t="s">
        <v>45</v>
      </c>
      <c r="K25" t="s">
        <v>45</v>
      </c>
      <c r="L25" t="s">
        <v>125</v>
      </c>
      <c r="M25" t="s">
        <v>150</v>
      </c>
      <c r="N25" t="s">
        <v>51</v>
      </c>
      <c r="O25" s="141" t="s">
        <v>151</v>
      </c>
      <c r="P25" t="s">
        <v>128</v>
      </c>
      <c r="Q25" t="s">
        <v>96</v>
      </c>
      <c r="R25" t="s">
        <v>97</v>
      </c>
      <c r="S25" t="s">
        <v>52</v>
      </c>
      <c r="T25" t="s">
        <v>152</v>
      </c>
      <c r="U25" t="s">
        <v>143</v>
      </c>
      <c r="V25" s="137">
        <v>4.7899999999999998E-2</v>
      </c>
      <c r="W25" s="137">
        <v>2.86E-2</v>
      </c>
      <c r="X25" t="s">
        <v>131</v>
      </c>
      <c r="Y25" t="s">
        <v>51</v>
      </c>
      <c r="Z25" t="s">
        <v>132</v>
      </c>
      <c r="AA25" t="s">
        <v>133</v>
      </c>
      <c r="AB25" s="141" t="s">
        <v>134</v>
      </c>
      <c r="AC25" s="141" t="s">
        <v>134</v>
      </c>
      <c r="AD25" s="133">
        <v>36000.01</v>
      </c>
      <c r="AE25" s="135">
        <v>1</v>
      </c>
      <c r="AF25" s="139">
        <v>97.54</v>
      </c>
      <c r="AG25" s="133">
        <v>35.113999999999997</v>
      </c>
      <c r="AJ25" t="s">
        <v>135</v>
      </c>
      <c r="AK25" s="137">
        <v>2.12696144300464E-2</v>
      </c>
      <c r="AL25" s="137">
        <v>3.47664777802892E-4</v>
      </c>
    </row>
    <row r="26" spans="1:38">
      <c r="A26">
        <v>161</v>
      </c>
      <c r="B26">
        <v>9942</v>
      </c>
      <c r="C26" t="s">
        <v>153</v>
      </c>
      <c r="D26" t="s">
        <v>154</v>
      </c>
      <c r="E26" t="s">
        <v>41</v>
      </c>
      <c r="F26" t="s">
        <v>155</v>
      </c>
      <c r="G26" t="s">
        <v>156</v>
      </c>
      <c r="H26" t="s">
        <v>44</v>
      </c>
      <c r="I26" t="s">
        <v>149</v>
      </c>
      <c r="J26" t="s">
        <v>45</v>
      </c>
      <c r="K26" t="s">
        <v>45</v>
      </c>
      <c r="L26" t="s">
        <v>125</v>
      </c>
      <c r="M26" t="s">
        <v>150</v>
      </c>
      <c r="N26" t="s">
        <v>51</v>
      </c>
      <c r="O26" s="141" t="s">
        <v>205</v>
      </c>
      <c r="P26" t="s">
        <v>158</v>
      </c>
      <c r="Q26" t="s">
        <v>159</v>
      </c>
      <c r="R26" t="s">
        <v>97</v>
      </c>
      <c r="S26" t="s">
        <v>52</v>
      </c>
      <c r="T26" t="s">
        <v>160</v>
      </c>
      <c r="U26" t="s">
        <v>130</v>
      </c>
      <c r="V26" s="137">
        <v>5.1299999999999998E-2</v>
      </c>
      <c r="W26" s="137">
        <v>4.4699999999999997E-2</v>
      </c>
      <c r="X26" t="s">
        <v>131</v>
      </c>
      <c r="Y26" t="s">
        <v>51</v>
      </c>
      <c r="Z26" t="s">
        <v>132</v>
      </c>
      <c r="AA26" t="s">
        <v>133</v>
      </c>
      <c r="AB26" s="141" t="s">
        <v>134</v>
      </c>
      <c r="AC26" s="141" t="s">
        <v>134</v>
      </c>
      <c r="AD26" s="133">
        <v>205956.06</v>
      </c>
      <c r="AE26" s="135">
        <v>1</v>
      </c>
      <c r="AF26" s="139">
        <v>100.47</v>
      </c>
      <c r="AG26" s="133">
        <v>206.92400000000001</v>
      </c>
      <c r="AJ26" t="s">
        <v>135</v>
      </c>
      <c r="AK26" s="137">
        <v>0.12533871036699101</v>
      </c>
      <c r="AL26" s="137">
        <v>2.04873741520597E-3</v>
      </c>
    </row>
    <row r="27" spans="1:38">
      <c r="A27">
        <v>161</v>
      </c>
      <c r="B27">
        <v>9942</v>
      </c>
      <c r="C27" t="s">
        <v>161</v>
      </c>
      <c r="D27" t="s">
        <v>162</v>
      </c>
      <c r="E27" t="s">
        <v>41</v>
      </c>
      <c r="F27" t="s">
        <v>163</v>
      </c>
      <c r="G27" t="s">
        <v>164</v>
      </c>
      <c r="H27" t="s">
        <v>44</v>
      </c>
      <c r="I27" t="s">
        <v>149</v>
      </c>
      <c r="J27" t="s">
        <v>45</v>
      </c>
      <c r="K27" t="s">
        <v>45</v>
      </c>
      <c r="L27" t="s">
        <v>125</v>
      </c>
      <c r="M27" t="s">
        <v>150</v>
      </c>
      <c r="N27" t="s">
        <v>51</v>
      </c>
      <c r="O27" s="141" t="s">
        <v>165</v>
      </c>
      <c r="P27" t="s">
        <v>166</v>
      </c>
      <c r="Q27" t="s">
        <v>167</v>
      </c>
      <c r="R27" t="s">
        <v>97</v>
      </c>
      <c r="S27" t="s">
        <v>52</v>
      </c>
      <c r="T27" t="s">
        <v>168</v>
      </c>
      <c r="U27" t="s">
        <v>169</v>
      </c>
      <c r="V27" s="137">
        <v>4.48E-2</v>
      </c>
      <c r="W27" s="137">
        <v>2.1000000000000001E-2</v>
      </c>
      <c r="X27" t="s">
        <v>131</v>
      </c>
      <c r="Y27" t="s">
        <v>51</v>
      </c>
      <c r="Z27" t="s">
        <v>132</v>
      </c>
      <c r="AA27" t="s">
        <v>133</v>
      </c>
      <c r="AB27" s="141" t="s">
        <v>134</v>
      </c>
      <c r="AC27" s="141" t="s">
        <v>134</v>
      </c>
      <c r="AD27" s="133">
        <v>27142.92</v>
      </c>
      <c r="AE27" s="135">
        <v>1</v>
      </c>
      <c r="AF27" s="139">
        <v>97.14</v>
      </c>
      <c r="AG27" s="133">
        <v>26.367000000000001</v>
      </c>
      <c r="AJ27" t="s">
        <v>135</v>
      </c>
      <c r="AK27" s="137">
        <v>1.59708823462314E-2</v>
      </c>
      <c r="AL27" s="137">
        <v>2.6105378075753601E-4</v>
      </c>
    </row>
    <row r="28" spans="1:38">
      <c r="A28">
        <v>161</v>
      </c>
      <c r="B28">
        <v>9942</v>
      </c>
      <c r="C28" t="s">
        <v>170</v>
      </c>
      <c r="D28" t="s">
        <v>171</v>
      </c>
      <c r="E28" t="s">
        <v>41</v>
      </c>
      <c r="F28" t="s">
        <v>172</v>
      </c>
      <c r="G28" t="s">
        <v>173</v>
      </c>
      <c r="H28" t="s">
        <v>44</v>
      </c>
      <c r="I28" t="s">
        <v>140</v>
      </c>
      <c r="J28" t="s">
        <v>45</v>
      </c>
      <c r="K28" t="s">
        <v>45</v>
      </c>
      <c r="L28" t="s">
        <v>125</v>
      </c>
      <c r="M28" s="125" t="s">
        <v>1063</v>
      </c>
      <c r="N28" t="s">
        <v>51</v>
      </c>
      <c r="O28" s="141" t="s">
        <v>174</v>
      </c>
      <c r="P28" t="s">
        <v>175</v>
      </c>
      <c r="Q28" t="s">
        <v>167</v>
      </c>
      <c r="R28" t="s">
        <v>97</v>
      </c>
      <c r="S28" t="s">
        <v>52</v>
      </c>
      <c r="T28" t="s">
        <v>176</v>
      </c>
      <c r="U28" t="s">
        <v>177</v>
      </c>
      <c r="V28" s="137">
        <v>4.8000000000000001E-2</v>
      </c>
      <c r="W28" s="137">
        <v>4.4499999999999998E-2</v>
      </c>
      <c r="X28" t="s">
        <v>131</v>
      </c>
      <c r="Y28" t="s">
        <v>51</v>
      </c>
      <c r="Z28" t="s">
        <v>132</v>
      </c>
      <c r="AA28" t="s">
        <v>133</v>
      </c>
      <c r="AB28" s="141" t="s">
        <v>134</v>
      </c>
      <c r="AC28" s="141" t="s">
        <v>134</v>
      </c>
      <c r="AD28" s="133">
        <v>301749.98</v>
      </c>
      <c r="AE28" s="135">
        <v>1</v>
      </c>
      <c r="AF28" s="139">
        <v>104.03</v>
      </c>
      <c r="AG28" s="133">
        <v>313.911</v>
      </c>
      <c r="AJ28" t="s">
        <v>135</v>
      </c>
      <c r="AK28" s="137">
        <v>0.19014289109579199</v>
      </c>
      <c r="AL28" s="137">
        <v>3.1080011441219999E-3</v>
      </c>
    </row>
    <row r="29" spans="1:38">
      <c r="A29">
        <v>161</v>
      </c>
      <c r="B29">
        <v>9942</v>
      </c>
      <c r="C29" t="s">
        <v>178</v>
      </c>
      <c r="D29" t="s">
        <v>179</v>
      </c>
      <c r="E29" t="s">
        <v>41</v>
      </c>
      <c r="F29" t="s">
        <v>180</v>
      </c>
      <c r="G29" t="s">
        <v>181</v>
      </c>
      <c r="H29" t="s">
        <v>44</v>
      </c>
      <c r="I29" t="s">
        <v>149</v>
      </c>
      <c r="J29" t="s">
        <v>45</v>
      </c>
      <c r="K29" t="s">
        <v>45</v>
      </c>
      <c r="L29" t="s">
        <v>125</v>
      </c>
      <c r="M29" t="s">
        <v>58</v>
      </c>
      <c r="N29" t="s">
        <v>51</v>
      </c>
      <c r="O29" s="141" t="s">
        <v>182</v>
      </c>
      <c r="P29" t="s">
        <v>183</v>
      </c>
      <c r="Q29" t="s">
        <v>167</v>
      </c>
      <c r="R29" t="s">
        <v>97</v>
      </c>
      <c r="S29" t="s">
        <v>52</v>
      </c>
      <c r="T29" t="s">
        <v>184</v>
      </c>
      <c r="U29" t="s">
        <v>130</v>
      </c>
      <c r="V29" s="137">
        <v>4.5199999999999997E-2</v>
      </c>
      <c r="W29" s="137">
        <v>3.1E-2</v>
      </c>
      <c r="X29" t="s">
        <v>131</v>
      </c>
      <c r="Y29" t="s">
        <v>51</v>
      </c>
      <c r="Z29" t="s">
        <v>132</v>
      </c>
      <c r="AA29" t="s">
        <v>133</v>
      </c>
      <c r="AB29" s="141" t="s">
        <v>134</v>
      </c>
      <c r="AC29" s="141" t="s">
        <v>134</v>
      </c>
      <c r="AD29" s="133">
        <v>84021.61</v>
      </c>
      <c r="AE29" s="135">
        <v>1</v>
      </c>
      <c r="AF29" s="139">
        <v>99.02</v>
      </c>
      <c r="AG29" s="133">
        <v>83.197999999999993</v>
      </c>
      <c r="AJ29" t="s">
        <v>135</v>
      </c>
      <c r="AK29" s="137">
        <v>5.03950830970449E-2</v>
      </c>
      <c r="AL29" s="137">
        <v>8.2373826873617304E-4</v>
      </c>
    </row>
    <row r="30" spans="1:38">
      <c r="A30">
        <v>161</v>
      </c>
      <c r="B30">
        <v>9942</v>
      </c>
      <c r="C30" t="s">
        <v>185</v>
      </c>
      <c r="D30" t="s">
        <v>186</v>
      </c>
      <c r="E30" t="s">
        <v>41</v>
      </c>
      <c r="F30" t="s">
        <v>187</v>
      </c>
      <c r="G30" t="s">
        <v>188</v>
      </c>
      <c r="H30" t="s">
        <v>44</v>
      </c>
      <c r="I30" t="s">
        <v>140</v>
      </c>
      <c r="J30" t="s">
        <v>45</v>
      </c>
      <c r="K30" t="s">
        <v>45</v>
      </c>
      <c r="L30" t="s">
        <v>125</v>
      </c>
      <c r="M30" t="s">
        <v>189</v>
      </c>
      <c r="N30" t="s">
        <v>51</v>
      </c>
      <c r="O30" s="141" t="s">
        <v>190</v>
      </c>
      <c r="P30" t="s">
        <v>95</v>
      </c>
      <c r="Q30" t="s">
        <v>96</v>
      </c>
      <c r="R30" t="s">
        <v>97</v>
      </c>
      <c r="S30" t="s">
        <v>52</v>
      </c>
      <c r="T30" t="s">
        <v>191</v>
      </c>
      <c r="U30" t="s">
        <v>192</v>
      </c>
      <c r="V30" s="137">
        <v>2.4299999999999999E-2</v>
      </c>
      <c r="W30" s="137">
        <v>2.3217999999999999E-2</v>
      </c>
      <c r="X30" t="s">
        <v>131</v>
      </c>
      <c r="Y30" t="s">
        <v>51</v>
      </c>
      <c r="Z30" t="s">
        <v>132</v>
      </c>
      <c r="AA30" t="s">
        <v>133</v>
      </c>
      <c r="AB30" s="141" t="s">
        <v>134</v>
      </c>
      <c r="AC30" s="141" t="s">
        <v>134</v>
      </c>
      <c r="AD30" s="133">
        <v>112566.97</v>
      </c>
      <c r="AE30" s="135">
        <v>1</v>
      </c>
      <c r="AF30" s="139">
        <v>118.21</v>
      </c>
      <c r="AG30" s="133">
        <v>133.065</v>
      </c>
      <c r="AJ30" t="s">
        <v>135</v>
      </c>
      <c r="AK30" s="137">
        <v>8.0600815901301304E-2</v>
      </c>
      <c r="AL30" s="137">
        <v>1.3174693336928799E-3</v>
      </c>
    </row>
    <row r="31" spans="1:38">
      <c r="A31">
        <v>161</v>
      </c>
      <c r="B31">
        <v>9942</v>
      </c>
      <c r="C31" t="s">
        <v>185</v>
      </c>
      <c r="D31" t="s">
        <v>186</v>
      </c>
      <c r="E31" t="s">
        <v>41</v>
      </c>
      <c r="F31" t="s">
        <v>193</v>
      </c>
      <c r="G31" t="s">
        <v>194</v>
      </c>
      <c r="H31" t="s">
        <v>44</v>
      </c>
      <c r="I31" t="s">
        <v>149</v>
      </c>
      <c r="J31" t="s">
        <v>45</v>
      </c>
      <c r="K31" t="s">
        <v>45</v>
      </c>
      <c r="L31" t="s">
        <v>125</v>
      </c>
      <c r="M31" t="s">
        <v>189</v>
      </c>
      <c r="N31" t="s">
        <v>51</v>
      </c>
      <c r="O31" s="141" t="s">
        <v>195</v>
      </c>
      <c r="P31" t="s">
        <v>95</v>
      </c>
      <c r="Q31" t="s">
        <v>96</v>
      </c>
      <c r="R31" t="s">
        <v>97</v>
      </c>
      <c r="S31" t="s">
        <v>52</v>
      </c>
      <c r="T31" t="s">
        <v>196</v>
      </c>
      <c r="U31" t="s">
        <v>192</v>
      </c>
      <c r="V31" s="137">
        <v>4.41E-2</v>
      </c>
      <c r="W31" s="137">
        <v>3.7400000000000003E-2</v>
      </c>
      <c r="X31" t="s">
        <v>131</v>
      </c>
      <c r="Y31" t="s">
        <v>51</v>
      </c>
      <c r="Z31" t="s">
        <v>132</v>
      </c>
      <c r="AA31" t="s">
        <v>133</v>
      </c>
      <c r="AB31" s="141" t="s">
        <v>134</v>
      </c>
      <c r="AC31" s="141" t="s">
        <v>134</v>
      </c>
      <c r="AD31" s="133">
        <v>237998.72</v>
      </c>
      <c r="AE31" s="135">
        <v>1</v>
      </c>
      <c r="AF31" s="139">
        <v>97.69</v>
      </c>
      <c r="AG31" s="133">
        <v>232.501</v>
      </c>
      <c r="AJ31" t="s">
        <v>135</v>
      </c>
      <c r="AK31" s="137">
        <v>0.140831231012439</v>
      </c>
      <c r="AL31" s="137">
        <v>2.3019720831648602E-3</v>
      </c>
    </row>
    <row r="32" spans="1:38">
      <c r="A32">
        <v>161</v>
      </c>
      <c r="B32">
        <v>9942</v>
      </c>
      <c r="C32" t="s">
        <v>197</v>
      </c>
      <c r="D32" t="s">
        <v>198</v>
      </c>
      <c r="E32" t="s">
        <v>41</v>
      </c>
      <c r="F32" t="s">
        <v>199</v>
      </c>
      <c r="G32" t="s">
        <v>200</v>
      </c>
      <c r="H32" t="s">
        <v>44</v>
      </c>
      <c r="I32" t="s">
        <v>140</v>
      </c>
      <c r="J32" t="s">
        <v>45</v>
      </c>
      <c r="K32" t="s">
        <v>45</v>
      </c>
      <c r="L32" t="s">
        <v>125</v>
      </c>
      <c r="M32" s="125" t="s">
        <v>1062</v>
      </c>
      <c r="N32" t="s">
        <v>51</v>
      </c>
      <c r="O32" s="141" t="s">
        <v>201</v>
      </c>
      <c r="P32" t="s">
        <v>202</v>
      </c>
      <c r="Q32" t="s">
        <v>167</v>
      </c>
      <c r="R32" t="s">
        <v>97</v>
      </c>
      <c r="S32" t="s">
        <v>52</v>
      </c>
      <c r="T32" t="s">
        <v>203</v>
      </c>
      <c r="U32" t="s">
        <v>204</v>
      </c>
      <c r="V32" s="137">
        <v>2.7699999999999999E-2</v>
      </c>
      <c r="W32" s="137">
        <v>1.7500000000000002E-2</v>
      </c>
      <c r="X32" t="s">
        <v>131</v>
      </c>
      <c r="Y32" t="s">
        <v>51</v>
      </c>
      <c r="Z32" t="s">
        <v>132</v>
      </c>
      <c r="AA32" t="s">
        <v>133</v>
      </c>
      <c r="AB32" s="141" t="s">
        <v>134</v>
      </c>
      <c r="AC32" s="141" t="s">
        <v>134</v>
      </c>
      <c r="AD32" s="133">
        <v>132222.22</v>
      </c>
      <c r="AE32" s="135">
        <v>1</v>
      </c>
      <c r="AF32" s="139">
        <v>105.42</v>
      </c>
      <c r="AG32" s="133">
        <v>139.38900000000001</v>
      </c>
      <c r="AJ32" t="s">
        <v>135</v>
      </c>
      <c r="AK32" s="137">
        <v>8.4430954894604907E-2</v>
      </c>
      <c r="AL32" s="137">
        <v>1.38007528390606E-3</v>
      </c>
    </row>
    <row r="33" spans="1:38">
      <c r="A33">
        <v>161</v>
      </c>
      <c r="B33">
        <v>9942</v>
      </c>
      <c r="C33" t="s">
        <v>206</v>
      </c>
      <c r="D33" t="s">
        <v>207</v>
      </c>
      <c r="E33" t="s">
        <v>64</v>
      </c>
      <c r="F33" t="s">
        <v>208</v>
      </c>
      <c r="G33" t="s">
        <v>209</v>
      </c>
      <c r="H33" t="s">
        <v>44</v>
      </c>
      <c r="I33" t="s">
        <v>124</v>
      </c>
      <c r="J33" t="s">
        <v>45</v>
      </c>
      <c r="K33" t="s">
        <v>45</v>
      </c>
      <c r="L33" t="s">
        <v>125</v>
      </c>
      <c r="M33" t="s">
        <v>210</v>
      </c>
      <c r="N33" t="s">
        <v>51</v>
      </c>
      <c r="O33" s="141" t="s">
        <v>211</v>
      </c>
      <c r="P33" t="s">
        <v>212</v>
      </c>
      <c r="Q33" t="s">
        <v>159</v>
      </c>
      <c r="R33" t="s">
        <v>97</v>
      </c>
      <c r="S33" t="s">
        <v>72</v>
      </c>
      <c r="T33" t="s">
        <v>213</v>
      </c>
      <c r="U33" t="s">
        <v>214</v>
      </c>
      <c r="V33" s="137">
        <v>7.1099999999999997E-2</v>
      </c>
      <c r="W33" s="137">
        <v>5.3749999999999999E-2</v>
      </c>
      <c r="X33" t="s">
        <v>131</v>
      </c>
      <c r="Y33" t="s">
        <v>51</v>
      </c>
      <c r="Z33" t="s">
        <v>215</v>
      </c>
      <c r="AA33" t="s">
        <v>133</v>
      </c>
      <c r="AB33" s="141" t="s">
        <v>134</v>
      </c>
      <c r="AC33" s="141" t="s">
        <v>134</v>
      </c>
      <c r="AD33" s="133">
        <v>30700</v>
      </c>
      <c r="AE33" s="135">
        <v>3.165</v>
      </c>
      <c r="AF33" s="139">
        <v>97.03</v>
      </c>
      <c r="AG33" s="133">
        <v>94.28</v>
      </c>
      <c r="AJ33" t="s">
        <v>135</v>
      </c>
      <c r="AK33" s="137">
        <v>5.7107397081149501E-2</v>
      </c>
      <c r="AL33" s="137">
        <v>9.3345512126784605E-4</v>
      </c>
    </row>
    <row r="34" spans="1:38">
      <c r="A34">
        <v>161</v>
      </c>
      <c r="B34">
        <v>9943</v>
      </c>
      <c r="C34" t="s">
        <v>120</v>
      </c>
      <c r="D34" t="s">
        <v>121</v>
      </c>
      <c r="E34" t="s">
        <v>41</v>
      </c>
      <c r="F34" t="s">
        <v>122</v>
      </c>
      <c r="G34" t="s">
        <v>123</v>
      </c>
      <c r="H34" t="s">
        <v>44</v>
      </c>
      <c r="I34" t="s">
        <v>124</v>
      </c>
      <c r="J34" t="s">
        <v>68</v>
      </c>
      <c r="K34" t="s">
        <v>69</v>
      </c>
      <c r="L34" t="s">
        <v>125</v>
      </c>
      <c r="M34" t="s">
        <v>126</v>
      </c>
      <c r="N34" t="s">
        <v>51</v>
      </c>
      <c r="O34" s="141" t="s">
        <v>127</v>
      </c>
      <c r="P34" t="s">
        <v>128</v>
      </c>
      <c r="Q34" t="s">
        <v>96</v>
      </c>
      <c r="R34" t="s">
        <v>97</v>
      </c>
      <c r="S34" t="s">
        <v>72</v>
      </c>
      <c r="T34" t="s">
        <v>129</v>
      </c>
      <c r="U34" t="s">
        <v>130</v>
      </c>
      <c r="V34" s="137">
        <v>6.8099999999999994E-2</v>
      </c>
      <c r="W34" s="137">
        <v>6.5000000000000002E-2</v>
      </c>
      <c r="X34" t="s">
        <v>131</v>
      </c>
      <c r="Y34" t="s">
        <v>51</v>
      </c>
      <c r="Z34" t="s">
        <v>132</v>
      </c>
      <c r="AA34" t="s">
        <v>133</v>
      </c>
      <c r="AB34" s="141" t="s">
        <v>134</v>
      </c>
      <c r="AC34" s="141" t="s">
        <v>134</v>
      </c>
      <c r="AD34" s="133">
        <v>57000</v>
      </c>
      <c r="AE34" s="135">
        <v>3.165</v>
      </c>
      <c r="AF34" s="139">
        <v>101.39</v>
      </c>
      <c r="AG34" s="133">
        <v>182.91300000000001</v>
      </c>
      <c r="AJ34" t="s">
        <v>135</v>
      </c>
      <c r="AK34" s="137">
        <v>1.4415368295728599E-2</v>
      </c>
      <c r="AL34" s="137">
        <v>9.3339475833303297E-5</v>
      </c>
    </row>
    <row r="35" spans="1:38">
      <c r="A35">
        <v>161</v>
      </c>
      <c r="B35">
        <v>9943</v>
      </c>
      <c r="C35" t="s">
        <v>136</v>
      </c>
      <c r="D35" t="s">
        <v>137</v>
      </c>
      <c r="E35" t="s">
        <v>41</v>
      </c>
      <c r="F35" t="s">
        <v>138</v>
      </c>
      <c r="G35" t="s">
        <v>139</v>
      </c>
      <c r="H35" t="s">
        <v>44</v>
      </c>
      <c r="I35" t="s">
        <v>140</v>
      </c>
      <c r="J35" t="s">
        <v>45</v>
      </c>
      <c r="K35" t="s">
        <v>45</v>
      </c>
      <c r="L35" t="s">
        <v>125</v>
      </c>
      <c r="M35" t="s">
        <v>58</v>
      </c>
      <c r="N35" t="s">
        <v>51</v>
      </c>
      <c r="O35" s="141" t="s">
        <v>141</v>
      </c>
      <c r="P35" t="s">
        <v>128</v>
      </c>
      <c r="Q35" t="s">
        <v>96</v>
      </c>
      <c r="R35" t="s">
        <v>97</v>
      </c>
      <c r="S35" t="s">
        <v>52</v>
      </c>
      <c r="T35" t="s">
        <v>142</v>
      </c>
      <c r="U35" t="s">
        <v>143</v>
      </c>
      <c r="V35" s="137">
        <v>3.6200000000000003E-2</v>
      </c>
      <c r="W35" s="137">
        <v>3.8399999999999997E-2</v>
      </c>
      <c r="X35" t="s">
        <v>131</v>
      </c>
      <c r="Y35" t="s">
        <v>51</v>
      </c>
      <c r="Z35" t="s">
        <v>132</v>
      </c>
      <c r="AA35" t="s">
        <v>133</v>
      </c>
      <c r="AB35" s="141" t="s">
        <v>134</v>
      </c>
      <c r="AC35" s="141" t="s">
        <v>134</v>
      </c>
      <c r="AD35" s="133">
        <v>1103585.92</v>
      </c>
      <c r="AE35" s="135">
        <v>1</v>
      </c>
      <c r="AF35" s="139">
        <v>105.42</v>
      </c>
      <c r="AG35" s="133">
        <v>1163.4000000000001</v>
      </c>
      <c r="AJ35" t="s">
        <v>135</v>
      </c>
      <c r="AK35" s="137">
        <v>9.1687728245944705E-2</v>
      </c>
      <c r="AL35" s="137">
        <v>5.9367782489183304E-4</v>
      </c>
    </row>
    <row r="36" spans="1:38">
      <c r="A36">
        <v>161</v>
      </c>
      <c r="B36">
        <v>9943</v>
      </c>
      <c r="C36" t="s">
        <v>144</v>
      </c>
      <c r="D36" t="s">
        <v>145</v>
      </c>
      <c r="E36" t="s">
        <v>146</v>
      </c>
      <c r="F36" t="s">
        <v>147</v>
      </c>
      <c r="G36" t="s">
        <v>148</v>
      </c>
      <c r="H36" t="s">
        <v>44</v>
      </c>
      <c r="I36" t="s">
        <v>149</v>
      </c>
      <c r="J36" t="s">
        <v>45</v>
      </c>
      <c r="K36" t="s">
        <v>45</v>
      </c>
      <c r="L36" t="s">
        <v>125</v>
      </c>
      <c r="M36" t="s">
        <v>150</v>
      </c>
      <c r="N36" t="s">
        <v>51</v>
      </c>
      <c r="O36" s="141" t="s">
        <v>151</v>
      </c>
      <c r="P36" t="s">
        <v>128</v>
      </c>
      <c r="Q36" t="s">
        <v>96</v>
      </c>
      <c r="R36" t="s">
        <v>97</v>
      </c>
      <c r="S36" t="s">
        <v>52</v>
      </c>
      <c r="T36" t="s">
        <v>152</v>
      </c>
      <c r="U36" t="s">
        <v>143</v>
      </c>
      <c r="V36" s="137">
        <v>4.7899999999999998E-2</v>
      </c>
      <c r="W36" s="137">
        <v>2.86E-2</v>
      </c>
      <c r="X36" t="s">
        <v>131</v>
      </c>
      <c r="Y36" t="s">
        <v>51</v>
      </c>
      <c r="Z36" t="s">
        <v>132</v>
      </c>
      <c r="AA36" t="s">
        <v>133</v>
      </c>
      <c r="AB36" s="141" t="s">
        <v>134</v>
      </c>
      <c r="AC36" s="141" t="s">
        <v>134</v>
      </c>
      <c r="AD36" s="133">
        <v>165000.04</v>
      </c>
      <c r="AE36" s="135">
        <v>1</v>
      </c>
      <c r="AF36" s="139">
        <v>97.54</v>
      </c>
      <c r="AG36" s="133">
        <v>160.941</v>
      </c>
      <c r="AJ36" t="s">
        <v>135</v>
      </c>
      <c r="AK36" s="137">
        <v>1.2683784371012301E-2</v>
      </c>
      <c r="AL36" s="137">
        <v>8.2127473990639105E-5</v>
      </c>
    </row>
    <row r="37" spans="1:38">
      <c r="A37">
        <v>161</v>
      </c>
      <c r="B37">
        <v>9943</v>
      </c>
      <c r="C37" t="s">
        <v>153</v>
      </c>
      <c r="D37" t="s">
        <v>154</v>
      </c>
      <c r="E37" t="s">
        <v>41</v>
      </c>
      <c r="F37" t="s">
        <v>155</v>
      </c>
      <c r="G37" t="s">
        <v>156</v>
      </c>
      <c r="H37" t="s">
        <v>44</v>
      </c>
      <c r="I37" t="s">
        <v>149</v>
      </c>
      <c r="J37" t="s">
        <v>45</v>
      </c>
      <c r="K37" t="s">
        <v>45</v>
      </c>
      <c r="L37" t="s">
        <v>125</v>
      </c>
      <c r="M37" t="s">
        <v>150</v>
      </c>
      <c r="N37" t="s">
        <v>51</v>
      </c>
      <c r="O37" s="141" t="s">
        <v>205</v>
      </c>
      <c r="P37" t="s">
        <v>158</v>
      </c>
      <c r="Q37" t="s">
        <v>159</v>
      </c>
      <c r="R37" t="s">
        <v>97</v>
      </c>
      <c r="S37" t="s">
        <v>52</v>
      </c>
      <c r="T37" t="s">
        <v>160</v>
      </c>
      <c r="U37" t="s">
        <v>130</v>
      </c>
      <c r="V37" s="137">
        <v>5.1299999999999998E-2</v>
      </c>
      <c r="W37" s="137">
        <v>4.4699999999999997E-2</v>
      </c>
      <c r="X37" t="s">
        <v>131</v>
      </c>
      <c r="Y37" t="s">
        <v>51</v>
      </c>
      <c r="Z37" t="s">
        <v>132</v>
      </c>
      <c r="AA37" t="s">
        <v>133</v>
      </c>
      <c r="AB37" s="141" t="s">
        <v>134</v>
      </c>
      <c r="AC37" s="141" t="s">
        <v>134</v>
      </c>
      <c r="AD37" s="133">
        <v>918980.05</v>
      </c>
      <c r="AE37" s="135">
        <v>1</v>
      </c>
      <c r="AF37" s="139">
        <v>100.47</v>
      </c>
      <c r="AG37" s="133">
        <v>923.29899999999998</v>
      </c>
      <c r="AJ37" t="s">
        <v>135</v>
      </c>
      <c r="AK37" s="137">
        <v>7.2765335352635102E-2</v>
      </c>
      <c r="AL37" s="137">
        <v>4.7115537538239602E-4</v>
      </c>
    </row>
    <row r="38" spans="1:38">
      <c r="A38">
        <v>161</v>
      </c>
      <c r="B38">
        <v>9943</v>
      </c>
      <c r="C38" t="s">
        <v>216</v>
      </c>
      <c r="D38" t="s">
        <v>217</v>
      </c>
      <c r="E38" t="s">
        <v>41</v>
      </c>
      <c r="F38" t="s">
        <v>218</v>
      </c>
      <c r="G38" t="s">
        <v>219</v>
      </c>
      <c r="H38" t="s">
        <v>220</v>
      </c>
      <c r="I38" t="s">
        <v>140</v>
      </c>
      <c r="J38" t="s">
        <v>45</v>
      </c>
      <c r="K38" t="s">
        <v>45</v>
      </c>
      <c r="L38" t="s">
        <v>125</v>
      </c>
      <c r="M38" t="s">
        <v>221</v>
      </c>
      <c r="N38" t="s">
        <v>51</v>
      </c>
      <c r="O38" s="141" t="s">
        <v>222</v>
      </c>
      <c r="P38" t="s">
        <v>95</v>
      </c>
      <c r="Q38" t="s">
        <v>96</v>
      </c>
      <c r="R38" t="s">
        <v>97</v>
      </c>
      <c r="S38" t="s">
        <v>52</v>
      </c>
      <c r="T38" t="s">
        <v>223</v>
      </c>
      <c r="U38" t="s">
        <v>224</v>
      </c>
      <c r="V38" s="137">
        <v>2.2700000000000001E-2</v>
      </c>
      <c r="W38" s="137">
        <v>6.1499999999999999E-2</v>
      </c>
      <c r="X38" t="s">
        <v>131</v>
      </c>
      <c r="Y38" t="s">
        <v>51</v>
      </c>
      <c r="Z38" t="s">
        <v>132</v>
      </c>
      <c r="AA38" t="s">
        <v>133</v>
      </c>
      <c r="AB38" s="141" t="s">
        <v>134</v>
      </c>
      <c r="AC38" s="141" t="s">
        <v>134</v>
      </c>
      <c r="AD38" s="133">
        <v>4000</v>
      </c>
      <c r="AE38" s="135">
        <v>1</v>
      </c>
      <c r="AF38" s="139">
        <v>150.69</v>
      </c>
      <c r="AG38" s="133">
        <v>6.0279999999999996</v>
      </c>
      <c r="AJ38" t="s">
        <v>135</v>
      </c>
      <c r="AK38" s="137">
        <v>4.7503594572365798E-4</v>
      </c>
      <c r="AL38" s="137">
        <v>3.0758566320474799E-6</v>
      </c>
    </row>
    <row r="39" spans="1:38">
      <c r="A39">
        <v>161</v>
      </c>
      <c r="B39">
        <v>9943</v>
      </c>
      <c r="C39" t="s">
        <v>216</v>
      </c>
      <c r="D39" t="s">
        <v>217</v>
      </c>
      <c r="E39" t="s">
        <v>41</v>
      </c>
      <c r="F39" t="s">
        <v>225</v>
      </c>
      <c r="G39" t="s">
        <v>226</v>
      </c>
      <c r="H39" t="s">
        <v>220</v>
      </c>
      <c r="I39" t="s">
        <v>140</v>
      </c>
      <c r="J39" t="s">
        <v>45</v>
      </c>
      <c r="K39" t="s">
        <v>45</v>
      </c>
      <c r="L39" t="s">
        <v>125</v>
      </c>
      <c r="M39" t="s">
        <v>221</v>
      </c>
      <c r="N39" t="s">
        <v>51</v>
      </c>
      <c r="O39" s="141" t="s">
        <v>222</v>
      </c>
      <c r="P39" t="s">
        <v>227</v>
      </c>
      <c r="Q39" t="s">
        <v>96</v>
      </c>
      <c r="R39" t="s">
        <v>97</v>
      </c>
      <c r="S39" t="s">
        <v>52</v>
      </c>
      <c r="T39" t="s">
        <v>223</v>
      </c>
      <c r="U39" t="s">
        <v>224</v>
      </c>
      <c r="V39" s="137">
        <v>2.5999999999999999E-2</v>
      </c>
      <c r="W39" s="137">
        <v>6.6000000000000003E-2</v>
      </c>
      <c r="X39" t="s">
        <v>131</v>
      </c>
      <c r="Y39" t="s">
        <v>51</v>
      </c>
      <c r="Z39" t="s">
        <v>132</v>
      </c>
      <c r="AA39" t="s">
        <v>133</v>
      </c>
      <c r="AB39" s="141" t="s">
        <v>134</v>
      </c>
      <c r="AC39" s="141" t="s">
        <v>134</v>
      </c>
      <c r="AD39" s="133">
        <v>1095000</v>
      </c>
      <c r="AE39" s="135">
        <v>1</v>
      </c>
      <c r="AF39" s="139">
        <v>150.5</v>
      </c>
      <c r="AG39" s="133">
        <v>1647.9749999999999</v>
      </c>
      <c r="AJ39" t="s">
        <v>135</v>
      </c>
      <c r="AK39" s="137">
        <v>0.12987712566426901</v>
      </c>
      <c r="AL39" s="137">
        <v>8.4095408341602798E-4</v>
      </c>
    </row>
    <row r="40" spans="1:38">
      <c r="A40">
        <v>161</v>
      </c>
      <c r="B40">
        <v>9943</v>
      </c>
      <c r="C40" t="s">
        <v>161</v>
      </c>
      <c r="D40" t="s">
        <v>162</v>
      </c>
      <c r="E40" t="s">
        <v>41</v>
      </c>
      <c r="F40" t="s">
        <v>163</v>
      </c>
      <c r="G40" t="s">
        <v>164</v>
      </c>
      <c r="H40" t="s">
        <v>44</v>
      </c>
      <c r="I40" t="s">
        <v>149</v>
      </c>
      <c r="J40" t="s">
        <v>45</v>
      </c>
      <c r="K40" t="s">
        <v>45</v>
      </c>
      <c r="L40" t="s">
        <v>125</v>
      </c>
      <c r="M40" t="s">
        <v>150</v>
      </c>
      <c r="N40" t="s">
        <v>51</v>
      </c>
      <c r="O40" s="141" t="s">
        <v>165</v>
      </c>
      <c r="P40" t="s">
        <v>166</v>
      </c>
      <c r="Q40" t="s">
        <v>167</v>
      </c>
      <c r="R40" t="s">
        <v>97</v>
      </c>
      <c r="S40" t="s">
        <v>52</v>
      </c>
      <c r="T40" t="s">
        <v>168</v>
      </c>
      <c r="U40" t="s">
        <v>169</v>
      </c>
      <c r="V40" s="137">
        <v>4.48E-2</v>
      </c>
      <c r="W40" s="137">
        <v>2.1000000000000001E-2</v>
      </c>
      <c r="X40" t="s">
        <v>131</v>
      </c>
      <c r="Y40" t="s">
        <v>51</v>
      </c>
      <c r="Z40" t="s">
        <v>132</v>
      </c>
      <c r="AA40" t="s">
        <v>133</v>
      </c>
      <c r="AB40" s="141" t="s">
        <v>134</v>
      </c>
      <c r="AC40" s="141" t="s">
        <v>134</v>
      </c>
      <c r="AD40" s="133">
        <v>91428.800000000003</v>
      </c>
      <c r="AE40" s="135">
        <v>1</v>
      </c>
      <c r="AF40" s="139">
        <v>97.14</v>
      </c>
      <c r="AG40" s="133">
        <v>88.813999999999993</v>
      </c>
      <c r="AJ40" t="s">
        <v>135</v>
      </c>
      <c r="AK40" s="137">
        <v>6.9994379575970501E-3</v>
      </c>
      <c r="AL40" s="137">
        <v>4.5321344324128199E-5</v>
      </c>
    </row>
    <row r="41" spans="1:38">
      <c r="A41">
        <v>161</v>
      </c>
      <c r="B41">
        <v>9943</v>
      </c>
      <c r="C41" t="s">
        <v>170</v>
      </c>
      <c r="D41" t="s">
        <v>171</v>
      </c>
      <c r="E41" t="s">
        <v>41</v>
      </c>
      <c r="F41" t="s">
        <v>172</v>
      </c>
      <c r="G41" t="s">
        <v>173</v>
      </c>
      <c r="H41" t="s">
        <v>44</v>
      </c>
      <c r="I41" t="s">
        <v>140</v>
      </c>
      <c r="J41" t="s">
        <v>45</v>
      </c>
      <c r="K41" t="s">
        <v>45</v>
      </c>
      <c r="L41" t="s">
        <v>125</v>
      </c>
      <c r="M41" s="125" t="s">
        <v>1063</v>
      </c>
      <c r="N41" t="s">
        <v>51</v>
      </c>
      <c r="O41" s="141" t="s">
        <v>174</v>
      </c>
      <c r="P41" t="s">
        <v>175</v>
      </c>
      <c r="Q41" t="s">
        <v>167</v>
      </c>
      <c r="R41" t="s">
        <v>97</v>
      </c>
      <c r="S41" t="s">
        <v>52</v>
      </c>
      <c r="T41" t="s">
        <v>176</v>
      </c>
      <c r="U41" t="s">
        <v>177</v>
      </c>
      <c r="V41" s="137">
        <v>4.8000000000000001E-2</v>
      </c>
      <c r="W41" s="137">
        <v>4.4499999999999998E-2</v>
      </c>
      <c r="X41" t="s">
        <v>131</v>
      </c>
      <c r="Y41" t="s">
        <v>51</v>
      </c>
      <c r="Z41" t="s">
        <v>132</v>
      </c>
      <c r="AA41" t="s">
        <v>133</v>
      </c>
      <c r="AB41" s="141" t="s">
        <v>134</v>
      </c>
      <c r="AC41" s="141" t="s">
        <v>134</v>
      </c>
      <c r="AD41" s="133">
        <v>1032743.98</v>
      </c>
      <c r="AE41" s="135">
        <v>1</v>
      </c>
      <c r="AF41" s="139">
        <v>104.03</v>
      </c>
      <c r="AG41" s="133">
        <v>1074.364</v>
      </c>
      <c r="AJ41" t="s">
        <v>135</v>
      </c>
      <c r="AK41" s="137">
        <v>8.4670733113158203E-2</v>
      </c>
      <c r="AL41" s="137">
        <v>5.4824279789961899E-4</v>
      </c>
    </row>
    <row r="42" spans="1:38">
      <c r="A42">
        <v>161</v>
      </c>
      <c r="B42">
        <v>9943</v>
      </c>
      <c r="C42" t="s">
        <v>178</v>
      </c>
      <c r="D42" t="s">
        <v>179</v>
      </c>
      <c r="E42" t="s">
        <v>41</v>
      </c>
      <c r="F42" t="s">
        <v>180</v>
      </c>
      <c r="G42" t="s">
        <v>181</v>
      </c>
      <c r="H42" t="s">
        <v>44</v>
      </c>
      <c r="I42" t="s">
        <v>149</v>
      </c>
      <c r="J42" t="s">
        <v>45</v>
      </c>
      <c r="K42" t="s">
        <v>45</v>
      </c>
      <c r="L42" t="s">
        <v>125</v>
      </c>
      <c r="M42" t="s">
        <v>58</v>
      </c>
      <c r="N42" t="s">
        <v>51</v>
      </c>
      <c r="O42" s="141" t="s">
        <v>182</v>
      </c>
      <c r="P42" t="s">
        <v>183</v>
      </c>
      <c r="Q42" t="s">
        <v>167</v>
      </c>
      <c r="R42" t="s">
        <v>97</v>
      </c>
      <c r="S42" t="s">
        <v>52</v>
      </c>
      <c r="T42" t="s">
        <v>184</v>
      </c>
      <c r="U42" t="s">
        <v>130</v>
      </c>
      <c r="V42" s="137">
        <v>4.5199999999999997E-2</v>
      </c>
      <c r="W42" s="137">
        <v>3.1E-2</v>
      </c>
      <c r="X42" t="s">
        <v>131</v>
      </c>
      <c r="Y42" t="s">
        <v>51</v>
      </c>
      <c r="Z42" t="s">
        <v>132</v>
      </c>
      <c r="AA42" t="s">
        <v>133</v>
      </c>
      <c r="AB42" s="141" t="s">
        <v>134</v>
      </c>
      <c r="AC42" s="141" t="s">
        <v>134</v>
      </c>
      <c r="AD42" s="133">
        <v>1284707.3400000001</v>
      </c>
      <c r="AE42" s="135">
        <v>1</v>
      </c>
      <c r="AF42" s="139">
        <v>99.02</v>
      </c>
      <c r="AG42" s="133">
        <v>1272.117</v>
      </c>
      <c r="AJ42" t="s">
        <v>135</v>
      </c>
      <c r="AK42" s="137">
        <v>0.10025572383799899</v>
      </c>
      <c r="AL42" s="137">
        <v>6.49155576212371E-4</v>
      </c>
    </row>
    <row r="43" spans="1:38">
      <c r="A43">
        <v>161</v>
      </c>
      <c r="B43">
        <v>9943</v>
      </c>
      <c r="C43" t="s">
        <v>228</v>
      </c>
      <c r="D43" t="s">
        <v>229</v>
      </c>
      <c r="E43" t="s">
        <v>41</v>
      </c>
      <c r="F43" t="s">
        <v>230</v>
      </c>
      <c r="G43" t="s">
        <v>231</v>
      </c>
      <c r="H43" t="s">
        <v>44</v>
      </c>
      <c r="I43" t="s">
        <v>140</v>
      </c>
      <c r="J43" t="s">
        <v>45</v>
      </c>
      <c r="K43" t="s">
        <v>45</v>
      </c>
      <c r="L43" t="s">
        <v>125</v>
      </c>
      <c r="M43" s="125" t="s">
        <v>1062</v>
      </c>
      <c r="N43" t="s">
        <v>51</v>
      </c>
      <c r="O43" s="141" t="s">
        <v>222</v>
      </c>
      <c r="P43" t="s">
        <v>95</v>
      </c>
      <c r="Q43" t="s">
        <v>96</v>
      </c>
      <c r="R43" t="s">
        <v>97</v>
      </c>
      <c r="S43" t="s">
        <v>52</v>
      </c>
      <c r="T43" t="s">
        <v>232</v>
      </c>
      <c r="U43" t="s">
        <v>233</v>
      </c>
      <c r="V43" s="137">
        <v>3.0099999999999998E-2</v>
      </c>
      <c r="W43" s="137">
        <v>5.6000000000000001E-2</v>
      </c>
      <c r="X43" t="s">
        <v>131</v>
      </c>
      <c r="Y43" t="s">
        <v>51</v>
      </c>
      <c r="Z43" t="s">
        <v>132</v>
      </c>
      <c r="AA43" t="s">
        <v>133</v>
      </c>
      <c r="AB43" s="141" t="s">
        <v>134</v>
      </c>
      <c r="AC43" s="141" t="s">
        <v>134</v>
      </c>
      <c r="AD43" s="133">
        <v>271122.36</v>
      </c>
      <c r="AE43" s="135">
        <v>1</v>
      </c>
      <c r="AF43" s="139">
        <v>145.56</v>
      </c>
      <c r="AG43" s="133">
        <v>394.64600000000002</v>
      </c>
      <c r="AJ43" t="s">
        <v>135</v>
      </c>
      <c r="AK43" s="137">
        <v>3.1102079891355501E-2</v>
      </c>
      <c r="AL43" s="137">
        <v>2.0138589419493701E-4</v>
      </c>
    </row>
    <row r="44" spans="1:38">
      <c r="A44">
        <v>161</v>
      </c>
      <c r="B44">
        <v>9943</v>
      </c>
      <c r="C44" t="s">
        <v>185</v>
      </c>
      <c r="D44" t="s">
        <v>186</v>
      </c>
      <c r="E44" t="s">
        <v>41</v>
      </c>
      <c r="F44" t="s">
        <v>187</v>
      </c>
      <c r="G44" t="s">
        <v>188</v>
      </c>
      <c r="H44" t="s">
        <v>44</v>
      </c>
      <c r="I44" t="s">
        <v>140</v>
      </c>
      <c r="J44" t="s">
        <v>45</v>
      </c>
      <c r="K44" t="s">
        <v>45</v>
      </c>
      <c r="L44" t="s">
        <v>125</v>
      </c>
      <c r="M44" t="s">
        <v>189</v>
      </c>
      <c r="N44" t="s">
        <v>51</v>
      </c>
      <c r="O44" s="141" t="s">
        <v>190</v>
      </c>
      <c r="P44" t="s">
        <v>95</v>
      </c>
      <c r="Q44" t="s">
        <v>96</v>
      </c>
      <c r="R44" t="s">
        <v>97</v>
      </c>
      <c r="S44" t="s">
        <v>52</v>
      </c>
      <c r="T44" t="s">
        <v>191</v>
      </c>
      <c r="U44" t="s">
        <v>192</v>
      </c>
      <c r="V44" s="137">
        <v>2.4299999999999999E-2</v>
      </c>
      <c r="W44" s="137">
        <v>2.3217999999999999E-2</v>
      </c>
      <c r="X44" t="s">
        <v>131</v>
      </c>
      <c r="Y44" t="s">
        <v>51</v>
      </c>
      <c r="Z44" t="s">
        <v>132</v>
      </c>
      <c r="AA44" t="s">
        <v>133</v>
      </c>
      <c r="AB44" s="141" t="s">
        <v>134</v>
      </c>
      <c r="AC44" s="141" t="s">
        <v>134</v>
      </c>
      <c r="AD44" s="133">
        <v>1054913.26</v>
      </c>
      <c r="AE44" s="135">
        <v>1</v>
      </c>
      <c r="AF44" s="139">
        <v>118.21</v>
      </c>
      <c r="AG44" s="133">
        <v>1247.0129999999999</v>
      </c>
      <c r="AJ44" t="s">
        <v>135</v>
      </c>
      <c r="AK44" s="137">
        <v>9.8277255124805202E-2</v>
      </c>
      <c r="AL44" s="137">
        <v>6.3634499594458695E-4</v>
      </c>
    </row>
    <row r="45" spans="1:38">
      <c r="A45">
        <v>161</v>
      </c>
      <c r="B45">
        <v>9943</v>
      </c>
      <c r="C45" t="s">
        <v>185</v>
      </c>
      <c r="D45" t="s">
        <v>186</v>
      </c>
      <c r="E45" t="s">
        <v>41</v>
      </c>
      <c r="F45" t="s">
        <v>193</v>
      </c>
      <c r="G45" t="s">
        <v>194</v>
      </c>
      <c r="H45" t="s">
        <v>44</v>
      </c>
      <c r="I45" t="s">
        <v>149</v>
      </c>
      <c r="J45" t="s">
        <v>45</v>
      </c>
      <c r="K45" t="s">
        <v>45</v>
      </c>
      <c r="L45" t="s">
        <v>125</v>
      </c>
      <c r="M45" t="s">
        <v>189</v>
      </c>
      <c r="N45" t="s">
        <v>51</v>
      </c>
      <c r="O45" s="141" t="s">
        <v>195</v>
      </c>
      <c r="P45" t="s">
        <v>95</v>
      </c>
      <c r="Q45" t="s">
        <v>96</v>
      </c>
      <c r="R45" t="s">
        <v>97</v>
      </c>
      <c r="S45" t="s">
        <v>52</v>
      </c>
      <c r="T45" t="s">
        <v>196</v>
      </c>
      <c r="U45" t="s">
        <v>192</v>
      </c>
      <c r="V45" s="137">
        <v>4.41E-2</v>
      </c>
      <c r="W45" s="137">
        <v>3.7400000000000003E-2</v>
      </c>
      <c r="X45" t="s">
        <v>131</v>
      </c>
      <c r="Y45" t="s">
        <v>51</v>
      </c>
      <c r="Z45" t="s">
        <v>132</v>
      </c>
      <c r="AA45" t="s">
        <v>133</v>
      </c>
      <c r="AB45" s="141" t="s">
        <v>134</v>
      </c>
      <c r="AC45" s="141" t="s">
        <v>134</v>
      </c>
      <c r="AD45" s="133">
        <v>2264204</v>
      </c>
      <c r="AE45" s="135">
        <v>1</v>
      </c>
      <c r="AF45" s="139">
        <v>97.69</v>
      </c>
      <c r="AG45" s="133">
        <v>2211.9009999999998</v>
      </c>
      <c r="AJ45" t="s">
        <v>135</v>
      </c>
      <c r="AK45" s="137">
        <v>0.17432019875042601</v>
      </c>
      <c r="AL45" s="137">
        <v>1.1287228771909501E-3</v>
      </c>
    </row>
    <row r="46" spans="1:38">
      <c r="A46">
        <v>161</v>
      </c>
      <c r="B46">
        <v>9943</v>
      </c>
      <c r="C46" t="s">
        <v>197</v>
      </c>
      <c r="D46" t="s">
        <v>198</v>
      </c>
      <c r="E46" t="s">
        <v>41</v>
      </c>
      <c r="F46" t="s">
        <v>199</v>
      </c>
      <c r="G46" t="s">
        <v>200</v>
      </c>
      <c r="H46" t="s">
        <v>44</v>
      </c>
      <c r="I46" t="s">
        <v>140</v>
      </c>
      <c r="J46" t="s">
        <v>45</v>
      </c>
      <c r="K46" t="s">
        <v>45</v>
      </c>
      <c r="L46" t="s">
        <v>125</v>
      </c>
      <c r="M46" s="125" t="s">
        <v>1062</v>
      </c>
      <c r="N46" t="s">
        <v>51</v>
      </c>
      <c r="O46" s="141" t="s">
        <v>201</v>
      </c>
      <c r="P46" t="s">
        <v>202</v>
      </c>
      <c r="Q46" t="s">
        <v>167</v>
      </c>
      <c r="R46" t="s">
        <v>97</v>
      </c>
      <c r="S46" t="s">
        <v>52</v>
      </c>
      <c r="T46" t="s">
        <v>203</v>
      </c>
      <c r="U46" t="s">
        <v>204</v>
      </c>
      <c r="V46" s="137">
        <v>2.7699999999999999E-2</v>
      </c>
      <c r="W46" s="137">
        <v>1.7500000000000002E-2</v>
      </c>
      <c r="X46" t="s">
        <v>131</v>
      </c>
      <c r="Y46" t="s">
        <v>51</v>
      </c>
      <c r="Z46" t="s">
        <v>132</v>
      </c>
      <c r="AA46" t="s">
        <v>133</v>
      </c>
      <c r="AB46" s="141" t="s">
        <v>134</v>
      </c>
      <c r="AC46" s="141" t="s">
        <v>134</v>
      </c>
      <c r="AD46" s="133">
        <v>1227777.72</v>
      </c>
      <c r="AE46" s="135">
        <v>1</v>
      </c>
      <c r="AF46" s="139">
        <v>105.42</v>
      </c>
      <c r="AG46" s="133">
        <v>1294.3230000000001</v>
      </c>
      <c r="AJ46" t="s">
        <v>135</v>
      </c>
      <c r="AK46" s="137">
        <v>0.102005786679288</v>
      </c>
      <c r="AL46" s="137">
        <v>6.6048722899641002E-4</v>
      </c>
    </row>
    <row r="47" spans="1:38">
      <c r="A47">
        <v>161</v>
      </c>
      <c r="B47">
        <v>9943</v>
      </c>
      <c r="C47" t="s">
        <v>136</v>
      </c>
      <c r="D47" t="s">
        <v>137</v>
      </c>
      <c r="E47" t="s">
        <v>41</v>
      </c>
      <c r="F47" t="s">
        <v>138</v>
      </c>
      <c r="G47" t="s">
        <v>139</v>
      </c>
      <c r="H47" t="s">
        <v>44</v>
      </c>
      <c r="I47" t="s">
        <v>140</v>
      </c>
      <c r="J47" t="s">
        <v>45</v>
      </c>
      <c r="K47" t="s">
        <v>45</v>
      </c>
      <c r="L47" t="s">
        <v>125</v>
      </c>
      <c r="M47" t="s">
        <v>58</v>
      </c>
      <c r="N47" t="s">
        <v>51</v>
      </c>
      <c r="O47" s="141" t="s">
        <v>141</v>
      </c>
      <c r="P47" t="s">
        <v>128</v>
      </c>
      <c r="Q47" t="s">
        <v>96</v>
      </c>
      <c r="R47" t="s">
        <v>97</v>
      </c>
      <c r="S47" t="s">
        <v>52</v>
      </c>
      <c r="T47" t="s">
        <v>142</v>
      </c>
      <c r="U47" t="s">
        <v>143</v>
      </c>
      <c r="V47" s="137">
        <v>3.6200000000000003E-2</v>
      </c>
      <c r="W47" s="137">
        <v>3.8399999999999997E-2</v>
      </c>
      <c r="X47" t="s">
        <v>131</v>
      </c>
      <c r="Y47" t="s">
        <v>51</v>
      </c>
      <c r="Z47" t="s">
        <v>132</v>
      </c>
      <c r="AA47" t="s">
        <v>133</v>
      </c>
      <c r="AB47" s="141" t="s">
        <v>134</v>
      </c>
      <c r="AC47" s="141" t="s">
        <v>134</v>
      </c>
      <c r="AD47" s="133">
        <v>290664.07</v>
      </c>
      <c r="AE47" s="135">
        <v>1</v>
      </c>
      <c r="AF47" s="139">
        <v>105.42</v>
      </c>
      <c r="AG47" s="133">
        <v>306.41800000000001</v>
      </c>
      <c r="AJ47" t="s">
        <v>135</v>
      </c>
      <c r="AK47" s="137">
        <v>2.4148847659292601E-2</v>
      </c>
      <c r="AL47" s="137">
        <v>1.5636373183504099E-4</v>
      </c>
    </row>
    <row r="48" spans="1:38">
      <c r="A48">
        <v>161</v>
      </c>
      <c r="B48">
        <v>9943</v>
      </c>
      <c r="C48" t="s">
        <v>206</v>
      </c>
      <c r="D48" t="s">
        <v>207</v>
      </c>
      <c r="E48" t="s">
        <v>64</v>
      </c>
      <c r="F48" t="s">
        <v>208</v>
      </c>
      <c r="G48" t="s">
        <v>209</v>
      </c>
      <c r="H48" t="s">
        <v>44</v>
      </c>
      <c r="I48" t="s">
        <v>124</v>
      </c>
      <c r="J48" t="s">
        <v>45</v>
      </c>
      <c r="K48" t="s">
        <v>45</v>
      </c>
      <c r="L48" t="s">
        <v>125</v>
      </c>
      <c r="M48" t="s">
        <v>210</v>
      </c>
      <c r="N48" t="s">
        <v>51</v>
      </c>
      <c r="O48" s="141" t="s">
        <v>211</v>
      </c>
      <c r="P48" t="s">
        <v>212</v>
      </c>
      <c r="Q48" t="s">
        <v>159</v>
      </c>
      <c r="R48" t="s">
        <v>97</v>
      </c>
      <c r="S48" t="s">
        <v>72</v>
      </c>
      <c r="T48" t="s">
        <v>213</v>
      </c>
      <c r="U48" t="s">
        <v>214</v>
      </c>
      <c r="V48" s="137">
        <v>7.1099999999999997E-2</v>
      </c>
      <c r="W48" s="137">
        <v>5.3749999999999999E-2</v>
      </c>
      <c r="X48" t="s">
        <v>131</v>
      </c>
      <c r="Y48" t="s">
        <v>51</v>
      </c>
      <c r="Z48" t="s">
        <v>215</v>
      </c>
      <c r="AA48" t="s">
        <v>133</v>
      </c>
      <c r="AB48" s="141" t="s">
        <v>134</v>
      </c>
      <c r="AC48" s="141" t="s">
        <v>134</v>
      </c>
      <c r="AD48" s="133">
        <v>148900</v>
      </c>
      <c r="AE48" s="135">
        <v>3.165</v>
      </c>
      <c r="AF48" s="139">
        <v>97.03</v>
      </c>
      <c r="AG48" s="133">
        <v>457.27199999999999</v>
      </c>
      <c r="AJ48" t="s">
        <v>135</v>
      </c>
      <c r="AK48" s="137">
        <v>3.6037652482402302E-2</v>
      </c>
      <c r="AL48" s="137">
        <v>2.3334371512151201E-4</v>
      </c>
    </row>
    <row r="49" spans="1:38">
      <c r="A49">
        <v>161</v>
      </c>
      <c r="B49">
        <v>9943</v>
      </c>
      <c r="C49" t="s">
        <v>234</v>
      </c>
      <c r="D49" t="s">
        <v>235</v>
      </c>
      <c r="E49" t="s">
        <v>41</v>
      </c>
      <c r="F49" t="s">
        <v>236</v>
      </c>
      <c r="G49" t="s">
        <v>237</v>
      </c>
      <c r="H49" t="s">
        <v>44</v>
      </c>
      <c r="I49" t="s">
        <v>140</v>
      </c>
      <c r="J49" t="s">
        <v>45</v>
      </c>
      <c r="K49" t="s">
        <v>45</v>
      </c>
      <c r="L49" t="s">
        <v>125</v>
      </c>
      <c r="M49" t="s">
        <v>150</v>
      </c>
      <c r="N49" t="s">
        <v>51</v>
      </c>
      <c r="O49" s="141" t="s">
        <v>238</v>
      </c>
      <c r="P49" t="s">
        <v>239</v>
      </c>
      <c r="Q49" t="s">
        <v>96</v>
      </c>
      <c r="R49" t="s">
        <v>97</v>
      </c>
      <c r="S49" t="s">
        <v>52</v>
      </c>
      <c r="T49" t="s">
        <v>240</v>
      </c>
      <c r="U49" t="s">
        <v>241</v>
      </c>
      <c r="V49" s="137">
        <v>1E-4</v>
      </c>
      <c r="W49" s="137">
        <v>5.3499999999999999E-2</v>
      </c>
      <c r="X49" t="s">
        <v>242</v>
      </c>
      <c r="Y49" t="s">
        <v>243</v>
      </c>
      <c r="Z49" t="s">
        <v>244</v>
      </c>
      <c r="AA49" t="s">
        <v>245</v>
      </c>
      <c r="AB49" s="141" t="s">
        <v>134</v>
      </c>
      <c r="AC49" s="141" t="s">
        <v>134</v>
      </c>
      <c r="AD49" s="133">
        <v>1944828.12</v>
      </c>
      <c r="AE49" s="135">
        <v>1</v>
      </c>
      <c r="AF49" s="139">
        <v>13.23</v>
      </c>
      <c r="AG49" s="133">
        <v>257.30099999999999</v>
      </c>
      <c r="AJ49" t="s">
        <v>135</v>
      </c>
      <c r="AK49" s="137">
        <v>2.0277906628363901E-2</v>
      </c>
      <c r="AL49" s="137">
        <v>1.31299397757946E-4</v>
      </c>
    </row>
    <row r="50" spans="1:38">
      <c r="A50">
        <v>161</v>
      </c>
      <c r="B50">
        <v>12468</v>
      </c>
      <c r="C50" t="s">
        <v>120</v>
      </c>
      <c r="D50" t="s">
        <v>121</v>
      </c>
      <c r="E50" t="s">
        <v>41</v>
      </c>
      <c r="F50" t="s">
        <v>122</v>
      </c>
      <c r="G50" t="s">
        <v>123</v>
      </c>
      <c r="H50" t="s">
        <v>44</v>
      </c>
      <c r="I50" t="s">
        <v>124</v>
      </c>
      <c r="J50" t="s">
        <v>68</v>
      </c>
      <c r="K50" t="s">
        <v>69</v>
      </c>
      <c r="L50" t="s">
        <v>125</v>
      </c>
      <c r="M50" t="s">
        <v>126</v>
      </c>
      <c r="N50" t="s">
        <v>51</v>
      </c>
      <c r="O50" s="141" t="s">
        <v>127</v>
      </c>
      <c r="P50" t="s">
        <v>128</v>
      </c>
      <c r="Q50" t="s">
        <v>96</v>
      </c>
      <c r="R50" t="s">
        <v>97</v>
      </c>
      <c r="S50" t="s">
        <v>72</v>
      </c>
      <c r="T50" t="s">
        <v>129</v>
      </c>
      <c r="U50" t="s">
        <v>130</v>
      </c>
      <c r="V50" s="137">
        <v>6.8099999999999994E-2</v>
      </c>
      <c r="W50" s="137">
        <v>6.5000000000000002E-2</v>
      </c>
      <c r="X50" t="s">
        <v>131</v>
      </c>
      <c r="Y50" t="s">
        <v>51</v>
      </c>
      <c r="Z50" t="s">
        <v>132</v>
      </c>
      <c r="AA50" t="s">
        <v>133</v>
      </c>
      <c r="AB50" s="141" t="s">
        <v>134</v>
      </c>
      <c r="AC50" s="141" t="s">
        <v>134</v>
      </c>
      <c r="AD50" s="133">
        <v>2000</v>
      </c>
      <c r="AE50" s="135">
        <v>3.165</v>
      </c>
      <c r="AF50" s="139">
        <v>101.39</v>
      </c>
      <c r="AG50" s="133">
        <v>6.4180000000000001</v>
      </c>
      <c r="AJ50" t="s">
        <v>135</v>
      </c>
      <c r="AK50" s="137">
        <v>0.65743148869479795</v>
      </c>
      <c r="AL50" s="137">
        <v>1.98803149609069E-4</v>
      </c>
    </row>
    <row r="51" spans="1:38">
      <c r="A51">
        <v>161</v>
      </c>
      <c r="B51">
        <v>12468</v>
      </c>
      <c r="C51" t="s">
        <v>144</v>
      </c>
      <c r="D51" t="s">
        <v>145</v>
      </c>
      <c r="E51" t="s">
        <v>146</v>
      </c>
      <c r="F51" t="s">
        <v>147</v>
      </c>
      <c r="G51" t="s">
        <v>148</v>
      </c>
      <c r="H51" t="s">
        <v>44</v>
      </c>
      <c r="I51" t="s">
        <v>149</v>
      </c>
      <c r="J51" t="s">
        <v>45</v>
      </c>
      <c r="K51" t="s">
        <v>45</v>
      </c>
      <c r="L51" t="s">
        <v>125</v>
      </c>
      <c r="M51" t="s">
        <v>150</v>
      </c>
      <c r="N51" t="s">
        <v>51</v>
      </c>
      <c r="O51" s="141" t="s">
        <v>151</v>
      </c>
      <c r="P51" t="s">
        <v>128</v>
      </c>
      <c r="Q51" t="s">
        <v>96</v>
      </c>
      <c r="R51" t="s">
        <v>97</v>
      </c>
      <c r="S51" t="s">
        <v>52</v>
      </c>
      <c r="T51" t="s">
        <v>152</v>
      </c>
      <c r="U51" t="s">
        <v>143</v>
      </c>
      <c r="V51" s="137">
        <v>4.7899999999999998E-2</v>
      </c>
      <c r="W51" s="137">
        <v>2.86E-2</v>
      </c>
      <c r="X51" t="s">
        <v>131</v>
      </c>
      <c r="Y51" t="s">
        <v>51</v>
      </c>
      <c r="Z51" t="s">
        <v>132</v>
      </c>
      <c r="AA51" t="s">
        <v>133</v>
      </c>
      <c r="AB51" s="141" t="s">
        <v>134</v>
      </c>
      <c r="AC51" s="141" t="s">
        <v>134</v>
      </c>
      <c r="AD51" s="133">
        <v>3428.57</v>
      </c>
      <c r="AE51" s="135">
        <v>1</v>
      </c>
      <c r="AF51" s="139">
        <v>97.54</v>
      </c>
      <c r="AG51" s="133">
        <v>3.3439999999999999</v>
      </c>
      <c r="AJ51" t="s">
        <v>135</v>
      </c>
      <c r="AK51" s="137">
        <v>0.34256851130520199</v>
      </c>
      <c r="AL51" s="137">
        <v>1.03590564454968E-4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102</v>
      </c>
      <c r="P1" s="14" t="s">
        <v>30</v>
      </c>
      <c r="Q1" s="14" t="s">
        <v>114</v>
      </c>
      <c r="R1" s="14" t="s">
        <v>115</v>
      </c>
      <c r="S1" s="140" t="s">
        <v>117</v>
      </c>
      <c r="T1" s="140" t="s">
        <v>118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161</v>
      </c>
      <c r="B2">
        <v>9938</v>
      </c>
      <c r="C2" t="s">
        <v>246</v>
      </c>
      <c r="D2" t="s">
        <v>247</v>
      </c>
      <c r="E2" t="s">
        <v>220</v>
      </c>
      <c r="F2" t="s">
        <v>248</v>
      </c>
      <c r="G2" t="s">
        <v>249</v>
      </c>
      <c r="H2" t="s">
        <v>44</v>
      </c>
      <c r="I2" t="s">
        <v>250</v>
      </c>
      <c r="J2" t="s">
        <v>45</v>
      </c>
      <c r="K2" t="s">
        <v>45</v>
      </c>
      <c r="L2" t="s">
        <v>125</v>
      </c>
      <c r="M2" t="s">
        <v>251</v>
      </c>
      <c r="N2" t="s">
        <v>51</v>
      </c>
      <c r="O2" s="141" t="s">
        <v>252</v>
      </c>
      <c r="P2" t="s">
        <v>52</v>
      </c>
      <c r="Q2" t="s">
        <v>215</v>
      </c>
      <c r="R2" t="s">
        <v>133</v>
      </c>
      <c r="S2" s="141" t="s">
        <v>253</v>
      </c>
      <c r="T2" s="141" t="s">
        <v>253</v>
      </c>
      <c r="U2" s="133">
        <v>72698</v>
      </c>
      <c r="V2" s="135">
        <v>1</v>
      </c>
      <c r="W2" s="139">
        <v>0</v>
      </c>
      <c r="X2" s="133">
        <v>0</v>
      </c>
      <c r="Y2" s="137">
        <v>4.3234282420119302E-9</v>
      </c>
      <c r="Z2" s="137">
        <v>8.3304189478797E-12</v>
      </c>
    </row>
    <row r="3" spans="1:26">
      <c r="A3">
        <v>161</v>
      </c>
      <c r="B3">
        <v>9938</v>
      </c>
      <c r="C3" t="s">
        <v>254</v>
      </c>
      <c r="D3" t="s">
        <v>255</v>
      </c>
      <c r="E3" t="s">
        <v>64</v>
      </c>
      <c r="F3" t="s">
        <v>256</v>
      </c>
      <c r="G3" t="s">
        <v>257</v>
      </c>
      <c r="H3" t="s">
        <v>44</v>
      </c>
      <c r="I3" t="s">
        <v>250</v>
      </c>
      <c r="J3" t="s">
        <v>68</v>
      </c>
      <c r="K3" t="s">
        <v>69</v>
      </c>
      <c r="L3" t="s">
        <v>125</v>
      </c>
      <c r="M3" t="s">
        <v>1063</v>
      </c>
      <c r="N3" t="s">
        <v>51</v>
      </c>
      <c r="O3" s="141" t="s">
        <v>258</v>
      </c>
      <c r="P3" t="s">
        <v>72</v>
      </c>
      <c r="Q3" t="s">
        <v>215</v>
      </c>
      <c r="R3" t="s">
        <v>245</v>
      </c>
      <c r="S3" s="141" t="s">
        <v>259</v>
      </c>
      <c r="T3" s="141" t="s">
        <v>259</v>
      </c>
      <c r="U3" s="133">
        <v>1560</v>
      </c>
      <c r="V3" s="135">
        <v>3.165</v>
      </c>
      <c r="W3" s="139">
        <v>2500</v>
      </c>
      <c r="X3" s="133">
        <v>124.001</v>
      </c>
      <c r="Y3" s="137">
        <v>0.73744557033581404</v>
      </c>
      <c r="Z3" s="137">
        <v>1.4209165061327899E-3</v>
      </c>
    </row>
    <row r="4" spans="1:26">
      <c r="A4">
        <v>161</v>
      </c>
      <c r="B4">
        <v>9938</v>
      </c>
      <c r="C4" t="s">
        <v>260</v>
      </c>
      <c r="D4" t="s">
        <v>261</v>
      </c>
      <c r="E4" t="s">
        <v>41</v>
      </c>
      <c r="F4" t="s">
        <v>262</v>
      </c>
      <c r="G4" t="s">
        <v>263</v>
      </c>
      <c r="H4" t="s">
        <v>220</v>
      </c>
      <c r="I4" t="s">
        <v>250</v>
      </c>
      <c r="J4" t="s">
        <v>68</v>
      </c>
      <c r="K4" t="s">
        <v>264</v>
      </c>
      <c r="L4" t="s">
        <v>125</v>
      </c>
      <c r="M4" t="s">
        <v>265</v>
      </c>
      <c r="N4" t="s">
        <v>51</v>
      </c>
      <c r="O4" s="141" t="s">
        <v>266</v>
      </c>
      <c r="P4" t="s">
        <v>72</v>
      </c>
      <c r="Q4" t="s">
        <v>215</v>
      </c>
      <c r="R4" t="s">
        <v>245</v>
      </c>
      <c r="S4" s="141" t="s">
        <v>267</v>
      </c>
      <c r="T4" s="141" t="s">
        <v>267</v>
      </c>
      <c r="U4" s="133">
        <v>2235.4</v>
      </c>
      <c r="V4" s="135">
        <v>3.165</v>
      </c>
      <c r="W4" s="139">
        <v>624</v>
      </c>
      <c r="X4" s="133">
        <v>44.148000000000003</v>
      </c>
      <c r="Y4" s="137">
        <v>0.26255442534075801</v>
      </c>
      <c r="Z4" s="137">
        <v>5.0589213866320502E-4</v>
      </c>
    </row>
    <row r="5" spans="1:26">
      <c r="A5">
        <v>161</v>
      </c>
      <c r="B5">
        <v>9942</v>
      </c>
      <c r="C5" t="s">
        <v>246</v>
      </c>
      <c r="D5" t="s">
        <v>247</v>
      </c>
      <c r="E5" t="s">
        <v>220</v>
      </c>
      <c r="F5" t="s">
        <v>248</v>
      </c>
      <c r="G5" t="s">
        <v>249</v>
      </c>
      <c r="H5" t="s">
        <v>44</v>
      </c>
      <c r="I5" t="s">
        <v>250</v>
      </c>
      <c r="J5" t="s">
        <v>45</v>
      </c>
      <c r="K5" t="s">
        <v>45</v>
      </c>
      <c r="L5" t="s">
        <v>125</v>
      </c>
      <c r="M5" t="s">
        <v>251</v>
      </c>
      <c r="N5" t="s">
        <v>51</v>
      </c>
      <c r="O5" s="141" t="s">
        <v>252</v>
      </c>
      <c r="P5" t="s">
        <v>52</v>
      </c>
      <c r="Q5" t="s">
        <v>215</v>
      </c>
      <c r="R5" t="s">
        <v>133</v>
      </c>
      <c r="S5" s="141" t="s">
        <v>253</v>
      </c>
      <c r="T5" s="141" t="s">
        <v>253</v>
      </c>
      <c r="U5" s="133">
        <v>53312</v>
      </c>
      <c r="V5" s="135">
        <v>1</v>
      </c>
      <c r="W5" s="139">
        <v>0</v>
      </c>
      <c r="X5" s="133">
        <v>0</v>
      </c>
      <c r="Y5" s="137">
        <v>2.8540232051694903E-9</v>
      </c>
      <c r="Z5" s="137">
        <v>5.2783756765600799E-12</v>
      </c>
    </row>
    <row r="6" spans="1:26">
      <c r="A6">
        <v>161</v>
      </c>
      <c r="B6">
        <v>9942</v>
      </c>
      <c r="C6" t="s">
        <v>254</v>
      </c>
      <c r="D6" t="s">
        <v>255</v>
      </c>
      <c r="E6" t="s">
        <v>64</v>
      </c>
      <c r="F6" t="s">
        <v>256</v>
      </c>
      <c r="G6" t="s">
        <v>257</v>
      </c>
      <c r="H6" t="s">
        <v>44</v>
      </c>
      <c r="I6" t="s">
        <v>250</v>
      </c>
      <c r="J6" t="s">
        <v>68</v>
      </c>
      <c r="K6" t="s">
        <v>69</v>
      </c>
      <c r="L6" t="s">
        <v>125</v>
      </c>
      <c r="M6" s="125" t="s">
        <v>1063</v>
      </c>
      <c r="N6" t="s">
        <v>51</v>
      </c>
      <c r="O6" s="141" t="s">
        <v>258</v>
      </c>
      <c r="P6" t="s">
        <v>72</v>
      </c>
      <c r="Q6" t="s">
        <v>215</v>
      </c>
      <c r="R6" t="s">
        <v>245</v>
      </c>
      <c r="S6" s="141" t="s">
        <v>259</v>
      </c>
      <c r="T6" s="141" t="s">
        <v>259</v>
      </c>
      <c r="U6" s="133">
        <v>2350</v>
      </c>
      <c r="V6" s="135">
        <v>3.165</v>
      </c>
      <c r="W6" s="139">
        <v>2500</v>
      </c>
      <c r="X6" s="133">
        <v>186.79599999999999</v>
      </c>
      <c r="Y6" s="137">
        <v>0.99999999714597698</v>
      </c>
      <c r="Z6" s="137">
        <v>1.84945085657844E-3</v>
      </c>
    </row>
    <row r="7" spans="1:26">
      <c r="A7">
        <v>161</v>
      </c>
      <c r="B7">
        <v>9943</v>
      </c>
      <c r="C7" t="s">
        <v>234</v>
      </c>
      <c r="D7" t="s">
        <v>235</v>
      </c>
      <c r="E7" t="s">
        <v>41</v>
      </c>
      <c r="F7" t="s">
        <v>268</v>
      </c>
      <c r="G7" t="s">
        <v>269</v>
      </c>
      <c r="H7" t="s">
        <v>220</v>
      </c>
      <c r="I7" t="s">
        <v>250</v>
      </c>
      <c r="J7" t="s">
        <v>45</v>
      </c>
      <c r="K7" t="s">
        <v>45</v>
      </c>
      <c r="L7" t="s">
        <v>125</v>
      </c>
      <c r="M7" t="s">
        <v>270</v>
      </c>
      <c r="N7" t="s">
        <v>51</v>
      </c>
      <c r="O7" s="141" t="s">
        <v>271</v>
      </c>
      <c r="P7" t="s">
        <v>52</v>
      </c>
      <c r="Q7" t="s">
        <v>215</v>
      </c>
      <c r="R7" t="s">
        <v>133</v>
      </c>
      <c r="S7" s="141" t="s">
        <v>272</v>
      </c>
      <c r="T7" s="141" t="s">
        <v>273</v>
      </c>
      <c r="U7" s="133">
        <v>141213.79</v>
      </c>
      <c r="V7" s="135">
        <v>1</v>
      </c>
      <c r="W7" s="139">
        <v>1E-3</v>
      </c>
      <c r="X7" s="133">
        <v>1E-3</v>
      </c>
      <c r="Y7" s="137">
        <v>1.1009434620737601E-6</v>
      </c>
      <c r="Z7" s="137">
        <v>7.2060749304542501E-10</v>
      </c>
    </row>
    <row r="8" spans="1:26">
      <c r="A8">
        <v>161</v>
      </c>
      <c r="B8">
        <v>9943</v>
      </c>
      <c r="C8" t="s">
        <v>274</v>
      </c>
      <c r="D8" t="s">
        <v>275</v>
      </c>
      <c r="E8" t="s">
        <v>64</v>
      </c>
      <c r="F8" t="s">
        <v>276</v>
      </c>
      <c r="G8" t="s">
        <v>277</v>
      </c>
      <c r="H8" t="s">
        <v>44</v>
      </c>
      <c r="I8" t="s">
        <v>250</v>
      </c>
      <c r="J8" t="s">
        <v>68</v>
      </c>
      <c r="K8" t="s">
        <v>69</v>
      </c>
      <c r="L8" t="s">
        <v>125</v>
      </c>
      <c r="M8" t="s">
        <v>278</v>
      </c>
      <c r="N8" t="s">
        <v>51</v>
      </c>
      <c r="O8" s="141" t="s">
        <v>279</v>
      </c>
      <c r="P8" t="s">
        <v>72</v>
      </c>
      <c r="Q8" t="s">
        <v>215</v>
      </c>
      <c r="R8" t="s">
        <v>133</v>
      </c>
      <c r="S8" s="141" t="s">
        <v>280</v>
      </c>
      <c r="T8" s="141" t="s">
        <v>273</v>
      </c>
      <c r="U8" s="133">
        <v>49</v>
      </c>
      <c r="V8" s="135">
        <v>3.165</v>
      </c>
      <c r="W8" s="139">
        <v>0</v>
      </c>
      <c r="X8" s="133">
        <v>0</v>
      </c>
      <c r="Y8" s="137">
        <v>1.2090874185567099E-12</v>
      </c>
      <c r="Z8" s="137">
        <v>7.9139164141799999E-16</v>
      </c>
    </row>
    <row r="9" spans="1:26">
      <c r="A9">
        <v>161</v>
      </c>
      <c r="B9">
        <v>9943</v>
      </c>
      <c r="C9" t="s">
        <v>274</v>
      </c>
      <c r="D9" t="s">
        <v>275</v>
      </c>
      <c r="E9" t="s">
        <v>64</v>
      </c>
      <c r="F9" t="s">
        <v>281</v>
      </c>
      <c r="G9" t="s">
        <v>282</v>
      </c>
      <c r="H9" t="s">
        <v>44</v>
      </c>
      <c r="I9" t="s">
        <v>250</v>
      </c>
      <c r="J9" t="s">
        <v>68</v>
      </c>
      <c r="K9" t="s">
        <v>69</v>
      </c>
      <c r="L9" t="s">
        <v>125</v>
      </c>
      <c r="M9" t="s">
        <v>278</v>
      </c>
      <c r="N9" t="s">
        <v>51</v>
      </c>
      <c r="O9" s="141" t="s">
        <v>279</v>
      </c>
      <c r="P9" t="s">
        <v>72</v>
      </c>
      <c r="Q9" t="s">
        <v>215</v>
      </c>
      <c r="R9" t="s">
        <v>133</v>
      </c>
      <c r="S9" s="141" t="s">
        <v>283</v>
      </c>
      <c r="T9" s="141" t="s">
        <v>273</v>
      </c>
      <c r="U9" s="133">
        <v>0</v>
      </c>
      <c r="V9" s="135">
        <v>3.165</v>
      </c>
      <c r="W9" s="139">
        <v>0</v>
      </c>
      <c r="X9" s="133">
        <v>161.124</v>
      </c>
      <c r="Y9" s="137">
        <v>0.12561727371707901</v>
      </c>
      <c r="Z9" s="137">
        <v>8.22210693053741E-5</v>
      </c>
    </row>
    <row r="10" spans="1:26">
      <c r="A10">
        <v>161</v>
      </c>
      <c r="B10">
        <v>9943</v>
      </c>
      <c r="C10" t="s">
        <v>274</v>
      </c>
      <c r="D10" t="s">
        <v>275</v>
      </c>
      <c r="E10" t="s">
        <v>64</v>
      </c>
      <c r="F10" t="s">
        <v>284</v>
      </c>
      <c r="G10" t="s">
        <v>285</v>
      </c>
      <c r="H10" t="s">
        <v>44</v>
      </c>
      <c r="I10" t="s">
        <v>250</v>
      </c>
      <c r="J10" t="s">
        <v>68</v>
      </c>
      <c r="K10" t="s">
        <v>69</v>
      </c>
      <c r="L10" t="s">
        <v>125</v>
      </c>
      <c r="M10" t="s">
        <v>286</v>
      </c>
      <c r="N10" t="s">
        <v>51</v>
      </c>
      <c r="O10" s="141" t="s">
        <v>287</v>
      </c>
      <c r="P10" t="s">
        <v>72</v>
      </c>
      <c r="Q10" t="s">
        <v>215</v>
      </c>
      <c r="R10" t="s">
        <v>133</v>
      </c>
      <c r="S10" s="141" t="s">
        <v>134</v>
      </c>
      <c r="T10" s="141" t="s">
        <v>134</v>
      </c>
      <c r="U10" s="133">
        <v>73</v>
      </c>
      <c r="V10" s="135">
        <v>3.165</v>
      </c>
      <c r="W10" s="139">
        <v>0</v>
      </c>
      <c r="X10" s="133">
        <v>1.4999999999999999E-2</v>
      </c>
      <c r="Y10" s="137">
        <v>1.17948280571947E-5</v>
      </c>
      <c r="Z10" s="137">
        <v>7.7201434678463912E-9</v>
      </c>
    </row>
    <row r="11" spans="1:26">
      <c r="A11">
        <v>161</v>
      </c>
      <c r="B11">
        <v>9943</v>
      </c>
      <c r="C11" t="s">
        <v>246</v>
      </c>
      <c r="D11" t="s">
        <v>247</v>
      </c>
      <c r="E11" t="s">
        <v>220</v>
      </c>
      <c r="F11" t="s">
        <v>248</v>
      </c>
      <c r="G11" t="s">
        <v>249</v>
      </c>
      <c r="H11" t="s">
        <v>44</v>
      </c>
      <c r="I11" t="s">
        <v>250</v>
      </c>
      <c r="J11" t="s">
        <v>45</v>
      </c>
      <c r="K11" t="s">
        <v>45</v>
      </c>
      <c r="L11" t="s">
        <v>125</v>
      </c>
      <c r="M11" t="s">
        <v>251</v>
      </c>
      <c r="N11" t="s">
        <v>51</v>
      </c>
      <c r="O11" s="141" t="s">
        <v>252</v>
      </c>
      <c r="P11" t="s">
        <v>52</v>
      </c>
      <c r="Q11" t="s">
        <v>215</v>
      </c>
      <c r="R11" t="s">
        <v>133</v>
      </c>
      <c r="S11" s="141" t="s">
        <v>253</v>
      </c>
      <c r="T11" s="141" t="s">
        <v>253</v>
      </c>
      <c r="U11" s="133">
        <v>525040</v>
      </c>
      <c r="V11" s="135">
        <v>1</v>
      </c>
      <c r="W11" s="139">
        <v>0</v>
      </c>
      <c r="X11" s="133">
        <v>0</v>
      </c>
      <c r="Y11" s="137">
        <v>4.0933633700165307E-9</v>
      </c>
      <c r="Z11" s="137">
        <v>2.6792550369802398E-12</v>
      </c>
    </row>
    <row r="12" spans="1:26">
      <c r="A12">
        <v>161</v>
      </c>
      <c r="B12">
        <v>9943</v>
      </c>
      <c r="C12" t="s">
        <v>254</v>
      </c>
      <c r="D12" t="s">
        <v>255</v>
      </c>
      <c r="E12" t="s">
        <v>64</v>
      </c>
      <c r="F12" t="s">
        <v>256</v>
      </c>
      <c r="G12" t="s">
        <v>257</v>
      </c>
      <c r="H12" t="s">
        <v>44</v>
      </c>
      <c r="I12" t="s">
        <v>250</v>
      </c>
      <c r="J12" t="s">
        <v>68</v>
      </c>
      <c r="K12" t="s">
        <v>69</v>
      </c>
      <c r="L12" t="s">
        <v>125</v>
      </c>
      <c r="M12" s="125" t="s">
        <v>1063</v>
      </c>
      <c r="N12" t="s">
        <v>51</v>
      </c>
      <c r="O12" s="141" t="s">
        <v>288</v>
      </c>
      <c r="P12" t="s">
        <v>72</v>
      </c>
      <c r="Q12" t="s">
        <v>215</v>
      </c>
      <c r="R12" t="s">
        <v>245</v>
      </c>
      <c r="S12" s="141" t="s">
        <v>259</v>
      </c>
      <c r="T12" s="141" t="s">
        <v>259</v>
      </c>
      <c r="U12" s="133">
        <v>11450</v>
      </c>
      <c r="V12" s="135">
        <v>3.165</v>
      </c>
      <c r="W12" s="139">
        <v>2500</v>
      </c>
      <c r="X12" s="133">
        <v>910.13400000000001</v>
      </c>
      <c r="Y12" s="137">
        <v>0.709566374917876</v>
      </c>
      <c r="Z12" s="137">
        <v>4.6443697082842902E-4</v>
      </c>
    </row>
    <row r="13" spans="1:26">
      <c r="A13">
        <v>161</v>
      </c>
      <c r="B13">
        <v>9943</v>
      </c>
      <c r="C13" t="s">
        <v>289</v>
      </c>
      <c r="D13" t="s">
        <v>290</v>
      </c>
      <c r="E13" t="s">
        <v>220</v>
      </c>
      <c r="F13" t="s">
        <v>289</v>
      </c>
      <c r="G13" t="s">
        <v>291</v>
      </c>
      <c r="H13" t="s">
        <v>220</v>
      </c>
      <c r="I13" t="s">
        <v>250</v>
      </c>
      <c r="J13" t="s">
        <v>68</v>
      </c>
      <c r="K13" t="s">
        <v>69</v>
      </c>
      <c r="L13" t="s">
        <v>125</v>
      </c>
      <c r="M13" t="s">
        <v>265</v>
      </c>
      <c r="N13" t="s">
        <v>51</v>
      </c>
      <c r="O13" s="141" t="s">
        <v>292</v>
      </c>
      <c r="P13" t="s">
        <v>72</v>
      </c>
      <c r="Q13" t="s">
        <v>215</v>
      </c>
      <c r="R13" t="s">
        <v>245</v>
      </c>
      <c r="S13" s="141" t="s">
        <v>293</v>
      </c>
      <c r="T13" s="141" t="s">
        <v>293</v>
      </c>
      <c r="U13" s="133">
        <v>43720</v>
      </c>
      <c r="V13" s="135">
        <v>3.165</v>
      </c>
      <c r="W13" s="139">
        <v>146</v>
      </c>
      <c r="X13" s="133">
        <v>202.02600000000001</v>
      </c>
      <c r="Y13" s="137">
        <v>0.15750510373750401</v>
      </c>
      <c r="Z13" s="137">
        <v>1.0309281253403599E-4</v>
      </c>
    </row>
    <row r="14" spans="1:26">
      <c r="A14">
        <v>161</v>
      </c>
      <c r="B14">
        <v>9943</v>
      </c>
      <c r="C14" t="s">
        <v>260</v>
      </c>
      <c r="D14" t="s">
        <v>261</v>
      </c>
      <c r="E14" t="s">
        <v>41</v>
      </c>
      <c r="F14" t="s">
        <v>262</v>
      </c>
      <c r="G14" t="s">
        <v>263</v>
      </c>
      <c r="H14" t="s">
        <v>220</v>
      </c>
      <c r="I14" t="s">
        <v>250</v>
      </c>
      <c r="J14" t="s">
        <v>68</v>
      </c>
      <c r="K14" t="s">
        <v>264</v>
      </c>
      <c r="L14" t="s">
        <v>125</v>
      </c>
      <c r="M14" t="s">
        <v>265</v>
      </c>
      <c r="N14" t="s">
        <v>51</v>
      </c>
      <c r="O14" s="141" t="s">
        <v>266</v>
      </c>
      <c r="P14" t="s">
        <v>72</v>
      </c>
      <c r="Q14" t="s">
        <v>215</v>
      </c>
      <c r="R14" t="s">
        <v>245</v>
      </c>
      <c r="S14" s="141" t="s">
        <v>267</v>
      </c>
      <c r="T14" s="141" t="s">
        <v>267</v>
      </c>
      <c r="U14" s="133">
        <v>474</v>
      </c>
      <c r="V14" s="135">
        <v>3.165</v>
      </c>
      <c r="W14" s="139">
        <v>624</v>
      </c>
      <c r="X14" s="133">
        <v>9.3610000000000007</v>
      </c>
      <c r="Y14" s="137">
        <v>7.2983477614495702E-3</v>
      </c>
      <c r="Z14" s="137">
        <v>4.7770337577966503E-6</v>
      </c>
    </row>
    <row r="15" spans="1:26">
      <c r="A15">
        <v>161</v>
      </c>
      <c r="B15">
        <v>12468</v>
      </c>
      <c r="C15" t="s">
        <v>246</v>
      </c>
      <c r="D15" t="s">
        <v>247</v>
      </c>
      <c r="E15" t="s">
        <v>220</v>
      </c>
      <c r="F15" t="s">
        <v>248</v>
      </c>
      <c r="G15" t="s">
        <v>249</v>
      </c>
      <c r="H15" t="s">
        <v>44</v>
      </c>
      <c r="I15" t="s">
        <v>250</v>
      </c>
      <c r="J15" t="s">
        <v>45</v>
      </c>
      <c r="K15" t="s">
        <v>45</v>
      </c>
      <c r="L15" t="s">
        <v>125</v>
      </c>
      <c r="M15" t="s">
        <v>251</v>
      </c>
      <c r="N15" t="s">
        <v>51</v>
      </c>
      <c r="O15" s="141" t="s">
        <v>252</v>
      </c>
      <c r="P15" t="s">
        <v>52</v>
      </c>
      <c r="Q15" t="s">
        <v>215</v>
      </c>
      <c r="R15" t="s">
        <v>133</v>
      </c>
      <c r="S15" s="141" t="s">
        <v>253</v>
      </c>
      <c r="T15" s="141" t="s">
        <v>253</v>
      </c>
      <c r="U15" s="133">
        <v>7270</v>
      </c>
      <c r="V15" s="135">
        <v>1</v>
      </c>
      <c r="W15" s="139">
        <v>0</v>
      </c>
      <c r="X15" s="133">
        <v>0</v>
      </c>
      <c r="Y15" s="137">
        <v>1.07600850478525E-8</v>
      </c>
      <c r="Z15" s="137">
        <v>2.2519504911087097E-12</v>
      </c>
    </row>
    <row r="16" spans="1:26">
      <c r="A16">
        <v>161</v>
      </c>
      <c r="B16">
        <v>12468</v>
      </c>
      <c r="C16" t="s">
        <v>254</v>
      </c>
      <c r="D16" t="s">
        <v>255</v>
      </c>
      <c r="E16" t="s">
        <v>64</v>
      </c>
      <c r="F16" t="s">
        <v>256</v>
      </c>
      <c r="G16" t="s">
        <v>257</v>
      </c>
      <c r="H16" t="s">
        <v>44</v>
      </c>
      <c r="I16" t="s">
        <v>250</v>
      </c>
      <c r="J16" t="s">
        <v>68</v>
      </c>
      <c r="K16" t="s">
        <v>69</v>
      </c>
      <c r="L16" t="s">
        <v>125</v>
      </c>
      <c r="M16" s="125" t="s">
        <v>1063</v>
      </c>
      <c r="N16" t="s">
        <v>51</v>
      </c>
      <c r="O16" s="141" t="s">
        <v>258</v>
      </c>
      <c r="P16" t="s">
        <v>72</v>
      </c>
      <c r="Q16" t="s">
        <v>215</v>
      </c>
      <c r="R16" t="s">
        <v>245</v>
      </c>
      <c r="S16" s="141" t="s">
        <v>259</v>
      </c>
      <c r="T16" s="141" t="s">
        <v>259</v>
      </c>
      <c r="U16" s="133">
        <v>85</v>
      </c>
      <c r="V16" s="135">
        <v>3.165</v>
      </c>
      <c r="W16" s="139">
        <v>2500</v>
      </c>
      <c r="X16" s="133">
        <v>6.7560000000000002</v>
      </c>
      <c r="Y16" s="137">
        <v>0.99999998923991495</v>
      </c>
      <c r="Z16" s="137">
        <v>2.09287422623762E-4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4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327</v>
      </c>
      <c r="D1" s="14" t="s">
        <v>328</v>
      </c>
      <c r="E1" s="14" t="s">
        <v>329</v>
      </c>
      <c r="F1" s="14" t="s">
        <v>330</v>
      </c>
      <c r="G1" s="14" t="s">
        <v>331</v>
      </c>
      <c r="H1" s="14" t="s">
        <v>332</v>
      </c>
      <c r="I1" s="14" t="s">
        <v>60</v>
      </c>
      <c r="J1" s="14" t="s">
        <v>333</v>
      </c>
      <c r="K1" s="14" t="s">
        <v>22</v>
      </c>
      <c r="L1" s="14" t="s">
        <v>334</v>
      </c>
      <c r="M1" s="14" t="s">
        <v>335</v>
      </c>
      <c r="N1" s="14" t="s">
        <v>23</v>
      </c>
      <c r="O1" s="14" t="s">
        <v>29</v>
      </c>
      <c r="P1" s="142" t="s">
        <v>102</v>
      </c>
      <c r="Q1" s="14" t="s">
        <v>30</v>
      </c>
      <c r="R1" s="14" t="s">
        <v>114</v>
      </c>
      <c r="S1" s="14" t="s">
        <v>115</v>
      </c>
      <c r="T1" s="140" t="s">
        <v>117</v>
      </c>
      <c r="U1" s="134" t="s">
        <v>34</v>
      </c>
      <c r="V1" s="97" t="s">
        <v>336</v>
      </c>
      <c r="W1" s="14" t="s">
        <v>36</v>
      </c>
      <c r="X1" s="136" t="s">
        <v>337</v>
      </c>
      <c r="Y1" s="136" t="s">
        <v>37</v>
      </c>
      <c r="Z1" s="136" t="s">
        <v>38</v>
      </c>
    </row>
    <row r="2" spans="1:26">
      <c r="A2">
        <v>161</v>
      </c>
      <c r="B2">
        <v>9938</v>
      </c>
      <c r="C2" t="s">
        <v>338</v>
      </c>
      <c r="D2" t="s">
        <v>261</v>
      </c>
      <c r="E2" t="s">
        <v>41</v>
      </c>
      <c r="F2" t="s">
        <v>339</v>
      </c>
      <c r="G2">
        <v>27970027</v>
      </c>
      <c r="H2" t="s">
        <v>220</v>
      </c>
      <c r="I2" t="s">
        <v>340</v>
      </c>
      <c r="J2" t="s">
        <v>341</v>
      </c>
      <c r="K2" t="s">
        <v>68</v>
      </c>
      <c r="L2" t="s">
        <v>69</v>
      </c>
      <c r="M2" t="s">
        <v>342</v>
      </c>
      <c r="N2" t="s">
        <v>45</v>
      </c>
      <c r="O2" t="s">
        <v>51</v>
      </c>
      <c r="P2" s="141" t="s">
        <v>343</v>
      </c>
      <c r="Q2" t="s">
        <v>72</v>
      </c>
      <c r="R2" t="s">
        <v>344</v>
      </c>
      <c r="S2" t="s">
        <v>133</v>
      </c>
      <c r="T2" s="141" t="s">
        <v>345</v>
      </c>
      <c r="U2" s="135">
        <v>3.165</v>
      </c>
      <c r="V2" s="133">
        <v>45.707000000000001</v>
      </c>
      <c r="W2" s="133">
        <v>144.661</v>
      </c>
      <c r="X2" s="164">
        <v>2.2900000000000001E-4</v>
      </c>
      <c r="Y2" s="137">
        <v>0.41030150550403499</v>
      </c>
      <c r="Z2" s="137">
        <v>1.6576636607488499E-3</v>
      </c>
    </row>
    <row r="3" spans="1:26">
      <c r="A3">
        <v>161</v>
      </c>
      <c r="B3">
        <v>9938</v>
      </c>
      <c r="C3" t="s">
        <v>346</v>
      </c>
      <c r="D3" t="s">
        <v>347</v>
      </c>
      <c r="E3" t="s">
        <v>146</v>
      </c>
      <c r="F3" t="s">
        <v>348</v>
      </c>
      <c r="G3">
        <v>27970029</v>
      </c>
      <c r="H3" t="s">
        <v>220</v>
      </c>
      <c r="I3" t="s">
        <v>340</v>
      </c>
      <c r="J3" t="s">
        <v>349</v>
      </c>
      <c r="K3" t="s">
        <v>68</v>
      </c>
      <c r="L3" t="s">
        <v>350</v>
      </c>
      <c r="M3" t="s">
        <v>351</v>
      </c>
      <c r="N3" t="s">
        <v>351</v>
      </c>
      <c r="O3" t="s">
        <v>51</v>
      </c>
      <c r="P3" s="141" t="s">
        <v>352</v>
      </c>
      <c r="Q3" t="s">
        <v>72</v>
      </c>
      <c r="R3" t="s">
        <v>344</v>
      </c>
      <c r="S3" t="s">
        <v>245</v>
      </c>
      <c r="T3" s="141" t="s">
        <v>353</v>
      </c>
      <c r="U3" s="135">
        <v>3.165</v>
      </c>
      <c r="V3" s="133">
        <v>65.691000000000003</v>
      </c>
      <c r="W3" s="133">
        <v>207.91200000000001</v>
      </c>
      <c r="X3" s="164">
        <v>5.1E-5</v>
      </c>
      <c r="Y3" s="137">
        <v>0.58969849449596501</v>
      </c>
      <c r="Z3" s="137">
        <v>2.3824474246650199E-3</v>
      </c>
    </row>
    <row r="4" spans="1:26">
      <c r="A4">
        <v>161</v>
      </c>
      <c r="B4">
        <v>9942</v>
      </c>
      <c r="C4" t="s">
        <v>346</v>
      </c>
      <c r="D4" t="s">
        <v>347</v>
      </c>
      <c r="E4" t="s">
        <v>146</v>
      </c>
      <c r="F4" t="s">
        <v>348</v>
      </c>
      <c r="G4">
        <v>27970029</v>
      </c>
      <c r="H4" t="s">
        <v>220</v>
      </c>
      <c r="I4" t="s">
        <v>340</v>
      </c>
      <c r="J4" t="s">
        <v>349</v>
      </c>
      <c r="K4" t="s">
        <v>68</v>
      </c>
      <c r="L4" t="s">
        <v>350</v>
      </c>
      <c r="M4" t="s">
        <v>351</v>
      </c>
      <c r="N4" t="s">
        <v>351</v>
      </c>
      <c r="O4" t="s">
        <v>51</v>
      </c>
      <c r="P4" s="141" t="s">
        <v>352</v>
      </c>
      <c r="Q4" t="s">
        <v>72</v>
      </c>
      <c r="R4" t="s">
        <v>344</v>
      </c>
      <c r="S4" t="s">
        <v>245</v>
      </c>
      <c r="T4" s="141" t="s">
        <v>353</v>
      </c>
      <c r="U4" s="135">
        <v>3.165</v>
      </c>
      <c r="V4" s="133">
        <v>65.691000000000003</v>
      </c>
      <c r="W4" s="133">
        <v>207.91200000000001</v>
      </c>
      <c r="X4" s="164">
        <v>5.1E-5</v>
      </c>
      <c r="Y4" s="137">
        <v>1</v>
      </c>
      <c r="Z4" s="137">
        <v>2.0585160948036899E-3</v>
      </c>
    </row>
    <row r="5" spans="1:26">
      <c r="A5">
        <v>161</v>
      </c>
      <c r="B5">
        <v>9943</v>
      </c>
      <c r="C5" t="s">
        <v>354</v>
      </c>
      <c r="D5" t="s">
        <v>355</v>
      </c>
      <c r="E5" t="s">
        <v>64</v>
      </c>
      <c r="F5" t="s">
        <v>356</v>
      </c>
      <c r="G5">
        <v>27970039</v>
      </c>
      <c r="H5" t="s">
        <v>220</v>
      </c>
      <c r="I5" t="s">
        <v>340</v>
      </c>
      <c r="J5" t="s">
        <v>357</v>
      </c>
      <c r="K5" t="s">
        <v>45</v>
      </c>
      <c r="L5" t="s">
        <v>342</v>
      </c>
      <c r="M5" t="s">
        <v>45</v>
      </c>
      <c r="N5" t="s">
        <v>45</v>
      </c>
      <c r="O5" t="s">
        <v>51</v>
      </c>
      <c r="P5" s="141" t="s">
        <v>358</v>
      </c>
      <c r="Q5" t="s">
        <v>52</v>
      </c>
      <c r="R5" t="s">
        <v>344</v>
      </c>
      <c r="S5" t="s">
        <v>133</v>
      </c>
      <c r="T5" s="141" t="s">
        <v>359</v>
      </c>
      <c r="U5" s="135">
        <v>1</v>
      </c>
      <c r="V5" s="133">
        <v>5065.8119999999999</v>
      </c>
      <c r="W5" s="133">
        <v>5065.8119999999999</v>
      </c>
      <c r="X5" s="164">
        <v>5.3709999999999999E-3</v>
      </c>
      <c r="Y5" s="137">
        <v>1.95986271567168E-2</v>
      </c>
      <c r="Z5" s="137">
        <v>2.58506043243219E-3</v>
      </c>
    </row>
    <row r="6" spans="1:26">
      <c r="A6">
        <v>161</v>
      </c>
      <c r="B6">
        <v>9943</v>
      </c>
      <c r="C6" t="s">
        <v>360</v>
      </c>
      <c r="D6" t="s">
        <v>361</v>
      </c>
      <c r="E6" t="s">
        <v>41</v>
      </c>
      <c r="F6" t="s">
        <v>362</v>
      </c>
      <c r="G6">
        <v>27970059</v>
      </c>
      <c r="H6" t="s">
        <v>220</v>
      </c>
      <c r="I6" t="s">
        <v>340</v>
      </c>
      <c r="J6" t="s">
        <v>363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364</v>
      </c>
      <c r="Q6" t="s">
        <v>52</v>
      </c>
      <c r="R6" t="s">
        <v>365</v>
      </c>
      <c r="S6" t="s">
        <v>133</v>
      </c>
      <c r="T6" s="141" t="s">
        <v>364</v>
      </c>
      <c r="U6" s="135">
        <v>1</v>
      </c>
      <c r="V6" s="133">
        <v>1396.51</v>
      </c>
      <c r="W6" s="133">
        <v>1396.51</v>
      </c>
      <c r="X6" s="164">
        <v>2.0239E-2</v>
      </c>
      <c r="Y6" s="137">
        <v>5.4028220694828499E-3</v>
      </c>
      <c r="Z6" s="137">
        <v>7.1263264735892096E-4</v>
      </c>
    </row>
    <row r="7" spans="1:26">
      <c r="A7">
        <v>161</v>
      </c>
      <c r="B7">
        <v>9943</v>
      </c>
      <c r="C7" t="s">
        <v>366</v>
      </c>
      <c r="D7" t="s">
        <v>367</v>
      </c>
      <c r="E7" t="s">
        <v>41</v>
      </c>
      <c r="F7" t="s">
        <v>368</v>
      </c>
      <c r="G7">
        <v>27970052</v>
      </c>
      <c r="H7" t="s">
        <v>220</v>
      </c>
      <c r="I7" t="s">
        <v>340</v>
      </c>
      <c r="J7" t="s">
        <v>363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369</v>
      </c>
      <c r="Q7" t="s">
        <v>72</v>
      </c>
      <c r="R7" t="s">
        <v>344</v>
      </c>
      <c r="S7" t="s">
        <v>245</v>
      </c>
      <c r="T7" s="141" t="s">
        <v>134</v>
      </c>
      <c r="U7" s="135">
        <v>3.165</v>
      </c>
      <c r="V7" s="133">
        <v>615.774</v>
      </c>
      <c r="W7" s="133">
        <v>1948.924</v>
      </c>
      <c r="X7" s="164">
        <v>1.518E-3</v>
      </c>
      <c r="Y7" s="137">
        <v>7.5400048330306101E-3</v>
      </c>
      <c r="Z7" s="137">
        <v>9.9452721858300699E-4</v>
      </c>
    </row>
    <row r="8" spans="1:26">
      <c r="A8">
        <v>161</v>
      </c>
      <c r="B8">
        <v>9943</v>
      </c>
      <c r="C8" t="s">
        <v>370</v>
      </c>
      <c r="D8" t="s">
        <v>371</v>
      </c>
      <c r="E8" t="s">
        <v>41</v>
      </c>
      <c r="F8" t="s">
        <v>372</v>
      </c>
      <c r="G8">
        <v>27970034</v>
      </c>
      <c r="H8" t="s">
        <v>220</v>
      </c>
      <c r="I8" t="s">
        <v>373</v>
      </c>
      <c r="J8" t="s">
        <v>374</v>
      </c>
      <c r="K8" t="s">
        <v>45</v>
      </c>
      <c r="L8" t="s">
        <v>342</v>
      </c>
      <c r="M8" t="s">
        <v>45</v>
      </c>
      <c r="N8" t="s">
        <v>45</v>
      </c>
      <c r="O8" t="s">
        <v>51</v>
      </c>
      <c r="P8" s="141" t="s">
        <v>375</v>
      </c>
      <c r="Q8" t="s">
        <v>52</v>
      </c>
      <c r="R8" t="s">
        <v>365</v>
      </c>
      <c r="S8" t="s">
        <v>133</v>
      </c>
      <c r="T8" s="141" t="s">
        <v>376</v>
      </c>
      <c r="U8" s="135">
        <v>1</v>
      </c>
      <c r="V8" s="133">
        <v>2574.4250000000002</v>
      </c>
      <c r="W8" s="133">
        <v>2574.4250000000002</v>
      </c>
      <c r="X8" s="164">
        <v>3.0000000000000001E-6</v>
      </c>
      <c r="Y8" s="137">
        <v>9.9599446235003695E-3</v>
      </c>
      <c r="Z8" s="137">
        <v>1.3137174634501199E-3</v>
      </c>
    </row>
    <row r="9" spans="1:26">
      <c r="A9">
        <v>161</v>
      </c>
      <c r="B9">
        <v>9943</v>
      </c>
      <c r="C9" t="s">
        <v>370</v>
      </c>
      <c r="D9" t="s">
        <v>371</v>
      </c>
      <c r="E9" t="s">
        <v>41</v>
      </c>
      <c r="F9" t="s">
        <v>377</v>
      </c>
      <c r="G9">
        <v>27970033</v>
      </c>
      <c r="H9" t="s">
        <v>220</v>
      </c>
      <c r="I9" t="s">
        <v>373</v>
      </c>
      <c r="J9" t="s">
        <v>374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375</v>
      </c>
      <c r="Q9" t="s">
        <v>52</v>
      </c>
      <c r="R9" t="s">
        <v>365</v>
      </c>
      <c r="S9" t="s">
        <v>133</v>
      </c>
      <c r="T9" s="141" t="s">
        <v>378</v>
      </c>
      <c r="U9" s="135">
        <v>1</v>
      </c>
      <c r="V9" s="133">
        <v>2807.027</v>
      </c>
      <c r="W9" s="133">
        <v>2807.027</v>
      </c>
      <c r="X9" s="164">
        <v>1.0280000000000001E-3</v>
      </c>
      <c r="Y9" s="137">
        <v>1.08598357147121E-2</v>
      </c>
      <c r="Z9" s="137">
        <v>1.43241316773533E-3</v>
      </c>
    </row>
    <row r="10" spans="1:26">
      <c r="A10">
        <v>161</v>
      </c>
      <c r="B10">
        <v>9943</v>
      </c>
      <c r="C10" t="s">
        <v>379</v>
      </c>
      <c r="D10" t="s">
        <v>380</v>
      </c>
      <c r="E10" t="s">
        <v>41</v>
      </c>
      <c r="F10" t="s">
        <v>381</v>
      </c>
      <c r="G10">
        <v>27950001</v>
      </c>
      <c r="H10" t="s">
        <v>220</v>
      </c>
      <c r="I10" t="s">
        <v>373</v>
      </c>
      <c r="J10" t="s">
        <v>363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382</v>
      </c>
      <c r="Q10" t="s">
        <v>52</v>
      </c>
      <c r="R10" t="s">
        <v>365</v>
      </c>
      <c r="S10" t="s">
        <v>133</v>
      </c>
      <c r="T10" s="141" t="s">
        <v>383</v>
      </c>
      <c r="U10" s="135">
        <v>1</v>
      </c>
      <c r="V10" s="133">
        <v>4459.5829999999996</v>
      </c>
      <c r="W10" s="133">
        <v>4459.5829999999996</v>
      </c>
      <c r="X10" s="164">
        <v>7.2760000000000003E-3</v>
      </c>
      <c r="Y10" s="137">
        <v>1.7253249979254599E-2</v>
      </c>
      <c r="Z10" s="137">
        <v>2.2757050019673098E-3</v>
      </c>
    </row>
    <row r="11" spans="1:26">
      <c r="A11">
        <v>161</v>
      </c>
      <c r="B11">
        <v>9943</v>
      </c>
      <c r="C11" t="s">
        <v>384</v>
      </c>
      <c r="D11" t="s">
        <v>385</v>
      </c>
      <c r="E11" t="s">
        <v>146</v>
      </c>
      <c r="F11" t="s">
        <v>386</v>
      </c>
      <c r="G11">
        <v>27950002</v>
      </c>
      <c r="H11" t="s">
        <v>220</v>
      </c>
      <c r="I11" t="s">
        <v>340</v>
      </c>
      <c r="J11" t="s">
        <v>363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1" t="s">
        <v>387</v>
      </c>
      <c r="Q11" t="s">
        <v>52</v>
      </c>
      <c r="R11" t="s">
        <v>365</v>
      </c>
      <c r="S11" t="s">
        <v>133</v>
      </c>
      <c r="T11" s="141" t="s">
        <v>388</v>
      </c>
      <c r="U11" s="135">
        <v>1</v>
      </c>
      <c r="V11" s="133">
        <v>3412.56</v>
      </c>
      <c r="W11" s="133">
        <v>3412.56</v>
      </c>
      <c r="X11" s="164">
        <v>5.0000000000000001E-3</v>
      </c>
      <c r="Y11" s="137">
        <v>1.32025223460157E-2</v>
      </c>
      <c r="Z11" s="137">
        <v>1.74141371495454E-3</v>
      </c>
    </row>
    <row r="12" spans="1:26">
      <c r="A12">
        <v>161</v>
      </c>
      <c r="B12">
        <v>9943</v>
      </c>
      <c r="C12" t="s">
        <v>389</v>
      </c>
      <c r="D12" t="s">
        <v>390</v>
      </c>
      <c r="E12" t="s">
        <v>41</v>
      </c>
      <c r="F12" t="s">
        <v>391</v>
      </c>
      <c r="G12">
        <v>62011879</v>
      </c>
      <c r="H12" t="s">
        <v>220</v>
      </c>
      <c r="I12" t="s">
        <v>392</v>
      </c>
      <c r="J12" t="s">
        <v>393</v>
      </c>
      <c r="K12" t="s">
        <v>68</v>
      </c>
      <c r="L12" t="s">
        <v>351</v>
      </c>
      <c r="M12" t="s">
        <v>45</v>
      </c>
      <c r="N12" t="s">
        <v>264</v>
      </c>
      <c r="O12" t="s">
        <v>51</v>
      </c>
      <c r="P12" s="141" t="s">
        <v>394</v>
      </c>
      <c r="Q12" t="s">
        <v>395</v>
      </c>
      <c r="R12" t="s">
        <v>344</v>
      </c>
      <c r="S12" t="s">
        <v>245</v>
      </c>
      <c r="T12" s="141" t="s">
        <v>134</v>
      </c>
      <c r="U12" s="135">
        <v>3.6360000000000001</v>
      </c>
      <c r="V12" s="133">
        <v>1419.6420000000001</v>
      </c>
      <c r="W12" s="133">
        <v>5161.82</v>
      </c>
      <c r="X12" s="164">
        <v>1.6410000000000001E-2</v>
      </c>
      <c r="Y12" s="137">
        <v>1.9970062749050801E-2</v>
      </c>
      <c r="Z12" s="137">
        <v>2.6340528156875002E-3</v>
      </c>
    </row>
    <row r="13" spans="1:26">
      <c r="A13">
        <v>161</v>
      </c>
      <c r="B13">
        <v>9943</v>
      </c>
      <c r="C13" t="s">
        <v>396</v>
      </c>
      <c r="D13" t="s">
        <v>397</v>
      </c>
      <c r="E13" t="s">
        <v>146</v>
      </c>
      <c r="F13" t="s">
        <v>398</v>
      </c>
      <c r="G13">
        <v>9840783</v>
      </c>
      <c r="H13" t="s">
        <v>220</v>
      </c>
      <c r="I13" t="s">
        <v>340</v>
      </c>
      <c r="J13" t="s">
        <v>399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222</v>
      </c>
      <c r="Q13" t="s">
        <v>72</v>
      </c>
      <c r="R13" t="s">
        <v>344</v>
      </c>
      <c r="S13" t="s">
        <v>245</v>
      </c>
      <c r="T13" s="141" t="s">
        <v>134</v>
      </c>
      <c r="U13" s="135">
        <v>3.165</v>
      </c>
      <c r="V13" s="133">
        <v>21.314</v>
      </c>
      <c r="W13" s="133">
        <v>67.459000000000003</v>
      </c>
      <c r="X13" s="164">
        <v>1.2049999999999999E-3</v>
      </c>
      <c r="Y13" s="137">
        <v>2.6098578406443901E-4</v>
      </c>
      <c r="Z13" s="137">
        <v>3.4424045032207998E-5</v>
      </c>
    </row>
    <row r="14" spans="1:26">
      <c r="A14">
        <v>161</v>
      </c>
      <c r="B14">
        <v>9943</v>
      </c>
      <c r="C14" t="s">
        <v>400</v>
      </c>
      <c r="D14" t="s">
        <v>401</v>
      </c>
      <c r="E14" t="s">
        <v>402</v>
      </c>
      <c r="F14" t="s">
        <v>403</v>
      </c>
      <c r="G14">
        <v>27971038</v>
      </c>
      <c r="H14" t="s">
        <v>220</v>
      </c>
      <c r="I14" t="s">
        <v>340</v>
      </c>
      <c r="J14" t="s">
        <v>363</v>
      </c>
      <c r="K14" t="s">
        <v>45</v>
      </c>
      <c r="L14" t="s">
        <v>342</v>
      </c>
      <c r="M14" t="s">
        <v>45</v>
      </c>
      <c r="N14" t="s">
        <v>264</v>
      </c>
      <c r="O14" t="s">
        <v>51</v>
      </c>
      <c r="P14" s="141" t="s">
        <v>404</v>
      </c>
      <c r="Q14" t="s">
        <v>52</v>
      </c>
      <c r="R14" t="s">
        <v>344</v>
      </c>
      <c r="S14" t="s">
        <v>245</v>
      </c>
      <c r="T14" s="141" t="s">
        <v>134</v>
      </c>
      <c r="U14" s="135">
        <v>1</v>
      </c>
      <c r="V14" s="133">
        <v>1250.02</v>
      </c>
      <c r="W14" s="133">
        <v>1250.02</v>
      </c>
      <c r="X14" s="164">
        <v>3.4900000000000003E-4</v>
      </c>
      <c r="Y14" s="137">
        <v>4.8360828985063503E-3</v>
      </c>
      <c r="Z14" s="137">
        <v>6.37879707028676E-4</v>
      </c>
    </row>
    <row r="15" spans="1:26">
      <c r="A15">
        <v>161</v>
      </c>
      <c r="B15">
        <v>9943</v>
      </c>
      <c r="C15" t="s">
        <v>405</v>
      </c>
      <c r="D15" t="s">
        <v>401</v>
      </c>
      <c r="E15" t="s">
        <v>402</v>
      </c>
      <c r="F15" t="s">
        <v>406</v>
      </c>
      <c r="G15">
        <v>27970001</v>
      </c>
      <c r="H15" t="s">
        <v>220</v>
      </c>
      <c r="I15" t="s">
        <v>340</v>
      </c>
      <c r="J15" t="s">
        <v>407</v>
      </c>
      <c r="K15" t="s">
        <v>45</v>
      </c>
      <c r="L15" t="s">
        <v>342</v>
      </c>
      <c r="M15" t="s">
        <v>45</v>
      </c>
      <c r="N15" t="s">
        <v>45</v>
      </c>
      <c r="O15" t="s">
        <v>51</v>
      </c>
      <c r="P15" s="141" t="s">
        <v>408</v>
      </c>
      <c r="Q15" t="s">
        <v>52</v>
      </c>
      <c r="R15" t="s">
        <v>344</v>
      </c>
      <c r="S15" t="s">
        <v>245</v>
      </c>
      <c r="T15" s="141" t="s">
        <v>409</v>
      </c>
      <c r="U15" s="135">
        <v>1</v>
      </c>
      <c r="V15" s="133">
        <v>1003.181</v>
      </c>
      <c r="W15" s="133">
        <v>1003.181</v>
      </c>
      <c r="X15" s="164">
        <v>1.8259999999999999E-3</v>
      </c>
      <c r="Y15" s="137">
        <v>3.8811077221608402E-3</v>
      </c>
      <c r="Z15" s="137">
        <v>5.1191840766900802E-4</v>
      </c>
    </row>
    <row r="16" spans="1:26">
      <c r="A16">
        <v>161</v>
      </c>
      <c r="B16">
        <v>9943</v>
      </c>
      <c r="C16" t="s">
        <v>410</v>
      </c>
      <c r="D16" t="s">
        <v>411</v>
      </c>
      <c r="E16" t="s">
        <v>146</v>
      </c>
      <c r="F16" t="s">
        <v>412</v>
      </c>
      <c r="G16">
        <v>27970016</v>
      </c>
      <c r="H16" t="s">
        <v>220</v>
      </c>
      <c r="I16" t="s">
        <v>340</v>
      </c>
      <c r="J16" t="s">
        <v>374</v>
      </c>
      <c r="K16" t="s">
        <v>68</v>
      </c>
      <c r="L16" t="s">
        <v>45</v>
      </c>
      <c r="M16" t="s">
        <v>45</v>
      </c>
      <c r="N16" t="s">
        <v>69</v>
      </c>
      <c r="O16" t="s">
        <v>51</v>
      </c>
      <c r="P16" s="141" t="s">
        <v>413</v>
      </c>
      <c r="Q16" t="s">
        <v>72</v>
      </c>
      <c r="R16" t="s">
        <v>365</v>
      </c>
      <c r="S16" t="s">
        <v>133</v>
      </c>
      <c r="T16" s="141" t="s">
        <v>134</v>
      </c>
      <c r="U16" s="135">
        <v>3.165</v>
      </c>
      <c r="V16" s="133">
        <v>83.724999999999994</v>
      </c>
      <c r="W16" s="133">
        <v>264.98899999999998</v>
      </c>
      <c r="X16" s="164">
        <v>1.1716000000000001E-2</v>
      </c>
      <c r="Y16" s="137">
        <v>1.0251916505714801E-3</v>
      </c>
      <c r="Z16" s="137">
        <v>1.3522285772163899E-4</v>
      </c>
    </row>
    <row r="17" spans="1:26">
      <c r="A17">
        <v>161</v>
      </c>
      <c r="B17">
        <v>9943</v>
      </c>
      <c r="C17" t="s">
        <v>414</v>
      </c>
      <c r="D17" t="s">
        <v>415</v>
      </c>
      <c r="E17" t="s">
        <v>41</v>
      </c>
      <c r="F17" t="s">
        <v>416</v>
      </c>
      <c r="G17">
        <v>27970018</v>
      </c>
      <c r="H17" t="s">
        <v>220</v>
      </c>
      <c r="I17" t="s">
        <v>340</v>
      </c>
      <c r="J17" t="s">
        <v>363</v>
      </c>
      <c r="K17" t="s">
        <v>45</v>
      </c>
      <c r="L17" t="s">
        <v>45</v>
      </c>
      <c r="M17" t="s">
        <v>45</v>
      </c>
      <c r="N17" t="s">
        <v>45</v>
      </c>
      <c r="O17" t="s">
        <v>51</v>
      </c>
      <c r="P17" s="141" t="s">
        <v>417</v>
      </c>
      <c r="Q17" t="s">
        <v>72</v>
      </c>
      <c r="R17" t="s">
        <v>344</v>
      </c>
      <c r="S17" t="s">
        <v>245</v>
      </c>
      <c r="T17" s="141" t="s">
        <v>418</v>
      </c>
      <c r="U17" s="135">
        <v>3.165</v>
      </c>
      <c r="V17" s="133">
        <v>224.816</v>
      </c>
      <c r="W17" s="133">
        <v>711.54200000000003</v>
      </c>
      <c r="X17" s="164">
        <v>0</v>
      </c>
      <c r="Y17" s="137">
        <v>2.75281401049326E-3</v>
      </c>
      <c r="Z17" s="137">
        <v>3.6309638014274203E-4</v>
      </c>
    </row>
    <row r="18" spans="1:26">
      <c r="A18">
        <v>161</v>
      </c>
      <c r="B18">
        <v>9943</v>
      </c>
      <c r="C18" t="s">
        <v>338</v>
      </c>
      <c r="D18" t="s">
        <v>261</v>
      </c>
      <c r="E18" t="s">
        <v>41</v>
      </c>
      <c r="F18" t="s">
        <v>339</v>
      </c>
      <c r="G18">
        <v>27970027</v>
      </c>
      <c r="H18" t="s">
        <v>220</v>
      </c>
      <c r="I18" t="s">
        <v>340</v>
      </c>
      <c r="J18" t="s">
        <v>341</v>
      </c>
      <c r="K18" t="s">
        <v>68</v>
      </c>
      <c r="L18" t="s">
        <v>69</v>
      </c>
      <c r="M18" t="s">
        <v>342</v>
      </c>
      <c r="N18" t="s">
        <v>45</v>
      </c>
      <c r="O18" t="s">
        <v>51</v>
      </c>
      <c r="P18" s="141" t="s">
        <v>343</v>
      </c>
      <c r="Q18" t="s">
        <v>72</v>
      </c>
      <c r="R18" t="s">
        <v>344</v>
      </c>
      <c r="S18" t="s">
        <v>133</v>
      </c>
      <c r="T18" s="141" t="s">
        <v>345</v>
      </c>
      <c r="U18" s="135">
        <v>3.165</v>
      </c>
      <c r="V18" s="133">
        <v>274.23899999999998</v>
      </c>
      <c r="W18" s="133">
        <v>867.96699999999998</v>
      </c>
      <c r="X18" s="164">
        <v>1.3730000000000001E-3</v>
      </c>
      <c r="Y18" s="137">
        <v>3.3579938976971298E-3</v>
      </c>
      <c r="Z18" s="137">
        <v>4.42919653905993E-4</v>
      </c>
    </row>
    <row r="19" spans="1:26">
      <c r="A19">
        <v>161</v>
      </c>
      <c r="B19">
        <v>9943</v>
      </c>
      <c r="C19" t="s">
        <v>419</v>
      </c>
      <c r="D19" t="s">
        <v>420</v>
      </c>
      <c r="E19" t="s">
        <v>402</v>
      </c>
      <c r="F19" t="s">
        <v>421</v>
      </c>
      <c r="G19">
        <v>604066001</v>
      </c>
      <c r="H19" t="s">
        <v>220</v>
      </c>
      <c r="I19" t="s">
        <v>340</v>
      </c>
      <c r="J19" t="s">
        <v>422</v>
      </c>
      <c r="K19" t="s">
        <v>68</v>
      </c>
      <c r="L19" t="s">
        <v>342</v>
      </c>
      <c r="M19" t="s">
        <v>45</v>
      </c>
      <c r="N19" t="s">
        <v>69</v>
      </c>
      <c r="O19" t="s">
        <v>51</v>
      </c>
      <c r="P19" s="141" t="s">
        <v>423</v>
      </c>
      <c r="Q19" t="s">
        <v>72</v>
      </c>
      <c r="R19" t="s">
        <v>344</v>
      </c>
      <c r="S19" t="s">
        <v>245</v>
      </c>
      <c r="T19" s="141" t="s">
        <v>345</v>
      </c>
      <c r="U19" s="135">
        <v>3.165</v>
      </c>
      <c r="V19" s="133">
        <v>3147.8589999999999</v>
      </c>
      <c r="W19" s="133">
        <v>9962.9750000000004</v>
      </c>
      <c r="X19" s="164">
        <v>6.9579999999999998E-3</v>
      </c>
      <c r="Y19" s="137">
        <v>3.8544786903145799E-2</v>
      </c>
      <c r="Z19" s="137">
        <v>5.0840603631619203E-3</v>
      </c>
    </row>
    <row r="20" spans="1:26">
      <c r="A20">
        <v>161</v>
      </c>
      <c r="B20">
        <v>9943</v>
      </c>
      <c r="C20" t="s">
        <v>379</v>
      </c>
      <c r="D20" t="s">
        <v>424</v>
      </c>
      <c r="E20" t="s">
        <v>41</v>
      </c>
      <c r="F20" t="s">
        <v>425</v>
      </c>
      <c r="G20">
        <v>35196</v>
      </c>
      <c r="H20" t="s">
        <v>220</v>
      </c>
      <c r="I20" t="s">
        <v>373</v>
      </c>
      <c r="J20" t="s">
        <v>374</v>
      </c>
      <c r="K20" t="s">
        <v>45</v>
      </c>
      <c r="L20" t="s">
        <v>342</v>
      </c>
      <c r="M20" t="s">
        <v>45</v>
      </c>
      <c r="N20" t="s">
        <v>45</v>
      </c>
      <c r="O20" t="s">
        <v>51</v>
      </c>
      <c r="P20" s="141" t="s">
        <v>222</v>
      </c>
      <c r="Q20" t="s">
        <v>52</v>
      </c>
      <c r="R20" t="s">
        <v>365</v>
      </c>
      <c r="S20" t="s">
        <v>133</v>
      </c>
      <c r="T20" s="141" t="s">
        <v>134</v>
      </c>
      <c r="U20" s="135">
        <v>1</v>
      </c>
      <c r="V20" s="133">
        <v>15871.450999999999</v>
      </c>
      <c r="W20" s="133">
        <v>15871.450999999999</v>
      </c>
      <c r="X20" s="164">
        <v>1.6660999999999999E-2</v>
      </c>
      <c r="Y20" s="137">
        <v>6.1403517177356197E-2</v>
      </c>
      <c r="Z20" s="137">
        <v>8.0991286480468494E-3</v>
      </c>
    </row>
    <row r="21" spans="1:26">
      <c r="A21">
        <v>161</v>
      </c>
      <c r="B21">
        <v>9943</v>
      </c>
      <c r="C21" t="s">
        <v>426</v>
      </c>
      <c r="D21" t="s">
        <v>427</v>
      </c>
      <c r="E21" t="s">
        <v>146</v>
      </c>
      <c r="F21" t="s">
        <v>428</v>
      </c>
      <c r="G21">
        <v>78923</v>
      </c>
      <c r="H21" t="s">
        <v>220</v>
      </c>
      <c r="I21" t="s">
        <v>340</v>
      </c>
      <c r="J21" t="s">
        <v>357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429</v>
      </c>
      <c r="Q21" t="s">
        <v>52</v>
      </c>
      <c r="R21" t="s">
        <v>365</v>
      </c>
      <c r="S21" t="s">
        <v>133</v>
      </c>
      <c r="T21" s="141" t="s">
        <v>134</v>
      </c>
      <c r="U21" s="135">
        <v>1</v>
      </c>
      <c r="V21" s="133">
        <v>6313.2269999999999</v>
      </c>
      <c r="W21" s="133">
        <v>6313.2269999999999</v>
      </c>
      <c r="X21" s="164">
        <v>1.8389999999999999E-3</v>
      </c>
      <c r="Y21" s="137">
        <v>2.4424630204851399E-2</v>
      </c>
      <c r="Z21" s="137">
        <v>3.22161060641998E-3</v>
      </c>
    </row>
    <row r="22" spans="1:26">
      <c r="A22">
        <v>161</v>
      </c>
      <c r="B22">
        <v>9943</v>
      </c>
      <c r="C22" t="s">
        <v>426</v>
      </c>
      <c r="D22" t="s">
        <v>430</v>
      </c>
      <c r="E22" t="s">
        <v>146</v>
      </c>
      <c r="F22" t="s">
        <v>431</v>
      </c>
      <c r="G22">
        <v>27970003</v>
      </c>
      <c r="H22" t="s">
        <v>220</v>
      </c>
      <c r="I22" t="s">
        <v>340</v>
      </c>
      <c r="J22" t="s">
        <v>357</v>
      </c>
      <c r="K22" t="s">
        <v>45</v>
      </c>
      <c r="L22" t="s">
        <v>45</v>
      </c>
      <c r="M22" t="s">
        <v>45</v>
      </c>
      <c r="N22" t="s">
        <v>45</v>
      </c>
      <c r="O22" t="s">
        <v>51</v>
      </c>
      <c r="P22" s="141" t="s">
        <v>432</v>
      </c>
      <c r="Q22" t="s">
        <v>52</v>
      </c>
      <c r="R22" t="s">
        <v>365</v>
      </c>
      <c r="S22" t="s">
        <v>133</v>
      </c>
      <c r="T22" s="141" t="s">
        <v>134</v>
      </c>
      <c r="U22" s="135">
        <v>1</v>
      </c>
      <c r="V22" s="133">
        <v>3650.011</v>
      </c>
      <c r="W22" s="133">
        <v>3650.011</v>
      </c>
      <c r="X22" s="164">
        <v>2.1103E-2</v>
      </c>
      <c r="Y22" s="137">
        <v>1.4121173338650501E-2</v>
      </c>
      <c r="Z22" s="137">
        <v>1.86258385168327E-3</v>
      </c>
    </row>
    <row r="23" spans="1:26">
      <c r="A23">
        <v>161</v>
      </c>
      <c r="B23">
        <v>9943</v>
      </c>
      <c r="C23" t="s">
        <v>370</v>
      </c>
      <c r="D23" t="s">
        <v>371</v>
      </c>
      <c r="E23" t="s">
        <v>41</v>
      </c>
      <c r="F23" t="s">
        <v>433</v>
      </c>
      <c r="G23">
        <v>27970014</v>
      </c>
      <c r="H23" t="s">
        <v>220</v>
      </c>
      <c r="I23" t="s">
        <v>373</v>
      </c>
      <c r="J23" t="s">
        <v>374</v>
      </c>
      <c r="K23" t="s">
        <v>45</v>
      </c>
      <c r="L23" t="s">
        <v>342</v>
      </c>
      <c r="M23" t="s">
        <v>45</v>
      </c>
      <c r="N23" t="s">
        <v>45</v>
      </c>
      <c r="O23" t="s">
        <v>51</v>
      </c>
      <c r="P23" s="141" t="s">
        <v>434</v>
      </c>
      <c r="Q23" t="s">
        <v>52</v>
      </c>
      <c r="R23" t="s">
        <v>365</v>
      </c>
      <c r="S23" t="s">
        <v>133</v>
      </c>
      <c r="T23" s="141" t="s">
        <v>376</v>
      </c>
      <c r="U23" s="135">
        <v>1</v>
      </c>
      <c r="V23" s="133">
        <v>8298.1149999999998</v>
      </c>
      <c r="W23" s="133">
        <v>8298.1149999999998</v>
      </c>
      <c r="X23" s="164">
        <v>9.0000000000000002E-6</v>
      </c>
      <c r="Y23" s="137">
        <v>3.21037722231046E-2</v>
      </c>
      <c r="Z23" s="137">
        <v>4.2344900304571199E-3</v>
      </c>
    </row>
    <row r="24" spans="1:26">
      <c r="A24">
        <v>161</v>
      </c>
      <c r="B24">
        <v>9943</v>
      </c>
      <c r="C24" t="s">
        <v>435</v>
      </c>
      <c r="D24" t="s">
        <v>436</v>
      </c>
      <c r="E24" t="s">
        <v>146</v>
      </c>
      <c r="F24" t="s">
        <v>437</v>
      </c>
      <c r="G24">
        <v>604008921</v>
      </c>
      <c r="H24" t="s">
        <v>220</v>
      </c>
      <c r="I24" t="s">
        <v>340</v>
      </c>
      <c r="J24" t="s">
        <v>399</v>
      </c>
      <c r="K24" t="s">
        <v>45</v>
      </c>
      <c r="L24" t="s">
        <v>45</v>
      </c>
      <c r="M24" t="s">
        <v>45</v>
      </c>
      <c r="N24" t="s">
        <v>45</v>
      </c>
      <c r="O24" t="s">
        <v>51</v>
      </c>
      <c r="P24" s="141" t="s">
        <v>438</v>
      </c>
      <c r="Q24" t="s">
        <v>72</v>
      </c>
      <c r="R24" t="s">
        <v>365</v>
      </c>
      <c r="S24" t="s">
        <v>133</v>
      </c>
      <c r="T24" s="141" t="s">
        <v>439</v>
      </c>
      <c r="U24" s="135">
        <v>3.165</v>
      </c>
      <c r="V24" s="133">
        <v>2409.9389999999999</v>
      </c>
      <c r="W24" s="133">
        <v>7627.4579999999996</v>
      </c>
      <c r="X24" s="164">
        <v>2.5339999999999998E-3</v>
      </c>
      <c r="Y24" s="137">
        <v>2.9509132794618399E-2</v>
      </c>
      <c r="Z24" s="137">
        <v>3.8922568898715898E-3</v>
      </c>
    </row>
    <row r="25" spans="1:26">
      <c r="A25">
        <v>161</v>
      </c>
      <c r="B25">
        <v>9943</v>
      </c>
      <c r="C25" t="s">
        <v>440</v>
      </c>
      <c r="D25" t="s">
        <v>441</v>
      </c>
      <c r="E25" t="s">
        <v>146</v>
      </c>
      <c r="F25" t="s">
        <v>442</v>
      </c>
      <c r="G25">
        <v>27970031</v>
      </c>
      <c r="H25" t="s">
        <v>220</v>
      </c>
      <c r="I25" t="s">
        <v>340</v>
      </c>
      <c r="J25" t="s">
        <v>363</v>
      </c>
      <c r="K25" t="s">
        <v>45</v>
      </c>
      <c r="L25" t="s">
        <v>45</v>
      </c>
      <c r="M25" t="s">
        <v>45</v>
      </c>
      <c r="N25" t="s">
        <v>45</v>
      </c>
      <c r="O25" t="s">
        <v>51</v>
      </c>
      <c r="P25" s="141" t="s">
        <v>443</v>
      </c>
      <c r="Q25" t="s">
        <v>52</v>
      </c>
      <c r="R25" t="s">
        <v>344</v>
      </c>
      <c r="S25" t="s">
        <v>245</v>
      </c>
      <c r="T25" s="141" t="s">
        <v>353</v>
      </c>
      <c r="U25" s="135">
        <v>1</v>
      </c>
      <c r="V25" s="133">
        <v>401.72199999999998</v>
      </c>
      <c r="W25" s="133">
        <v>401.72199999999998</v>
      </c>
      <c r="X25" s="164">
        <v>2.7099999999999997E-4</v>
      </c>
      <c r="Y25" s="137">
        <v>1.5541831697882501E-3</v>
      </c>
      <c r="Z25" s="137">
        <v>2.04996879875574E-4</v>
      </c>
    </row>
    <row r="26" spans="1:26">
      <c r="A26">
        <v>161</v>
      </c>
      <c r="B26">
        <v>9943</v>
      </c>
      <c r="C26" t="s">
        <v>396</v>
      </c>
      <c r="D26" t="s">
        <v>444</v>
      </c>
      <c r="E26" t="s">
        <v>41</v>
      </c>
      <c r="F26" t="s">
        <v>445</v>
      </c>
      <c r="G26">
        <v>27970010</v>
      </c>
      <c r="H26" t="s">
        <v>220</v>
      </c>
      <c r="I26" t="s">
        <v>340</v>
      </c>
      <c r="J26" t="s">
        <v>399</v>
      </c>
      <c r="K26" t="s">
        <v>45</v>
      </c>
      <c r="L26" t="s">
        <v>45</v>
      </c>
      <c r="M26" t="s">
        <v>45</v>
      </c>
      <c r="N26" t="s">
        <v>45</v>
      </c>
      <c r="O26" t="s">
        <v>51</v>
      </c>
      <c r="P26" s="141" t="s">
        <v>446</v>
      </c>
      <c r="Q26" t="s">
        <v>72</v>
      </c>
      <c r="R26" t="s">
        <v>344</v>
      </c>
      <c r="S26" t="s">
        <v>245</v>
      </c>
      <c r="T26" s="141" t="s">
        <v>134</v>
      </c>
      <c r="U26" s="135">
        <v>3.165</v>
      </c>
      <c r="V26" s="133">
        <v>2840.393</v>
      </c>
      <c r="W26" s="133">
        <v>8989.8430000000008</v>
      </c>
      <c r="X26" s="164">
        <v>0</v>
      </c>
      <c r="Y26" s="137">
        <v>3.4779932336312797E-2</v>
      </c>
      <c r="Z26" s="137">
        <v>4.5874757556402601E-3</v>
      </c>
    </row>
    <row r="27" spans="1:26">
      <c r="A27">
        <v>161</v>
      </c>
      <c r="B27">
        <v>9943</v>
      </c>
      <c r="C27" t="s">
        <v>370</v>
      </c>
      <c r="D27" t="s">
        <v>371</v>
      </c>
      <c r="E27" t="s">
        <v>41</v>
      </c>
      <c r="F27" t="s">
        <v>447</v>
      </c>
      <c r="G27">
        <v>36434</v>
      </c>
      <c r="H27" t="s">
        <v>220</v>
      </c>
      <c r="I27" t="s">
        <v>373</v>
      </c>
      <c r="J27" t="s">
        <v>374</v>
      </c>
      <c r="K27" t="s">
        <v>45</v>
      </c>
      <c r="L27" t="s">
        <v>45</v>
      </c>
      <c r="M27" t="s">
        <v>45</v>
      </c>
      <c r="N27" t="s">
        <v>45</v>
      </c>
      <c r="O27" t="s">
        <v>51</v>
      </c>
      <c r="P27" s="141" t="s">
        <v>448</v>
      </c>
      <c r="Q27" t="s">
        <v>52</v>
      </c>
      <c r="R27" t="s">
        <v>365</v>
      </c>
      <c r="S27" t="s">
        <v>133</v>
      </c>
      <c r="T27" s="141" t="s">
        <v>378</v>
      </c>
      <c r="U27" s="135">
        <v>1</v>
      </c>
      <c r="V27" s="133">
        <v>12996.636</v>
      </c>
      <c r="W27" s="133">
        <v>12996.636</v>
      </c>
      <c r="X27" s="164">
        <v>4.7349999999999996E-3</v>
      </c>
      <c r="Y27" s="137">
        <v>5.0281425124493101E-2</v>
      </c>
      <c r="Z27" s="137">
        <v>6.6321238490973803E-3</v>
      </c>
    </row>
    <row r="28" spans="1:26">
      <c r="A28">
        <v>161</v>
      </c>
      <c r="B28">
        <v>9943</v>
      </c>
      <c r="C28" t="s">
        <v>449</v>
      </c>
      <c r="D28" t="s">
        <v>450</v>
      </c>
      <c r="E28" t="s">
        <v>146</v>
      </c>
      <c r="F28" t="s">
        <v>451</v>
      </c>
      <c r="G28">
        <v>47845</v>
      </c>
      <c r="H28" t="s">
        <v>220</v>
      </c>
      <c r="I28" t="s">
        <v>340</v>
      </c>
      <c r="J28" t="s">
        <v>422</v>
      </c>
      <c r="K28" t="s">
        <v>68</v>
      </c>
      <c r="L28" t="s">
        <v>45</v>
      </c>
      <c r="M28" t="s">
        <v>45</v>
      </c>
      <c r="N28" t="s">
        <v>264</v>
      </c>
      <c r="O28" t="s">
        <v>51</v>
      </c>
      <c r="P28" s="141" t="s">
        <v>452</v>
      </c>
      <c r="Q28" t="s">
        <v>52</v>
      </c>
      <c r="R28" t="s">
        <v>344</v>
      </c>
      <c r="S28" t="s">
        <v>245</v>
      </c>
      <c r="T28" s="141" t="s">
        <v>359</v>
      </c>
      <c r="U28" s="135">
        <v>1</v>
      </c>
      <c r="V28" s="133">
        <v>4185.6710000000003</v>
      </c>
      <c r="W28" s="133">
        <v>4185.6710000000003</v>
      </c>
      <c r="X28" s="164">
        <v>5.4219999999999997E-3</v>
      </c>
      <c r="Y28" s="137">
        <v>1.6193537980509199E-2</v>
      </c>
      <c r="Z28" s="137">
        <v>2.1359289076610501E-3</v>
      </c>
    </row>
    <row r="29" spans="1:26">
      <c r="A29">
        <v>161</v>
      </c>
      <c r="B29">
        <v>9943</v>
      </c>
      <c r="C29" t="s">
        <v>453</v>
      </c>
      <c r="D29" t="s">
        <v>371</v>
      </c>
      <c r="E29" t="s">
        <v>41</v>
      </c>
      <c r="F29" t="s">
        <v>454</v>
      </c>
      <c r="G29">
        <v>27970047</v>
      </c>
      <c r="H29" t="s">
        <v>220</v>
      </c>
      <c r="I29" t="s">
        <v>373</v>
      </c>
      <c r="J29" t="s">
        <v>363</v>
      </c>
      <c r="K29" t="s">
        <v>45</v>
      </c>
      <c r="L29" t="s">
        <v>45</v>
      </c>
      <c r="M29" t="s">
        <v>45</v>
      </c>
      <c r="N29" t="s">
        <v>45</v>
      </c>
      <c r="O29" t="s">
        <v>51</v>
      </c>
      <c r="P29" s="141" t="s">
        <v>455</v>
      </c>
      <c r="Q29" t="s">
        <v>52</v>
      </c>
      <c r="R29" t="s">
        <v>365</v>
      </c>
      <c r="S29" t="s">
        <v>133</v>
      </c>
      <c r="T29" s="141" t="s">
        <v>418</v>
      </c>
      <c r="U29" s="135">
        <v>1</v>
      </c>
      <c r="V29" s="133">
        <v>9741.3539999999994</v>
      </c>
      <c r="W29" s="133">
        <v>9741.3539999999994</v>
      </c>
      <c r="X29" s="164">
        <v>4.7759999999999999E-3</v>
      </c>
      <c r="Y29" s="137">
        <v>3.76873777665378E-2</v>
      </c>
      <c r="Z29" s="137">
        <v>4.97096803196302E-3</v>
      </c>
    </row>
    <row r="30" spans="1:26">
      <c r="A30">
        <v>161</v>
      </c>
      <c r="B30">
        <v>9943</v>
      </c>
      <c r="C30" t="s">
        <v>456</v>
      </c>
      <c r="D30" t="s">
        <v>457</v>
      </c>
      <c r="E30" t="s">
        <v>64</v>
      </c>
      <c r="F30" t="s">
        <v>458</v>
      </c>
      <c r="G30">
        <v>27970058</v>
      </c>
      <c r="H30" t="s">
        <v>220</v>
      </c>
      <c r="I30" t="s">
        <v>340</v>
      </c>
      <c r="J30" t="s">
        <v>363</v>
      </c>
      <c r="K30" t="s">
        <v>68</v>
      </c>
      <c r="L30" t="s">
        <v>69</v>
      </c>
      <c r="M30" t="s">
        <v>69</v>
      </c>
      <c r="N30" t="s">
        <v>69</v>
      </c>
      <c r="O30" t="s">
        <v>51</v>
      </c>
      <c r="P30" s="141" t="s">
        <v>459</v>
      </c>
      <c r="Q30" t="s">
        <v>72</v>
      </c>
      <c r="R30" t="s">
        <v>344</v>
      </c>
      <c r="S30" t="s">
        <v>245</v>
      </c>
      <c r="T30" s="141" t="s">
        <v>353</v>
      </c>
      <c r="U30" s="135">
        <v>3.165</v>
      </c>
      <c r="V30" s="133">
        <v>268.72399999999999</v>
      </c>
      <c r="W30" s="133">
        <v>850.51099999999997</v>
      </c>
      <c r="X30" s="164">
        <v>5.5000000000000002E-5</v>
      </c>
      <c r="Y30" s="137">
        <v>3.2904587989156702E-3</v>
      </c>
      <c r="Z30" s="137">
        <v>4.3401176917180599E-4</v>
      </c>
    </row>
    <row r="31" spans="1:26">
      <c r="A31">
        <v>161</v>
      </c>
      <c r="B31">
        <v>9943</v>
      </c>
      <c r="C31" t="s">
        <v>460</v>
      </c>
      <c r="D31" t="s">
        <v>461</v>
      </c>
      <c r="E31" t="s">
        <v>64</v>
      </c>
      <c r="F31" t="s">
        <v>462</v>
      </c>
      <c r="G31">
        <v>27970057</v>
      </c>
      <c r="H31" t="s">
        <v>220</v>
      </c>
      <c r="I31" t="s">
        <v>340</v>
      </c>
      <c r="J31" t="s">
        <v>363</v>
      </c>
      <c r="K31" t="s">
        <v>68</v>
      </c>
      <c r="L31" t="s">
        <v>463</v>
      </c>
      <c r="M31" t="s">
        <v>464</v>
      </c>
      <c r="N31" t="s">
        <v>464</v>
      </c>
      <c r="O31" t="s">
        <v>51</v>
      </c>
      <c r="P31" s="141" t="s">
        <v>465</v>
      </c>
      <c r="Q31" t="s">
        <v>72</v>
      </c>
      <c r="R31" t="s">
        <v>344</v>
      </c>
      <c r="S31" t="s">
        <v>133</v>
      </c>
      <c r="T31" s="141" t="s">
        <v>466</v>
      </c>
      <c r="U31" s="135">
        <v>3.165</v>
      </c>
      <c r="V31" s="133">
        <v>447.7</v>
      </c>
      <c r="W31" s="133">
        <v>1416.972</v>
      </c>
      <c r="X31" s="164">
        <v>2.9E-5</v>
      </c>
      <c r="Y31" s="137">
        <v>5.4819856103362199E-3</v>
      </c>
      <c r="Z31" s="137">
        <v>7.2307432449859605E-4</v>
      </c>
    </row>
    <row r="32" spans="1:26">
      <c r="A32">
        <v>161</v>
      </c>
      <c r="B32">
        <v>9943</v>
      </c>
      <c r="C32" t="s">
        <v>467</v>
      </c>
      <c r="D32" t="s">
        <v>468</v>
      </c>
      <c r="E32" t="s">
        <v>64</v>
      </c>
      <c r="F32" t="s">
        <v>469</v>
      </c>
      <c r="G32">
        <v>27970028</v>
      </c>
      <c r="H32" t="s">
        <v>220</v>
      </c>
      <c r="I32" t="s">
        <v>340</v>
      </c>
      <c r="J32" t="s">
        <v>407</v>
      </c>
      <c r="K32" t="s">
        <v>68</v>
      </c>
      <c r="L32" t="s">
        <v>464</v>
      </c>
      <c r="M32" t="s">
        <v>464</v>
      </c>
      <c r="N32" t="s">
        <v>264</v>
      </c>
      <c r="O32" t="s">
        <v>51</v>
      </c>
      <c r="P32" s="141" t="s">
        <v>470</v>
      </c>
      <c r="Q32" t="s">
        <v>395</v>
      </c>
      <c r="R32" t="s">
        <v>365</v>
      </c>
      <c r="S32" t="s">
        <v>133</v>
      </c>
      <c r="T32" s="141" t="s">
        <v>376</v>
      </c>
      <c r="U32" s="135">
        <v>3.6360000000000001</v>
      </c>
      <c r="V32" s="133">
        <v>512.89800000000002</v>
      </c>
      <c r="W32" s="133">
        <v>1864.8989999999999</v>
      </c>
      <c r="X32" s="164">
        <v>7.5299999999999998E-4</v>
      </c>
      <c r="Y32" s="137">
        <v>7.21492605216112E-3</v>
      </c>
      <c r="Z32" s="137">
        <v>9.51649302332581E-4</v>
      </c>
    </row>
    <row r="33" spans="1:26">
      <c r="A33">
        <v>161</v>
      </c>
      <c r="B33">
        <v>9943</v>
      </c>
      <c r="C33" t="s">
        <v>471</v>
      </c>
      <c r="D33" t="s">
        <v>347</v>
      </c>
      <c r="E33" t="s">
        <v>146</v>
      </c>
      <c r="F33" t="s">
        <v>472</v>
      </c>
      <c r="G33">
        <v>27970056</v>
      </c>
      <c r="H33" t="s">
        <v>220</v>
      </c>
      <c r="I33" t="s">
        <v>340</v>
      </c>
      <c r="J33" t="s">
        <v>363</v>
      </c>
      <c r="K33" t="s">
        <v>68</v>
      </c>
      <c r="L33" t="s">
        <v>69</v>
      </c>
      <c r="M33" t="s">
        <v>350</v>
      </c>
      <c r="N33" t="s">
        <v>69</v>
      </c>
      <c r="O33" t="s">
        <v>51</v>
      </c>
      <c r="P33" s="141" t="s">
        <v>473</v>
      </c>
      <c r="Q33" t="s">
        <v>72</v>
      </c>
      <c r="R33" t="s">
        <v>344</v>
      </c>
      <c r="S33" t="s">
        <v>245</v>
      </c>
      <c r="T33" s="141" t="s">
        <v>418</v>
      </c>
      <c r="U33" s="135">
        <v>3.165</v>
      </c>
      <c r="V33" s="133">
        <v>436.21100000000001</v>
      </c>
      <c r="W33" s="133">
        <v>1380.6079999999999</v>
      </c>
      <c r="X33" s="164">
        <v>3.4E-5</v>
      </c>
      <c r="Y33" s="137">
        <v>5.3413007593932603E-3</v>
      </c>
      <c r="Z33" s="137">
        <v>7.0451798181667201E-4</v>
      </c>
    </row>
    <row r="34" spans="1:26">
      <c r="A34">
        <v>161</v>
      </c>
      <c r="B34">
        <v>9943</v>
      </c>
      <c r="C34" t="s">
        <v>474</v>
      </c>
      <c r="D34" t="s">
        <v>475</v>
      </c>
      <c r="E34" t="s">
        <v>146</v>
      </c>
      <c r="F34" t="s">
        <v>474</v>
      </c>
      <c r="G34">
        <v>27970053</v>
      </c>
      <c r="H34" t="s">
        <v>220</v>
      </c>
      <c r="I34" t="s">
        <v>340</v>
      </c>
      <c r="J34" t="s">
        <v>363</v>
      </c>
      <c r="K34" t="s">
        <v>68</v>
      </c>
      <c r="L34" t="s">
        <v>351</v>
      </c>
      <c r="M34" t="s">
        <v>463</v>
      </c>
      <c r="N34" t="s">
        <v>351</v>
      </c>
      <c r="O34" t="s">
        <v>51</v>
      </c>
      <c r="P34" s="141" t="s">
        <v>476</v>
      </c>
      <c r="Q34" t="s">
        <v>395</v>
      </c>
      <c r="R34" t="s">
        <v>365</v>
      </c>
      <c r="S34" t="s">
        <v>133</v>
      </c>
      <c r="T34" s="141" t="s">
        <v>477</v>
      </c>
      <c r="U34" s="135">
        <v>3.6360000000000001</v>
      </c>
      <c r="V34" s="133">
        <v>820.28700000000003</v>
      </c>
      <c r="W34" s="133">
        <v>2982.5650000000001</v>
      </c>
      <c r="X34" s="164">
        <v>1.8000000000000001E-4</v>
      </c>
      <c r="Y34" s="137">
        <v>1.1538956940300301E-2</v>
      </c>
      <c r="Z34" s="137">
        <v>1.5219893097300999E-3</v>
      </c>
    </row>
    <row r="35" spans="1:26">
      <c r="A35">
        <v>161</v>
      </c>
      <c r="B35">
        <v>9943</v>
      </c>
      <c r="C35" t="s">
        <v>478</v>
      </c>
      <c r="D35" t="s">
        <v>479</v>
      </c>
      <c r="E35" t="s">
        <v>41</v>
      </c>
      <c r="F35" t="s">
        <v>480</v>
      </c>
      <c r="G35">
        <v>27970040</v>
      </c>
      <c r="H35" t="s">
        <v>220</v>
      </c>
      <c r="I35" t="s">
        <v>340</v>
      </c>
      <c r="J35" t="s">
        <v>363</v>
      </c>
      <c r="K35" t="s">
        <v>68</v>
      </c>
      <c r="L35" t="s">
        <v>342</v>
      </c>
      <c r="M35" t="s">
        <v>69</v>
      </c>
      <c r="N35" t="s">
        <v>69</v>
      </c>
      <c r="O35" t="s">
        <v>51</v>
      </c>
      <c r="P35" s="141" t="s">
        <v>481</v>
      </c>
      <c r="Q35" t="s">
        <v>72</v>
      </c>
      <c r="R35" t="s">
        <v>365</v>
      </c>
      <c r="S35" t="s">
        <v>133</v>
      </c>
      <c r="T35" s="141" t="s">
        <v>134</v>
      </c>
      <c r="U35" s="135">
        <v>3.165</v>
      </c>
      <c r="V35" s="133">
        <v>907.48500000000001</v>
      </c>
      <c r="W35" s="133">
        <v>2872.19</v>
      </c>
      <c r="X35" s="164">
        <v>4.8999999999999998E-3</v>
      </c>
      <c r="Y35" s="137">
        <v>1.1111936144263399E-2</v>
      </c>
      <c r="Z35" s="137">
        <v>1.46566523382246E-3</v>
      </c>
    </row>
    <row r="36" spans="1:26">
      <c r="A36">
        <v>161</v>
      </c>
      <c r="B36">
        <v>9943</v>
      </c>
      <c r="C36" t="s">
        <v>482</v>
      </c>
      <c r="D36" t="s">
        <v>483</v>
      </c>
      <c r="E36" t="s">
        <v>41</v>
      </c>
      <c r="F36" t="s">
        <v>484</v>
      </c>
      <c r="G36">
        <v>27970026</v>
      </c>
      <c r="H36" t="s">
        <v>220</v>
      </c>
      <c r="I36" t="s">
        <v>340</v>
      </c>
      <c r="J36" t="s">
        <v>422</v>
      </c>
      <c r="K36" t="s">
        <v>68</v>
      </c>
      <c r="L36" t="s">
        <v>463</v>
      </c>
      <c r="M36" t="s">
        <v>463</v>
      </c>
      <c r="N36" t="s">
        <v>264</v>
      </c>
      <c r="O36" t="s">
        <v>51</v>
      </c>
      <c r="P36" s="141" t="s">
        <v>485</v>
      </c>
      <c r="Q36" t="s">
        <v>395</v>
      </c>
      <c r="R36" t="s">
        <v>344</v>
      </c>
      <c r="S36" t="s">
        <v>245</v>
      </c>
      <c r="T36" s="141" t="s">
        <v>486</v>
      </c>
      <c r="U36" s="135">
        <v>3.6360000000000001</v>
      </c>
      <c r="V36" s="133">
        <v>1358.8869999999999</v>
      </c>
      <c r="W36" s="133">
        <v>4940.9129999999996</v>
      </c>
      <c r="X36" s="164">
        <v>7.0600000000000003E-4</v>
      </c>
      <c r="Y36" s="137">
        <v>1.9115418291779599E-2</v>
      </c>
      <c r="Z36" s="137">
        <v>2.5213251459061899E-3</v>
      </c>
    </row>
    <row r="37" spans="1:26">
      <c r="A37">
        <v>161</v>
      </c>
      <c r="B37">
        <v>9943</v>
      </c>
      <c r="C37" t="s">
        <v>487</v>
      </c>
      <c r="D37" t="s">
        <v>488</v>
      </c>
      <c r="E37" t="s">
        <v>402</v>
      </c>
      <c r="F37" t="s">
        <v>489</v>
      </c>
      <c r="G37">
        <v>27970049</v>
      </c>
      <c r="H37" t="s">
        <v>220</v>
      </c>
      <c r="I37" t="s">
        <v>340</v>
      </c>
      <c r="J37" t="s">
        <v>363</v>
      </c>
      <c r="K37" t="s">
        <v>68</v>
      </c>
      <c r="L37" t="s">
        <v>69</v>
      </c>
      <c r="M37" t="s">
        <v>69</v>
      </c>
      <c r="N37" t="s">
        <v>69</v>
      </c>
      <c r="O37" t="s">
        <v>51</v>
      </c>
      <c r="P37" s="141" t="s">
        <v>490</v>
      </c>
      <c r="Q37" t="s">
        <v>72</v>
      </c>
      <c r="R37" t="s">
        <v>365</v>
      </c>
      <c r="S37" t="s">
        <v>133</v>
      </c>
      <c r="T37" s="141" t="s">
        <v>134</v>
      </c>
      <c r="U37" s="135">
        <v>3.165</v>
      </c>
      <c r="V37" s="133">
        <v>1631.4290000000001</v>
      </c>
      <c r="W37" s="133">
        <v>5163.4709999999995</v>
      </c>
      <c r="X37" s="164">
        <v>1.5200000000000001E-3</v>
      </c>
      <c r="Y37" s="137">
        <v>1.99764532309285E-2</v>
      </c>
      <c r="Z37" s="137">
        <v>2.6348957207396801E-3</v>
      </c>
    </row>
    <row r="38" spans="1:26">
      <c r="A38">
        <v>161</v>
      </c>
      <c r="B38">
        <v>9943</v>
      </c>
      <c r="C38" t="s">
        <v>491</v>
      </c>
      <c r="D38" t="s">
        <v>492</v>
      </c>
      <c r="E38" t="s">
        <v>146</v>
      </c>
      <c r="F38" t="s">
        <v>493</v>
      </c>
      <c r="G38">
        <v>27970023</v>
      </c>
      <c r="H38" t="s">
        <v>220</v>
      </c>
      <c r="I38" t="s">
        <v>340</v>
      </c>
      <c r="J38" t="s">
        <v>422</v>
      </c>
      <c r="K38" t="s">
        <v>68</v>
      </c>
      <c r="L38" t="s">
        <v>69</v>
      </c>
      <c r="M38" t="s">
        <v>69</v>
      </c>
      <c r="N38" t="s">
        <v>264</v>
      </c>
      <c r="O38" t="s">
        <v>51</v>
      </c>
      <c r="P38" s="141" t="s">
        <v>494</v>
      </c>
      <c r="Q38" t="s">
        <v>72</v>
      </c>
      <c r="R38" t="s">
        <v>344</v>
      </c>
      <c r="S38" t="s">
        <v>245</v>
      </c>
      <c r="T38" s="141" t="s">
        <v>439</v>
      </c>
      <c r="U38" s="135">
        <v>3.165</v>
      </c>
      <c r="V38" s="133">
        <v>1588.2829999999999</v>
      </c>
      <c r="W38" s="133">
        <v>5026.915</v>
      </c>
      <c r="X38" s="164">
        <v>1.436E-3</v>
      </c>
      <c r="Y38" s="137">
        <v>1.9448144135479802E-2</v>
      </c>
      <c r="Z38" s="137">
        <v>2.5652117103333399E-3</v>
      </c>
    </row>
    <row r="39" spans="1:26">
      <c r="A39">
        <v>161</v>
      </c>
      <c r="B39">
        <v>9943</v>
      </c>
      <c r="C39" t="s">
        <v>495</v>
      </c>
      <c r="D39" t="s">
        <v>496</v>
      </c>
      <c r="E39" t="s">
        <v>64</v>
      </c>
      <c r="F39" t="s">
        <v>497</v>
      </c>
      <c r="G39">
        <v>27970048</v>
      </c>
      <c r="H39" t="s">
        <v>220</v>
      </c>
      <c r="I39" t="s">
        <v>498</v>
      </c>
      <c r="J39" t="s">
        <v>363</v>
      </c>
      <c r="K39" t="s">
        <v>68</v>
      </c>
      <c r="L39" t="s">
        <v>463</v>
      </c>
      <c r="M39" t="s">
        <v>69</v>
      </c>
      <c r="N39" t="s">
        <v>69</v>
      </c>
      <c r="O39" t="s">
        <v>51</v>
      </c>
      <c r="P39" s="141" t="s">
        <v>499</v>
      </c>
      <c r="Q39" t="s">
        <v>72</v>
      </c>
      <c r="R39" t="s">
        <v>365</v>
      </c>
      <c r="S39" t="s">
        <v>133</v>
      </c>
      <c r="T39" s="141" t="s">
        <v>500</v>
      </c>
      <c r="U39" s="135">
        <v>3.165</v>
      </c>
      <c r="V39" s="133">
        <v>799.8</v>
      </c>
      <c r="W39" s="133">
        <v>2531.3679999999999</v>
      </c>
      <c r="X39" s="164">
        <v>1.3110000000000001E-3</v>
      </c>
      <c r="Y39" s="137">
        <v>9.7933641100915701E-3</v>
      </c>
      <c r="Z39" s="137">
        <v>1.2917454808931801E-3</v>
      </c>
    </row>
    <row r="40" spans="1:26">
      <c r="A40">
        <v>161</v>
      </c>
      <c r="B40">
        <v>9943</v>
      </c>
      <c r="C40" t="s">
        <v>405</v>
      </c>
      <c r="D40" t="s">
        <v>401</v>
      </c>
      <c r="E40" t="s">
        <v>402</v>
      </c>
      <c r="F40" t="s">
        <v>501</v>
      </c>
      <c r="G40">
        <v>27970038</v>
      </c>
      <c r="H40" t="s">
        <v>220</v>
      </c>
      <c r="I40" t="s">
        <v>340</v>
      </c>
      <c r="J40" t="s">
        <v>407</v>
      </c>
      <c r="K40" t="s">
        <v>45</v>
      </c>
      <c r="L40" t="s">
        <v>342</v>
      </c>
      <c r="M40" t="s">
        <v>45</v>
      </c>
      <c r="N40" t="s">
        <v>45</v>
      </c>
      <c r="O40" t="s">
        <v>51</v>
      </c>
      <c r="P40" s="141" t="s">
        <v>404</v>
      </c>
      <c r="Q40" t="s">
        <v>52</v>
      </c>
      <c r="R40" t="s">
        <v>344</v>
      </c>
      <c r="S40" t="s">
        <v>245</v>
      </c>
      <c r="T40" s="141" t="s">
        <v>134</v>
      </c>
      <c r="U40" s="135">
        <v>1</v>
      </c>
      <c r="V40" s="133">
        <v>2403.88</v>
      </c>
      <c r="W40" s="133">
        <v>2403.88</v>
      </c>
      <c r="X40" s="164">
        <v>6.7100000000000005E-4</v>
      </c>
      <c r="Y40" s="137">
        <v>9.3001366909869192E-3</v>
      </c>
      <c r="Z40" s="137">
        <v>1.2266887463003599E-3</v>
      </c>
    </row>
    <row r="41" spans="1:26">
      <c r="A41">
        <v>161</v>
      </c>
      <c r="B41">
        <v>9943</v>
      </c>
      <c r="C41" t="s">
        <v>502</v>
      </c>
      <c r="D41" t="s">
        <v>503</v>
      </c>
      <c r="E41" t="s">
        <v>41</v>
      </c>
      <c r="F41" t="s">
        <v>504</v>
      </c>
      <c r="G41">
        <v>27970045</v>
      </c>
      <c r="H41" t="s">
        <v>220</v>
      </c>
      <c r="I41" t="s">
        <v>373</v>
      </c>
      <c r="J41" t="s">
        <v>407</v>
      </c>
      <c r="K41" t="s">
        <v>68</v>
      </c>
      <c r="L41" t="s">
        <v>69</v>
      </c>
      <c r="M41" t="s">
        <v>45</v>
      </c>
      <c r="N41" t="s">
        <v>69</v>
      </c>
      <c r="O41" t="s">
        <v>51</v>
      </c>
      <c r="P41" s="141" t="s">
        <v>505</v>
      </c>
      <c r="Q41" t="s">
        <v>72</v>
      </c>
      <c r="R41" t="s">
        <v>365</v>
      </c>
      <c r="S41" t="s">
        <v>133</v>
      </c>
      <c r="T41" s="141" t="s">
        <v>376</v>
      </c>
      <c r="U41" s="135">
        <v>3.165</v>
      </c>
      <c r="V41" s="133">
        <v>3225.1959999999999</v>
      </c>
      <c r="W41" s="133">
        <v>10207.745999999999</v>
      </c>
      <c r="X41" s="164">
        <v>1.1845E-2</v>
      </c>
      <c r="Y41" s="137">
        <v>3.94917591193477E-2</v>
      </c>
      <c r="Z41" s="137">
        <v>5.20896607146187E-3</v>
      </c>
    </row>
    <row r="42" spans="1:26">
      <c r="A42">
        <v>161</v>
      </c>
      <c r="B42">
        <v>9943</v>
      </c>
      <c r="C42" t="s">
        <v>506</v>
      </c>
      <c r="D42" t="s">
        <v>507</v>
      </c>
      <c r="E42" t="s">
        <v>146</v>
      </c>
      <c r="F42" t="s">
        <v>508</v>
      </c>
      <c r="G42">
        <v>27970055</v>
      </c>
      <c r="H42" t="s">
        <v>220</v>
      </c>
      <c r="I42" t="s">
        <v>498</v>
      </c>
      <c r="J42" t="s">
        <v>363</v>
      </c>
      <c r="K42" t="s">
        <v>68</v>
      </c>
      <c r="L42" t="s">
        <v>342</v>
      </c>
      <c r="M42" t="s">
        <v>45</v>
      </c>
      <c r="N42" t="s">
        <v>69</v>
      </c>
      <c r="O42" t="s">
        <v>51</v>
      </c>
      <c r="P42" s="141" t="s">
        <v>509</v>
      </c>
      <c r="Q42" t="s">
        <v>72</v>
      </c>
      <c r="R42" t="s">
        <v>344</v>
      </c>
      <c r="S42" t="s">
        <v>245</v>
      </c>
      <c r="T42" s="141" t="s">
        <v>409</v>
      </c>
      <c r="U42" s="135">
        <v>3.165</v>
      </c>
      <c r="V42" s="133">
        <v>943.21799999999996</v>
      </c>
      <c r="W42" s="133">
        <v>2985.2860000000001</v>
      </c>
      <c r="X42" s="164">
        <v>2.7499999999999998E-3</v>
      </c>
      <c r="Y42" s="137">
        <v>1.1549484022374301E-2</v>
      </c>
      <c r="Z42" s="137">
        <v>1.5233778326669801E-3</v>
      </c>
    </row>
    <row r="43" spans="1:26">
      <c r="A43">
        <v>161</v>
      </c>
      <c r="B43">
        <v>9943</v>
      </c>
      <c r="C43" t="s">
        <v>510</v>
      </c>
      <c r="D43" t="s">
        <v>511</v>
      </c>
      <c r="E43" t="s">
        <v>146</v>
      </c>
      <c r="F43" t="s">
        <v>512</v>
      </c>
      <c r="G43">
        <v>27970051</v>
      </c>
      <c r="H43" t="s">
        <v>220</v>
      </c>
      <c r="I43" t="s">
        <v>340</v>
      </c>
      <c r="J43" t="s">
        <v>363</v>
      </c>
      <c r="K43" t="s">
        <v>68</v>
      </c>
      <c r="L43" t="s">
        <v>69</v>
      </c>
      <c r="M43" t="s">
        <v>464</v>
      </c>
      <c r="N43" t="s">
        <v>69</v>
      </c>
      <c r="O43" t="s">
        <v>51</v>
      </c>
      <c r="P43" s="141" t="s">
        <v>513</v>
      </c>
      <c r="Q43" t="s">
        <v>72</v>
      </c>
      <c r="R43" t="s">
        <v>344</v>
      </c>
      <c r="S43" t="s">
        <v>245</v>
      </c>
      <c r="T43" s="141" t="s">
        <v>514</v>
      </c>
      <c r="U43" s="135">
        <v>3.165</v>
      </c>
      <c r="V43" s="133">
        <v>677.29300000000001</v>
      </c>
      <c r="W43" s="133">
        <v>2143.6309999999999</v>
      </c>
      <c r="X43" s="164">
        <v>4.06E-4</v>
      </c>
      <c r="Y43" s="137">
        <v>8.2932852193049102E-3</v>
      </c>
      <c r="Z43" s="137">
        <v>1.0938849595877201E-3</v>
      </c>
    </row>
    <row r="44" spans="1:26">
      <c r="A44">
        <v>161</v>
      </c>
      <c r="B44">
        <v>9943</v>
      </c>
      <c r="C44" t="s">
        <v>396</v>
      </c>
      <c r="D44" t="s">
        <v>444</v>
      </c>
      <c r="E44" t="s">
        <v>41</v>
      </c>
      <c r="F44" t="s">
        <v>445</v>
      </c>
      <c r="G44">
        <v>27970046</v>
      </c>
      <c r="H44" t="s">
        <v>220</v>
      </c>
      <c r="I44" t="s">
        <v>340</v>
      </c>
      <c r="J44" t="s">
        <v>399</v>
      </c>
      <c r="K44" t="s">
        <v>45</v>
      </c>
      <c r="L44" t="s">
        <v>45</v>
      </c>
      <c r="M44" t="s">
        <v>45</v>
      </c>
      <c r="N44" t="s">
        <v>45</v>
      </c>
      <c r="O44" t="s">
        <v>51</v>
      </c>
      <c r="P44" s="141" t="s">
        <v>515</v>
      </c>
      <c r="Q44" t="s">
        <v>72</v>
      </c>
      <c r="R44" t="s">
        <v>344</v>
      </c>
      <c r="S44" t="s">
        <v>245</v>
      </c>
      <c r="T44" s="141" t="s">
        <v>134</v>
      </c>
      <c r="U44" s="135">
        <v>3.165</v>
      </c>
      <c r="V44" s="133">
        <v>1565.559</v>
      </c>
      <c r="W44" s="133">
        <v>4954.9930000000004</v>
      </c>
      <c r="X44" s="164">
        <v>0</v>
      </c>
      <c r="Y44" s="137">
        <v>1.9169890900208101E-2</v>
      </c>
      <c r="Z44" s="137">
        <v>2.5285100871560999E-3</v>
      </c>
    </row>
    <row r="45" spans="1:26">
      <c r="A45">
        <v>161</v>
      </c>
      <c r="B45">
        <v>9943</v>
      </c>
      <c r="C45" t="s">
        <v>516</v>
      </c>
      <c r="D45" t="s">
        <v>385</v>
      </c>
      <c r="E45" t="s">
        <v>146</v>
      </c>
      <c r="F45" t="s">
        <v>517</v>
      </c>
      <c r="G45">
        <v>604051641</v>
      </c>
      <c r="H45" t="s">
        <v>220</v>
      </c>
      <c r="I45" t="s">
        <v>373</v>
      </c>
      <c r="J45" t="s">
        <v>357</v>
      </c>
      <c r="K45" t="s">
        <v>68</v>
      </c>
      <c r="L45" t="s">
        <v>342</v>
      </c>
      <c r="M45" t="s">
        <v>45</v>
      </c>
      <c r="N45" t="s">
        <v>69</v>
      </c>
      <c r="O45" t="s">
        <v>51</v>
      </c>
      <c r="P45" s="141" t="s">
        <v>518</v>
      </c>
      <c r="Q45" t="s">
        <v>72</v>
      </c>
      <c r="R45" t="s">
        <v>365</v>
      </c>
      <c r="S45" t="s">
        <v>133</v>
      </c>
      <c r="T45" s="141" t="s">
        <v>519</v>
      </c>
      <c r="U45" s="135">
        <v>3.165</v>
      </c>
      <c r="V45" s="133">
        <v>218.49100000000001</v>
      </c>
      <c r="W45" s="133">
        <v>691.52300000000002</v>
      </c>
      <c r="X45" s="164">
        <v>0</v>
      </c>
      <c r="Y45" s="137">
        <v>2.6753662220674501E-3</v>
      </c>
      <c r="Z45" s="137">
        <v>3.5288101088049598E-4</v>
      </c>
    </row>
    <row r="46" spans="1:26">
      <c r="A46">
        <v>161</v>
      </c>
      <c r="B46">
        <v>9943</v>
      </c>
      <c r="C46" t="s">
        <v>520</v>
      </c>
      <c r="D46" t="s">
        <v>521</v>
      </c>
      <c r="E46" t="s">
        <v>402</v>
      </c>
      <c r="F46" t="s">
        <v>522</v>
      </c>
      <c r="G46">
        <v>62000074</v>
      </c>
      <c r="H46" t="s">
        <v>220</v>
      </c>
      <c r="I46" t="s">
        <v>392</v>
      </c>
      <c r="J46" t="s">
        <v>393</v>
      </c>
      <c r="K46" t="s">
        <v>68</v>
      </c>
      <c r="L46" t="s">
        <v>69</v>
      </c>
      <c r="M46" t="s">
        <v>45</v>
      </c>
      <c r="N46" t="s">
        <v>69</v>
      </c>
      <c r="O46" t="s">
        <v>51</v>
      </c>
      <c r="P46" s="141" t="s">
        <v>523</v>
      </c>
      <c r="Q46" t="s">
        <v>72</v>
      </c>
      <c r="R46" t="s">
        <v>344</v>
      </c>
      <c r="S46" t="s">
        <v>245</v>
      </c>
      <c r="T46" s="141" t="s">
        <v>418</v>
      </c>
      <c r="U46" s="135">
        <v>3.165</v>
      </c>
      <c r="V46" s="133">
        <v>884.17499999999995</v>
      </c>
      <c r="W46" s="133">
        <v>2798.4140000000002</v>
      </c>
      <c r="X46" s="164">
        <v>1.6100000000000001E-3</v>
      </c>
      <c r="Y46" s="137">
        <v>1.0826511978716201E-2</v>
      </c>
      <c r="Z46" s="137">
        <v>1.4280177643892201E-3</v>
      </c>
    </row>
    <row r="47" spans="1:26">
      <c r="A47">
        <v>161</v>
      </c>
      <c r="B47">
        <v>9943</v>
      </c>
      <c r="C47" t="s">
        <v>524</v>
      </c>
      <c r="D47" t="s">
        <v>521</v>
      </c>
      <c r="E47" t="s">
        <v>402</v>
      </c>
      <c r="F47" t="s">
        <v>525</v>
      </c>
      <c r="G47">
        <v>60390077</v>
      </c>
      <c r="H47" t="s">
        <v>220</v>
      </c>
      <c r="I47" t="s">
        <v>392</v>
      </c>
      <c r="J47" t="s">
        <v>393</v>
      </c>
      <c r="K47" t="s">
        <v>68</v>
      </c>
      <c r="L47" t="s">
        <v>69</v>
      </c>
      <c r="M47" t="s">
        <v>45</v>
      </c>
      <c r="N47" t="s">
        <v>69</v>
      </c>
      <c r="O47" t="s">
        <v>51</v>
      </c>
      <c r="P47" s="141" t="s">
        <v>526</v>
      </c>
      <c r="Q47" t="s">
        <v>72</v>
      </c>
      <c r="R47" t="s">
        <v>344</v>
      </c>
      <c r="S47" t="s">
        <v>245</v>
      </c>
      <c r="T47" s="141" t="s">
        <v>527</v>
      </c>
      <c r="U47" s="135">
        <v>3.165</v>
      </c>
      <c r="V47" s="133">
        <v>509.89499999999998</v>
      </c>
      <c r="W47" s="133">
        <v>1613.818</v>
      </c>
      <c r="X47" s="164">
        <v>6.8180000000000003E-3</v>
      </c>
      <c r="Y47" s="137">
        <v>6.2435426531936697E-3</v>
      </c>
      <c r="Z47" s="137">
        <v>8.2352375714450198E-4</v>
      </c>
    </row>
    <row r="48" spans="1:26">
      <c r="A48">
        <v>161</v>
      </c>
      <c r="B48">
        <v>9943</v>
      </c>
      <c r="C48" t="s">
        <v>528</v>
      </c>
      <c r="D48" t="s">
        <v>529</v>
      </c>
      <c r="E48" t="s">
        <v>41</v>
      </c>
      <c r="F48" t="s">
        <v>530</v>
      </c>
      <c r="G48">
        <v>60398484</v>
      </c>
      <c r="H48" t="s">
        <v>220</v>
      </c>
      <c r="I48" t="s">
        <v>340</v>
      </c>
      <c r="J48" t="s">
        <v>399</v>
      </c>
      <c r="K48" t="s">
        <v>68</v>
      </c>
      <c r="L48" t="s">
        <v>350</v>
      </c>
      <c r="M48" t="s">
        <v>350</v>
      </c>
      <c r="N48" t="s">
        <v>45</v>
      </c>
      <c r="O48" t="s">
        <v>51</v>
      </c>
      <c r="P48" s="141" t="s">
        <v>531</v>
      </c>
      <c r="Q48" t="s">
        <v>72</v>
      </c>
      <c r="R48" t="s">
        <v>365</v>
      </c>
      <c r="S48" t="s">
        <v>133</v>
      </c>
      <c r="T48" s="141" t="s">
        <v>353</v>
      </c>
      <c r="U48" s="135">
        <v>3.165</v>
      </c>
      <c r="V48" s="133">
        <v>1514.4580000000001</v>
      </c>
      <c r="W48" s="133">
        <v>4793.2610000000004</v>
      </c>
      <c r="X48" s="164">
        <v>4.6280000000000002E-3</v>
      </c>
      <c r="Y48" s="137">
        <v>1.8544181422714402E-2</v>
      </c>
      <c r="Z48" s="137">
        <v>2.4459789588513999E-3</v>
      </c>
    </row>
    <row r="49" spans="1:26">
      <c r="A49">
        <v>161</v>
      </c>
      <c r="B49">
        <v>9943</v>
      </c>
      <c r="C49" t="s">
        <v>532</v>
      </c>
      <c r="D49" t="s">
        <v>533</v>
      </c>
      <c r="E49" t="s">
        <v>64</v>
      </c>
      <c r="F49" t="s">
        <v>534</v>
      </c>
      <c r="G49">
        <v>27970054</v>
      </c>
      <c r="H49" t="s">
        <v>220</v>
      </c>
      <c r="I49" t="s">
        <v>340</v>
      </c>
      <c r="J49" t="s">
        <v>363</v>
      </c>
      <c r="K49" t="s">
        <v>68</v>
      </c>
      <c r="L49" t="s">
        <v>69</v>
      </c>
      <c r="M49" t="s">
        <v>69</v>
      </c>
      <c r="N49" t="s">
        <v>69</v>
      </c>
      <c r="O49" t="s">
        <v>51</v>
      </c>
      <c r="P49" s="141" t="s">
        <v>535</v>
      </c>
      <c r="Q49" t="s">
        <v>72</v>
      </c>
      <c r="R49" t="s">
        <v>365</v>
      </c>
      <c r="S49" t="s">
        <v>133</v>
      </c>
      <c r="T49" s="141" t="s">
        <v>536</v>
      </c>
      <c r="U49" s="135">
        <v>3.165</v>
      </c>
      <c r="V49" s="133">
        <v>639.64499999999998</v>
      </c>
      <c r="W49" s="133">
        <v>2024.4780000000001</v>
      </c>
      <c r="X49" s="164">
        <v>1.47E-4</v>
      </c>
      <c r="Y49" s="137">
        <v>7.8323050324390804E-3</v>
      </c>
      <c r="Z49" s="137">
        <v>1.0330816374124899E-3</v>
      </c>
    </row>
    <row r="50" spans="1:26">
      <c r="A50">
        <v>161</v>
      </c>
      <c r="B50">
        <v>9943</v>
      </c>
      <c r="C50" t="s">
        <v>537</v>
      </c>
      <c r="D50" t="s">
        <v>538</v>
      </c>
      <c r="E50" t="s">
        <v>402</v>
      </c>
      <c r="F50" t="s">
        <v>539</v>
      </c>
      <c r="G50">
        <v>60416385</v>
      </c>
      <c r="H50" t="s">
        <v>220</v>
      </c>
      <c r="I50" t="s">
        <v>340</v>
      </c>
      <c r="J50" t="s">
        <v>407</v>
      </c>
      <c r="K50" t="s">
        <v>68</v>
      </c>
      <c r="L50" t="s">
        <v>463</v>
      </c>
      <c r="M50" t="s">
        <v>69</v>
      </c>
      <c r="N50" t="s">
        <v>264</v>
      </c>
      <c r="O50" t="s">
        <v>51</v>
      </c>
      <c r="P50" s="141" t="s">
        <v>540</v>
      </c>
      <c r="Q50" t="s">
        <v>395</v>
      </c>
      <c r="R50" t="s">
        <v>365</v>
      </c>
      <c r="S50" t="s">
        <v>133</v>
      </c>
      <c r="T50" s="141" t="s">
        <v>353</v>
      </c>
      <c r="U50" s="135">
        <v>3.6360000000000001</v>
      </c>
      <c r="V50" s="133">
        <v>290.21899999999999</v>
      </c>
      <c r="W50" s="133">
        <v>1055.2370000000001</v>
      </c>
      <c r="X50" s="164">
        <v>5.7400000000000003E-3</v>
      </c>
      <c r="Y50" s="137">
        <v>4.0825027567253699E-3</v>
      </c>
      <c r="Z50" s="137">
        <v>5.3848242824953399E-4</v>
      </c>
    </row>
    <row r="51" spans="1:26">
      <c r="A51">
        <v>161</v>
      </c>
      <c r="B51">
        <v>9943</v>
      </c>
      <c r="C51" t="s">
        <v>541</v>
      </c>
      <c r="D51" t="s">
        <v>542</v>
      </c>
      <c r="E51" t="s">
        <v>402</v>
      </c>
      <c r="F51" t="s">
        <v>543</v>
      </c>
      <c r="G51">
        <v>60408978</v>
      </c>
      <c r="H51" t="s">
        <v>220</v>
      </c>
      <c r="I51" t="s">
        <v>392</v>
      </c>
      <c r="J51" t="s">
        <v>363</v>
      </c>
      <c r="K51" t="s">
        <v>68</v>
      </c>
      <c r="L51" t="s">
        <v>69</v>
      </c>
      <c r="M51" t="s">
        <v>69</v>
      </c>
      <c r="N51" t="s">
        <v>69</v>
      </c>
      <c r="O51" t="s">
        <v>51</v>
      </c>
      <c r="P51" s="141" t="s">
        <v>544</v>
      </c>
      <c r="Q51" t="s">
        <v>72</v>
      </c>
      <c r="R51" t="s">
        <v>344</v>
      </c>
      <c r="S51" t="s">
        <v>133</v>
      </c>
      <c r="T51" s="141" t="s">
        <v>376</v>
      </c>
      <c r="U51" s="135">
        <v>3.165</v>
      </c>
      <c r="V51" s="133">
        <v>4729.2160000000003</v>
      </c>
      <c r="W51" s="133">
        <v>14967.968999999999</v>
      </c>
      <c r="X51" s="164">
        <v>0.04</v>
      </c>
      <c r="Y51" s="137">
        <v>5.7908121892087501E-2</v>
      </c>
      <c r="Z51" s="137">
        <v>7.6380857405306804E-3</v>
      </c>
    </row>
    <row r="52" spans="1:26">
      <c r="A52">
        <v>161</v>
      </c>
      <c r="B52">
        <v>9943</v>
      </c>
      <c r="C52" t="s">
        <v>545</v>
      </c>
      <c r="D52" t="s">
        <v>457</v>
      </c>
      <c r="E52" t="s">
        <v>64</v>
      </c>
      <c r="F52" t="s">
        <v>546</v>
      </c>
      <c r="G52">
        <v>27970041</v>
      </c>
      <c r="H52" t="s">
        <v>220</v>
      </c>
      <c r="I52" t="s">
        <v>340</v>
      </c>
      <c r="J52" t="s">
        <v>363</v>
      </c>
      <c r="K52" t="s">
        <v>68</v>
      </c>
      <c r="L52" t="s">
        <v>69</v>
      </c>
      <c r="M52" t="s">
        <v>69</v>
      </c>
      <c r="N52" t="s">
        <v>69</v>
      </c>
      <c r="O52" t="s">
        <v>51</v>
      </c>
      <c r="P52" s="141" t="s">
        <v>547</v>
      </c>
      <c r="Q52" t="s">
        <v>72</v>
      </c>
      <c r="R52" t="s">
        <v>344</v>
      </c>
      <c r="S52" t="s">
        <v>245</v>
      </c>
      <c r="T52" s="141" t="s">
        <v>134</v>
      </c>
      <c r="U52" s="135">
        <v>3.165</v>
      </c>
      <c r="V52" s="133">
        <v>1042.704</v>
      </c>
      <c r="W52" s="133">
        <v>3300.1590000000001</v>
      </c>
      <c r="X52" s="164">
        <v>1.9100000000000001E-4</v>
      </c>
      <c r="Y52" s="137">
        <v>1.2767666627789701E-2</v>
      </c>
      <c r="Z52" s="137">
        <v>1.68405621220631E-3</v>
      </c>
    </row>
    <row r="53" spans="1:26">
      <c r="A53">
        <v>161</v>
      </c>
      <c r="B53">
        <v>9943</v>
      </c>
      <c r="C53" t="s">
        <v>548</v>
      </c>
      <c r="D53" t="s">
        <v>549</v>
      </c>
      <c r="E53" t="s">
        <v>64</v>
      </c>
      <c r="F53" t="s">
        <v>550</v>
      </c>
      <c r="G53">
        <v>98405711</v>
      </c>
      <c r="H53" t="s">
        <v>220</v>
      </c>
      <c r="I53" t="s">
        <v>392</v>
      </c>
      <c r="J53" t="s">
        <v>393</v>
      </c>
      <c r="K53" t="s">
        <v>68</v>
      </c>
      <c r="L53" t="s">
        <v>551</v>
      </c>
      <c r="M53" t="s">
        <v>551</v>
      </c>
      <c r="N53" t="s">
        <v>45</v>
      </c>
      <c r="O53" t="s">
        <v>51</v>
      </c>
      <c r="P53" s="141" t="s">
        <v>552</v>
      </c>
      <c r="Q53" t="s">
        <v>72</v>
      </c>
      <c r="R53" t="s">
        <v>344</v>
      </c>
      <c r="S53" t="s">
        <v>245</v>
      </c>
      <c r="T53" s="141" t="s">
        <v>553</v>
      </c>
      <c r="U53" s="135">
        <v>3.165</v>
      </c>
      <c r="V53" s="133">
        <v>36.136000000000003</v>
      </c>
      <c r="W53" s="133">
        <v>114.369</v>
      </c>
      <c r="X53" s="164">
        <v>1.408E-3</v>
      </c>
      <c r="Y53" s="137">
        <v>4.42471792240215E-4</v>
      </c>
      <c r="Z53" s="137">
        <v>5.83620634976737E-5</v>
      </c>
    </row>
    <row r="54" spans="1:26">
      <c r="A54">
        <v>161</v>
      </c>
      <c r="B54">
        <v>9943</v>
      </c>
      <c r="C54" t="s">
        <v>346</v>
      </c>
      <c r="D54" t="s">
        <v>347</v>
      </c>
      <c r="E54" t="s">
        <v>146</v>
      </c>
      <c r="F54" t="s">
        <v>348</v>
      </c>
      <c r="G54">
        <v>27970029</v>
      </c>
      <c r="H54" t="s">
        <v>220</v>
      </c>
      <c r="I54" t="s">
        <v>340</v>
      </c>
      <c r="J54" t="s">
        <v>349</v>
      </c>
      <c r="K54" t="s">
        <v>68</v>
      </c>
      <c r="L54" t="s">
        <v>350</v>
      </c>
      <c r="M54" t="s">
        <v>351</v>
      </c>
      <c r="N54" t="s">
        <v>351</v>
      </c>
      <c r="O54" t="s">
        <v>51</v>
      </c>
      <c r="P54" s="141" t="s">
        <v>352</v>
      </c>
      <c r="Q54" t="s">
        <v>72</v>
      </c>
      <c r="R54" t="s">
        <v>344</v>
      </c>
      <c r="S54" t="s">
        <v>245</v>
      </c>
      <c r="T54" s="141" t="s">
        <v>353</v>
      </c>
      <c r="U54" s="135">
        <v>3.165</v>
      </c>
      <c r="V54" s="133">
        <v>525.52700000000004</v>
      </c>
      <c r="W54" s="133">
        <v>1663.2940000000001</v>
      </c>
      <c r="X54" s="164">
        <v>4.06E-4</v>
      </c>
      <c r="Y54" s="137">
        <v>6.4349553869695996E-3</v>
      </c>
      <c r="Z54" s="137">
        <v>8.4877111148167796E-4</v>
      </c>
    </row>
    <row r="55" spans="1:26">
      <c r="A55">
        <v>161</v>
      </c>
      <c r="B55">
        <v>9943</v>
      </c>
      <c r="C55" t="s">
        <v>554</v>
      </c>
      <c r="D55" t="s">
        <v>555</v>
      </c>
      <c r="E55" t="s">
        <v>402</v>
      </c>
      <c r="F55" t="s">
        <v>556</v>
      </c>
      <c r="G55">
        <v>27970043</v>
      </c>
      <c r="H55" t="s">
        <v>220</v>
      </c>
      <c r="I55" t="s">
        <v>340</v>
      </c>
      <c r="J55" t="s">
        <v>363</v>
      </c>
      <c r="K55" t="s">
        <v>68</v>
      </c>
      <c r="L55" t="s">
        <v>264</v>
      </c>
      <c r="M55" t="s">
        <v>69</v>
      </c>
      <c r="N55" t="s">
        <v>69</v>
      </c>
      <c r="O55" t="s">
        <v>51</v>
      </c>
      <c r="P55" s="141" t="s">
        <v>557</v>
      </c>
      <c r="Q55" t="s">
        <v>72</v>
      </c>
      <c r="R55" t="s">
        <v>344</v>
      </c>
      <c r="S55" t="s">
        <v>245</v>
      </c>
      <c r="T55" s="141" t="s">
        <v>466</v>
      </c>
      <c r="U55" s="135">
        <v>3.165</v>
      </c>
      <c r="V55" s="133">
        <v>618.673</v>
      </c>
      <c r="W55" s="133">
        <v>1958.1</v>
      </c>
      <c r="X55" s="164">
        <v>7.8600000000000002E-4</v>
      </c>
      <c r="Y55" s="137">
        <v>7.5755033171129096E-3</v>
      </c>
      <c r="Z55" s="137">
        <v>9.9920947136932208E-4</v>
      </c>
    </row>
    <row r="56" spans="1:26">
      <c r="A56">
        <v>161</v>
      </c>
      <c r="B56">
        <v>9943</v>
      </c>
      <c r="C56" t="s">
        <v>558</v>
      </c>
      <c r="D56" t="s">
        <v>559</v>
      </c>
      <c r="E56" t="s">
        <v>146</v>
      </c>
      <c r="F56" t="s">
        <v>560</v>
      </c>
      <c r="G56">
        <v>27970042</v>
      </c>
      <c r="H56" t="s">
        <v>220</v>
      </c>
      <c r="I56" t="s">
        <v>340</v>
      </c>
      <c r="J56" t="s">
        <v>363</v>
      </c>
      <c r="K56" t="s">
        <v>68</v>
      </c>
      <c r="L56" t="s">
        <v>69</v>
      </c>
      <c r="M56" t="s">
        <v>69</v>
      </c>
      <c r="N56" t="s">
        <v>69</v>
      </c>
      <c r="O56" t="s">
        <v>51</v>
      </c>
      <c r="P56" s="141" t="s">
        <v>561</v>
      </c>
      <c r="Q56" t="s">
        <v>72</v>
      </c>
      <c r="R56" t="s">
        <v>344</v>
      </c>
      <c r="S56" t="s">
        <v>133</v>
      </c>
      <c r="T56" s="141" t="s">
        <v>562</v>
      </c>
      <c r="U56" s="135">
        <v>3.165</v>
      </c>
      <c r="V56" s="133">
        <v>1111.415</v>
      </c>
      <c r="W56" s="133">
        <v>3517.6289999999999</v>
      </c>
      <c r="X56" s="164">
        <v>9.7999999999999997E-5</v>
      </c>
      <c r="Y56" s="137">
        <v>1.3609013034801901E-2</v>
      </c>
      <c r="Z56" s="137">
        <v>1.7950298681335701E-3</v>
      </c>
    </row>
    <row r="57" spans="1:26">
      <c r="A57">
        <v>161</v>
      </c>
      <c r="B57">
        <v>9943</v>
      </c>
      <c r="C57" t="s">
        <v>563</v>
      </c>
      <c r="D57" t="s">
        <v>564</v>
      </c>
      <c r="E57" t="s">
        <v>146</v>
      </c>
      <c r="F57" t="s">
        <v>565</v>
      </c>
      <c r="G57">
        <v>27970032</v>
      </c>
      <c r="H57" t="s">
        <v>220</v>
      </c>
      <c r="I57" t="s">
        <v>340</v>
      </c>
      <c r="J57" t="s">
        <v>566</v>
      </c>
      <c r="K57" t="s">
        <v>68</v>
      </c>
      <c r="L57" t="s">
        <v>342</v>
      </c>
      <c r="M57" t="s">
        <v>69</v>
      </c>
      <c r="N57" t="s">
        <v>69</v>
      </c>
      <c r="O57" t="s">
        <v>51</v>
      </c>
      <c r="P57" s="141" t="s">
        <v>567</v>
      </c>
      <c r="Q57" t="s">
        <v>72</v>
      </c>
      <c r="R57" t="s">
        <v>344</v>
      </c>
      <c r="S57" t="s">
        <v>133</v>
      </c>
      <c r="T57" s="141" t="s">
        <v>134</v>
      </c>
      <c r="U57" s="135">
        <v>3.165</v>
      </c>
      <c r="V57" s="133">
        <v>2064.607</v>
      </c>
      <c r="W57" s="133">
        <v>6534.48</v>
      </c>
      <c r="X57" s="164">
        <v>7.0000000000000001E-3</v>
      </c>
      <c r="Y57" s="137">
        <v>2.52806155352042E-2</v>
      </c>
      <c r="Z57" s="137">
        <v>3.3345151374641001E-3</v>
      </c>
    </row>
    <row r="58" spans="1:26">
      <c r="A58">
        <v>161</v>
      </c>
      <c r="B58">
        <v>9943</v>
      </c>
      <c r="C58" t="s">
        <v>568</v>
      </c>
      <c r="D58" t="s">
        <v>569</v>
      </c>
      <c r="E58" t="s">
        <v>402</v>
      </c>
      <c r="F58" t="s">
        <v>570</v>
      </c>
      <c r="G58">
        <v>27970020</v>
      </c>
      <c r="H58" t="s">
        <v>220</v>
      </c>
      <c r="I58" t="s">
        <v>498</v>
      </c>
      <c r="J58" t="s">
        <v>571</v>
      </c>
      <c r="K58" t="s">
        <v>68</v>
      </c>
      <c r="L58" t="s">
        <v>342</v>
      </c>
      <c r="M58" t="s">
        <v>69</v>
      </c>
      <c r="N58" t="s">
        <v>69</v>
      </c>
      <c r="O58" t="s">
        <v>51</v>
      </c>
      <c r="P58" s="141" t="s">
        <v>572</v>
      </c>
      <c r="Q58" t="s">
        <v>72</v>
      </c>
      <c r="R58" t="s">
        <v>344</v>
      </c>
      <c r="S58" t="s">
        <v>133</v>
      </c>
      <c r="T58" s="141" t="s">
        <v>134</v>
      </c>
      <c r="U58" s="135">
        <v>3.165</v>
      </c>
      <c r="V58" s="133">
        <v>164.25899999999999</v>
      </c>
      <c r="W58" s="133">
        <v>519.88</v>
      </c>
      <c r="X58" s="164">
        <v>2.5000000000000001E-3</v>
      </c>
      <c r="Y58" s="137">
        <v>2.01131227541149E-3</v>
      </c>
      <c r="Z58" s="137">
        <v>2.6529224413810397E-4</v>
      </c>
    </row>
    <row r="59" spans="1:26">
      <c r="A59">
        <v>161</v>
      </c>
      <c r="B59">
        <v>9943</v>
      </c>
      <c r="C59" t="s">
        <v>573</v>
      </c>
      <c r="D59" t="s">
        <v>574</v>
      </c>
      <c r="E59" t="s">
        <v>41</v>
      </c>
      <c r="F59" t="s">
        <v>575</v>
      </c>
      <c r="G59">
        <v>62012539</v>
      </c>
      <c r="H59" t="s">
        <v>220</v>
      </c>
      <c r="I59" t="s">
        <v>392</v>
      </c>
      <c r="J59" t="s">
        <v>393</v>
      </c>
      <c r="K59" t="s">
        <v>68</v>
      </c>
      <c r="L59" t="s">
        <v>342</v>
      </c>
      <c r="M59" t="s">
        <v>69</v>
      </c>
      <c r="N59" t="s">
        <v>69</v>
      </c>
      <c r="O59" t="s">
        <v>51</v>
      </c>
      <c r="P59" s="141" t="s">
        <v>576</v>
      </c>
      <c r="Q59" t="s">
        <v>72</v>
      </c>
      <c r="R59" t="s">
        <v>365</v>
      </c>
      <c r="S59" t="s">
        <v>133</v>
      </c>
      <c r="T59" s="141" t="s">
        <v>134</v>
      </c>
      <c r="U59" s="135">
        <v>3.165</v>
      </c>
      <c r="V59" s="133">
        <v>1048.2529999999999</v>
      </c>
      <c r="W59" s="133">
        <v>3317.7220000000002</v>
      </c>
      <c r="X59" s="164">
        <v>1.0800000000000001E-2</v>
      </c>
      <c r="Y59" s="137">
        <v>1.2835612850205E-2</v>
      </c>
      <c r="Z59" s="137">
        <v>1.69301832417948E-3</v>
      </c>
    </row>
    <row r="60" spans="1:26">
      <c r="A60">
        <v>161</v>
      </c>
      <c r="B60">
        <v>9943</v>
      </c>
      <c r="C60" t="s">
        <v>577</v>
      </c>
      <c r="D60" t="s">
        <v>578</v>
      </c>
      <c r="E60" t="s">
        <v>402</v>
      </c>
      <c r="F60" t="s">
        <v>579</v>
      </c>
      <c r="G60">
        <v>62012828</v>
      </c>
      <c r="H60" t="s">
        <v>220</v>
      </c>
      <c r="I60" t="s">
        <v>340</v>
      </c>
      <c r="J60" t="s">
        <v>399</v>
      </c>
      <c r="K60" t="s">
        <v>68</v>
      </c>
      <c r="L60" t="s">
        <v>342</v>
      </c>
      <c r="M60" t="s">
        <v>69</v>
      </c>
      <c r="N60" t="s">
        <v>69</v>
      </c>
      <c r="O60" t="s">
        <v>51</v>
      </c>
      <c r="P60" s="141" t="s">
        <v>580</v>
      </c>
      <c r="Q60" t="s">
        <v>72</v>
      </c>
      <c r="R60" t="s">
        <v>365</v>
      </c>
      <c r="S60" t="s">
        <v>133</v>
      </c>
      <c r="T60" s="141" t="s">
        <v>134</v>
      </c>
      <c r="U60" s="135">
        <v>3.165</v>
      </c>
      <c r="V60" s="133">
        <v>2192.2550000000001</v>
      </c>
      <c r="W60" s="133">
        <v>6938.4880000000003</v>
      </c>
      <c r="X60" s="164">
        <v>1.769E-3</v>
      </c>
      <c r="Y60" s="137">
        <v>2.6843641834707999E-2</v>
      </c>
      <c r="Z60" s="137">
        <v>3.5406784268306899E-3</v>
      </c>
    </row>
    <row r="61" spans="1:26">
      <c r="A61">
        <v>161</v>
      </c>
      <c r="B61">
        <v>9943</v>
      </c>
      <c r="C61" t="s">
        <v>581</v>
      </c>
      <c r="D61" t="s">
        <v>582</v>
      </c>
      <c r="E61" t="s">
        <v>146</v>
      </c>
      <c r="F61" t="s">
        <v>583</v>
      </c>
      <c r="G61">
        <v>27970025</v>
      </c>
      <c r="H61" t="s">
        <v>220</v>
      </c>
      <c r="I61" t="s">
        <v>340</v>
      </c>
      <c r="J61" t="s">
        <v>341</v>
      </c>
      <c r="K61" t="s">
        <v>68</v>
      </c>
      <c r="L61" t="s">
        <v>69</v>
      </c>
      <c r="M61" t="s">
        <v>342</v>
      </c>
      <c r="N61" t="s">
        <v>69</v>
      </c>
      <c r="O61" t="s">
        <v>51</v>
      </c>
      <c r="P61" s="141" t="s">
        <v>584</v>
      </c>
      <c r="Q61" t="s">
        <v>72</v>
      </c>
      <c r="R61" t="s">
        <v>344</v>
      </c>
      <c r="S61" t="s">
        <v>133</v>
      </c>
      <c r="T61" s="141" t="s">
        <v>585</v>
      </c>
      <c r="U61" s="135">
        <v>3.165</v>
      </c>
      <c r="V61" s="133">
        <v>269.83800000000002</v>
      </c>
      <c r="W61" s="133">
        <v>854.03700000000003</v>
      </c>
      <c r="X61" s="164">
        <v>0</v>
      </c>
      <c r="Y61" s="137">
        <v>3.30410194736656E-3</v>
      </c>
      <c r="Z61" s="137">
        <v>4.3581130150395302E-4</v>
      </c>
    </row>
    <row r="62" spans="1:26">
      <c r="A62">
        <v>161</v>
      </c>
      <c r="B62">
        <v>9943</v>
      </c>
      <c r="C62" t="s">
        <v>586</v>
      </c>
      <c r="D62" t="s">
        <v>587</v>
      </c>
      <c r="E62" t="s">
        <v>146</v>
      </c>
      <c r="F62" t="s">
        <v>588</v>
      </c>
      <c r="G62">
        <v>27970005</v>
      </c>
      <c r="H62" t="s">
        <v>220</v>
      </c>
      <c r="I62" t="s">
        <v>340</v>
      </c>
      <c r="J62" t="s">
        <v>349</v>
      </c>
      <c r="K62" t="s">
        <v>68</v>
      </c>
      <c r="L62" t="s">
        <v>69</v>
      </c>
      <c r="M62" t="s">
        <v>69</v>
      </c>
      <c r="N62" t="s">
        <v>264</v>
      </c>
      <c r="O62" t="s">
        <v>51</v>
      </c>
      <c r="P62" s="141" t="s">
        <v>589</v>
      </c>
      <c r="Q62" t="s">
        <v>72</v>
      </c>
      <c r="R62" t="s">
        <v>344</v>
      </c>
      <c r="S62" t="s">
        <v>245</v>
      </c>
      <c r="T62" s="141" t="s">
        <v>267</v>
      </c>
      <c r="U62" s="135">
        <v>3.165</v>
      </c>
      <c r="V62" s="133">
        <v>2295.6680000000001</v>
      </c>
      <c r="W62" s="133">
        <v>7265.7889999999998</v>
      </c>
      <c r="X62" s="164">
        <v>3.163E-3</v>
      </c>
      <c r="Y62" s="137">
        <v>2.8109904861289201E-2</v>
      </c>
      <c r="Z62" s="137">
        <v>3.7076986176273201E-3</v>
      </c>
    </row>
    <row r="63" spans="1:26">
      <c r="A63">
        <v>161</v>
      </c>
      <c r="B63">
        <v>9943</v>
      </c>
      <c r="C63" t="s">
        <v>590</v>
      </c>
      <c r="D63" t="s">
        <v>591</v>
      </c>
      <c r="E63" t="s">
        <v>146</v>
      </c>
      <c r="F63" t="s">
        <v>592</v>
      </c>
      <c r="G63">
        <v>62007695</v>
      </c>
      <c r="H63" t="s">
        <v>220</v>
      </c>
      <c r="I63" t="s">
        <v>340</v>
      </c>
      <c r="J63" t="s">
        <v>363</v>
      </c>
      <c r="K63" t="s">
        <v>68</v>
      </c>
      <c r="L63" t="s">
        <v>463</v>
      </c>
      <c r="M63" t="s">
        <v>463</v>
      </c>
      <c r="N63" t="s">
        <v>264</v>
      </c>
      <c r="O63" t="s">
        <v>51</v>
      </c>
      <c r="P63" s="141" t="s">
        <v>593</v>
      </c>
      <c r="Q63" t="s">
        <v>395</v>
      </c>
      <c r="R63" t="s">
        <v>365</v>
      </c>
      <c r="S63" t="s">
        <v>133</v>
      </c>
      <c r="T63" s="141" t="s">
        <v>439</v>
      </c>
      <c r="U63" s="135">
        <v>3.6360000000000001</v>
      </c>
      <c r="V63" s="133">
        <v>501.81099999999998</v>
      </c>
      <c r="W63" s="133">
        <v>1824.586</v>
      </c>
      <c r="X63" s="164">
        <v>1.1199999999999999E-3</v>
      </c>
      <c r="Y63" s="137">
        <v>7.0589653014132298E-3</v>
      </c>
      <c r="Z63" s="137">
        <v>9.3107806728907905E-4</v>
      </c>
    </row>
    <row r="64" spans="1:26">
      <c r="A64">
        <v>161</v>
      </c>
      <c r="B64">
        <v>9943</v>
      </c>
      <c r="C64" t="s">
        <v>594</v>
      </c>
      <c r="D64" t="s">
        <v>591</v>
      </c>
      <c r="E64" t="s">
        <v>146</v>
      </c>
      <c r="F64" t="s">
        <v>595</v>
      </c>
      <c r="G64">
        <v>62011416</v>
      </c>
      <c r="H64" t="s">
        <v>220</v>
      </c>
      <c r="I64" t="s">
        <v>340</v>
      </c>
      <c r="J64" t="s">
        <v>363</v>
      </c>
      <c r="K64" t="s">
        <v>68</v>
      </c>
      <c r="L64" t="s">
        <v>69</v>
      </c>
      <c r="M64" t="s">
        <v>69</v>
      </c>
      <c r="N64" t="s">
        <v>69</v>
      </c>
      <c r="O64" t="s">
        <v>51</v>
      </c>
      <c r="P64" s="141" t="s">
        <v>596</v>
      </c>
      <c r="Q64" t="s">
        <v>72</v>
      </c>
      <c r="R64" t="s">
        <v>365</v>
      </c>
      <c r="S64" t="s">
        <v>133</v>
      </c>
      <c r="T64" s="141" t="s">
        <v>418</v>
      </c>
      <c r="U64" s="135">
        <v>3.165</v>
      </c>
      <c r="V64" s="133">
        <v>354.79300000000001</v>
      </c>
      <c r="W64" s="133">
        <v>1122.92</v>
      </c>
      <c r="X64" s="164">
        <v>4.9399999999999997E-4</v>
      </c>
      <c r="Y64" s="137">
        <v>4.3443577967292304E-3</v>
      </c>
      <c r="Z64" s="137">
        <v>5.7302112820714396E-4</v>
      </c>
    </row>
    <row r="65" spans="1:26">
      <c r="A65">
        <v>161</v>
      </c>
      <c r="B65">
        <v>9943</v>
      </c>
      <c r="C65" t="s">
        <v>597</v>
      </c>
      <c r="D65" t="s">
        <v>598</v>
      </c>
      <c r="E65" t="s">
        <v>402</v>
      </c>
      <c r="F65" t="s">
        <v>599</v>
      </c>
      <c r="G65">
        <v>27970036</v>
      </c>
      <c r="H65" t="s">
        <v>220</v>
      </c>
      <c r="I65" t="s">
        <v>340</v>
      </c>
      <c r="J65" t="s">
        <v>363</v>
      </c>
      <c r="K65" t="s">
        <v>68</v>
      </c>
      <c r="L65" t="s">
        <v>69</v>
      </c>
      <c r="M65" t="s">
        <v>69</v>
      </c>
      <c r="N65" t="s">
        <v>69</v>
      </c>
      <c r="O65" t="s">
        <v>51</v>
      </c>
      <c r="P65" s="141" t="s">
        <v>600</v>
      </c>
      <c r="Q65" t="s">
        <v>72</v>
      </c>
      <c r="R65" t="s">
        <v>344</v>
      </c>
      <c r="S65" t="s">
        <v>133</v>
      </c>
      <c r="T65" s="141" t="s">
        <v>134</v>
      </c>
      <c r="U65" s="135">
        <v>3.165</v>
      </c>
      <c r="V65" s="133">
        <v>559.58000000000004</v>
      </c>
      <c r="W65" s="133">
        <v>1771.0719999999999</v>
      </c>
      <c r="X65" s="164">
        <v>1.9900000000000001E-4</v>
      </c>
      <c r="Y65" s="137">
        <v>6.8519275211134101E-3</v>
      </c>
      <c r="Z65" s="137">
        <v>9.0376976811118296E-4</v>
      </c>
    </row>
    <row r="66" spans="1:26">
      <c r="A66">
        <v>161</v>
      </c>
      <c r="B66">
        <v>9943</v>
      </c>
      <c r="C66" t="s">
        <v>601</v>
      </c>
      <c r="D66" t="s">
        <v>602</v>
      </c>
      <c r="E66" t="s">
        <v>402</v>
      </c>
      <c r="F66" t="s">
        <v>603</v>
      </c>
      <c r="G66">
        <v>27970021</v>
      </c>
      <c r="H66" t="s">
        <v>220</v>
      </c>
      <c r="I66" t="s">
        <v>340</v>
      </c>
      <c r="J66" t="s">
        <v>393</v>
      </c>
      <c r="K66" t="s">
        <v>68</v>
      </c>
      <c r="L66" t="s">
        <v>69</v>
      </c>
      <c r="M66" t="s">
        <v>69</v>
      </c>
      <c r="N66" t="s">
        <v>69</v>
      </c>
      <c r="O66" t="s">
        <v>51</v>
      </c>
      <c r="P66" s="141" t="s">
        <v>604</v>
      </c>
      <c r="Q66" t="s">
        <v>72</v>
      </c>
      <c r="R66" t="s">
        <v>344</v>
      </c>
      <c r="S66" t="s">
        <v>133</v>
      </c>
      <c r="T66" s="141" t="s">
        <v>605</v>
      </c>
      <c r="U66" s="135">
        <v>3.165</v>
      </c>
      <c r="V66" s="133">
        <v>307.64699999999999</v>
      </c>
      <c r="W66" s="133">
        <v>973.70399999999995</v>
      </c>
      <c r="X66" s="164">
        <v>0</v>
      </c>
      <c r="Y66" s="137">
        <v>3.7670678074699102E-3</v>
      </c>
      <c r="Z66" s="137">
        <v>4.9687653413224596E-4</v>
      </c>
    </row>
    <row r="67" spans="1:26">
      <c r="A67">
        <v>161</v>
      </c>
      <c r="B67">
        <v>9943</v>
      </c>
      <c r="C67" t="s">
        <v>606</v>
      </c>
      <c r="D67" t="s">
        <v>607</v>
      </c>
      <c r="E67" t="s">
        <v>402</v>
      </c>
      <c r="F67" t="s">
        <v>608</v>
      </c>
      <c r="G67">
        <v>62007091</v>
      </c>
      <c r="H67" t="s">
        <v>220</v>
      </c>
      <c r="I67" t="s">
        <v>340</v>
      </c>
      <c r="J67" t="s">
        <v>422</v>
      </c>
      <c r="K67" t="s">
        <v>68</v>
      </c>
      <c r="L67" t="s">
        <v>463</v>
      </c>
      <c r="M67" t="s">
        <v>464</v>
      </c>
      <c r="N67" t="s">
        <v>69</v>
      </c>
      <c r="O67" t="s">
        <v>51</v>
      </c>
      <c r="P67" s="141" t="s">
        <v>609</v>
      </c>
      <c r="Q67" t="s">
        <v>72</v>
      </c>
      <c r="R67" t="s">
        <v>344</v>
      </c>
      <c r="S67" t="s">
        <v>245</v>
      </c>
      <c r="T67" s="141" t="s">
        <v>610</v>
      </c>
      <c r="U67" s="135">
        <v>3.165</v>
      </c>
      <c r="V67" s="133">
        <v>2837.0479999999998</v>
      </c>
      <c r="W67" s="133">
        <v>8979.2559999999994</v>
      </c>
      <c r="X67" s="164">
        <v>8.5599999999999999E-4</v>
      </c>
      <c r="Y67" s="137">
        <v>3.4738972115005998E-2</v>
      </c>
      <c r="Z67" s="137">
        <v>4.5820730992930997E-3</v>
      </c>
    </row>
    <row r="68" spans="1:26">
      <c r="A68">
        <v>161</v>
      </c>
      <c r="B68">
        <v>9943</v>
      </c>
      <c r="C68" t="s">
        <v>611</v>
      </c>
      <c r="D68" t="s">
        <v>612</v>
      </c>
      <c r="E68" t="s">
        <v>402</v>
      </c>
      <c r="F68" t="s">
        <v>611</v>
      </c>
      <c r="G68">
        <v>27970044</v>
      </c>
      <c r="H68" t="s">
        <v>220</v>
      </c>
      <c r="I68" t="s">
        <v>340</v>
      </c>
      <c r="J68" t="s">
        <v>363</v>
      </c>
      <c r="K68" t="s">
        <v>68</v>
      </c>
      <c r="L68" t="s">
        <v>69</v>
      </c>
      <c r="M68" t="s">
        <v>464</v>
      </c>
      <c r="N68" t="s">
        <v>463</v>
      </c>
      <c r="O68" t="s">
        <v>51</v>
      </c>
      <c r="P68" s="141" t="s">
        <v>613</v>
      </c>
      <c r="Q68" t="s">
        <v>72</v>
      </c>
      <c r="R68" t="s">
        <v>344</v>
      </c>
      <c r="S68" t="s">
        <v>245</v>
      </c>
      <c r="T68" s="141" t="s">
        <v>134</v>
      </c>
      <c r="U68" s="135">
        <v>3.165</v>
      </c>
      <c r="V68" s="133">
        <v>1308.6489999999999</v>
      </c>
      <c r="W68" s="133">
        <v>4141.8729999999996</v>
      </c>
      <c r="X68" s="164">
        <v>6.4800000000000003E-4</v>
      </c>
      <c r="Y68" s="137">
        <v>1.6024091188355401E-2</v>
      </c>
      <c r="Z68" s="137">
        <v>2.1135788627167401E-3</v>
      </c>
    </row>
    <row r="69" spans="1:26">
      <c r="A69">
        <v>161</v>
      </c>
      <c r="B69">
        <v>9943</v>
      </c>
      <c r="C69" t="s">
        <v>614</v>
      </c>
      <c r="D69" t="s">
        <v>615</v>
      </c>
      <c r="E69" t="s">
        <v>41</v>
      </c>
      <c r="F69" t="s">
        <v>616</v>
      </c>
      <c r="G69">
        <v>27970022</v>
      </c>
      <c r="H69" t="s">
        <v>220</v>
      </c>
      <c r="I69" t="s">
        <v>340</v>
      </c>
      <c r="J69" t="s">
        <v>341</v>
      </c>
      <c r="K69" t="s">
        <v>45</v>
      </c>
      <c r="L69" t="s">
        <v>69</v>
      </c>
      <c r="M69" t="s">
        <v>45</v>
      </c>
      <c r="N69" t="s">
        <v>264</v>
      </c>
      <c r="O69" t="s">
        <v>51</v>
      </c>
      <c r="P69" s="141" t="s">
        <v>617</v>
      </c>
      <c r="Q69" t="s">
        <v>72</v>
      </c>
      <c r="R69" t="s">
        <v>344</v>
      </c>
      <c r="S69" t="s">
        <v>133</v>
      </c>
      <c r="T69" s="141" t="s">
        <v>134</v>
      </c>
      <c r="U69" s="135">
        <v>3.165</v>
      </c>
      <c r="V69" s="133">
        <v>258</v>
      </c>
      <c r="W69" s="133">
        <v>816.57100000000003</v>
      </c>
      <c r="X69" s="164">
        <v>0</v>
      </c>
      <c r="Y69" s="137">
        <v>3.1591528691187801E-3</v>
      </c>
      <c r="Z69" s="137">
        <v>4.1669250691188202E-4</v>
      </c>
    </row>
    <row r="70" spans="1:26">
      <c r="A70">
        <v>161</v>
      </c>
      <c r="B70">
        <v>9943</v>
      </c>
      <c r="C70" t="s">
        <v>618</v>
      </c>
      <c r="D70" t="s">
        <v>619</v>
      </c>
      <c r="E70" t="s">
        <v>146</v>
      </c>
      <c r="F70" t="s">
        <v>620</v>
      </c>
      <c r="G70">
        <v>27970037</v>
      </c>
      <c r="H70" t="s">
        <v>220</v>
      </c>
      <c r="I70" t="s">
        <v>392</v>
      </c>
      <c r="J70" t="s">
        <v>393</v>
      </c>
      <c r="K70" t="s">
        <v>68</v>
      </c>
      <c r="L70" t="s">
        <v>464</v>
      </c>
      <c r="M70" t="s">
        <v>351</v>
      </c>
      <c r="N70" t="s">
        <v>351</v>
      </c>
      <c r="O70" t="s">
        <v>51</v>
      </c>
      <c r="P70" s="141" t="s">
        <v>621</v>
      </c>
      <c r="Q70" t="s">
        <v>622</v>
      </c>
      <c r="R70" t="s">
        <v>344</v>
      </c>
      <c r="S70" t="s">
        <v>133</v>
      </c>
      <c r="T70" s="141" t="s">
        <v>134</v>
      </c>
      <c r="U70" s="135">
        <v>4.1872999999999996</v>
      </c>
      <c r="V70" s="133">
        <v>255.708</v>
      </c>
      <c r="W70" s="133">
        <v>1070.7249999999999</v>
      </c>
      <c r="X70" s="164">
        <v>7.5000000000000002E-4</v>
      </c>
      <c r="Y70" s="137">
        <v>4.1424254926497603E-3</v>
      </c>
      <c r="Z70" s="137">
        <v>5.4638624173619101E-4</v>
      </c>
    </row>
    <row r="71" spans="1:26">
      <c r="A71">
        <v>161</v>
      </c>
      <c r="B71">
        <v>9943</v>
      </c>
      <c r="C71" t="s">
        <v>623</v>
      </c>
      <c r="D71" t="s">
        <v>624</v>
      </c>
      <c r="E71" t="s">
        <v>402</v>
      </c>
      <c r="F71" t="s">
        <v>625</v>
      </c>
      <c r="G71">
        <v>27970030</v>
      </c>
      <c r="H71" t="s">
        <v>220</v>
      </c>
      <c r="I71" t="s">
        <v>340</v>
      </c>
      <c r="J71" t="s">
        <v>341</v>
      </c>
      <c r="K71" t="s">
        <v>68</v>
      </c>
      <c r="L71" t="s">
        <v>463</v>
      </c>
      <c r="M71" t="s">
        <v>463</v>
      </c>
      <c r="N71" t="s">
        <v>351</v>
      </c>
      <c r="O71" t="s">
        <v>51</v>
      </c>
      <c r="P71" s="141" t="s">
        <v>626</v>
      </c>
      <c r="Q71" t="s">
        <v>395</v>
      </c>
      <c r="R71" t="s">
        <v>344</v>
      </c>
      <c r="S71" t="s">
        <v>133</v>
      </c>
      <c r="T71" s="141" t="s">
        <v>627</v>
      </c>
      <c r="U71" s="135">
        <v>3.6360000000000001</v>
      </c>
      <c r="V71" s="133">
        <v>147.19200000000001</v>
      </c>
      <c r="W71" s="133">
        <v>535.19000000000005</v>
      </c>
      <c r="X71" s="164">
        <v>3.2200000000000002E-4</v>
      </c>
      <c r="Y71" s="137">
        <v>2.0705438037840898E-3</v>
      </c>
      <c r="Z71" s="137">
        <v>2.7310488729540998E-4</v>
      </c>
    </row>
    <row r="72" spans="1:26">
      <c r="A72">
        <v>161</v>
      </c>
      <c r="B72">
        <v>9943</v>
      </c>
      <c r="C72" t="s">
        <v>419</v>
      </c>
      <c r="D72" t="s">
        <v>420</v>
      </c>
      <c r="E72" t="s">
        <v>402</v>
      </c>
      <c r="F72" t="s">
        <v>628</v>
      </c>
      <c r="G72">
        <v>27970004</v>
      </c>
      <c r="H72" t="s">
        <v>220</v>
      </c>
      <c r="I72" t="s">
        <v>340</v>
      </c>
      <c r="J72" t="s">
        <v>422</v>
      </c>
      <c r="K72" t="s">
        <v>68</v>
      </c>
      <c r="L72" t="s">
        <v>69</v>
      </c>
      <c r="M72" t="s">
        <v>45</v>
      </c>
      <c r="N72" t="s">
        <v>69</v>
      </c>
      <c r="O72" t="s">
        <v>51</v>
      </c>
      <c r="P72" s="141" t="s">
        <v>629</v>
      </c>
      <c r="Q72" t="s">
        <v>72</v>
      </c>
      <c r="R72" t="s">
        <v>344</v>
      </c>
      <c r="S72" t="s">
        <v>245</v>
      </c>
      <c r="T72" s="141" t="s">
        <v>630</v>
      </c>
      <c r="U72" s="135">
        <v>3.165</v>
      </c>
      <c r="V72" s="133">
        <v>210.12899999999999</v>
      </c>
      <c r="W72" s="133">
        <v>665.05799999999999</v>
      </c>
      <c r="X72" s="164">
        <v>1.276E-3</v>
      </c>
      <c r="Y72" s="137">
        <v>2.5729785659934601E-3</v>
      </c>
      <c r="Z72" s="137">
        <v>3.3937607115334598E-4</v>
      </c>
    </row>
    <row r="73" spans="1:26">
      <c r="A73">
        <v>161</v>
      </c>
      <c r="B73">
        <v>9943</v>
      </c>
      <c r="C73" t="s">
        <v>419</v>
      </c>
      <c r="D73" t="s">
        <v>420</v>
      </c>
      <c r="E73" t="s">
        <v>402</v>
      </c>
      <c r="F73" t="s">
        <v>631</v>
      </c>
      <c r="G73">
        <v>62007406</v>
      </c>
      <c r="H73" t="s">
        <v>220</v>
      </c>
      <c r="I73" t="s">
        <v>340</v>
      </c>
      <c r="J73" t="s">
        <v>422</v>
      </c>
      <c r="K73" t="s">
        <v>68</v>
      </c>
      <c r="L73" t="s">
        <v>342</v>
      </c>
      <c r="M73" t="s">
        <v>45</v>
      </c>
      <c r="N73" t="s">
        <v>69</v>
      </c>
      <c r="O73" t="s">
        <v>51</v>
      </c>
      <c r="P73" s="141" t="s">
        <v>632</v>
      </c>
      <c r="Q73" t="s">
        <v>72</v>
      </c>
      <c r="R73" t="s">
        <v>344</v>
      </c>
      <c r="S73" t="s">
        <v>245</v>
      </c>
      <c r="T73" s="141" t="s">
        <v>259</v>
      </c>
      <c r="U73" s="135">
        <v>3.165</v>
      </c>
      <c r="V73" s="133">
        <v>494.53199999999998</v>
      </c>
      <c r="W73" s="133">
        <v>1565.194</v>
      </c>
      <c r="X73" s="164">
        <v>1.5659999999999999E-3</v>
      </c>
      <c r="Y73" s="137">
        <v>6.0554263826261799E-3</v>
      </c>
      <c r="Z73" s="137">
        <v>7.9871120655857603E-4</v>
      </c>
    </row>
    <row r="74" spans="1:26">
      <c r="A74">
        <v>161</v>
      </c>
      <c r="B74">
        <v>9943</v>
      </c>
      <c r="C74" t="s">
        <v>633</v>
      </c>
      <c r="D74" t="s">
        <v>507</v>
      </c>
      <c r="E74" t="s">
        <v>146</v>
      </c>
      <c r="F74" t="s">
        <v>634</v>
      </c>
      <c r="G74">
        <v>27970035</v>
      </c>
      <c r="H74" t="s">
        <v>220</v>
      </c>
      <c r="I74" t="s">
        <v>340</v>
      </c>
      <c r="J74" t="s">
        <v>357</v>
      </c>
      <c r="K74" t="s">
        <v>45</v>
      </c>
      <c r="L74" t="s">
        <v>45</v>
      </c>
      <c r="M74" t="s">
        <v>45</v>
      </c>
      <c r="N74" t="s">
        <v>69</v>
      </c>
      <c r="O74" t="s">
        <v>51</v>
      </c>
      <c r="P74" s="141" t="s">
        <v>635</v>
      </c>
      <c r="Q74" t="s">
        <v>72</v>
      </c>
      <c r="R74" t="s">
        <v>344</v>
      </c>
      <c r="S74" t="s">
        <v>245</v>
      </c>
      <c r="T74" s="141" t="s">
        <v>134</v>
      </c>
      <c r="U74" s="135">
        <v>3.165</v>
      </c>
      <c r="V74" s="133">
        <v>103.27200000000001</v>
      </c>
      <c r="W74" s="133">
        <v>326.85700000000003</v>
      </c>
      <c r="X74" s="164">
        <v>5.0299999999999997E-4</v>
      </c>
      <c r="Y74" s="137">
        <v>1.26454525420126E-3</v>
      </c>
      <c r="Z74" s="137">
        <v>1.6679361648733E-4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102</v>
      </c>
      <c r="Q1" s="14" t="s">
        <v>30</v>
      </c>
      <c r="R1" s="14" t="s">
        <v>114</v>
      </c>
      <c r="S1" s="14" t="s">
        <v>115</v>
      </c>
      <c r="T1" s="14" t="s">
        <v>117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61</v>
      </c>
      <c r="N1" s="14" t="s">
        <v>28</v>
      </c>
      <c r="O1" s="14" t="s">
        <v>29</v>
      </c>
      <c r="P1" s="14" t="s">
        <v>102</v>
      </c>
      <c r="Q1" s="14" t="s">
        <v>30</v>
      </c>
      <c r="R1" s="14" t="s">
        <v>114</v>
      </c>
      <c r="S1" s="14" t="s">
        <v>115</v>
      </c>
      <c r="T1" s="14" t="s">
        <v>117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9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60</v>
      </c>
      <c r="D1" s="14" t="s">
        <v>636</v>
      </c>
      <c r="E1" s="14" t="s">
        <v>637</v>
      </c>
      <c r="F1" s="138" t="s">
        <v>638</v>
      </c>
      <c r="G1" s="14" t="s">
        <v>639</v>
      </c>
      <c r="H1" s="14" t="s">
        <v>640</v>
      </c>
      <c r="I1" s="136" t="s">
        <v>641</v>
      </c>
      <c r="J1" s="136" t="s">
        <v>642</v>
      </c>
      <c r="K1" s="14" t="s">
        <v>643</v>
      </c>
      <c r="L1" s="14" t="s">
        <v>644</v>
      </c>
      <c r="M1" s="138" t="s">
        <v>645</v>
      </c>
      <c r="N1" s="14" t="s">
        <v>646</v>
      </c>
      <c r="O1" s="14" t="s">
        <v>647</v>
      </c>
      <c r="P1" s="136" t="s">
        <v>648</v>
      </c>
      <c r="Q1" s="136" t="s">
        <v>649</v>
      </c>
      <c r="R1" s="14" t="s">
        <v>650</v>
      </c>
      <c r="S1" s="14" t="s">
        <v>22</v>
      </c>
      <c r="T1" s="14" t="s">
        <v>23</v>
      </c>
      <c r="U1" s="14" t="s">
        <v>651</v>
      </c>
      <c r="V1" s="14" t="s">
        <v>652</v>
      </c>
      <c r="W1" s="14" t="s">
        <v>653</v>
      </c>
      <c r="X1" s="14" t="s">
        <v>67</v>
      </c>
      <c r="Y1" s="14" t="s">
        <v>29</v>
      </c>
      <c r="Z1" s="14" t="s">
        <v>654</v>
      </c>
      <c r="AA1" s="14" t="s">
        <v>655</v>
      </c>
      <c r="AB1" s="14" t="s">
        <v>656</v>
      </c>
      <c r="AC1" s="14" t="s">
        <v>657</v>
      </c>
      <c r="AD1" s="14" t="s">
        <v>658</v>
      </c>
      <c r="AE1" s="14" t="s">
        <v>659</v>
      </c>
      <c r="AF1" s="14" t="s">
        <v>111</v>
      </c>
      <c r="AG1" s="14" t="s">
        <v>660</v>
      </c>
      <c r="AH1" s="14" t="s">
        <v>661</v>
      </c>
      <c r="AI1" s="14" t="s">
        <v>662</v>
      </c>
      <c r="AJ1" s="14" t="s">
        <v>663</v>
      </c>
      <c r="AK1" s="14" t="s">
        <v>664</v>
      </c>
      <c r="AL1" s="14" t="s">
        <v>665</v>
      </c>
      <c r="AM1" s="14" t="s">
        <v>666</v>
      </c>
      <c r="AN1" s="136" t="s">
        <v>37</v>
      </c>
      <c r="AO1" s="136" t="s">
        <v>38</v>
      </c>
    </row>
    <row r="2" spans="1:41">
      <c r="A2" t="s">
        <v>667</v>
      </c>
      <c r="B2" t="s">
        <v>668</v>
      </c>
      <c r="C2" t="s">
        <v>669</v>
      </c>
      <c r="D2" t="s">
        <v>670</v>
      </c>
      <c r="E2" t="s">
        <v>395</v>
      </c>
      <c r="F2" s="139">
        <v>3.6360000000000001</v>
      </c>
      <c r="G2" s="133">
        <v>-125000</v>
      </c>
      <c r="H2" s="133">
        <v>-124.99914191419141</v>
      </c>
      <c r="I2" s="137">
        <v>-2.9399999999999999E-4</v>
      </c>
      <c r="J2" s="137">
        <v>-9.9999999999999995E-7</v>
      </c>
      <c r="K2" t="s">
        <v>670</v>
      </c>
      <c r="L2" t="s">
        <v>52</v>
      </c>
      <c r="M2" s="139">
        <v>1</v>
      </c>
      <c r="N2" s="133">
        <v>466337.5</v>
      </c>
      <c r="O2" s="133">
        <v>466.33749999999998</v>
      </c>
      <c r="P2" s="137">
        <v>5.0000000000000004E-6</v>
      </c>
      <c r="Q2" s="137">
        <v>-3.6600000000000001E-4</v>
      </c>
      <c r="R2" s="133">
        <v>11.840619999999999</v>
      </c>
      <c r="S2" t="s">
        <v>45</v>
      </c>
      <c r="T2" t="s">
        <v>45</v>
      </c>
      <c r="U2" t="s">
        <v>100</v>
      </c>
      <c r="V2" t="s">
        <v>671</v>
      </c>
      <c r="W2" t="s">
        <v>672</v>
      </c>
      <c r="X2" t="s">
        <v>673</v>
      </c>
      <c r="Y2" t="s">
        <v>51</v>
      </c>
      <c r="Z2" t="s">
        <v>527</v>
      </c>
      <c r="AA2" t="s">
        <v>674</v>
      </c>
      <c r="AB2" t="s">
        <v>675</v>
      </c>
      <c r="AC2" t="s">
        <v>676</v>
      </c>
      <c r="AD2" t="s">
        <v>243</v>
      </c>
      <c r="AE2" t="s">
        <v>677</v>
      </c>
      <c r="AF2" t="s">
        <v>675</v>
      </c>
      <c r="AG2" t="s">
        <v>675</v>
      </c>
      <c r="AH2" t="s">
        <v>675</v>
      </c>
      <c r="AI2" s="133">
        <v>3.7149999999999999</v>
      </c>
      <c r="AJ2" t="s">
        <v>678</v>
      </c>
      <c r="AK2" t="s">
        <v>51</v>
      </c>
      <c r="AL2" t="s">
        <v>240</v>
      </c>
      <c r="AM2" t="s">
        <v>679</v>
      </c>
      <c r="AN2" s="137">
        <v>1.2080000000000001E-3</v>
      </c>
      <c r="AO2" s="137">
        <v>0</v>
      </c>
    </row>
    <row r="3" spans="1:41">
      <c r="A3" t="s">
        <v>667</v>
      </c>
      <c r="B3" t="s">
        <v>668</v>
      </c>
      <c r="C3" t="s">
        <v>669</v>
      </c>
      <c r="D3" t="s">
        <v>680</v>
      </c>
      <c r="E3" t="s">
        <v>72</v>
      </c>
      <c r="F3" s="139">
        <v>3.165</v>
      </c>
      <c r="G3" s="133">
        <v>550000</v>
      </c>
      <c r="H3" s="133">
        <v>549.51146919431278</v>
      </c>
      <c r="I3" s="137">
        <v>1.294E-3</v>
      </c>
      <c r="J3" s="137">
        <v>6.0000000000000002E-6</v>
      </c>
      <c r="K3" t="s">
        <v>680</v>
      </c>
      <c r="L3" t="s">
        <v>52</v>
      </c>
      <c r="M3" s="139">
        <v>1</v>
      </c>
      <c r="N3" s="133">
        <v>-1741245</v>
      </c>
      <c r="O3" s="133">
        <v>-1741.2449999999999</v>
      </c>
      <c r="P3" s="137">
        <v>-2.0000000000000002E-5</v>
      </c>
      <c r="Q3" s="137">
        <v>1.366E-3</v>
      </c>
      <c r="R3" s="133">
        <v>-2.0411999999999999</v>
      </c>
      <c r="S3" t="s">
        <v>45</v>
      </c>
      <c r="T3" t="s">
        <v>45</v>
      </c>
      <c r="U3" t="s">
        <v>100</v>
      </c>
      <c r="V3" t="s">
        <v>671</v>
      </c>
      <c r="W3" t="s">
        <v>672</v>
      </c>
      <c r="X3" t="s">
        <v>681</v>
      </c>
      <c r="Y3" t="s">
        <v>51</v>
      </c>
      <c r="Z3" t="s">
        <v>527</v>
      </c>
      <c r="AA3" t="s">
        <v>674</v>
      </c>
      <c r="AB3" t="s">
        <v>675</v>
      </c>
      <c r="AC3" t="s">
        <v>676</v>
      </c>
      <c r="AD3" t="s">
        <v>243</v>
      </c>
      <c r="AE3" t="s">
        <v>677</v>
      </c>
      <c r="AF3" t="s">
        <v>675</v>
      </c>
      <c r="AG3" t="s">
        <v>675</v>
      </c>
      <c r="AH3" t="s">
        <v>675</v>
      </c>
      <c r="AI3" s="133">
        <v>3.1659999999999999</v>
      </c>
      <c r="AJ3" t="s">
        <v>682</v>
      </c>
      <c r="AK3" t="s">
        <v>51</v>
      </c>
      <c r="AL3" t="s">
        <v>240</v>
      </c>
      <c r="AM3" t="s">
        <v>679</v>
      </c>
      <c r="AN3" s="137">
        <v>-2.0799999999999999E-4</v>
      </c>
      <c r="AO3" s="137">
        <v>0</v>
      </c>
    </row>
    <row r="4" spans="1:41">
      <c r="A4" t="s">
        <v>667</v>
      </c>
      <c r="B4" t="s">
        <v>683</v>
      </c>
      <c r="C4" t="s">
        <v>669</v>
      </c>
      <c r="D4" t="s">
        <v>670</v>
      </c>
      <c r="E4" t="s">
        <v>395</v>
      </c>
      <c r="F4" s="139">
        <v>3.6360000000000001</v>
      </c>
      <c r="G4" s="133">
        <v>-110000</v>
      </c>
      <c r="H4" s="133">
        <v>-109.99924367436743</v>
      </c>
      <c r="I4" s="137">
        <v>-1.5300000000000001E-4</v>
      </c>
      <c r="J4" s="137">
        <v>-9.9999999999999995E-7</v>
      </c>
      <c r="K4" t="s">
        <v>670</v>
      </c>
      <c r="L4" t="s">
        <v>52</v>
      </c>
      <c r="M4" s="139">
        <v>1</v>
      </c>
      <c r="N4" s="133">
        <v>410377</v>
      </c>
      <c r="O4" s="133">
        <v>410.37700000000001</v>
      </c>
      <c r="P4" s="137">
        <v>3.9999999999999998E-6</v>
      </c>
      <c r="Q4" s="137">
        <v>-1.85E-4</v>
      </c>
      <c r="R4" s="133">
        <v>10.419750000000001</v>
      </c>
      <c r="S4" t="s">
        <v>45</v>
      </c>
      <c r="T4" t="s">
        <v>45</v>
      </c>
      <c r="U4" t="s">
        <v>100</v>
      </c>
      <c r="V4" t="s">
        <v>671</v>
      </c>
      <c r="W4" t="s">
        <v>672</v>
      </c>
      <c r="X4" t="s">
        <v>673</v>
      </c>
      <c r="Y4" t="s">
        <v>51</v>
      </c>
      <c r="Z4" t="s">
        <v>527</v>
      </c>
      <c r="AA4" t="s">
        <v>674</v>
      </c>
      <c r="AB4" t="s">
        <v>675</v>
      </c>
      <c r="AC4" t="s">
        <v>676</v>
      </c>
      <c r="AD4" t="s">
        <v>243</v>
      </c>
      <c r="AE4" t="s">
        <v>677</v>
      </c>
      <c r="AF4" t="s">
        <v>675</v>
      </c>
      <c r="AG4" t="s">
        <v>675</v>
      </c>
      <c r="AH4" t="s">
        <v>675</v>
      </c>
      <c r="AI4" s="133">
        <v>3.7149999999999999</v>
      </c>
      <c r="AJ4" t="s">
        <v>678</v>
      </c>
      <c r="AK4" t="s">
        <v>51</v>
      </c>
      <c r="AL4" t="s">
        <v>240</v>
      </c>
      <c r="AM4" t="s">
        <v>679</v>
      </c>
      <c r="AN4" s="137">
        <v>1.42E-3</v>
      </c>
      <c r="AO4" s="137">
        <v>0</v>
      </c>
    </row>
    <row r="5" spans="1:41">
      <c r="A5" t="s">
        <v>667</v>
      </c>
      <c r="B5" t="s">
        <v>683</v>
      </c>
      <c r="C5" t="s">
        <v>669</v>
      </c>
      <c r="D5" t="s">
        <v>680</v>
      </c>
      <c r="E5" t="s">
        <v>72</v>
      </c>
      <c r="F5" s="139">
        <v>3.165</v>
      </c>
      <c r="G5" s="133">
        <v>830000</v>
      </c>
      <c r="H5" s="133">
        <v>829.26274881516588</v>
      </c>
      <c r="I5" s="137">
        <v>1.1529999999999999E-3</v>
      </c>
      <c r="J5" s="137">
        <v>7.9999999999999996E-6</v>
      </c>
      <c r="K5" t="s">
        <v>680</v>
      </c>
      <c r="L5" t="s">
        <v>52</v>
      </c>
      <c r="M5" s="139">
        <v>1</v>
      </c>
      <c r="N5" s="133">
        <v>-2627697</v>
      </c>
      <c r="O5" s="133">
        <v>-2627.6970000000001</v>
      </c>
      <c r="P5" s="137">
        <v>-2.6999999999999999E-5</v>
      </c>
      <c r="Q5" s="137">
        <v>1.1850000000000001E-3</v>
      </c>
      <c r="R5" s="133">
        <v>-3.0804</v>
      </c>
      <c r="S5" t="s">
        <v>45</v>
      </c>
      <c r="T5" t="s">
        <v>45</v>
      </c>
      <c r="U5" t="s">
        <v>100</v>
      </c>
      <c r="V5" t="s">
        <v>671</v>
      </c>
      <c r="W5" t="s">
        <v>672</v>
      </c>
      <c r="X5" t="s">
        <v>681</v>
      </c>
      <c r="Y5" t="s">
        <v>51</v>
      </c>
      <c r="Z5" t="s">
        <v>527</v>
      </c>
      <c r="AA5" t="s">
        <v>674</v>
      </c>
      <c r="AB5" t="s">
        <v>675</v>
      </c>
      <c r="AC5" t="s">
        <v>676</v>
      </c>
      <c r="AD5" t="s">
        <v>243</v>
      </c>
      <c r="AE5" t="s">
        <v>677</v>
      </c>
      <c r="AF5" t="s">
        <v>675</v>
      </c>
      <c r="AG5" t="s">
        <v>675</v>
      </c>
      <c r="AH5" t="s">
        <v>675</v>
      </c>
      <c r="AI5" s="133">
        <v>3.1659999999999999</v>
      </c>
      <c r="AJ5" t="s">
        <v>682</v>
      </c>
      <c r="AK5" t="s">
        <v>51</v>
      </c>
      <c r="AL5" t="s">
        <v>240</v>
      </c>
      <c r="AM5" t="s">
        <v>679</v>
      </c>
      <c r="AN5" s="137">
        <v>-4.2000000000000002E-4</v>
      </c>
      <c r="AO5" s="137">
        <v>0</v>
      </c>
    </row>
    <row r="6" spans="1:41">
      <c r="A6" t="s">
        <v>667</v>
      </c>
      <c r="B6" t="s">
        <v>684</v>
      </c>
      <c r="C6" t="s">
        <v>669</v>
      </c>
      <c r="D6" t="s">
        <v>680</v>
      </c>
      <c r="E6" t="s">
        <v>72</v>
      </c>
      <c r="F6" s="139">
        <v>3.165</v>
      </c>
      <c r="G6" s="133">
        <v>-15398500</v>
      </c>
      <c r="H6" s="133">
        <v>-15384.821936808847</v>
      </c>
      <c r="I6" s="137">
        <v>2.1000000000000001E-4</v>
      </c>
      <c r="J6" s="137">
        <v>-7.9999999999999996E-6</v>
      </c>
      <c r="K6" t="s">
        <v>680</v>
      </c>
      <c r="L6" t="s">
        <v>52</v>
      </c>
      <c r="M6" s="139">
        <v>1</v>
      </c>
      <c r="N6" s="133">
        <v>48750111.100000001</v>
      </c>
      <c r="O6" s="133">
        <v>48750.111100000002</v>
      </c>
      <c r="P6" s="137">
        <v>2.1999999999999999E-5</v>
      </c>
      <c r="Q6" s="137">
        <v>2.0699999999999999E-4</v>
      </c>
      <c r="R6" s="133">
        <v>57.14967</v>
      </c>
      <c r="S6" t="s">
        <v>45</v>
      </c>
      <c r="T6" t="s">
        <v>45</v>
      </c>
      <c r="U6" t="s">
        <v>100</v>
      </c>
      <c r="V6" t="s">
        <v>671</v>
      </c>
      <c r="W6" t="s">
        <v>672</v>
      </c>
      <c r="X6" t="s">
        <v>681</v>
      </c>
      <c r="Y6" t="s">
        <v>51</v>
      </c>
      <c r="Z6" t="s">
        <v>527</v>
      </c>
      <c r="AA6" t="s">
        <v>674</v>
      </c>
      <c r="AB6" t="s">
        <v>675</v>
      </c>
      <c r="AC6" t="s">
        <v>676</v>
      </c>
      <c r="AD6" t="s">
        <v>243</v>
      </c>
      <c r="AE6" t="s">
        <v>677</v>
      </c>
      <c r="AF6" t="s">
        <v>675</v>
      </c>
      <c r="AG6" t="s">
        <v>675</v>
      </c>
      <c r="AH6" t="s">
        <v>675</v>
      </c>
      <c r="AI6" s="133">
        <v>3.1659999999999999</v>
      </c>
      <c r="AJ6" t="s">
        <v>682</v>
      </c>
      <c r="AK6" t="s">
        <v>51</v>
      </c>
      <c r="AL6" t="s">
        <v>240</v>
      </c>
      <c r="AM6" t="s">
        <v>679</v>
      </c>
      <c r="AN6" s="137">
        <v>3.0000000000000001E-5</v>
      </c>
      <c r="AO6" s="137">
        <v>0</v>
      </c>
    </row>
    <row r="7" spans="1:41">
      <c r="A7" t="s">
        <v>667</v>
      </c>
      <c r="B7" t="s">
        <v>684</v>
      </c>
      <c r="C7" t="s">
        <v>669</v>
      </c>
      <c r="D7" t="s">
        <v>670</v>
      </c>
      <c r="E7" t="s">
        <v>395</v>
      </c>
      <c r="F7" s="139">
        <v>3.6360000000000001</v>
      </c>
      <c r="G7" s="133">
        <v>-2250000</v>
      </c>
      <c r="H7" s="133">
        <v>-2249.9845352035209</v>
      </c>
      <c r="I7" s="137">
        <v>3.1000000000000001E-5</v>
      </c>
      <c r="J7" s="137">
        <v>-9.9999999999999995E-7</v>
      </c>
      <c r="K7" t="s">
        <v>670</v>
      </c>
      <c r="L7" t="s">
        <v>52</v>
      </c>
      <c r="M7" s="139">
        <v>1</v>
      </c>
      <c r="N7" s="133">
        <v>8394075</v>
      </c>
      <c r="O7" s="133">
        <v>8394.0750000000007</v>
      </c>
      <c r="P7" s="137">
        <v>3.9999999999999998E-6</v>
      </c>
      <c r="Q7" s="137">
        <v>3.6000000000000001E-5</v>
      </c>
      <c r="R7" s="133">
        <v>213.13122999999999</v>
      </c>
      <c r="S7" t="s">
        <v>45</v>
      </c>
      <c r="T7" t="s">
        <v>45</v>
      </c>
      <c r="U7" t="s">
        <v>100</v>
      </c>
      <c r="V7" t="s">
        <v>671</v>
      </c>
      <c r="W7" t="s">
        <v>672</v>
      </c>
      <c r="X7" t="s">
        <v>673</v>
      </c>
      <c r="Y7" t="s">
        <v>51</v>
      </c>
      <c r="Z7" t="s">
        <v>527</v>
      </c>
      <c r="AA7" t="s">
        <v>674</v>
      </c>
      <c r="AB7" t="s">
        <v>675</v>
      </c>
      <c r="AC7" t="s">
        <v>676</v>
      </c>
      <c r="AD7" t="s">
        <v>243</v>
      </c>
      <c r="AE7" t="s">
        <v>677</v>
      </c>
      <c r="AF7" t="s">
        <v>675</v>
      </c>
      <c r="AG7" t="s">
        <v>675</v>
      </c>
      <c r="AH7" t="s">
        <v>675</v>
      </c>
      <c r="AI7" s="133">
        <v>3.7149999999999999</v>
      </c>
      <c r="AJ7" t="s">
        <v>678</v>
      </c>
      <c r="AK7" t="s">
        <v>51</v>
      </c>
      <c r="AL7" t="s">
        <v>240</v>
      </c>
      <c r="AM7" t="s">
        <v>679</v>
      </c>
      <c r="AN7" s="137">
        <v>1.13E-4</v>
      </c>
      <c r="AO7" s="137">
        <v>0</v>
      </c>
    </row>
    <row r="8" spans="1:41">
      <c r="A8" t="s">
        <v>667</v>
      </c>
      <c r="B8" t="s">
        <v>684</v>
      </c>
      <c r="C8" t="s">
        <v>669</v>
      </c>
      <c r="D8" t="s">
        <v>685</v>
      </c>
      <c r="E8" t="s">
        <v>72</v>
      </c>
      <c r="F8" s="139">
        <v>3.165</v>
      </c>
      <c r="G8" s="133">
        <v>-1200000</v>
      </c>
      <c r="H8" s="133">
        <v>-1198.9154502369668</v>
      </c>
      <c r="I8" s="137">
        <v>1.5999999999999999E-5</v>
      </c>
      <c r="J8" s="137">
        <v>-9.9999999999999995E-7</v>
      </c>
      <c r="K8" t="s">
        <v>685</v>
      </c>
      <c r="L8" t="s">
        <v>52</v>
      </c>
      <c r="M8" s="139">
        <v>1</v>
      </c>
      <c r="N8" s="133">
        <v>3728520</v>
      </c>
      <c r="O8" s="133">
        <v>3728.52</v>
      </c>
      <c r="P8" s="137">
        <v>1.9999999999999999E-6</v>
      </c>
      <c r="Q8" s="137">
        <v>1.5999999999999999E-5</v>
      </c>
      <c r="R8" s="133">
        <v>-66.047399999999996</v>
      </c>
      <c r="S8" t="s">
        <v>45</v>
      </c>
      <c r="T8" t="s">
        <v>45</v>
      </c>
      <c r="U8" t="s">
        <v>100</v>
      </c>
      <c r="V8" t="s">
        <v>671</v>
      </c>
      <c r="W8" t="s">
        <v>672</v>
      </c>
      <c r="X8" t="s">
        <v>681</v>
      </c>
      <c r="Y8" t="s">
        <v>51</v>
      </c>
      <c r="Z8" t="s">
        <v>686</v>
      </c>
      <c r="AA8" t="s">
        <v>674</v>
      </c>
      <c r="AB8" t="s">
        <v>675</v>
      </c>
      <c r="AC8" t="s">
        <v>676</v>
      </c>
      <c r="AD8" t="s">
        <v>243</v>
      </c>
      <c r="AE8" t="s">
        <v>677</v>
      </c>
      <c r="AF8" t="s">
        <v>675</v>
      </c>
      <c r="AG8" t="s">
        <v>675</v>
      </c>
      <c r="AH8" t="s">
        <v>675</v>
      </c>
      <c r="AI8" s="133">
        <v>3.1040000000000001</v>
      </c>
      <c r="AJ8" t="s">
        <v>687</v>
      </c>
      <c r="AK8" t="s">
        <v>51</v>
      </c>
      <c r="AL8" t="s">
        <v>240</v>
      </c>
      <c r="AM8" t="s">
        <v>679</v>
      </c>
      <c r="AN8" s="137">
        <v>-3.4999999999999997E-5</v>
      </c>
      <c r="AO8" s="137">
        <v>0</v>
      </c>
    </row>
    <row r="9" spans="1:41">
      <c r="A9" t="s">
        <v>667</v>
      </c>
      <c r="B9" t="s">
        <v>684</v>
      </c>
      <c r="C9" t="s">
        <v>669</v>
      </c>
      <c r="D9" t="s">
        <v>688</v>
      </c>
      <c r="E9" t="s">
        <v>72</v>
      </c>
      <c r="F9" s="139">
        <v>3.165</v>
      </c>
      <c r="G9" s="133">
        <v>-2100000</v>
      </c>
      <c r="H9" s="133">
        <v>-2098.109225908373</v>
      </c>
      <c r="I9" s="137">
        <v>2.9E-5</v>
      </c>
      <c r="J9" s="137">
        <v>-9.9999999999999995E-7</v>
      </c>
      <c r="K9" t="s">
        <v>688</v>
      </c>
      <c r="L9" t="s">
        <v>52</v>
      </c>
      <c r="M9" s="139">
        <v>1</v>
      </c>
      <c r="N9" s="133">
        <v>6552000</v>
      </c>
      <c r="O9" s="133">
        <v>6552</v>
      </c>
      <c r="P9" s="137">
        <v>3.0000000000000001E-6</v>
      </c>
      <c r="Q9" s="137">
        <v>2.8E-5</v>
      </c>
      <c r="R9" s="133">
        <v>-88.515699999999995</v>
      </c>
      <c r="S9" t="s">
        <v>45</v>
      </c>
      <c r="T9" t="s">
        <v>45</v>
      </c>
      <c r="U9" t="s">
        <v>100</v>
      </c>
      <c r="V9" t="s">
        <v>671</v>
      </c>
      <c r="W9" t="s">
        <v>672</v>
      </c>
      <c r="X9" t="s">
        <v>681</v>
      </c>
      <c r="Y9" t="s">
        <v>51</v>
      </c>
      <c r="Z9" t="s">
        <v>345</v>
      </c>
      <c r="AA9" t="s">
        <v>674</v>
      </c>
      <c r="AB9" t="s">
        <v>675</v>
      </c>
      <c r="AC9" t="s">
        <v>676</v>
      </c>
      <c r="AD9" t="s">
        <v>243</v>
      </c>
      <c r="AE9" t="s">
        <v>677</v>
      </c>
      <c r="AF9" t="s">
        <v>675</v>
      </c>
      <c r="AG9" t="s">
        <v>675</v>
      </c>
      <c r="AH9" t="s">
        <v>675</v>
      </c>
      <c r="AI9" s="133">
        <v>3.1190000000000002</v>
      </c>
      <c r="AJ9" t="s">
        <v>689</v>
      </c>
      <c r="AK9" t="s">
        <v>51</v>
      </c>
      <c r="AL9" t="s">
        <v>240</v>
      </c>
      <c r="AM9" t="s">
        <v>679</v>
      </c>
      <c r="AN9" s="137">
        <v>-4.6999999999999997E-5</v>
      </c>
      <c r="AO9" s="137">
        <v>0</v>
      </c>
    </row>
    <row r="10" spans="1:41">
      <c r="A10" t="s">
        <v>667</v>
      </c>
      <c r="B10" t="s">
        <v>684</v>
      </c>
      <c r="C10" t="s">
        <v>669</v>
      </c>
      <c r="D10" t="s">
        <v>690</v>
      </c>
      <c r="E10" t="s">
        <v>72</v>
      </c>
      <c r="F10" s="139">
        <v>3.165</v>
      </c>
      <c r="G10" s="133">
        <v>600000</v>
      </c>
      <c r="H10" s="133">
        <v>599.45682148499213</v>
      </c>
      <c r="I10" s="137">
        <v>-7.9999999999999996E-6</v>
      </c>
      <c r="J10" s="137">
        <v>0</v>
      </c>
      <c r="K10" t="s">
        <v>690</v>
      </c>
      <c r="L10" t="s">
        <v>52</v>
      </c>
      <c r="M10" s="139">
        <v>1</v>
      </c>
      <c r="N10" s="133">
        <v>-1860780</v>
      </c>
      <c r="O10" s="133">
        <v>-1860.78</v>
      </c>
      <c r="P10" s="137">
        <v>-9.9999999999999995E-7</v>
      </c>
      <c r="Q10" s="137">
        <v>-7.9999999999999996E-6</v>
      </c>
      <c r="R10" s="133">
        <v>36.500839999999997</v>
      </c>
      <c r="S10" t="s">
        <v>45</v>
      </c>
      <c r="T10" t="s">
        <v>45</v>
      </c>
      <c r="U10" t="s">
        <v>100</v>
      </c>
      <c r="V10" t="s">
        <v>671</v>
      </c>
      <c r="W10" t="s">
        <v>672</v>
      </c>
      <c r="X10" t="s">
        <v>681</v>
      </c>
      <c r="Y10" t="s">
        <v>51</v>
      </c>
      <c r="Z10" t="s">
        <v>691</v>
      </c>
      <c r="AA10" t="s">
        <v>674</v>
      </c>
      <c r="AB10" t="s">
        <v>675</v>
      </c>
      <c r="AC10" t="s">
        <v>676</v>
      </c>
      <c r="AD10" t="s">
        <v>243</v>
      </c>
      <c r="AE10" t="s">
        <v>677</v>
      </c>
      <c r="AF10" t="s">
        <v>675</v>
      </c>
      <c r="AG10" t="s">
        <v>675</v>
      </c>
      <c r="AH10" t="s">
        <v>675</v>
      </c>
      <c r="AI10" s="133">
        <v>3.105</v>
      </c>
      <c r="AJ10" t="s">
        <v>692</v>
      </c>
      <c r="AK10" t="s">
        <v>51</v>
      </c>
      <c r="AL10" t="s">
        <v>240</v>
      </c>
      <c r="AM10" t="s">
        <v>679</v>
      </c>
      <c r="AN10" s="137">
        <v>1.9000000000000001E-5</v>
      </c>
      <c r="AO10" s="137">
        <v>0</v>
      </c>
    </row>
    <row r="11" spans="1:41">
      <c r="A11" t="s">
        <v>667</v>
      </c>
      <c r="B11" t="s">
        <v>684</v>
      </c>
      <c r="C11" t="s">
        <v>669</v>
      </c>
      <c r="D11" t="s">
        <v>693</v>
      </c>
      <c r="E11" t="s">
        <v>72</v>
      </c>
      <c r="F11" s="139">
        <v>3.165</v>
      </c>
      <c r="G11" s="133">
        <v>-16338500</v>
      </c>
      <c r="H11" s="133">
        <v>-16324.192369668246</v>
      </c>
      <c r="I11" s="137">
        <v>2.23E-4</v>
      </c>
      <c r="J11" s="137">
        <v>-9.0000000000000002E-6</v>
      </c>
      <c r="K11" t="s">
        <v>693</v>
      </c>
      <c r="L11" t="s">
        <v>52</v>
      </c>
      <c r="M11" s="139">
        <v>1</v>
      </c>
      <c r="N11" s="133">
        <v>52505403.600000001</v>
      </c>
      <c r="O11" s="133">
        <v>52505.403600000005</v>
      </c>
      <c r="P11" s="137">
        <v>2.4000000000000001E-5</v>
      </c>
      <c r="Q11" s="137">
        <v>2.23E-4</v>
      </c>
      <c r="R11" s="133">
        <v>839.33474999999999</v>
      </c>
      <c r="S11" t="s">
        <v>45</v>
      </c>
      <c r="T11" t="s">
        <v>45</v>
      </c>
      <c r="U11" t="s">
        <v>100</v>
      </c>
      <c r="V11" t="s">
        <v>671</v>
      </c>
      <c r="W11" t="s">
        <v>672</v>
      </c>
      <c r="X11" t="s">
        <v>681</v>
      </c>
      <c r="Y11" t="s">
        <v>51</v>
      </c>
      <c r="Z11" t="s">
        <v>694</v>
      </c>
      <c r="AA11" t="s">
        <v>674</v>
      </c>
      <c r="AB11" t="s">
        <v>675</v>
      </c>
      <c r="AC11" t="s">
        <v>676</v>
      </c>
      <c r="AD11" t="s">
        <v>243</v>
      </c>
      <c r="AE11" t="s">
        <v>677</v>
      </c>
      <c r="AF11" t="s">
        <v>675</v>
      </c>
      <c r="AG11" t="s">
        <v>675</v>
      </c>
      <c r="AH11" t="s">
        <v>675</v>
      </c>
      <c r="AI11" s="133">
        <v>3.2130000000000001</v>
      </c>
      <c r="AJ11" t="s">
        <v>695</v>
      </c>
      <c r="AK11" t="s">
        <v>51</v>
      </c>
      <c r="AL11" t="s">
        <v>240</v>
      </c>
      <c r="AM11" t="s">
        <v>679</v>
      </c>
      <c r="AN11" s="137">
        <v>4.46E-4</v>
      </c>
      <c r="AO11" s="137">
        <v>0</v>
      </c>
    </row>
    <row r="12" spans="1:41">
      <c r="A12" t="s">
        <v>667</v>
      </c>
      <c r="B12" t="s">
        <v>684</v>
      </c>
      <c r="C12" t="s">
        <v>669</v>
      </c>
      <c r="D12" t="s">
        <v>696</v>
      </c>
      <c r="E12" t="s">
        <v>395</v>
      </c>
      <c r="F12" s="139">
        <v>3.6360000000000001</v>
      </c>
      <c r="G12" s="133">
        <v>1200000</v>
      </c>
      <c r="H12" s="133">
        <v>1199.9518371837182</v>
      </c>
      <c r="I12" s="137">
        <v>-1.5999999999999999E-5</v>
      </c>
      <c r="J12" s="137">
        <v>9.9999999999999995E-7</v>
      </c>
      <c r="K12" t="s">
        <v>696</v>
      </c>
      <c r="L12" t="s">
        <v>52</v>
      </c>
      <c r="M12" s="139">
        <v>1</v>
      </c>
      <c r="N12" s="133">
        <v>-4302840</v>
      </c>
      <c r="O12" s="133">
        <v>-4302.84</v>
      </c>
      <c r="P12" s="137">
        <v>-1.9999999999999999E-6</v>
      </c>
      <c r="Q12" s="137">
        <v>-1.8E-5</v>
      </c>
      <c r="R12" s="133">
        <v>60.18488</v>
      </c>
      <c r="S12" t="s">
        <v>45</v>
      </c>
      <c r="T12" t="s">
        <v>45</v>
      </c>
      <c r="U12" t="s">
        <v>100</v>
      </c>
      <c r="V12" t="s">
        <v>671</v>
      </c>
      <c r="W12" t="s">
        <v>672</v>
      </c>
      <c r="X12" t="s">
        <v>673</v>
      </c>
      <c r="Y12" t="s">
        <v>51</v>
      </c>
      <c r="Z12" t="s">
        <v>514</v>
      </c>
      <c r="AA12" t="s">
        <v>674</v>
      </c>
      <c r="AB12" t="s">
        <v>675</v>
      </c>
      <c r="AC12" t="s">
        <v>676</v>
      </c>
      <c r="AD12" t="s">
        <v>243</v>
      </c>
      <c r="AE12" t="s">
        <v>677</v>
      </c>
      <c r="AF12" t="s">
        <v>675</v>
      </c>
      <c r="AG12" t="s">
        <v>675</v>
      </c>
      <c r="AH12" t="s">
        <v>675</v>
      </c>
      <c r="AI12" s="133">
        <v>3.5937000000000001</v>
      </c>
      <c r="AJ12" t="s">
        <v>697</v>
      </c>
      <c r="AK12" t="s">
        <v>51</v>
      </c>
      <c r="AL12" t="s">
        <v>240</v>
      </c>
      <c r="AM12" t="s">
        <v>679</v>
      </c>
      <c r="AN12" s="137">
        <v>3.1999999999999999E-5</v>
      </c>
      <c r="AO12" s="137">
        <v>0</v>
      </c>
    </row>
    <row r="13" spans="1:41">
      <c r="A13" t="s">
        <v>667</v>
      </c>
      <c r="B13" t="s">
        <v>684</v>
      </c>
      <c r="C13" t="s">
        <v>669</v>
      </c>
      <c r="D13" t="s">
        <v>698</v>
      </c>
      <c r="E13" t="s">
        <v>72</v>
      </c>
      <c r="F13" s="139">
        <v>3.165</v>
      </c>
      <c r="G13" s="133">
        <v>-1500000</v>
      </c>
      <c r="H13" s="133">
        <v>-1498.6301737756712</v>
      </c>
      <c r="I13" s="137">
        <v>2.0999999999999999E-5</v>
      </c>
      <c r="J13" s="137">
        <v>-9.9999999999999995E-7</v>
      </c>
      <c r="K13" t="s">
        <v>698</v>
      </c>
      <c r="L13" t="s">
        <v>52</v>
      </c>
      <c r="M13" s="139">
        <v>1</v>
      </c>
      <c r="N13" s="133">
        <v>4606950</v>
      </c>
      <c r="O13" s="133">
        <v>4606.95</v>
      </c>
      <c r="P13" s="137">
        <v>1.9999999999999999E-6</v>
      </c>
      <c r="Q13" s="137">
        <v>2.0000000000000002E-5</v>
      </c>
      <c r="R13" s="133">
        <v>-136.21449999999999</v>
      </c>
      <c r="S13" t="s">
        <v>45</v>
      </c>
      <c r="T13" t="s">
        <v>45</v>
      </c>
      <c r="U13" t="s">
        <v>100</v>
      </c>
      <c r="V13" t="s">
        <v>671</v>
      </c>
      <c r="W13" t="s">
        <v>672</v>
      </c>
      <c r="X13" t="s">
        <v>681</v>
      </c>
      <c r="Y13" t="s">
        <v>51</v>
      </c>
      <c r="Z13" t="s">
        <v>439</v>
      </c>
      <c r="AA13" t="s">
        <v>674</v>
      </c>
      <c r="AB13" t="s">
        <v>675</v>
      </c>
      <c r="AC13" t="s">
        <v>676</v>
      </c>
      <c r="AD13" t="s">
        <v>243</v>
      </c>
      <c r="AE13" t="s">
        <v>677</v>
      </c>
      <c r="AF13" t="s">
        <v>675</v>
      </c>
      <c r="AG13" t="s">
        <v>675</v>
      </c>
      <c r="AH13" t="s">
        <v>675</v>
      </c>
      <c r="AI13" s="133">
        <v>3.0720000000000001</v>
      </c>
      <c r="AJ13" t="s">
        <v>699</v>
      </c>
      <c r="AK13" t="s">
        <v>51</v>
      </c>
      <c r="AL13" t="s">
        <v>240</v>
      </c>
      <c r="AM13" t="s">
        <v>679</v>
      </c>
      <c r="AN13" s="137">
        <v>-7.2000000000000002E-5</v>
      </c>
      <c r="AO13" s="137">
        <v>0</v>
      </c>
    </row>
    <row r="14" spans="1:41">
      <c r="A14" t="s">
        <v>667</v>
      </c>
      <c r="B14" t="s">
        <v>684</v>
      </c>
      <c r="C14" t="s">
        <v>669</v>
      </c>
      <c r="D14" t="s">
        <v>700</v>
      </c>
      <c r="E14" t="s">
        <v>72</v>
      </c>
      <c r="F14" s="139">
        <v>3.165</v>
      </c>
      <c r="G14" s="133">
        <v>-5100000</v>
      </c>
      <c r="H14" s="133">
        <v>-5093.0559557661927</v>
      </c>
      <c r="I14" s="137">
        <v>6.9999999999999994E-5</v>
      </c>
      <c r="J14" s="137">
        <v>-3.0000000000000001E-6</v>
      </c>
      <c r="K14" t="s">
        <v>700</v>
      </c>
      <c r="L14" t="s">
        <v>52</v>
      </c>
      <c r="M14" s="139">
        <v>1</v>
      </c>
      <c r="N14" s="133">
        <v>16085400</v>
      </c>
      <c r="O14" s="133">
        <v>16085.4</v>
      </c>
      <c r="P14" s="137">
        <v>6.9999999999999999E-6</v>
      </c>
      <c r="Q14" s="137">
        <v>6.7999999999999999E-5</v>
      </c>
      <c r="R14" s="133">
        <v>-34.122100000000003</v>
      </c>
      <c r="S14" t="s">
        <v>45</v>
      </c>
      <c r="T14" t="s">
        <v>45</v>
      </c>
      <c r="U14" t="s">
        <v>100</v>
      </c>
      <c r="V14" t="s">
        <v>671</v>
      </c>
      <c r="W14" t="s">
        <v>672</v>
      </c>
      <c r="X14" t="s">
        <v>681</v>
      </c>
      <c r="Y14" t="s">
        <v>51</v>
      </c>
      <c r="Z14" t="s">
        <v>418</v>
      </c>
      <c r="AA14" t="s">
        <v>701</v>
      </c>
      <c r="AB14" t="s">
        <v>675</v>
      </c>
      <c r="AC14" t="s">
        <v>676</v>
      </c>
      <c r="AD14" t="s">
        <v>243</v>
      </c>
      <c r="AE14" t="s">
        <v>677</v>
      </c>
      <c r="AF14" t="s">
        <v>675</v>
      </c>
      <c r="AG14" t="s">
        <v>675</v>
      </c>
      <c r="AH14" t="s">
        <v>675</v>
      </c>
      <c r="AI14" s="133">
        <v>3.17</v>
      </c>
      <c r="AJ14" t="s">
        <v>702</v>
      </c>
      <c r="AK14" t="s">
        <v>51</v>
      </c>
      <c r="AL14" t="s">
        <v>240</v>
      </c>
      <c r="AM14" t="s">
        <v>679</v>
      </c>
      <c r="AN14" s="137">
        <v>-1.8E-5</v>
      </c>
      <c r="AO14" s="137">
        <v>0</v>
      </c>
    </row>
    <row r="15" spans="1:41">
      <c r="A15" t="s">
        <v>667</v>
      </c>
      <c r="B15" t="s">
        <v>684</v>
      </c>
      <c r="C15" t="s">
        <v>669</v>
      </c>
      <c r="D15" t="s">
        <v>680</v>
      </c>
      <c r="E15" t="s">
        <v>72</v>
      </c>
      <c r="F15" s="139">
        <v>3.165</v>
      </c>
      <c r="G15" s="133">
        <v>-15250000</v>
      </c>
      <c r="H15" s="133">
        <v>-15236.453860979462</v>
      </c>
      <c r="I15" s="137">
        <v>2.0799999999999999E-4</v>
      </c>
      <c r="J15" s="137">
        <v>-7.9999999999999996E-6</v>
      </c>
      <c r="K15" t="s">
        <v>680</v>
      </c>
      <c r="L15" t="s">
        <v>52</v>
      </c>
      <c r="M15" s="139">
        <v>1</v>
      </c>
      <c r="N15" s="133">
        <v>48279975</v>
      </c>
      <c r="O15" s="133">
        <v>48279.974999999999</v>
      </c>
      <c r="P15" s="137">
        <v>2.1999999999999999E-5</v>
      </c>
      <c r="Q15" s="137">
        <v>2.05E-4</v>
      </c>
      <c r="R15" s="133">
        <v>56.598529999999997</v>
      </c>
      <c r="S15" t="s">
        <v>45</v>
      </c>
      <c r="T15" t="s">
        <v>45</v>
      </c>
      <c r="U15" t="s">
        <v>100</v>
      </c>
      <c r="V15" t="s">
        <v>671</v>
      </c>
      <c r="W15" t="s">
        <v>672</v>
      </c>
      <c r="X15" t="s">
        <v>681</v>
      </c>
      <c r="Y15" t="s">
        <v>51</v>
      </c>
      <c r="Z15" t="s">
        <v>527</v>
      </c>
      <c r="AA15" t="s">
        <v>674</v>
      </c>
      <c r="AB15" t="s">
        <v>675</v>
      </c>
      <c r="AC15" t="s">
        <v>676</v>
      </c>
      <c r="AD15" t="s">
        <v>243</v>
      </c>
      <c r="AE15" t="s">
        <v>677</v>
      </c>
      <c r="AF15" t="s">
        <v>675</v>
      </c>
      <c r="AG15" t="s">
        <v>675</v>
      </c>
      <c r="AH15" t="s">
        <v>675</v>
      </c>
      <c r="AI15" s="133">
        <v>3.1659999999999999</v>
      </c>
      <c r="AJ15" t="s">
        <v>682</v>
      </c>
      <c r="AK15" t="s">
        <v>51</v>
      </c>
      <c r="AL15" t="s">
        <v>240</v>
      </c>
      <c r="AM15" t="s">
        <v>679</v>
      </c>
      <c r="AN15" s="137">
        <v>3.0000000000000001E-5</v>
      </c>
      <c r="AO15" s="137">
        <v>0</v>
      </c>
    </row>
    <row r="16" spans="1:41">
      <c r="A16" t="s">
        <v>667</v>
      </c>
      <c r="B16" t="s">
        <v>684</v>
      </c>
      <c r="C16" t="s">
        <v>669</v>
      </c>
      <c r="D16" t="s">
        <v>670</v>
      </c>
      <c r="E16" t="s">
        <v>395</v>
      </c>
      <c r="F16" s="139">
        <v>3.6360000000000001</v>
      </c>
      <c r="G16" s="133">
        <v>-3070000</v>
      </c>
      <c r="H16" s="133">
        <v>-3069.978899889989</v>
      </c>
      <c r="I16" s="137">
        <v>4.1999999999999998E-5</v>
      </c>
      <c r="J16" s="137">
        <v>-1.9999999999999999E-6</v>
      </c>
      <c r="K16" t="s">
        <v>670</v>
      </c>
      <c r="L16" t="s">
        <v>52</v>
      </c>
      <c r="M16" s="139">
        <v>1</v>
      </c>
      <c r="N16" s="133">
        <v>11453249</v>
      </c>
      <c r="O16" s="133">
        <v>11453.249</v>
      </c>
      <c r="P16" s="137">
        <v>5.0000000000000004E-6</v>
      </c>
      <c r="Q16" s="137">
        <v>4.8999999999999998E-5</v>
      </c>
      <c r="R16" s="133">
        <v>290.80572000000001</v>
      </c>
      <c r="S16" t="s">
        <v>45</v>
      </c>
      <c r="T16" t="s">
        <v>45</v>
      </c>
      <c r="U16" t="s">
        <v>100</v>
      </c>
      <c r="V16" t="s">
        <v>671</v>
      </c>
      <c r="W16" t="s">
        <v>672</v>
      </c>
      <c r="X16" t="s">
        <v>673</v>
      </c>
      <c r="Y16" t="s">
        <v>51</v>
      </c>
      <c r="Z16" t="s">
        <v>527</v>
      </c>
      <c r="AA16" t="s">
        <v>674</v>
      </c>
      <c r="AB16" t="s">
        <v>675</v>
      </c>
      <c r="AC16" t="s">
        <v>676</v>
      </c>
      <c r="AD16" t="s">
        <v>243</v>
      </c>
      <c r="AE16" t="s">
        <v>677</v>
      </c>
      <c r="AF16" t="s">
        <v>675</v>
      </c>
      <c r="AG16" t="s">
        <v>675</v>
      </c>
      <c r="AH16" t="s">
        <v>675</v>
      </c>
      <c r="AI16" s="133">
        <v>3.7149999999999999</v>
      </c>
      <c r="AJ16" t="s">
        <v>678</v>
      </c>
      <c r="AK16" t="s">
        <v>51</v>
      </c>
      <c r="AL16" t="s">
        <v>240</v>
      </c>
      <c r="AM16" t="s">
        <v>679</v>
      </c>
      <c r="AN16" s="137">
        <v>1.54E-4</v>
      </c>
      <c r="AO16" s="137">
        <v>0</v>
      </c>
    </row>
    <row r="17" spans="1:41">
      <c r="A17" t="s">
        <v>667</v>
      </c>
      <c r="B17" t="s">
        <v>684</v>
      </c>
      <c r="C17" t="s">
        <v>669</v>
      </c>
      <c r="D17" t="s">
        <v>693</v>
      </c>
      <c r="E17" t="s">
        <v>72</v>
      </c>
      <c r="F17" s="139">
        <v>3.165</v>
      </c>
      <c r="G17" s="133">
        <v>-12750000</v>
      </c>
      <c r="H17" s="133">
        <v>-12738.834821484992</v>
      </c>
      <c r="I17" s="137">
        <v>1.74E-4</v>
      </c>
      <c r="J17" s="137">
        <v>-6.9999999999999999E-6</v>
      </c>
      <c r="K17" t="s">
        <v>693</v>
      </c>
      <c r="L17" t="s">
        <v>52</v>
      </c>
      <c r="M17" s="139">
        <v>1</v>
      </c>
      <c r="N17" s="133">
        <v>40973400</v>
      </c>
      <c r="O17" s="133">
        <v>40973.4</v>
      </c>
      <c r="P17" s="137">
        <v>1.9000000000000001E-5</v>
      </c>
      <c r="Q17" s="137">
        <v>1.74E-4</v>
      </c>
      <c r="R17" s="133">
        <v>654.98779000000002</v>
      </c>
      <c r="S17" t="s">
        <v>45</v>
      </c>
      <c r="T17" t="s">
        <v>45</v>
      </c>
      <c r="U17" t="s">
        <v>100</v>
      </c>
      <c r="V17" t="s">
        <v>671</v>
      </c>
      <c r="W17" t="s">
        <v>672</v>
      </c>
      <c r="X17" t="s">
        <v>681</v>
      </c>
      <c r="Y17" t="s">
        <v>51</v>
      </c>
      <c r="Z17" t="s">
        <v>694</v>
      </c>
      <c r="AA17" t="s">
        <v>674</v>
      </c>
      <c r="AB17" t="s">
        <v>675</v>
      </c>
      <c r="AC17" t="s">
        <v>676</v>
      </c>
      <c r="AD17" t="s">
        <v>243</v>
      </c>
      <c r="AE17" t="s">
        <v>677</v>
      </c>
      <c r="AF17" t="s">
        <v>675</v>
      </c>
      <c r="AG17" t="s">
        <v>675</v>
      </c>
      <c r="AH17" t="s">
        <v>675</v>
      </c>
      <c r="AI17" s="133">
        <v>3.2130000000000001</v>
      </c>
      <c r="AJ17" t="s">
        <v>695</v>
      </c>
      <c r="AK17" t="s">
        <v>51</v>
      </c>
      <c r="AL17" t="s">
        <v>240</v>
      </c>
      <c r="AM17" t="s">
        <v>679</v>
      </c>
      <c r="AN17" s="137">
        <v>3.48E-4</v>
      </c>
      <c r="AO17" s="137">
        <v>0</v>
      </c>
    </row>
    <row r="18" spans="1:41">
      <c r="A18" t="s">
        <v>667</v>
      </c>
      <c r="B18" t="s">
        <v>703</v>
      </c>
      <c r="C18" t="s">
        <v>669</v>
      </c>
      <c r="D18" t="s">
        <v>680</v>
      </c>
      <c r="E18" t="s">
        <v>72</v>
      </c>
      <c r="F18" s="139">
        <v>3.165</v>
      </c>
      <c r="G18" s="133">
        <v>150000</v>
      </c>
      <c r="H18" s="133">
        <v>149.86676145339652</v>
      </c>
      <c r="I18" s="137">
        <v>5.0179999999999999E-3</v>
      </c>
      <c r="J18" s="137">
        <v>5.0000000000000004E-6</v>
      </c>
      <c r="K18" t="s">
        <v>680</v>
      </c>
      <c r="L18" t="s">
        <v>52</v>
      </c>
      <c r="M18" s="139">
        <v>1</v>
      </c>
      <c r="N18" s="133">
        <v>-474885</v>
      </c>
      <c r="O18" s="133">
        <v>-474.88499999999999</v>
      </c>
      <c r="P18" s="137">
        <v>-1.5E-5</v>
      </c>
      <c r="Q18" s="137">
        <v>1.7458000000000001E-2</v>
      </c>
      <c r="R18" s="133">
        <v>-0.55669999999999997</v>
      </c>
      <c r="S18" t="s">
        <v>45</v>
      </c>
      <c r="T18" t="s">
        <v>45</v>
      </c>
      <c r="U18" t="s">
        <v>100</v>
      </c>
      <c r="V18" t="s">
        <v>671</v>
      </c>
      <c r="W18" t="s">
        <v>672</v>
      </c>
      <c r="X18" t="s">
        <v>681</v>
      </c>
      <c r="Y18" t="s">
        <v>51</v>
      </c>
      <c r="Z18" t="s">
        <v>527</v>
      </c>
      <c r="AA18" t="s">
        <v>674</v>
      </c>
      <c r="AB18" t="s">
        <v>675</v>
      </c>
      <c r="AC18" t="s">
        <v>676</v>
      </c>
      <c r="AD18" t="s">
        <v>243</v>
      </c>
      <c r="AE18" t="s">
        <v>677</v>
      </c>
      <c r="AF18" t="s">
        <v>675</v>
      </c>
      <c r="AG18" t="s">
        <v>675</v>
      </c>
      <c r="AH18" t="s">
        <v>675</v>
      </c>
      <c r="AI18" s="133">
        <v>3.1659999999999999</v>
      </c>
      <c r="AJ18" t="s">
        <v>682</v>
      </c>
      <c r="AK18" t="s">
        <v>51</v>
      </c>
      <c r="AL18" t="s">
        <v>240</v>
      </c>
      <c r="AM18" t="s">
        <v>679</v>
      </c>
      <c r="AN18" s="137">
        <v>-5.1E-5</v>
      </c>
      <c r="AO18" s="137">
        <v>0</v>
      </c>
    </row>
    <row r="19" spans="1:41">
      <c r="A19" t="s">
        <v>667</v>
      </c>
      <c r="B19" t="s">
        <v>703</v>
      </c>
      <c r="C19" t="s">
        <v>669</v>
      </c>
      <c r="D19" t="s">
        <v>670</v>
      </c>
      <c r="E19" t="s">
        <v>395</v>
      </c>
      <c r="F19" s="139">
        <v>3.6360000000000001</v>
      </c>
      <c r="G19" s="133">
        <v>-120000</v>
      </c>
      <c r="H19" s="133">
        <v>-119.99917491749174</v>
      </c>
      <c r="I19" s="137">
        <v>-4.0179999999999999E-3</v>
      </c>
      <c r="J19" s="137">
        <v>-3.9999999999999998E-6</v>
      </c>
      <c r="K19" t="s">
        <v>670</v>
      </c>
      <c r="L19" t="s">
        <v>52</v>
      </c>
      <c r="M19" s="139">
        <v>1</v>
      </c>
      <c r="N19" s="133">
        <v>447684</v>
      </c>
      <c r="O19" s="133">
        <v>447.68400000000003</v>
      </c>
      <c r="P19" s="137">
        <v>1.4E-5</v>
      </c>
      <c r="Q19" s="137">
        <v>-1.6458E-2</v>
      </c>
      <c r="R19" s="133">
        <v>11.367000000000001</v>
      </c>
      <c r="S19" t="s">
        <v>45</v>
      </c>
      <c r="T19" t="s">
        <v>45</v>
      </c>
      <c r="U19" t="s">
        <v>100</v>
      </c>
      <c r="V19" t="s">
        <v>671</v>
      </c>
      <c r="W19" t="s">
        <v>672</v>
      </c>
      <c r="X19" t="s">
        <v>673</v>
      </c>
      <c r="Y19" t="s">
        <v>51</v>
      </c>
      <c r="Z19" t="s">
        <v>527</v>
      </c>
      <c r="AA19" t="s">
        <v>674</v>
      </c>
      <c r="AB19" t="s">
        <v>675</v>
      </c>
      <c r="AC19" t="s">
        <v>676</v>
      </c>
      <c r="AD19" t="s">
        <v>243</v>
      </c>
      <c r="AE19" t="s">
        <v>677</v>
      </c>
      <c r="AF19" t="s">
        <v>675</v>
      </c>
      <c r="AG19" t="s">
        <v>675</v>
      </c>
      <c r="AH19" t="s">
        <v>675</v>
      </c>
      <c r="AI19" s="133">
        <v>3.7149999999999999</v>
      </c>
      <c r="AJ19" t="s">
        <v>678</v>
      </c>
      <c r="AK19" t="s">
        <v>51</v>
      </c>
      <c r="AL19" t="s">
        <v>240</v>
      </c>
      <c r="AM19" t="s">
        <v>679</v>
      </c>
      <c r="AN19" s="137">
        <v>1.0510000000000001E-3</v>
      </c>
      <c r="AO19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"/>
  <sheetViews>
    <sheetView rightToLeft="1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60</v>
      </c>
      <c r="H1" s="14" t="s">
        <v>708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709</v>
      </c>
      <c r="N1" s="14" t="s">
        <v>710</v>
      </c>
      <c r="O1" s="140" t="s">
        <v>711</v>
      </c>
      <c r="P1" s="14" t="s">
        <v>85</v>
      </c>
      <c r="Q1" s="14" t="s">
        <v>86</v>
      </c>
      <c r="R1" s="14" t="s">
        <v>712</v>
      </c>
      <c r="S1" s="14" t="s">
        <v>30</v>
      </c>
      <c r="T1" s="14" t="s">
        <v>82</v>
      </c>
      <c r="U1" s="14" t="s">
        <v>713</v>
      </c>
      <c r="V1" s="136" t="s">
        <v>83</v>
      </c>
      <c r="W1" s="14" t="s">
        <v>106</v>
      </c>
      <c r="X1" s="14" t="s">
        <v>111</v>
      </c>
      <c r="Y1" s="143" t="s">
        <v>714</v>
      </c>
      <c r="Z1" s="136" t="s">
        <v>84</v>
      </c>
      <c r="AA1" s="14" t="s">
        <v>103</v>
      </c>
      <c r="AB1" s="14" t="s">
        <v>112</v>
      </c>
      <c r="AC1" s="14" t="s">
        <v>715</v>
      </c>
      <c r="AD1" s="145" t="s">
        <v>716</v>
      </c>
      <c r="AE1" s="136" t="s">
        <v>717</v>
      </c>
      <c r="AF1" s="140" t="s">
        <v>718</v>
      </c>
      <c r="AG1" s="14" t="s">
        <v>719</v>
      </c>
      <c r="AH1" s="14" t="s">
        <v>720</v>
      </c>
      <c r="AI1" s="14" t="s">
        <v>721</v>
      </c>
      <c r="AJ1" s="14" t="s">
        <v>722</v>
      </c>
      <c r="AK1" s="14" t="s">
        <v>114</v>
      </c>
      <c r="AL1" s="14" t="s">
        <v>116</v>
      </c>
      <c r="AM1" s="14" t="s">
        <v>115</v>
      </c>
      <c r="AN1" s="140" t="s">
        <v>117</v>
      </c>
      <c r="AO1" s="140" t="s">
        <v>118</v>
      </c>
      <c r="AP1" s="136" t="s">
        <v>723</v>
      </c>
      <c r="AQ1" s="14" t="s">
        <v>724</v>
      </c>
      <c r="AR1" s="138" t="s">
        <v>725</v>
      </c>
      <c r="AS1" s="134" t="s">
        <v>34</v>
      </c>
      <c r="AT1" s="14" t="s">
        <v>36</v>
      </c>
      <c r="AU1" s="14" t="s">
        <v>726</v>
      </c>
      <c r="AV1" s="14" t="s">
        <v>104</v>
      </c>
      <c r="AW1" s="14" t="s">
        <v>119</v>
      </c>
      <c r="AX1" s="14" t="s">
        <v>113</v>
      </c>
      <c r="AY1" s="14" t="s">
        <v>105</v>
      </c>
      <c r="AZ1" s="136" t="s">
        <v>37</v>
      </c>
      <c r="BA1" s="136" t="s">
        <v>38</v>
      </c>
    </row>
    <row r="2" spans="1:53" s="125" customFormat="1">
      <c r="A2" s="125">
        <v>14076</v>
      </c>
      <c r="B2" s="125">
        <v>14077</v>
      </c>
      <c r="C2" s="125" t="s">
        <v>727</v>
      </c>
      <c r="D2" s="125" t="s">
        <v>41</v>
      </c>
      <c r="E2" s="125" t="s">
        <v>728</v>
      </c>
      <c r="F2" s="125" t="s">
        <v>729</v>
      </c>
      <c r="G2" s="125" t="s">
        <v>730</v>
      </c>
      <c r="I2" s="125" t="s">
        <v>45</v>
      </c>
      <c r="J2" s="125" t="s">
        <v>45</v>
      </c>
      <c r="K2" s="125" t="s">
        <v>731</v>
      </c>
      <c r="L2" s="125" t="s">
        <v>51</v>
      </c>
      <c r="M2" s="125" t="s">
        <v>51</v>
      </c>
      <c r="O2" s="141" t="s">
        <v>732</v>
      </c>
      <c r="P2" s="125" t="s">
        <v>733</v>
      </c>
      <c r="Q2" s="125" t="s">
        <v>733</v>
      </c>
      <c r="R2" s="125" t="s">
        <v>734</v>
      </c>
      <c r="S2" s="125" t="s">
        <v>52</v>
      </c>
      <c r="T2" s="125" t="s">
        <v>735</v>
      </c>
      <c r="U2" s="125" t="s">
        <v>215</v>
      </c>
      <c r="V2" s="137">
        <v>5.2537E-2</v>
      </c>
      <c r="W2" s="125" t="s">
        <v>736</v>
      </c>
      <c r="X2" s="125" t="s">
        <v>363</v>
      </c>
      <c r="Y2" s="144">
        <v>5.2537E-2</v>
      </c>
      <c r="Z2" s="137">
        <v>4.7300000000000002E-2</v>
      </c>
      <c r="AA2" s="125" t="s">
        <v>737</v>
      </c>
      <c r="AB2" s="125" t="s">
        <v>131</v>
      </c>
      <c r="AC2" s="125" t="s">
        <v>738</v>
      </c>
      <c r="AE2" s="137">
        <v>0</v>
      </c>
      <c r="AG2" s="125" t="s">
        <v>51</v>
      </c>
      <c r="AH2" s="125" t="s">
        <v>215</v>
      </c>
      <c r="AI2" s="125" t="s">
        <v>738</v>
      </c>
      <c r="AJ2" s="125" t="s">
        <v>51</v>
      </c>
      <c r="AK2" s="125" t="s">
        <v>132</v>
      </c>
      <c r="AL2" s="125" t="s">
        <v>739</v>
      </c>
      <c r="AM2" s="125" t="s">
        <v>133</v>
      </c>
      <c r="AN2" s="141" t="s">
        <v>134</v>
      </c>
      <c r="AP2" s="137">
        <v>0</v>
      </c>
      <c r="AQ2" s="133">
        <v>137081.67000000001</v>
      </c>
      <c r="AR2" s="139">
        <v>102.117</v>
      </c>
      <c r="AS2" s="135">
        <v>1</v>
      </c>
      <c r="AT2" s="133">
        <v>139.98400000000001</v>
      </c>
      <c r="AU2" s="133">
        <v>139.98400000000001</v>
      </c>
      <c r="AX2" s="125" t="s">
        <v>51</v>
      </c>
      <c r="AY2" s="125" t="s">
        <v>135</v>
      </c>
      <c r="AZ2" s="137">
        <v>1</v>
      </c>
      <c r="BA2" s="137">
        <v>4.64779515367839E-3</v>
      </c>
    </row>
    <row r="3" spans="1:53" s="125" customFormat="1">
      <c r="A3" s="125">
        <v>161</v>
      </c>
      <c r="B3" s="125">
        <v>9943</v>
      </c>
      <c r="C3" s="125" t="s">
        <v>727</v>
      </c>
      <c r="D3" s="125" t="s">
        <v>41</v>
      </c>
      <c r="E3" s="125" t="s">
        <v>740</v>
      </c>
      <c r="F3" s="125" t="s">
        <v>741</v>
      </c>
      <c r="G3" s="125" t="s">
        <v>730</v>
      </c>
      <c r="I3" s="125" t="s">
        <v>45</v>
      </c>
      <c r="J3" s="125" t="s">
        <v>45</v>
      </c>
      <c r="K3" s="125" t="s">
        <v>731</v>
      </c>
      <c r="L3" s="125" t="s">
        <v>51</v>
      </c>
      <c r="M3" s="125" t="s">
        <v>51</v>
      </c>
      <c r="O3" s="141" t="s">
        <v>742</v>
      </c>
      <c r="P3" s="125" t="s">
        <v>733</v>
      </c>
      <c r="Q3" s="125" t="s">
        <v>733</v>
      </c>
      <c r="R3" s="125" t="s">
        <v>734</v>
      </c>
      <c r="S3" s="125" t="s">
        <v>52</v>
      </c>
      <c r="T3" s="125" t="s">
        <v>743</v>
      </c>
      <c r="U3" s="125" t="s">
        <v>215</v>
      </c>
      <c r="V3" s="137">
        <v>5.2767000000000001E-2</v>
      </c>
      <c r="W3" s="125" t="s">
        <v>736</v>
      </c>
      <c r="X3" s="125" t="s">
        <v>363</v>
      </c>
      <c r="Y3" s="144">
        <v>5.2767000000000001E-2</v>
      </c>
      <c r="Z3" s="137">
        <v>4.7100000000000003E-2</v>
      </c>
      <c r="AA3" s="125" t="s">
        <v>744</v>
      </c>
      <c r="AB3" s="125" t="s">
        <v>131</v>
      </c>
      <c r="AC3" s="125" t="s">
        <v>738</v>
      </c>
      <c r="AE3" s="137">
        <v>0</v>
      </c>
      <c r="AG3" s="125" t="s">
        <v>51</v>
      </c>
      <c r="AH3" s="125" t="s">
        <v>215</v>
      </c>
      <c r="AI3" s="125" t="s">
        <v>738</v>
      </c>
      <c r="AJ3" s="125" t="s">
        <v>51</v>
      </c>
      <c r="AK3" s="125" t="s">
        <v>132</v>
      </c>
      <c r="AL3" s="125" t="s">
        <v>739</v>
      </c>
      <c r="AM3" s="125" t="s">
        <v>133</v>
      </c>
      <c r="AN3" s="141" t="s">
        <v>134</v>
      </c>
      <c r="AP3" s="137">
        <v>0</v>
      </c>
      <c r="AQ3" s="133">
        <v>17128947.420000002</v>
      </c>
      <c r="AR3" s="139">
        <v>101.598</v>
      </c>
      <c r="AS3" s="135">
        <v>1</v>
      </c>
      <c r="AT3" s="133">
        <v>17402.659</v>
      </c>
      <c r="AU3" s="133">
        <v>17402.659</v>
      </c>
      <c r="AX3" s="125" t="s">
        <v>51</v>
      </c>
      <c r="AY3" s="125" t="s">
        <v>135</v>
      </c>
      <c r="AZ3" s="137">
        <v>0.603874455331326</v>
      </c>
      <c r="BA3" s="137">
        <v>8.8804970234818408E-3</v>
      </c>
    </row>
    <row r="4" spans="1:53" s="125" customFormat="1">
      <c r="A4" s="125">
        <v>161</v>
      </c>
      <c r="B4" s="125">
        <v>9943</v>
      </c>
      <c r="C4" s="125" t="s">
        <v>745</v>
      </c>
      <c r="D4" s="125" t="s">
        <v>41</v>
      </c>
      <c r="E4" s="125" t="s">
        <v>746</v>
      </c>
      <c r="F4" s="125" t="s">
        <v>747</v>
      </c>
      <c r="G4" s="125" t="s">
        <v>748</v>
      </c>
      <c r="I4" s="125" t="s">
        <v>45</v>
      </c>
      <c r="J4" s="125" t="s">
        <v>45</v>
      </c>
      <c r="K4" s="125" t="s">
        <v>1062</v>
      </c>
      <c r="L4" s="125" t="s">
        <v>51</v>
      </c>
      <c r="M4" s="125" t="s">
        <v>243</v>
      </c>
      <c r="N4" s="125" t="s">
        <v>3585</v>
      </c>
      <c r="O4" s="141" t="s">
        <v>749</v>
      </c>
      <c r="P4" s="125" t="s">
        <v>183</v>
      </c>
      <c r="Q4" s="125" t="s">
        <v>167</v>
      </c>
      <c r="R4" s="125" t="s">
        <v>734</v>
      </c>
      <c r="S4" s="125" t="s">
        <v>52</v>
      </c>
      <c r="T4" s="125" t="s">
        <v>750</v>
      </c>
      <c r="U4" s="125" t="s">
        <v>751</v>
      </c>
      <c r="V4" s="137">
        <v>0.03</v>
      </c>
      <c r="W4" s="125" t="s">
        <v>736</v>
      </c>
      <c r="X4" s="125" t="s">
        <v>675</v>
      </c>
      <c r="Y4" s="144">
        <v>0</v>
      </c>
      <c r="Z4" s="137">
        <v>3.5200000000000002E-2</v>
      </c>
      <c r="AA4" s="125" t="s">
        <v>752</v>
      </c>
      <c r="AB4" s="125" t="s">
        <v>131</v>
      </c>
      <c r="AE4" s="137">
        <v>0</v>
      </c>
      <c r="AG4" s="125" t="s">
        <v>243</v>
      </c>
      <c r="AH4" s="125" t="s">
        <v>753</v>
      </c>
      <c r="AI4" s="125" t="s">
        <v>754</v>
      </c>
      <c r="AJ4" s="125" t="s">
        <v>243</v>
      </c>
      <c r="AK4" s="125" t="s">
        <v>132</v>
      </c>
      <c r="AL4" s="125" t="s">
        <v>739</v>
      </c>
      <c r="AM4" s="125" t="s">
        <v>245</v>
      </c>
      <c r="AN4" s="141" t="s">
        <v>134</v>
      </c>
      <c r="AP4" s="137">
        <v>0</v>
      </c>
      <c r="AQ4" s="133">
        <v>617466.01</v>
      </c>
      <c r="AR4" s="139">
        <v>112.46</v>
      </c>
      <c r="AS4" s="135">
        <v>1</v>
      </c>
      <c r="AT4" s="133">
        <v>694.40200000000004</v>
      </c>
      <c r="AU4" s="133">
        <v>694.40200000000004</v>
      </c>
      <c r="AX4" s="125" t="s">
        <v>51</v>
      </c>
      <c r="AY4" s="125" t="s">
        <v>135</v>
      </c>
      <c r="AZ4" s="137">
        <v>2.40958463529444E-2</v>
      </c>
      <c r="BA4" s="137">
        <v>3.5435029570540999E-4</v>
      </c>
    </row>
    <row r="5" spans="1:53" s="125" customFormat="1">
      <c r="A5" s="125">
        <v>161</v>
      </c>
      <c r="B5" s="125">
        <v>9943</v>
      </c>
      <c r="C5" s="125" t="s">
        <v>745</v>
      </c>
      <c r="D5" s="125" t="s">
        <v>41</v>
      </c>
      <c r="E5" s="125" t="s">
        <v>755</v>
      </c>
      <c r="F5" s="125" t="s">
        <v>756</v>
      </c>
      <c r="G5" s="125" t="s">
        <v>748</v>
      </c>
      <c r="I5" s="125" t="s">
        <v>45</v>
      </c>
      <c r="J5" s="125" t="s">
        <v>45</v>
      </c>
      <c r="K5" s="125" t="s">
        <v>1062</v>
      </c>
      <c r="L5" s="125" t="s">
        <v>51</v>
      </c>
      <c r="M5" s="125" t="s">
        <v>243</v>
      </c>
      <c r="N5" s="125" t="s">
        <v>3586</v>
      </c>
      <c r="O5" s="141" t="s">
        <v>749</v>
      </c>
      <c r="P5" s="125" t="s">
        <v>183</v>
      </c>
      <c r="Q5" s="125" t="s">
        <v>167</v>
      </c>
      <c r="R5" s="125" t="s">
        <v>734</v>
      </c>
      <c r="S5" s="125" t="s">
        <v>52</v>
      </c>
      <c r="T5" s="125" t="s">
        <v>750</v>
      </c>
      <c r="U5" s="125" t="s">
        <v>751</v>
      </c>
      <c r="V5" s="137">
        <v>0.03</v>
      </c>
      <c r="W5" s="125" t="s">
        <v>736</v>
      </c>
      <c r="X5" s="125" t="s">
        <v>675</v>
      </c>
      <c r="Y5" s="144">
        <v>0</v>
      </c>
      <c r="Z5" s="137">
        <v>3.5200000000000002E-2</v>
      </c>
      <c r="AA5" s="125" t="s">
        <v>752</v>
      </c>
      <c r="AB5" s="125" t="s">
        <v>131</v>
      </c>
      <c r="AE5" s="137">
        <v>0</v>
      </c>
      <c r="AG5" s="125" t="s">
        <v>243</v>
      </c>
      <c r="AH5" s="125" t="s">
        <v>753</v>
      </c>
      <c r="AI5" s="125" t="s">
        <v>754</v>
      </c>
      <c r="AJ5" s="125" t="s">
        <v>243</v>
      </c>
      <c r="AK5" s="125" t="s">
        <v>132</v>
      </c>
      <c r="AL5" s="125" t="s">
        <v>739</v>
      </c>
      <c r="AM5" s="125" t="s">
        <v>245</v>
      </c>
      <c r="AN5" s="141" t="s">
        <v>134</v>
      </c>
      <c r="AP5" s="137">
        <v>0</v>
      </c>
      <c r="AQ5" s="133">
        <v>9533414.5999999996</v>
      </c>
      <c r="AR5" s="139">
        <v>112.46</v>
      </c>
      <c r="AS5" s="135">
        <v>1</v>
      </c>
      <c r="AT5" s="133">
        <v>10721.278</v>
      </c>
      <c r="AU5" s="133">
        <v>10721.278</v>
      </c>
      <c r="AX5" s="125" t="s">
        <v>51</v>
      </c>
      <c r="AY5" s="125" t="s">
        <v>135</v>
      </c>
      <c r="AZ5" s="137">
        <v>0.37202969831572902</v>
      </c>
      <c r="BA5" s="137">
        <v>5.4710190162407003E-3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29</v>
      </c>
      <c r="M1" s="14" t="s">
        <v>61</v>
      </c>
      <c r="N1" s="140" t="s">
        <v>102</v>
      </c>
      <c r="O1" s="14" t="s">
        <v>85</v>
      </c>
      <c r="P1" s="14" t="s">
        <v>86</v>
      </c>
      <c r="Q1" s="14" t="s">
        <v>87</v>
      </c>
      <c r="R1" s="14" t="s">
        <v>30</v>
      </c>
      <c r="S1" s="14" t="s">
        <v>82</v>
      </c>
      <c r="T1" s="136" t="s">
        <v>83</v>
      </c>
      <c r="U1" s="136" t="s">
        <v>84</v>
      </c>
      <c r="V1" s="14" t="s">
        <v>114</v>
      </c>
      <c r="W1" s="14" t="s">
        <v>115</v>
      </c>
      <c r="X1" s="140" t="s">
        <v>117</v>
      </c>
      <c r="Y1" s="14" t="s">
        <v>33</v>
      </c>
      <c r="Z1" s="134" t="s">
        <v>34</v>
      </c>
      <c r="AA1" s="138" t="s">
        <v>35</v>
      </c>
      <c r="AB1" s="14" t="s">
        <v>36</v>
      </c>
      <c r="AC1" s="136" t="s">
        <v>37</v>
      </c>
      <c r="AD1" s="136" t="s">
        <v>38</v>
      </c>
    </row>
    <row r="2" spans="1:30" s="125" customFormat="1">
      <c r="A2" s="125">
        <v>161</v>
      </c>
      <c r="B2" s="125">
        <v>9943</v>
      </c>
      <c r="C2" s="125" t="s">
        <v>274</v>
      </c>
      <c r="D2" s="125" t="s">
        <v>275</v>
      </c>
      <c r="E2" s="125" t="s">
        <v>64</v>
      </c>
      <c r="F2" s="125" t="s">
        <v>757</v>
      </c>
      <c r="G2" s="125" t="s">
        <v>758</v>
      </c>
      <c r="H2" s="125" t="s">
        <v>44</v>
      </c>
      <c r="I2" s="125" t="s">
        <v>1541</v>
      </c>
      <c r="J2" s="125" t="s">
        <v>68</v>
      </c>
      <c r="K2" s="125" t="s">
        <v>69</v>
      </c>
      <c r="L2" s="125" t="s">
        <v>51</v>
      </c>
      <c r="M2" s="125" t="s">
        <v>215</v>
      </c>
      <c r="N2" s="141" t="s">
        <v>759</v>
      </c>
      <c r="O2" s="125" t="s">
        <v>733</v>
      </c>
      <c r="P2" s="125" t="s">
        <v>733</v>
      </c>
      <c r="Q2" s="125" t="s">
        <v>733</v>
      </c>
      <c r="R2" s="125" t="s">
        <v>72</v>
      </c>
      <c r="S2" s="125" t="s">
        <v>760</v>
      </c>
      <c r="T2" s="137">
        <v>0</v>
      </c>
      <c r="U2" s="137">
        <v>0</v>
      </c>
      <c r="V2" s="125" t="s">
        <v>215</v>
      </c>
      <c r="W2" s="125" t="s">
        <v>133</v>
      </c>
      <c r="X2" s="141" t="s">
        <v>761</v>
      </c>
      <c r="Y2" s="133">
        <v>45</v>
      </c>
      <c r="Z2" s="135">
        <v>3.165</v>
      </c>
      <c r="AA2" s="139">
        <v>3.2000000000000001E-2</v>
      </c>
      <c r="AB2" s="133">
        <v>0</v>
      </c>
      <c r="AC2" s="137">
        <v>1</v>
      </c>
      <c r="AD2" s="137">
        <v>2.2963293589842799E-11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762</v>
      </c>
      <c r="D1" s="14" t="s">
        <v>763</v>
      </c>
      <c r="E1" s="14" t="s">
        <v>764</v>
      </c>
      <c r="F1" s="14" t="s">
        <v>60</v>
      </c>
      <c r="G1" s="14" t="s">
        <v>765</v>
      </c>
      <c r="H1" s="14" t="s">
        <v>22</v>
      </c>
      <c r="I1" s="14" t="s">
        <v>23</v>
      </c>
      <c r="J1" s="14" t="s">
        <v>29</v>
      </c>
      <c r="K1" s="14" t="s">
        <v>766</v>
      </c>
      <c r="L1" s="14" t="s">
        <v>86</v>
      </c>
      <c r="M1" s="14" t="s">
        <v>30</v>
      </c>
      <c r="N1" s="14" t="s">
        <v>82</v>
      </c>
      <c r="O1" s="14" t="s">
        <v>83</v>
      </c>
      <c r="P1" s="14" t="s">
        <v>84</v>
      </c>
      <c r="Q1" s="14" t="s">
        <v>767</v>
      </c>
      <c r="R1" s="14" t="s">
        <v>34</v>
      </c>
      <c r="S1" s="14" t="s">
        <v>768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769</v>
      </c>
      <c r="D1" s="14" t="s">
        <v>60</v>
      </c>
      <c r="E1" s="14" t="s">
        <v>770</v>
      </c>
      <c r="F1" s="14" t="s">
        <v>29</v>
      </c>
      <c r="G1" s="140" t="s">
        <v>102</v>
      </c>
      <c r="H1" s="14" t="s">
        <v>771</v>
      </c>
      <c r="I1" s="14" t="s">
        <v>772</v>
      </c>
      <c r="J1" s="14" t="s">
        <v>773</v>
      </c>
      <c r="K1" s="145" t="s">
        <v>774</v>
      </c>
      <c r="L1" s="14" t="s">
        <v>775</v>
      </c>
      <c r="M1" s="14" t="s">
        <v>114</v>
      </c>
      <c r="N1" s="14" t="s">
        <v>116</v>
      </c>
      <c r="O1" s="14" t="s">
        <v>115</v>
      </c>
      <c r="P1" s="140" t="s">
        <v>117</v>
      </c>
      <c r="Q1" s="14" t="s">
        <v>30</v>
      </c>
      <c r="R1" s="14" t="s">
        <v>726</v>
      </c>
      <c r="S1" s="14" t="s">
        <v>36</v>
      </c>
      <c r="T1" s="14" t="s">
        <v>104</v>
      </c>
      <c r="U1" s="14" t="s">
        <v>119</v>
      </c>
      <c r="V1" s="14" t="s">
        <v>105</v>
      </c>
      <c r="W1" s="136" t="s">
        <v>37</v>
      </c>
      <c r="X1" s="136" t="s">
        <v>38</v>
      </c>
    </row>
    <row r="2" spans="1:24" s="125" customFormat="1">
      <c r="A2" s="125">
        <v>161</v>
      </c>
      <c r="B2" s="125">
        <v>9943</v>
      </c>
      <c r="C2" s="125" t="s">
        <v>776</v>
      </c>
      <c r="D2" s="125" t="s">
        <v>777</v>
      </c>
      <c r="E2" s="125" t="s">
        <v>45</v>
      </c>
      <c r="F2" s="125" t="s">
        <v>51</v>
      </c>
      <c r="G2" s="141" t="s">
        <v>222</v>
      </c>
      <c r="H2" s="125" t="s">
        <v>215</v>
      </c>
      <c r="I2" s="125" t="s">
        <v>215</v>
      </c>
      <c r="J2" s="125" t="s">
        <v>778</v>
      </c>
      <c r="L2" s="125" t="s">
        <v>779</v>
      </c>
      <c r="M2" s="125" t="s">
        <v>365</v>
      </c>
      <c r="N2" s="125" t="s">
        <v>780</v>
      </c>
      <c r="O2" s="125" t="s">
        <v>133</v>
      </c>
      <c r="P2" s="141" t="s">
        <v>259</v>
      </c>
      <c r="Q2" s="125" t="s">
        <v>52</v>
      </c>
      <c r="R2" s="133">
        <v>567.50400000000002</v>
      </c>
      <c r="S2" s="133">
        <v>567.50400000000002</v>
      </c>
      <c r="V2" s="125" t="s">
        <v>135</v>
      </c>
      <c r="W2" s="137">
        <v>1</v>
      </c>
      <c r="X2" s="137">
        <v>2.8959468804649901E-4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60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114</v>
      </c>
      <c r="P1" s="14" t="s">
        <v>115</v>
      </c>
      <c r="Q1" s="14" t="s">
        <v>117</v>
      </c>
      <c r="R1" s="14" t="s">
        <v>118</v>
      </c>
      <c r="S1" s="14" t="s">
        <v>781</v>
      </c>
      <c r="T1" s="14" t="s">
        <v>782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3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783</v>
      </c>
      <c r="D1" s="14" t="s">
        <v>784</v>
      </c>
      <c r="E1" s="14" t="s">
        <v>60</v>
      </c>
      <c r="F1" s="14" t="s">
        <v>22</v>
      </c>
      <c r="G1" s="14" t="s">
        <v>23</v>
      </c>
      <c r="H1" s="14" t="s">
        <v>29</v>
      </c>
      <c r="I1" s="140" t="s">
        <v>785</v>
      </c>
      <c r="J1" s="14" t="s">
        <v>30</v>
      </c>
      <c r="K1" s="140" t="s">
        <v>117</v>
      </c>
      <c r="L1" s="14" t="s">
        <v>767</v>
      </c>
      <c r="M1" s="134" t="s">
        <v>34</v>
      </c>
      <c r="N1" s="14" t="s">
        <v>36</v>
      </c>
      <c r="O1" s="14" t="s">
        <v>104</v>
      </c>
      <c r="P1" s="14" t="s">
        <v>105</v>
      </c>
      <c r="Q1" s="136" t="s">
        <v>37</v>
      </c>
      <c r="R1" s="136" t="s">
        <v>38</v>
      </c>
    </row>
    <row r="2" spans="1:18" s="125" customFormat="1">
      <c r="A2" s="125">
        <v>14076</v>
      </c>
      <c r="B2" s="125">
        <v>14077</v>
      </c>
      <c r="C2" s="125" t="s">
        <v>786</v>
      </c>
      <c r="D2" s="125" t="s">
        <v>787</v>
      </c>
      <c r="E2" s="125" t="s">
        <v>788</v>
      </c>
      <c r="F2" s="125" t="s">
        <v>45</v>
      </c>
      <c r="G2" s="125" t="s">
        <v>45</v>
      </c>
      <c r="H2" s="125" t="s">
        <v>51</v>
      </c>
      <c r="J2" s="125" t="s">
        <v>52</v>
      </c>
      <c r="K2" s="141" t="s">
        <v>134</v>
      </c>
      <c r="L2" s="133">
        <v>-8.69</v>
      </c>
      <c r="M2" s="135">
        <v>1</v>
      </c>
      <c r="N2" s="133">
        <v>-8.69</v>
      </c>
      <c r="P2" s="125" t="s">
        <v>135</v>
      </c>
      <c r="Q2" s="137">
        <v>0.87039667292363199</v>
      </c>
      <c r="R2" s="137">
        <v>-2.8851645054126798E-4</v>
      </c>
    </row>
    <row r="3" spans="1:18" s="125" customFormat="1">
      <c r="A3" s="125">
        <v>14076</v>
      </c>
      <c r="B3" s="125">
        <v>14077</v>
      </c>
      <c r="C3" s="125" t="s">
        <v>789</v>
      </c>
      <c r="D3" s="125" t="s">
        <v>790</v>
      </c>
      <c r="E3" s="125" t="s">
        <v>791</v>
      </c>
      <c r="F3" s="125" t="s">
        <v>45</v>
      </c>
      <c r="G3" s="125" t="s">
        <v>45</v>
      </c>
      <c r="H3" s="125" t="s">
        <v>51</v>
      </c>
      <c r="J3" s="125" t="s">
        <v>52</v>
      </c>
      <c r="K3" s="141" t="s">
        <v>134</v>
      </c>
      <c r="L3" s="133">
        <v>-1.294</v>
      </c>
      <c r="M3" s="135">
        <v>1</v>
      </c>
      <c r="N3" s="133">
        <v>-1.294</v>
      </c>
      <c r="P3" s="125" t="s">
        <v>135</v>
      </c>
      <c r="Q3" s="137">
        <v>0.12960332707636801</v>
      </c>
      <c r="R3" s="137">
        <v>-4.2960517967988001E-5</v>
      </c>
    </row>
    <row r="4" spans="1:18" s="125" customFormat="1">
      <c r="A4" s="125">
        <v>14076</v>
      </c>
      <c r="B4" s="125">
        <v>14078</v>
      </c>
      <c r="C4" s="125" t="s">
        <v>786</v>
      </c>
      <c r="D4" s="125" t="s">
        <v>787</v>
      </c>
      <c r="E4" s="125" t="s">
        <v>788</v>
      </c>
      <c r="F4" s="125" t="s">
        <v>45</v>
      </c>
      <c r="G4" s="125" t="s">
        <v>45</v>
      </c>
      <c r="H4" s="125" t="s">
        <v>51</v>
      </c>
      <c r="J4" s="125" t="s">
        <v>52</v>
      </c>
      <c r="K4" s="141" t="s">
        <v>134</v>
      </c>
      <c r="L4" s="133">
        <v>-1.2070000000000001</v>
      </c>
      <c r="M4" s="135">
        <v>1</v>
      </c>
      <c r="N4" s="133">
        <v>-1.2070000000000001</v>
      </c>
      <c r="P4" s="125" t="s">
        <v>135</v>
      </c>
      <c r="Q4" s="137">
        <v>0.34737196474660598</v>
      </c>
      <c r="R4" s="137">
        <v>-2.9579846075760303E-4</v>
      </c>
    </row>
    <row r="5" spans="1:18" s="125" customFormat="1">
      <c r="A5" s="125">
        <v>14076</v>
      </c>
      <c r="B5" s="125">
        <v>14078</v>
      </c>
      <c r="C5" s="125" t="s">
        <v>792</v>
      </c>
      <c r="D5" s="125" t="s">
        <v>793</v>
      </c>
      <c r="E5" s="125" t="s">
        <v>788</v>
      </c>
      <c r="F5" s="125" t="s">
        <v>45</v>
      </c>
      <c r="G5" s="125" t="s">
        <v>45</v>
      </c>
      <c r="H5" s="125" t="s">
        <v>51</v>
      </c>
      <c r="J5" s="125" t="s">
        <v>52</v>
      </c>
      <c r="K5" s="141" t="s">
        <v>134</v>
      </c>
      <c r="L5" s="133">
        <v>0</v>
      </c>
      <c r="M5" s="135">
        <v>1</v>
      </c>
      <c r="N5" s="133">
        <v>0</v>
      </c>
      <c r="P5" s="125" t="s">
        <v>135</v>
      </c>
      <c r="Q5" s="137">
        <v>4.8915092032307002E-5</v>
      </c>
      <c r="R5" s="137">
        <v>-4.1652782605894697E-8</v>
      </c>
    </row>
    <row r="6" spans="1:18" s="125" customFormat="1">
      <c r="A6" s="125">
        <v>14076</v>
      </c>
      <c r="B6" s="125">
        <v>14078</v>
      </c>
      <c r="C6" s="125" t="s">
        <v>789</v>
      </c>
      <c r="D6" s="125" t="s">
        <v>790</v>
      </c>
      <c r="E6" s="125" t="s">
        <v>791</v>
      </c>
      <c r="F6" s="125" t="s">
        <v>45</v>
      </c>
      <c r="G6" s="125" t="s">
        <v>45</v>
      </c>
      <c r="H6" s="125" t="s">
        <v>51</v>
      </c>
      <c r="J6" s="125" t="s">
        <v>52</v>
      </c>
      <c r="K6" s="141" t="s">
        <v>134</v>
      </c>
      <c r="L6" s="133">
        <v>-2.2679999999999998</v>
      </c>
      <c r="M6" s="135">
        <v>1</v>
      </c>
      <c r="N6" s="133">
        <v>-2.2679999999999998</v>
      </c>
      <c r="P6" s="125" t="s">
        <v>135</v>
      </c>
      <c r="Q6" s="137">
        <v>0.65257912016136199</v>
      </c>
      <c r="R6" s="137">
        <v>-5.5569222290892395E-4</v>
      </c>
    </row>
    <row r="7" spans="1:18" s="125" customFormat="1">
      <c r="A7" s="125">
        <v>14076</v>
      </c>
      <c r="B7" s="125">
        <v>14079</v>
      </c>
      <c r="C7" s="125" t="s">
        <v>786</v>
      </c>
      <c r="D7" s="125" t="s">
        <v>787</v>
      </c>
      <c r="E7" s="125" t="s">
        <v>788</v>
      </c>
      <c r="F7" s="125" t="s">
        <v>45</v>
      </c>
      <c r="G7" s="125" t="s">
        <v>45</v>
      </c>
      <c r="H7" s="125" t="s">
        <v>51</v>
      </c>
      <c r="J7" s="125" t="s">
        <v>52</v>
      </c>
      <c r="K7" s="141" t="s">
        <v>134</v>
      </c>
      <c r="L7" s="133">
        <v>-4.3319999999999999</v>
      </c>
      <c r="M7" s="135">
        <v>1</v>
      </c>
      <c r="N7" s="133">
        <v>-4.3319999999999999</v>
      </c>
      <c r="P7" s="125" t="s">
        <v>135</v>
      </c>
      <c r="Q7" s="137">
        <v>0.93487302008671802</v>
      </c>
      <c r="R7" s="137">
        <v>-3.0519058527856199E-4</v>
      </c>
    </row>
    <row r="8" spans="1:18" s="125" customFormat="1">
      <c r="A8" s="125">
        <v>14076</v>
      </c>
      <c r="B8" s="125">
        <v>14079</v>
      </c>
      <c r="C8" s="125" t="s">
        <v>789</v>
      </c>
      <c r="D8" s="125" t="s">
        <v>790</v>
      </c>
      <c r="E8" s="125" t="s">
        <v>791</v>
      </c>
      <c r="F8" s="125" t="s">
        <v>45</v>
      </c>
      <c r="G8" s="125" t="s">
        <v>45</v>
      </c>
      <c r="H8" s="125" t="s">
        <v>51</v>
      </c>
      <c r="J8" s="125" t="s">
        <v>52</v>
      </c>
      <c r="K8" s="141" t="s">
        <v>134</v>
      </c>
      <c r="L8" s="133">
        <v>-0.30199999999999999</v>
      </c>
      <c r="M8" s="135">
        <v>1</v>
      </c>
      <c r="N8" s="133">
        <v>-0.30199999999999999</v>
      </c>
      <c r="P8" s="125" t="s">
        <v>135</v>
      </c>
      <c r="Q8" s="137">
        <v>6.5126979913281993E-2</v>
      </c>
      <c r="R8" s="137">
        <v>-2.12607923109344E-5</v>
      </c>
    </row>
    <row r="9" spans="1:18" s="125" customFormat="1">
      <c r="A9" s="125">
        <v>14076</v>
      </c>
      <c r="B9" s="125">
        <v>15394</v>
      </c>
      <c r="C9" s="125" t="s">
        <v>786</v>
      </c>
      <c r="D9" s="125" t="s">
        <v>787</v>
      </c>
      <c r="E9" s="125" t="s">
        <v>788</v>
      </c>
      <c r="F9" s="125" t="s">
        <v>45</v>
      </c>
      <c r="G9" s="125" t="s">
        <v>45</v>
      </c>
      <c r="H9" s="125" t="s">
        <v>51</v>
      </c>
      <c r="J9" s="125" t="s">
        <v>52</v>
      </c>
      <c r="K9" s="141" t="s">
        <v>134</v>
      </c>
      <c r="L9" s="133">
        <v>-1.8340000000000001</v>
      </c>
      <c r="M9" s="135">
        <v>1</v>
      </c>
      <c r="N9" s="133">
        <v>-1.8340000000000001</v>
      </c>
      <c r="P9" s="125" t="s">
        <v>135</v>
      </c>
      <c r="Q9" s="137">
        <v>0.427237945223992</v>
      </c>
      <c r="R9" s="137">
        <v>-3.1073799127293201E-4</v>
      </c>
    </row>
    <row r="10" spans="1:18" s="125" customFormat="1">
      <c r="A10" s="125">
        <v>14076</v>
      </c>
      <c r="B10" s="125">
        <v>15394</v>
      </c>
      <c r="C10" s="125" t="s">
        <v>789</v>
      </c>
      <c r="D10" s="125" t="s">
        <v>790</v>
      </c>
      <c r="E10" s="125" t="s">
        <v>791</v>
      </c>
      <c r="F10" s="125" t="s">
        <v>45</v>
      </c>
      <c r="G10" s="125" t="s">
        <v>45</v>
      </c>
      <c r="H10" s="125" t="s">
        <v>51</v>
      </c>
      <c r="J10" s="125" t="s">
        <v>52</v>
      </c>
      <c r="K10" s="141" t="s">
        <v>134</v>
      </c>
      <c r="L10" s="133">
        <v>-2.4580000000000002</v>
      </c>
      <c r="M10" s="135">
        <v>1</v>
      </c>
      <c r="N10" s="133">
        <v>-2.4580000000000002</v>
      </c>
      <c r="P10" s="125" t="s">
        <v>135</v>
      </c>
      <c r="Q10" s="137">
        <v>0.57276205477600695</v>
      </c>
      <c r="R10" s="137">
        <v>-4.1658034443814001E-4</v>
      </c>
    </row>
    <row r="11" spans="1:18" s="125" customFormat="1">
      <c r="A11" s="125">
        <v>161</v>
      </c>
      <c r="B11" s="125">
        <v>1434</v>
      </c>
      <c r="C11" s="125" t="s">
        <v>786</v>
      </c>
      <c r="D11" s="125" t="s">
        <v>787</v>
      </c>
      <c r="E11" s="125" t="s">
        <v>788</v>
      </c>
      <c r="F11" s="125" t="s">
        <v>45</v>
      </c>
      <c r="G11" s="125" t="s">
        <v>45</v>
      </c>
      <c r="H11" s="125" t="s">
        <v>51</v>
      </c>
      <c r="J11" s="125" t="s">
        <v>52</v>
      </c>
      <c r="K11" s="141" t="s">
        <v>134</v>
      </c>
      <c r="L11" s="133">
        <v>-6.9080000000000004</v>
      </c>
      <c r="M11" s="135">
        <v>1</v>
      </c>
      <c r="N11" s="133">
        <v>-6.9080000000000004</v>
      </c>
      <c r="P11" s="125" t="s">
        <v>135</v>
      </c>
      <c r="Q11" s="137">
        <v>0.99992762580805805</v>
      </c>
      <c r="R11" s="137">
        <v>-2.9002480714491899E-4</v>
      </c>
    </row>
    <row r="12" spans="1:18" s="125" customFormat="1">
      <c r="A12" s="125">
        <v>161</v>
      </c>
      <c r="B12" s="125">
        <v>1434</v>
      </c>
      <c r="C12" s="125" t="s">
        <v>789</v>
      </c>
      <c r="D12" s="125" t="s">
        <v>790</v>
      </c>
      <c r="E12" s="125" t="s">
        <v>791</v>
      </c>
      <c r="F12" s="125" t="s">
        <v>45</v>
      </c>
      <c r="G12" s="125" t="s">
        <v>45</v>
      </c>
      <c r="H12" s="125" t="s">
        <v>51</v>
      </c>
      <c r="J12" s="125" t="s">
        <v>52</v>
      </c>
      <c r="K12" s="141" t="s">
        <v>134</v>
      </c>
      <c r="L12" s="133">
        <v>-1E-3</v>
      </c>
      <c r="M12" s="135">
        <v>1</v>
      </c>
      <c r="N12" s="133">
        <v>-1E-3</v>
      </c>
      <c r="P12" s="125" t="s">
        <v>135</v>
      </c>
      <c r="Q12" s="137">
        <v>7.2374191942147E-5</v>
      </c>
      <c r="R12" s="137">
        <v>-2.09918303270479E-8</v>
      </c>
    </row>
    <row r="13" spans="1:18" s="125" customFormat="1">
      <c r="A13" s="125">
        <v>161</v>
      </c>
      <c r="B13" s="125">
        <v>9938</v>
      </c>
      <c r="C13" s="125" t="s">
        <v>786</v>
      </c>
      <c r="D13" s="125" t="s">
        <v>787</v>
      </c>
      <c r="E13" s="125" t="s">
        <v>788</v>
      </c>
      <c r="F13" s="125" t="s">
        <v>45</v>
      </c>
      <c r="G13" s="125" t="s">
        <v>45</v>
      </c>
      <c r="H13" s="125" t="s">
        <v>51</v>
      </c>
      <c r="J13" s="125" t="s">
        <v>52</v>
      </c>
      <c r="K13" s="141" t="s">
        <v>134</v>
      </c>
      <c r="L13" s="133">
        <v>-26.274999999999999</v>
      </c>
      <c r="M13" s="135">
        <v>1</v>
      </c>
      <c r="N13" s="133">
        <v>-26.274999999999999</v>
      </c>
      <c r="P13" s="125" t="s">
        <v>135</v>
      </c>
      <c r="Q13" s="137">
        <v>0.689948273113967</v>
      </c>
      <c r="R13" s="137">
        <v>-3.0108474909548298E-4</v>
      </c>
    </row>
    <row r="14" spans="1:18" s="125" customFormat="1">
      <c r="A14" s="125">
        <v>161</v>
      </c>
      <c r="B14" s="125">
        <v>9938</v>
      </c>
      <c r="C14" s="125" t="s">
        <v>792</v>
      </c>
      <c r="D14" s="125" t="s">
        <v>793</v>
      </c>
      <c r="E14" s="125" t="s">
        <v>788</v>
      </c>
      <c r="F14" s="125" t="s">
        <v>45</v>
      </c>
      <c r="G14" s="125" t="s">
        <v>45</v>
      </c>
      <c r="H14" s="125" t="s">
        <v>51</v>
      </c>
      <c r="J14" s="125" t="s">
        <v>52</v>
      </c>
      <c r="K14" s="141" t="s">
        <v>134</v>
      </c>
      <c r="L14" s="133">
        <v>0.98</v>
      </c>
      <c r="M14" s="135">
        <v>1</v>
      </c>
      <c r="N14" s="133">
        <v>0.98</v>
      </c>
      <c r="P14" s="125" t="s">
        <v>135</v>
      </c>
      <c r="Q14" s="137">
        <v>-2.5741340361544698E-2</v>
      </c>
      <c r="R14" s="137">
        <v>1.12331971919537E-5</v>
      </c>
    </row>
    <row r="15" spans="1:18" s="125" customFormat="1">
      <c r="A15" s="125">
        <v>161</v>
      </c>
      <c r="B15" s="125">
        <v>9938</v>
      </c>
      <c r="C15" s="125" t="s">
        <v>789</v>
      </c>
      <c r="D15" s="125" t="s">
        <v>790</v>
      </c>
      <c r="E15" s="125" t="s">
        <v>791</v>
      </c>
      <c r="F15" s="125" t="s">
        <v>45</v>
      </c>
      <c r="G15" s="125" t="s">
        <v>45</v>
      </c>
      <c r="H15" s="125" t="s">
        <v>51</v>
      </c>
      <c r="J15" s="125" t="s">
        <v>52</v>
      </c>
      <c r="K15" s="141" t="s">
        <v>134</v>
      </c>
      <c r="L15" s="133">
        <v>-12.788</v>
      </c>
      <c r="M15" s="135">
        <v>1</v>
      </c>
      <c r="N15" s="133">
        <v>-12.788</v>
      </c>
      <c r="P15" s="125" t="s">
        <v>135</v>
      </c>
      <c r="Q15" s="137">
        <v>0.33579306724757801</v>
      </c>
      <c r="R15" s="137">
        <v>-1.46535871368924E-4</v>
      </c>
    </row>
    <row r="16" spans="1:18" s="125" customFormat="1">
      <c r="A16" s="125">
        <v>161</v>
      </c>
      <c r="B16" s="125">
        <v>9942</v>
      </c>
      <c r="C16" s="125" t="s">
        <v>786</v>
      </c>
      <c r="D16" s="125" t="s">
        <v>787</v>
      </c>
      <c r="E16" s="125" t="s">
        <v>788</v>
      </c>
      <c r="F16" s="125" t="s">
        <v>45</v>
      </c>
      <c r="G16" s="125" t="s">
        <v>45</v>
      </c>
      <c r="H16" s="125" t="s">
        <v>51</v>
      </c>
      <c r="J16" s="125" t="s">
        <v>52</v>
      </c>
      <c r="K16" s="141" t="s">
        <v>134</v>
      </c>
      <c r="L16" s="133">
        <v>-30.466000000000001</v>
      </c>
      <c r="M16" s="135">
        <v>1</v>
      </c>
      <c r="N16" s="133">
        <v>-30.466000000000001</v>
      </c>
      <c r="P16" s="125" t="s">
        <v>135</v>
      </c>
      <c r="Q16" s="137">
        <v>1.0030896899049699</v>
      </c>
      <c r="R16" s="137">
        <v>-3.0163948689686698E-4</v>
      </c>
    </row>
    <row r="17" spans="1:18" s="125" customFormat="1">
      <c r="A17" s="125">
        <v>161</v>
      </c>
      <c r="B17" s="125">
        <v>9942</v>
      </c>
      <c r="C17" s="125" t="s">
        <v>792</v>
      </c>
      <c r="D17" s="125" t="s">
        <v>793</v>
      </c>
      <c r="E17" s="125" t="s">
        <v>788</v>
      </c>
      <c r="F17" s="125" t="s">
        <v>45</v>
      </c>
      <c r="G17" s="125" t="s">
        <v>45</v>
      </c>
      <c r="H17" s="125" t="s">
        <v>51</v>
      </c>
      <c r="J17" s="125" t="s">
        <v>52</v>
      </c>
      <c r="K17" s="141" t="s">
        <v>134</v>
      </c>
      <c r="L17" s="133">
        <v>1.4530000000000001</v>
      </c>
      <c r="M17" s="135">
        <v>1</v>
      </c>
      <c r="N17" s="133">
        <v>1.4530000000000001</v>
      </c>
      <c r="P17" s="125" t="s">
        <v>135</v>
      </c>
      <c r="Q17" s="137">
        <v>-4.7837842643120403E-2</v>
      </c>
      <c r="R17" s="137">
        <v>1.43853360814534E-5</v>
      </c>
    </row>
    <row r="18" spans="1:18" s="125" customFormat="1">
      <c r="A18" s="125">
        <v>161</v>
      </c>
      <c r="B18" s="125">
        <v>9942</v>
      </c>
      <c r="C18" s="125" t="s">
        <v>789</v>
      </c>
      <c r="D18" s="125" t="s">
        <v>790</v>
      </c>
      <c r="E18" s="125" t="s">
        <v>791</v>
      </c>
      <c r="F18" s="125" t="s">
        <v>45</v>
      </c>
      <c r="G18" s="125" t="s">
        <v>45</v>
      </c>
      <c r="H18" s="125" t="s">
        <v>51</v>
      </c>
      <c r="J18" s="125" t="s">
        <v>52</v>
      </c>
      <c r="K18" s="141" t="s">
        <v>134</v>
      </c>
      <c r="L18" s="133">
        <v>-1.359</v>
      </c>
      <c r="M18" s="135">
        <v>1</v>
      </c>
      <c r="N18" s="133">
        <v>-1.359</v>
      </c>
      <c r="P18" s="125" t="s">
        <v>135</v>
      </c>
      <c r="Q18" s="137">
        <v>4.4748152738148798E-2</v>
      </c>
      <c r="R18" s="137">
        <v>-1.34562342404262E-5</v>
      </c>
    </row>
    <row r="19" spans="1:18" s="125" customFormat="1">
      <c r="A19" s="125">
        <v>161</v>
      </c>
      <c r="B19" s="125">
        <v>9943</v>
      </c>
      <c r="C19" s="125" t="s">
        <v>786</v>
      </c>
      <c r="D19" s="125" t="s">
        <v>787</v>
      </c>
      <c r="E19" s="125" t="s">
        <v>788</v>
      </c>
      <c r="F19" s="125" t="s">
        <v>45</v>
      </c>
      <c r="G19" s="125" t="s">
        <v>45</v>
      </c>
      <c r="H19" s="125" t="s">
        <v>51</v>
      </c>
      <c r="J19" s="125" t="s">
        <v>52</v>
      </c>
      <c r="K19" s="141" t="s">
        <v>134</v>
      </c>
      <c r="L19" s="133">
        <v>-584.13800000000003</v>
      </c>
      <c r="M19" s="135">
        <v>1</v>
      </c>
      <c r="N19" s="133">
        <v>-584.13800000000003</v>
      </c>
      <c r="P19" s="125" t="s">
        <v>135</v>
      </c>
      <c r="Q19" s="137">
        <v>0.830151063582235</v>
      </c>
      <c r="R19" s="137">
        <v>-2.9808286037459202E-4</v>
      </c>
    </row>
    <row r="20" spans="1:18" s="125" customFormat="1">
      <c r="A20" s="125">
        <v>161</v>
      </c>
      <c r="B20" s="125">
        <v>9943</v>
      </c>
      <c r="C20" s="125" t="s">
        <v>792</v>
      </c>
      <c r="D20" s="125" t="s">
        <v>793</v>
      </c>
      <c r="E20" s="125" t="s">
        <v>788</v>
      </c>
      <c r="F20" s="125" t="s">
        <v>45</v>
      </c>
      <c r="G20" s="125" t="s">
        <v>45</v>
      </c>
      <c r="H20" s="125" t="s">
        <v>51</v>
      </c>
      <c r="J20" s="125" t="s">
        <v>52</v>
      </c>
      <c r="K20" s="141" t="s">
        <v>134</v>
      </c>
      <c r="L20" s="133">
        <v>20.263000000000002</v>
      </c>
      <c r="M20" s="135">
        <v>1</v>
      </c>
      <c r="N20" s="133">
        <v>20.263000000000002</v>
      </c>
      <c r="P20" s="125" t="s">
        <v>135</v>
      </c>
      <c r="Q20" s="137">
        <v>-2.8797426406703901E-2</v>
      </c>
      <c r="R20" s="137">
        <v>1.0340309868056699E-5</v>
      </c>
    </row>
    <row r="21" spans="1:18" s="125" customFormat="1">
      <c r="A21" s="125">
        <v>161</v>
      </c>
      <c r="B21" s="125">
        <v>9943</v>
      </c>
      <c r="C21" s="125" t="s">
        <v>794</v>
      </c>
      <c r="D21" s="125" t="s">
        <v>795</v>
      </c>
      <c r="E21" s="125" t="s">
        <v>796</v>
      </c>
      <c r="F21" s="125" t="s">
        <v>68</v>
      </c>
      <c r="G21" s="125" t="s">
        <v>342</v>
      </c>
      <c r="H21" s="125" t="s">
        <v>51</v>
      </c>
      <c r="I21" s="125" t="s">
        <v>279</v>
      </c>
      <c r="J21" s="125" t="s">
        <v>72</v>
      </c>
      <c r="K21" s="141" t="s">
        <v>259</v>
      </c>
      <c r="L21" s="133">
        <v>440</v>
      </c>
      <c r="M21" s="135">
        <v>3.165</v>
      </c>
      <c r="N21" s="133">
        <v>0</v>
      </c>
      <c r="P21" s="125" t="s">
        <v>135</v>
      </c>
      <c r="Q21" s="137">
        <v>-1.9791020063768199E-8</v>
      </c>
      <c r="R21" s="137">
        <v>7.1063739229366997E-12</v>
      </c>
    </row>
    <row r="22" spans="1:18" s="125" customFormat="1">
      <c r="A22" s="125">
        <v>161</v>
      </c>
      <c r="B22" s="125">
        <v>9943</v>
      </c>
      <c r="C22" s="125" t="s">
        <v>797</v>
      </c>
      <c r="D22" s="125" t="s">
        <v>798</v>
      </c>
      <c r="E22" s="125" t="s">
        <v>796</v>
      </c>
      <c r="F22" s="125" t="s">
        <v>45</v>
      </c>
      <c r="G22" s="125" t="s">
        <v>45</v>
      </c>
      <c r="H22" s="125" t="s">
        <v>51</v>
      </c>
      <c r="I22" s="125" t="s">
        <v>222</v>
      </c>
      <c r="J22" s="125" t="s">
        <v>52</v>
      </c>
      <c r="K22" s="141" t="s">
        <v>3369</v>
      </c>
      <c r="L22" s="133">
        <v>353.48500000000001</v>
      </c>
      <c r="M22" s="135">
        <v>1</v>
      </c>
      <c r="N22" s="133">
        <v>0</v>
      </c>
      <c r="P22" s="125" t="s">
        <v>135</v>
      </c>
      <c r="Q22" s="137">
        <v>-5.0235731262388999E-9</v>
      </c>
      <c r="R22" s="137">
        <v>1.8038175369052998E-12</v>
      </c>
    </row>
    <row r="23" spans="1:18" s="125" customFormat="1">
      <c r="A23" s="125">
        <v>161</v>
      </c>
      <c r="B23" s="125">
        <v>9943</v>
      </c>
      <c r="C23" s="125" t="s">
        <v>799</v>
      </c>
      <c r="D23" s="125" t="s">
        <v>800</v>
      </c>
      <c r="E23" s="125" t="s">
        <v>796</v>
      </c>
      <c r="F23" s="125" t="s">
        <v>45</v>
      </c>
      <c r="G23" s="125" t="s">
        <v>45</v>
      </c>
      <c r="H23" s="125" t="s">
        <v>51</v>
      </c>
      <c r="I23" s="125" t="s">
        <v>222</v>
      </c>
      <c r="J23" s="125" t="s">
        <v>52</v>
      </c>
      <c r="K23" s="141" t="s">
        <v>3369</v>
      </c>
      <c r="L23" s="133">
        <v>0.503</v>
      </c>
      <c r="M23" s="135">
        <v>1</v>
      </c>
      <c r="N23" s="133">
        <v>0</v>
      </c>
      <c r="P23" s="125" t="s">
        <v>135</v>
      </c>
      <c r="Q23" s="137">
        <v>-7.1421621738096596E-12</v>
      </c>
      <c r="R23" s="137">
        <v>2.5645406281136E-15</v>
      </c>
    </row>
    <row r="24" spans="1:18" s="125" customFormat="1">
      <c r="A24" s="125">
        <v>161</v>
      </c>
      <c r="B24" s="125">
        <v>9943</v>
      </c>
      <c r="C24" s="125" t="s">
        <v>801</v>
      </c>
      <c r="D24" s="125" t="s">
        <v>802</v>
      </c>
      <c r="E24" s="125" t="s">
        <v>796</v>
      </c>
      <c r="F24" s="125" t="s">
        <v>45</v>
      </c>
      <c r="G24" s="125" t="s">
        <v>45</v>
      </c>
      <c r="H24" s="125" t="s">
        <v>51</v>
      </c>
      <c r="I24" s="125" t="s">
        <v>222</v>
      </c>
      <c r="J24" s="125" t="s">
        <v>52</v>
      </c>
      <c r="K24" s="141" t="s">
        <v>3369</v>
      </c>
      <c r="L24" s="133">
        <v>3.0150000000000001</v>
      </c>
      <c r="M24" s="135">
        <v>1</v>
      </c>
      <c r="N24" s="133">
        <v>0</v>
      </c>
      <c r="P24" s="125" t="s">
        <v>135</v>
      </c>
      <c r="Q24" s="137">
        <v>-4.2852830927246394E-11</v>
      </c>
      <c r="R24" s="137">
        <v>1.5387192739140601E-14</v>
      </c>
    </row>
    <row r="25" spans="1:18" s="125" customFormat="1">
      <c r="A25" s="125">
        <v>161</v>
      </c>
      <c r="B25" s="125">
        <v>9943</v>
      </c>
      <c r="C25" s="125" t="s">
        <v>803</v>
      </c>
      <c r="D25" s="125" t="s">
        <v>804</v>
      </c>
      <c r="E25" s="125" t="s">
        <v>796</v>
      </c>
      <c r="F25" s="125" t="s">
        <v>45</v>
      </c>
      <c r="G25" s="125" t="s">
        <v>45</v>
      </c>
      <c r="H25" s="125" t="s">
        <v>51</v>
      </c>
      <c r="I25" s="125" t="s">
        <v>222</v>
      </c>
      <c r="J25" s="125" t="s">
        <v>52</v>
      </c>
      <c r="K25" s="141" t="s">
        <v>3370</v>
      </c>
      <c r="L25" s="133">
        <v>8.7430000000000003</v>
      </c>
      <c r="M25" s="135">
        <v>1</v>
      </c>
      <c r="N25" s="133">
        <v>0</v>
      </c>
      <c r="P25" s="125" t="s">
        <v>135</v>
      </c>
      <c r="Q25" s="137">
        <v>-1.2425722168271601E-10</v>
      </c>
      <c r="R25" s="137">
        <v>4.4617118120110199E-14</v>
      </c>
    </row>
    <row r="26" spans="1:18" s="125" customFormat="1">
      <c r="A26" s="125">
        <v>161</v>
      </c>
      <c r="B26" s="125">
        <v>9943</v>
      </c>
      <c r="C26" s="125" t="s">
        <v>805</v>
      </c>
      <c r="D26" s="125" t="s">
        <v>806</v>
      </c>
      <c r="E26" s="125" t="s">
        <v>796</v>
      </c>
      <c r="F26" s="125" t="s">
        <v>45</v>
      </c>
      <c r="G26" s="125" t="s">
        <v>45</v>
      </c>
      <c r="H26" s="125" t="s">
        <v>51</v>
      </c>
      <c r="I26" s="125" t="s">
        <v>222</v>
      </c>
      <c r="J26" s="125" t="s">
        <v>52</v>
      </c>
      <c r="K26" s="141" t="s">
        <v>3370</v>
      </c>
      <c r="L26" s="133">
        <v>8.1129999999999995</v>
      </c>
      <c r="M26" s="135">
        <v>1</v>
      </c>
      <c r="N26" s="133">
        <v>0</v>
      </c>
      <c r="P26" s="125" t="s">
        <v>135</v>
      </c>
      <c r="Q26" s="137">
        <v>-1.1529299525328701E-10</v>
      </c>
      <c r="R26" s="137">
        <v>4.1398327742851303E-14</v>
      </c>
    </row>
    <row r="27" spans="1:18" s="125" customFormat="1">
      <c r="A27" s="125">
        <v>161</v>
      </c>
      <c r="B27" s="125">
        <v>9943</v>
      </c>
      <c r="C27" s="125" t="s">
        <v>789</v>
      </c>
      <c r="D27" s="125" t="s">
        <v>790</v>
      </c>
      <c r="E27" s="125" t="s">
        <v>791</v>
      </c>
      <c r="F27" s="125" t="s">
        <v>45</v>
      </c>
      <c r="G27" s="125" t="s">
        <v>45</v>
      </c>
      <c r="H27" s="125" t="s">
        <v>51</v>
      </c>
      <c r="J27" s="125" t="s">
        <v>52</v>
      </c>
      <c r="K27" s="141" t="s">
        <v>134</v>
      </c>
      <c r="L27" s="133">
        <v>-139.77799999999999</v>
      </c>
      <c r="M27" s="135">
        <v>1</v>
      </c>
      <c r="N27" s="133">
        <v>-139.77799999999999</v>
      </c>
      <c r="P27" s="125" t="s">
        <v>135</v>
      </c>
      <c r="Q27" s="137">
        <v>0.198646387928608</v>
      </c>
      <c r="R27" s="137">
        <v>-7.1328082459264994E-5</v>
      </c>
    </row>
    <row r="28" spans="1:18" s="125" customFormat="1">
      <c r="A28" s="125">
        <v>161</v>
      </c>
      <c r="B28" s="125">
        <v>12468</v>
      </c>
      <c r="C28" s="125" t="s">
        <v>786</v>
      </c>
      <c r="D28" s="125" t="s">
        <v>787</v>
      </c>
      <c r="E28" s="125" t="s">
        <v>788</v>
      </c>
      <c r="F28" s="125" t="s">
        <v>45</v>
      </c>
      <c r="G28" s="125" t="s">
        <v>45</v>
      </c>
      <c r="H28" s="125" t="s">
        <v>51</v>
      </c>
      <c r="J28" s="125" t="s">
        <v>52</v>
      </c>
      <c r="K28" s="141" t="s">
        <v>134</v>
      </c>
      <c r="L28" s="133">
        <v>-9.641</v>
      </c>
      <c r="M28" s="135">
        <v>1</v>
      </c>
      <c r="N28" s="133">
        <v>-9.641</v>
      </c>
      <c r="P28" s="125" t="s">
        <v>135</v>
      </c>
      <c r="Q28" s="137">
        <v>1.02029933072849</v>
      </c>
      <c r="R28" s="137">
        <v>-2.9863558418466402E-4</v>
      </c>
    </row>
    <row r="29" spans="1:18" s="125" customFormat="1">
      <c r="A29" s="125">
        <v>161</v>
      </c>
      <c r="B29" s="125">
        <v>12468</v>
      </c>
      <c r="C29" s="125" t="s">
        <v>792</v>
      </c>
      <c r="D29" s="125" t="s">
        <v>793</v>
      </c>
      <c r="E29" s="125" t="s">
        <v>788</v>
      </c>
      <c r="F29" s="125" t="s">
        <v>45</v>
      </c>
      <c r="G29" s="125" t="s">
        <v>45</v>
      </c>
      <c r="H29" s="125" t="s">
        <v>51</v>
      </c>
      <c r="J29" s="125" t="s">
        <v>52</v>
      </c>
      <c r="K29" s="141" t="s">
        <v>134</v>
      </c>
      <c r="L29" s="133">
        <v>0.191</v>
      </c>
      <c r="M29" s="135">
        <v>1</v>
      </c>
      <c r="N29" s="133">
        <v>0.191</v>
      </c>
      <c r="P29" s="125" t="s">
        <v>135</v>
      </c>
      <c r="Q29" s="137">
        <v>-2.0179742366452601E-2</v>
      </c>
      <c r="R29" s="137">
        <v>5.9064913293618901E-6</v>
      </c>
    </row>
    <row r="30" spans="1:18" s="125" customFormat="1">
      <c r="A30" s="125">
        <v>161</v>
      </c>
      <c r="B30" s="125">
        <v>12468</v>
      </c>
      <c r="C30" s="125" t="s">
        <v>789</v>
      </c>
      <c r="D30" s="125" t="s">
        <v>790</v>
      </c>
      <c r="E30" s="125" t="s">
        <v>791</v>
      </c>
      <c r="F30" s="125" t="s">
        <v>45</v>
      </c>
      <c r="G30" s="125" t="s">
        <v>45</v>
      </c>
      <c r="H30" s="125" t="s">
        <v>51</v>
      </c>
      <c r="J30" s="125" t="s">
        <v>52</v>
      </c>
      <c r="K30" s="141" t="s">
        <v>134</v>
      </c>
      <c r="L30" s="133">
        <v>1E-3</v>
      </c>
      <c r="M30" s="135">
        <v>1</v>
      </c>
      <c r="N30" s="133">
        <v>1E-3</v>
      </c>
      <c r="P30" s="125" t="s">
        <v>135</v>
      </c>
      <c r="Q30" s="137">
        <v>-1.19588362041596E-4</v>
      </c>
      <c r="R30" s="137">
        <v>3.5002806808154701E-8</v>
      </c>
    </row>
    <row r="31" spans="1:18" s="125" customFormat="1">
      <c r="A31" s="125">
        <v>161</v>
      </c>
      <c r="B31" s="125">
        <v>15391</v>
      </c>
      <c r="C31" s="125" t="s">
        <v>786</v>
      </c>
      <c r="D31" s="125" t="s">
        <v>787</v>
      </c>
      <c r="E31" s="125" t="s">
        <v>788</v>
      </c>
      <c r="F31" s="125" t="s">
        <v>45</v>
      </c>
      <c r="G31" s="125" t="s">
        <v>45</v>
      </c>
      <c r="H31" s="125" t="s">
        <v>51</v>
      </c>
      <c r="J31" s="125" t="s">
        <v>52</v>
      </c>
      <c r="K31" s="141" t="s">
        <v>134</v>
      </c>
      <c r="L31" s="133">
        <v>-2.9790000000000001</v>
      </c>
      <c r="M31" s="135">
        <v>1</v>
      </c>
      <c r="N31" s="133">
        <v>-2.9790000000000001</v>
      </c>
      <c r="P31" s="125" t="s">
        <v>135</v>
      </c>
      <c r="Q31" s="137">
        <v>1.00013091817279</v>
      </c>
      <c r="R31" s="137">
        <v>-3.1339292323025799E-4</v>
      </c>
    </row>
    <row r="32" spans="1:18" s="125" customFormat="1">
      <c r="A32" s="125">
        <v>161</v>
      </c>
      <c r="B32" s="125">
        <v>15391</v>
      </c>
      <c r="C32" s="125" t="s">
        <v>789</v>
      </c>
      <c r="D32" s="125" t="s">
        <v>790</v>
      </c>
      <c r="E32" s="125" t="s">
        <v>791</v>
      </c>
      <c r="F32" s="125" t="s">
        <v>45</v>
      </c>
      <c r="G32" s="125" t="s">
        <v>45</v>
      </c>
      <c r="H32" s="125" t="s">
        <v>51</v>
      </c>
      <c r="J32" s="125" t="s">
        <v>52</v>
      </c>
      <c r="K32" s="141" t="s">
        <v>134</v>
      </c>
      <c r="L32" s="133">
        <v>0</v>
      </c>
      <c r="M32" s="135">
        <v>1</v>
      </c>
      <c r="N32" s="133">
        <v>0</v>
      </c>
      <c r="P32" s="125" t="s">
        <v>135</v>
      </c>
      <c r="Q32" s="137">
        <v>-1.3091817278513301E-4</v>
      </c>
      <c r="R32" s="137">
        <v>4.1023458156913697E-8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815</v>
      </c>
      <c r="H1" s="14" t="s">
        <v>22</v>
      </c>
      <c r="I1" s="14" t="s">
        <v>23</v>
      </c>
      <c r="J1" s="14" t="s">
        <v>29</v>
      </c>
      <c r="K1" s="14" t="s">
        <v>85</v>
      </c>
      <c r="L1" s="14" t="s">
        <v>86</v>
      </c>
      <c r="M1" s="14" t="s">
        <v>712</v>
      </c>
      <c r="N1" s="14" t="s">
        <v>30</v>
      </c>
      <c r="O1" s="14" t="s">
        <v>34</v>
      </c>
      <c r="P1" s="14" t="s">
        <v>83</v>
      </c>
      <c r="Q1" s="14" t="s">
        <v>713</v>
      </c>
      <c r="R1" s="14" t="s">
        <v>816</v>
      </c>
      <c r="S1" s="14" t="s">
        <v>817</v>
      </c>
      <c r="T1" s="14" t="s">
        <v>818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73"/>
  <sheetViews>
    <sheetView rightToLeft="1" workbookViewId="0"/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52" t="s">
        <v>14</v>
      </c>
      <c r="B1" s="152" t="s">
        <v>15</v>
      </c>
      <c r="C1" s="152" t="s">
        <v>60</v>
      </c>
      <c r="D1" s="152" t="s">
        <v>327</v>
      </c>
      <c r="E1" s="152" t="s">
        <v>328</v>
      </c>
      <c r="F1" s="152" t="s">
        <v>329</v>
      </c>
      <c r="G1" s="152" t="s">
        <v>330</v>
      </c>
      <c r="H1" s="152" t="s">
        <v>331</v>
      </c>
      <c r="I1" s="152" t="s">
        <v>332</v>
      </c>
      <c r="J1" s="152" t="s">
        <v>30</v>
      </c>
      <c r="K1" s="152" t="s">
        <v>819</v>
      </c>
      <c r="L1" s="152" t="s">
        <v>820</v>
      </c>
      <c r="M1" s="152" t="s">
        <v>821</v>
      </c>
      <c r="N1" s="152" t="s">
        <v>822</v>
      </c>
      <c r="O1" s="152" t="s">
        <v>823</v>
      </c>
      <c r="P1" s="152" t="s">
        <v>824</v>
      </c>
      <c r="Q1" s="152" t="s">
        <v>825</v>
      </c>
    </row>
    <row r="2" spans="1:17" s="125" customFormat="1" ht="14.1" customHeight="1">
      <c r="A2" s="153" t="s">
        <v>667</v>
      </c>
      <c r="B2" s="153" t="s">
        <v>684</v>
      </c>
      <c r="C2" s="154" t="s">
        <v>1402</v>
      </c>
      <c r="D2" s="154" t="s">
        <v>3371</v>
      </c>
      <c r="E2" s="154" t="s">
        <v>457</v>
      </c>
      <c r="F2" s="155" t="s">
        <v>3372</v>
      </c>
      <c r="G2" s="155" t="s">
        <v>458</v>
      </c>
      <c r="H2" s="155" t="s">
        <v>3373</v>
      </c>
      <c r="I2" s="155" t="s">
        <v>220</v>
      </c>
      <c r="J2" s="154" t="s">
        <v>72</v>
      </c>
      <c r="K2" s="156">
        <v>45951</v>
      </c>
      <c r="L2" s="157">
        <v>2000</v>
      </c>
      <c r="M2" s="157">
        <v>6330</v>
      </c>
      <c r="N2" s="157">
        <v>1724.36626</v>
      </c>
      <c r="O2" s="157">
        <v>5457.6192129000001</v>
      </c>
      <c r="P2" s="154" t="s">
        <v>3374</v>
      </c>
      <c r="Q2" s="156">
        <v>48873</v>
      </c>
    </row>
    <row r="3" spans="1:17" s="125" customFormat="1" ht="14.1" customHeight="1">
      <c r="A3" s="153" t="s">
        <v>667</v>
      </c>
      <c r="B3" s="153" t="s">
        <v>684</v>
      </c>
      <c r="C3" s="154" t="s">
        <v>1402</v>
      </c>
      <c r="D3" s="154" t="s">
        <v>462</v>
      </c>
      <c r="E3" s="155" t="s">
        <v>3375</v>
      </c>
      <c r="F3" s="155" t="s">
        <v>3372</v>
      </c>
      <c r="G3" s="155" t="s">
        <v>462</v>
      </c>
      <c r="H3" s="155" t="s">
        <v>3376</v>
      </c>
      <c r="I3" s="155" t="s">
        <v>220</v>
      </c>
      <c r="J3" s="154" t="s">
        <v>72</v>
      </c>
      <c r="K3" s="156">
        <v>45917</v>
      </c>
      <c r="L3" s="157">
        <v>2500</v>
      </c>
      <c r="M3" s="157">
        <v>7912.5</v>
      </c>
      <c r="N3" s="157">
        <v>2043.3303000000001</v>
      </c>
      <c r="O3" s="157">
        <v>6467.1403995000001</v>
      </c>
      <c r="P3" s="154" t="s">
        <v>3377</v>
      </c>
      <c r="Q3" s="156">
        <v>49571</v>
      </c>
    </row>
    <row r="4" spans="1:17" s="125" customFormat="1" ht="14.1" customHeight="1">
      <c r="A4" s="153" t="s">
        <v>667</v>
      </c>
      <c r="B4" s="153" t="s">
        <v>684</v>
      </c>
      <c r="C4" s="154" t="s">
        <v>3378</v>
      </c>
      <c r="D4" s="154" t="s">
        <v>3379</v>
      </c>
      <c r="E4" s="155" t="s">
        <v>347</v>
      </c>
      <c r="F4" s="155" t="s">
        <v>3372</v>
      </c>
      <c r="G4" s="155" t="s">
        <v>472</v>
      </c>
      <c r="H4" s="155" t="s">
        <v>3380</v>
      </c>
      <c r="I4" s="155" t="s">
        <v>220</v>
      </c>
      <c r="J4" s="154" t="s">
        <v>72</v>
      </c>
      <c r="K4" s="156">
        <v>45716</v>
      </c>
      <c r="L4" s="157">
        <v>1000</v>
      </c>
      <c r="M4" s="157">
        <v>3165</v>
      </c>
      <c r="N4" s="157">
        <v>658.83448999999996</v>
      </c>
      <c r="O4" s="157">
        <v>2085.2111608499999</v>
      </c>
      <c r="P4" s="154" t="s">
        <v>3381</v>
      </c>
      <c r="Q4" s="156">
        <v>49096</v>
      </c>
    </row>
    <row r="5" spans="1:17" s="125" customFormat="1" ht="14.1" customHeight="1">
      <c r="A5" s="153" t="s">
        <v>667</v>
      </c>
      <c r="B5" s="153" t="s">
        <v>684</v>
      </c>
      <c r="C5" s="155" t="s">
        <v>1070</v>
      </c>
      <c r="D5" s="154" t="s">
        <v>482</v>
      </c>
      <c r="E5" s="155" t="s">
        <v>3382</v>
      </c>
      <c r="F5" s="155" t="s">
        <v>3372</v>
      </c>
      <c r="G5" s="155" t="s">
        <v>3383</v>
      </c>
      <c r="H5" s="155" t="s">
        <v>3384</v>
      </c>
      <c r="I5" s="155" t="s">
        <v>220</v>
      </c>
      <c r="J5" s="154" t="s">
        <v>395</v>
      </c>
      <c r="K5" s="156">
        <v>44421</v>
      </c>
      <c r="L5" s="157">
        <v>1250</v>
      </c>
      <c r="M5" s="157">
        <v>4545</v>
      </c>
      <c r="N5" s="157">
        <v>219.2082299999999</v>
      </c>
      <c r="O5" s="157">
        <v>797.04112427999974</v>
      </c>
      <c r="P5" s="154" t="s">
        <v>3385</v>
      </c>
      <c r="Q5" s="156">
        <v>48061</v>
      </c>
    </row>
    <row r="6" spans="1:17" s="125" customFormat="1" ht="14.1" customHeight="1">
      <c r="A6" s="153" t="s">
        <v>667</v>
      </c>
      <c r="B6" s="153" t="s">
        <v>684</v>
      </c>
      <c r="C6" s="155" t="s">
        <v>3386</v>
      </c>
      <c r="D6" s="154" t="s">
        <v>3387</v>
      </c>
      <c r="E6" s="155" t="s">
        <v>488</v>
      </c>
      <c r="F6" s="155" t="s">
        <v>3372</v>
      </c>
      <c r="G6" s="155" t="s">
        <v>489</v>
      </c>
      <c r="H6" s="155" t="s">
        <v>3388</v>
      </c>
      <c r="I6" s="155" t="s">
        <v>220</v>
      </c>
      <c r="J6" s="154" t="s">
        <v>72</v>
      </c>
      <c r="K6" s="156">
        <v>45463</v>
      </c>
      <c r="L6" s="157">
        <v>1600</v>
      </c>
      <c r="M6" s="157">
        <v>5064</v>
      </c>
      <c r="N6" s="157">
        <v>79.959999999999994</v>
      </c>
      <c r="O6" s="157">
        <v>253.07339999999999</v>
      </c>
      <c r="P6" s="154" t="s">
        <v>3389</v>
      </c>
      <c r="Q6" s="156">
        <v>47757</v>
      </c>
    </row>
    <row r="7" spans="1:17" s="125" customFormat="1" ht="14.1" customHeight="1">
      <c r="A7" s="153" t="s">
        <v>667</v>
      </c>
      <c r="B7" s="153" t="s">
        <v>684</v>
      </c>
      <c r="C7" s="155" t="s">
        <v>3386</v>
      </c>
      <c r="D7" s="155" t="s">
        <v>3390</v>
      </c>
      <c r="E7" s="155" t="s">
        <v>361</v>
      </c>
      <c r="F7" s="155" t="s">
        <v>41</v>
      </c>
      <c r="G7" s="155" t="s">
        <v>362</v>
      </c>
      <c r="H7" s="155" t="s">
        <v>3391</v>
      </c>
      <c r="I7" s="155" t="s">
        <v>220</v>
      </c>
      <c r="J7" s="154" t="s">
        <v>52</v>
      </c>
      <c r="K7" s="156">
        <v>45965</v>
      </c>
      <c r="L7" s="157">
        <v>6000</v>
      </c>
      <c r="M7" s="157">
        <v>6000</v>
      </c>
      <c r="N7" s="157">
        <v>4603.49</v>
      </c>
      <c r="O7" s="157">
        <v>4603.49</v>
      </c>
      <c r="P7" s="154" t="s">
        <v>3392</v>
      </c>
      <c r="Q7" s="156">
        <v>47426</v>
      </c>
    </row>
    <row r="8" spans="1:17" s="125" customFormat="1" ht="14.1" customHeight="1">
      <c r="A8" s="153" t="s">
        <v>667</v>
      </c>
      <c r="B8" s="153" t="s">
        <v>684</v>
      </c>
      <c r="C8" s="154" t="s">
        <v>3393</v>
      </c>
      <c r="D8" s="154" t="s">
        <v>491</v>
      </c>
      <c r="E8" s="155" t="s">
        <v>492</v>
      </c>
      <c r="F8" s="155" t="s">
        <v>3372</v>
      </c>
      <c r="G8" s="155" t="s">
        <v>3394</v>
      </c>
      <c r="H8" s="155" t="s">
        <v>3395</v>
      </c>
      <c r="I8" s="155" t="s">
        <v>220</v>
      </c>
      <c r="J8" s="154" t="s">
        <v>72</v>
      </c>
      <c r="K8" s="156">
        <v>44392</v>
      </c>
      <c r="L8" s="157">
        <v>1500</v>
      </c>
      <c r="M8" s="157">
        <v>4747.5</v>
      </c>
      <c r="N8" s="157">
        <v>63.75</v>
      </c>
      <c r="O8" s="157">
        <v>201.76875000000001</v>
      </c>
      <c r="P8" s="154" t="s">
        <v>3396</v>
      </c>
      <c r="Q8" s="156">
        <v>48030</v>
      </c>
    </row>
    <row r="9" spans="1:17" s="125" customFormat="1" ht="14.1" customHeight="1">
      <c r="A9" s="153" t="s">
        <v>667</v>
      </c>
      <c r="B9" s="153" t="s">
        <v>684</v>
      </c>
      <c r="C9" s="154" t="s">
        <v>3378</v>
      </c>
      <c r="D9" s="155" t="s">
        <v>606</v>
      </c>
      <c r="E9" s="155" t="s">
        <v>511</v>
      </c>
      <c r="F9" s="155" t="s">
        <v>3372</v>
      </c>
      <c r="G9" s="155" t="s">
        <v>3397</v>
      </c>
      <c r="H9" s="155" t="s">
        <v>3398</v>
      </c>
      <c r="I9" s="155" t="s">
        <v>220</v>
      </c>
      <c r="J9" s="154" t="s">
        <v>72</v>
      </c>
      <c r="K9" s="156">
        <v>45595</v>
      </c>
      <c r="L9" s="157">
        <v>2700</v>
      </c>
      <c r="M9" s="157">
        <v>8545.5</v>
      </c>
      <c r="N9" s="157">
        <v>2192.4174900000003</v>
      </c>
      <c r="O9" s="157">
        <v>6939.0013558500004</v>
      </c>
      <c r="P9" s="154" t="s">
        <v>3399</v>
      </c>
      <c r="Q9" s="156">
        <v>49218</v>
      </c>
    </row>
    <row r="10" spans="1:17" s="125" customFormat="1" ht="14.1" customHeight="1">
      <c r="A10" s="153" t="s">
        <v>667</v>
      </c>
      <c r="B10" s="153" t="s">
        <v>684</v>
      </c>
      <c r="C10" s="155" t="s">
        <v>3400</v>
      </c>
      <c r="D10" s="154" t="s">
        <v>3401</v>
      </c>
      <c r="E10" s="155" t="s">
        <v>3402</v>
      </c>
      <c r="F10" s="155" t="s">
        <v>3372</v>
      </c>
      <c r="G10" s="155" t="s">
        <v>3403</v>
      </c>
      <c r="H10" s="155" t="s">
        <v>3404</v>
      </c>
      <c r="I10" s="155" t="s">
        <v>220</v>
      </c>
      <c r="J10" s="154" t="s">
        <v>72</v>
      </c>
      <c r="K10" s="156">
        <v>45531</v>
      </c>
      <c r="L10" s="157">
        <v>1900</v>
      </c>
      <c r="M10" s="157">
        <v>6013.5</v>
      </c>
      <c r="N10" s="157">
        <v>0</v>
      </c>
      <c r="O10" s="157">
        <v>0</v>
      </c>
      <c r="P10" s="154" t="s">
        <v>3405</v>
      </c>
      <c r="Q10" s="154"/>
    </row>
    <row r="11" spans="1:17" s="125" customFormat="1" ht="14.1" customHeight="1">
      <c r="A11" s="153" t="s">
        <v>667</v>
      </c>
      <c r="B11" s="153" t="s">
        <v>684</v>
      </c>
      <c r="C11" s="154" t="s">
        <v>3378</v>
      </c>
      <c r="D11" s="155" t="s">
        <v>396</v>
      </c>
      <c r="E11" s="155" t="s">
        <v>3406</v>
      </c>
      <c r="F11" s="155" t="s">
        <v>3372</v>
      </c>
      <c r="G11" s="155" t="s">
        <v>3407</v>
      </c>
      <c r="H11" s="155" t="s">
        <v>3408</v>
      </c>
      <c r="I11" s="155" t="s">
        <v>220</v>
      </c>
      <c r="J11" s="154" t="s">
        <v>72</v>
      </c>
      <c r="K11" s="156">
        <v>45224</v>
      </c>
      <c r="L11" s="157">
        <v>2600</v>
      </c>
      <c r="M11" s="157">
        <v>8229</v>
      </c>
      <c r="N11" s="157">
        <v>1417</v>
      </c>
      <c r="O11" s="157">
        <v>4484.8050000000003</v>
      </c>
      <c r="P11" s="154" t="s">
        <v>3409</v>
      </c>
      <c r="Q11" s="156">
        <v>48853</v>
      </c>
    </row>
    <row r="12" spans="1:17" s="125" customFormat="1" ht="14.1" customHeight="1">
      <c r="A12" s="153" t="s">
        <v>667</v>
      </c>
      <c r="B12" s="153" t="s">
        <v>684</v>
      </c>
      <c r="C12" s="154" t="s">
        <v>3378</v>
      </c>
      <c r="D12" s="155" t="s">
        <v>3410</v>
      </c>
      <c r="E12" s="155" t="s">
        <v>3411</v>
      </c>
      <c r="F12" s="155" t="s">
        <v>3412</v>
      </c>
      <c r="G12" s="155" t="s">
        <v>3413</v>
      </c>
      <c r="H12" s="155" t="s">
        <v>3414</v>
      </c>
      <c r="I12" s="155" t="s">
        <v>220</v>
      </c>
      <c r="J12" s="154" t="s">
        <v>72</v>
      </c>
      <c r="K12" s="156">
        <v>45600</v>
      </c>
      <c r="L12" s="157">
        <v>2000</v>
      </c>
      <c r="M12" s="157">
        <v>6330</v>
      </c>
      <c r="N12" s="157">
        <v>1392.662</v>
      </c>
      <c r="O12" s="157">
        <v>4407.7752300000002</v>
      </c>
      <c r="P12" s="154" t="s">
        <v>3415</v>
      </c>
      <c r="Q12" s="156">
        <v>49218</v>
      </c>
    </row>
    <row r="13" spans="1:17" s="125" customFormat="1" ht="14.1" customHeight="1">
      <c r="A13" s="153" t="s">
        <v>667</v>
      </c>
      <c r="B13" s="153" t="s">
        <v>684</v>
      </c>
      <c r="C13" s="155" t="s">
        <v>3400</v>
      </c>
      <c r="D13" s="154" t="s">
        <v>474</v>
      </c>
      <c r="E13" s="154" t="s">
        <v>475</v>
      </c>
      <c r="F13" s="155" t="s">
        <v>3372</v>
      </c>
      <c r="G13" s="155" t="s">
        <v>474</v>
      </c>
      <c r="H13" s="155" t="s">
        <v>3416</v>
      </c>
      <c r="I13" s="155" t="s">
        <v>220</v>
      </c>
      <c r="J13" s="154" t="s">
        <v>395</v>
      </c>
      <c r="K13" s="156">
        <v>45643</v>
      </c>
      <c r="L13" s="157">
        <v>2250</v>
      </c>
      <c r="M13" s="157">
        <v>8181</v>
      </c>
      <c r="N13" s="157">
        <v>1439.82356</v>
      </c>
      <c r="O13" s="157">
        <v>5235.1984641600002</v>
      </c>
      <c r="P13" s="154" t="s">
        <v>3417</v>
      </c>
      <c r="Q13" s="156">
        <v>47818</v>
      </c>
    </row>
    <row r="14" spans="1:17" s="125" customFormat="1" ht="14.1" customHeight="1">
      <c r="A14" s="153" t="s">
        <v>667</v>
      </c>
      <c r="B14" s="153" t="s">
        <v>684</v>
      </c>
      <c r="C14" s="155" t="s">
        <v>3400</v>
      </c>
      <c r="D14" s="154" t="s">
        <v>3418</v>
      </c>
      <c r="E14" s="154" t="s">
        <v>468</v>
      </c>
      <c r="F14" s="154" t="s">
        <v>64</v>
      </c>
      <c r="G14" s="155" t="s">
        <v>469</v>
      </c>
      <c r="H14" s="155" t="s">
        <v>3419</v>
      </c>
      <c r="I14" s="155" t="s">
        <v>220</v>
      </c>
      <c r="J14" s="154" t="s">
        <v>395</v>
      </c>
      <c r="K14" s="156">
        <v>44438</v>
      </c>
      <c r="L14" s="157">
        <v>1000</v>
      </c>
      <c r="M14" s="157">
        <v>3636</v>
      </c>
      <c r="N14" s="157">
        <v>247.14363</v>
      </c>
      <c r="O14" s="157">
        <v>898.61423868000008</v>
      </c>
      <c r="P14" s="154" t="s">
        <v>3420</v>
      </c>
      <c r="Q14" s="156">
        <v>46966</v>
      </c>
    </row>
    <row r="15" spans="1:17" s="125" customFormat="1" ht="14.1" customHeight="1">
      <c r="A15" s="153" t="s">
        <v>667</v>
      </c>
      <c r="B15" s="153" t="s">
        <v>684</v>
      </c>
      <c r="C15" s="155" t="s">
        <v>3400</v>
      </c>
      <c r="D15" s="154" t="s">
        <v>573</v>
      </c>
      <c r="E15" s="155" t="s">
        <v>3421</v>
      </c>
      <c r="F15" s="155" t="s">
        <v>3372</v>
      </c>
      <c r="G15" s="155" t="s">
        <v>3422</v>
      </c>
      <c r="H15" s="155" t="s">
        <v>3423</v>
      </c>
      <c r="I15" s="155" t="s">
        <v>220</v>
      </c>
      <c r="J15" s="154" t="s">
        <v>72</v>
      </c>
      <c r="K15" s="156">
        <v>45061</v>
      </c>
      <c r="L15" s="157">
        <v>1250</v>
      </c>
      <c r="M15" s="157">
        <v>3956.25</v>
      </c>
      <c r="N15" s="157">
        <v>25</v>
      </c>
      <c r="O15" s="157">
        <v>79.125</v>
      </c>
      <c r="P15" s="154" t="s">
        <v>3424</v>
      </c>
      <c r="Q15" s="156">
        <v>47453</v>
      </c>
    </row>
    <row r="16" spans="1:17" s="125" customFormat="1" ht="14.1" customHeight="1">
      <c r="A16" s="153" t="s">
        <v>667</v>
      </c>
      <c r="B16" s="153" t="s">
        <v>684</v>
      </c>
      <c r="C16" s="155" t="s">
        <v>3400</v>
      </c>
      <c r="D16" s="155" t="s">
        <v>3390</v>
      </c>
      <c r="E16" s="155" t="s">
        <v>361</v>
      </c>
      <c r="F16" s="155" t="s">
        <v>3372</v>
      </c>
      <c r="G16" s="155" t="s">
        <v>356</v>
      </c>
      <c r="H16" s="155" t="s">
        <v>3425</v>
      </c>
      <c r="I16" s="155" t="s">
        <v>220</v>
      </c>
      <c r="J16" s="154" t="s">
        <v>52</v>
      </c>
      <c r="K16" s="156">
        <v>45046</v>
      </c>
      <c r="L16" s="157">
        <v>10500</v>
      </c>
      <c r="M16" s="157">
        <v>10500</v>
      </c>
      <c r="N16" s="157">
        <v>5397.8739999999998</v>
      </c>
      <c r="O16" s="157">
        <v>5397.8739999999998</v>
      </c>
      <c r="P16" s="154" t="s">
        <v>3426</v>
      </c>
      <c r="Q16" s="156">
        <v>47574</v>
      </c>
    </row>
    <row r="17" spans="1:17" s="125" customFormat="1" ht="14.1" customHeight="1">
      <c r="A17" s="153" t="s">
        <v>667</v>
      </c>
      <c r="B17" s="153" t="s">
        <v>684</v>
      </c>
      <c r="C17" s="155" t="s">
        <v>3400</v>
      </c>
      <c r="D17" s="154" t="s">
        <v>3427</v>
      </c>
      <c r="E17" s="155" t="s">
        <v>3428</v>
      </c>
      <c r="F17" s="155" t="s">
        <v>3372</v>
      </c>
      <c r="G17" s="155" t="s">
        <v>497</v>
      </c>
      <c r="H17" s="155" t="s">
        <v>3429</v>
      </c>
      <c r="I17" s="155" t="s">
        <v>220</v>
      </c>
      <c r="J17" s="154" t="s">
        <v>72</v>
      </c>
      <c r="K17" s="156">
        <v>45392</v>
      </c>
      <c r="L17" s="157">
        <v>2400</v>
      </c>
      <c r="M17" s="157">
        <v>7596</v>
      </c>
      <c r="N17" s="157">
        <v>1613.453</v>
      </c>
      <c r="O17" s="157">
        <v>5106.5787449999998</v>
      </c>
      <c r="P17" s="154" t="s">
        <v>3430</v>
      </c>
      <c r="Q17" s="156">
        <v>47574</v>
      </c>
    </row>
    <row r="18" spans="1:17" s="125" customFormat="1" ht="14.1" customHeight="1">
      <c r="A18" s="153" t="s">
        <v>667</v>
      </c>
      <c r="B18" s="153" t="s">
        <v>684</v>
      </c>
      <c r="C18" s="155" t="s">
        <v>3400</v>
      </c>
      <c r="D18" s="154" t="s">
        <v>3431</v>
      </c>
      <c r="E18" s="155" t="s">
        <v>3432</v>
      </c>
      <c r="F18" s="155" t="s">
        <v>3412</v>
      </c>
      <c r="G18" s="155" t="s">
        <v>501</v>
      </c>
      <c r="H18" s="155" t="s">
        <v>3433</v>
      </c>
      <c r="I18" s="155" t="s">
        <v>220</v>
      </c>
      <c r="J18" s="154" t="s">
        <v>52</v>
      </c>
      <c r="K18" s="156">
        <v>45040</v>
      </c>
      <c r="L18" s="157">
        <v>5000</v>
      </c>
      <c r="M18" s="157">
        <v>5000</v>
      </c>
      <c r="N18" s="157">
        <v>2650</v>
      </c>
      <c r="O18" s="157">
        <v>2650</v>
      </c>
      <c r="P18" s="154" t="s">
        <v>3434</v>
      </c>
      <c r="Q18" s="156">
        <v>47939</v>
      </c>
    </row>
    <row r="19" spans="1:17" s="125" customFormat="1" ht="14.1" customHeight="1">
      <c r="A19" s="153" t="s">
        <v>667</v>
      </c>
      <c r="B19" s="153" t="s">
        <v>684</v>
      </c>
      <c r="C19" s="155" t="s">
        <v>3400</v>
      </c>
      <c r="D19" s="155" t="s">
        <v>502</v>
      </c>
      <c r="E19" s="155" t="s">
        <v>503</v>
      </c>
      <c r="F19" s="155" t="s">
        <v>3412</v>
      </c>
      <c r="G19" s="155" t="s">
        <v>3435</v>
      </c>
      <c r="H19" s="155" t="s">
        <v>3436</v>
      </c>
      <c r="I19" s="155" t="s">
        <v>220</v>
      </c>
      <c r="J19" s="154" t="s">
        <v>72</v>
      </c>
      <c r="K19" s="156">
        <v>45137</v>
      </c>
      <c r="L19" s="157">
        <v>2500</v>
      </c>
      <c r="M19" s="157">
        <v>7912.5</v>
      </c>
      <c r="N19" s="157">
        <v>0</v>
      </c>
      <c r="O19" s="157">
        <v>0</v>
      </c>
      <c r="P19" s="154" t="s">
        <v>3405</v>
      </c>
      <c r="Q19" s="154"/>
    </row>
    <row r="20" spans="1:17" s="125" customFormat="1" ht="14.1" customHeight="1">
      <c r="A20" s="153" t="s">
        <v>667</v>
      </c>
      <c r="B20" s="153" t="s">
        <v>684</v>
      </c>
      <c r="C20" s="155" t="s">
        <v>3400</v>
      </c>
      <c r="D20" s="154" t="s">
        <v>3437</v>
      </c>
      <c r="E20" s="155" t="s">
        <v>507</v>
      </c>
      <c r="F20" s="155" t="s">
        <v>3412</v>
      </c>
      <c r="G20" s="155" t="s">
        <v>508</v>
      </c>
      <c r="H20" s="155" t="s">
        <v>3438</v>
      </c>
      <c r="I20" s="155" t="s">
        <v>220</v>
      </c>
      <c r="J20" s="154" t="s">
        <v>72</v>
      </c>
      <c r="K20" s="156">
        <v>45705</v>
      </c>
      <c r="L20" s="157">
        <v>2500</v>
      </c>
      <c r="M20" s="157">
        <v>7912.5</v>
      </c>
      <c r="N20" s="157">
        <v>1125</v>
      </c>
      <c r="O20" s="157">
        <v>3560.625</v>
      </c>
      <c r="P20" s="154" t="s">
        <v>3439</v>
      </c>
      <c r="Q20" s="156">
        <v>48245</v>
      </c>
    </row>
    <row r="21" spans="1:17" s="125" customFormat="1" ht="14.1" customHeight="1">
      <c r="A21" s="153" t="s">
        <v>667</v>
      </c>
      <c r="B21" s="153" t="s">
        <v>684</v>
      </c>
      <c r="C21" s="155" t="s">
        <v>3440</v>
      </c>
      <c r="D21" s="155" t="s">
        <v>370</v>
      </c>
      <c r="E21" s="155" t="s">
        <v>3441</v>
      </c>
      <c r="F21" s="155" t="s">
        <v>3412</v>
      </c>
      <c r="G21" s="155" t="s">
        <v>3442</v>
      </c>
      <c r="H21" s="155" t="s">
        <v>3443</v>
      </c>
      <c r="I21" s="155" t="s">
        <v>220</v>
      </c>
      <c r="J21" s="154" t="s">
        <v>52</v>
      </c>
      <c r="K21" s="156">
        <v>44771</v>
      </c>
      <c r="L21" s="157">
        <v>2000</v>
      </c>
      <c r="M21" s="157">
        <v>2000</v>
      </c>
      <c r="N21" s="157">
        <v>0</v>
      </c>
      <c r="O21" s="157">
        <v>0</v>
      </c>
      <c r="P21" s="154" t="s">
        <v>3405</v>
      </c>
      <c r="Q21" s="154"/>
    </row>
    <row r="22" spans="1:17" s="125" customFormat="1" ht="14.1" customHeight="1">
      <c r="A22" s="153" t="s">
        <v>667</v>
      </c>
      <c r="B22" s="153" t="s">
        <v>684</v>
      </c>
      <c r="C22" s="155" t="s">
        <v>3440</v>
      </c>
      <c r="D22" s="155" t="s">
        <v>370</v>
      </c>
      <c r="E22" s="155" t="s">
        <v>3441</v>
      </c>
      <c r="F22" s="155" t="s">
        <v>3412</v>
      </c>
      <c r="G22" s="155" t="s">
        <v>3444</v>
      </c>
      <c r="H22" s="155" t="s">
        <v>3445</v>
      </c>
      <c r="I22" s="155" t="s">
        <v>220</v>
      </c>
      <c r="J22" s="154" t="s">
        <v>52</v>
      </c>
      <c r="K22" s="156">
        <v>44771</v>
      </c>
      <c r="L22" s="157">
        <v>2000</v>
      </c>
      <c r="M22" s="157">
        <v>2000</v>
      </c>
      <c r="N22" s="157">
        <v>0</v>
      </c>
      <c r="O22" s="157">
        <v>0</v>
      </c>
      <c r="P22" s="154" t="s">
        <v>3405</v>
      </c>
      <c r="Q22" s="154"/>
    </row>
    <row r="23" spans="1:17" s="125" customFormat="1" ht="14.1" customHeight="1">
      <c r="A23" s="153" t="s">
        <v>667</v>
      </c>
      <c r="B23" s="153" t="s">
        <v>684</v>
      </c>
      <c r="C23" s="155" t="s">
        <v>3400</v>
      </c>
      <c r="D23" s="154" t="s">
        <v>3446</v>
      </c>
      <c r="E23" s="158" t="s">
        <v>3447</v>
      </c>
      <c r="F23" s="158" t="s">
        <v>3372</v>
      </c>
      <c r="G23" s="158" t="s">
        <v>3448</v>
      </c>
      <c r="H23" s="158">
        <v>27970060</v>
      </c>
      <c r="I23" s="158" t="s">
        <v>220</v>
      </c>
      <c r="J23" s="159" t="s">
        <v>395</v>
      </c>
      <c r="K23" s="160">
        <v>46034</v>
      </c>
      <c r="L23" s="161">
        <v>1500</v>
      </c>
      <c r="M23" s="161">
        <v>5453.9999999999982</v>
      </c>
      <c r="N23" s="161">
        <v>1500</v>
      </c>
      <c r="O23" s="161">
        <v>5454</v>
      </c>
      <c r="P23" s="162">
        <v>1</v>
      </c>
      <c r="Q23" s="156">
        <v>49321</v>
      </c>
    </row>
    <row r="24" spans="1:17" ht="14.1" customHeight="1">
      <c r="A24" s="153" t="s">
        <v>667</v>
      </c>
      <c r="B24" s="153" t="s">
        <v>684</v>
      </c>
      <c r="C24" s="155" t="s">
        <v>3386</v>
      </c>
      <c r="D24" s="154" t="s">
        <v>520</v>
      </c>
      <c r="E24" s="155" t="s">
        <v>521</v>
      </c>
      <c r="F24" s="155" t="s">
        <v>3372</v>
      </c>
      <c r="G24" s="155" t="s">
        <v>524</v>
      </c>
      <c r="H24" s="155" t="s">
        <v>3449</v>
      </c>
      <c r="I24" s="155" t="s">
        <v>220</v>
      </c>
      <c r="J24" s="154" t="s">
        <v>72</v>
      </c>
      <c r="K24" s="156">
        <v>42157</v>
      </c>
      <c r="L24" s="157">
        <v>1500</v>
      </c>
      <c r="M24" s="157">
        <v>4747.5</v>
      </c>
      <c r="N24" s="157">
        <v>0</v>
      </c>
      <c r="O24" s="157">
        <v>0</v>
      </c>
      <c r="P24" s="154" t="s">
        <v>3405</v>
      </c>
      <c r="Q24" s="156">
        <v>45544</v>
      </c>
    </row>
    <row r="25" spans="1:17" ht="14.1" customHeight="1">
      <c r="A25" s="153" t="s">
        <v>667</v>
      </c>
      <c r="B25" s="153" t="s">
        <v>684</v>
      </c>
      <c r="C25" s="155" t="s">
        <v>3386</v>
      </c>
      <c r="D25" s="154" t="s">
        <v>520</v>
      </c>
      <c r="E25" s="155" t="s">
        <v>521</v>
      </c>
      <c r="F25" s="155" t="s">
        <v>3372</v>
      </c>
      <c r="G25" s="155" t="s">
        <v>3450</v>
      </c>
      <c r="H25" s="155" t="s">
        <v>3451</v>
      </c>
      <c r="I25" s="155" t="s">
        <v>220</v>
      </c>
      <c r="J25" s="154" t="s">
        <v>72</v>
      </c>
      <c r="K25" s="156">
        <v>42745</v>
      </c>
      <c r="L25" s="157">
        <v>1250</v>
      </c>
      <c r="M25" s="157">
        <v>3956.25</v>
      </c>
      <c r="N25" s="157">
        <v>0</v>
      </c>
      <c r="O25" s="157">
        <v>0</v>
      </c>
      <c r="P25" s="154" t="s">
        <v>3405</v>
      </c>
      <c r="Q25" s="156">
        <v>46418</v>
      </c>
    </row>
    <row r="26" spans="1:17" ht="14.1" customHeight="1">
      <c r="A26" s="153" t="s">
        <v>667</v>
      </c>
      <c r="B26" s="153" t="s">
        <v>684</v>
      </c>
      <c r="C26" s="154" t="s">
        <v>3378</v>
      </c>
      <c r="D26" s="154" t="s">
        <v>528</v>
      </c>
      <c r="E26" s="155" t="s">
        <v>3452</v>
      </c>
      <c r="F26" s="155" t="s">
        <v>3372</v>
      </c>
      <c r="G26" s="155" t="s">
        <v>528</v>
      </c>
      <c r="H26" s="155" t="s">
        <v>3453</v>
      </c>
      <c r="I26" s="155" t="s">
        <v>220</v>
      </c>
      <c r="J26" s="154" t="s">
        <v>72</v>
      </c>
      <c r="K26" s="156">
        <v>42355</v>
      </c>
      <c r="L26" s="157">
        <v>2050</v>
      </c>
      <c r="M26" s="157">
        <v>6488.25</v>
      </c>
      <c r="N26" s="157">
        <v>609.5657799999999</v>
      </c>
      <c r="O26" s="157">
        <v>1929.2756936999999</v>
      </c>
      <c r="P26" s="154" t="s">
        <v>3454</v>
      </c>
      <c r="Q26" s="156">
        <v>46351</v>
      </c>
    </row>
    <row r="27" spans="1:17" ht="14.1" customHeight="1">
      <c r="A27" s="153" t="s">
        <v>667</v>
      </c>
      <c r="B27" s="153" t="s">
        <v>684</v>
      </c>
      <c r="C27" s="154" t="s">
        <v>3378</v>
      </c>
      <c r="D27" s="154" t="s">
        <v>3455</v>
      </c>
      <c r="E27" s="155" t="s">
        <v>3456</v>
      </c>
      <c r="F27" s="155" t="s">
        <v>3372</v>
      </c>
      <c r="G27" s="155" t="s">
        <v>534</v>
      </c>
      <c r="H27" s="155" t="s">
        <v>3457</v>
      </c>
      <c r="I27" s="155" t="s">
        <v>220</v>
      </c>
      <c r="J27" s="154" t="s">
        <v>72</v>
      </c>
      <c r="K27" s="156">
        <v>45685</v>
      </c>
      <c r="L27" s="157">
        <v>1000</v>
      </c>
      <c r="M27" s="157">
        <v>3165</v>
      </c>
      <c r="N27" s="157">
        <v>411.67928999999992</v>
      </c>
      <c r="O27" s="157">
        <v>1302.9649528499999</v>
      </c>
      <c r="P27" s="154" t="s">
        <v>3458</v>
      </c>
      <c r="Q27" s="156">
        <v>49310</v>
      </c>
    </row>
    <row r="28" spans="1:17" ht="14.1" customHeight="1">
      <c r="A28" s="153" t="s">
        <v>667</v>
      </c>
      <c r="B28" s="153" t="s">
        <v>684</v>
      </c>
      <c r="C28" s="155" t="s">
        <v>3386</v>
      </c>
      <c r="D28" s="154" t="s">
        <v>3459</v>
      </c>
      <c r="E28" s="155" t="s">
        <v>3460</v>
      </c>
      <c r="F28" s="155" t="s">
        <v>3372</v>
      </c>
      <c r="G28" s="155" t="s">
        <v>3459</v>
      </c>
      <c r="H28" s="155" t="s">
        <v>3461</v>
      </c>
      <c r="I28" s="155" t="s">
        <v>220</v>
      </c>
      <c r="J28" s="154" t="s">
        <v>72</v>
      </c>
      <c r="K28" s="156">
        <v>42542</v>
      </c>
      <c r="L28" s="157">
        <v>4000</v>
      </c>
      <c r="M28" s="157">
        <v>12660</v>
      </c>
      <c r="N28" s="157">
        <v>0</v>
      </c>
      <c r="O28" s="157">
        <v>0</v>
      </c>
      <c r="P28" s="154" t="s">
        <v>3405</v>
      </c>
      <c r="Q28" s="156">
        <v>45809</v>
      </c>
    </row>
    <row r="29" spans="1:17" ht="14.1" customHeight="1">
      <c r="A29" s="153" t="s">
        <v>667</v>
      </c>
      <c r="B29" s="153" t="s">
        <v>684</v>
      </c>
      <c r="C29" s="154" t="s">
        <v>1402</v>
      </c>
      <c r="D29" s="154" t="s">
        <v>3371</v>
      </c>
      <c r="E29" s="154" t="s">
        <v>457</v>
      </c>
      <c r="F29" s="155" t="s">
        <v>3372</v>
      </c>
      <c r="G29" s="155" t="s">
        <v>546</v>
      </c>
      <c r="H29" s="155" t="s">
        <v>3462</v>
      </c>
      <c r="I29" s="155" t="s">
        <v>220</v>
      </c>
      <c r="J29" s="154" t="s">
        <v>72</v>
      </c>
      <c r="K29" s="156">
        <v>45062</v>
      </c>
      <c r="L29" s="157">
        <v>1500</v>
      </c>
      <c r="M29" s="157">
        <v>4747.5</v>
      </c>
      <c r="N29" s="157">
        <v>514.41956999999991</v>
      </c>
      <c r="O29" s="157">
        <v>1628.1379390500001</v>
      </c>
      <c r="P29" s="154" t="s">
        <v>3463</v>
      </c>
      <c r="Q29" s="156">
        <v>48700</v>
      </c>
    </row>
    <row r="30" spans="1:17" ht="14.1" customHeight="1">
      <c r="A30" s="153" t="s">
        <v>667</v>
      </c>
      <c r="B30" s="153" t="s">
        <v>684</v>
      </c>
      <c r="C30" s="155" t="s">
        <v>3386</v>
      </c>
      <c r="D30" s="155" t="s">
        <v>548</v>
      </c>
      <c r="E30" s="155" t="s">
        <v>3464</v>
      </c>
      <c r="F30" s="155" t="s">
        <v>3372</v>
      </c>
      <c r="G30" s="155" t="s">
        <v>3465</v>
      </c>
      <c r="H30" s="155" t="s">
        <v>3466</v>
      </c>
      <c r="I30" s="155" t="s">
        <v>220</v>
      </c>
      <c r="J30" s="154" t="s">
        <v>72</v>
      </c>
      <c r="K30" s="156">
        <v>39349</v>
      </c>
      <c r="L30" s="157">
        <v>1500</v>
      </c>
      <c r="M30" s="157">
        <v>4747.5</v>
      </c>
      <c r="N30" s="157">
        <v>92.412000000000006</v>
      </c>
      <c r="O30" s="157">
        <v>292.48397999999997</v>
      </c>
      <c r="P30" s="154" t="s">
        <v>3467</v>
      </c>
      <c r="Q30" s="156">
        <v>45736</v>
      </c>
    </row>
    <row r="31" spans="1:17" ht="14.1" customHeight="1">
      <c r="A31" s="153" t="s">
        <v>667</v>
      </c>
      <c r="B31" s="153" t="s">
        <v>684</v>
      </c>
      <c r="C31" s="155" t="s">
        <v>1070</v>
      </c>
      <c r="D31" s="154" t="s">
        <v>558</v>
      </c>
      <c r="E31" s="154" t="s">
        <v>559</v>
      </c>
      <c r="F31" s="155" t="s">
        <v>3372</v>
      </c>
      <c r="G31" s="155" t="s">
        <v>560</v>
      </c>
      <c r="H31" s="155" t="s">
        <v>3468</v>
      </c>
      <c r="I31" s="155" t="s">
        <v>220</v>
      </c>
      <c r="J31" s="154" t="s">
        <v>72</v>
      </c>
      <c r="K31" s="156">
        <v>45083</v>
      </c>
      <c r="L31" s="157">
        <v>850</v>
      </c>
      <c r="M31" s="157">
        <v>2690.25</v>
      </c>
      <c r="N31" s="157">
        <v>224.90799999999999</v>
      </c>
      <c r="O31" s="157">
        <v>711.83382000000006</v>
      </c>
      <c r="P31" s="154" t="s">
        <v>3469</v>
      </c>
      <c r="Q31" s="156">
        <v>46934</v>
      </c>
    </row>
    <row r="32" spans="1:17" ht="14.1" customHeight="1">
      <c r="A32" s="153" t="s">
        <v>667</v>
      </c>
      <c r="B32" s="153" t="s">
        <v>684</v>
      </c>
      <c r="C32" s="154" t="s">
        <v>1402</v>
      </c>
      <c r="D32" s="154" t="s">
        <v>565</v>
      </c>
      <c r="E32" s="155" t="s">
        <v>3470</v>
      </c>
      <c r="F32" s="155" t="s">
        <v>3372</v>
      </c>
      <c r="G32" s="155" t="s">
        <v>565</v>
      </c>
      <c r="H32" s="155" t="s">
        <v>3471</v>
      </c>
      <c r="I32" s="155" t="s">
        <v>220</v>
      </c>
      <c r="J32" s="154" t="s">
        <v>72</v>
      </c>
      <c r="K32" s="156">
        <v>44635</v>
      </c>
      <c r="L32" s="157">
        <v>3000</v>
      </c>
      <c r="M32" s="157">
        <v>9495</v>
      </c>
      <c r="N32" s="157">
        <v>899.85900000000004</v>
      </c>
      <c r="O32" s="157">
        <v>2848.053735</v>
      </c>
      <c r="P32" s="154" t="s">
        <v>3472</v>
      </c>
      <c r="Q32" s="156">
        <v>46813</v>
      </c>
    </row>
    <row r="33" spans="1:17" ht="14.1" customHeight="1">
      <c r="A33" s="153" t="s">
        <v>667</v>
      </c>
      <c r="B33" s="153" t="s">
        <v>684</v>
      </c>
      <c r="C33" s="154" t="s">
        <v>3378</v>
      </c>
      <c r="D33" s="154" t="s">
        <v>435</v>
      </c>
      <c r="E33" s="155" t="s">
        <v>436</v>
      </c>
      <c r="F33" s="155" t="s">
        <v>3412</v>
      </c>
      <c r="G33" s="155" t="s">
        <v>3473</v>
      </c>
      <c r="H33" s="155" t="s">
        <v>3474</v>
      </c>
      <c r="I33" s="155" t="s">
        <v>220</v>
      </c>
      <c r="J33" s="154" t="s">
        <v>72</v>
      </c>
      <c r="K33" s="156">
        <v>42575</v>
      </c>
      <c r="L33" s="157">
        <v>1675</v>
      </c>
      <c r="M33" s="157">
        <v>5301.375</v>
      </c>
      <c r="N33" s="157">
        <v>179.685</v>
      </c>
      <c r="O33" s="157">
        <v>568.70302500000003</v>
      </c>
      <c r="P33" s="154" t="s">
        <v>3475</v>
      </c>
      <c r="Q33" s="156">
        <v>46949</v>
      </c>
    </row>
    <row r="34" spans="1:17" ht="14.1" customHeight="1">
      <c r="A34" s="153" t="s">
        <v>667</v>
      </c>
      <c r="B34" s="153" t="s">
        <v>684</v>
      </c>
      <c r="C34" s="154" t="s">
        <v>3378</v>
      </c>
      <c r="D34" s="154" t="s">
        <v>577</v>
      </c>
      <c r="E34" s="155" t="s">
        <v>3476</v>
      </c>
      <c r="F34" s="155" t="s">
        <v>3372</v>
      </c>
      <c r="G34" s="155" t="s">
        <v>3477</v>
      </c>
      <c r="H34" s="155" t="s">
        <v>3478</v>
      </c>
      <c r="I34" s="155" t="s">
        <v>220</v>
      </c>
      <c r="J34" s="154" t="s">
        <v>72</v>
      </c>
      <c r="K34" s="156">
        <v>43614</v>
      </c>
      <c r="L34" s="157">
        <v>2700</v>
      </c>
      <c r="M34" s="157">
        <v>8545.5</v>
      </c>
      <c r="N34" s="157">
        <v>556.38599999999997</v>
      </c>
      <c r="O34" s="157">
        <v>1760.9616900000001</v>
      </c>
      <c r="P34" s="154" t="s">
        <v>3479</v>
      </c>
      <c r="Q34" s="156">
        <v>46188</v>
      </c>
    </row>
    <row r="35" spans="1:17" ht="14.1" customHeight="1">
      <c r="A35" s="153" t="s">
        <v>667</v>
      </c>
      <c r="B35" s="153" t="s">
        <v>684</v>
      </c>
      <c r="C35" s="154" t="s">
        <v>3393</v>
      </c>
      <c r="D35" s="154" t="s">
        <v>3480</v>
      </c>
      <c r="E35" s="155" t="s">
        <v>582</v>
      </c>
      <c r="F35" s="155" t="s">
        <v>3372</v>
      </c>
      <c r="G35" s="155" t="s">
        <v>3480</v>
      </c>
      <c r="H35" s="155" t="s">
        <v>3481</v>
      </c>
      <c r="I35" s="155" t="s">
        <v>220</v>
      </c>
      <c r="J35" s="154" t="s">
        <v>72</v>
      </c>
      <c r="K35" s="156">
        <v>44398</v>
      </c>
      <c r="L35" s="157">
        <v>300</v>
      </c>
      <c r="M35" s="157">
        <v>949.5</v>
      </c>
      <c r="N35" s="157">
        <v>30</v>
      </c>
      <c r="O35" s="157">
        <v>94.95</v>
      </c>
      <c r="P35" s="154" t="s">
        <v>3482</v>
      </c>
      <c r="Q35" s="156">
        <v>46948</v>
      </c>
    </row>
    <row r="36" spans="1:17" ht="14.1" customHeight="1">
      <c r="A36" s="153" t="s">
        <v>667</v>
      </c>
      <c r="B36" s="153" t="s">
        <v>684</v>
      </c>
      <c r="C36" s="154" t="s">
        <v>3378</v>
      </c>
      <c r="D36" s="154" t="s">
        <v>3483</v>
      </c>
      <c r="E36" s="154" t="s">
        <v>3484</v>
      </c>
      <c r="F36" s="154" t="s">
        <v>64</v>
      </c>
      <c r="G36" s="155" t="s">
        <v>3485</v>
      </c>
      <c r="H36" s="155" t="s">
        <v>3486</v>
      </c>
      <c r="I36" s="155" t="s">
        <v>220</v>
      </c>
      <c r="J36" s="154" t="s">
        <v>72</v>
      </c>
      <c r="K36" s="156">
        <v>43843</v>
      </c>
      <c r="L36" s="157">
        <v>2700</v>
      </c>
      <c r="M36" s="157">
        <v>8545.5</v>
      </c>
      <c r="N36" s="157">
        <v>486</v>
      </c>
      <c r="O36" s="157">
        <v>1538.19</v>
      </c>
      <c r="P36" s="154" t="s">
        <v>3487</v>
      </c>
      <c r="Q36" s="156">
        <v>47484</v>
      </c>
    </row>
    <row r="37" spans="1:17" ht="14.1" customHeight="1">
      <c r="A37" s="153" t="s">
        <v>667</v>
      </c>
      <c r="B37" s="153" t="s">
        <v>684</v>
      </c>
      <c r="C37" s="154" t="s">
        <v>3378</v>
      </c>
      <c r="D37" s="154" t="s">
        <v>3483</v>
      </c>
      <c r="E37" s="154" t="s">
        <v>3484</v>
      </c>
      <c r="F37" s="154" t="s">
        <v>64</v>
      </c>
      <c r="G37" s="155" t="s">
        <v>3488</v>
      </c>
      <c r="H37" s="155" t="s">
        <v>3489</v>
      </c>
      <c r="I37" s="155" t="s">
        <v>220</v>
      </c>
      <c r="J37" s="154" t="s">
        <v>72</v>
      </c>
      <c r="K37" s="156">
        <v>45099</v>
      </c>
      <c r="L37" s="157">
        <v>1000</v>
      </c>
      <c r="M37" s="157">
        <v>3165</v>
      </c>
      <c r="N37" s="157">
        <v>450</v>
      </c>
      <c r="O37" s="157">
        <v>1424.25</v>
      </c>
      <c r="P37" s="154" t="s">
        <v>3439</v>
      </c>
      <c r="Q37" s="156">
        <v>48731</v>
      </c>
    </row>
    <row r="38" spans="1:17" ht="14.1" customHeight="1">
      <c r="A38" s="153" t="s">
        <v>667</v>
      </c>
      <c r="B38" s="153" t="s">
        <v>684</v>
      </c>
      <c r="C38" s="155" t="s">
        <v>3400</v>
      </c>
      <c r="D38" s="154" t="s">
        <v>3490</v>
      </c>
      <c r="E38" s="155" t="s">
        <v>3491</v>
      </c>
      <c r="F38" s="155" t="s">
        <v>3372</v>
      </c>
      <c r="G38" s="155" t="s">
        <v>3490</v>
      </c>
      <c r="H38" s="155" t="s">
        <v>3492</v>
      </c>
      <c r="I38" s="155" t="s">
        <v>220</v>
      </c>
      <c r="J38" s="154" t="s">
        <v>72</v>
      </c>
      <c r="K38" s="156">
        <v>44887</v>
      </c>
      <c r="L38" s="157">
        <v>850</v>
      </c>
      <c r="M38" s="157">
        <v>2690.25</v>
      </c>
      <c r="N38" s="157">
        <v>252.1327</v>
      </c>
      <c r="O38" s="157">
        <v>797.99999550000018</v>
      </c>
      <c r="P38" s="154" t="s">
        <v>3493</v>
      </c>
      <c r="Q38" s="156">
        <v>46608</v>
      </c>
    </row>
    <row r="39" spans="1:17" ht="14.1" customHeight="1">
      <c r="A39" s="153" t="s">
        <v>667</v>
      </c>
      <c r="B39" s="153" t="s">
        <v>684</v>
      </c>
      <c r="C39" s="154" t="s">
        <v>3378</v>
      </c>
      <c r="D39" s="155" t="s">
        <v>606</v>
      </c>
      <c r="E39" s="155" t="s">
        <v>511</v>
      </c>
      <c r="F39" s="155" t="s">
        <v>3372</v>
      </c>
      <c r="G39" s="155" t="s">
        <v>3494</v>
      </c>
      <c r="H39" s="155" t="s">
        <v>3495</v>
      </c>
      <c r="I39" s="155" t="s">
        <v>220</v>
      </c>
      <c r="J39" s="154" t="s">
        <v>72</v>
      </c>
      <c r="K39" s="156">
        <v>45107</v>
      </c>
      <c r="L39" s="157">
        <v>1500</v>
      </c>
      <c r="M39" s="157">
        <v>4747.5</v>
      </c>
      <c r="N39" s="157">
        <v>267.50703999999996</v>
      </c>
      <c r="O39" s="157">
        <v>846.65978160000009</v>
      </c>
      <c r="P39" s="154" t="s">
        <v>3496</v>
      </c>
      <c r="Q39" s="156">
        <v>48700</v>
      </c>
    </row>
    <row r="40" spans="1:17" ht="14.1" customHeight="1">
      <c r="A40" s="153" t="s">
        <v>667</v>
      </c>
      <c r="B40" s="153" t="s">
        <v>684</v>
      </c>
      <c r="C40" s="154" t="s">
        <v>1402</v>
      </c>
      <c r="D40" s="154" t="s">
        <v>3497</v>
      </c>
      <c r="E40" s="155" t="s">
        <v>3498</v>
      </c>
      <c r="F40" s="155" t="s">
        <v>3372</v>
      </c>
      <c r="G40" s="155" t="s">
        <v>603</v>
      </c>
      <c r="H40" s="155" t="s">
        <v>3499</v>
      </c>
      <c r="I40" s="155" t="s">
        <v>220</v>
      </c>
      <c r="J40" s="154" t="s">
        <v>72</v>
      </c>
      <c r="K40" s="156">
        <v>44378</v>
      </c>
      <c r="L40" s="157">
        <v>510</v>
      </c>
      <c r="M40" s="157">
        <v>1614.15</v>
      </c>
      <c r="N40" s="157">
        <v>0</v>
      </c>
      <c r="O40" s="157">
        <v>0</v>
      </c>
      <c r="P40" s="154" t="s">
        <v>3405</v>
      </c>
      <c r="Q40" s="154"/>
    </row>
    <row r="41" spans="1:17" ht="14.1" customHeight="1">
      <c r="A41" s="153" t="s">
        <v>667</v>
      </c>
      <c r="B41" s="153" t="s">
        <v>684</v>
      </c>
      <c r="C41" s="155" t="s">
        <v>1070</v>
      </c>
      <c r="D41" s="155" t="s">
        <v>606</v>
      </c>
      <c r="E41" s="155" t="s">
        <v>511</v>
      </c>
      <c r="F41" s="155" t="s">
        <v>3372</v>
      </c>
      <c r="G41" s="155" t="s">
        <v>3500</v>
      </c>
      <c r="H41" s="155" t="s">
        <v>3501</v>
      </c>
      <c r="I41" s="155" t="s">
        <v>220</v>
      </c>
      <c r="J41" s="154" t="s">
        <v>72</v>
      </c>
      <c r="K41" s="156">
        <v>43230</v>
      </c>
      <c r="L41" s="157">
        <v>4350</v>
      </c>
      <c r="M41" s="157">
        <v>13767.75</v>
      </c>
      <c r="N41" s="157">
        <v>650.32500000000005</v>
      </c>
      <c r="O41" s="157">
        <v>2058.2786249999999</v>
      </c>
      <c r="P41" s="154" t="s">
        <v>3502</v>
      </c>
      <c r="Q41" s="156">
        <v>47969</v>
      </c>
    </row>
    <row r="42" spans="1:17" ht="14.1" customHeight="1">
      <c r="A42" s="153" t="s">
        <v>667</v>
      </c>
      <c r="B42" s="153" t="s">
        <v>684</v>
      </c>
      <c r="C42" s="154" t="s">
        <v>3393</v>
      </c>
      <c r="D42" s="154" t="s">
        <v>3503</v>
      </c>
      <c r="E42" s="155" t="s">
        <v>615</v>
      </c>
      <c r="F42" s="155" t="s">
        <v>3412</v>
      </c>
      <c r="G42" s="155" t="s">
        <v>3503</v>
      </c>
      <c r="H42" s="155" t="s">
        <v>3504</v>
      </c>
      <c r="I42" s="155" t="s">
        <v>220</v>
      </c>
      <c r="J42" s="154" t="s">
        <v>72</v>
      </c>
      <c r="K42" s="156">
        <v>44389</v>
      </c>
      <c r="L42" s="157">
        <v>300</v>
      </c>
      <c r="M42" s="157">
        <v>949.5</v>
      </c>
      <c r="N42" s="157">
        <v>66.599999999999994</v>
      </c>
      <c r="O42" s="157">
        <v>210.78899999999999</v>
      </c>
      <c r="P42" s="154" t="s">
        <v>3505</v>
      </c>
      <c r="Q42" s="156">
        <v>45914</v>
      </c>
    </row>
    <row r="43" spans="1:17" ht="14.1" customHeight="1">
      <c r="A43" s="153" t="s">
        <v>667</v>
      </c>
      <c r="B43" s="153" t="s">
        <v>684</v>
      </c>
      <c r="C43" s="154" t="s">
        <v>1402</v>
      </c>
      <c r="D43" s="154" t="s">
        <v>3506</v>
      </c>
      <c r="E43" s="154" t="s">
        <v>619</v>
      </c>
      <c r="F43" s="155" t="s">
        <v>3372</v>
      </c>
      <c r="G43" s="155" t="s">
        <v>3507</v>
      </c>
      <c r="H43" s="155" t="s">
        <v>3508</v>
      </c>
      <c r="I43" s="155" t="s">
        <v>220</v>
      </c>
      <c r="J43" s="154" t="s">
        <v>622</v>
      </c>
      <c r="K43" s="156">
        <v>44949</v>
      </c>
      <c r="L43" s="157">
        <v>600</v>
      </c>
      <c r="M43" s="157">
        <v>2512.38</v>
      </c>
      <c r="N43" s="157">
        <v>401.15414000000004</v>
      </c>
      <c r="O43" s="157">
        <v>1679.752730422</v>
      </c>
      <c r="P43" s="154" t="s">
        <v>3509</v>
      </c>
      <c r="Q43" s="156">
        <v>48580</v>
      </c>
    </row>
    <row r="44" spans="1:17" ht="14.1" customHeight="1">
      <c r="A44" s="153" t="s">
        <v>667</v>
      </c>
      <c r="B44" s="153" t="s">
        <v>684</v>
      </c>
      <c r="C44" s="154" t="s">
        <v>3393</v>
      </c>
      <c r="D44" s="154" t="s">
        <v>3510</v>
      </c>
      <c r="E44" s="154" t="s">
        <v>624</v>
      </c>
      <c r="F44" s="155" t="s">
        <v>3372</v>
      </c>
      <c r="G44" s="155" t="s">
        <v>625</v>
      </c>
      <c r="H44" s="155" t="s">
        <v>3511</v>
      </c>
      <c r="I44" s="155" t="s">
        <v>220</v>
      </c>
      <c r="J44" s="154" t="s">
        <v>395</v>
      </c>
      <c r="K44" s="156">
        <v>44507</v>
      </c>
      <c r="L44" s="157">
        <v>200</v>
      </c>
      <c r="M44" s="157">
        <v>727.2</v>
      </c>
      <c r="N44" s="157">
        <v>34.97</v>
      </c>
      <c r="O44" s="157">
        <v>127.15092</v>
      </c>
      <c r="P44" s="154" t="s">
        <v>3512</v>
      </c>
      <c r="Q44" s="156">
        <v>47066</v>
      </c>
    </row>
    <row r="45" spans="1:17" ht="14.1" customHeight="1">
      <c r="A45" s="153" t="s">
        <v>667</v>
      </c>
      <c r="B45" s="153" t="s">
        <v>684</v>
      </c>
      <c r="C45" s="154" t="s">
        <v>3393</v>
      </c>
      <c r="D45" s="154" t="s">
        <v>3513</v>
      </c>
      <c r="E45" s="155" t="s">
        <v>3514</v>
      </c>
      <c r="F45" s="155" t="s">
        <v>3412</v>
      </c>
      <c r="G45" s="155" t="s">
        <v>3515</v>
      </c>
      <c r="H45" s="155" t="s">
        <v>3516</v>
      </c>
      <c r="I45" s="155" t="s">
        <v>220</v>
      </c>
      <c r="J45" s="154" t="s">
        <v>72</v>
      </c>
      <c r="K45" s="156">
        <v>44426</v>
      </c>
      <c r="L45" s="157">
        <v>300</v>
      </c>
      <c r="M45" s="157">
        <v>949.5</v>
      </c>
      <c r="N45" s="157">
        <v>25.5</v>
      </c>
      <c r="O45" s="157">
        <v>80.707499999999996</v>
      </c>
      <c r="P45" s="154" t="s">
        <v>3517</v>
      </c>
      <c r="Q45" s="156">
        <v>46023</v>
      </c>
    </row>
    <row r="46" spans="1:17" ht="14.1" customHeight="1">
      <c r="A46" s="153" t="s">
        <v>667</v>
      </c>
      <c r="B46" s="153" t="s">
        <v>684</v>
      </c>
      <c r="C46" s="154" t="s">
        <v>3393</v>
      </c>
      <c r="D46" s="154" t="s">
        <v>419</v>
      </c>
      <c r="E46" s="155" t="s">
        <v>3518</v>
      </c>
      <c r="F46" s="155" t="s">
        <v>3372</v>
      </c>
      <c r="G46" s="155" t="s">
        <v>628</v>
      </c>
      <c r="H46" s="155" t="s">
        <v>3519</v>
      </c>
      <c r="I46" s="155" t="s">
        <v>220</v>
      </c>
      <c r="J46" s="154" t="s">
        <v>72</v>
      </c>
      <c r="K46" s="156">
        <v>43840</v>
      </c>
      <c r="L46" s="157">
        <v>250</v>
      </c>
      <c r="M46" s="157">
        <v>791.25</v>
      </c>
      <c r="N46" s="157">
        <v>32.5</v>
      </c>
      <c r="O46" s="157">
        <v>102.8625</v>
      </c>
      <c r="P46" s="154" t="s">
        <v>3520</v>
      </c>
      <c r="Q46" s="156">
        <v>47484</v>
      </c>
    </row>
    <row r="47" spans="1:17" ht="14.1" customHeight="1">
      <c r="A47" s="153" t="s">
        <v>667</v>
      </c>
      <c r="B47" s="153" t="s">
        <v>684</v>
      </c>
      <c r="C47" s="154" t="s">
        <v>3393</v>
      </c>
      <c r="D47" s="154" t="s">
        <v>419</v>
      </c>
      <c r="E47" s="155" t="s">
        <v>3518</v>
      </c>
      <c r="F47" s="155" t="s">
        <v>3372</v>
      </c>
      <c r="G47" s="155" t="s">
        <v>3521</v>
      </c>
      <c r="H47" s="155" t="s">
        <v>3522</v>
      </c>
      <c r="I47" s="155" t="s">
        <v>220</v>
      </c>
      <c r="J47" s="154" t="s">
        <v>72</v>
      </c>
      <c r="K47" s="156">
        <v>42506</v>
      </c>
      <c r="L47" s="157">
        <v>1500</v>
      </c>
      <c r="M47" s="157">
        <v>4747.5</v>
      </c>
      <c r="N47" s="157">
        <v>105</v>
      </c>
      <c r="O47" s="157">
        <v>332.32499999999999</v>
      </c>
      <c r="P47" s="154" t="s">
        <v>3523</v>
      </c>
      <c r="Q47" s="156">
        <v>46296</v>
      </c>
    </row>
    <row r="48" spans="1:17" ht="14.1" customHeight="1">
      <c r="A48" s="153" t="s">
        <v>667</v>
      </c>
      <c r="B48" s="153" t="s">
        <v>684</v>
      </c>
      <c r="C48" s="154" t="s">
        <v>3393</v>
      </c>
      <c r="D48" s="154" t="s">
        <v>419</v>
      </c>
      <c r="E48" s="155" t="s">
        <v>3518</v>
      </c>
      <c r="F48" s="155" t="s">
        <v>3372</v>
      </c>
      <c r="G48" s="155" t="s">
        <v>3524</v>
      </c>
      <c r="H48" s="155" t="s">
        <v>3525</v>
      </c>
      <c r="I48" s="155" t="s">
        <v>220</v>
      </c>
      <c r="J48" s="154" t="s">
        <v>72</v>
      </c>
      <c r="K48" s="156">
        <v>43250</v>
      </c>
      <c r="L48" s="157">
        <v>375</v>
      </c>
      <c r="M48" s="157">
        <v>1186.875</v>
      </c>
      <c r="N48" s="157">
        <v>37.5</v>
      </c>
      <c r="O48" s="157">
        <v>118.6875</v>
      </c>
      <c r="P48" s="154" t="s">
        <v>3482</v>
      </c>
      <c r="Q48" s="156">
        <v>46874</v>
      </c>
    </row>
    <row r="49" spans="1:17" ht="14.1" customHeight="1">
      <c r="A49" s="153" t="s">
        <v>667</v>
      </c>
      <c r="B49" s="153" t="s">
        <v>684</v>
      </c>
      <c r="C49" s="155" t="s">
        <v>3400</v>
      </c>
      <c r="D49" s="154" t="s">
        <v>3437</v>
      </c>
      <c r="E49" s="155" t="s">
        <v>507</v>
      </c>
      <c r="F49" s="155" t="s">
        <v>3412</v>
      </c>
      <c r="G49" s="155" t="s">
        <v>3526</v>
      </c>
      <c r="H49" s="155" t="s">
        <v>3527</v>
      </c>
      <c r="I49" s="155" t="s">
        <v>220</v>
      </c>
      <c r="J49" s="154" t="s">
        <v>72</v>
      </c>
      <c r="K49" s="156">
        <v>44857</v>
      </c>
      <c r="L49" s="157">
        <v>192.602</v>
      </c>
      <c r="M49" s="157">
        <v>609.58533</v>
      </c>
      <c r="N49" s="157">
        <v>66.766000000000005</v>
      </c>
      <c r="O49" s="157">
        <v>211.31439</v>
      </c>
      <c r="P49" s="154" t="s">
        <v>3528</v>
      </c>
      <c r="Q49" s="156">
        <v>47757</v>
      </c>
    </row>
    <row r="50" spans="1:17" ht="14.1" customHeight="1">
      <c r="A50" s="153" t="s">
        <v>667</v>
      </c>
      <c r="B50" s="153" t="s">
        <v>684</v>
      </c>
      <c r="C50" s="155" t="s">
        <v>3386</v>
      </c>
      <c r="D50" s="154" t="s">
        <v>573</v>
      </c>
      <c r="E50" s="155" t="s">
        <v>574</v>
      </c>
      <c r="F50" s="155" t="s">
        <v>3412</v>
      </c>
      <c r="G50" s="155" t="s">
        <v>3529</v>
      </c>
      <c r="H50" s="155" t="s">
        <v>3530</v>
      </c>
      <c r="I50" s="155" t="s">
        <v>220</v>
      </c>
      <c r="J50" s="154" t="s">
        <v>72</v>
      </c>
      <c r="K50" s="156">
        <v>43599</v>
      </c>
      <c r="L50" s="157">
        <v>2700</v>
      </c>
      <c r="M50" s="157">
        <v>8545.5</v>
      </c>
      <c r="N50" s="157">
        <v>0</v>
      </c>
      <c r="O50" s="157">
        <v>0</v>
      </c>
      <c r="P50" s="154" t="s">
        <v>3405</v>
      </c>
      <c r="Q50" s="156">
        <v>45962</v>
      </c>
    </row>
    <row r="51" spans="1:17" ht="14.1" customHeight="1">
      <c r="A51" s="153" t="s">
        <v>667</v>
      </c>
      <c r="B51" s="153" t="s">
        <v>684</v>
      </c>
      <c r="C51" s="155" t="s">
        <v>1070</v>
      </c>
      <c r="D51" s="155" t="s">
        <v>449</v>
      </c>
      <c r="E51" s="155" t="s">
        <v>3531</v>
      </c>
      <c r="F51" s="155" t="s">
        <v>3412</v>
      </c>
      <c r="G51" s="155" t="s">
        <v>3532</v>
      </c>
      <c r="H51" s="155" t="s">
        <v>3533</v>
      </c>
      <c r="I51" s="155" t="s">
        <v>220</v>
      </c>
      <c r="J51" s="154" t="s">
        <v>52</v>
      </c>
      <c r="K51" s="156">
        <v>42304</v>
      </c>
      <c r="L51" s="157">
        <v>7439.5320000000002</v>
      </c>
      <c r="M51" s="157">
        <v>7439.5320000000002</v>
      </c>
      <c r="N51" s="157">
        <v>662.35699999999997</v>
      </c>
      <c r="O51" s="157">
        <v>662.35699999999997</v>
      </c>
      <c r="P51" s="154" t="s">
        <v>3534</v>
      </c>
      <c r="Q51" s="156">
        <v>45976</v>
      </c>
    </row>
    <row r="52" spans="1:17" ht="14.1" customHeight="1">
      <c r="A52" s="153" t="s">
        <v>667</v>
      </c>
      <c r="B52" s="153" t="s">
        <v>684</v>
      </c>
      <c r="C52" s="154" t="s">
        <v>3378</v>
      </c>
      <c r="D52" s="155" t="s">
        <v>396</v>
      </c>
      <c r="E52" s="155" t="s">
        <v>3406</v>
      </c>
      <c r="F52" s="155" t="s">
        <v>3372</v>
      </c>
      <c r="G52" s="155" t="s">
        <v>3535</v>
      </c>
      <c r="H52" s="155" t="s">
        <v>3536</v>
      </c>
      <c r="I52" s="155" t="s">
        <v>220</v>
      </c>
      <c r="J52" s="154" t="s">
        <v>72</v>
      </c>
      <c r="K52" s="156">
        <v>39758</v>
      </c>
      <c r="L52" s="157">
        <v>833</v>
      </c>
      <c r="M52" s="157">
        <v>2636.4450000000002</v>
      </c>
      <c r="N52" s="157">
        <v>49.97</v>
      </c>
      <c r="O52" s="157">
        <v>158.15504999999999</v>
      </c>
      <c r="P52" s="154" t="s">
        <v>3537</v>
      </c>
      <c r="Q52" s="156">
        <v>46637</v>
      </c>
    </row>
    <row r="53" spans="1:17" ht="14.1" customHeight="1">
      <c r="A53" s="153" t="s">
        <v>667</v>
      </c>
      <c r="B53" s="153" t="s">
        <v>684</v>
      </c>
      <c r="C53" s="154" t="s">
        <v>3378</v>
      </c>
      <c r="D53" s="155" t="s">
        <v>396</v>
      </c>
      <c r="E53" s="155" t="s">
        <v>3406</v>
      </c>
      <c r="F53" s="155" t="s">
        <v>3372</v>
      </c>
      <c r="G53" s="155" t="s">
        <v>3538</v>
      </c>
      <c r="H53" s="155" t="s">
        <v>3539</v>
      </c>
      <c r="I53" s="155" t="s">
        <v>220</v>
      </c>
      <c r="J53" s="154" t="s">
        <v>72</v>
      </c>
      <c r="K53" s="156">
        <v>43937</v>
      </c>
      <c r="L53" s="157">
        <v>2800</v>
      </c>
      <c r="M53" s="157">
        <v>8862</v>
      </c>
      <c r="N53" s="157">
        <v>84</v>
      </c>
      <c r="O53" s="157">
        <v>265.86</v>
      </c>
      <c r="P53" s="154" t="s">
        <v>3540</v>
      </c>
      <c r="Q53" s="156">
        <v>47574</v>
      </c>
    </row>
    <row r="54" spans="1:17" ht="14.1" customHeight="1">
      <c r="A54" s="153" t="s">
        <v>667</v>
      </c>
      <c r="B54" s="153" t="s">
        <v>684</v>
      </c>
      <c r="C54" s="155" t="s">
        <v>3386</v>
      </c>
      <c r="D54" s="155" t="s">
        <v>389</v>
      </c>
      <c r="E54" s="155" t="s">
        <v>390</v>
      </c>
      <c r="F54" s="155" t="s">
        <v>3412</v>
      </c>
      <c r="G54" s="155" t="s">
        <v>389</v>
      </c>
      <c r="H54" s="155" t="s">
        <v>3541</v>
      </c>
      <c r="I54" s="155" t="s">
        <v>220</v>
      </c>
      <c r="J54" s="154" t="s">
        <v>395</v>
      </c>
      <c r="K54" s="156">
        <v>42964</v>
      </c>
      <c r="L54" s="157">
        <v>2500</v>
      </c>
      <c r="M54" s="157">
        <v>9090</v>
      </c>
      <c r="N54" s="157">
        <v>38.561</v>
      </c>
      <c r="O54" s="157">
        <v>140.207796</v>
      </c>
      <c r="P54" s="154" t="s">
        <v>3542</v>
      </c>
      <c r="Q54" s="156">
        <v>46477</v>
      </c>
    </row>
    <row r="55" spans="1:17" ht="14.1" customHeight="1">
      <c r="A55" s="153" t="s">
        <v>667</v>
      </c>
      <c r="B55" s="153" t="s">
        <v>684</v>
      </c>
      <c r="C55" s="154" t="s">
        <v>3393</v>
      </c>
      <c r="D55" s="154" t="s">
        <v>416</v>
      </c>
      <c r="E55" s="155" t="s">
        <v>415</v>
      </c>
      <c r="F55" s="155" t="s">
        <v>3412</v>
      </c>
      <c r="G55" s="155" t="s">
        <v>3543</v>
      </c>
      <c r="H55" s="155" t="s">
        <v>3544</v>
      </c>
      <c r="I55" s="155" t="s">
        <v>220</v>
      </c>
      <c r="J55" s="154" t="s">
        <v>72</v>
      </c>
      <c r="K55" s="156">
        <v>44329</v>
      </c>
      <c r="L55" s="157">
        <v>300</v>
      </c>
      <c r="M55" s="157">
        <v>949.5</v>
      </c>
      <c r="N55" s="157">
        <v>45</v>
      </c>
      <c r="O55" s="157">
        <v>142.42500000000001</v>
      </c>
      <c r="P55" s="154" t="s">
        <v>3545</v>
      </c>
      <c r="Q55" s="156">
        <v>46140</v>
      </c>
    </row>
    <row r="56" spans="1:17" ht="14.1" customHeight="1">
      <c r="A56" s="153" t="s">
        <v>667</v>
      </c>
      <c r="B56" s="153" t="s">
        <v>684</v>
      </c>
      <c r="C56" s="155" t="s">
        <v>3400</v>
      </c>
      <c r="D56" s="154" t="s">
        <v>537</v>
      </c>
      <c r="E56" s="155" t="s">
        <v>3546</v>
      </c>
      <c r="F56" s="155" t="s">
        <v>3372</v>
      </c>
      <c r="G56" s="155" t="s">
        <v>539</v>
      </c>
      <c r="H56" s="155" t="s">
        <v>3547</v>
      </c>
      <c r="I56" s="155" t="s">
        <v>220</v>
      </c>
      <c r="J56" s="154" t="s">
        <v>395</v>
      </c>
      <c r="K56" s="156">
        <v>42663</v>
      </c>
      <c r="L56" s="157">
        <v>1320.3</v>
      </c>
      <c r="M56" s="157">
        <v>4800.6107999999986</v>
      </c>
      <c r="N56" s="157">
        <v>0</v>
      </c>
      <c r="O56" s="157">
        <v>0</v>
      </c>
      <c r="P56" s="154" t="s">
        <v>3405</v>
      </c>
      <c r="Q56" s="156">
        <v>46296</v>
      </c>
    </row>
    <row r="57" spans="1:17" ht="14.1" customHeight="1">
      <c r="A57" s="153" t="s">
        <v>667</v>
      </c>
      <c r="B57" s="153" t="s">
        <v>684</v>
      </c>
      <c r="C57" s="155" t="s">
        <v>3400</v>
      </c>
      <c r="D57" s="154" t="s">
        <v>3379</v>
      </c>
      <c r="E57" s="155" t="s">
        <v>347</v>
      </c>
      <c r="F57" s="155" t="s">
        <v>3372</v>
      </c>
      <c r="G57" s="155" t="s">
        <v>3548</v>
      </c>
      <c r="H57" s="155" t="s">
        <v>3549</v>
      </c>
      <c r="I57" s="155" t="s">
        <v>220</v>
      </c>
      <c r="J57" s="154" t="s">
        <v>72</v>
      </c>
      <c r="K57" s="156">
        <v>44441</v>
      </c>
      <c r="L57" s="157">
        <v>800</v>
      </c>
      <c r="M57" s="157">
        <v>2532</v>
      </c>
      <c r="N57" s="157">
        <v>211.61568999999989</v>
      </c>
      <c r="O57" s="157">
        <v>669.76365884999973</v>
      </c>
      <c r="P57" s="154" t="s">
        <v>3550</v>
      </c>
      <c r="Q57" s="156">
        <v>47119</v>
      </c>
    </row>
    <row r="58" spans="1:17" ht="14.1" customHeight="1">
      <c r="A58" s="153" t="s">
        <v>667</v>
      </c>
      <c r="B58" s="153" t="s">
        <v>684</v>
      </c>
      <c r="C58" s="155" t="s">
        <v>3400</v>
      </c>
      <c r="D58" s="154" t="s">
        <v>573</v>
      </c>
      <c r="E58" s="155" t="s">
        <v>3551</v>
      </c>
      <c r="F58" s="155" t="s">
        <v>3372</v>
      </c>
      <c r="G58" s="155" t="s">
        <v>3552</v>
      </c>
      <c r="H58" s="155" t="s">
        <v>3553</v>
      </c>
      <c r="I58" s="155" t="s">
        <v>220</v>
      </c>
      <c r="J58" s="154" t="s">
        <v>72</v>
      </c>
      <c r="K58" s="156">
        <v>44355</v>
      </c>
      <c r="L58" s="157">
        <v>300</v>
      </c>
      <c r="M58" s="157">
        <v>949.5</v>
      </c>
      <c r="N58" s="157">
        <v>0</v>
      </c>
      <c r="O58" s="157">
        <v>0</v>
      </c>
      <c r="P58" s="154" t="s">
        <v>3405</v>
      </c>
      <c r="Q58" s="156">
        <v>46539</v>
      </c>
    </row>
    <row r="59" spans="1:17" ht="14.1" customHeight="1">
      <c r="A59" s="153" t="s">
        <v>667</v>
      </c>
      <c r="B59" s="153" t="s">
        <v>684</v>
      </c>
      <c r="C59" s="155" t="s">
        <v>3400</v>
      </c>
      <c r="D59" s="154" t="s">
        <v>590</v>
      </c>
      <c r="E59" s="154" t="s">
        <v>591</v>
      </c>
      <c r="F59" s="155" t="s">
        <v>3372</v>
      </c>
      <c r="G59" s="155" t="s">
        <v>3554</v>
      </c>
      <c r="H59" s="155" t="s">
        <v>3555</v>
      </c>
      <c r="I59" s="155" t="s">
        <v>220</v>
      </c>
      <c r="J59" s="154" t="s">
        <v>395</v>
      </c>
      <c r="K59" s="156">
        <v>43335</v>
      </c>
      <c r="L59" s="157">
        <v>1350</v>
      </c>
      <c r="M59" s="157">
        <v>4908.6000000000004</v>
      </c>
      <c r="N59" s="157">
        <v>230.1351499999999</v>
      </c>
      <c r="O59" s="157">
        <v>836.77140539999971</v>
      </c>
      <c r="P59" s="154" t="s">
        <v>3556</v>
      </c>
      <c r="Q59" s="156">
        <v>46966</v>
      </c>
    </row>
    <row r="60" spans="1:17" ht="14.1" customHeight="1">
      <c r="A60" s="153" t="s">
        <v>667</v>
      </c>
      <c r="B60" s="153" t="s">
        <v>684</v>
      </c>
      <c r="C60" s="155" t="s">
        <v>3400</v>
      </c>
      <c r="D60" s="154" t="s">
        <v>594</v>
      </c>
      <c r="E60" s="155" t="s">
        <v>3557</v>
      </c>
      <c r="F60" s="155" t="s">
        <v>3372</v>
      </c>
      <c r="G60" s="155" t="s">
        <v>3558</v>
      </c>
      <c r="H60" s="155" t="s">
        <v>3559</v>
      </c>
      <c r="I60" s="155" t="s">
        <v>220</v>
      </c>
      <c r="J60" s="154" t="s">
        <v>72</v>
      </c>
      <c r="K60" s="156">
        <v>43543</v>
      </c>
      <c r="L60" s="157">
        <v>1350</v>
      </c>
      <c r="M60" s="157">
        <v>4272.75</v>
      </c>
      <c r="N60" s="157">
        <v>336.72207000000003</v>
      </c>
      <c r="O60" s="157">
        <v>1065.7253515499999</v>
      </c>
      <c r="P60" s="154" t="s">
        <v>3560</v>
      </c>
      <c r="Q60" s="156">
        <v>47178</v>
      </c>
    </row>
    <row r="61" spans="1:17" ht="14.1" customHeight="1">
      <c r="A61" s="153" t="s">
        <v>667</v>
      </c>
      <c r="B61" s="153" t="s">
        <v>684</v>
      </c>
      <c r="C61" s="155" t="s">
        <v>3400</v>
      </c>
      <c r="D61" s="154" t="s">
        <v>3431</v>
      </c>
      <c r="E61" s="155" t="s">
        <v>3432</v>
      </c>
      <c r="F61" s="155" t="s">
        <v>3412</v>
      </c>
      <c r="G61" s="155" t="s">
        <v>3561</v>
      </c>
      <c r="H61" s="155" t="s">
        <v>3562</v>
      </c>
      <c r="I61" s="155" t="s">
        <v>220</v>
      </c>
      <c r="J61" s="154" t="s">
        <v>52</v>
      </c>
      <c r="K61" s="156">
        <v>43782</v>
      </c>
      <c r="L61" s="157">
        <v>5162.6080000000002</v>
      </c>
      <c r="M61" s="157">
        <v>5162.6080000000002</v>
      </c>
      <c r="N61" s="157">
        <v>962.60799999999995</v>
      </c>
      <c r="O61" s="157">
        <v>962.60799999999995</v>
      </c>
      <c r="P61" s="154" t="s">
        <v>3563</v>
      </c>
      <c r="Q61" s="156">
        <v>46692</v>
      </c>
    </row>
    <row r="62" spans="1:17" ht="14.1" customHeight="1">
      <c r="A62" s="153" t="s">
        <v>667</v>
      </c>
      <c r="B62" s="153" t="s">
        <v>684</v>
      </c>
      <c r="C62" s="155" t="s">
        <v>3400</v>
      </c>
      <c r="D62" s="154" t="s">
        <v>3431</v>
      </c>
      <c r="E62" s="155" t="s">
        <v>3432</v>
      </c>
      <c r="F62" s="155" t="s">
        <v>3412</v>
      </c>
      <c r="G62" s="155" t="s">
        <v>501</v>
      </c>
      <c r="H62" s="155" t="s">
        <v>3564</v>
      </c>
      <c r="I62" s="155" t="s">
        <v>220</v>
      </c>
      <c r="J62" s="154" t="s">
        <v>52</v>
      </c>
      <c r="K62" s="156">
        <v>45040</v>
      </c>
      <c r="L62" s="157">
        <v>2600</v>
      </c>
      <c r="M62" s="157">
        <v>2600</v>
      </c>
      <c r="N62" s="157">
        <v>1378</v>
      </c>
      <c r="O62" s="157">
        <v>1378</v>
      </c>
      <c r="P62" s="154" t="s">
        <v>3434</v>
      </c>
      <c r="Q62" s="156">
        <v>47939</v>
      </c>
    </row>
    <row r="63" spans="1:17" ht="14.1" customHeight="1">
      <c r="A63" s="153" t="s">
        <v>667</v>
      </c>
      <c r="B63" s="153" t="s">
        <v>684</v>
      </c>
      <c r="C63" s="155" t="s">
        <v>3400</v>
      </c>
      <c r="D63" s="154" t="s">
        <v>410</v>
      </c>
      <c r="E63" s="155" t="s">
        <v>411</v>
      </c>
      <c r="F63" s="155" t="s">
        <v>3412</v>
      </c>
      <c r="G63" s="155" t="s">
        <v>3565</v>
      </c>
      <c r="H63" s="155" t="s">
        <v>3566</v>
      </c>
      <c r="I63" s="155" t="s">
        <v>220</v>
      </c>
      <c r="J63" s="154" t="s">
        <v>72</v>
      </c>
      <c r="K63" s="156">
        <v>44245</v>
      </c>
      <c r="L63" s="157">
        <v>1380</v>
      </c>
      <c r="M63" s="157">
        <v>4367.7</v>
      </c>
      <c r="N63" s="157">
        <v>800.93600000000004</v>
      </c>
      <c r="O63" s="157">
        <v>2534.9624399999998</v>
      </c>
      <c r="P63" s="154" t="s">
        <v>3567</v>
      </c>
      <c r="Q63" s="156">
        <v>46054</v>
      </c>
    </row>
    <row r="64" spans="1:17" ht="14.1" customHeight="1">
      <c r="A64" s="153" t="s">
        <v>667</v>
      </c>
      <c r="B64" s="153" t="s">
        <v>684</v>
      </c>
      <c r="C64" s="155" t="s">
        <v>3400</v>
      </c>
      <c r="D64" s="155" t="s">
        <v>426</v>
      </c>
      <c r="E64" s="155" t="s">
        <v>430</v>
      </c>
      <c r="F64" s="155" t="s">
        <v>3412</v>
      </c>
      <c r="G64" s="155" t="s">
        <v>3568</v>
      </c>
      <c r="H64" s="155" t="s">
        <v>3569</v>
      </c>
      <c r="I64" s="155" t="s">
        <v>220</v>
      </c>
      <c r="J64" s="154" t="s">
        <v>52</v>
      </c>
      <c r="K64" s="156">
        <v>43131</v>
      </c>
      <c r="L64" s="157">
        <v>10000</v>
      </c>
      <c r="M64" s="157">
        <v>10000</v>
      </c>
      <c r="N64" s="157">
        <v>806.29300000000001</v>
      </c>
      <c r="O64" s="157">
        <v>806.29300000000001</v>
      </c>
      <c r="P64" s="154" t="s">
        <v>3570</v>
      </c>
      <c r="Q64" s="156">
        <v>46753</v>
      </c>
    </row>
    <row r="65" spans="1:17" ht="14.1" customHeight="1">
      <c r="A65" s="153" t="s">
        <v>667</v>
      </c>
      <c r="B65" s="153" t="s">
        <v>684</v>
      </c>
      <c r="C65" s="155" t="s">
        <v>3400</v>
      </c>
      <c r="D65" s="155" t="s">
        <v>426</v>
      </c>
      <c r="E65" s="155" t="s">
        <v>430</v>
      </c>
      <c r="F65" s="155" t="s">
        <v>3412</v>
      </c>
      <c r="G65" s="155" t="s">
        <v>3571</v>
      </c>
      <c r="H65" s="155" t="s">
        <v>3572</v>
      </c>
      <c r="I65" s="155" t="s">
        <v>220</v>
      </c>
      <c r="J65" s="154" t="s">
        <v>52</v>
      </c>
      <c r="K65" s="156">
        <v>43803</v>
      </c>
      <c r="L65" s="157">
        <v>6000</v>
      </c>
      <c r="M65" s="157">
        <v>6000</v>
      </c>
      <c r="N65" s="157">
        <v>1779.39</v>
      </c>
      <c r="O65" s="157">
        <v>1779.39</v>
      </c>
      <c r="P65" s="154" t="s">
        <v>3493</v>
      </c>
      <c r="Q65" s="156">
        <v>46327</v>
      </c>
    </row>
    <row r="66" spans="1:17" ht="14.1" customHeight="1">
      <c r="A66" s="153" t="s">
        <v>667</v>
      </c>
      <c r="B66" s="153" t="s">
        <v>684</v>
      </c>
      <c r="C66" s="155" t="s">
        <v>3400</v>
      </c>
      <c r="D66" s="155" t="s">
        <v>3573</v>
      </c>
      <c r="E66" s="155" t="s">
        <v>441</v>
      </c>
      <c r="F66" s="155" t="s">
        <v>3412</v>
      </c>
      <c r="G66" s="155" t="s">
        <v>442</v>
      </c>
      <c r="H66" s="155" t="s">
        <v>3574</v>
      </c>
      <c r="I66" s="155" t="s">
        <v>220</v>
      </c>
      <c r="J66" s="154" t="s">
        <v>52</v>
      </c>
      <c r="K66" s="156">
        <v>44598</v>
      </c>
      <c r="L66" s="157">
        <v>763.28899999999999</v>
      </c>
      <c r="M66" s="157">
        <v>763.28899999999999</v>
      </c>
      <c r="N66" s="157">
        <v>505.44600000000003</v>
      </c>
      <c r="O66" s="157">
        <v>505.44600000000003</v>
      </c>
      <c r="P66" s="154" t="s">
        <v>3575</v>
      </c>
      <c r="Q66" s="156">
        <v>48245</v>
      </c>
    </row>
    <row r="67" spans="1:17" ht="14.1" customHeight="1">
      <c r="A67" s="153" t="s">
        <v>667</v>
      </c>
      <c r="B67" s="153" t="s">
        <v>684</v>
      </c>
      <c r="C67" s="155" t="s">
        <v>3440</v>
      </c>
      <c r="D67" s="155" t="s">
        <v>379</v>
      </c>
      <c r="E67" s="155" t="s">
        <v>380</v>
      </c>
      <c r="F67" s="155" t="s">
        <v>3412</v>
      </c>
      <c r="G67" s="155" t="s">
        <v>379</v>
      </c>
      <c r="H67" s="155" t="s">
        <v>3576</v>
      </c>
      <c r="I67" s="155" t="s">
        <v>220</v>
      </c>
      <c r="J67" s="154" t="s">
        <v>52</v>
      </c>
      <c r="K67" s="156">
        <v>41364</v>
      </c>
      <c r="L67" s="157">
        <v>8501.9509999999991</v>
      </c>
      <c r="M67" s="157">
        <v>8501.9509999999991</v>
      </c>
      <c r="N67" s="157">
        <v>0</v>
      </c>
      <c r="O67" s="157">
        <v>0</v>
      </c>
      <c r="P67" s="154" t="s">
        <v>3405</v>
      </c>
      <c r="Q67" s="154"/>
    </row>
    <row r="68" spans="1:17" ht="14.1" customHeight="1">
      <c r="A68" s="153" t="s">
        <v>667</v>
      </c>
      <c r="B68" s="153" t="s">
        <v>684</v>
      </c>
      <c r="C68" s="155" t="s">
        <v>3440</v>
      </c>
      <c r="D68" s="155" t="s">
        <v>370</v>
      </c>
      <c r="E68" s="155" t="s">
        <v>3441</v>
      </c>
      <c r="F68" s="155" t="s">
        <v>3412</v>
      </c>
      <c r="G68" s="155" t="s">
        <v>3442</v>
      </c>
      <c r="H68" s="155" t="s">
        <v>3577</v>
      </c>
      <c r="I68" s="155" t="s">
        <v>220</v>
      </c>
      <c r="J68" s="154" t="s">
        <v>52</v>
      </c>
      <c r="K68" s="156">
        <v>43922</v>
      </c>
      <c r="L68" s="157">
        <v>4797.2550000000001</v>
      </c>
      <c r="M68" s="157">
        <v>4797.2550000000001</v>
      </c>
      <c r="N68" s="157">
        <v>0</v>
      </c>
      <c r="O68" s="157">
        <v>0</v>
      </c>
      <c r="P68" s="154" t="s">
        <v>3405</v>
      </c>
      <c r="Q68" s="154"/>
    </row>
    <row r="69" spans="1:17" ht="14.1" customHeight="1">
      <c r="A69" s="153" t="s">
        <v>667</v>
      </c>
      <c r="B69" s="153" t="s">
        <v>684</v>
      </c>
      <c r="C69" s="155" t="s">
        <v>3440</v>
      </c>
      <c r="D69" s="155" t="s">
        <v>370</v>
      </c>
      <c r="E69" s="155" t="s">
        <v>3441</v>
      </c>
      <c r="F69" s="155" t="s">
        <v>3412</v>
      </c>
      <c r="G69" s="155" t="s">
        <v>3444</v>
      </c>
      <c r="H69" s="155" t="s">
        <v>3578</v>
      </c>
      <c r="I69" s="155" t="s">
        <v>220</v>
      </c>
      <c r="J69" s="154" t="s">
        <v>52</v>
      </c>
      <c r="K69" s="156">
        <v>42306</v>
      </c>
      <c r="L69" s="157">
        <v>5000</v>
      </c>
      <c r="M69" s="157">
        <v>5000</v>
      </c>
      <c r="N69" s="157">
        <v>0</v>
      </c>
      <c r="O69" s="157">
        <v>0</v>
      </c>
      <c r="P69" s="154" t="s">
        <v>3405</v>
      </c>
      <c r="Q69" s="154"/>
    </row>
    <row r="70" spans="1:17" ht="14.1" customHeight="1">
      <c r="A70" s="153" t="s">
        <v>667</v>
      </c>
      <c r="B70" s="153" t="s">
        <v>684</v>
      </c>
      <c r="C70" s="155" t="s">
        <v>3440</v>
      </c>
      <c r="D70" s="155" t="s">
        <v>370</v>
      </c>
      <c r="E70" s="155" t="s">
        <v>3579</v>
      </c>
      <c r="F70" s="155" t="s">
        <v>3412</v>
      </c>
      <c r="G70" s="155" t="s">
        <v>3580</v>
      </c>
      <c r="H70" s="155" t="s">
        <v>3581</v>
      </c>
      <c r="I70" s="155" t="s">
        <v>220</v>
      </c>
      <c r="J70" s="154" t="s">
        <v>52</v>
      </c>
      <c r="K70" s="156">
        <v>45351</v>
      </c>
      <c r="L70" s="157">
        <v>5000</v>
      </c>
      <c r="M70" s="157">
        <v>5000</v>
      </c>
      <c r="N70" s="157">
        <v>0</v>
      </c>
      <c r="O70" s="157">
        <v>0</v>
      </c>
      <c r="P70" s="154" t="s">
        <v>3405</v>
      </c>
      <c r="Q70" s="154"/>
    </row>
    <row r="71" spans="1:17" ht="14.1" customHeight="1">
      <c r="A71" s="163" t="s">
        <v>667</v>
      </c>
      <c r="B71" s="163" t="s">
        <v>668</v>
      </c>
      <c r="C71" s="159" t="s">
        <v>3393</v>
      </c>
      <c r="D71" s="159" t="s">
        <v>3513</v>
      </c>
      <c r="E71" s="158" t="s">
        <v>3514</v>
      </c>
      <c r="F71" s="158" t="s">
        <v>3412</v>
      </c>
      <c r="G71" s="158" t="s">
        <v>3515</v>
      </c>
      <c r="H71" s="158" t="s">
        <v>3516</v>
      </c>
      <c r="I71" s="158" t="s">
        <v>220</v>
      </c>
      <c r="J71" s="159" t="s">
        <v>72</v>
      </c>
      <c r="K71" s="160">
        <v>44426</v>
      </c>
      <c r="L71" s="161">
        <v>50</v>
      </c>
      <c r="M71" s="161">
        <v>158.25</v>
      </c>
      <c r="N71" s="161">
        <v>4.25</v>
      </c>
      <c r="O71" s="161">
        <v>13.45125</v>
      </c>
      <c r="P71" s="159" t="s">
        <v>3517</v>
      </c>
      <c r="Q71" s="160">
        <v>46023</v>
      </c>
    </row>
    <row r="72" spans="1:17" ht="14.1" customHeight="1">
      <c r="A72" s="163" t="s">
        <v>667</v>
      </c>
      <c r="B72" s="163" t="s">
        <v>668</v>
      </c>
      <c r="C72" s="158" t="s">
        <v>3400</v>
      </c>
      <c r="D72" s="159" t="s">
        <v>3379</v>
      </c>
      <c r="E72" s="158" t="s">
        <v>347</v>
      </c>
      <c r="F72" s="158" t="s">
        <v>3372</v>
      </c>
      <c r="G72" s="158" t="s">
        <v>3548</v>
      </c>
      <c r="H72" s="158" t="s">
        <v>3549</v>
      </c>
      <c r="I72" s="158" t="s">
        <v>220</v>
      </c>
      <c r="J72" s="159" t="s">
        <v>72</v>
      </c>
      <c r="K72" s="160">
        <v>44441</v>
      </c>
      <c r="L72" s="161">
        <v>100</v>
      </c>
      <c r="M72" s="161">
        <v>316.5</v>
      </c>
      <c r="N72" s="161">
        <v>26.45196000000001</v>
      </c>
      <c r="O72" s="161">
        <v>83.720453400000025</v>
      </c>
      <c r="P72" s="159" t="s">
        <v>3550</v>
      </c>
      <c r="Q72" s="160">
        <v>47119</v>
      </c>
    </row>
    <row r="73" spans="1:17" s="125" customFormat="1" ht="14.1" customHeight="1">
      <c r="A73" s="153" t="s">
        <v>667</v>
      </c>
      <c r="B73" s="153" t="s">
        <v>683</v>
      </c>
      <c r="C73" s="155" t="s">
        <v>3400</v>
      </c>
      <c r="D73" s="154" t="s">
        <v>3379</v>
      </c>
      <c r="E73" s="155" t="s">
        <v>347</v>
      </c>
      <c r="F73" s="155" t="s">
        <v>3372</v>
      </c>
      <c r="G73" s="155" t="s">
        <v>3548</v>
      </c>
      <c r="H73" s="155" t="s">
        <v>3549</v>
      </c>
      <c r="I73" s="155" t="s">
        <v>220</v>
      </c>
      <c r="J73" s="154" t="s">
        <v>72</v>
      </c>
      <c r="K73" s="156">
        <v>44441</v>
      </c>
      <c r="L73" s="157">
        <v>100</v>
      </c>
      <c r="M73" s="157">
        <v>316.5</v>
      </c>
      <c r="N73" s="157">
        <v>26.45196000000001</v>
      </c>
      <c r="O73" s="157">
        <v>83.720453400000025</v>
      </c>
      <c r="P73" s="154" t="s">
        <v>3550</v>
      </c>
      <c r="Q73" s="156">
        <v>47119</v>
      </c>
    </row>
  </sheetData>
  <sheetProtection formatColumns="0"/>
  <autoFilter ref="A1:R73" xr:uid="{00000000-0001-0000-1E00-000000000000}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11" activePane="bottomLeft" state="frozen"/>
      <selection activeCell="A2" sqref="A2"/>
      <selection pane="bottomLeft" activeCell="C201" sqref="C201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826</v>
      </c>
      <c r="B1" s="37" t="s">
        <v>827</v>
      </c>
      <c r="C1" s="37" t="s">
        <v>828</v>
      </c>
      <c r="D1" s="37" t="s">
        <v>829</v>
      </c>
      <c r="E1" s="37" t="s">
        <v>830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68</v>
      </c>
      <c r="D3" s="15"/>
      <c r="E3" s="15"/>
      <c r="F3" s="11"/>
    </row>
    <row r="4" spans="1:6" ht="42.75">
      <c r="A4" s="65"/>
      <c r="B4" s="94" t="s">
        <v>831</v>
      </c>
      <c r="C4" s="16" t="s">
        <v>45</v>
      </c>
      <c r="D4" s="16" t="s">
        <v>832</v>
      </c>
      <c r="E4" s="16"/>
      <c r="F4" s="11"/>
    </row>
    <row r="5" spans="1:6">
      <c r="A5" s="66"/>
      <c r="B5" s="95"/>
      <c r="C5" s="16" t="s">
        <v>833</v>
      </c>
      <c r="D5" s="16"/>
      <c r="E5" s="16"/>
      <c r="F5" s="11"/>
    </row>
    <row r="6" spans="1:6">
      <c r="A6" s="66"/>
      <c r="B6" s="95"/>
      <c r="C6" s="16" t="s">
        <v>834</v>
      </c>
      <c r="D6" s="16"/>
      <c r="E6" s="16"/>
      <c r="F6" s="11"/>
    </row>
    <row r="7" spans="1:6">
      <c r="A7" s="66"/>
      <c r="B7" s="95"/>
      <c r="C7" s="16" t="s">
        <v>835</v>
      </c>
      <c r="D7" s="16"/>
      <c r="E7" s="16"/>
      <c r="F7" s="11"/>
    </row>
    <row r="8" spans="1:6">
      <c r="A8" s="66"/>
      <c r="B8" s="95"/>
      <c r="C8" s="16" t="s">
        <v>836</v>
      </c>
      <c r="D8" s="16"/>
      <c r="E8" s="16"/>
      <c r="F8" s="11"/>
    </row>
    <row r="9" spans="1:6">
      <c r="A9" s="66"/>
      <c r="B9" s="95"/>
      <c r="C9" s="16" t="s">
        <v>837</v>
      </c>
      <c r="D9" s="16"/>
      <c r="E9" s="16"/>
      <c r="F9" s="11"/>
    </row>
    <row r="10" spans="1:6">
      <c r="A10" s="66"/>
      <c r="B10" s="95"/>
      <c r="C10" s="16" t="s">
        <v>838</v>
      </c>
      <c r="D10" s="16"/>
      <c r="E10" s="16"/>
      <c r="F10" s="11"/>
    </row>
    <row r="11" spans="1:6">
      <c r="A11" s="66"/>
      <c r="B11" s="95"/>
      <c r="C11" s="16" t="s">
        <v>839</v>
      </c>
      <c r="D11" s="16"/>
      <c r="E11" s="16"/>
      <c r="F11" s="11" t="s">
        <v>840</v>
      </c>
    </row>
    <row r="12" spans="1:6">
      <c r="A12" s="66"/>
      <c r="B12" s="95"/>
      <c r="C12" s="16" t="s">
        <v>841</v>
      </c>
      <c r="D12" s="16"/>
      <c r="E12" s="16"/>
      <c r="F12" s="11" t="s">
        <v>840</v>
      </c>
    </row>
    <row r="13" spans="1:6">
      <c r="A13" s="66"/>
      <c r="B13" s="95"/>
      <c r="C13" s="16" t="s">
        <v>842</v>
      </c>
      <c r="D13" s="16"/>
      <c r="E13" s="16"/>
      <c r="F13" s="11"/>
    </row>
    <row r="14" spans="1:6">
      <c r="A14" s="66"/>
      <c r="B14" s="95"/>
      <c r="C14" s="16" t="s">
        <v>342</v>
      </c>
      <c r="D14" s="16"/>
      <c r="E14" s="16"/>
      <c r="F14" s="11"/>
    </row>
    <row r="15" spans="1:6">
      <c r="A15" s="66"/>
      <c r="B15" s="95"/>
      <c r="C15" s="16" t="s">
        <v>843</v>
      </c>
      <c r="D15" s="16"/>
      <c r="E15" s="16"/>
      <c r="F15" s="11"/>
    </row>
    <row r="16" spans="1:6">
      <c r="A16" s="66"/>
      <c r="B16" s="95"/>
      <c r="C16" s="16" t="s">
        <v>844</v>
      </c>
      <c r="D16" s="16"/>
      <c r="E16" s="16"/>
      <c r="F16" s="11"/>
    </row>
    <row r="17" spans="1:5" s="11" customFormat="1">
      <c r="A17" s="66"/>
      <c r="B17" s="95"/>
      <c r="C17" s="16" t="s">
        <v>845</v>
      </c>
      <c r="D17" s="16"/>
      <c r="E17" s="16"/>
    </row>
    <row r="18" spans="1:5" s="11" customFormat="1">
      <c r="A18" s="66"/>
      <c r="B18" s="95"/>
      <c r="C18" s="16" t="s">
        <v>846</v>
      </c>
      <c r="D18" s="16"/>
      <c r="E18" s="16"/>
    </row>
    <row r="19" spans="1:5" s="11" customFormat="1">
      <c r="A19" s="66"/>
      <c r="B19" s="95"/>
      <c r="C19" s="16" t="s">
        <v>847</v>
      </c>
      <c r="D19" s="16"/>
      <c r="E19" s="16"/>
    </row>
    <row r="20" spans="1:5" s="11" customFormat="1">
      <c r="A20" s="66"/>
      <c r="B20" s="95"/>
      <c r="C20" s="16" t="s">
        <v>848</v>
      </c>
      <c r="D20" s="16"/>
      <c r="E20" s="16"/>
    </row>
    <row r="21" spans="1:5" s="11" customFormat="1">
      <c r="A21" s="66"/>
      <c r="B21" s="95"/>
      <c r="C21" s="16" t="s">
        <v>69</v>
      </c>
      <c r="D21" s="16"/>
      <c r="E21" s="16"/>
    </row>
    <row r="22" spans="1:5" s="11" customFormat="1">
      <c r="A22" s="66"/>
      <c r="B22" s="95"/>
      <c r="C22" s="16" t="s">
        <v>849</v>
      </c>
      <c r="D22" s="16"/>
      <c r="E22" s="16"/>
    </row>
    <row r="23" spans="1:5" s="11" customFormat="1">
      <c r="A23" s="66"/>
      <c r="B23" s="95"/>
      <c r="C23" s="16" t="s">
        <v>850</v>
      </c>
      <c r="D23" s="16"/>
      <c r="E23" s="16"/>
    </row>
    <row r="24" spans="1:5" s="11" customFormat="1">
      <c r="A24" s="66"/>
      <c r="B24" s="95"/>
      <c r="C24" s="16" t="s">
        <v>851</v>
      </c>
      <c r="D24" s="16"/>
      <c r="E24" s="16"/>
    </row>
    <row r="25" spans="1:5" s="11" customFormat="1">
      <c r="A25" s="66"/>
      <c r="B25" s="95"/>
      <c r="C25" s="16" t="s">
        <v>852</v>
      </c>
      <c r="D25" s="16"/>
      <c r="E25" s="16"/>
    </row>
    <row r="26" spans="1:5" s="11" customFormat="1">
      <c r="A26" s="66"/>
      <c r="B26" s="95"/>
      <c r="C26" s="16" t="s">
        <v>853</v>
      </c>
      <c r="D26" s="16"/>
      <c r="E26" s="16"/>
    </row>
    <row r="27" spans="1:5" s="11" customFormat="1">
      <c r="A27" s="66"/>
      <c r="B27" s="95"/>
      <c r="C27" s="16" t="s">
        <v>854</v>
      </c>
      <c r="D27" s="16"/>
      <c r="E27" s="16"/>
    </row>
    <row r="28" spans="1:5" s="11" customFormat="1">
      <c r="A28" s="66"/>
      <c r="B28" s="95"/>
      <c r="C28" s="16" t="s">
        <v>855</v>
      </c>
      <c r="D28" s="16"/>
      <c r="E28" s="16"/>
    </row>
    <row r="29" spans="1:5" s="11" customFormat="1">
      <c r="A29" s="66"/>
      <c r="B29" s="95"/>
      <c r="C29" s="16" t="s">
        <v>856</v>
      </c>
      <c r="D29" s="16"/>
      <c r="E29" s="16"/>
    </row>
    <row r="30" spans="1:5" s="11" customFormat="1">
      <c r="A30" s="66"/>
      <c r="B30" s="95"/>
      <c r="C30" s="16" t="s">
        <v>464</v>
      </c>
      <c r="D30" s="16"/>
      <c r="E30" s="16"/>
    </row>
    <row r="31" spans="1:5" s="11" customFormat="1">
      <c r="A31" s="66"/>
      <c r="B31" s="95"/>
      <c r="C31" s="16" t="s">
        <v>857</v>
      </c>
      <c r="D31" s="16"/>
      <c r="E31" s="16"/>
    </row>
    <row r="32" spans="1:5" s="11" customFormat="1">
      <c r="A32" s="66"/>
      <c r="B32" s="95"/>
      <c r="C32" s="16" t="s">
        <v>858</v>
      </c>
      <c r="D32" s="16"/>
      <c r="E32" s="16"/>
    </row>
    <row r="33" spans="1:6">
      <c r="A33" s="66"/>
      <c r="B33" s="95"/>
      <c r="C33" s="16" t="s">
        <v>859</v>
      </c>
      <c r="D33" s="16"/>
      <c r="E33" s="16"/>
      <c r="F33" s="11"/>
    </row>
    <row r="34" spans="1:6">
      <c r="A34" s="66"/>
      <c r="B34" s="95"/>
      <c r="C34" s="16" t="s">
        <v>860</v>
      </c>
      <c r="D34" s="16"/>
      <c r="E34" s="16"/>
      <c r="F34" s="11"/>
    </row>
    <row r="35" spans="1:6">
      <c r="A35" s="66"/>
      <c r="B35" s="95"/>
      <c r="C35" s="16" t="s">
        <v>861</v>
      </c>
      <c r="D35" s="16"/>
      <c r="E35" s="16"/>
      <c r="F35" s="11"/>
    </row>
    <row r="36" spans="1:6">
      <c r="A36" s="66"/>
      <c r="B36" s="95"/>
      <c r="C36" s="16" t="s">
        <v>862</v>
      </c>
      <c r="D36" s="16"/>
      <c r="E36" s="16"/>
      <c r="F36" s="11" t="s">
        <v>840</v>
      </c>
    </row>
    <row r="37" spans="1:6">
      <c r="A37" s="66"/>
      <c r="B37" s="95"/>
      <c r="C37" s="7" t="s">
        <v>350</v>
      </c>
      <c r="D37" s="7"/>
      <c r="E37" s="16"/>
      <c r="F37" s="11" t="s">
        <v>840</v>
      </c>
    </row>
    <row r="38" spans="1:6">
      <c r="A38" s="66"/>
      <c r="B38" s="95"/>
      <c r="C38" s="16" t="s">
        <v>863</v>
      </c>
      <c r="D38" s="16"/>
      <c r="E38" s="16"/>
      <c r="F38" s="11"/>
    </row>
    <row r="39" spans="1:6">
      <c r="A39" s="66"/>
      <c r="B39" s="95"/>
      <c r="C39" s="16" t="s">
        <v>864</v>
      </c>
      <c r="D39" s="16"/>
      <c r="E39" s="16"/>
      <c r="F39" s="11"/>
    </row>
    <row r="40" spans="1:6">
      <c r="A40" s="66"/>
      <c r="B40" s="95"/>
      <c r="C40" s="16" t="s">
        <v>865</v>
      </c>
      <c r="D40" s="16"/>
      <c r="E40" s="16"/>
      <c r="F40" s="11" t="s">
        <v>840</v>
      </c>
    </row>
    <row r="41" spans="1:6">
      <c r="A41" s="66"/>
      <c r="B41" s="95"/>
      <c r="C41" s="16" t="s">
        <v>866</v>
      </c>
      <c r="D41" s="16"/>
      <c r="E41" s="16"/>
      <c r="F41" s="11"/>
    </row>
    <row r="42" spans="1:6">
      <c r="A42" s="66"/>
      <c r="B42" s="95"/>
      <c r="C42" s="16" t="s">
        <v>867</v>
      </c>
      <c r="D42" s="16"/>
      <c r="E42" s="16"/>
      <c r="F42" s="11"/>
    </row>
    <row r="43" spans="1:6">
      <c r="A43" s="66"/>
      <c r="B43" s="95"/>
      <c r="C43" s="16" t="s">
        <v>868</v>
      </c>
      <c r="D43" s="16"/>
      <c r="E43" s="16"/>
      <c r="F43" s="11"/>
    </row>
    <row r="44" spans="1:6">
      <c r="A44" s="66"/>
      <c r="B44" s="95"/>
      <c r="C44" s="16" t="s">
        <v>869</v>
      </c>
      <c r="D44" s="16"/>
      <c r="E44" s="16"/>
      <c r="F44" s="11"/>
    </row>
    <row r="45" spans="1:6">
      <c r="A45" s="66"/>
      <c r="B45" s="95"/>
      <c r="C45" s="16" t="s">
        <v>870</v>
      </c>
      <c r="D45" s="16"/>
      <c r="E45" s="16"/>
      <c r="F45" s="11"/>
    </row>
    <row r="46" spans="1:6">
      <c r="A46" s="66"/>
      <c r="B46" s="95"/>
      <c r="C46" s="16" t="s">
        <v>871</v>
      </c>
      <c r="D46" s="16"/>
      <c r="E46" s="16"/>
      <c r="F46" s="11" t="s">
        <v>840</v>
      </c>
    </row>
    <row r="47" spans="1:6">
      <c r="A47" s="66"/>
      <c r="B47" s="95"/>
      <c r="C47" s="16" t="s">
        <v>872</v>
      </c>
      <c r="D47" s="16"/>
      <c r="E47" s="16"/>
      <c r="F47" s="11"/>
    </row>
    <row r="48" spans="1:6">
      <c r="A48" s="66"/>
      <c r="B48" s="95"/>
      <c r="C48" s="16" t="s">
        <v>873</v>
      </c>
      <c r="D48" s="16"/>
      <c r="E48" s="16"/>
      <c r="F48" s="11"/>
    </row>
    <row r="49" spans="1:6">
      <c r="A49" s="66"/>
      <c r="B49" s="95"/>
      <c r="C49" s="16" t="s">
        <v>874</v>
      </c>
      <c r="D49" s="16"/>
      <c r="E49" s="16"/>
      <c r="F49" s="11"/>
    </row>
    <row r="50" spans="1:6">
      <c r="A50" s="66"/>
      <c r="B50" s="95"/>
      <c r="C50" s="16" t="s">
        <v>463</v>
      </c>
      <c r="D50" s="16"/>
      <c r="E50" s="16"/>
      <c r="F50" s="11"/>
    </row>
    <row r="51" spans="1:6">
      <c r="A51" s="66"/>
      <c r="B51" s="95"/>
      <c r="C51" s="16" t="s">
        <v>875</v>
      </c>
      <c r="D51" s="16"/>
      <c r="E51" s="16"/>
      <c r="F51" s="11"/>
    </row>
    <row r="52" spans="1:6">
      <c r="A52" s="66"/>
      <c r="B52" s="95"/>
      <c r="C52" s="16" t="s">
        <v>876</v>
      </c>
      <c r="D52" s="16"/>
      <c r="E52" s="16"/>
      <c r="F52" s="11"/>
    </row>
    <row r="53" spans="1:6">
      <c r="A53" s="66"/>
      <c r="B53" s="95"/>
      <c r="C53" s="16" t="s">
        <v>877</v>
      </c>
      <c r="D53" s="16"/>
      <c r="E53" s="16"/>
      <c r="F53" s="11"/>
    </row>
    <row r="54" spans="1:6">
      <c r="A54" s="66"/>
      <c r="B54" s="95"/>
      <c r="C54" s="16" t="s">
        <v>878</v>
      </c>
      <c r="D54" s="16"/>
      <c r="E54" s="16"/>
      <c r="F54" s="11"/>
    </row>
    <row r="55" spans="1:6">
      <c r="A55" s="66"/>
      <c r="B55" s="95"/>
      <c r="C55" s="16" t="s">
        <v>879</v>
      </c>
      <c r="D55" s="16"/>
      <c r="E55" s="16"/>
      <c r="F55" s="11"/>
    </row>
    <row r="56" spans="1:6">
      <c r="A56" s="66"/>
      <c r="B56" s="95"/>
      <c r="C56" s="16" t="s">
        <v>880</v>
      </c>
      <c r="D56" s="16"/>
      <c r="E56" s="16"/>
      <c r="F56" s="11"/>
    </row>
    <row r="57" spans="1:6">
      <c r="A57" s="66"/>
      <c r="B57" s="95"/>
      <c r="C57" s="16" t="s">
        <v>881</v>
      </c>
      <c r="D57" s="16"/>
      <c r="E57" s="16"/>
      <c r="F57" s="11"/>
    </row>
    <row r="58" spans="1:6">
      <c r="A58" s="66"/>
      <c r="B58" s="95"/>
      <c r="C58" s="16" t="s">
        <v>882</v>
      </c>
      <c r="D58" s="16"/>
      <c r="E58" s="16"/>
      <c r="F58" s="11"/>
    </row>
    <row r="59" spans="1:6">
      <c r="A59" s="66"/>
      <c r="B59" s="95"/>
      <c r="C59" s="16" t="s">
        <v>883</v>
      </c>
      <c r="D59" s="16"/>
      <c r="E59" s="16"/>
      <c r="F59" s="11"/>
    </row>
    <row r="60" spans="1:6">
      <c r="A60" s="66"/>
      <c r="B60" s="95"/>
      <c r="C60" s="16" t="s">
        <v>884</v>
      </c>
      <c r="D60" s="16"/>
      <c r="E60" s="16"/>
      <c r="F60" s="11"/>
    </row>
    <row r="61" spans="1:6">
      <c r="A61" s="66"/>
      <c r="B61" s="95"/>
      <c r="C61" s="16" t="s">
        <v>885</v>
      </c>
      <c r="D61" s="16"/>
      <c r="E61" s="16"/>
      <c r="F61" s="11"/>
    </row>
    <row r="62" spans="1:6">
      <c r="A62" s="66"/>
      <c r="B62" s="95"/>
      <c r="C62" s="16" t="s">
        <v>886</v>
      </c>
      <c r="D62" s="16"/>
      <c r="E62" s="16"/>
      <c r="F62" s="11"/>
    </row>
    <row r="63" spans="1:6">
      <c r="A63" s="66"/>
      <c r="B63" s="95"/>
      <c r="C63" s="16" t="s">
        <v>887</v>
      </c>
      <c r="D63" s="16"/>
      <c r="E63" s="16"/>
      <c r="F63" s="11" t="s">
        <v>840</v>
      </c>
    </row>
    <row r="64" spans="1:6">
      <c r="A64" s="66"/>
      <c r="B64" s="95"/>
      <c r="C64" s="16" t="s">
        <v>888</v>
      </c>
      <c r="D64" s="16"/>
      <c r="E64" s="16"/>
      <c r="F64" s="11"/>
    </row>
    <row r="65" spans="1:5" s="11" customFormat="1">
      <c r="A65" s="66"/>
      <c r="B65" s="95"/>
      <c r="C65" s="16" t="s">
        <v>889</v>
      </c>
      <c r="D65" s="16"/>
      <c r="E65" s="16"/>
    </row>
    <row r="66" spans="1:5" s="11" customFormat="1">
      <c r="A66" s="66"/>
      <c r="B66" s="95"/>
      <c r="C66" s="16" t="s">
        <v>890</v>
      </c>
      <c r="D66" s="16"/>
      <c r="E66" s="16"/>
    </row>
    <row r="67" spans="1:5" s="11" customFormat="1">
      <c r="A67" s="66"/>
      <c r="B67" s="95"/>
      <c r="C67" s="16" t="s">
        <v>891</v>
      </c>
      <c r="D67" s="16"/>
      <c r="E67" s="16"/>
    </row>
    <row r="68" spans="1:5" s="11" customFormat="1">
      <c r="A68" s="66"/>
      <c r="B68" s="95"/>
      <c r="C68" s="16" t="s">
        <v>892</v>
      </c>
      <c r="D68" s="16"/>
      <c r="E68" s="16"/>
    </row>
    <row r="69" spans="1:5" s="11" customFormat="1">
      <c r="A69" s="66"/>
      <c r="B69" s="95"/>
      <c r="C69" s="16" t="s">
        <v>893</v>
      </c>
      <c r="D69" s="16"/>
      <c r="E69" s="16"/>
    </row>
    <row r="70" spans="1:5" s="11" customFormat="1">
      <c r="A70" s="66"/>
      <c r="B70" s="95"/>
      <c r="C70" s="16" t="s">
        <v>894</v>
      </c>
      <c r="D70" s="16"/>
      <c r="E70" s="16"/>
    </row>
    <row r="71" spans="1:5" s="11" customFormat="1">
      <c r="A71" s="66"/>
      <c r="B71" s="95"/>
      <c r="C71" s="16" t="s">
        <v>895</v>
      </c>
      <c r="D71" s="16"/>
      <c r="E71" s="16"/>
    </row>
    <row r="72" spans="1:5" s="11" customFormat="1">
      <c r="A72" s="66"/>
      <c r="B72" s="95"/>
      <c r="C72" s="16" t="s">
        <v>896</v>
      </c>
      <c r="D72" s="16"/>
      <c r="E72" s="16"/>
    </row>
    <row r="73" spans="1:5" s="11" customFormat="1">
      <c r="A73" s="66"/>
      <c r="B73" s="95"/>
      <c r="C73" s="16" t="s">
        <v>897</v>
      </c>
      <c r="D73" s="16"/>
      <c r="E73" s="16"/>
    </row>
    <row r="74" spans="1:5" s="11" customFormat="1">
      <c r="A74" s="66"/>
      <c r="B74" s="95"/>
      <c r="C74" s="16" t="s">
        <v>898</v>
      </c>
      <c r="D74" s="16"/>
      <c r="E74" s="16"/>
    </row>
    <row r="75" spans="1:5" s="11" customFormat="1">
      <c r="A75" s="66"/>
      <c r="B75" s="95"/>
      <c r="C75" s="16" t="s">
        <v>899</v>
      </c>
      <c r="D75" s="16"/>
      <c r="E75" s="16"/>
    </row>
    <row r="76" spans="1:5" s="11" customFormat="1">
      <c r="A76" s="66"/>
      <c r="B76" s="95"/>
      <c r="C76" s="16" t="s">
        <v>900</v>
      </c>
      <c r="D76" s="16"/>
      <c r="E76" s="16"/>
    </row>
    <row r="77" spans="1:5" s="11" customFormat="1">
      <c r="A77" s="66"/>
      <c r="B77" s="95"/>
      <c r="C77" s="16" t="s">
        <v>901</v>
      </c>
      <c r="D77" s="16"/>
      <c r="E77" s="16"/>
    </row>
    <row r="78" spans="1:5" s="11" customFormat="1">
      <c r="A78" s="66"/>
      <c r="B78" s="95"/>
      <c r="C78" s="16" t="s">
        <v>902</v>
      </c>
      <c r="D78" s="16"/>
      <c r="E78" s="16"/>
    </row>
    <row r="79" spans="1:5" s="11" customFormat="1">
      <c r="A79" s="66"/>
      <c r="B79" s="95"/>
      <c r="C79" s="16" t="s">
        <v>903</v>
      </c>
      <c r="D79" s="16"/>
      <c r="E79" s="16"/>
    </row>
    <row r="80" spans="1:5" s="11" customFormat="1">
      <c r="A80" s="66"/>
      <c r="B80" s="95"/>
      <c r="C80" s="16" t="s">
        <v>551</v>
      </c>
      <c r="D80" s="16"/>
      <c r="E80" s="16"/>
    </row>
    <row r="81" spans="1:6">
      <c r="A81" s="66"/>
      <c r="B81" s="95"/>
      <c r="C81" s="16" t="s">
        <v>904</v>
      </c>
      <c r="D81" s="16"/>
      <c r="E81" s="16"/>
      <c r="F81" s="11"/>
    </row>
    <row r="82" spans="1:6">
      <c r="A82" s="66"/>
      <c r="B82" s="95"/>
      <c r="C82" s="16" t="s">
        <v>905</v>
      </c>
      <c r="D82" s="16"/>
      <c r="E82" s="16"/>
      <c r="F82" s="11"/>
    </row>
    <row r="83" spans="1:6">
      <c r="A83" s="66"/>
      <c r="B83" s="95"/>
      <c r="C83" s="16" t="s">
        <v>906</v>
      </c>
      <c r="D83" s="16"/>
      <c r="E83" s="16"/>
      <c r="F83" s="11"/>
    </row>
    <row r="84" spans="1:6">
      <c r="A84" s="66"/>
      <c r="B84" s="95"/>
      <c r="C84" s="16" t="s">
        <v>907</v>
      </c>
      <c r="D84" s="16"/>
      <c r="E84" s="16"/>
      <c r="F84" s="11"/>
    </row>
    <row r="85" spans="1:6">
      <c r="A85" s="66"/>
      <c r="B85" s="95"/>
      <c r="C85" s="16" t="s">
        <v>908</v>
      </c>
      <c r="D85" s="16"/>
      <c r="E85" s="16"/>
      <c r="F85" s="11"/>
    </row>
    <row r="86" spans="1:6">
      <c r="A86" s="66"/>
      <c r="B86" s="95"/>
      <c r="C86" s="16" t="s">
        <v>909</v>
      </c>
      <c r="D86" s="16"/>
      <c r="E86" s="16"/>
      <c r="F86" s="11"/>
    </row>
    <row r="87" spans="1:6">
      <c r="A87" s="66"/>
      <c r="B87" s="95"/>
      <c r="C87" s="16" t="s">
        <v>910</v>
      </c>
      <c r="D87" s="16"/>
      <c r="E87" s="16"/>
      <c r="F87" s="11"/>
    </row>
    <row r="88" spans="1:6">
      <c r="A88" s="66"/>
      <c r="B88" s="95"/>
      <c r="C88" s="16" t="s">
        <v>911</v>
      </c>
      <c r="D88" s="16"/>
      <c r="E88" s="16"/>
      <c r="F88" s="11"/>
    </row>
    <row r="89" spans="1:6">
      <c r="A89" s="66"/>
      <c r="B89" s="95"/>
      <c r="C89" s="16" t="s">
        <v>912</v>
      </c>
      <c r="D89" s="16"/>
      <c r="E89" s="16"/>
      <c r="F89" s="11"/>
    </row>
    <row r="90" spans="1:6">
      <c r="A90" s="66"/>
      <c r="B90" s="95"/>
      <c r="C90" s="16" t="s">
        <v>351</v>
      </c>
      <c r="D90" s="16"/>
      <c r="E90" s="16"/>
      <c r="F90" s="11"/>
    </row>
    <row r="91" spans="1:6">
      <c r="A91" s="66"/>
      <c r="B91" s="95"/>
      <c r="C91" s="16" t="s">
        <v>913</v>
      </c>
      <c r="D91" s="16"/>
      <c r="E91" s="16"/>
      <c r="F91" s="11"/>
    </row>
    <row r="92" spans="1:6">
      <c r="A92" s="66"/>
      <c r="B92" s="95"/>
      <c r="C92" s="16" t="s">
        <v>914</v>
      </c>
      <c r="D92" s="16"/>
      <c r="E92" s="16"/>
      <c r="F92" s="11"/>
    </row>
    <row r="93" spans="1:6">
      <c r="A93" s="66"/>
      <c r="B93" s="95"/>
      <c r="C93" s="16" t="s">
        <v>264</v>
      </c>
      <c r="D93" s="16"/>
      <c r="E93" s="16"/>
      <c r="F93" s="11"/>
    </row>
    <row r="94" spans="1:6">
      <c r="A94" s="66"/>
      <c r="B94" s="95"/>
      <c r="C94" s="16" t="s">
        <v>915</v>
      </c>
      <c r="D94" s="16"/>
      <c r="E94" s="16" t="s">
        <v>916</v>
      </c>
      <c r="F94" s="11" t="s">
        <v>840</v>
      </c>
    </row>
    <row r="95" spans="1:6">
      <c r="A95" s="66"/>
      <c r="B95" s="95"/>
      <c r="C95" s="16" t="s">
        <v>917</v>
      </c>
      <c r="D95" s="16"/>
      <c r="E95" s="16" t="s">
        <v>918</v>
      </c>
      <c r="F95" s="11" t="s">
        <v>840</v>
      </c>
    </row>
    <row r="96" spans="1:6">
      <c r="A96" s="66"/>
      <c r="B96" s="95"/>
      <c r="C96" s="16" t="s">
        <v>919</v>
      </c>
      <c r="D96" s="16"/>
      <c r="E96" s="16" t="s">
        <v>918</v>
      </c>
      <c r="F96" s="11" t="s">
        <v>840</v>
      </c>
    </row>
    <row r="97" spans="1:6">
      <c r="A97" s="66"/>
      <c r="B97" s="95"/>
      <c r="C97" s="16" t="s">
        <v>920</v>
      </c>
      <c r="D97" s="16"/>
      <c r="E97" s="16" t="s">
        <v>918</v>
      </c>
      <c r="F97" s="11" t="s">
        <v>840</v>
      </c>
    </row>
    <row r="98" spans="1:6">
      <c r="A98" s="66"/>
      <c r="B98" s="95"/>
      <c r="C98" s="16" t="s">
        <v>921</v>
      </c>
      <c r="D98" s="16"/>
      <c r="E98" s="16" t="s">
        <v>918</v>
      </c>
      <c r="F98" s="11" t="s">
        <v>840</v>
      </c>
    </row>
    <row r="99" spans="1:6">
      <c r="A99" s="66"/>
      <c r="B99" s="95"/>
      <c r="C99" s="16" t="s">
        <v>922</v>
      </c>
      <c r="D99" s="16"/>
      <c r="E99" s="16" t="s">
        <v>918</v>
      </c>
      <c r="F99" s="11" t="s">
        <v>840</v>
      </c>
    </row>
    <row r="100" spans="1:6">
      <c r="A100" s="66"/>
      <c r="B100" s="95"/>
      <c r="C100" s="16" t="s">
        <v>923</v>
      </c>
      <c r="D100" s="16"/>
      <c r="E100" s="16" t="s">
        <v>918</v>
      </c>
      <c r="F100" s="11" t="s">
        <v>840</v>
      </c>
    </row>
    <row r="101" spans="1:6">
      <c r="A101" s="66"/>
      <c r="B101" s="95"/>
      <c r="C101" s="16" t="s">
        <v>924</v>
      </c>
      <c r="D101" s="16"/>
      <c r="E101" s="16" t="s">
        <v>918</v>
      </c>
      <c r="F101" s="11" t="s">
        <v>840</v>
      </c>
    </row>
    <row r="102" spans="1:6">
      <c r="A102" s="66"/>
      <c r="B102" s="95"/>
      <c r="C102" s="16" t="s">
        <v>925</v>
      </c>
      <c r="D102" s="16"/>
      <c r="E102" s="16" t="s">
        <v>918</v>
      </c>
      <c r="F102" s="11" t="s">
        <v>840</v>
      </c>
    </row>
    <row r="103" spans="1:6">
      <c r="A103" s="66"/>
      <c r="B103" s="95"/>
      <c r="C103" s="16" t="s">
        <v>926</v>
      </c>
      <c r="D103" s="16"/>
      <c r="E103" s="16" t="s">
        <v>918</v>
      </c>
      <c r="F103" s="11" t="s">
        <v>840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146</v>
      </c>
      <c r="D106" s="15"/>
      <c r="E106" s="15"/>
      <c r="F106" s="11"/>
    </row>
    <row r="107" spans="1:6">
      <c r="A107" s="62"/>
      <c r="B107" s="62"/>
      <c r="C107" s="15" t="s">
        <v>402</v>
      </c>
      <c r="D107" s="15"/>
      <c r="E107" s="15"/>
      <c r="F107" s="11"/>
    </row>
    <row r="108" spans="1:6">
      <c r="A108" s="62"/>
      <c r="B108" s="62"/>
      <c r="C108" s="15" t="s">
        <v>220</v>
      </c>
      <c r="D108" s="15"/>
      <c r="E108" s="15"/>
      <c r="F108" s="11"/>
    </row>
    <row r="109" spans="1:6">
      <c r="A109" s="62"/>
      <c r="B109" s="62"/>
      <c r="C109" s="15" t="s">
        <v>64</v>
      </c>
      <c r="D109" s="15"/>
      <c r="E109" s="15"/>
      <c r="F109" s="11"/>
    </row>
    <row r="110" spans="1:6">
      <c r="A110" s="63"/>
      <c r="B110" s="63"/>
      <c r="C110" s="15" t="s">
        <v>215</v>
      </c>
      <c r="D110" s="15"/>
      <c r="E110" s="15"/>
      <c r="F110" s="11"/>
    </row>
    <row r="111" spans="1:6">
      <c r="A111" s="66"/>
      <c r="B111" s="52" t="s">
        <v>764</v>
      </c>
      <c r="C111" s="16" t="s">
        <v>41</v>
      </c>
      <c r="D111" s="52" t="s">
        <v>764</v>
      </c>
      <c r="E111" s="16"/>
      <c r="F111" s="11"/>
    </row>
    <row r="112" spans="1:6">
      <c r="A112" s="66"/>
      <c r="B112" s="53"/>
      <c r="C112" s="16" t="s">
        <v>808</v>
      </c>
      <c r="D112" s="16"/>
      <c r="E112" s="16"/>
      <c r="F112" s="11"/>
    </row>
    <row r="113" spans="1:5" s="11" customFormat="1">
      <c r="A113" s="66"/>
      <c r="B113" s="54"/>
      <c r="C113" s="16" t="s">
        <v>927</v>
      </c>
      <c r="D113" s="16"/>
      <c r="E113" s="16"/>
    </row>
    <row r="114" spans="1:5" s="11" customFormat="1">
      <c r="A114" s="79"/>
      <c r="B114" s="79" t="s">
        <v>329</v>
      </c>
      <c r="C114" s="15" t="s">
        <v>41</v>
      </c>
      <c r="D114" s="79" t="s">
        <v>329</v>
      </c>
      <c r="E114" s="15"/>
    </row>
    <row r="115" spans="1:5" s="11" customFormat="1">
      <c r="A115" s="79"/>
      <c r="B115" s="79"/>
      <c r="C115" s="15" t="s">
        <v>146</v>
      </c>
      <c r="D115" s="15"/>
      <c r="E115" s="15"/>
    </row>
    <row r="116" spans="1:5" s="11" customFormat="1">
      <c r="A116" s="79"/>
      <c r="B116" s="79"/>
      <c r="C116" s="15" t="s">
        <v>402</v>
      </c>
      <c r="D116" s="15"/>
      <c r="E116" s="15"/>
    </row>
    <row r="117" spans="1:5" s="11" customFormat="1">
      <c r="A117" s="79"/>
      <c r="B117" s="79"/>
      <c r="C117" s="15" t="s">
        <v>64</v>
      </c>
      <c r="D117" s="15"/>
      <c r="E117" s="15"/>
    </row>
    <row r="118" spans="1:5" s="11" customFormat="1">
      <c r="A118" s="65"/>
      <c r="B118" s="80" t="s">
        <v>705</v>
      </c>
      <c r="C118" s="16" t="s">
        <v>41</v>
      </c>
      <c r="D118" s="80" t="s">
        <v>705</v>
      </c>
      <c r="E118" s="16"/>
    </row>
    <row r="119" spans="1:5" s="11" customFormat="1">
      <c r="A119" s="105"/>
      <c r="B119" s="104"/>
      <c r="C119" s="16" t="s">
        <v>928</v>
      </c>
      <c r="D119" s="16"/>
      <c r="E119" s="16"/>
    </row>
    <row r="120" spans="1:5" s="11" customFormat="1">
      <c r="A120" s="105"/>
      <c r="B120" s="104"/>
      <c r="C120" s="16" t="s">
        <v>402</v>
      </c>
      <c r="D120" s="16"/>
      <c r="E120" s="16"/>
    </row>
    <row r="121" spans="1:5" s="11" customFormat="1">
      <c r="A121" s="105"/>
      <c r="B121" s="104"/>
      <c r="C121" s="16" t="s">
        <v>220</v>
      </c>
      <c r="D121" s="16"/>
      <c r="E121" s="16"/>
    </row>
    <row r="122" spans="1:5" s="11" customFormat="1">
      <c r="A122" s="105"/>
      <c r="B122" s="104"/>
      <c r="C122" s="16" t="s">
        <v>146</v>
      </c>
      <c r="D122" s="16"/>
      <c r="E122" s="16"/>
    </row>
    <row r="123" spans="1:5" s="11" customFormat="1">
      <c r="A123" s="105"/>
      <c r="B123" s="104"/>
      <c r="C123" s="16" t="s">
        <v>929</v>
      </c>
      <c r="D123" s="16"/>
      <c r="E123" s="16"/>
    </row>
    <row r="124" spans="1:5" s="11" customFormat="1">
      <c r="A124" s="105"/>
      <c r="B124" s="104"/>
      <c r="C124" s="16" t="s">
        <v>930</v>
      </c>
      <c r="D124" s="16"/>
      <c r="E124" s="16"/>
    </row>
    <row r="125" spans="1:5" s="11" customFormat="1">
      <c r="A125" s="105"/>
      <c r="B125" s="104"/>
      <c r="C125" s="16" t="s">
        <v>64</v>
      </c>
      <c r="D125" s="16"/>
      <c r="E125" s="16"/>
    </row>
    <row r="126" spans="1:5" s="11" customFormat="1">
      <c r="A126" s="66"/>
      <c r="B126" s="81"/>
      <c r="C126" s="16" t="s">
        <v>215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931</v>
      </c>
      <c r="D128" s="15"/>
      <c r="E128" s="15"/>
    </row>
    <row r="129" spans="1:6">
      <c r="A129" s="62"/>
      <c r="B129" s="62"/>
      <c r="C129" s="15" t="s">
        <v>932</v>
      </c>
      <c r="D129" s="15"/>
      <c r="E129" s="15"/>
      <c r="F129" s="11"/>
    </row>
    <row r="130" spans="1:6">
      <c r="A130" s="62"/>
      <c r="B130" s="62"/>
      <c r="C130" s="15" t="s">
        <v>67</v>
      </c>
      <c r="D130" s="15"/>
      <c r="E130" s="15"/>
      <c r="F130" s="11"/>
    </row>
    <row r="131" spans="1:6">
      <c r="A131" s="62"/>
      <c r="B131" s="62"/>
      <c r="C131" s="15" t="s">
        <v>220</v>
      </c>
      <c r="D131" s="15"/>
      <c r="E131" s="15"/>
      <c r="F131" s="11"/>
    </row>
    <row r="132" spans="1:6">
      <c r="A132" s="66"/>
      <c r="B132" s="53" t="s">
        <v>332</v>
      </c>
      <c r="C132" s="16" t="s">
        <v>44</v>
      </c>
      <c r="D132" s="53" t="s">
        <v>332</v>
      </c>
      <c r="E132" s="16"/>
      <c r="F132" s="11"/>
    </row>
    <row r="133" spans="1:6">
      <c r="A133" s="66"/>
      <c r="B133" s="53"/>
      <c r="C133" s="16" t="s">
        <v>220</v>
      </c>
      <c r="D133" s="16"/>
      <c r="E133" s="16"/>
      <c r="F133" s="11"/>
    </row>
    <row r="134" spans="1:6">
      <c r="A134" s="67"/>
      <c r="B134" s="54"/>
      <c r="C134" s="16" t="s">
        <v>215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125</v>
      </c>
      <c r="D136" s="15"/>
      <c r="E136" s="15"/>
      <c r="F136" s="11" t="s">
        <v>840</v>
      </c>
    </row>
    <row r="137" spans="1:6">
      <c r="A137" s="69"/>
      <c r="B137" s="69"/>
      <c r="C137" s="15" t="s">
        <v>933</v>
      </c>
      <c r="D137" s="15"/>
      <c r="E137" s="15" t="s">
        <v>934</v>
      </c>
      <c r="F137" s="11"/>
    </row>
    <row r="138" spans="1:6">
      <c r="A138" s="69"/>
      <c r="B138" s="69"/>
      <c r="C138" s="15" t="s">
        <v>935</v>
      </c>
      <c r="D138" s="15"/>
      <c r="E138" s="15" t="s">
        <v>936</v>
      </c>
      <c r="F138" s="11"/>
    </row>
    <row r="139" spans="1:6">
      <c r="A139" s="69"/>
      <c r="B139" s="69"/>
      <c r="C139" s="15" t="s">
        <v>937</v>
      </c>
      <c r="D139" s="15"/>
      <c r="E139" s="15"/>
      <c r="F139" s="11"/>
    </row>
    <row r="140" spans="1:6">
      <c r="A140" s="69"/>
      <c r="B140" s="69"/>
      <c r="C140" s="15" t="s">
        <v>938</v>
      </c>
      <c r="D140" s="15"/>
      <c r="E140" s="15"/>
      <c r="F140" s="11"/>
    </row>
    <row r="141" spans="1:6">
      <c r="A141" s="69"/>
      <c r="B141" s="69"/>
      <c r="C141" s="15" t="s">
        <v>939</v>
      </c>
      <c r="D141" s="15"/>
      <c r="E141" s="15"/>
      <c r="F141" s="11"/>
    </row>
    <row r="142" spans="1:6">
      <c r="A142" s="69"/>
      <c r="B142" s="69"/>
      <c r="C142" s="15" t="s">
        <v>940</v>
      </c>
      <c r="D142" s="15"/>
      <c r="E142" s="15"/>
      <c r="F142" s="11"/>
    </row>
    <row r="143" spans="1:6">
      <c r="A143" s="69"/>
      <c r="B143" s="69"/>
      <c r="C143" s="15" t="s">
        <v>941</v>
      </c>
      <c r="D143" s="15"/>
      <c r="E143" s="15"/>
      <c r="F143" s="11"/>
    </row>
    <row r="144" spans="1:6">
      <c r="A144" s="69"/>
      <c r="B144" s="69"/>
      <c r="C144" s="15" t="s">
        <v>942</v>
      </c>
      <c r="D144" s="15"/>
      <c r="E144" s="15"/>
      <c r="F144" s="11"/>
    </row>
    <row r="145" spans="1:5" s="11" customFormat="1">
      <c r="A145" s="69"/>
      <c r="B145" s="69"/>
      <c r="C145" s="15" t="s">
        <v>215</v>
      </c>
      <c r="D145" s="15"/>
      <c r="E145" s="15"/>
    </row>
    <row r="146" spans="1:5" s="11" customFormat="1">
      <c r="A146" s="65"/>
      <c r="B146" s="58" t="s">
        <v>29</v>
      </c>
      <c r="C146" s="16" t="s">
        <v>243</v>
      </c>
      <c r="D146" s="16" t="s">
        <v>943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944</v>
      </c>
    </row>
    <row r="149" spans="1:5" s="11" customFormat="1">
      <c r="A149" s="48"/>
      <c r="B149" s="48"/>
      <c r="C149" s="15" t="s">
        <v>945</v>
      </c>
      <c r="D149" s="15"/>
      <c r="E149" s="15" t="s">
        <v>946</v>
      </c>
    </row>
    <row r="150" spans="1:5" s="11" customFormat="1">
      <c r="A150" s="48"/>
      <c r="B150" s="48"/>
      <c r="C150" s="15" t="s">
        <v>947</v>
      </c>
      <c r="D150" s="15"/>
      <c r="E150" s="15" t="s">
        <v>948</v>
      </c>
    </row>
    <row r="151" spans="1:5" s="11" customFormat="1">
      <c r="A151" s="48"/>
      <c r="B151" s="48"/>
      <c r="C151" s="15" t="s">
        <v>949</v>
      </c>
      <c r="D151" s="15"/>
      <c r="E151" s="15" t="s">
        <v>950</v>
      </c>
    </row>
    <row r="152" spans="1:5" s="11" customFormat="1">
      <c r="A152" s="48"/>
      <c r="B152" s="48"/>
      <c r="C152" s="15" t="s">
        <v>951</v>
      </c>
      <c r="D152" s="15"/>
      <c r="E152" s="15" t="s">
        <v>952</v>
      </c>
    </row>
    <row r="153" spans="1:5" s="11" customFormat="1">
      <c r="A153" s="48"/>
      <c r="B153" s="48"/>
      <c r="C153" s="15" t="s">
        <v>953</v>
      </c>
      <c r="D153" s="15"/>
      <c r="E153" s="15" t="s">
        <v>954</v>
      </c>
    </row>
    <row r="154" spans="1:5" s="11" customFormat="1">
      <c r="A154" s="48"/>
      <c r="B154" s="48"/>
      <c r="C154" s="15" t="s">
        <v>955</v>
      </c>
      <c r="D154" s="15"/>
      <c r="E154" s="15" t="s">
        <v>956</v>
      </c>
    </row>
    <row r="155" spans="1:5" s="11" customFormat="1">
      <c r="A155" s="48"/>
      <c r="B155" s="48"/>
      <c r="C155" s="15" t="s">
        <v>957</v>
      </c>
      <c r="D155" s="15"/>
      <c r="E155" s="15" t="s">
        <v>958</v>
      </c>
    </row>
    <row r="156" spans="1:5" s="11" customFormat="1">
      <c r="A156" s="48"/>
      <c r="B156" s="48"/>
      <c r="C156" s="15" t="s">
        <v>959</v>
      </c>
      <c r="D156" s="15"/>
      <c r="E156" s="15" t="s">
        <v>960</v>
      </c>
    </row>
    <row r="157" spans="1:5" s="11" customFormat="1">
      <c r="A157" s="48"/>
      <c r="B157" s="48"/>
      <c r="C157" s="15" t="s">
        <v>961</v>
      </c>
      <c r="D157" s="15"/>
      <c r="E157" s="15" t="s">
        <v>962</v>
      </c>
    </row>
    <row r="158" spans="1:5" s="11" customFormat="1">
      <c r="A158" s="48"/>
      <c r="B158" s="48"/>
      <c r="C158" s="15" t="s">
        <v>963</v>
      </c>
      <c r="D158" s="15"/>
      <c r="E158" s="15" t="s">
        <v>964</v>
      </c>
    </row>
    <row r="159" spans="1:5" s="11" customFormat="1">
      <c r="A159" s="48"/>
      <c r="B159" s="48"/>
      <c r="C159" s="15" t="s">
        <v>70</v>
      </c>
      <c r="D159" s="15"/>
      <c r="E159" s="15" t="s">
        <v>965</v>
      </c>
    </row>
    <row r="160" spans="1:5" s="11" customFormat="1">
      <c r="A160" s="48"/>
      <c r="B160" s="48"/>
      <c r="C160" s="15" t="s">
        <v>966</v>
      </c>
      <c r="D160" s="15"/>
      <c r="E160" s="15" t="s">
        <v>967</v>
      </c>
    </row>
    <row r="161" spans="1:5" s="11" customFormat="1">
      <c r="A161" s="48"/>
      <c r="B161" s="48"/>
      <c r="C161" s="15" t="s">
        <v>81</v>
      </c>
      <c r="D161" s="15"/>
      <c r="E161" s="15" t="s">
        <v>968</v>
      </c>
    </row>
    <row r="162" spans="1:5" s="11" customFormat="1">
      <c r="A162" s="48"/>
      <c r="B162" s="48"/>
      <c r="C162" s="15" t="s">
        <v>969</v>
      </c>
      <c r="D162" s="15"/>
      <c r="E162" s="15" t="s">
        <v>970</v>
      </c>
    </row>
    <row r="163" spans="1:5" s="11" customFormat="1">
      <c r="A163" s="48"/>
      <c r="B163" s="48"/>
      <c r="C163" s="15" t="s">
        <v>971</v>
      </c>
      <c r="D163" s="15"/>
      <c r="E163" s="15" t="s">
        <v>972</v>
      </c>
    </row>
    <row r="164" spans="1:5" s="11" customFormat="1">
      <c r="A164" s="48"/>
      <c r="B164" s="48"/>
      <c r="C164" s="15" t="s">
        <v>973</v>
      </c>
      <c r="D164" s="15"/>
      <c r="E164" s="15" t="s">
        <v>974</v>
      </c>
    </row>
    <row r="165" spans="1:5" s="11" customFormat="1">
      <c r="A165" s="48"/>
      <c r="B165" s="48"/>
      <c r="C165" s="15" t="s">
        <v>975</v>
      </c>
      <c r="D165" s="15"/>
      <c r="E165" s="15" t="s">
        <v>976</v>
      </c>
    </row>
    <row r="166" spans="1:5" s="11" customFormat="1">
      <c r="A166" s="48"/>
      <c r="B166" s="48"/>
      <c r="C166" s="15" t="s">
        <v>977</v>
      </c>
      <c r="D166" s="15"/>
      <c r="E166" s="15" t="s">
        <v>978</v>
      </c>
    </row>
    <row r="167" spans="1:5" s="11" customFormat="1">
      <c r="A167" s="48"/>
      <c r="B167" s="48"/>
      <c r="C167" s="15" t="s">
        <v>979</v>
      </c>
      <c r="D167" s="15"/>
      <c r="E167" s="15" t="s">
        <v>980</v>
      </c>
    </row>
    <row r="168" spans="1:5" s="11" customFormat="1">
      <c r="A168" s="48"/>
      <c r="B168" s="48"/>
      <c r="C168" s="15" t="s">
        <v>981</v>
      </c>
      <c r="D168" s="15"/>
      <c r="E168" s="15" t="s">
        <v>982</v>
      </c>
    </row>
    <row r="169" spans="1:5" s="11" customFormat="1">
      <c r="A169" s="48"/>
      <c r="B169" s="48"/>
      <c r="C169" s="15" t="s">
        <v>983</v>
      </c>
      <c r="D169" s="15"/>
      <c r="E169" s="15" t="s">
        <v>984</v>
      </c>
    </row>
    <row r="170" spans="1:5" s="11" customFormat="1">
      <c r="A170" s="48"/>
      <c r="B170" s="48"/>
      <c r="C170" s="15" t="s">
        <v>985</v>
      </c>
      <c r="D170" s="15"/>
      <c r="E170" s="15" t="s">
        <v>986</v>
      </c>
    </row>
    <row r="171" spans="1:5" s="11" customFormat="1">
      <c r="A171" s="48"/>
      <c r="B171" s="48"/>
      <c r="C171" s="15" t="s">
        <v>987</v>
      </c>
      <c r="D171" s="15"/>
      <c r="E171" s="15" t="s">
        <v>988</v>
      </c>
    </row>
    <row r="172" spans="1:5" s="11" customFormat="1">
      <c r="A172" s="48"/>
      <c r="B172" s="48"/>
      <c r="C172" s="15" t="s">
        <v>989</v>
      </c>
      <c r="D172" s="15"/>
      <c r="E172" s="15" t="s">
        <v>990</v>
      </c>
    </row>
    <row r="173" spans="1:5" s="11" customFormat="1">
      <c r="A173" s="48"/>
      <c r="B173" s="48"/>
      <c r="C173" s="15" t="s">
        <v>991</v>
      </c>
      <c r="D173" s="15"/>
      <c r="E173" s="15" t="s">
        <v>992</v>
      </c>
    </row>
    <row r="174" spans="1:5" s="11" customFormat="1">
      <c r="A174" s="48"/>
      <c r="B174" s="48"/>
      <c r="C174" s="15" t="s">
        <v>993</v>
      </c>
      <c r="D174" s="15"/>
      <c r="E174" s="15" t="s">
        <v>994</v>
      </c>
    </row>
    <row r="175" spans="1:5" s="11" customFormat="1">
      <c r="A175" s="48"/>
      <c r="B175" s="48"/>
      <c r="C175" s="15" t="s">
        <v>995</v>
      </c>
      <c r="D175" s="15"/>
      <c r="E175" s="15" t="s">
        <v>996</v>
      </c>
    </row>
    <row r="176" spans="1:5" s="11" customFormat="1">
      <c r="A176" s="48"/>
      <c r="B176" s="48"/>
      <c r="C176" s="15" t="s">
        <v>997</v>
      </c>
      <c r="D176" s="15"/>
      <c r="E176" s="15" t="s">
        <v>998</v>
      </c>
    </row>
    <row r="177" spans="1:6">
      <c r="A177" s="48"/>
      <c r="B177" s="48"/>
      <c r="C177" s="15" t="s">
        <v>999</v>
      </c>
      <c r="D177" s="15"/>
      <c r="E177" s="15" t="s">
        <v>1000</v>
      </c>
      <c r="F177" s="11"/>
    </row>
    <row r="178" spans="1:6">
      <c r="A178" s="48"/>
      <c r="B178" s="48"/>
      <c r="C178" s="15" t="s">
        <v>1001</v>
      </c>
      <c r="D178" s="15"/>
      <c r="E178" s="15" t="s">
        <v>1002</v>
      </c>
      <c r="F178" s="11"/>
    </row>
    <row r="179" spans="1:6">
      <c r="A179" s="48"/>
      <c r="B179" s="48"/>
      <c r="C179" s="15" t="s">
        <v>1003</v>
      </c>
      <c r="D179" s="15"/>
      <c r="E179" s="15" t="s">
        <v>1004</v>
      </c>
      <c r="F179" s="11"/>
    </row>
    <row r="180" spans="1:6">
      <c r="A180" s="48"/>
      <c r="B180" s="48"/>
      <c r="C180" s="15" t="s">
        <v>1005</v>
      </c>
      <c r="D180" s="15"/>
      <c r="E180" s="15" t="s">
        <v>1006</v>
      </c>
      <c r="F180" s="11" t="s">
        <v>840</v>
      </c>
    </row>
    <row r="181" spans="1:6">
      <c r="A181" s="48"/>
      <c r="B181" s="48"/>
      <c r="C181" s="15" t="s">
        <v>215</v>
      </c>
      <c r="D181" s="15"/>
      <c r="E181" s="15" t="s">
        <v>215</v>
      </c>
      <c r="F181" s="11"/>
    </row>
    <row r="182" spans="1:6" ht="28.5">
      <c r="A182" s="65"/>
      <c r="B182" s="86" t="s">
        <v>1007</v>
      </c>
      <c r="C182" s="40" t="s">
        <v>97</v>
      </c>
      <c r="D182" s="40" t="s">
        <v>1008</v>
      </c>
      <c r="E182" s="40"/>
      <c r="F182" s="11"/>
    </row>
    <row r="183" spans="1:6">
      <c r="A183" s="66"/>
      <c r="B183" s="59"/>
      <c r="C183" s="40" t="s">
        <v>734</v>
      </c>
      <c r="D183" s="40"/>
      <c r="E183" s="40"/>
      <c r="F183" s="11"/>
    </row>
    <row r="184" spans="1:6">
      <c r="A184" s="66"/>
      <c r="B184" s="59"/>
      <c r="C184" s="40" t="s">
        <v>1009</v>
      </c>
      <c r="D184" s="40"/>
      <c r="E184" s="40"/>
      <c r="F184" s="11"/>
    </row>
    <row r="185" spans="1:6">
      <c r="A185" s="67"/>
      <c r="B185" s="60"/>
      <c r="C185" s="41" t="s">
        <v>733</v>
      </c>
      <c r="D185" s="41"/>
      <c r="E185" s="41"/>
      <c r="F185" s="11"/>
    </row>
    <row r="186" spans="1:6">
      <c r="A186" s="61"/>
      <c r="B186" s="61" t="s">
        <v>112</v>
      </c>
      <c r="C186" s="39" t="s">
        <v>242</v>
      </c>
      <c r="D186" s="61" t="s">
        <v>112</v>
      </c>
      <c r="E186" s="39"/>
      <c r="F186" s="11"/>
    </row>
    <row r="187" spans="1:6">
      <c r="A187" s="62"/>
      <c r="B187" s="62"/>
      <c r="C187" s="39" t="s">
        <v>131</v>
      </c>
      <c r="D187" s="39"/>
      <c r="E187" s="39"/>
      <c r="F187" s="11"/>
    </row>
    <row r="188" spans="1:6">
      <c r="A188" s="65"/>
      <c r="B188" s="58" t="s">
        <v>86</v>
      </c>
      <c r="C188" s="41" t="s">
        <v>96</v>
      </c>
      <c r="D188" s="58" t="s">
        <v>86</v>
      </c>
      <c r="E188" s="41" t="s">
        <v>1010</v>
      </c>
      <c r="F188" s="11"/>
    </row>
    <row r="189" spans="1:6">
      <c r="A189" s="66"/>
      <c r="B189" s="59"/>
      <c r="C189" s="41" t="s">
        <v>167</v>
      </c>
      <c r="D189" s="41"/>
      <c r="E189" s="41" t="s">
        <v>1011</v>
      </c>
      <c r="F189" s="11"/>
    </row>
    <row r="190" spans="1:6">
      <c r="A190" s="66"/>
      <c r="B190" s="59"/>
      <c r="C190" s="41" t="s">
        <v>220</v>
      </c>
      <c r="D190" s="41"/>
      <c r="E190" s="41" t="s">
        <v>220</v>
      </c>
      <c r="F190" s="11"/>
    </row>
    <row r="191" spans="1:6">
      <c r="A191" s="66"/>
      <c r="B191" s="59"/>
      <c r="C191" s="41" t="s">
        <v>1012</v>
      </c>
      <c r="D191" s="41"/>
      <c r="E191" s="41" t="s">
        <v>1013</v>
      </c>
      <c r="F191" s="11"/>
    </row>
    <row r="192" spans="1:6">
      <c r="A192" s="66"/>
      <c r="B192" s="59"/>
      <c r="C192" s="41" t="s">
        <v>1014</v>
      </c>
      <c r="D192" s="41"/>
      <c r="E192" s="41" t="s">
        <v>1015</v>
      </c>
      <c r="F192" s="11"/>
    </row>
    <row r="193" spans="1:5" s="11" customFormat="1">
      <c r="A193" s="66"/>
      <c r="B193" s="59"/>
      <c r="C193" s="41" t="s">
        <v>1016</v>
      </c>
      <c r="D193" s="41"/>
      <c r="E193" s="41" t="s">
        <v>1017</v>
      </c>
    </row>
    <row r="194" spans="1:5" s="11" customFormat="1">
      <c r="A194" s="66"/>
      <c r="B194" s="59"/>
      <c r="C194" s="41" t="s">
        <v>1018</v>
      </c>
      <c r="D194" s="41"/>
      <c r="E194" s="41" t="s">
        <v>1019</v>
      </c>
    </row>
    <row r="195" spans="1:5" s="11" customFormat="1">
      <c r="A195" s="66"/>
      <c r="B195" s="59"/>
      <c r="C195" s="41" t="s">
        <v>1020</v>
      </c>
      <c r="D195" s="41"/>
      <c r="E195" s="41" t="s">
        <v>1021</v>
      </c>
    </row>
    <row r="196" spans="1:5" s="11" customFormat="1">
      <c r="A196" s="66"/>
      <c r="B196" s="59"/>
      <c r="C196" s="41" t="s">
        <v>1022</v>
      </c>
      <c r="D196" s="41"/>
      <c r="E196" s="41" t="s">
        <v>1023</v>
      </c>
    </row>
    <row r="197" spans="1:5" s="11" customFormat="1">
      <c r="A197" s="66"/>
      <c r="B197" s="59"/>
      <c r="C197" s="41" t="s">
        <v>1024</v>
      </c>
      <c r="D197" s="41"/>
      <c r="E197" s="41" t="s">
        <v>1025</v>
      </c>
    </row>
    <row r="198" spans="1:5" s="11" customFormat="1">
      <c r="A198" s="66"/>
      <c r="B198" s="59"/>
      <c r="C198" s="41" t="s">
        <v>1026</v>
      </c>
      <c r="D198" s="41"/>
      <c r="E198" s="41" t="s">
        <v>1027</v>
      </c>
    </row>
    <row r="199" spans="1:5" s="11" customFormat="1">
      <c r="A199" s="66"/>
      <c r="B199" s="59"/>
      <c r="C199" s="41" t="s">
        <v>159</v>
      </c>
      <c r="D199" s="41"/>
      <c r="E199" s="41" t="s">
        <v>1028</v>
      </c>
    </row>
    <row r="200" spans="1:5" s="11" customFormat="1">
      <c r="A200" s="66"/>
      <c r="B200" s="59"/>
      <c r="C200" s="41" t="s">
        <v>215</v>
      </c>
      <c r="D200" s="41"/>
      <c r="E200" s="41" t="s">
        <v>215</v>
      </c>
    </row>
    <row r="201" spans="1:5" s="11" customFormat="1">
      <c r="A201" s="67"/>
      <c r="B201" s="60"/>
      <c r="C201" s="41" t="s">
        <v>733</v>
      </c>
      <c r="D201" s="41"/>
      <c r="E201" s="41" t="s">
        <v>1029</v>
      </c>
    </row>
    <row r="202" spans="1:5" s="11" customFormat="1">
      <c r="A202" s="103"/>
      <c r="B202" s="103" t="s">
        <v>27</v>
      </c>
      <c r="C202" s="15" t="s">
        <v>1030</v>
      </c>
      <c r="D202" s="15" t="s">
        <v>1031</v>
      </c>
      <c r="E202" s="15"/>
    </row>
    <row r="203" spans="1:5" s="11" customFormat="1">
      <c r="A203" s="48"/>
      <c r="B203" s="48"/>
      <c r="C203" s="15" t="s">
        <v>1032</v>
      </c>
      <c r="D203" s="15"/>
      <c r="E203" s="15"/>
    </row>
    <row r="204" spans="1:5" s="11" customFormat="1">
      <c r="A204" s="48"/>
      <c r="B204" s="48"/>
      <c r="C204" s="15" t="s">
        <v>1033</v>
      </c>
      <c r="D204" s="15"/>
      <c r="E204" s="15"/>
    </row>
    <row r="205" spans="1:5" s="11" customFormat="1">
      <c r="A205" s="48"/>
      <c r="B205" s="48"/>
      <c r="C205" s="15" t="s">
        <v>1034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731</v>
      </c>
      <c r="D207" s="15"/>
      <c r="E207" s="117"/>
    </row>
    <row r="208" spans="1:5" s="11" customFormat="1">
      <c r="A208" s="48"/>
      <c r="B208" s="48"/>
      <c r="C208" s="15" t="s">
        <v>1035</v>
      </c>
      <c r="D208" s="15"/>
      <c r="E208" s="15"/>
    </row>
    <row r="209" spans="1:6">
      <c r="A209" s="48"/>
      <c r="B209" s="48"/>
      <c r="C209" s="15" t="s">
        <v>1036</v>
      </c>
      <c r="D209" s="15"/>
      <c r="E209" s="15"/>
      <c r="F209" s="11"/>
    </row>
    <row r="210" spans="1:6">
      <c r="A210" s="48"/>
      <c r="B210" s="48"/>
      <c r="C210" s="15" t="s">
        <v>1037</v>
      </c>
      <c r="D210" s="15"/>
      <c r="E210" s="15"/>
      <c r="F210" s="11"/>
    </row>
    <row r="211" spans="1:6">
      <c r="A211" s="48"/>
      <c r="B211" s="48"/>
      <c r="C211" s="15" t="s">
        <v>189</v>
      </c>
      <c r="D211" s="15"/>
      <c r="E211" s="15"/>
      <c r="F211" s="11"/>
    </row>
    <row r="212" spans="1:6">
      <c r="A212" s="48"/>
      <c r="B212" s="48"/>
      <c r="C212" s="15" t="s">
        <v>1038</v>
      </c>
      <c r="D212" s="15"/>
      <c r="E212" s="15"/>
      <c r="F212" s="11"/>
    </row>
    <row r="213" spans="1:6">
      <c r="A213" s="48"/>
      <c r="B213" s="48"/>
      <c r="C213" s="15" t="s">
        <v>221</v>
      </c>
      <c r="D213" s="15"/>
      <c r="E213" s="15"/>
      <c r="F213" s="11"/>
    </row>
    <row r="214" spans="1:6">
      <c r="A214" s="48"/>
      <c r="B214" s="48"/>
      <c r="C214" s="15" t="s">
        <v>1039</v>
      </c>
      <c r="D214" s="15"/>
      <c r="E214" s="15"/>
      <c r="F214" s="11"/>
    </row>
    <row r="215" spans="1:6">
      <c r="A215" s="48"/>
      <c r="B215" s="48"/>
      <c r="C215" s="15" t="s">
        <v>1040</v>
      </c>
      <c r="D215" s="15"/>
      <c r="E215" s="15"/>
      <c r="F215" s="11"/>
    </row>
    <row r="216" spans="1:6">
      <c r="A216" s="48"/>
      <c r="B216" s="48"/>
      <c r="C216" s="15" t="s">
        <v>150</v>
      </c>
      <c r="D216" s="15"/>
      <c r="E216" s="15"/>
      <c r="F216" s="11"/>
    </row>
    <row r="217" spans="1:6">
      <c r="A217" s="48"/>
      <c r="B217" s="48"/>
      <c r="C217" s="15" t="s">
        <v>251</v>
      </c>
      <c r="D217" s="15"/>
      <c r="E217" s="15" t="s">
        <v>1041</v>
      </c>
      <c r="F217" s="11" t="s">
        <v>840</v>
      </c>
    </row>
    <row r="218" spans="1:6">
      <c r="A218" s="48"/>
      <c r="B218" s="48"/>
      <c r="C218" s="15" t="s">
        <v>210</v>
      </c>
      <c r="D218" s="15"/>
      <c r="E218" s="15"/>
      <c r="F218" s="11"/>
    </row>
    <row r="219" spans="1:6">
      <c r="A219" s="48"/>
      <c r="B219" s="48"/>
      <c r="C219" s="15" t="s">
        <v>1042</v>
      </c>
      <c r="D219" s="15"/>
      <c r="E219" s="15"/>
      <c r="F219" s="11"/>
    </row>
    <row r="220" spans="1:6">
      <c r="A220" s="48"/>
      <c r="B220" s="48"/>
      <c r="C220" s="15" t="s">
        <v>1043</v>
      </c>
      <c r="D220" s="15"/>
      <c r="E220" s="15"/>
      <c r="F220" s="11"/>
    </row>
    <row r="221" spans="1:6">
      <c r="A221" s="48"/>
      <c r="B221" s="48"/>
      <c r="C221" s="15" t="s">
        <v>1044</v>
      </c>
      <c r="D221" s="15"/>
      <c r="E221" s="117"/>
      <c r="F221" s="11"/>
    </row>
    <row r="222" spans="1:6">
      <c r="A222" s="48"/>
      <c r="B222" s="48"/>
      <c r="C222" s="15" t="s">
        <v>1045</v>
      </c>
      <c r="D222" s="15"/>
      <c r="E222" s="15"/>
      <c r="F222" s="11"/>
    </row>
    <row r="223" spans="1:6">
      <c r="A223" s="48"/>
      <c r="B223" s="48"/>
      <c r="C223" s="15" t="s">
        <v>1046</v>
      </c>
      <c r="D223" s="15"/>
      <c r="E223" s="15"/>
      <c r="F223" s="11"/>
    </row>
    <row r="224" spans="1:6">
      <c r="A224" s="48"/>
      <c r="B224" s="48"/>
      <c r="C224" s="15" t="s">
        <v>1047</v>
      </c>
      <c r="D224" s="15"/>
      <c r="E224" s="15"/>
      <c r="F224" s="11"/>
    </row>
    <row r="225" spans="1:5" s="11" customFormat="1">
      <c r="A225" s="48"/>
      <c r="B225" s="48"/>
      <c r="C225" s="15" t="s">
        <v>1048</v>
      </c>
      <c r="D225" s="15"/>
      <c r="E225" s="15"/>
    </row>
    <row r="226" spans="1:5" s="11" customFormat="1">
      <c r="A226" s="48"/>
      <c r="B226" s="48"/>
      <c r="C226" s="15" t="s">
        <v>270</v>
      </c>
      <c r="D226" s="15"/>
      <c r="E226" s="15"/>
    </row>
    <row r="227" spans="1:5" s="11" customFormat="1">
      <c r="A227" s="48"/>
      <c r="B227" s="48"/>
      <c r="C227" s="15" t="s">
        <v>1049</v>
      </c>
      <c r="D227" s="15"/>
      <c r="E227" s="15"/>
    </row>
    <row r="228" spans="1:5" s="11" customFormat="1">
      <c r="A228" s="48"/>
      <c r="B228" s="48"/>
      <c r="C228" s="15" t="s">
        <v>58</v>
      </c>
      <c r="D228" s="15"/>
      <c r="E228" s="15"/>
    </row>
    <row r="229" spans="1:5" s="11" customFormat="1">
      <c r="A229" s="48"/>
      <c r="B229" s="48"/>
      <c r="C229" s="15" t="s">
        <v>1050</v>
      </c>
      <c r="D229" s="15"/>
      <c r="E229" s="15"/>
    </row>
    <row r="230" spans="1:5" s="11" customFormat="1">
      <c r="A230" s="48"/>
      <c r="B230" s="48"/>
      <c r="C230" s="15" t="s">
        <v>1051</v>
      </c>
      <c r="D230" s="15"/>
      <c r="E230" s="15"/>
    </row>
    <row r="231" spans="1:5" s="11" customFormat="1">
      <c r="A231" s="48"/>
      <c r="B231" s="48"/>
      <c r="C231" s="15" t="s">
        <v>1052</v>
      </c>
      <c r="D231" s="15"/>
      <c r="E231" s="15"/>
    </row>
    <row r="232" spans="1:5" s="11" customFormat="1">
      <c r="A232" s="48"/>
      <c r="B232" s="48"/>
      <c r="C232" s="15" t="s">
        <v>1053</v>
      </c>
      <c r="D232" s="15"/>
      <c r="E232" s="15"/>
    </row>
    <row r="233" spans="1:5" s="11" customFormat="1">
      <c r="A233" s="48"/>
      <c r="B233" s="48"/>
      <c r="C233" s="15" t="s">
        <v>1054</v>
      </c>
      <c r="D233" s="15"/>
      <c r="E233" s="15"/>
    </row>
    <row r="234" spans="1:5" s="11" customFormat="1">
      <c r="A234" s="48"/>
      <c r="B234" s="48"/>
      <c r="C234" s="15" t="s">
        <v>1055</v>
      </c>
      <c r="D234" s="15"/>
      <c r="E234" s="15"/>
    </row>
    <row r="235" spans="1:5" s="11" customFormat="1">
      <c r="A235" s="48"/>
      <c r="B235" s="48"/>
      <c r="C235" s="15" t="s">
        <v>1056</v>
      </c>
      <c r="D235" s="15"/>
      <c r="E235" s="15"/>
    </row>
    <row r="236" spans="1:5" s="11" customFormat="1">
      <c r="A236" s="48"/>
      <c r="B236" s="48"/>
      <c r="C236" s="15" t="s">
        <v>1057</v>
      </c>
      <c r="D236" s="15"/>
      <c r="E236" s="15"/>
    </row>
    <row r="237" spans="1:5" s="11" customFormat="1">
      <c r="A237" s="48"/>
      <c r="B237" s="48"/>
      <c r="C237" s="15" t="s">
        <v>1058</v>
      </c>
      <c r="D237" s="15"/>
      <c r="E237" s="15"/>
    </row>
    <row r="238" spans="1:5" s="11" customFormat="1">
      <c r="A238" s="48"/>
      <c r="B238" s="48"/>
      <c r="C238" s="15" t="s">
        <v>1059</v>
      </c>
      <c r="D238" s="15"/>
      <c r="E238" s="117"/>
    </row>
    <row r="239" spans="1:5" s="11" customFormat="1">
      <c r="A239" s="48"/>
      <c r="B239" s="48"/>
      <c r="C239" s="15" t="s">
        <v>1060</v>
      </c>
      <c r="D239" s="15"/>
      <c r="E239" s="15"/>
    </row>
    <row r="240" spans="1:5" s="11" customFormat="1">
      <c r="A240" s="48"/>
      <c r="B240" s="48"/>
      <c r="C240" s="15" t="s">
        <v>1061</v>
      </c>
      <c r="D240" s="15"/>
      <c r="E240" s="15"/>
    </row>
    <row r="241" spans="1:5" s="11" customFormat="1">
      <c r="A241" s="48"/>
      <c r="B241" s="48"/>
      <c r="C241" s="15" t="s">
        <v>1062</v>
      </c>
      <c r="D241" s="15"/>
      <c r="E241" s="15"/>
    </row>
    <row r="242" spans="1:5" s="11" customFormat="1">
      <c r="A242" s="48"/>
      <c r="B242" s="48"/>
      <c r="C242" s="15" t="s">
        <v>1063</v>
      </c>
      <c r="D242" s="15"/>
      <c r="E242" s="15"/>
    </row>
    <row r="243" spans="1:5" s="11" customFormat="1">
      <c r="A243" s="48"/>
      <c r="B243" s="48"/>
      <c r="C243" s="15" t="s">
        <v>1064</v>
      </c>
      <c r="D243" s="15"/>
      <c r="E243" s="117"/>
    </row>
    <row r="244" spans="1:5" s="11" customFormat="1">
      <c r="A244" s="48"/>
      <c r="B244" s="48"/>
      <c r="C244" s="15" t="s">
        <v>1065</v>
      </c>
      <c r="D244" s="15"/>
      <c r="E244" s="15"/>
    </row>
    <row r="245" spans="1:5" s="11" customFormat="1">
      <c r="A245" s="48"/>
      <c r="B245" s="48"/>
      <c r="C245" s="15" t="s">
        <v>1066</v>
      </c>
      <c r="D245" s="15"/>
      <c r="E245" s="117"/>
    </row>
    <row r="246" spans="1:5" s="11" customFormat="1">
      <c r="A246" s="48"/>
      <c r="B246" s="48"/>
      <c r="C246" s="15" t="s">
        <v>1067</v>
      </c>
      <c r="D246" s="15"/>
      <c r="E246" s="117"/>
    </row>
    <row r="247" spans="1:5" s="11" customFormat="1">
      <c r="A247" s="48"/>
      <c r="B247" s="48"/>
      <c r="C247" s="15" t="s">
        <v>1068</v>
      </c>
      <c r="D247" s="15"/>
      <c r="E247" s="117"/>
    </row>
    <row r="248" spans="1:5" s="11" customFormat="1">
      <c r="A248" s="48"/>
      <c r="B248" s="48"/>
      <c r="C248" s="15" t="s">
        <v>1069</v>
      </c>
      <c r="D248" s="15"/>
      <c r="E248" s="15"/>
    </row>
    <row r="249" spans="1:5" s="11" customFormat="1">
      <c r="A249" s="48"/>
      <c r="B249" s="48"/>
      <c r="C249" s="15" t="s">
        <v>1070</v>
      </c>
      <c r="D249" s="15"/>
      <c r="E249" s="15"/>
    </row>
    <row r="250" spans="1:5" s="11" customFormat="1">
      <c r="A250" s="48"/>
      <c r="B250" s="48"/>
      <c r="C250" s="15" t="s">
        <v>215</v>
      </c>
      <c r="D250" s="15"/>
      <c r="E250" s="15"/>
    </row>
    <row r="251" spans="1:5" s="11" customFormat="1">
      <c r="A251" s="48"/>
      <c r="B251" s="48"/>
      <c r="C251" s="15" t="s">
        <v>126</v>
      </c>
      <c r="D251" s="15"/>
      <c r="E251" s="15"/>
    </row>
    <row r="252" spans="1:5" s="11" customFormat="1">
      <c r="A252" s="48"/>
      <c r="B252" s="48"/>
      <c r="C252" s="15" t="s">
        <v>1071</v>
      </c>
      <c r="D252" s="15"/>
      <c r="E252" s="15"/>
    </row>
    <row r="253" spans="1:5" s="11" customFormat="1">
      <c r="A253" s="48"/>
      <c r="B253" s="48"/>
      <c r="C253" s="15" t="s">
        <v>1072</v>
      </c>
      <c r="D253" s="15"/>
      <c r="E253" s="15"/>
    </row>
    <row r="254" spans="1:5" s="11" customFormat="1">
      <c r="A254" s="48"/>
      <c r="B254" s="48"/>
      <c r="C254" s="15" t="s">
        <v>286</v>
      </c>
      <c r="D254" s="15"/>
      <c r="E254" s="15"/>
    </row>
    <row r="255" spans="1:5" s="11" customFormat="1">
      <c r="A255" s="48"/>
      <c r="B255" s="48"/>
      <c r="C255" s="15" t="s">
        <v>1073</v>
      </c>
      <c r="D255" s="15"/>
      <c r="E255" s="15"/>
    </row>
    <row r="256" spans="1:5" s="11" customFormat="1">
      <c r="A256" s="48"/>
      <c r="B256" s="48"/>
      <c r="C256" s="15" t="s">
        <v>1074</v>
      </c>
      <c r="D256" s="15"/>
      <c r="E256" s="15"/>
    </row>
    <row r="257" spans="1:6">
      <c r="A257" s="48"/>
      <c r="B257" s="48"/>
      <c r="C257" s="15" t="s">
        <v>1075</v>
      </c>
      <c r="D257" s="15"/>
      <c r="E257" s="15"/>
      <c r="F257" s="11"/>
    </row>
    <row r="258" spans="1:6">
      <c r="A258" s="48"/>
      <c r="B258" s="48"/>
      <c r="C258" s="15" t="s">
        <v>1076</v>
      </c>
      <c r="D258" s="15"/>
      <c r="E258" s="15"/>
      <c r="F258" s="11"/>
    </row>
    <row r="259" spans="1:6">
      <c r="A259" s="48"/>
      <c r="B259" s="48"/>
      <c r="C259" s="15" t="s">
        <v>1077</v>
      </c>
      <c r="D259" s="15"/>
      <c r="E259" s="15"/>
      <c r="F259" s="11"/>
    </row>
    <row r="260" spans="1:6">
      <c r="A260" s="48"/>
      <c r="B260" s="48"/>
      <c r="C260" s="15" t="s">
        <v>1078</v>
      </c>
      <c r="D260" s="15"/>
      <c r="E260" s="15"/>
      <c r="F260" s="11"/>
    </row>
    <row r="261" spans="1:6">
      <c r="A261" s="48"/>
      <c r="B261" s="48"/>
      <c r="C261" s="15" t="s">
        <v>1079</v>
      </c>
      <c r="D261" s="15"/>
      <c r="E261" s="15"/>
      <c r="F261" s="11"/>
    </row>
    <row r="262" spans="1:6">
      <c r="A262" s="48"/>
      <c r="B262" s="48"/>
      <c r="C262" s="15" t="s">
        <v>1080</v>
      </c>
      <c r="D262" s="15"/>
      <c r="E262" s="15"/>
      <c r="F262" s="11"/>
    </row>
    <row r="263" spans="1:6">
      <c r="A263" s="48"/>
      <c r="B263" s="48"/>
      <c r="C263" s="15" t="s">
        <v>1081</v>
      </c>
      <c r="D263" s="15"/>
      <c r="E263" s="15"/>
      <c r="F263" s="11"/>
    </row>
    <row r="264" spans="1:6">
      <c r="A264" s="48"/>
      <c r="B264" s="48"/>
      <c r="C264" s="15" t="s">
        <v>1082</v>
      </c>
      <c r="D264" s="15"/>
      <c r="E264" s="15"/>
      <c r="F264" s="11"/>
    </row>
    <row r="265" spans="1:6">
      <c r="A265" s="48"/>
      <c r="B265" s="48"/>
      <c r="C265" s="15" t="s">
        <v>1083</v>
      </c>
      <c r="D265" s="15"/>
      <c r="E265" s="15"/>
      <c r="F265" s="11"/>
    </row>
    <row r="266" spans="1:6">
      <c r="A266" s="48"/>
      <c r="B266" s="48"/>
      <c r="C266" s="15" t="s">
        <v>1084</v>
      </c>
      <c r="D266" s="15"/>
      <c r="E266" s="15"/>
      <c r="F266" s="11"/>
    </row>
    <row r="267" spans="1:6">
      <c r="A267" s="48"/>
      <c r="B267" s="48"/>
      <c r="C267" s="15" t="s">
        <v>1085</v>
      </c>
      <c r="D267" s="15"/>
      <c r="E267" s="15"/>
      <c r="F267" s="11"/>
    </row>
    <row r="268" spans="1:6">
      <c r="A268" s="48"/>
      <c r="B268" s="48"/>
      <c r="C268" s="15" t="s">
        <v>1086</v>
      </c>
      <c r="D268" s="15"/>
      <c r="E268" s="15" t="s">
        <v>1087</v>
      </c>
      <c r="F268" s="11" t="s">
        <v>840</v>
      </c>
    </row>
    <row r="269" spans="1:6">
      <c r="A269" s="48"/>
      <c r="B269" s="48"/>
      <c r="C269" s="15" t="s">
        <v>1088</v>
      </c>
      <c r="D269" s="15"/>
      <c r="E269" s="15" t="s">
        <v>1089</v>
      </c>
      <c r="F269" s="11" t="s">
        <v>840</v>
      </c>
    </row>
    <row r="270" spans="1:6">
      <c r="A270" s="48"/>
      <c r="B270" s="48"/>
      <c r="C270" s="15" t="s">
        <v>1090</v>
      </c>
      <c r="D270" s="15"/>
      <c r="E270" s="15" t="s">
        <v>1091</v>
      </c>
      <c r="F270" s="11" t="s">
        <v>840</v>
      </c>
    </row>
    <row r="271" spans="1:6">
      <c r="A271" s="48"/>
      <c r="B271" s="48"/>
      <c r="C271" s="15" t="s">
        <v>1092</v>
      </c>
      <c r="D271" s="15"/>
      <c r="E271" s="15"/>
      <c r="F271" s="11"/>
    </row>
    <row r="272" spans="1:6">
      <c r="A272" s="48"/>
      <c r="B272" s="48"/>
      <c r="C272" s="15" t="s">
        <v>1093</v>
      </c>
      <c r="D272" s="15"/>
      <c r="E272" s="15" t="s">
        <v>1094</v>
      </c>
      <c r="F272" s="11" t="s">
        <v>840</v>
      </c>
    </row>
    <row r="273" spans="1:6">
      <c r="A273" s="48"/>
      <c r="B273" s="48"/>
      <c r="C273" s="15" t="s">
        <v>1095</v>
      </c>
      <c r="D273" s="15"/>
      <c r="E273" s="15"/>
      <c r="F273" s="11"/>
    </row>
    <row r="274" spans="1:6">
      <c r="A274" s="48"/>
      <c r="B274" s="48"/>
      <c r="C274" s="15" t="s">
        <v>1096</v>
      </c>
      <c r="D274" s="15"/>
      <c r="E274" s="15"/>
      <c r="F274" s="11"/>
    </row>
    <row r="275" spans="1:6">
      <c r="A275" s="48"/>
      <c r="B275" s="48"/>
      <c r="C275" s="15" t="s">
        <v>1097</v>
      </c>
      <c r="D275" s="15"/>
      <c r="E275" s="15"/>
      <c r="F275" s="11"/>
    </row>
    <row r="276" spans="1:6">
      <c r="A276" s="48"/>
      <c r="B276" s="48"/>
      <c r="C276" s="15" t="s">
        <v>1098</v>
      </c>
      <c r="D276" s="15"/>
      <c r="E276" s="15"/>
      <c r="F276" s="11"/>
    </row>
    <row r="277" spans="1:6">
      <c r="A277" s="48"/>
      <c r="B277" s="48"/>
      <c r="C277" s="15" t="s">
        <v>1099</v>
      </c>
      <c r="D277" s="15"/>
      <c r="E277" s="15"/>
      <c r="F277" s="11"/>
    </row>
    <row r="278" spans="1:6">
      <c r="A278" s="48"/>
      <c r="B278" s="48"/>
      <c r="C278" s="15" t="s">
        <v>1100</v>
      </c>
      <c r="D278" s="15"/>
      <c r="E278" s="15"/>
      <c r="F278" s="11"/>
    </row>
    <row r="279" spans="1:6">
      <c r="A279" s="48"/>
      <c r="B279" s="48"/>
      <c r="C279" s="15" t="s">
        <v>1101</v>
      </c>
      <c r="D279" s="15"/>
      <c r="E279" s="15"/>
      <c r="F279" s="11"/>
    </row>
    <row r="280" spans="1:6">
      <c r="A280" s="48"/>
      <c r="B280" s="48"/>
      <c r="C280" s="15" t="s">
        <v>1102</v>
      </c>
      <c r="D280" s="15"/>
      <c r="E280" s="15" t="s">
        <v>1103</v>
      </c>
      <c r="F280" s="11" t="s">
        <v>840</v>
      </c>
    </row>
    <row r="281" spans="1:6">
      <c r="A281" s="48"/>
      <c r="B281" s="48"/>
      <c r="C281" s="15" t="s">
        <v>1104</v>
      </c>
      <c r="D281" s="15"/>
      <c r="E281" s="15"/>
      <c r="F281" s="11"/>
    </row>
    <row r="282" spans="1:6">
      <c r="A282" s="48"/>
      <c r="B282" s="48"/>
      <c r="C282" s="15" t="s">
        <v>1105</v>
      </c>
      <c r="D282" s="15"/>
      <c r="E282" s="15" t="s">
        <v>1106</v>
      </c>
      <c r="F282" s="11" t="s">
        <v>840</v>
      </c>
    </row>
    <row r="283" spans="1:6">
      <c r="A283" s="48"/>
      <c r="B283" s="48"/>
      <c r="C283" s="15" t="s">
        <v>1107</v>
      </c>
      <c r="D283" s="15"/>
      <c r="E283" s="15"/>
      <c r="F283" s="11"/>
    </row>
    <row r="284" spans="1:6">
      <c r="A284" s="48"/>
      <c r="B284" s="48"/>
      <c r="C284" s="15" t="s">
        <v>1108</v>
      </c>
      <c r="D284" s="15"/>
      <c r="E284" s="15"/>
      <c r="F284" s="11"/>
    </row>
    <row r="285" spans="1:6">
      <c r="A285" s="48"/>
      <c r="B285" s="48"/>
      <c r="C285" s="15" t="s">
        <v>1109</v>
      </c>
      <c r="D285" s="15"/>
      <c r="E285" s="15"/>
      <c r="F285" s="11"/>
    </row>
    <row r="286" spans="1:6">
      <c r="A286" s="48"/>
      <c r="B286" s="48"/>
      <c r="C286" s="15" t="s">
        <v>1110</v>
      </c>
      <c r="D286" s="15"/>
      <c r="E286" s="15"/>
      <c r="F286" s="11"/>
    </row>
    <row r="287" spans="1:6">
      <c r="A287" s="48"/>
      <c r="B287" s="48"/>
      <c r="C287" s="15" t="s">
        <v>1111</v>
      </c>
      <c r="D287" s="15"/>
      <c r="E287" s="15" t="s">
        <v>1112</v>
      </c>
      <c r="F287" s="11" t="s">
        <v>840</v>
      </c>
    </row>
    <row r="288" spans="1:6">
      <c r="A288" s="48"/>
      <c r="B288" s="48"/>
      <c r="C288" s="15" t="s">
        <v>1113</v>
      </c>
      <c r="D288" s="15"/>
      <c r="E288" s="15"/>
      <c r="F288" s="11"/>
    </row>
    <row r="289" spans="1:6">
      <c r="A289" s="48"/>
      <c r="B289" s="48"/>
      <c r="C289" s="15" t="s">
        <v>1114</v>
      </c>
      <c r="D289" s="15"/>
      <c r="E289" s="15"/>
      <c r="F289" s="11"/>
    </row>
    <row r="290" spans="1:6">
      <c r="A290" s="48"/>
      <c r="B290" s="48"/>
      <c r="C290" s="15" t="s">
        <v>1115</v>
      </c>
      <c r="D290" s="15"/>
      <c r="E290" s="15"/>
      <c r="F290" s="11"/>
    </row>
    <row r="291" spans="1:6">
      <c r="A291" s="48"/>
      <c r="B291" s="48"/>
      <c r="C291" s="15" t="s">
        <v>1116</v>
      </c>
      <c r="D291" s="15"/>
      <c r="E291" s="15"/>
      <c r="F291" s="11"/>
    </row>
    <row r="292" spans="1:6">
      <c r="A292" s="48"/>
      <c r="B292" s="48"/>
      <c r="C292" s="15" t="s">
        <v>1117</v>
      </c>
      <c r="D292" s="15"/>
      <c r="E292" s="15"/>
      <c r="F292" s="11"/>
    </row>
    <row r="293" spans="1:6">
      <c r="A293" s="48"/>
      <c r="B293" s="48"/>
      <c r="C293" s="15" t="s">
        <v>1118</v>
      </c>
      <c r="D293" s="15"/>
      <c r="E293" s="15"/>
      <c r="F293" s="11"/>
    </row>
    <row r="294" spans="1:6">
      <c r="A294" s="48"/>
      <c r="B294" s="48"/>
      <c r="C294" s="15" t="s">
        <v>1119</v>
      </c>
      <c r="D294" s="15"/>
      <c r="E294" s="15"/>
      <c r="F294" s="11"/>
    </row>
    <row r="295" spans="1:6">
      <c r="A295" s="48"/>
      <c r="B295" s="48"/>
      <c r="C295" s="15" t="s">
        <v>278</v>
      </c>
      <c r="D295" s="15"/>
      <c r="E295" s="15" t="s">
        <v>1120</v>
      </c>
      <c r="F295" s="11" t="s">
        <v>840</v>
      </c>
    </row>
    <row r="296" spans="1:6">
      <c r="A296" s="48"/>
      <c r="B296" s="48"/>
      <c r="C296" s="15" t="s">
        <v>1121</v>
      </c>
      <c r="D296" s="15"/>
      <c r="E296" s="15"/>
      <c r="F296" s="11"/>
    </row>
    <row r="297" spans="1:6">
      <c r="A297" s="48"/>
      <c r="B297" s="48"/>
      <c r="C297" s="15" t="s">
        <v>1122</v>
      </c>
      <c r="D297" s="15"/>
      <c r="E297" s="15"/>
      <c r="F297" s="11"/>
    </row>
    <row r="298" spans="1:6">
      <c r="A298" s="48"/>
      <c r="B298" s="48"/>
      <c r="C298" s="15" t="s">
        <v>1123</v>
      </c>
      <c r="D298" s="15"/>
      <c r="E298" s="15"/>
      <c r="F298" s="11" t="s">
        <v>840</v>
      </c>
    </row>
    <row r="299" spans="1:6">
      <c r="A299" s="48"/>
      <c r="B299" s="48"/>
      <c r="C299" s="15" t="s">
        <v>1124</v>
      </c>
      <c r="D299" s="15"/>
      <c r="E299" s="15"/>
      <c r="F299" s="11"/>
    </row>
    <row r="300" spans="1:6">
      <c r="A300" s="48"/>
      <c r="B300" s="48"/>
      <c r="C300" s="15" t="s">
        <v>1125</v>
      </c>
      <c r="D300" s="15"/>
      <c r="E300" s="15"/>
      <c r="F300" s="11"/>
    </row>
    <row r="301" spans="1:6">
      <c r="A301" s="48"/>
      <c r="B301" s="48"/>
      <c r="C301" s="15" t="s">
        <v>1126</v>
      </c>
      <c r="D301" s="15"/>
      <c r="E301" s="15"/>
      <c r="F301" s="11"/>
    </row>
    <row r="302" spans="1:6">
      <c r="A302" s="48"/>
      <c r="B302" s="48"/>
      <c r="C302" s="15" t="s">
        <v>1127</v>
      </c>
      <c r="D302" s="15"/>
      <c r="E302" s="15"/>
      <c r="F302" s="11"/>
    </row>
    <row r="303" spans="1:6">
      <c r="A303" s="48"/>
      <c r="B303" s="48"/>
      <c r="C303" s="15" t="s">
        <v>265</v>
      </c>
      <c r="D303" s="15"/>
      <c r="E303" s="15"/>
      <c r="F303" s="11"/>
    </row>
    <row r="304" spans="1:6">
      <c r="A304" s="48"/>
      <c r="B304" s="48"/>
      <c r="C304" s="15" t="s">
        <v>1128</v>
      </c>
      <c r="D304" s="15"/>
      <c r="E304" s="15"/>
      <c r="F304" s="11"/>
    </row>
    <row r="305" spans="1:6">
      <c r="A305" s="48"/>
      <c r="B305" s="48"/>
      <c r="C305" s="15" t="s">
        <v>1129</v>
      </c>
      <c r="D305" s="15"/>
      <c r="E305" s="15"/>
      <c r="F305" s="11"/>
    </row>
    <row r="306" spans="1:6">
      <c r="A306" s="48"/>
      <c r="B306" s="48"/>
      <c r="C306" s="15" t="s">
        <v>1130</v>
      </c>
      <c r="D306" s="15"/>
      <c r="E306" s="15"/>
      <c r="F306" s="11"/>
    </row>
    <row r="307" spans="1:6">
      <c r="A307" s="48"/>
      <c r="B307" s="48"/>
      <c r="C307" s="15" t="s">
        <v>1131</v>
      </c>
      <c r="D307" s="15"/>
      <c r="E307" s="15"/>
      <c r="F307" s="11"/>
    </row>
    <row r="308" spans="1:6">
      <c r="A308" s="48"/>
      <c r="B308" s="48"/>
      <c r="C308" s="15" t="s">
        <v>1132</v>
      </c>
      <c r="D308" s="15"/>
      <c r="E308" s="15"/>
      <c r="F308" s="11" t="s">
        <v>840</v>
      </c>
    </row>
    <row r="309" spans="1:6">
      <c r="A309" s="48"/>
      <c r="B309" s="48"/>
      <c r="C309" s="15" t="s">
        <v>1133</v>
      </c>
      <c r="D309" s="15"/>
      <c r="E309" s="15"/>
      <c r="F309" s="11" t="s">
        <v>840</v>
      </c>
    </row>
    <row r="310" spans="1:6">
      <c r="A310" s="48"/>
      <c r="B310" s="48"/>
      <c r="C310" s="15" t="s">
        <v>1134</v>
      </c>
      <c r="D310" s="15"/>
      <c r="E310" s="15"/>
      <c r="F310" s="11" t="s">
        <v>840</v>
      </c>
    </row>
    <row r="311" spans="1:6">
      <c r="A311" s="48"/>
      <c r="B311" s="48"/>
      <c r="C311" s="15" t="s">
        <v>1135</v>
      </c>
      <c r="D311" s="15"/>
      <c r="E311" s="15"/>
      <c r="F311" s="11"/>
    </row>
    <row r="312" spans="1:6">
      <c r="A312" s="48"/>
      <c r="B312" s="48"/>
      <c r="C312" s="15" t="s">
        <v>1136</v>
      </c>
      <c r="D312" s="15"/>
      <c r="E312" s="15"/>
      <c r="F312" s="11"/>
    </row>
    <row r="313" spans="1:6">
      <c r="A313" s="48"/>
      <c r="B313" s="48"/>
      <c r="C313" s="15" t="s">
        <v>1137</v>
      </c>
      <c r="D313" s="15"/>
      <c r="E313" s="15"/>
      <c r="F313" s="11"/>
    </row>
    <row r="314" spans="1:6">
      <c r="A314" s="48"/>
      <c r="B314" s="48"/>
      <c r="C314" s="15" t="s">
        <v>1138</v>
      </c>
      <c r="D314" s="15"/>
      <c r="E314" s="15"/>
      <c r="F314" s="11"/>
    </row>
    <row r="315" spans="1:6">
      <c r="A315" s="48"/>
      <c r="B315" s="48"/>
      <c r="C315" s="15" t="s">
        <v>1139</v>
      </c>
      <c r="D315" s="15"/>
      <c r="E315" s="15"/>
      <c r="F315" s="11"/>
    </row>
    <row r="316" spans="1:6">
      <c r="A316" s="48"/>
      <c r="B316" s="48"/>
      <c r="C316" s="15" t="s">
        <v>1140</v>
      </c>
      <c r="D316" s="15"/>
      <c r="E316" s="117" t="s">
        <v>1141</v>
      </c>
      <c r="F316" s="11" t="s">
        <v>840</v>
      </c>
    </row>
    <row r="317" spans="1:6">
      <c r="A317" s="48"/>
      <c r="B317" s="48"/>
      <c r="C317" s="15" t="s">
        <v>1142</v>
      </c>
      <c r="D317" s="15"/>
      <c r="E317" s="15"/>
      <c r="F317" s="11"/>
    </row>
    <row r="318" spans="1:6">
      <c r="A318" s="48"/>
      <c r="B318" s="48"/>
      <c r="C318" s="15" t="s">
        <v>1143</v>
      </c>
      <c r="D318" s="15"/>
      <c r="E318" s="15"/>
      <c r="F318" s="11"/>
    </row>
    <row r="319" spans="1:6">
      <c r="A319" s="48"/>
      <c r="B319" s="48"/>
      <c r="C319" s="15" t="s">
        <v>1144</v>
      </c>
      <c r="D319" s="15"/>
      <c r="E319" s="15"/>
      <c r="F319" s="11"/>
    </row>
    <row r="320" spans="1:6">
      <c r="A320" s="48"/>
      <c r="B320" s="48"/>
      <c r="C320" s="15" t="s">
        <v>1145</v>
      </c>
      <c r="D320" s="15"/>
      <c r="E320" s="15"/>
      <c r="F320" s="11"/>
    </row>
    <row r="321" spans="1:6">
      <c r="A321" s="48"/>
      <c r="B321" s="48"/>
      <c r="C321" s="15" t="s">
        <v>1146</v>
      </c>
      <c r="D321" s="15"/>
      <c r="E321" s="15"/>
      <c r="F321" s="11"/>
    </row>
    <row r="322" spans="1:6">
      <c r="A322" s="48"/>
      <c r="B322" s="48"/>
      <c r="C322" s="15" t="s">
        <v>1147</v>
      </c>
      <c r="D322" s="15"/>
      <c r="E322" s="15"/>
      <c r="F322" s="11"/>
    </row>
    <row r="323" spans="1:6">
      <c r="A323" s="48"/>
      <c r="B323" s="48"/>
      <c r="C323" s="15" t="s">
        <v>1148</v>
      </c>
      <c r="D323" s="15"/>
      <c r="E323" s="15"/>
      <c r="F323" s="11"/>
    </row>
    <row r="324" spans="1:6">
      <c r="A324" s="48"/>
      <c r="B324" s="48"/>
      <c r="C324" s="15" t="s">
        <v>1149</v>
      </c>
      <c r="D324" s="15"/>
      <c r="E324" s="15"/>
      <c r="F324" s="11"/>
    </row>
    <row r="325" spans="1:6">
      <c r="A325" s="48"/>
      <c r="B325" s="48"/>
      <c r="C325" s="15" t="s">
        <v>363</v>
      </c>
      <c r="D325" s="15"/>
      <c r="E325" s="15"/>
      <c r="F325" s="11"/>
    </row>
    <row r="326" spans="1:6">
      <c r="A326" s="65"/>
      <c r="B326" s="55" t="s">
        <v>1150</v>
      </c>
      <c r="C326" s="41" t="s">
        <v>1151</v>
      </c>
      <c r="D326" s="55" t="s">
        <v>1150</v>
      </c>
      <c r="E326" s="41"/>
      <c r="F326" s="11" t="s">
        <v>840</v>
      </c>
    </row>
    <row r="327" spans="1:6">
      <c r="A327" s="66"/>
      <c r="B327" s="56"/>
      <c r="C327" s="41" t="s">
        <v>1152</v>
      </c>
      <c r="D327" s="41"/>
      <c r="E327" s="41"/>
      <c r="F327" s="11" t="s">
        <v>840</v>
      </c>
    </row>
    <row r="328" spans="1:6">
      <c r="A328" s="66"/>
      <c r="B328" s="56"/>
      <c r="C328" s="119" t="s">
        <v>1153</v>
      </c>
      <c r="D328" s="119"/>
      <c r="E328" s="41"/>
      <c r="F328" s="11" t="s">
        <v>840</v>
      </c>
    </row>
    <row r="329" spans="1:6">
      <c r="A329" s="66"/>
      <c r="B329" s="56"/>
      <c r="C329" s="118" t="s">
        <v>1154</v>
      </c>
      <c r="D329" s="118"/>
      <c r="E329" s="41"/>
      <c r="F329" s="11" t="s">
        <v>840</v>
      </c>
    </row>
    <row r="330" spans="1:6">
      <c r="A330" s="66"/>
      <c r="B330" s="56"/>
      <c r="C330" s="118" t="s">
        <v>1155</v>
      </c>
      <c r="D330" s="118"/>
      <c r="E330" s="41"/>
      <c r="F330" s="11" t="s">
        <v>840</v>
      </c>
    </row>
    <row r="331" spans="1:6">
      <c r="A331" s="66"/>
      <c r="B331" s="56"/>
      <c r="C331" s="118" t="s">
        <v>1156</v>
      </c>
      <c r="D331" s="118"/>
      <c r="E331" s="41"/>
      <c r="F331" s="11" t="s">
        <v>840</v>
      </c>
    </row>
    <row r="332" spans="1:6">
      <c r="A332" s="66"/>
      <c r="B332" s="56"/>
      <c r="C332" s="118" t="s">
        <v>1157</v>
      </c>
      <c r="D332" s="118"/>
      <c r="E332" s="41"/>
      <c r="F332" s="11" t="s">
        <v>840</v>
      </c>
    </row>
    <row r="333" spans="1:6">
      <c r="A333" s="66"/>
      <c r="B333" s="56"/>
      <c r="C333" s="41" t="s">
        <v>1158</v>
      </c>
      <c r="D333" s="41"/>
      <c r="E333" s="41"/>
      <c r="F333" s="11" t="s">
        <v>840</v>
      </c>
    </row>
    <row r="334" spans="1:6">
      <c r="A334" s="66"/>
      <c r="B334" s="56"/>
      <c r="C334" s="41" t="s">
        <v>1159</v>
      </c>
      <c r="D334" s="41"/>
      <c r="E334" s="41"/>
      <c r="F334" s="11" t="s">
        <v>840</v>
      </c>
    </row>
    <row r="335" spans="1:6">
      <c r="A335" s="66"/>
      <c r="B335" s="56"/>
      <c r="C335" s="41" t="s">
        <v>1160</v>
      </c>
      <c r="D335" s="41"/>
      <c r="E335" s="41"/>
      <c r="F335" s="11" t="s">
        <v>840</v>
      </c>
    </row>
    <row r="336" spans="1:6">
      <c r="A336" s="66"/>
      <c r="B336" s="56"/>
      <c r="C336" s="41" t="s">
        <v>1161</v>
      </c>
      <c r="D336" s="41"/>
      <c r="E336" s="41"/>
      <c r="F336" s="11" t="s">
        <v>840</v>
      </c>
    </row>
    <row r="337" spans="1:6">
      <c r="A337" s="66"/>
      <c r="B337" s="56"/>
      <c r="C337" s="41" t="s">
        <v>1162</v>
      </c>
      <c r="D337" s="41"/>
      <c r="E337" s="41"/>
      <c r="F337" s="11" t="s">
        <v>840</v>
      </c>
    </row>
    <row r="338" spans="1:6">
      <c r="A338" s="66"/>
      <c r="B338" s="56"/>
      <c r="C338" s="41" t="s">
        <v>1163</v>
      </c>
      <c r="D338" s="41"/>
      <c r="E338" s="41"/>
      <c r="F338" s="11" t="s">
        <v>840</v>
      </c>
    </row>
    <row r="339" spans="1:6">
      <c r="A339" s="66"/>
      <c r="B339" s="56"/>
      <c r="C339" s="41" t="s">
        <v>1164</v>
      </c>
      <c r="D339" s="41"/>
      <c r="E339" s="41"/>
      <c r="F339" s="11" t="s">
        <v>840</v>
      </c>
    </row>
    <row r="340" spans="1:6">
      <c r="A340" s="66"/>
      <c r="B340" s="56"/>
      <c r="C340" s="41" t="s">
        <v>1165</v>
      </c>
      <c r="D340" s="41"/>
      <c r="E340" s="41"/>
      <c r="F340" s="11" t="s">
        <v>840</v>
      </c>
    </row>
    <row r="341" spans="1:6">
      <c r="A341" s="66"/>
      <c r="B341" s="56"/>
      <c r="C341" s="41" t="s">
        <v>1166</v>
      </c>
      <c r="D341" s="41"/>
      <c r="E341" s="41"/>
      <c r="F341" s="11" t="s">
        <v>840</v>
      </c>
    </row>
    <row r="342" spans="1:6">
      <c r="A342" s="66"/>
      <c r="B342" s="56"/>
      <c r="C342" s="41" t="s">
        <v>1167</v>
      </c>
      <c r="D342" s="41"/>
      <c r="E342" s="41"/>
      <c r="F342" s="11" t="s">
        <v>840</v>
      </c>
    </row>
    <row r="343" spans="1:6">
      <c r="A343" s="66"/>
      <c r="B343" s="56"/>
      <c r="C343" s="41" t="s">
        <v>1168</v>
      </c>
      <c r="D343" s="41"/>
      <c r="E343" s="41"/>
      <c r="F343" s="11" t="s">
        <v>840</v>
      </c>
    </row>
    <row r="344" spans="1:6">
      <c r="A344" s="66"/>
      <c r="B344" s="56"/>
      <c r="C344" s="41" t="s">
        <v>1169</v>
      </c>
      <c r="D344" s="41"/>
      <c r="E344" s="41"/>
      <c r="F344" s="11" t="s">
        <v>840</v>
      </c>
    </row>
    <row r="345" spans="1:6">
      <c r="A345" s="66"/>
      <c r="B345" s="56"/>
      <c r="C345" s="41" t="s">
        <v>1170</v>
      </c>
      <c r="D345" s="41"/>
      <c r="E345" s="41"/>
      <c r="F345" s="11" t="s">
        <v>840</v>
      </c>
    </row>
    <row r="346" spans="1:6">
      <c r="A346" s="66"/>
      <c r="B346" s="56"/>
      <c r="C346" s="41" t="s">
        <v>1171</v>
      </c>
      <c r="D346" s="41"/>
      <c r="E346" s="41"/>
      <c r="F346" s="11" t="s">
        <v>840</v>
      </c>
    </row>
    <row r="347" spans="1:6">
      <c r="A347" s="66"/>
      <c r="B347" s="56"/>
      <c r="C347" s="41" t="s">
        <v>1172</v>
      </c>
      <c r="D347" s="41"/>
      <c r="E347" s="41"/>
      <c r="F347" s="11" t="s">
        <v>840</v>
      </c>
    </row>
    <row r="348" spans="1:6">
      <c r="A348" s="66"/>
      <c r="B348" s="56"/>
      <c r="C348" s="41" t="s">
        <v>1173</v>
      </c>
      <c r="D348" s="41"/>
      <c r="E348" s="41"/>
      <c r="F348" s="11" t="s">
        <v>840</v>
      </c>
    </row>
    <row r="349" spans="1:6">
      <c r="A349" s="66"/>
      <c r="B349" s="56"/>
      <c r="C349" s="41" t="s">
        <v>1174</v>
      </c>
      <c r="D349" s="41"/>
      <c r="E349" s="41"/>
      <c r="F349" s="11" t="s">
        <v>840</v>
      </c>
    </row>
    <row r="350" spans="1:6">
      <c r="A350" s="66"/>
      <c r="B350" s="56"/>
      <c r="C350" s="41" t="s">
        <v>1175</v>
      </c>
      <c r="D350" s="41"/>
      <c r="E350" s="41"/>
      <c r="F350" s="11" t="s">
        <v>840</v>
      </c>
    </row>
    <row r="351" spans="1:6">
      <c r="A351" s="66"/>
      <c r="B351" s="56"/>
      <c r="C351" s="41" t="s">
        <v>1176</v>
      </c>
      <c r="D351" s="41"/>
      <c r="E351" s="41"/>
      <c r="F351" s="11" t="s">
        <v>840</v>
      </c>
    </row>
    <row r="352" spans="1:6">
      <c r="A352" s="66"/>
      <c r="B352" s="56"/>
      <c r="C352" s="41" t="s">
        <v>1177</v>
      </c>
      <c r="D352" s="41"/>
      <c r="E352" s="41"/>
      <c r="F352" s="11" t="s">
        <v>840</v>
      </c>
    </row>
    <row r="353" spans="1:6">
      <c r="A353" s="66"/>
      <c r="B353" s="56"/>
      <c r="C353" s="41" t="s">
        <v>1178</v>
      </c>
      <c r="D353" s="41"/>
      <c r="E353" s="41"/>
      <c r="F353" s="11" t="s">
        <v>840</v>
      </c>
    </row>
    <row r="354" spans="1:6">
      <c r="A354" s="66"/>
      <c r="B354" s="56"/>
      <c r="C354" s="41" t="s">
        <v>1179</v>
      </c>
      <c r="D354" s="41"/>
      <c r="E354" s="41"/>
      <c r="F354" s="11" t="s">
        <v>840</v>
      </c>
    </row>
    <row r="355" spans="1:6">
      <c r="A355" s="66"/>
      <c r="B355" s="56"/>
      <c r="C355" s="41" t="s">
        <v>1180</v>
      </c>
      <c r="D355" s="41"/>
      <c r="E355" s="41"/>
      <c r="F355" s="11" t="s">
        <v>840</v>
      </c>
    </row>
    <row r="356" spans="1:6">
      <c r="A356" s="66"/>
      <c r="B356" s="56"/>
      <c r="C356" s="41" t="s">
        <v>1181</v>
      </c>
      <c r="D356" s="41"/>
      <c r="E356" s="41"/>
      <c r="F356" s="11" t="s">
        <v>840</v>
      </c>
    </row>
    <row r="357" spans="1:6">
      <c r="A357" s="66"/>
      <c r="B357" s="56"/>
      <c r="C357" s="41" t="s">
        <v>1182</v>
      </c>
      <c r="D357" s="41"/>
      <c r="E357" s="41"/>
      <c r="F357" s="11" t="s">
        <v>840</v>
      </c>
    </row>
    <row r="358" spans="1:6">
      <c r="A358" s="66"/>
      <c r="B358" s="56"/>
      <c r="C358" s="41" t="s">
        <v>1183</v>
      </c>
      <c r="D358" s="41"/>
      <c r="E358" s="41"/>
      <c r="F358" s="11" t="s">
        <v>840</v>
      </c>
    </row>
    <row r="359" spans="1:6">
      <c r="A359" s="66"/>
      <c r="B359" s="56"/>
      <c r="C359" s="41" t="s">
        <v>1184</v>
      </c>
      <c r="D359" s="41"/>
      <c r="E359" s="41"/>
      <c r="F359" s="11" t="s">
        <v>840</v>
      </c>
    </row>
    <row r="360" spans="1:6">
      <c r="A360" s="66"/>
      <c r="B360" s="56"/>
      <c r="C360" s="41" t="s">
        <v>1185</v>
      </c>
      <c r="D360" s="41"/>
      <c r="E360" s="41"/>
      <c r="F360" s="11" t="s">
        <v>840</v>
      </c>
    </row>
    <row r="361" spans="1:6">
      <c r="A361" s="66"/>
      <c r="B361" s="56"/>
      <c r="C361" s="41" t="s">
        <v>1186</v>
      </c>
      <c r="D361" s="41"/>
      <c r="E361" s="41"/>
      <c r="F361" s="11" t="s">
        <v>840</v>
      </c>
    </row>
    <row r="362" spans="1:6">
      <c r="A362" s="66"/>
      <c r="B362" s="56"/>
      <c r="C362" s="41" t="s">
        <v>1187</v>
      </c>
      <c r="D362" s="41"/>
      <c r="E362" s="41"/>
      <c r="F362" s="11" t="s">
        <v>840</v>
      </c>
    </row>
    <row r="363" spans="1:6">
      <c r="A363" s="66"/>
      <c r="B363" s="56"/>
      <c r="C363" s="41" t="s">
        <v>1188</v>
      </c>
      <c r="D363" s="41"/>
      <c r="E363" s="41"/>
      <c r="F363" s="11" t="s">
        <v>840</v>
      </c>
    </row>
    <row r="364" spans="1:6">
      <c r="A364" s="66"/>
      <c r="B364" s="56"/>
      <c r="C364" s="41" t="s">
        <v>1189</v>
      </c>
      <c r="D364" s="41"/>
      <c r="E364" s="41"/>
      <c r="F364" s="11" t="s">
        <v>840</v>
      </c>
    </row>
    <row r="365" spans="1:6">
      <c r="A365" s="66"/>
      <c r="B365" s="56"/>
      <c r="C365" s="41" t="s">
        <v>1190</v>
      </c>
      <c r="D365" s="41"/>
      <c r="E365" s="41"/>
      <c r="F365" s="11" t="s">
        <v>840</v>
      </c>
    </row>
    <row r="366" spans="1:6">
      <c r="A366" s="66"/>
      <c r="B366" s="56"/>
      <c r="C366" s="41" t="s">
        <v>1191</v>
      </c>
      <c r="D366" s="41"/>
      <c r="E366" s="41"/>
      <c r="F366" s="11" t="s">
        <v>840</v>
      </c>
    </row>
    <row r="367" spans="1:6">
      <c r="A367" s="66"/>
      <c r="B367" s="56"/>
      <c r="C367" s="41" t="s">
        <v>1192</v>
      </c>
      <c r="D367" s="41"/>
      <c r="E367" s="41"/>
      <c r="F367" s="11" t="s">
        <v>840</v>
      </c>
    </row>
    <row r="368" spans="1:6">
      <c r="A368" s="66"/>
      <c r="B368" s="56"/>
      <c r="C368" s="41" t="s">
        <v>1193</v>
      </c>
      <c r="D368" s="41"/>
      <c r="E368" s="41"/>
      <c r="F368" s="11" t="s">
        <v>840</v>
      </c>
    </row>
    <row r="369" spans="1:6">
      <c r="A369" s="66"/>
      <c r="B369" s="56"/>
      <c r="C369" s="41" t="s">
        <v>1194</v>
      </c>
      <c r="D369" s="41"/>
      <c r="E369" s="41"/>
      <c r="F369" s="11" t="s">
        <v>840</v>
      </c>
    </row>
    <row r="370" spans="1:6">
      <c r="A370" s="66"/>
      <c r="B370" s="56"/>
      <c r="C370" s="41" t="s">
        <v>1195</v>
      </c>
      <c r="D370" s="41"/>
      <c r="E370" s="41"/>
      <c r="F370" s="11" t="s">
        <v>840</v>
      </c>
    </row>
    <row r="371" spans="1:6">
      <c r="A371" s="66"/>
      <c r="B371" s="56"/>
      <c r="C371" s="41" t="s">
        <v>1196</v>
      </c>
      <c r="D371" s="41"/>
      <c r="E371" s="41"/>
      <c r="F371" s="11" t="s">
        <v>840</v>
      </c>
    </row>
    <row r="372" spans="1:6">
      <c r="A372" s="66"/>
      <c r="B372" s="56"/>
      <c r="C372" s="41" t="s">
        <v>1197</v>
      </c>
      <c r="D372" s="41"/>
      <c r="E372" s="41"/>
      <c r="F372" s="11" t="s">
        <v>840</v>
      </c>
    </row>
    <row r="373" spans="1:6">
      <c r="A373" s="66"/>
      <c r="B373" s="56"/>
      <c r="C373" s="41" t="s">
        <v>1198</v>
      </c>
      <c r="D373" s="41"/>
      <c r="E373" s="41"/>
      <c r="F373" s="11" t="s">
        <v>840</v>
      </c>
    </row>
    <row r="374" spans="1:6">
      <c r="A374" s="66"/>
      <c r="B374" s="56"/>
      <c r="C374" s="41" t="s">
        <v>1199</v>
      </c>
      <c r="D374" s="41"/>
      <c r="E374" s="41"/>
      <c r="F374" s="11" t="s">
        <v>840</v>
      </c>
    </row>
    <row r="375" spans="1:6">
      <c r="A375" s="66"/>
      <c r="B375" s="56"/>
      <c r="C375" s="41" t="s">
        <v>1200</v>
      </c>
      <c r="D375" s="41"/>
      <c r="E375" s="41"/>
      <c r="F375" s="11" t="s">
        <v>840</v>
      </c>
    </row>
    <row r="376" spans="1:6">
      <c r="A376" s="66"/>
      <c r="B376" s="56"/>
      <c r="C376" s="41" t="s">
        <v>1201</v>
      </c>
      <c r="D376" s="41"/>
      <c r="E376" s="41"/>
      <c r="F376" s="11" t="s">
        <v>840</v>
      </c>
    </row>
    <row r="377" spans="1:6">
      <c r="A377" s="66"/>
      <c r="B377" s="56"/>
      <c r="C377" s="41" t="s">
        <v>1202</v>
      </c>
      <c r="D377" s="41"/>
      <c r="E377" s="41"/>
      <c r="F377" s="11" t="s">
        <v>840</v>
      </c>
    </row>
    <row r="378" spans="1:6">
      <c r="A378" s="66"/>
      <c r="B378" s="56"/>
      <c r="C378" s="41" t="s">
        <v>1203</v>
      </c>
      <c r="D378" s="41"/>
      <c r="E378" s="41"/>
      <c r="F378" s="11" t="s">
        <v>840</v>
      </c>
    </row>
    <row r="379" spans="1:6">
      <c r="A379" s="66"/>
      <c r="B379" s="56"/>
      <c r="C379" s="41" t="s">
        <v>1204</v>
      </c>
      <c r="D379" s="41"/>
      <c r="E379" s="41"/>
      <c r="F379" s="11" t="s">
        <v>840</v>
      </c>
    </row>
    <row r="380" spans="1:6">
      <c r="A380" s="66"/>
      <c r="B380" s="56"/>
      <c r="C380" s="41" t="s">
        <v>1205</v>
      </c>
      <c r="D380" s="41"/>
      <c r="E380" s="41"/>
      <c r="F380" s="11" t="s">
        <v>840</v>
      </c>
    </row>
    <row r="381" spans="1:6">
      <c r="A381" s="66"/>
      <c r="B381" s="56"/>
      <c r="C381" s="41" t="s">
        <v>1206</v>
      </c>
      <c r="D381" s="41"/>
      <c r="E381" s="41"/>
      <c r="F381" s="11" t="s">
        <v>840</v>
      </c>
    </row>
    <row r="382" spans="1:6">
      <c r="A382" s="66"/>
      <c r="B382" s="56"/>
      <c r="C382" s="41" t="s">
        <v>1207</v>
      </c>
      <c r="D382" s="41"/>
      <c r="E382" s="41"/>
      <c r="F382" s="11" t="s">
        <v>840</v>
      </c>
    </row>
    <row r="383" spans="1:6">
      <c r="A383" s="66"/>
      <c r="B383" s="56"/>
      <c r="C383" s="41" t="s">
        <v>1208</v>
      </c>
      <c r="D383" s="41"/>
      <c r="E383" s="41"/>
      <c r="F383" s="11" t="s">
        <v>840</v>
      </c>
    </row>
    <row r="384" spans="1:6">
      <c r="A384" s="66"/>
      <c r="B384" s="56"/>
      <c r="C384" s="41" t="s">
        <v>1209</v>
      </c>
      <c r="D384" s="41"/>
      <c r="E384" s="41"/>
      <c r="F384" s="11" t="s">
        <v>840</v>
      </c>
    </row>
    <row r="385" spans="1:6">
      <c r="A385" s="66"/>
      <c r="B385" s="56"/>
      <c r="C385" s="41" t="s">
        <v>1210</v>
      </c>
      <c r="D385" s="41"/>
      <c r="E385" s="41"/>
      <c r="F385" s="11" t="s">
        <v>840</v>
      </c>
    </row>
    <row r="386" spans="1:6">
      <c r="A386" s="66"/>
      <c r="B386" s="56"/>
      <c r="C386" s="41" t="s">
        <v>1211</v>
      </c>
      <c r="D386" s="41"/>
      <c r="E386" s="41"/>
      <c r="F386" s="11" t="s">
        <v>840</v>
      </c>
    </row>
    <row r="387" spans="1:6">
      <c r="A387" s="66"/>
      <c r="B387" s="56"/>
      <c r="C387" s="41" t="s">
        <v>1212</v>
      </c>
      <c r="D387" s="41"/>
      <c r="E387" s="41"/>
      <c r="F387" s="11" t="s">
        <v>840</v>
      </c>
    </row>
    <row r="388" spans="1:6">
      <c r="A388" s="66"/>
      <c r="B388" s="56"/>
      <c r="C388" s="41" t="s">
        <v>1213</v>
      </c>
      <c r="D388" s="41"/>
      <c r="E388" s="41"/>
      <c r="F388" s="11" t="s">
        <v>840</v>
      </c>
    </row>
    <row r="389" spans="1:6">
      <c r="A389" s="66"/>
      <c r="B389" s="56"/>
      <c r="C389" s="41" t="s">
        <v>1214</v>
      </c>
      <c r="D389" s="41"/>
      <c r="E389" s="41"/>
      <c r="F389" s="11" t="s">
        <v>840</v>
      </c>
    </row>
    <row r="390" spans="1:6">
      <c r="A390" s="66"/>
      <c r="B390" s="56"/>
      <c r="C390" s="41" t="s">
        <v>1215</v>
      </c>
      <c r="D390" s="41"/>
      <c r="E390" s="41"/>
      <c r="F390" s="11" t="s">
        <v>840</v>
      </c>
    </row>
    <row r="391" spans="1:6">
      <c r="A391" s="66"/>
      <c r="B391" s="56"/>
      <c r="C391" s="41" t="s">
        <v>1216</v>
      </c>
      <c r="D391" s="41"/>
      <c r="E391" s="41"/>
      <c r="F391" s="11" t="s">
        <v>840</v>
      </c>
    </row>
    <row r="392" spans="1:6">
      <c r="A392" s="66"/>
      <c r="B392" s="56"/>
      <c r="C392" s="41" t="s">
        <v>1217</v>
      </c>
      <c r="D392" s="41"/>
      <c r="E392" s="41"/>
      <c r="F392" s="11" t="s">
        <v>840</v>
      </c>
    </row>
    <row r="393" spans="1:6">
      <c r="A393" s="66"/>
      <c r="B393" s="56"/>
      <c r="C393" s="41" t="s">
        <v>1218</v>
      </c>
      <c r="D393" s="41"/>
      <c r="E393" s="41"/>
      <c r="F393" s="11" t="s">
        <v>840</v>
      </c>
    </row>
    <row r="394" spans="1:6">
      <c r="A394" s="66"/>
      <c r="B394" s="56"/>
      <c r="C394" s="41" t="s">
        <v>1219</v>
      </c>
      <c r="D394" s="41"/>
      <c r="E394" s="41"/>
      <c r="F394" s="11" t="s">
        <v>840</v>
      </c>
    </row>
    <row r="395" spans="1:6">
      <c r="A395" s="66"/>
      <c r="B395" s="56"/>
      <c r="C395" s="41" t="s">
        <v>1220</v>
      </c>
      <c r="D395" s="41"/>
      <c r="E395" s="41"/>
      <c r="F395" s="11" t="s">
        <v>840</v>
      </c>
    </row>
    <row r="396" spans="1:6">
      <c r="A396" s="66"/>
      <c r="B396" s="56"/>
      <c r="C396" s="41" t="s">
        <v>1221</v>
      </c>
      <c r="D396" s="41"/>
      <c r="E396" s="41"/>
      <c r="F396" s="11" t="s">
        <v>840</v>
      </c>
    </row>
    <row r="397" spans="1:6">
      <c r="A397" s="66"/>
      <c r="B397" s="56"/>
      <c r="C397" s="41" t="s">
        <v>1222</v>
      </c>
      <c r="D397" s="41"/>
      <c r="E397" s="41"/>
      <c r="F397" s="11" t="s">
        <v>840</v>
      </c>
    </row>
    <row r="398" spans="1:6">
      <c r="A398" s="66"/>
      <c r="B398" s="56"/>
      <c r="C398" s="41" t="s">
        <v>1223</v>
      </c>
      <c r="D398" s="41"/>
      <c r="E398" s="41"/>
      <c r="F398" s="11" t="s">
        <v>840</v>
      </c>
    </row>
    <row r="399" spans="1:6">
      <c r="A399" s="66"/>
      <c r="B399" s="56"/>
      <c r="C399" s="41" t="s">
        <v>1224</v>
      </c>
      <c r="D399" s="41"/>
      <c r="E399" s="41"/>
      <c r="F399" s="11" t="s">
        <v>840</v>
      </c>
    </row>
    <row r="400" spans="1:6">
      <c r="A400" s="66"/>
      <c r="B400" s="56"/>
      <c r="C400" s="41" t="s">
        <v>1225</v>
      </c>
      <c r="D400" s="41"/>
      <c r="E400" s="41"/>
      <c r="F400" s="11" t="s">
        <v>840</v>
      </c>
    </row>
    <row r="401" spans="1:6">
      <c r="A401" s="66"/>
      <c r="B401" s="56"/>
      <c r="C401" s="41" t="s">
        <v>1226</v>
      </c>
      <c r="D401" s="41"/>
      <c r="E401" s="41"/>
      <c r="F401" s="11" t="s">
        <v>840</v>
      </c>
    </row>
    <row r="402" spans="1:6">
      <c r="A402" s="66"/>
      <c r="B402" s="56"/>
      <c r="C402" s="41" t="s">
        <v>1227</v>
      </c>
      <c r="D402" s="41"/>
      <c r="E402" s="41"/>
      <c r="F402" s="11" t="s">
        <v>840</v>
      </c>
    </row>
    <row r="403" spans="1:6">
      <c r="A403" s="66"/>
      <c r="B403" s="56"/>
      <c r="C403" s="41" t="s">
        <v>1228</v>
      </c>
      <c r="D403" s="41"/>
      <c r="E403" s="41"/>
      <c r="F403" s="11" t="s">
        <v>840</v>
      </c>
    </row>
    <row r="404" spans="1:6">
      <c r="A404" s="66"/>
      <c r="B404" s="56"/>
      <c r="C404" s="41" t="s">
        <v>1229</v>
      </c>
      <c r="D404" s="41"/>
      <c r="E404" s="41"/>
      <c r="F404" s="11" t="s">
        <v>840</v>
      </c>
    </row>
    <row r="405" spans="1:6">
      <c r="A405" s="66"/>
      <c r="B405" s="56"/>
      <c r="C405" s="41" t="s">
        <v>1230</v>
      </c>
      <c r="D405" s="41"/>
      <c r="E405" s="41"/>
      <c r="F405" s="11" t="s">
        <v>840</v>
      </c>
    </row>
    <row r="406" spans="1:6">
      <c r="A406" s="66"/>
      <c r="B406" s="56"/>
      <c r="C406" s="41" t="s">
        <v>1231</v>
      </c>
      <c r="D406" s="41"/>
      <c r="E406" s="41"/>
      <c r="F406" s="11" t="s">
        <v>840</v>
      </c>
    </row>
    <row r="407" spans="1:6">
      <c r="A407" s="66"/>
      <c r="B407" s="56"/>
      <c r="C407" s="41" t="s">
        <v>1232</v>
      </c>
      <c r="D407" s="41"/>
      <c r="E407" s="41"/>
      <c r="F407" s="11" t="s">
        <v>840</v>
      </c>
    </row>
    <row r="408" spans="1:6">
      <c r="A408" s="66"/>
      <c r="B408" s="56"/>
      <c r="C408" s="41" t="s">
        <v>1233</v>
      </c>
      <c r="D408" s="41"/>
      <c r="E408" s="41"/>
      <c r="F408" s="11" t="s">
        <v>840</v>
      </c>
    </row>
    <row r="409" spans="1:6">
      <c r="A409" s="66"/>
      <c r="B409" s="56"/>
      <c r="C409" s="41" t="s">
        <v>1234</v>
      </c>
      <c r="D409" s="41"/>
      <c r="E409" s="41"/>
      <c r="F409" s="11" t="s">
        <v>840</v>
      </c>
    </row>
    <row r="410" spans="1:6">
      <c r="A410" s="66"/>
      <c r="B410" s="56"/>
      <c r="C410" s="41" t="s">
        <v>1235</v>
      </c>
      <c r="D410" s="41"/>
      <c r="E410" s="41"/>
      <c r="F410" s="11" t="s">
        <v>840</v>
      </c>
    </row>
    <row r="411" spans="1:6">
      <c r="A411" s="66"/>
      <c r="B411" s="56"/>
      <c r="C411" s="41" t="s">
        <v>1236</v>
      </c>
      <c r="D411" s="41"/>
      <c r="E411" s="41"/>
      <c r="F411" s="11" t="s">
        <v>840</v>
      </c>
    </row>
    <row r="412" spans="1:6">
      <c r="A412" s="66"/>
      <c r="B412" s="56"/>
      <c r="C412" s="41" t="s">
        <v>1237</v>
      </c>
      <c r="D412" s="41"/>
      <c r="E412" s="41"/>
      <c r="F412" s="11" t="s">
        <v>840</v>
      </c>
    </row>
    <row r="413" spans="1:6">
      <c r="A413" s="66"/>
      <c r="B413" s="56"/>
      <c r="C413" s="41" t="s">
        <v>1238</v>
      </c>
      <c r="D413" s="41"/>
      <c r="E413" s="41"/>
      <c r="F413" s="11" t="s">
        <v>840</v>
      </c>
    </row>
    <row r="414" spans="1:6">
      <c r="A414" s="66"/>
      <c r="B414" s="56"/>
      <c r="C414" s="41" t="s">
        <v>1239</v>
      </c>
      <c r="D414" s="41"/>
      <c r="E414" s="41"/>
      <c r="F414" s="11" t="s">
        <v>840</v>
      </c>
    </row>
    <row r="415" spans="1:6">
      <c r="A415" s="66"/>
      <c r="B415" s="56"/>
      <c r="C415" s="41" t="s">
        <v>1240</v>
      </c>
      <c r="D415" s="41"/>
      <c r="E415" s="41"/>
      <c r="F415" s="11" t="s">
        <v>840</v>
      </c>
    </row>
    <row r="416" spans="1:6">
      <c r="A416" s="66"/>
      <c r="B416" s="56"/>
      <c r="C416" s="41" t="s">
        <v>1241</v>
      </c>
      <c r="D416" s="41"/>
      <c r="E416" s="41"/>
      <c r="F416" s="11" t="s">
        <v>840</v>
      </c>
    </row>
    <row r="417" spans="1:6">
      <c r="A417" s="66"/>
      <c r="B417" s="56"/>
      <c r="C417" s="41" t="s">
        <v>1242</v>
      </c>
      <c r="D417" s="41"/>
      <c r="E417" s="41"/>
      <c r="F417" s="11" t="s">
        <v>840</v>
      </c>
    </row>
    <row r="418" spans="1:6">
      <c r="A418" s="66"/>
      <c r="B418" s="56"/>
      <c r="C418" s="41" t="s">
        <v>1243</v>
      </c>
      <c r="D418" s="41"/>
      <c r="E418" s="41"/>
      <c r="F418" s="11" t="s">
        <v>840</v>
      </c>
    </row>
    <row r="419" spans="1:6">
      <c r="A419" s="66"/>
      <c r="B419" s="56"/>
      <c r="C419" s="41" t="s">
        <v>1244</v>
      </c>
      <c r="D419" s="41"/>
      <c r="E419" s="41"/>
      <c r="F419" s="11" t="s">
        <v>840</v>
      </c>
    </row>
    <row r="420" spans="1:6">
      <c r="A420" s="66"/>
      <c r="B420" s="56"/>
      <c r="C420" s="41" t="s">
        <v>1245</v>
      </c>
      <c r="D420" s="41"/>
      <c r="E420" s="41"/>
      <c r="F420" s="11" t="s">
        <v>840</v>
      </c>
    </row>
    <row r="421" spans="1:6">
      <c r="A421" s="66"/>
      <c r="B421" s="56"/>
      <c r="C421" s="41" t="s">
        <v>1246</v>
      </c>
      <c r="D421" s="41"/>
      <c r="E421" s="41"/>
      <c r="F421" s="11" t="s">
        <v>840</v>
      </c>
    </row>
    <row r="422" spans="1:6">
      <c r="A422" s="66"/>
      <c r="B422" s="56"/>
      <c r="C422" s="41" t="s">
        <v>1247</v>
      </c>
      <c r="D422" s="41"/>
      <c r="E422" s="41"/>
      <c r="F422" s="11" t="s">
        <v>840</v>
      </c>
    </row>
    <row r="423" spans="1:6">
      <c r="A423" s="66"/>
      <c r="B423" s="56"/>
      <c r="C423" s="41" t="s">
        <v>1248</v>
      </c>
      <c r="D423" s="41"/>
      <c r="E423" s="41"/>
      <c r="F423" s="11" t="s">
        <v>840</v>
      </c>
    </row>
    <row r="424" spans="1:6">
      <c r="A424" s="66"/>
      <c r="B424" s="56"/>
      <c r="C424" s="41" t="s">
        <v>1249</v>
      </c>
      <c r="D424" s="41"/>
      <c r="E424" s="41"/>
      <c r="F424" s="11" t="s">
        <v>840</v>
      </c>
    </row>
    <row r="425" spans="1:6">
      <c r="A425" s="66"/>
      <c r="B425" s="56"/>
      <c r="C425" s="41" t="s">
        <v>1250</v>
      </c>
      <c r="D425" s="41"/>
      <c r="E425" s="41"/>
      <c r="F425" s="11" t="s">
        <v>840</v>
      </c>
    </row>
    <row r="426" spans="1:6">
      <c r="A426" s="66"/>
      <c r="B426" s="56"/>
      <c r="C426" s="41" t="s">
        <v>1251</v>
      </c>
      <c r="D426" s="41"/>
      <c r="E426" s="41"/>
      <c r="F426" s="11" t="s">
        <v>840</v>
      </c>
    </row>
    <row r="427" spans="1:6">
      <c r="A427" s="66"/>
      <c r="B427" s="56"/>
      <c r="C427" s="41" t="s">
        <v>1252</v>
      </c>
      <c r="D427" s="41"/>
      <c r="E427" s="41"/>
      <c r="F427" s="11" t="s">
        <v>840</v>
      </c>
    </row>
    <row r="428" spans="1:6">
      <c r="A428" s="66"/>
      <c r="B428" s="56"/>
      <c r="C428" s="41" t="s">
        <v>1253</v>
      </c>
      <c r="D428" s="41"/>
      <c r="E428" s="41"/>
      <c r="F428" s="11" t="s">
        <v>840</v>
      </c>
    </row>
    <row r="429" spans="1:6">
      <c r="A429" s="66"/>
      <c r="B429" s="56"/>
      <c r="C429" s="41" t="s">
        <v>1254</v>
      </c>
      <c r="D429" s="41"/>
      <c r="E429" s="41"/>
      <c r="F429" s="11" t="s">
        <v>840</v>
      </c>
    </row>
    <row r="430" spans="1:6">
      <c r="A430" s="66"/>
      <c r="B430" s="56"/>
      <c r="C430" s="41" t="s">
        <v>1255</v>
      </c>
      <c r="D430" s="41"/>
      <c r="E430" s="41"/>
      <c r="F430" s="11" t="s">
        <v>840</v>
      </c>
    </row>
    <row r="431" spans="1:6">
      <c r="A431" s="66"/>
      <c r="B431" s="56"/>
      <c r="C431" s="41" t="s">
        <v>1256</v>
      </c>
      <c r="D431" s="41"/>
      <c r="E431" s="41"/>
      <c r="F431" s="11" t="s">
        <v>840</v>
      </c>
    </row>
    <row r="432" spans="1:6">
      <c r="A432" s="66"/>
      <c r="B432" s="56"/>
      <c r="C432" s="41" t="s">
        <v>1257</v>
      </c>
      <c r="D432" s="41"/>
      <c r="E432" s="41"/>
      <c r="F432" s="11" t="s">
        <v>840</v>
      </c>
    </row>
    <row r="433" spans="1:6">
      <c r="A433" s="66"/>
      <c r="B433" s="56"/>
      <c r="C433" s="41" t="s">
        <v>1258</v>
      </c>
      <c r="D433" s="41"/>
      <c r="E433" s="41"/>
      <c r="F433" s="11" t="s">
        <v>840</v>
      </c>
    </row>
    <row r="434" spans="1:6">
      <c r="A434" s="66"/>
      <c r="B434" s="56"/>
      <c r="C434" s="41" t="s">
        <v>1259</v>
      </c>
      <c r="D434" s="41"/>
      <c r="E434" s="41"/>
      <c r="F434" s="11" t="s">
        <v>840</v>
      </c>
    </row>
    <row r="435" spans="1:6">
      <c r="A435" s="66"/>
      <c r="B435" s="56"/>
      <c r="C435" s="41" t="s">
        <v>1260</v>
      </c>
      <c r="D435" s="41"/>
      <c r="E435" s="41"/>
      <c r="F435" s="11" t="s">
        <v>840</v>
      </c>
    </row>
    <row r="436" spans="1:6">
      <c r="A436" s="66"/>
      <c r="B436" s="56"/>
      <c r="C436" s="41" t="s">
        <v>1261</v>
      </c>
      <c r="D436" s="41"/>
      <c r="E436" s="41"/>
      <c r="F436" s="11" t="s">
        <v>840</v>
      </c>
    </row>
    <row r="437" spans="1:6">
      <c r="A437" s="66"/>
      <c r="B437" s="56"/>
      <c r="C437" s="41" t="s">
        <v>1262</v>
      </c>
      <c r="D437" s="41"/>
      <c r="E437" s="41"/>
      <c r="F437" s="11" t="s">
        <v>840</v>
      </c>
    </row>
    <row r="438" spans="1:6">
      <c r="A438" s="66"/>
      <c r="B438" s="56"/>
      <c r="C438" s="41" t="s">
        <v>1263</v>
      </c>
      <c r="D438" s="41"/>
      <c r="E438" s="41"/>
      <c r="F438" s="11" t="s">
        <v>840</v>
      </c>
    </row>
    <row r="439" spans="1:6">
      <c r="A439" s="66"/>
      <c r="B439" s="56"/>
      <c r="C439" s="41" t="s">
        <v>1264</v>
      </c>
      <c r="D439" s="41"/>
      <c r="E439" s="41"/>
      <c r="F439" s="11" t="s">
        <v>840</v>
      </c>
    </row>
    <row r="440" spans="1:6">
      <c r="A440" s="66"/>
      <c r="B440" s="56"/>
      <c r="C440" s="41" t="s">
        <v>1265</v>
      </c>
      <c r="D440" s="41"/>
      <c r="E440" s="41"/>
      <c r="F440" s="11" t="s">
        <v>840</v>
      </c>
    </row>
    <row r="441" spans="1:6">
      <c r="A441" s="66"/>
      <c r="B441" s="56"/>
      <c r="C441" s="41" t="s">
        <v>1266</v>
      </c>
      <c r="D441" s="41"/>
      <c r="E441" s="41"/>
      <c r="F441" s="11" t="s">
        <v>840</v>
      </c>
    </row>
    <row r="442" spans="1:6">
      <c r="A442" s="66"/>
      <c r="B442" s="56"/>
      <c r="C442" s="41" t="s">
        <v>1267</v>
      </c>
      <c r="D442" s="41"/>
      <c r="E442" s="41"/>
      <c r="F442" s="11" t="s">
        <v>840</v>
      </c>
    </row>
    <row r="443" spans="1:6">
      <c r="A443" s="66"/>
      <c r="B443" s="56"/>
      <c r="C443" s="41" t="s">
        <v>1268</v>
      </c>
      <c r="D443" s="41"/>
      <c r="E443" s="41"/>
      <c r="F443" s="11" t="s">
        <v>840</v>
      </c>
    </row>
    <row r="444" spans="1:6">
      <c r="A444" s="66"/>
      <c r="B444" s="56"/>
      <c r="C444" s="41" t="s">
        <v>1269</v>
      </c>
      <c r="D444" s="41"/>
      <c r="E444" s="41"/>
      <c r="F444" s="11" t="s">
        <v>840</v>
      </c>
    </row>
    <row r="445" spans="1:6">
      <c r="A445" s="66"/>
      <c r="B445" s="56"/>
      <c r="C445" s="41" t="s">
        <v>1270</v>
      </c>
      <c r="D445" s="41"/>
      <c r="E445" s="41"/>
      <c r="F445" s="11" t="s">
        <v>840</v>
      </c>
    </row>
    <row r="446" spans="1:6">
      <c r="A446" s="66"/>
      <c r="B446" s="56"/>
      <c r="C446" s="41" t="s">
        <v>1271</v>
      </c>
      <c r="D446" s="41"/>
      <c r="E446" s="41"/>
      <c r="F446" s="11" t="s">
        <v>840</v>
      </c>
    </row>
    <row r="447" spans="1:6">
      <c r="A447" s="66"/>
      <c r="B447" s="56"/>
      <c r="C447" s="41" t="s">
        <v>1272</v>
      </c>
      <c r="D447" s="41"/>
      <c r="E447" s="41"/>
      <c r="F447" s="11" t="s">
        <v>840</v>
      </c>
    </row>
    <row r="448" spans="1:6">
      <c r="A448" s="66"/>
      <c r="B448" s="56"/>
      <c r="C448" s="41" t="s">
        <v>1273</v>
      </c>
      <c r="D448" s="41"/>
      <c r="E448" s="41"/>
      <c r="F448" s="11" t="s">
        <v>840</v>
      </c>
    </row>
    <row r="449" spans="1:6">
      <c r="A449" s="66"/>
      <c r="B449" s="56"/>
      <c r="C449" s="41" t="s">
        <v>1274</v>
      </c>
      <c r="D449" s="41"/>
      <c r="E449" s="41"/>
      <c r="F449" s="11" t="s">
        <v>840</v>
      </c>
    </row>
    <row r="450" spans="1:6">
      <c r="A450" s="66"/>
      <c r="B450" s="56"/>
      <c r="C450" s="41" t="s">
        <v>1275</v>
      </c>
      <c r="D450" s="41"/>
      <c r="E450" s="41"/>
      <c r="F450" s="11" t="s">
        <v>840</v>
      </c>
    </row>
    <row r="451" spans="1:6">
      <c r="A451" s="66"/>
      <c r="B451" s="56"/>
      <c r="C451" s="41" t="s">
        <v>1276</v>
      </c>
      <c r="D451" s="41"/>
      <c r="E451" s="41"/>
      <c r="F451" s="11" t="s">
        <v>840</v>
      </c>
    </row>
    <row r="452" spans="1:6">
      <c r="A452" s="66"/>
      <c r="B452" s="56"/>
      <c r="C452" s="41" t="s">
        <v>1277</v>
      </c>
      <c r="D452" s="41"/>
      <c r="E452" s="41"/>
      <c r="F452" s="11" t="s">
        <v>840</v>
      </c>
    </row>
    <row r="453" spans="1:6">
      <c r="A453" s="66"/>
      <c r="B453" s="56"/>
      <c r="C453" s="41" t="s">
        <v>1278</v>
      </c>
      <c r="D453" s="41"/>
      <c r="E453" s="41"/>
      <c r="F453" s="11" t="s">
        <v>840</v>
      </c>
    </row>
    <row r="454" spans="1:6">
      <c r="A454" s="66"/>
      <c r="B454" s="56"/>
      <c r="C454" s="41" t="s">
        <v>1279</v>
      </c>
      <c r="D454" s="41"/>
      <c r="E454" s="41"/>
      <c r="F454" s="11" t="s">
        <v>840</v>
      </c>
    </row>
    <row r="455" spans="1:6">
      <c r="A455" s="66"/>
      <c r="B455" s="56"/>
      <c r="C455" s="41" t="s">
        <v>1280</v>
      </c>
      <c r="D455" s="41"/>
      <c r="E455" s="41"/>
      <c r="F455" s="11" t="s">
        <v>840</v>
      </c>
    </row>
    <row r="456" spans="1:6">
      <c r="A456" s="66"/>
      <c r="B456" s="56"/>
      <c r="C456" s="41" t="s">
        <v>1281</v>
      </c>
      <c r="D456" s="41"/>
      <c r="E456" s="41"/>
      <c r="F456" s="11" t="s">
        <v>840</v>
      </c>
    </row>
    <row r="457" spans="1:6">
      <c r="A457" s="66"/>
      <c r="B457" s="56"/>
      <c r="C457" s="41" t="s">
        <v>1282</v>
      </c>
      <c r="D457" s="41"/>
      <c r="E457" s="41"/>
      <c r="F457" s="11" t="s">
        <v>840</v>
      </c>
    </row>
    <row r="458" spans="1:6">
      <c r="A458" s="66"/>
      <c r="B458" s="56"/>
      <c r="C458" s="41" t="s">
        <v>1283</v>
      </c>
      <c r="D458" s="41"/>
      <c r="E458" s="41"/>
      <c r="F458" s="11" t="s">
        <v>840</v>
      </c>
    </row>
    <row r="459" spans="1:6">
      <c r="A459" s="66"/>
      <c r="B459" s="56"/>
      <c r="C459" s="41" t="s">
        <v>1284</v>
      </c>
      <c r="D459" s="41"/>
      <c r="E459" s="41"/>
      <c r="F459" s="11" t="s">
        <v>840</v>
      </c>
    </row>
    <row r="460" spans="1:6">
      <c r="A460" s="66"/>
      <c r="B460" s="56"/>
      <c r="C460" s="41" t="s">
        <v>1285</v>
      </c>
      <c r="D460" s="41"/>
      <c r="E460" s="41"/>
      <c r="F460" s="11" t="s">
        <v>840</v>
      </c>
    </row>
    <row r="461" spans="1:6">
      <c r="A461" s="66"/>
      <c r="B461" s="56"/>
      <c r="C461" s="41" t="s">
        <v>1286</v>
      </c>
      <c r="D461" s="41"/>
      <c r="E461" s="41"/>
      <c r="F461" s="11" t="s">
        <v>840</v>
      </c>
    </row>
    <row r="462" spans="1:6">
      <c r="A462" s="66"/>
      <c r="B462" s="56"/>
      <c r="C462" s="41" t="s">
        <v>1287</v>
      </c>
      <c r="D462" s="41"/>
      <c r="E462" s="41"/>
      <c r="F462" s="11" t="s">
        <v>840</v>
      </c>
    </row>
    <row r="463" spans="1:6">
      <c r="A463" s="66"/>
      <c r="B463" s="56"/>
      <c r="C463" s="41" t="s">
        <v>1288</v>
      </c>
      <c r="D463" s="41"/>
      <c r="E463" s="41"/>
      <c r="F463" s="11" t="s">
        <v>840</v>
      </c>
    </row>
    <row r="464" spans="1:6">
      <c r="A464" s="66"/>
      <c r="B464" s="56"/>
      <c r="C464" s="41" t="s">
        <v>1289</v>
      </c>
      <c r="D464" s="41"/>
      <c r="E464" s="41"/>
      <c r="F464" s="11" t="s">
        <v>840</v>
      </c>
    </row>
    <row r="465" spans="1:6">
      <c r="A465" s="66"/>
      <c r="B465" s="56"/>
      <c r="C465" s="41" t="s">
        <v>1290</v>
      </c>
      <c r="D465" s="41"/>
      <c r="E465" s="41"/>
      <c r="F465" s="11" t="s">
        <v>840</v>
      </c>
    </row>
    <row r="466" spans="1:6">
      <c r="A466" s="66"/>
      <c r="B466" s="56"/>
      <c r="C466" s="41" t="s">
        <v>1291</v>
      </c>
      <c r="D466" s="41"/>
      <c r="E466" s="41"/>
      <c r="F466" s="11" t="s">
        <v>840</v>
      </c>
    </row>
    <row r="467" spans="1:6">
      <c r="A467" s="66"/>
      <c r="B467" s="56"/>
      <c r="C467" s="41" t="s">
        <v>1292</v>
      </c>
      <c r="D467" s="41"/>
      <c r="E467" s="41"/>
      <c r="F467" s="11" t="s">
        <v>840</v>
      </c>
    </row>
    <row r="468" spans="1:6">
      <c r="A468" s="66"/>
      <c r="B468" s="56"/>
      <c r="C468" s="41" t="s">
        <v>1293</v>
      </c>
      <c r="D468" s="41"/>
      <c r="E468" s="41"/>
      <c r="F468" s="11" t="s">
        <v>840</v>
      </c>
    </row>
    <row r="469" spans="1:6">
      <c r="A469" s="66"/>
      <c r="B469" s="56"/>
      <c r="C469" s="41" t="s">
        <v>1294</v>
      </c>
      <c r="D469" s="41"/>
      <c r="E469" s="41"/>
      <c r="F469" s="11" t="s">
        <v>840</v>
      </c>
    </row>
    <row r="470" spans="1:6">
      <c r="A470" s="66"/>
      <c r="B470" s="56"/>
      <c r="C470" s="41" t="s">
        <v>1295</v>
      </c>
      <c r="D470" s="41"/>
      <c r="E470" s="41"/>
      <c r="F470" s="11" t="s">
        <v>840</v>
      </c>
    </row>
    <row r="471" spans="1:6">
      <c r="A471" s="66"/>
      <c r="B471" s="56"/>
      <c r="C471" s="41" t="s">
        <v>1296</v>
      </c>
      <c r="D471" s="41"/>
      <c r="E471" s="41"/>
      <c r="F471" s="11" t="s">
        <v>840</v>
      </c>
    </row>
    <row r="472" spans="1:6">
      <c r="A472" s="66"/>
      <c r="B472" s="56"/>
      <c r="C472" s="41" t="s">
        <v>1297</v>
      </c>
      <c r="D472" s="41"/>
      <c r="E472" s="41"/>
      <c r="F472" s="11" t="s">
        <v>840</v>
      </c>
    </row>
    <row r="473" spans="1:6">
      <c r="A473" s="66"/>
      <c r="B473" s="56"/>
      <c r="C473" s="41" t="s">
        <v>1298</v>
      </c>
      <c r="D473" s="41"/>
      <c r="E473" s="41"/>
      <c r="F473" s="11" t="s">
        <v>840</v>
      </c>
    </row>
    <row r="474" spans="1:6">
      <c r="A474" s="66"/>
      <c r="B474" s="56"/>
      <c r="C474" s="41" t="s">
        <v>1299</v>
      </c>
      <c r="D474" s="41"/>
      <c r="E474" s="41"/>
      <c r="F474" s="11" t="s">
        <v>840</v>
      </c>
    </row>
    <row r="475" spans="1:6">
      <c r="A475" s="66"/>
      <c r="B475" s="56"/>
      <c r="C475" s="41" t="s">
        <v>1300</v>
      </c>
      <c r="D475" s="41"/>
      <c r="E475" s="41"/>
      <c r="F475" s="11" t="s">
        <v>840</v>
      </c>
    </row>
    <row r="476" spans="1:6">
      <c r="A476" s="66"/>
      <c r="B476" s="56"/>
      <c r="C476" s="41" t="s">
        <v>1301</v>
      </c>
      <c r="D476" s="41"/>
      <c r="E476" s="41"/>
      <c r="F476" s="11" t="s">
        <v>840</v>
      </c>
    </row>
    <row r="477" spans="1:6">
      <c r="A477" s="66"/>
      <c r="B477" s="56"/>
      <c r="C477" s="41" t="s">
        <v>1302</v>
      </c>
      <c r="D477" s="41"/>
      <c r="E477" s="41"/>
      <c r="F477" s="11" t="s">
        <v>840</v>
      </c>
    </row>
    <row r="478" spans="1:6">
      <c r="A478" s="66"/>
      <c r="B478" s="56"/>
      <c r="C478" s="41" t="s">
        <v>1303</v>
      </c>
      <c r="D478" s="41"/>
      <c r="E478" s="41"/>
      <c r="F478" s="11" t="s">
        <v>840</v>
      </c>
    </row>
    <row r="479" spans="1:6">
      <c r="A479" s="66"/>
      <c r="B479" s="56"/>
      <c r="C479" s="41" t="s">
        <v>1304</v>
      </c>
      <c r="D479" s="41"/>
      <c r="E479" s="41"/>
      <c r="F479" s="11" t="s">
        <v>840</v>
      </c>
    </row>
    <row r="480" spans="1:6">
      <c r="A480" s="66"/>
      <c r="B480" s="56"/>
      <c r="C480" s="41" t="s">
        <v>1305</v>
      </c>
      <c r="D480" s="41"/>
      <c r="E480" s="41"/>
      <c r="F480" s="11" t="s">
        <v>840</v>
      </c>
    </row>
    <row r="481" spans="1:6">
      <c r="A481" s="66"/>
      <c r="B481" s="56"/>
      <c r="C481" s="41" t="s">
        <v>1306</v>
      </c>
      <c r="D481" s="41"/>
      <c r="E481" s="41"/>
      <c r="F481" s="11" t="s">
        <v>840</v>
      </c>
    </row>
    <row r="482" spans="1:6">
      <c r="A482" s="66"/>
      <c r="B482" s="56"/>
      <c r="C482" s="41" t="s">
        <v>1307</v>
      </c>
      <c r="D482" s="41"/>
      <c r="E482" s="41"/>
      <c r="F482" s="11" t="s">
        <v>840</v>
      </c>
    </row>
    <row r="483" spans="1:6">
      <c r="A483" s="66"/>
      <c r="B483" s="56"/>
      <c r="C483" s="41" t="s">
        <v>1308</v>
      </c>
      <c r="D483" s="41"/>
      <c r="E483" s="41"/>
      <c r="F483" s="11" t="s">
        <v>840</v>
      </c>
    </row>
    <row r="484" spans="1:6">
      <c r="A484" s="66"/>
      <c r="B484" s="56"/>
      <c r="C484" s="41" t="s">
        <v>1309</v>
      </c>
      <c r="D484" s="41"/>
      <c r="E484" s="41"/>
      <c r="F484" s="11" t="s">
        <v>840</v>
      </c>
    </row>
    <row r="485" spans="1:6">
      <c r="A485" s="66"/>
      <c r="B485" s="56"/>
      <c r="C485" s="41" t="s">
        <v>1310</v>
      </c>
      <c r="D485" s="41"/>
      <c r="E485" s="41"/>
      <c r="F485" s="11" t="s">
        <v>840</v>
      </c>
    </row>
    <row r="486" spans="1:6">
      <c r="A486" s="66"/>
      <c r="B486" s="56"/>
      <c r="C486" s="41" t="s">
        <v>1311</v>
      </c>
      <c r="D486" s="41"/>
      <c r="E486" s="41"/>
      <c r="F486" s="11" t="s">
        <v>840</v>
      </c>
    </row>
    <row r="487" spans="1:6">
      <c r="A487" s="66"/>
      <c r="B487" s="56"/>
      <c r="C487" s="41" t="s">
        <v>215</v>
      </c>
      <c r="D487" s="41"/>
      <c r="E487" s="41"/>
      <c r="F487" s="11"/>
    </row>
    <row r="488" spans="1:6">
      <c r="A488" s="66"/>
      <c r="B488" s="56"/>
      <c r="C488" s="41" t="s">
        <v>1312</v>
      </c>
      <c r="D488" s="41"/>
      <c r="E488" s="41"/>
      <c r="F488" s="11"/>
    </row>
    <row r="489" spans="1:6">
      <c r="A489" s="66"/>
      <c r="B489" s="56"/>
      <c r="C489" s="41" t="s">
        <v>1313</v>
      </c>
      <c r="D489" s="41"/>
      <c r="E489" s="41"/>
      <c r="F489" s="11"/>
    </row>
    <row r="490" spans="1:6">
      <c r="A490" s="66"/>
      <c r="B490" s="56"/>
      <c r="C490" s="41" t="s">
        <v>1314</v>
      </c>
      <c r="D490" s="41"/>
      <c r="E490" s="41"/>
      <c r="F490" s="11"/>
    </row>
    <row r="491" spans="1:6">
      <c r="A491" s="66"/>
      <c r="B491" s="56"/>
      <c r="C491" s="41" t="s">
        <v>1315</v>
      </c>
      <c r="D491" s="41"/>
      <c r="E491" s="41"/>
      <c r="F491" s="11"/>
    </row>
    <row r="492" spans="1:6">
      <c r="A492" s="66"/>
      <c r="B492" s="56"/>
      <c r="C492" s="41" t="s">
        <v>1316</v>
      </c>
      <c r="D492" s="41"/>
      <c r="E492" s="41"/>
      <c r="F492" s="11"/>
    </row>
    <row r="493" spans="1:6">
      <c r="A493" s="66"/>
      <c r="B493" s="56"/>
      <c r="C493" s="41" t="s">
        <v>1317</v>
      </c>
      <c r="D493" s="41"/>
      <c r="E493" s="41"/>
      <c r="F493" s="11"/>
    </row>
    <row r="494" spans="1:6">
      <c r="A494" s="66"/>
      <c r="B494" s="56"/>
      <c r="C494" s="41" t="s">
        <v>1318</v>
      </c>
      <c r="D494" s="41"/>
      <c r="E494" s="41"/>
      <c r="F494" s="11"/>
    </row>
    <row r="495" spans="1:6">
      <c r="A495" s="66"/>
      <c r="B495" s="56"/>
      <c r="C495" s="41" t="s">
        <v>1319</v>
      </c>
      <c r="D495" s="41"/>
      <c r="E495" s="41"/>
      <c r="F495" s="11"/>
    </row>
    <row r="496" spans="1:6">
      <c r="A496" s="67"/>
      <c r="B496" s="57"/>
      <c r="C496" s="41" t="s">
        <v>363</v>
      </c>
      <c r="D496" s="41"/>
      <c r="E496" s="41"/>
      <c r="F496" s="11"/>
    </row>
    <row r="497" spans="1:5" s="11" customFormat="1">
      <c r="A497" s="103"/>
      <c r="B497" s="108" t="s">
        <v>1320</v>
      </c>
      <c r="C497" s="39" t="s">
        <v>1034</v>
      </c>
      <c r="D497" s="39" t="s">
        <v>651</v>
      </c>
      <c r="E497" s="39"/>
    </row>
    <row r="498" spans="1:5" s="11" customFormat="1">
      <c r="A498" s="48"/>
      <c r="B498" s="108"/>
      <c r="C498" s="39" t="s">
        <v>1321</v>
      </c>
      <c r="D498" s="39"/>
      <c r="E498" s="39"/>
    </row>
    <row r="499" spans="1:5" s="11" customFormat="1">
      <c r="A499" s="48"/>
      <c r="B499" s="108"/>
      <c r="C499" s="39" t="s">
        <v>1322</v>
      </c>
      <c r="D499" s="39"/>
      <c r="E499" s="39"/>
    </row>
    <row r="500" spans="1:5" s="11" customFormat="1">
      <c r="A500" s="48"/>
      <c r="B500" s="108"/>
      <c r="C500" s="39" t="s">
        <v>1323</v>
      </c>
      <c r="D500" s="39"/>
      <c r="E500" s="39"/>
    </row>
    <row r="501" spans="1:5" s="11" customFormat="1">
      <c r="A501" s="48"/>
      <c r="B501" s="108"/>
      <c r="C501" s="39" t="s">
        <v>1324</v>
      </c>
      <c r="D501" s="39"/>
      <c r="E501" s="39"/>
    </row>
    <row r="502" spans="1:5" s="11" customFormat="1">
      <c r="A502" s="48"/>
      <c r="B502" s="108"/>
      <c r="C502" s="39" t="s">
        <v>93</v>
      </c>
      <c r="D502" s="39"/>
      <c r="E502" s="39"/>
    </row>
    <row r="503" spans="1:5" s="11" customFormat="1">
      <c r="A503" s="48"/>
      <c r="B503" s="108"/>
      <c r="C503" s="39" t="s">
        <v>1325</v>
      </c>
      <c r="D503" s="39"/>
      <c r="E503" s="39"/>
    </row>
    <row r="504" spans="1:5" s="11" customFormat="1">
      <c r="A504" s="48"/>
      <c r="B504" s="108"/>
      <c r="C504" s="39" t="s">
        <v>100</v>
      </c>
      <c r="D504" s="39"/>
      <c r="E504" s="39"/>
    </row>
    <row r="505" spans="1:5" s="11" customFormat="1">
      <c r="A505" s="48"/>
      <c r="B505" s="108"/>
      <c r="C505" s="39" t="s">
        <v>71</v>
      </c>
      <c r="D505" s="39"/>
      <c r="E505" s="39"/>
    </row>
    <row r="506" spans="1:5" s="11" customFormat="1">
      <c r="A506" s="48"/>
      <c r="B506" s="108"/>
      <c r="C506" s="39" t="s">
        <v>1326</v>
      </c>
      <c r="D506" s="39"/>
      <c r="E506" s="39"/>
    </row>
    <row r="507" spans="1:5" s="11" customFormat="1">
      <c r="A507" s="48"/>
      <c r="B507" s="108"/>
      <c r="C507" s="39" t="s">
        <v>1327</v>
      </c>
      <c r="D507" s="39"/>
      <c r="E507" s="39"/>
    </row>
    <row r="508" spans="1:5" s="11" customFormat="1">
      <c r="A508" s="48"/>
      <c r="B508" s="108"/>
      <c r="C508" s="39" t="s">
        <v>1328</v>
      </c>
      <c r="D508" s="39"/>
      <c r="E508" s="39"/>
    </row>
    <row r="509" spans="1:5" s="11" customFormat="1">
      <c r="A509" s="48"/>
      <c r="B509" s="108"/>
      <c r="C509" s="39" t="s">
        <v>1329</v>
      </c>
      <c r="D509" s="39"/>
      <c r="E509" s="39"/>
    </row>
    <row r="510" spans="1:5" s="11" customFormat="1">
      <c r="A510" s="48"/>
      <c r="B510" s="108"/>
      <c r="C510" s="39" t="s">
        <v>1070</v>
      </c>
      <c r="D510" s="39"/>
      <c r="E510" s="39"/>
    </row>
    <row r="511" spans="1:5" s="11" customFormat="1">
      <c r="A511" s="48"/>
      <c r="B511" s="108"/>
      <c r="C511" s="39" t="s">
        <v>215</v>
      </c>
      <c r="D511" s="39"/>
      <c r="E511" s="39"/>
    </row>
    <row r="512" spans="1:5" s="11" customFormat="1">
      <c r="A512" s="66"/>
      <c r="B512" s="52" t="s">
        <v>709</v>
      </c>
      <c r="C512" s="41" t="s">
        <v>243</v>
      </c>
      <c r="D512" s="41" t="s">
        <v>943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106</v>
      </c>
      <c r="C514" s="39" t="s">
        <v>1330</v>
      </c>
      <c r="D514" s="108" t="s">
        <v>106</v>
      </c>
      <c r="E514" s="39"/>
    </row>
    <row r="515" spans="1:5" s="11" customFormat="1">
      <c r="A515" s="48"/>
      <c r="B515" s="108"/>
      <c r="C515" s="39" t="s">
        <v>1331</v>
      </c>
      <c r="D515" s="39"/>
      <c r="E515" s="39"/>
    </row>
    <row r="516" spans="1:5" s="11" customFormat="1">
      <c r="A516" s="48"/>
      <c r="B516" s="108"/>
      <c r="C516" s="39" t="s">
        <v>124</v>
      </c>
      <c r="D516" s="39"/>
      <c r="E516" s="39"/>
    </row>
    <row r="517" spans="1:5" s="11" customFormat="1">
      <c r="A517" s="48"/>
      <c r="B517" s="108"/>
      <c r="C517" s="39" t="s">
        <v>736</v>
      </c>
      <c r="D517" s="39"/>
      <c r="E517" s="39"/>
    </row>
    <row r="518" spans="1:5" s="11" customFormat="1">
      <c r="A518" s="106"/>
      <c r="B518" s="52" t="s">
        <v>715</v>
      </c>
      <c r="C518" s="41" t="s">
        <v>1332</v>
      </c>
      <c r="D518" s="52" t="s">
        <v>715</v>
      </c>
      <c r="E518" s="41"/>
    </row>
    <row r="519" spans="1:5" s="11" customFormat="1">
      <c r="A519" s="64"/>
      <c r="B519" s="53"/>
      <c r="C519" s="41" t="s">
        <v>1333</v>
      </c>
      <c r="D519" s="41"/>
      <c r="E519" s="41"/>
    </row>
    <row r="520" spans="1:5" s="11" customFormat="1">
      <c r="A520" s="64"/>
      <c r="B520" s="53"/>
      <c r="C520" s="41" t="s">
        <v>1334</v>
      </c>
      <c r="D520" s="41"/>
      <c r="E520" s="41"/>
    </row>
    <row r="521" spans="1:5" s="11" customFormat="1">
      <c r="A521" s="64"/>
      <c r="B521" s="53"/>
      <c r="C521" s="41" t="s">
        <v>1335</v>
      </c>
      <c r="D521" s="41"/>
      <c r="E521" s="41"/>
    </row>
    <row r="522" spans="1:5" s="11" customFormat="1">
      <c r="A522" s="64"/>
      <c r="B522" s="53"/>
      <c r="C522" s="41" t="s">
        <v>738</v>
      </c>
      <c r="D522" s="41"/>
      <c r="E522" s="41"/>
    </row>
    <row r="523" spans="1:5" s="11" customFormat="1">
      <c r="A523" s="64"/>
      <c r="B523" s="53"/>
      <c r="C523" s="41" t="s">
        <v>1336</v>
      </c>
      <c r="D523" s="41"/>
      <c r="E523" s="41"/>
    </row>
    <row r="524" spans="1:5" s="11" customFormat="1">
      <c r="A524" s="64"/>
      <c r="B524" s="53"/>
      <c r="C524" s="41" t="s">
        <v>1337</v>
      </c>
      <c r="D524" s="41"/>
      <c r="E524" s="41"/>
    </row>
    <row r="525" spans="1:5" s="11" customFormat="1">
      <c r="A525" s="64"/>
      <c r="B525" s="53"/>
      <c r="C525" s="41" t="s">
        <v>1338</v>
      </c>
      <c r="D525" s="41"/>
      <c r="E525" s="41"/>
    </row>
    <row r="526" spans="1:5" s="11" customFormat="1">
      <c r="A526" s="64"/>
      <c r="B526" s="53"/>
      <c r="C526" s="41" t="s">
        <v>250</v>
      </c>
      <c r="D526" s="41"/>
      <c r="E526" s="41"/>
    </row>
    <row r="527" spans="1:5" s="11" customFormat="1">
      <c r="A527" s="64"/>
      <c r="B527" s="53"/>
      <c r="C527" s="41" t="s">
        <v>1326</v>
      </c>
      <c r="D527" s="41"/>
      <c r="E527" s="41"/>
    </row>
    <row r="528" spans="1:5" s="11" customFormat="1">
      <c r="A528" s="7"/>
      <c r="B528" s="53"/>
      <c r="C528" s="41" t="s">
        <v>1339</v>
      </c>
      <c r="D528" s="41"/>
      <c r="E528" s="41"/>
    </row>
    <row r="529" spans="1:5" s="11" customFormat="1" ht="15">
      <c r="A529" s="64"/>
      <c r="B529" s="53"/>
      <c r="C529" s="41" t="s">
        <v>1340</v>
      </c>
      <c r="D529" s="41"/>
      <c r="E529" s="41" t="s">
        <v>1341</v>
      </c>
    </row>
    <row r="530" spans="1:5" s="11" customFormat="1" ht="15">
      <c r="A530" s="64"/>
      <c r="B530" s="53"/>
      <c r="C530" s="41" t="s">
        <v>1342</v>
      </c>
      <c r="D530" s="41"/>
      <c r="E530" s="41" t="s">
        <v>1341</v>
      </c>
    </row>
    <row r="531" spans="1:5" s="11" customFormat="1" ht="15">
      <c r="A531" s="64"/>
      <c r="B531" s="53"/>
      <c r="C531" s="41" t="s">
        <v>1343</v>
      </c>
      <c r="D531" s="41"/>
      <c r="E531" s="41" t="s">
        <v>1341</v>
      </c>
    </row>
    <row r="532" spans="1:5" s="11" customFormat="1">
      <c r="A532" s="64"/>
      <c r="B532" s="53"/>
      <c r="C532" s="41" t="s">
        <v>1344</v>
      </c>
      <c r="D532" s="41"/>
      <c r="E532" s="41"/>
    </row>
    <row r="533" spans="1:5" s="11" customFormat="1">
      <c r="A533" s="64"/>
      <c r="B533" s="53"/>
      <c r="C533" s="41" t="s">
        <v>1345</v>
      </c>
      <c r="D533" s="41"/>
      <c r="E533" s="41"/>
    </row>
    <row r="534" spans="1:5" s="11" customFormat="1">
      <c r="A534" s="64"/>
      <c r="B534" s="53"/>
      <c r="C534" s="41" t="s">
        <v>314</v>
      </c>
      <c r="D534" s="41"/>
      <c r="E534" s="41"/>
    </row>
    <row r="535" spans="1:5" s="11" customFormat="1">
      <c r="A535" s="64"/>
      <c r="B535" s="53"/>
      <c r="C535" s="41" t="s">
        <v>1346</v>
      </c>
      <c r="D535" s="41"/>
      <c r="E535" s="41"/>
    </row>
    <row r="536" spans="1:5" s="11" customFormat="1">
      <c r="A536" s="64"/>
      <c r="B536" s="53"/>
      <c r="C536" s="41" t="s">
        <v>1347</v>
      </c>
      <c r="D536" s="41"/>
      <c r="E536" s="41"/>
    </row>
    <row r="537" spans="1:5" s="11" customFormat="1">
      <c r="A537" s="64"/>
      <c r="B537" s="53"/>
      <c r="C537" s="41" t="s">
        <v>1348</v>
      </c>
      <c r="D537" s="41"/>
      <c r="E537" s="41"/>
    </row>
    <row r="538" spans="1:5" s="11" customFormat="1">
      <c r="A538" s="64"/>
      <c r="B538" s="53"/>
      <c r="C538" s="41" t="s">
        <v>1349</v>
      </c>
      <c r="D538" s="41"/>
      <c r="E538" s="41"/>
    </row>
    <row r="539" spans="1:5" s="11" customFormat="1">
      <c r="A539" s="64"/>
      <c r="B539" s="53"/>
      <c r="C539" s="41" t="s">
        <v>1350</v>
      </c>
      <c r="D539" s="41"/>
      <c r="E539" s="41"/>
    </row>
    <row r="540" spans="1:5" s="11" customFormat="1">
      <c r="A540" s="64"/>
      <c r="B540" s="53"/>
      <c r="C540" s="41" t="s">
        <v>1070</v>
      </c>
      <c r="D540" s="41"/>
      <c r="E540" s="41"/>
    </row>
    <row r="541" spans="1:5" s="11" customFormat="1">
      <c r="A541" s="64"/>
      <c r="B541" s="53"/>
      <c r="C541" s="41" t="s">
        <v>215</v>
      </c>
      <c r="D541" s="42"/>
      <c r="E541" s="42"/>
    </row>
    <row r="542" spans="1:5" s="11" customFormat="1">
      <c r="A542" s="70"/>
      <c r="B542" s="43" t="s">
        <v>719</v>
      </c>
      <c r="C542" s="39" t="s">
        <v>243</v>
      </c>
      <c r="D542" s="39" t="s">
        <v>943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720</v>
      </c>
      <c r="C544" s="41" t="s">
        <v>1351</v>
      </c>
      <c r="D544" s="52" t="s">
        <v>720</v>
      </c>
      <c r="E544" s="41"/>
    </row>
    <row r="545" spans="1:5" s="11" customFormat="1">
      <c r="A545" s="64"/>
      <c r="B545" s="53"/>
      <c r="C545" s="41" t="s">
        <v>1352</v>
      </c>
      <c r="D545" s="41"/>
      <c r="E545" s="41"/>
    </row>
    <row r="546" spans="1:5" s="11" customFormat="1">
      <c r="A546" s="64"/>
      <c r="B546" s="53"/>
      <c r="C546" s="41" t="s">
        <v>753</v>
      </c>
      <c r="D546" s="41"/>
      <c r="E546" s="41"/>
    </row>
    <row r="547" spans="1:5" s="11" customFormat="1">
      <c r="A547" s="64"/>
      <c r="B547" s="53"/>
      <c r="C547" s="41" t="s">
        <v>1353</v>
      </c>
      <c r="D547" s="41"/>
      <c r="E547" s="41"/>
    </row>
    <row r="548" spans="1:5" s="11" customFormat="1">
      <c r="A548" s="64"/>
      <c r="B548" s="53"/>
      <c r="C548" s="41" t="s">
        <v>1354</v>
      </c>
      <c r="D548" s="41"/>
      <c r="E548" s="41"/>
    </row>
    <row r="549" spans="1:5" s="11" customFormat="1">
      <c r="A549" s="70"/>
      <c r="B549" s="43" t="s">
        <v>722</v>
      </c>
      <c r="C549" s="39" t="s">
        <v>243</v>
      </c>
      <c r="D549" s="39" t="s">
        <v>943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708</v>
      </c>
      <c r="C551" s="41" t="s">
        <v>1355</v>
      </c>
      <c r="D551" s="52" t="s">
        <v>1356</v>
      </c>
      <c r="E551" s="41"/>
    </row>
    <row r="552" spans="1:5" s="11" customFormat="1">
      <c r="A552" s="50"/>
      <c r="B552" s="50"/>
      <c r="C552" s="130" t="s">
        <v>1357</v>
      </c>
      <c r="D552" s="41"/>
      <c r="E552" s="41"/>
    </row>
    <row r="553" spans="1:5" s="11" customFormat="1">
      <c r="A553" s="50"/>
      <c r="B553" s="50"/>
      <c r="C553" s="41" t="s">
        <v>1358</v>
      </c>
      <c r="D553" s="41"/>
      <c r="E553" s="41"/>
    </row>
    <row r="554" spans="1:5" s="11" customFormat="1">
      <c r="A554" s="50"/>
      <c r="B554" s="50"/>
      <c r="C554" s="41" t="s">
        <v>1359</v>
      </c>
      <c r="D554" s="41"/>
      <c r="E554" s="41"/>
    </row>
    <row r="555" spans="1:5" s="11" customFormat="1">
      <c r="A555" s="50"/>
      <c r="B555" s="50"/>
      <c r="C555" s="41" t="s">
        <v>1360</v>
      </c>
      <c r="D555" s="41"/>
      <c r="E555" s="41"/>
    </row>
    <row r="556" spans="1:5" s="11" customFormat="1">
      <c r="A556" s="50"/>
      <c r="B556" s="50"/>
      <c r="C556" s="41" t="s">
        <v>1361</v>
      </c>
      <c r="D556" s="41"/>
      <c r="E556" s="41"/>
    </row>
    <row r="557" spans="1:5" s="11" customFormat="1">
      <c r="A557" s="50"/>
      <c r="B557" s="50"/>
      <c r="C557" s="41" t="s">
        <v>1362</v>
      </c>
      <c r="D557" s="41"/>
      <c r="E557" s="41"/>
    </row>
    <row r="558" spans="1:5" s="11" customFormat="1">
      <c r="A558" s="50"/>
      <c r="B558" s="50"/>
      <c r="C558" s="41" t="s">
        <v>1363</v>
      </c>
      <c r="D558" s="41"/>
      <c r="E558" s="41"/>
    </row>
    <row r="559" spans="1:5" s="11" customFormat="1">
      <c r="A559" s="50"/>
      <c r="B559" s="50"/>
      <c r="C559" s="41" t="s">
        <v>1364</v>
      </c>
      <c r="D559" s="41"/>
      <c r="E559" s="41"/>
    </row>
    <row r="560" spans="1:5" s="11" customFormat="1">
      <c r="A560" s="50"/>
      <c r="B560" s="50"/>
      <c r="C560" s="41" t="s">
        <v>1365</v>
      </c>
      <c r="D560" s="41"/>
      <c r="E560" s="41"/>
    </row>
    <row r="561" spans="1:5" s="11" customFormat="1">
      <c r="A561" s="50"/>
      <c r="B561" s="50"/>
      <c r="C561" s="41" t="s">
        <v>1366</v>
      </c>
      <c r="D561" s="41"/>
      <c r="E561" s="41"/>
    </row>
    <row r="562" spans="1:5" s="11" customFormat="1">
      <c r="A562" s="50"/>
      <c r="B562" s="50"/>
      <c r="C562" s="41" t="s">
        <v>1367</v>
      </c>
      <c r="D562" s="41"/>
      <c r="E562" s="41"/>
    </row>
    <row r="563" spans="1:5" s="11" customFormat="1">
      <c r="A563" s="50"/>
      <c r="B563" s="50"/>
      <c r="C563" s="41" t="s">
        <v>1368</v>
      </c>
      <c r="D563" s="41"/>
      <c r="E563" s="41"/>
    </row>
    <row r="564" spans="1:5" s="11" customFormat="1">
      <c r="A564" s="50"/>
      <c r="B564" s="50"/>
      <c r="C564" s="41" t="s">
        <v>1369</v>
      </c>
      <c r="D564" s="41"/>
      <c r="E564" s="41"/>
    </row>
    <row r="565" spans="1:5" s="11" customFormat="1">
      <c r="A565" s="50"/>
      <c r="B565" s="50"/>
      <c r="C565" s="41" t="s">
        <v>1370</v>
      </c>
      <c r="D565" s="41"/>
      <c r="E565" s="41"/>
    </row>
    <row r="566" spans="1:5" s="11" customFormat="1">
      <c r="A566" s="50"/>
      <c r="B566" s="50"/>
      <c r="C566" s="41" t="s">
        <v>1371</v>
      </c>
      <c r="D566" s="41"/>
      <c r="E566" s="41"/>
    </row>
    <row r="567" spans="1:5" s="11" customFormat="1">
      <c r="A567" s="50"/>
      <c r="B567" s="50"/>
      <c r="C567" s="41" t="s">
        <v>1372</v>
      </c>
      <c r="D567" s="41"/>
      <c r="E567" s="41"/>
    </row>
    <row r="568" spans="1:5" s="11" customFormat="1">
      <c r="A568" s="50"/>
      <c r="B568" s="50"/>
      <c r="C568" s="41" t="s">
        <v>1373</v>
      </c>
      <c r="D568" s="41"/>
      <c r="E568" s="41"/>
    </row>
    <row r="569" spans="1:5" s="11" customFormat="1">
      <c r="A569" s="50"/>
      <c r="B569" s="50"/>
      <c r="C569" s="41" t="s">
        <v>1374</v>
      </c>
      <c r="D569" s="41"/>
      <c r="E569" s="41"/>
    </row>
    <row r="570" spans="1:5" s="11" customFormat="1">
      <c r="A570" s="50"/>
      <c r="B570" s="50"/>
      <c r="C570" s="41" t="s">
        <v>1375</v>
      </c>
      <c r="D570" s="41"/>
      <c r="E570" s="41"/>
    </row>
    <row r="571" spans="1:5" s="11" customFormat="1">
      <c r="A571" s="50"/>
      <c r="B571" s="50"/>
      <c r="C571" s="41" t="s">
        <v>1376</v>
      </c>
      <c r="D571" s="41"/>
      <c r="E571" s="41"/>
    </row>
    <row r="572" spans="1:5" s="11" customFormat="1">
      <c r="A572" s="50"/>
      <c r="B572" s="50"/>
      <c r="C572" s="41" t="s">
        <v>1377</v>
      </c>
      <c r="D572" s="41"/>
      <c r="E572" s="41"/>
    </row>
    <row r="573" spans="1:5" s="11" customFormat="1">
      <c r="A573" s="50"/>
      <c r="B573" s="50"/>
      <c r="C573" s="41" t="s">
        <v>1378</v>
      </c>
      <c r="D573" s="41"/>
      <c r="E573" s="41"/>
    </row>
    <row r="574" spans="1:5" s="11" customFormat="1">
      <c r="A574" s="50"/>
      <c r="B574" s="50"/>
      <c r="C574" s="41" t="s">
        <v>1379</v>
      </c>
      <c r="D574" s="41"/>
      <c r="E574" s="41"/>
    </row>
    <row r="575" spans="1:5" s="11" customFormat="1">
      <c r="A575" s="50"/>
      <c r="B575" s="50"/>
      <c r="C575" s="41" t="s">
        <v>1380</v>
      </c>
      <c r="D575" s="41"/>
      <c r="E575" s="41"/>
    </row>
    <row r="576" spans="1:5" s="11" customFormat="1">
      <c r="A576" s="50"/>
      <c r="B576" s="50"/>
      <c r="C576" s="41" t="s">
        <v>1381</v>
      </c>
      <c r="D576" s="41"/>
      <c r="E576" s="41"/>
    </row>
    <row r="577" spans="1:6">
      <c r="A577" s="50"/>
      <c r="B577" s="50"/>
      <c r="C577" s="41" t="s">
        <v>1382</v>
      </c>
      <c r="D577" s="41"/>
      <c r="E577" s="41"/>
      <c r="F577" s="11"/>
    </row>
    <row r="578" spans="1:6">
      <c r="A578" s="50"/>
      <c r="B578" s="50"/>
      <c r="C578" s="41" t="s">
        <v>1383</v>
      </c>
      <c r="D578" s="41"/>
      <c r="E578" s="41"/>
      <c r="F578" s="11" t="s">
        <v>840</v>
      </c>
    </row>
    <row r="579" spans="1:6">
      <c r="A579" s="50"/>
      <c r="B579" s="50"/>
      <c r="C579" s="41" t="s">
        <v>1384</v>
      </c>
      <c r="D579" s="41"/>
      <c r="E579" s="41"/>
      <c r="F579" s="11" t="s">
        <v>840</v>
      </c>
    </row>
    <row r="580" spans="1:6">
      <c r="A580" s="50"/>
      <c r="B580" s="50"/>
      <c r="C580" s="41" t="s">
        <v>1385</v>
      </c>
      <c r="D580" s="41"/>
      <c r="E580" s="41"/>
      <c r="F580" s="11"/>
    </row>
    <row r="581" spans="1:6">
      <c r="A581" s="50"/>
      <c r="B581" s="50"/>
      <c r="C581" s="41" t="s">
        <v>1386</v>
      </c>
      <c r="D581" s="41"/>
      <c r="E581" s="41"/>
      <c r="F581" s="11"/>
    </row>
    <row r="582" spans="1:6">
      <c r="A582" s="50"/>
      <c r="B582" s="50"/>
      <c r="C582" s="41" t="s">
        <v>1387</v>
      </c>
      <c r="D582" s="41"/>
      <c r="E582" s="41"/>
      <c r="F582" s="11"/>
    </row>
    <row r="583" spans="1:6">
      <c r="A583" s="50"/>
      <c r="B583" s="50"/>
      <c r="C583" s="41" t="s">
        <v>1388</v>
      </c>
      <c r="D583" s="41"/>
      <c r="E583" s="41"/>
      <c r="F583" s="11"/>
    </row>
    <row r="584" spans="1:6">
      <c r="A584" s="50"/>
      <c r="B584" s="50"/>
      <c r="C584" s="41" t="s">
        <v>1389</v>
      </c>
      <c r="D584" s="41"/>
      <c r="E584" s="41"/>
      <c r="F584" s="11"/>
    </row>
    <row r="585" spans="1:6">
      <c r="A585" s="50"/>
      <c r="B585" s="50"/>
      <c r="C585" s="41" t="s">
        <v>1390</v>
      </c>
      <c r="D585" s="41"/>
      <c r="E585" s="41"/>
      <c r="F585" s="11"/>
    </row>
    <row r="586" spans="1:6">
      <c r="A586" s="50"/>
      <c r="B586" s="50"/>
      <c r="C586" s="41" t="s">
        <v>1391</v>
      </c>
      <c r="D586" s="41"/>
      <c r="E586" s="41"/>
      <c r="F586" s="11"/>
    </row>
    <row r="587" spans="1:6">
      <c r="A587" s="50"/>
      <c r="B587" s="50"/>
      <c r="C587" s="41" t="s">
        <v>1392</v>
      </c>
      <c r="D587" s="41"/>
      <c r="E587" s="41"/>
      <c r="F587" s="11"/>
    </row>
    <row r="588" spans="1:6">
      <c r="A588" s="50"/>
      <c r="B588" s="50"/>
      <c r="C588" s="41" t="s">
        <v>1393</v>
      </c>
      <c r="D588" s="41"/>
      <c r="E588" s="41"/>
      <c r="F588" s="11"/>
    </row>
    <row r="589" spans="1:6">
      <c r="A589" s="51"/>
      <c r="B589" s="51"/>
      <c r="C589" s="41" t="s">
        <v>1394</v>
      </c>
      <c r="D589" s="41"/>
      <c r="E589" s="41"/>
      <c r="F589" s="11"/>
    </row>
    <row r="590" spans="1:6">
      <c r="A590" s="48"/>
      <c r="B590" s="108" t="s">
        <v>713</v>
      </c>
      <c r="C590" s="39" t="s">
        <v>1395</v>
      </c>
      <c r="D590" s="108" t="s">
        <v>713</v>
      </c>
      <c r="E590" s="39"/>
      <c r="F590" s="11"/>
    </row>
    <row r="591" spans="1:6">
      <c r="A591" s="48"/>
      <c r="B591" s="108"/>
      <c r="C591" s="39" t="s">
        <v>1396</v>
      </c>
      <c r="D591" s="39"/>
      <c r="E591" s="39"/>
      <c r="F591" s="11"/>
    </row>
    <row r="592" spans="1:6">
      <c r="A592" s="48"/>
      <c r="B592" s="108"/>
      <c r="C592" s="39" t="s">
        <v>215</v>
      </c>
      <c r="D592" s="39"/>
      <c r="E592" s="39"/>
      <c r="F592" s="11"/>
    </row>
    <row r="593" spans="1:6">
      <c r="A593" s="52"/>
      <c r="B593" s="58" t="s">
        <v>113</v>
      </c>
      <c r="C593" s="41" t="s">
        <v>243</v>
      </c>
      <c r="D593" s="41" t="s">
        <v>943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333</v>
      </c>
      <c r="C595" s="39" t="s">
        <v>1397</v>
      </c>
      <c r="D595" s="103" t="s">
        <v>333</v>
      </c>
      <c r="E595" s="39"/>
      <c r="F595" s="11"/>
    </row>
    <row r="596" spans="1:6">
      <c r="A596" s="48"/>
      <c r="B596" s="48"/>
      <c r="C596" s="39" t="s">
        <v>399</v>
      </c>
      <c r="D596" s="39"/>
      <c r="E596" s="39"/>
      <c r="F596" s="11"/>
    </row>
    <row r="597" spans="1:6">
      <c r="A597" s="48"/>
      <c r="B597" s="48"/>
      <c r="C597" s="39" t="s">
        <v>1398</v>
      </c>
      <c r="D597" s="39"/>
      <c r="E597" s="39"/>
      <c r="F597" s="11"/>
    </row>
    <row r="598" spans="1:6">
      <c r="A598" s="48"/>
      <c r="B598" s="48"/>
      <c r="C598" s="39" t="s">
        <v>1399</v>
      </c>
      <c r="D598" s="39"/>
      <c r="E598" s="39"/>
      <c r="F598" s="11"/>
    </row>
    <row r="599" spans="1:6">
      <c r="A599" s="48"/>
      <c r="B599" s="48"/>
      <c r="C599" s="39" t="s">
        <v>571</v>
      </c>
      <c r="D599" s="39"/>
      <c r="E599" s="39"/>
      <c r="F599" s="11"/>
    </row>
    <row r="600" spans="1:6">
      <c r="A600" s="48"/>
      <c r="B600" s="48"/>
      <c r="C600" s="39" t="s">
        <v>1400</v>
      </c>
      <c r="D600" s="39"/>
      <c r="E600" s="39"/>
      <c r="F600" s="11"/>
    </row>
    <row r="601" spans="1:6">
      <c r="A601" s="48"/>
      <c r="B601" s="48"/>
      <c r="C601" s="39" t="s">
        <v>422</v>
      </c>
      <c r="D601" s="39"/>
      <c r="E601" s="39"/>
      <c r="F601" s="11"/>
    </row>
    <row r="602" spans="1:6">
      <c r="A602" s="48"/>
      <c r="B602" s="48"/>
      <c r="C602" s="39" t="s">
        <v>393</v>
      </c>
      <c r="D602" s="39"/>
      <c r="E602" s="39"/>
      <c r="F602" s="11"/>
    </row>
    <row r="603" spans="1:6">
      <c r="A603" s="48"/>
      <c r="B603" s="48"/>
      <c r="C603" s="39" t="s">
        <v>1401</v>
      </c>
      <c r="D603" s="39"/>
      <c r="E603" s="39"/>
      <c r="F603" s="11"/>
    </row>
    <row r="604" spans="1:6">
      <c r="A604" s="48"/>
      <c r="B604" s="48"/>
      <c r="C604" s="39" t="s">
        <v>566</v>
      </c>
      <c r="D604" s="39"/>
      <c r="E604" s="39"/>
      <c r="F604" s="11"/>
    </row>
    <row r="605" spans="1:6">
      <c r="A605" s="48"/>
      <c r="B605" s="48"/>
      <c r="C605" s="39" t="s">
        <v>1402</v>
      </c>
      <c r="D605" s="39"/>
      <c r="E605" s="39"/>
      <c r="F605" s="11"/>
    </row>
    <row r="606" spans="1:6">
      <c r="A606" s="48"/>
      <c r="B606" s="48"/>
      <c r="C606" s="39" t="s">
        <v>1403</v>
      </c>
      <c r="D606" s="39"/>
      <c r="E606" s="39"/>
      <c r="F606" s="11"/>
    </row>
    <row r="607" spans="1:6">
      <c r="A607" s="48"/>
      <c r="B607" s="48"/>
      <c r="C607" s="39" t="s">
        <v>1404</v>
      </c>
      <c r="D607" s="39"/>
      <c r="E607" s="39"/>
      <c r="F607" s="11"/>
    </row>
    <row r="608" spans="1:6">
      <c r="A608" s="48"/>
      <c r="B608" s="48"/>
      <c r="C608" s="39" t="s">
        <v>407</v>
      </c>
      <c r="D608" s="39"/>
      <c r="E608" s="39"/>
      <c r="F608" s="11"/>
    </row>
    <row r="609" spans="1:5" s="11" customFormat="1">
      <c r="A609" s="48"/>
      <c r="B609" s="48"/>
      <c r="C609" s="39" t="s">
        <v>1405</v>
      </c>
      <c r="D609" s="39"/>
      <c r="E609" s="39"/>
    </row>
    <row r="610" spans="1:5" s="11" customFormat="1">
      <c r="A610" s="48"/>
      <c r="B610" s="48"/>
      <c r="C610" s="39" t="s">
        <v>357</v>
      </c>
      <c r="D610" s="39"/>
      <c r="E610" s="39"/>
    </row>
    <row r="611" spans="1:5" s="11" customFormat="1">
      <c r="A611" s="48"/>
      <c r="B611" s="48"/>
      <c r="C611" s="39" t="s">
        <v>1406</v>
      </c>
      <c r="D611" s="39"/>
      <c r="E611" s="39"/>
    </row>
    <row r="612" spans="1:5" s="11" customFormat="1">
      <c r="A612" s="48"/>
      <c r="B612" s="48"/>
      <c r="C612" s="39" t="s">
        <v>374</v>
      </c>
      <c r="D612" s="39"/>
      <c r="E612" s="39"/>
    </row>
    <row r="613" spans="1:5" s="11" customFormat="1">
      <c r="A613" s="48"/>
      <c r="B613" s="48"/>
      <c r="C613" s="39" t="s">
        <v>1407</v>
      </c>
      <c r="D613" s="39"/>
      <c r="E613" s="39"/>
    </row>
    <row r="614" spans="1:5" s="11" customFormat="1">
      <c r="A614" s="48"/>
      <c r="B614" s="48"/>
      <c r="C614" s="39" t="s">
        <v>341</v>
      </c>
      <c r="D614" s="39"/>
      <c r="E614" s="39"/>
    </row>
    <row r="615" spans="1:5" s="11" customFormat="1">
      <c r="A615" s="48"/>
      <c r="B615" s="48"/>
      <c r="C615" s="39" t="s">
        <v>1408</v>
      </c>
      <c r="D615" s="39"/>
      <c r="E615" s="39"/>
    </row>
    <row r="616" spans="1:5" s="11" customFormat="1">
      <c r="A616" s="48"/>
      <c r="B616" s="48"/>
      <c r="C616" s="39" t="s">
        <v>349</v>
      </c>
      <c r="D616" s="39"/>
      <c r="E616" s="39"/>
    </row>
    <row r="617" spans="1:5" s="11" customFormat="1">
      <c r="A617" s="48"/>
      <c r="B617" s="48"/>
      <c r="C617" s="39" t="s">
        <v>1409</v>
      </c>
      <c r="D617" s="39"/>
      <c r="E617" s="39"/>
    </row>
    <row r="618" spans="1:5" s="11" customFormat="1">
      <c r="A618" s="48"/>
      <c r="B618" s="48"/>
      <c r="C618" s="39" t="s">
        <v>1410</v>
      </c>
      <c r="D618" s="39"/>
      <c r="E618" s="39"/>
    </row>
    <row r="619" spans="1:5" s="11" customFormat="1">
      <c r="A619" s="48"/>
      <c r="B619" s="48"/>
      <c r="C619" s="39" t="s">
        <v>1411</v>
      </c>
      <c r="D619" s="39"/>
      <c r="E619" s="39"/>
    </row>
    <row r="620" spans="1:5" s="11" customFormat="1">
      <c r="A620" s="48"/>
      <c r="B620" s="48"/>
      <c r="C620" s="39" t="s">
        <v>1412</v>
      </c>
      <c r="D620" s="39"/>
      <c r="E620" s="39"/>
    </row>
    <row r="621" spans="1:5" s="11" customFormat="1">
      <c r="A621" s="48"/>
      <c r="B621" s="48"/>
      <c r="C621" s="39" t="s">
        <v>1413</v>
      </c>
      <c r="D621" s="39"/>
      <c r="E621" s="39"/>
    </row>
    <row r="622" spans="1:5" s="11" customFormat="1">
      <c r="A622" s="48"/>
      <c r="B622" s="48"/>
      <c r="C622" s="39" t="s">
        <v>1414</v>
      </c>
      <c r="D622" s="39"/>
      <c r="E622" s="39"/>
    </row>
    <row r="623" spans="1:5" s="11" customFormat="1">
      <c r="A623" s="48"/>
      <c r="B623" s="48"/>
      <c r="C623" s="39" t="s">
        <v>1415</v>
      </c>
      <c r="D623" s="39"/>
      <c r="E623" s="39"/>
    </row>
    <row r="624" spans="1:5" s="11" customFormat="1">
      <c r="A624" s="48"/>
      <c r="B624" s="48"/>
      <c r="C624" s="39" t="s">
        <v>363</v>
      </c>
      <c r="D624" s="39"/>
      <c r="E624" s="39"/>
    </row>
    <row r="625" spans="1:6">
      <c r="A625" s="48"/>
      <c r="B625" s="48"/>
      <c r="C625" s="39" t="s">
        <v>1416</v>
      </c>
      <c r="D625" s="39"/>
      <c r="E625" s="39"/>
      <c r="F625" s="11" t="s">
        <v>840</v>
      </c>
    </row>
    <row r="626" spans="1:6">
      <c r="A626" s="52"/>
      <c r="B626" s="52" t="s">
        <v>771</v>
      </c>
      <c r="C626" s="41" t="s">
        <v>1417</v>
      </c>
      <c r="D626" s="52" t="s">
        <v>771</v>
      </c>
      <c r="E626" s="41"/>
      <c r="F626" s="11"/>
    </row>
    <row r="627" spans="1:6">
      <c r="A627" s="53"/>
      <c r="B627" s="53"/>
      <c r="C627" s="41" t="s">
        <v>1418</v>
      </c>
      <c r="D627" s="41"/>
      <c r="E627" s="41"/>
      <c r="F627" s="11"/>
    </row>
    <row r="628" spans="1:6">
      <c r="A628" s="53"/>
      <c r="B628" s="53"/>
      <c r="C628" s="41" t="s">
        <v>1419</v>
      </c>
      <c r="D628" s="41"/>
      <c r="E628" s="41"/>
      <c r="F628" s="11"/>
    </row>
    <row r="629" spans="1:6">
      <c r="A629" s="53"/>
      <c r="B629" s="53"/>
      <c r="C629" s="41" t="s">
        <v>1420</v>
      </c>
      <c r="D629" s="41"/>
      <c r="E629" s="41"/>
      <c r="F629" s="11"/>
    </row>
    <row r="630" spans="1:6">
      <c r="A630" s="53"/>
      <c r="B630" s="53"/>
      <c r="C630" s="41" t="s">
        <v>1421</v>
      </c>
      <c r="D630" s="41"/>
      <c r="E630" s="41"/>
      <c r="F630" s="11" t="s">
        <v>840</v>
      </c>
    </row>
    <row r="631" spans="1:6">
      <c r="A631" s="53"/>
      <c r="B631" s="53"/>
      <c r="C631" s="41" t="s">
        <v>1422</v>
      </c>
      <c r="D631" s="41"/>
      <c r="E631" s="41"/>
      <c r="F631" s="11"/>
    </row>
    <row r="632" spans="1:6">
      <c r="A632" s="53"/>
      <c r="B632" s="53"/>
      <c r="C632" s="41" t="s">
        <v>1423</v>
      </c>
      <c r="D632" s="41"/>
      <c r="E632" s="41"/>
      <c r="F632" s="11"/>
    </row>
    <row r="633" spans="1:6">
      <c r="A633" s="53"/>
      <c r="B633" s="53"/>
      <c r="C633" s="41" t="s">
        <v>270</v>
      </c>
      <c r="D633" s="41"/>
      <c r="E633" s="41"/>
      <c r="F633" s="11"/>
    </row>
    <row r="634" spans="1:6">
      <c r="A634" s="53"/>
      <c r="B634" s="53"/>
      <c r="C634" s="41" t="s">
        <v>1424</v>
      </c>
      <c r="D634" s="41"/>
      <c r="E634" s="41"/>
      <c r="F634" s="11"/>
    </row>
    <row r="635" spans="1:6">
      <c r="A635" s="53"/>
      <c r="B635" s="53"/>
      <c r="C635" s="41" t="s">
        <v>1425</v>
      </c>
      <c r="D635" s="41"/>
      <c r="E635" s="41"/>
      <c r="F635" s="11"/>
    </row>
    <row r="636" spans="1:6">
      <c r="A636" s="53"/>
      <c r="B636" s="53"/>
      <c r="C636" s="41" t="s">
        <v>1426</v>
      </c>
      <c r="D636" s="41"/>
      <c r="E636" s="41"/>
      <c r="F636" s="11"/>
    </row>
    <row r="637" spans="1:6">
      <c r="A637" s="54"/>
      <c r="B637" s="54"/>
      <c r="C637" s="41" t="s">
        <v>215</v>
      </c>
      <c r="D637" s="41"/>
      <c r="E637" s="41"/>
      <c r="F637" s="11"/>
    </row>
    <row r="638" spans="1:6">
      <c r="A638" s="48"/>
      <c r="B638" s="108" t="s">
        <v>772</v>
      </c>
      <c r="C638" s="39" t="s">
        <v>1427</v>
      </c>
      <c r="D638" s="108" t="s">
        <v>772</v>
      </c>
      <c r="E638" s="39" t="s">
        <v>1428</v>
      </c>
      <c r="F638" s="11"/>
    </row>
    <row r="639" spans="1:6">
      <c r="A639" s="48"/>
      <c r="B639" s="108"/>
      <c r="C639" s="39" t="s">
        <v>1429</v>
      </c>
      <c r="D639" s="39"/>
      <c r="E639" s="39" t="s">
        <v>1430</v>
      </c>
      <c r="F639" s="11"/>
    </row>
    <row r="640" spans="1:6">
      <c r="A640" s="48"/>
      <c r="B640" s="108"/>
      <c r="C640" s="39" t="s">
        <v>1431</v>
      </c>
      <c r="D640" s="39"/>
      <c r="E640" s="39" t="s">
        <v>1432</v>
      </c>
      <c r="F640" s="11"/>
    </row>
    <row r="641" spans="1:5" s="11" customFormat="1">
      <c r="A641" s="48"/>
      <c r="B641" s="108"/>
      <c r="C641" s="39" t="s">
        <v>1433</v>
      </c>
      <c r="D641" s="39"/>
      <c r="E641" s="39" t="s">
        <v>1434</v>
      </c>
    </row>
    <row r="642" spans="1:5" s="11" customFormat="1">
      <c r="A642" s="48"/>
      <c r="B642" s="108"/>
      <c r="C642" s="39" t="s">
        <v>1435</v>
      </c>
      <c r="D642" s="39"/>
      <c r="E642" s="39" t="s">
        <v>1436</v>
      </c>
    </row>
    <row r="643" spans="1:5" s="11" customFormat="1">
      <c r="A643" s="48"/>
      <c r="B643" s="108"/>
      <c r="C643" s="39" t="s">
        <v>1437</v>
      </c>
      <c r="D643" s="39"/>
      <c r="E643" s="39" t="s">
        <v>1438</v>
      </c>
    </row>
    <row r="644" spans="1:5" s="11" customFormat="1">
      <c r="A644" s="48"/>
      <c r="B644" s="108"/>
      <c r="C644" s="39" t="s">
        <v>1439</v>
      </c>
      <c r="D644" s="39"/>
      <c r="E644" s="39" t="s">
        <v>1440</v>
      </c>
    </row>
    <row r="645" spans="1:5" s="11" customFormat="1">
      <c r="A645" s="48"/>
      <c r="B645" s="108"/>
      <c r="C645" s="39" t="s">
        <v>1441</v>
      </c>
      <c r="D645" s="39"/>
      <c r="E645" s="39" t="s">
        <v>1441</v>
      </c>
    </row>
    <row r="646" spans="1:5" s="11" customFormat="1">
      <c r="A646" s="48"/>
      <c r="B646" s="108"/>
      <c r="C646" s="39" t="s">
        <v>215</v>
      </c>
      <c r="D646" s="39"/>
      <c r="E646" s="39"/>
    </row>
    <row r="647" spans="1:5" s="11" customFormat="1">
      <c r="A647" s="55"/>
      <c r="B647" s="55" t="s">
        <v>775</v>
      </c>
      <c r="C647" s="41" t="s">
        <v>1442</v>
      </c>
      <c r="D647" s="55" t="s">
        <v>775</v>
      </c>
      <c r="E647" s="41" t="s">
        <v>1443</v>
      </c>
    </row>
    <row r="648" spans="1:5" s="11" customFormat="1">
      <c r="A648" s="56"/>
      <c r="B648" s="56"/>
      <c r="C648" s="41" t="s">
        <v>779</v>
      </c>
      <c r="D648" s="41"/>
      <c r="E648" s="41" t="s">
        <v>1444</v>
      </c>
    </row>
    <row r="649" spans="1:5" s="11" customFormat="1">
      <c r="A649" s="56"/>
      <c r="B649" s="56"/>
      <c r="C649" s="41" t="s">
        <v>1445</v>
      </c>
      <c r="D649" s="41"/>
      <c r="E649" s="41" t="s">
        <v>1446</v>
      </c>
    </row>
    <row r="650" spans="1:5" s="11" customFormat="1">
      <c r="A650" s="56"/>
      <c r="B650" s="56"/>
      <c r="C650" s="41" t="s">
        <v>1447</v>
      </c>
      <c r="D650" s="41"/>
      <c r="E650" s="41" t="s">
        <v>1448</v>
      </c>
    </row>
    <row r="651" spans="1:5" s="11" customFormat="1">
      <c r="A651" s="56"/>
      <c r="B651" s="56"/>
      <c r="C651" s="41" t="s">
        <v>1449</v>
      </c>
      <c r="D651" s="41"/>
      <c r="E651" s="41"/>
    </row>
    <row r="652" spans="1:5" s="11" customFormat="1">
      <c r="A652" s="57"/>
      <c r="B652" s="57"/>
      <c r="C652" s="41" t="s">
        <v>215</v>
      </c>
      <c r="D652" s="41"/>
      <c r="E652" s="41"/>
    </row>
    <row r="653" spans="1:5" s="11" customFormat="1">
      <c r="A653" s="48"/>
      <c r="B653" s="108" t="s">
        <v>114</v>
      </c>
      <c r="C653" s="39" t="s">
        <v>244</v>
      </c>
      <c r="D653" s="108" t="s">
        <v>114</v>
      </c>
      <c r="E653" s="39"/>
    </row>
    <row r="654" spans="1:5" s="11" customFormat="1">
      <c r="A654" s="48"/>
      <c r="B654" s="108"/>
      <c r="C654" s="39" t="s">
        <v>344</v>
      </c>
      <c r="D654" s="39"/>
      <c r="E654" s="39"/>
    </row>
    <row r="655" spans="1:5" s="11" customFormat="1">
      <c r="A655" s="48"/>
      <c r="B655" s="108"/>
      <c r="C655" s="39" t="s">
        <v>132</v>
      </c>
      <c r="D655" s="39"/>
      <c r="E655" s="39"/>
    </row>
    <row r="656" spans="1:5" s="11" customFormat="1">
      <c r="A656" s="48"/>
      <c r="B656" s="108"/>
      <c r="C656" s="39" t="s">
        <v>365</v>
      </c>
      <c r="D656" s="39"/>
      <c r="E656" s="39"/>
    </row>
    <row r="657" spans="1:5" s="11" customFormat="1">
      <c r="A657" s="48"/>
      <c r="B657" s="108"/>
      <c r="C657" s="39" t="s">
        <v>215</v>
      </c>
      <c r="D657" s="39"/>
      <c r="E657" s="39"/>
    </row>
    <row r="658" spans="1:5" s="11" customFormat="1">
      <c r="A658" s="55"/>
      <c r="B658" s="55" t="s">
        <v>115</v>
      </c>
      <c r="C658" s="41" t="s">
        <v>245</v>
      </c>
      <c r="D658" s="55" t="s">
        <v>115</v>
      </c>
      <c r="E658" s="41"/>
    </row>
    <row r="659" spans="1:5" s="11" customFormat="1">
      <c r="A659" s="56"/>
      <c r="B659" s="56"/>
      <c r="C659" s="41" t="s">
        <v>133</v>
      </c>
      <c r="D659" s="41"/>
      <c r="E659" s="41"/>
    </row>
    <row r="660" spans="1:5" s="11" customFormat="1">
      <c r="A660" s="48"/>
      <c r="B660" s="108" t="s">
        <v>105</v>
      </c>
      <c r="C660" s="39" t="s">
        <v>135</v>
      </c>
      <c r="D660" s="108" t="s">
        <v>105</v>
      </c>
      <c r="E660" s="39"/>
    </row>
    <row r="661" spans="1:5" s="11" customFormat="1">
      <c r="A661" s="48"/>
      <c r="B661" s="108"/>
      <c r="C661" s="39" t="s">
        <v>1450</v>
      </c>
      <c r="D661" s="39"/>
      <c r="E661" s="39"/>
    </row>
    <row r="662" spans="1:5" s="11" customFormat="1">
      <c r="A662" s="55"/>
      <c r="B662" s="55" t="s">
        <v>656</v>
      </c>
      <c r="C662" s="41" t="s">
        <v>1451</v>
      </c>
      <c r="D662" s="41" t="s">
        <v>1452</v>
      </c>
      <c r="E662" s="41"/>
    </row>
    <row r="663" spans="1:5" s="11" customFormat="1">
      <c r="A663" s="56"/>
      <c r="B663" s="56"/>
      <c r="C663" s="41" t="s">
        <v>1453</v>
      </c>
      <c r="D663" s="41"/>
      <c r="E663" s="41"/>
    </row>
    <row r="664" spans="1:5" s="11" customFormat="1">
      <c r="A664" s="56"/>
      <c r="B664" s="56"/>
      <c r="C664" s="41" t="s">
        <v>1454</v>
      </c>
      <c r="D664" s="41"/>
      <c r="E664" s="41"/>
    </row>
    <row r="665" spans="1:5" s="11" customFormat="1">
      <c r="A665" s="56"/>
      <c r="B665" s="56"/>
      <c r="C665" s="41" t="s">
        <v>1455</v>
      </c>
      <c r="D665" s="41"/>
      <c r="E665" s="41"/>
    </row>
    <row r="666" spans="1:5" s="11" customFormat="1">
      <c r="A666" s="56"/>
      <c r="B666" s="56"/>
      <c r="C666" s="41" t="s">
        <v>1456</v>
      </c>
      <c r="D666" s="41"/>
      <c r="E666" s="41"/>
    </row>
    <row r="667" spans="1:5" s="11" customFormat="1">
      <c r="A667" s="56"/>
      <c r="B667" s="56"/>
      <c r="C667" s="41" t="s">
        <v>1457</v>
      </c>
      <c r="D667" s="41"/>
      <c r="E667" s="41"/>
    </row>
    <row r="668" spans="1:5" s="11" customFormat="1">
      <c r="A668" s="56"/>
      <c r="B668" s="56"/>
      <c r="C668" s="41" t="s">
        <v>215</v>
      </c>
      <c r="D668" s="41"/>
      <c r="E668" s="41"/>
    </row>
    <row r="669" spans="1:5" s="11" customFormat="1">
      <c r="A669" s="57"/>
      <c r="B669" s="57"/>
      <c r="C669" s="41" t="s">
        <v>675</v>
      </c>
      <c r="D669" s="41"/>
      <c r="E669" s="41"/>
    </row>
    <row r="670" spans="1:5" s="11" customFormat="1">
      <c r="A670" s="48"/>
      <c r="B670" s="108" t="s">
        <v>657</v>
      </c>
      <c r="C670" s="39" t="s">
        <v>676</v>
      </c>
      <c r="D670" s="108" t="s">
        <v>657</v>
      </c>
      <c r="E670" s="39"/>
    </row>
    <row r="671" spans="1:5" s="11" customFormat="1">
      <c r="A671" s="48"/>
      <c r="B671" s="108"/>
      <c r="C671" s="39" t="s">
        <v>1458</v>
      </c>
      <c r="D671" s="39"/>
      <c r="E671" s="39"/>
    </row>
    <row r="672" spans="1:5" s="11" customFormat="1">
      <c r="A672" s="55"/>
      <c r="B672" s="55" t="s">
        <v>111</v>
      </c>
      <c r="C672" s="41" t="s">
        <v>1459</v>
      </c>
      <c r="D672" s="55" t="s">
        <v>111</v>
      </c>
      <c r="E672" s="41"/>
    </row>
    <row r="673" spans="1:5" s="11" customFormat="1">
      <c r="A673" s="56"/>
      <c r="B673" s="56"/>
      <c r="C673" s="41" t="s">
        <v>1460</v>
      </c>
      <c r="D673" s="41"/>
      <c r="E673" s="41"/>
    </row>
    <row r="674" spans="1:5" s="11" customFormat="1">
      <c r="A674" s="56"/>
      <c r="B674" s="56"/>
      <c r="C674" s="41" t="s">
        <v>1461</v>
      </c>
      <c r="D674" s="41"/>
      <c r="E674" s="41"/>
    </row>
    <row r="675" spans="1:5" s="11" customFormat="1">
      <c r="A675" s="56"/>
      <c r="B675" s="56"/>
      <c r="C675" s="41" t="s">
        <v>1462</v>
      </c>
      <c r="D675" s="41"/>
      <c r="E675" s="41"/>
    </row>
    <row r="676" spans="1:5" s="11" customFormat="1">
      <c r="A676" s="56"/>
      <c r="B676" s="56"/>
      <c r="C676" s="41" t="s">
        <v>1463</v>
      </c>
      <c r="D676" s="41"/>
      <c r="E676" s="41"/>
    </row>
    <row r="677" spans="1:5" s="11" customFormat="1">
      <c r="A677" s="56"/>
      <c r="B677" s="56"/>
      <c r="C677" s="41" t="s">
        <v>1464</v>
      </c>
      <c r="D677" s="41"/>
      <c r="E677" s="41"/>
    </row>
    <row r="678" spans="1:5" s="11" customFormat="1">
      <c r="A678" s="56"/>
      <c r="B678" s="56"/>
      <c r="C678" s="41" t="s">
        <v>1465</v>
      </c>
      <c r="D678" s="41"/>
      <c r="E678" s="41"/>
    </row>
    <row r="679" spans="1:5" s="11" customFormat="1">
      <c r="A679" s="56"/>
      <c r="B679" s="56"/>
      <c r="C679" s="41" t="s">
        <v>1466</v>
      </c>
      <c r="D679" s="41"/>
      <c r="E679" s="41"/>
    </row>
    <row r="680" spans="1:5" s="11" customFormat="1">
      <c r="A680" s="56"/>
      <c r="B680" s="56"/>
      <c r="C680" s="41" t="s">
        <v>1467</v>
      </c>
      <c r="D680" s="41"/>
      <c r="E680" s="41"/>
    </row>
    <row r="681" spans="1:5" s="11" customFormat="1">
      <c r="A681" s="56"/>
      <c r="B681" s="56"/>
      <c r="C681" s="41" t="s">
        <v>1468</v>
      </c>
      <c r="D681" s="41"/>
      <c r="E681" s="41"/>
    </row>
    <row r="682" spans="1:5" s="11" customFormat="1">
      <c r="A682" s="56"/>
      <c r="B682" s="56"/>
      <c r="C682" s="41" t="s">
        <v>363</v>
      </c>
      <c r="D682" s="41"/>
      <c r="E682" s="41"/>
    </row>
    <row r="683" spans="1:5" s="11" customFormat="1">
      <c r="A683" s="56"/>
      <c r="B683" s="56"/>
      <c r="C683" s="41" t="s">
        <v>1469</v>
      </c>
      <c r="D683" s="41"/>
      <c r="E683" s="41"/>
    </row>
    <row r="684" spans="1:5" s="11" customFormat="1">
      <c r="A684" s="57"/>
      <c r="B684" s="57"/>
      <c r="C684" s="41" t="s">
        <v>675</v>
      </c>
      <c r="D684" s="41"/>
      <c r="E684" s="41"/>
    </row>
    <row r="685" spans="1:5" s="11" customFormat="1">
      <c r="A685" s="77"/>
      <c r="B685" s="77" t="s">
        <v>660</v>
      </c>
      <c r="C685" s="39" t="s">
        <v>1451</v>
      </c>
      <c r="D685" s="39" t="s">
        <v>1452</v>
      </c>
      <c r="E685" s="39"/>
    </row>
    <row r="686" spans="1:5" s="11" customFormat="1">
      <c r="A686" s="79"/>
      <c r="B686" s="79"/>
      <c r="C686" s="39" t="s">
        <v>1453</v>
      </c>
      <c r="D686" s="39"/>
      <c r="E686" s="39"/>
    </row>
    <row r="687" spans="1:5" s="11" customFormat="1">
      <c r="A687" s="79"/>
      <c r="B687" s="79"/>
      <c r="C687" s="39" t="s">
        <v>1454</v>
      </c>
      <c r="D687" s="39"/>
      <c r="E687" s="39"/>
    </row>
    <row r="688" spans="1:5" s="11" customFormat="1">
      <c r="A688" s="79"/>
      <c r="B688" s="79"/>
      <c r="C688" s="39" t="s">
        <v>1455</v>
      </c>
      <c r="D688" s="39"/>
      <c r="E688" s="39"/>
    </row>
    <row r="689" spans="1:5" s="11" customFormat="1">
      <c r="A689" s="79"/>
      <c r="B689" s="79"/>
      <c r="C689" s="39" t="s">
        <v>1456</v>
      </c>
      <c r="D689" s="39"/>
      <c r="E689" s="39"/>
    </row>
    <row r="690" spans="1:5" s="11" customFormat="1">
      <c r="A690" s="79"/>
      <c r="B690" s="79"/>
      <c r="C690" s="39" t="s">
        <v>1457</v>
      </c>
      <c r="D690" s="39"/>
      <c r="E690" s="39"/>
    </row>
    <row r="691" spans="1:5" s="11" customFormat="1">
      <c r="A691" s="79"/>
      <c r="B691" s="79"/>
      <c r="C691" s="39" t="s">
        <v>215</v>
      </c>
      <c r="D691" s="39"/>
      <c r="E691" s="39"/>
    </row>
    <row r="692" spans="1:5" s="11" customFormat="1">
      <c r="A692" s="79"/>
      <c r="B692" s="79"/>
      <c r="C692" s="39" t="s">
        <v>675</v>
      </c>
      <c r="D692" s="39"/>
      <c r="E692" s="39"/>
    </row>
    <row r="693" spans="1:5" s="11" customFormat="1">
      <c r="A693" s="55"/>
      <c r="B693" s="52" t="s">
        <v>658</v>
      </c>
      <c r="C693" s="41" t="s">
        <v>1470</v>
      </c>
      <c r="D693" s="52" t="s">
        <v>1471</v>
      </c>
      <c r="E693" s="41"/>
    </row>
    <row r="694" spans="1:5" s="11" customFormat="1">
      <c r="A694" s="56"/>
      <c r="B694" s="54"/>
      <c r="C694" s="41" t="s">
        <v>1472</v>
      </c>
      <c r="D694" s="41"/>
      <c r="E694" s="41"/>
    </row>
    <row r="695" spans="1:5" s="11" customFormat="1">
      <c r="A695" s="77"/>
      <c r="B695" s="77" t="s">
        <v>659</v>
      </c>
      <c r="C695" s="39" t="s">
        <v>677</v>
      </c>
      <c r="D695" s="77" t="s">
        <v>659</v>
      </c>
      <c r="E695" s="39"/>
    </row>
    <row r="696" spans="1:5" s="11" customFormat="1">
      <c r="A696" s="79"/>
      <c r="B696" s="79"/>
      <c r="C696" s="39" t="s">
        <v>1473</v>
      </c>
      <c r="D696" s="39"/>
      <c r="E696" s="39"/>
    </row>
    <row r="697" spans="1:5" s="11" customFormat="1">
      <c r="A697" s="55"/>
      <c r="B697" s="55" t="s">
        <v>652</v>
      </c>
      <c r="C697" s="41" t="s">
        <v>1474</v>
      </c>
      <c r="D697" s="55" t="s">
        <v>652</v>
      </c>
      <c r="E697" s="41"/>
    </row>
    <row r="698" spans="1:5" s="11" customFormat="1">
      <c r="A698" s="56"/>
      <c r="B698" s="56"/>
      <c r="C698" s="41" t="s">
        <v>1325</v>
      </c>
      <c r="D698" s="41"/>
      <c r="E698" s="41"/>
    </row>
    <row r="699" spans="1:5" s="11" customFormat="1">
      <c r="A699" s="56"/>
      <c r="B699" s="56"/>
      <c r="C699" s="41" t="s">
        <v>671</v>
      </c>
      <c r="D699" s="41"/>
      <c r="E699" s="41"/>
    </row>
    <row r="700" spans="1:5" s="11" customFormat="1">
      <c r="A700" s="56"/>
      <c r="B700" s="56"/>
      <c r="C700" s="41" t="s">
        <v>1475</v>
      </c>
      <c r="D700" s="41"/>
      <c r="E700" s="41"/>
    </row>
    <row r="701" spans="1:5" s="11" customFormat="1">
      <c r="A701" s="56"/>
      <c r="B701" s="56"/>
      <c r="C701" s="41" t="s">
        <v>1476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1477</v>
      </c>
      <c r="D703" s="41"/>
      <c r="E703" s="41"/>
    </row>
    <row r="704" spans="1:5" s="11" customFormat="1">
      <c r="A704" s="56"/>
      <c r="B704" s="56"/>
      <c r="C704" s="41" t="s">
        <v>1478</v>
      </c>
      <c r="D704" s="41"/>
      <c r="E704" s="41"/>
    </row>
    <row r="705" spans="1:6">
      <c r="A705" s="56"/>
      <c r="B705" s="56"/>
      <c r="C705" s="41" t="s">
        <v>215</v>
      </c>
      <c r="D705" s="41"/>
      <c r="E705" s="41"/>
      <c r="F705" s="11"/>
    </row>
    <row r="706" spans="1:6">
      <c r="A706" s="77"/>
      <c r="B706" s="77" t="s">
        <v>653</v>
      </c>
      <c r="C706" s="39" t="s">
        <v>1030</v>
      </c>
      <c r="D706" s="77" t="s">
        <v>653</v>
      </c>
      <c r="E706" s="39"/>
      <c r="F706" s="11"/>
    </row>
    <row r="707" spans="1:6">
      <c r="A707" s="79"/>
      <c r="B707" s="79"/>
      <c r="C707" s="39" t="s">
        <v>1032</v>
      </c>
      <c r="D707" s="39"/>
      <c r="E707" s="39"/>
      <c r="F707" s="11"/>
    </row>
    <row r="708" spans="1:6">
      <c r="A708" s="79"/>
      <c r="B708" s="79"/>
      <c r="C708" s="39" t="s">
        <v>1033</v>
      </c>
      <c r="D708" s="39"/>
      <c r="E708" s="39"/>
      <c r="F708" s="11"/>
    </row>
    <row r="709" spans="1:6">
      <c r="A709" s="79"/>
      <c r="B709" s="79"/>
      <c r="C709" s="39" t="s">
        <v>1034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1035</v>
      </c>
      <c r="D711" s="39"/>
      <c r="E711" s="39"/>
      <c r="F711" s="11"/>
    </row>
    <row r="712" spans="1:6">
      <c r="A712" s="79"/>
      <c r="B712" s="79"/>
      <c r="C712" s="39" t="s">
        <v>1036</v>
      </c>
      <c r="D712" s="39"/>
      <c r="E712" s="39"/>
      <c r="F712" s="11"/>
    </row>
    <row r="713" spans="1:6">
      <c r="A713" s="79"/>
      <c r="B713" s="79"/>
      <c r="C713" s="39" t="s">
        <v>1037</v>
      </c>
      <c r="D713" s="39"/>
      <c r="E713" s="39"/>
      <c r="F713" s="11"/>
    </row>
    <row r="714" spans="1:6">
      <c r="A714" s="79"/>
      <c r="B714" s="79"/>
      <c r="C714" s="39" t="s">
        <v>189</v>
      </c>
      <c r="D714" s="39"/>
      <c r="E714" s="39"/>
      <c r="F714" s="11"/>
    </row>
    <row r="715" spans="1:6">
      <c r="A715" s="79"/>
      <c r="B715" s="79"/>
      <c r="C715" s="39" t="s">
        <v>1038</v>
      </c>
      <c r="D715" s="39"/>
      <c r="E715" s="39"/>
      <c r="F715" s="11"/>
    </row>
    <row r="716" spans="1:6">
      <c r="A716" s="79"/>
      <c r="B716" s="79"/>
      <c r="C716" s="39" t="s">
        <v>221</v>
      </c>
      <c r="D716" s="39"/>
      <c r="E716" s="39"/>
      <c r="F716" s="11"/>
    </row>
    <row r="717" spans="1:6">
      <c r="A717" s="79"/>
      <c r="B717" s="79"/>
      <c r="C717" s="39" t="s">
        <v>1039</v>
      </c>
      <c r="D717" s="39"/>
      <c r="E717" s="39"/>
      <c r="F717" s="11"/>
    </row>
    <row r="718" spans="1:6">
      <c r="A718" s="79"/>
      <c r="B718" s="79"/>
      <c r="C718" s="39" t="s">
        <v>1040</v>
      </c>
      <c r="D718" s="39"/>
      <c r="E718" s="39"/>
      <c r="F718" s="11"/>
    </row>
    <row r="719" spans="1:6">
      <c r="A719" s="79"/>
      <c r="B719" s="79"/>
      <c r="C719" s="39" t="s">
        <v>150</v>
      </c>
      <c r="D719" s="39"/>
      <c r="E719" s="39"/>
      <c r="F719" s="11"/>
    </row>
    <row r="720" spans="1:6">
      <c r="A720" s="79"/>
      <c r="B720" s="79"/>
      <c r="C720" s="39" t="s">
        <v>251</v>
      </c>
      <c r="D720" s="39"/>
      <c r="E720" s="39" t="s">
        <v>1041</v>
      </c>
      <c r="F720" s="11" t="s">
        <v>840</v>
      </c>
    </row>
    <row r="721" spans="1:5" s="11" customFormat="1">
      <c r="A721" s="79"/>
      <c r="B721" s="79"/>
      <c r="C721" s="39" t="s">
        <v>210</v>
      </c>
      <c r="D721" s="39"/>
      <c r="E721" s="39"/>
    </row>
    <row r="722" spans="1:5" s="11" customFormat="1">
      <c r="A722" s="79"/>
      <c r="B722" s="79"/>
      <c r="C722" s="39" t="s">
        <v>1042</v>
      </c>
      <c r="D722" s="39"/>
      <c r="E722" s="39"/>
    </row>
    <row r="723" spans="1:5" s="11" customFormat="1">
      <c r="A723" s="79"/>
      <c r="B723" s="79"/>
      <c r="C723" s="39" t="s">
        <v>1043</v>
      </c>
      <c r="D723" s="39"/>
      <c r="E723" s="39"/>
    </row>
    <row r="724" spans="1:5" s="11" customFormat="1">
      <c r="A724" s="79"/>
      <c r="B724" s="79"/>
      <c r="C724" s="39" t="s">
        <v>1044</v>
      </c>
      <c r="D724" s="39"/>
      <c r="E724" s="120"/>
    </row>
    <row r="725" spans="1:5" s="11" customFormat="1">
      <c r="A725" s="79"/>
      <c r="B725" s="79"/>
      <c r="C725" s="39" t="s">
        <v>1045</v>
      </c>
      <c r="D725" s="39"/>
      <c r="E725" s="39"/>
    </row>
    <row r="726" spans="1:5" s="11" customFormat="1">
      <c r="A726" s="79"/>
      <c r="B726" s="79"/>
      <c r="C726" s="39" t="s">
        <v>1046</v>
      </c>
      <c r="D726" s="39"/>
      <c r="E726" s="39"/>
    </row>
    <row r="727" spans="1:5" s="11" customFormat="1">
      <c r="A727" s="79"/>
      <c r="B727" s="79"/>
      <c r="C727" s="39" t="s">
        <v>1047</v>
      </c>
      <c r="D727" s="39"/>
      <c r="E727" s="39"/>
    </row>
    <row r="728" spans="1:5" s="11" customFormat="1">
      <c r="A728" s="79"/>
      <c r="B728" s="79"/>
      <c r="C728" s="39" t="s">
        <v>1048</v>
      </c>
      <c r="D728" s="39"/>
      <c r="E728" s="39"/>
    </row>
    <row r="729" spans="1:5" s="11" customFormat="1">
      <c r="A729" s="79"/>
      <c r="B729" s="79"/>
      <c r="C729" s="39" t="s">
        <v>270</v>
      </c>
      <c r="D729" s="39"/>
      <c r="E729" s="39"/>
    </row>
    <row r="730" spans="1:5" s="11" customFormat="1">
      <c r="A730" s="79"/>
      <c r="B730" s="79"/>
      <c r="C730" s="39" t="s">
        <v>1049</v>
      </c>
      <c r="D730" s="39"/>
      <c r="E730" s="39"/>
    </row>
    <row r="731" spans="1:5" s="11" customFormat="1">
      <c r="A731" s="79"/>
      <c r="B731" s="79"/>
      <c r="C731" s="39" t="s">
        <v>58</v>
      </c>
      <c r="D731" s="39"/>
      <c r="E731" s="39"/>
    </row>
    <row r="732" spans="1:5" s="11" customFormat="1">
      <c r="A732" s="79"/>
      <c r="B732" s="79"/>
      <c r="C732" s="39" t="s">
        <v>1050</v>
      </c>
      <c r="D732" s="39"/>
      <c r="E732" s="39"/>
    </row>
    <row r="733" spans="1:5" s="11" customFormat="1">
      <c r="A733" s="79"/>
      <c r="B733" s="79"/>
      <c r="C733" s="39" t="s">
        <v>1051</v>
      </c>
      <c r="D733" s="39"/>
      <c r="E733" s="39"/>
    </row>
    <row r="734" spans="1:5" s="11" customFormat="1">
      <c r="A734" s="79"/>
      <c r="B734" s="79"/>
      <c r="C734" s="39" t="s">
        <v>1052</v>
      </c>
      <c r="D734" s="39"/>
      <c r="E734" s="39"/>
    </row>
    <row r="735" spans="1:5" s="11" customFormat="1">
      <c r="A735" s="79"/>
      <c r="B735" s="79"/>
      <c r="C735" s="39" t="s">
        <v>1053</v>
      </c>
      <c r="D735" s="39"/>
      <c r="E735" s="39"/>
    </row>
    <row r="736" spans="1:5" s="11" customFormat="1">
      <c r="A736" s="79"/>
      <c r="B736" s="79"/>
      <c r="C736" s="39" t="s">
        <v>1054</v>
      </c>
      <c r="D736" s="39"/>
      <c r="E736" s="39"/>
    </row>
    <row r="737" spans="1:5" s="11" customFormat="1">
      <c r="A737" s="79"/>
      <c r="B737" s="79"/>
      <c r="C737" s="39" t="s">
        <v>1055</v>
      </c>
      <c r="D737" s="39"/>
      <c r="E737" s="39"/>
    </row>
    <row r="738" spans="1:5" s="11" customFormat="1">
      <c r="A738" s="79"/>
      <c r="B738" s="79"/>
      <c r="C738" s="39" t="s">
        <v>1056</v>
      </c>
      <c r="D738" s="39"/>
      <c r="E738" s="39"/>
    </row>
    <row r="739" spans="1:5" s="11" customFormat="1">
      <c r="A739" s="79"/>
      <c r="B739" s="79"/>
      <c r="C739" s="39" t="s">
        <v>1057</v>
      </c>
      <c r="D739" s="39"/>
      <c r="E739" s="39"/>
    </row>
    <row r="740" spans="1:5" s="11" customFormat="1">
      <c r="A740" s="79"/>
      <c r="B740" s="79"/>
      <c r="C740" s="39" t="s">
        <v>1058</v>
      </c>
      <c r="D740" s="39"/>
      <c r="E740" s="39"/>
    </row>
    <row r="741" spans="1:5" s="11" customFormat="1">
      <c r="A741" s="79"/>
      <c r="B741" s="79"/>
      <c r="C741" s="39" t="s">
        <v>1059</v>
      </c>
      <c r="D741" s="39"/>
      <c r="E741" s="120"/>
    </row>
    <row r="742" spans="1:5" s="11" customFormat="1">
      <c r="A742" s="79"/>
      <c r="B742" s="79"/>
      <c r="C742" s="39" t="s">
        <v>1060</v>
      </c>
      <c r="D742" s="39"/>
      <c r="E742" s="39"/>
    </row>
    <row r="743" spans="1:5" s="11" customFormat="1">
      <c r="A743" s="79"/>
      <c r="B743" s="79"/>
      <c r="C743" s="39" t="s">
        <v>1061</v>
      </c>
      <c r="D743" s="39"/>
      <c r="E743" s="39"/>
    </row>
    <row r="744" spans="1:5" s="11" customFormat="1">
      <c r="A744" s="79"/>
      <c r="B744" s="79"/>
      <c r="C744" s="39" t="s">
        <v>1062</v>
      </c>
      <c r="D744" s="39"/>
      <c r="E744" s="39"/>
    </row>
    <row r="745" spans="1:5" s="11" customFormat="1">
      <c r="A745" s="79"/>
      <c r="B745" s="79"/>
      <c r="C745" s="39" t="s">
        <v>1063</v>
      </c>
      <c r="D745" s="39"/>
      <c r="E745" s="39"/>
    </row>
    <row r="746" spans="1:5" s="11" customFormat="1">
      <c r="A746" s="79"/>
      <c r="B746" s="79"/>
      <c r="C746" s="39" t="s">
        <v>1064</v>
      </c>
      <c r="D746" s="39"/>
      <c r="E746" s="39"/>
    </row>
    <row r="747" spans="1:5" s="11" customFormat="1">
      <c r="A747" s="79"/>
      <c r="B747" s="79"/>
      <c r="C747" s="39" t="s">
        <v>1065</v>
      </c>
      <c r="D747" s="39"/>
      <c r="E747" s="39"/>
    </row>
    <row r="748" spans="1:5" s="11" customFormat="1">
      <c r="A748" s="79"/>
      <c r="B748" s="79"/>
      <c r="C748" s="39" t="s">
        <v>1066</v>
      </c>
      <c r="D748" s="39"/>
      <c r="E748" s="39"/>
    </row>
    <row r="749" spans="1:5" s="11" customFormat="1">
      <c r="A749" s="79"/>
      <c r="B749" s="79"/>
      <c r="C749" s="39" t="s">
        <v>1067</v>
      </c>
      <c r="D749" s="39"/>
      <c r="E749" s="39"/>
    </row>
    <row r="750" spans="1:5" s="11" customFormat="1">
      <c r="A750" s="79"/>
      <c r="B750" s="79"/>
      <c r="C750" s="39" t="s">
        <v>1068</v>
      </c>
      <c r="D750" s="39"/>
      <c r="E750" s="39"/>
    </row>
    <row r="751" spans="1:5" s="11" customFormat="1">
      <c r="A751" s="79"/>
      <c r="B751" s="79"/>
      <c r="C751" s="39" t="s">
        <v>1069</v>
      </c>
      <c r="D751" s="39"/>
      <c r="E751" s="39"/>
    </row>
    <row r="752" spans="1:5" s="11" customFormat="1">
      <c r="A752" s="79"/>
      <c r="B752" s="79"/>
      <c r="C752" s="39" t="s">
        <v>1070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833</v>
      </c>
      <c r="D754" s="39"/>
      <c r="E754" s="39"/>
    </row>
    <row r="755" spans="1:5" s="11" customFormat="1">
      <c r="A755" s="79"/>
      <c r="B755" s="79"/>
      <c r="C755" s="39" t="s">
        <v>834</v>
      </c>
      <c r="D755" s="39"/>
      <c r="E755" s="39"/>
    </row>
    <row r="756" spans="1:5" s="11" customFormat="1">
      <c r="A756" s="79"/>
      <c r="B756" s="79"/>
      <c r="C756" s="39" t="s">
        <v>835</v>
      </c>
      <c r="D756" s="39"/>
      <c r="E756" s="39"/>
    </row>
    <row r="757" spans="1:5" s="11" customFormat="1">
      <c r="A757" s="79"/>
      <c r="B757" s="79"/>
      <c r="C757" s="39" t="s">
        <v>836</v>
      </c>
      <c r="D757" s="39"/>
      <c r="E757" s="39"/>
    </row>
    <row r="758" spans="1:5" s="11" customFormat="1">
      <c r="A758" s="79"/>
      <c r="B758" s="79"/>
      <c r="C758" s="39" t="s">
        <v>837</v>
      </c>
      <c r="D758" s="39"/>
      <c r="E758" s="39"/>
    </row>
    <row r="759" spans="1:5" s="11" customFormat="1">
      <c r="A759" s="79"/>
      <c r="B759" s="79"/>
      <c r="C759" s="39" t="s">
        <v>838</v>
      </c>
      <c r="D759" s="39"/>
      <c r="E759" s="39"/>
    </row>
    <row r="760" spans="1:5" s="11" customFormat="1">
      <c r="A760" s="79"/>
      <c r="B760" s="79"/>
      <c r="C760" s="39" t="s">
        <v>839</v>
      </c>
      <c r="D760" s="39"/>
      <c r="E760" s="39"/>
    </row>
    <row r="761" spans="1:5" s="11" customFormat="1">
      <c r="A761" s="79"/>
      <c r="B761" s="79"/>
      <c r="C761" s="39" t="s">
        <v>841</v>
      </c>
      <c r="D761" s="39"/>
      <c r="E761" s="39"/>
    </row>
    <row r="762" spans="1:5" s="11" customFormat="1">
      <c r="A762" s="79"/>
      <c r="B762" s="79"/>
      <c r="C762" s="39" t="s">
        <v>842</v>
      </c>
      <c r="D762" s="39"/>
      <c r="E762" s="39"/>
    </row>
    <row r="763" spans="1:5" s="11" customFormat="1">
      <c r="A763" s="79"/>
      <c r="B763" s="79"/>
      <c r="C763" s="39" t="s">
        <v>342</v>
      </c>
      <c r="D763" s="39"/>
      <c r="E763" s="39"/>
    </row>
    <row r="764" spans="1:5" s="11" customFormat="1">
      <c r="A764" s="79"/>
      <c r="B764" s="79"/>
      <c r="C764" s="39" t="s">
        <v>843</v>
      </c>
      <c r="D764" s="39"/>
      <c r="E764" s="39"/>
    </row>
    <row r="765" spans="1:5" s="11" customFormat="1">
      <c r="A765" s="79"/>
      <c r="B765" s="79"/>
      <c r="C765" s="39" t="s">
        <v>844</v>
      </c>
      <c r="D765" s="39"/>
      <c r="E765" s="39"/>
    </row>
    <row r="766" spans="1:5" s="11" customFormat="1">
      <c r="A766" s="79"/>
      <c r="B766" s="79"/>
      <c r="C766" s="39" t="s">
        <v>845</v>
      </c>
      <c r="D766" s="39"/>
      <c r="E766" s="39"/>
    </row>
    <row r="767" spans="1:5" s="11" customFormat="1">
      <c r="A767" s="79"/>
      <c r="B767" s="79"/>
      <c r="C767" s="39" t="s">
        <v>846</v>
      </c>
      <c r="D767" s="39"/>
      <c r="E767" s="39"/>
    </row>
    <row r="768" spans="1:5" s="11" customFormat="1">
      <c r="A768" s="79"/>
      <c r="B768" s="79"/>
      <c r="C768" s="39" t="s">
        <v>847</v>
      </c>
      <c r="D768" s="39"/>
      <c r="E768" s="39"/>
    </row>
    <row r="769" spans="1:5" s="11" customFormat="1">
      <c r="A769" s="79"/>
      <c r="B769" s="79"/>
      <c r="C769" s="39" t="s">
        <v>848</v>
      </c>
      <c r="D769" s="39"/>
      <c r="E769" s="39"/>
    </row>
    <row r="770" spans="1:5" s="11" customFormat="1">
      <c r="A770" s="79"/>
      <c r="B770" s="79"/>
      <c r="C770" s="39" t="s">
        <v>69</v>
      </c>
      <c r="D770" s="39"/>
      <c r="E770" s="39"/>
    </row>
    <row r="771" spans="1:5" s="11" customFormat="1">
      <c r="A771" s="79"/>
      <c r="B771" s="79"/>
      <c r="C771" s="39" t="s">
        <v>849</v>
      </c>
      <c r="D771" s="39"/>
      <c r="E771" s="39"/>
    </row>
    <row r="772" spans="1:5" s="11" customFormat="1">
      <c r="A772" s="79"/>
      <c r="B772" s="79"/>
      <c r="C772" s="39" t="s">
        <v>850</v>
      </c>
      <c r="D772" s="39"/>
      <c r="E772" s="39"/>
    </row>
    <row r="773" spans="1:5" s="11" customFormat="1">
      <c r="A773" s="79"/>
      <c r="B773" s="79"/>
      <c r="C773" s="39" t="s">
        <v>851</v>
      </c>
      <c r="D773" s="39"/>
      <c r="E773" s="39"/>
    </row>
    <row r="774" spans="1:5" s="11" customFormat="1">
      <c r="A774" s="79"/>
      <c r="B774" s="79"/>
      <c r="C774" s="39" t="s">
        <v>852</v>
      </c>
      <c r="D774" s="39"/>
      <c r="E774" s="39"/>
    </row>
    <row r="775" spans="1:5" s="11" customFormat="1">
      <c r="A775" s="79"/>
      <c r="B775" s="79"/>
      <c r="C775" s="39" t="s">
        <v>853</v>
      </c>
      <c r="D775" s="39"/>
      <c r="E775" s="39"/>
    </row>
    <row r="776" spans="1:5" s="11" customFormat="1">
      <c r="A776" s="79"/>
      <c r="B776" s="79"/>
      <c r="C776" s="39" t="s">
        <v>854</v>
      </c>
      <c r="D776" s="39"/>
      <c r="E776" s="39"/>
    </row>
    <row r="777" spans="1:5" s="11" customFormat="1">
      <c r="A777" s="79"/>
      <c r="B777" s="79"/>
      <c r="C777" s="39" t="s">
        <v>855</v>
      </c>
      <c r="D777" s="39"/>
      <c r="E777" s="39"/>
    </row>
    <row r="778" spans="1:5" s="11" customFormat="1">
      <c r="A778" s="79"/>
      <c r="B778" s="79"/>
      <c r="C778" s="39" t="s">
        <v>856</v>
      </c>
      <c r="D778" s="39"/>
      <c r="E778" s="39"/>
    </row>
    <row r="779" spans="1:5" s="11" customFormat="1">
      <c r="A779" s="79"/>
      <c r="B779" s="79"/>
      <c r="C779" s="39" t="s">
        <v>464</v>
      </c>
      <c r="D779" s="39"/>
      <c r="E779" s="39"/>
    </row>
    <row r="780" spans="1:5" s="11" customFormat="1">
      <c r="A780" s="79"/>
      <c r="B780" s="79"/>
      <c r="C780" s="39" t="s">
        <v>857</v>
      </c>
      <c r="D780" s="39"/>
      <c r="E780" s="39"/>
    </row>
    <row r="781" spans="1:5" s="11" customFormat="1">
      <c r="A781" s="79"/>
      <c r="B781" s="79"/>
      <c r="C781" s="39" t="s">
        <v>858</v>
      </c>
      <c r="D781" s="39"/>
      <c r="E781" s="39"/>
    </row>
    <row r="782" spans="1:5" s="11" customFormat="1">
      <c r="A782" s="79"/>
      <c r="B782" s="79"/>
      <c r="C782" s="39" t="s">
        <v>859</v>
      </c>
      <c r="D782" s="39"/>
      <c r="E782" s="39"/>
    </row>
    <row r="783" spans="1:5" s="11" customFormat="1">
      <c r="A783" s="79"/>
      <c r="B783" s="79"/>
      <c r="C783" s="39" t="s">
        <v>860</v>
      </c>
      <c r="D783" s="39"/>
      <c r="E783" s="39"/>
    </row>
    <row r="784" spans="1:5" s="11" customFormat="1">
      <c r="A784" s="79"/>
      <c r="B784" s="79"/>
      <c r="C784" s="39" t="s">
        <v>861</v>
      </c>
      <c r="D784" s="39"/>
      <c r="E784" s="39"/>
    </row>
    <row r="785" spans="1:6">
      <c r="A785" s="79"/>
      <c r="B785" s="79"/>
      <c r="C785" s="39" t="s">
        <v>862</v>
      </c>
      <c r="D785" s="39"/>
      <c r="E785" s="39"/>
      <c r="F785" s="11" t="s">
        <v>840</v>
      </c>
    </row>
    <row r="786" spans="1:6">
      <c r="A786" s="79"/>
      <c r="B786" s="79"/>
      <c r="C786" s="39" t="s">
        <v>350</v>
      </c>
      <c r="D786" s="39"/>
      <c r="E786" s="39"/>
      <c r="F786" s="11" t="s">
        <v>840</v>
      </c>
    </row>
    <row r="787" spans="1:6">
      <c r="A787" s="79"/>
      <c r="B787" s="79"/>
      <c r="C787" s="39" t="s">
        <v>863</v>
      </c>
      <c r="D787" s="39"/>
      <c r="E787" s="39"/>
      <c r="F787" s="11"/>
    </row>
    <row r="788" spans="1:6">
      <c r="A788" s="79"/>
      <c r="B788" s="79"/>
      <c r="C788" s="39" t="s">
        <v>864</v>
      </c>
      <c r="D788" s="39"/>
      <c r="E788" s="39"/>
      <c r="F788" s="11"/>
    </row>
    <row r="789" spans="1:6">
      <c r="A789" s="79"/>
      <c r="B789" s="79"/>
      <c r="C789" s="39" t="s">
        <v>865</v>
      </c>
      <c r="D789" s="39"/>
      <c r="E789" s="39"/>
      <c r="F789" s="11" t="s">
        <v>840</v>
      </c>
    </row>
    <row r="790" spans="1:6">
      <c r="A790" s="79"/>
      <c r="B790" s="79"/>
      <c r="C790" s="39" t="s">
        <v>866</v>
      </c>
      <c r="D790" s="39"/>
      <c r="E790" s="39"/>
      <c r="F790" s="11"/>
    </row>
    <row r="791" spans="1:6">
      <c r="A791" s="79"/>
      <c r="B791" s="79"/>
      <c r="C791" s="39" t="s">
        <v>867</v>
      </c>
      <c r="D791" s="39"/>
      <c r="E791" s="39"/>
      <c r="F791" s="11"/>
    </row>
    <row r="792" spans="1:6">
      <c r="A792" s="79"/>
      <c r="B792" s="79"/>
      <c r="C792" s="39" t="s">
        <v>868</v>
      </c>
      <c r="D792" s="39"/>
      <c r="E792" s="39"/>
      <c r="F792" s="11"/>
    </row>
    <row r="793" spans="1:6">
      <c r="A793" s="79"/>
      <c r="B793" s="79"/>
      <c r="C793" s="39" t="s">
        <v>869</v>
      </c>
      <c r="D793" s="39"/>
      <c r="E793" s="39"/>
      <c r="F793" s="11"/>
    </row>
    <row r="794" spans="1:6">
      <c r="A794" s="79"/>
      <c r="B794" s="79"/>
      <c r="C794" s="39" t="s">
        <v>870</v>
      </c>
      <c r="D794" s="39"/>
      <c r="E794" s="39"/>
      <c r="F794" s="11"/>
    </row>
    <row r="795" spans="1:6">
      <c r="A795" s="79"/>
      <c r="B795" s="79"/>
      <c r="C795" s="39" t="s">
        <v>871</v>
      </c>
      <c r="D795" s="39"/>
      <c r="E795" s="39"/>
      <c r="F795" s="11" t="s">
        <v>840</v>
      </c>
    </row>
    <row r="796" spans="1:6">
      <c r="A796" s="79"/>
      <c r="B796" s="79"/>
      <c r="C796" s="39" t="s">
        <v>872</v>
      </c>
      <c r="D796" s="39"/>
      <c r="E796" s="39"/>
      <c r="F796" s="11"/>
    </row>
    <row r="797" spans="1:6">
      <c r="A797" s="79"/>
      <c r="B797" s="79"/>
      <c r="C797" s="39" t="s">
        <v>873</v>
      </c>
      <c r="D797" s="39"/>
      <c r="E797" s="39"/>
      <c r="F797" s="11"/>
    </row>
    <row r="798" spans="1:6">
      <c r="A798" s="79"/>
      <c r="B798" s="79"/>
      <c r="C798" s="39" t="s">
        <v>874</v>
      </c>
      <c r="D798" s="39"/>
      <c r="E798" s="39"/>
      <c r="F798" s="11"/>
    </row>
    <row r="799" spans="1:6">
      <c r="A799" s="79"/>
      <c r="B799" s="79"/>
      <c r="C799" s="39" t="s">
        <v>463</v>
      </c>
      <c r="D799" s="39"/>
      <c r="E799" s="39"/>
      <c r="F799" s="11"/>
    </row>
    <row r="800" spans="1:6">
      <c r="A800" s="79"/>
      <c r="B800" s="79"/>
      <c r="C800" s="39" t="s">
        <v>875</v>
      </c>
      <c r="D800" s="39"/>
      <c r="E800" s="39"/>
      <c r="F800" s="11"/>
    </row>
    <row r="801" spans="1:6">
      <c r="A801" s="79"/>
      <c r="B801" s="79"/>
      <c r="C801" s="39" t="s">
        <v>876</v>
      </c>
      <c r="D801" s="39"/>
      <c r="E801" s="39"/>
      <c r="F801" s="11"/>
    </row>
    <row r="802" spans="1:6">
      <c r="A802" s="79"/>
      <c r="B802" s="79"/>
      <c r="C802" s="39" t="s">
        <v>877</v>
      </c>
      <c r="D802" s="39"/>
      <c r="E802" s="39"/>
      <c r="F802" s="11"/>
    </row>
    <row r="803" spans="1:6">
      <c r="A803" s="79"/>
      <c r="B803" s="79"/>
      <c r="C803" s="39" t="s">
        <v>878</v>
      </c>
      <c r="D803" s="39"/>
      <c r="E803" s="39"/>
      <c r="F803" s="11"/>
    </row>
    <row r="804" spans="1:6">
      <c r="A804" s="79"/>
      <c r="B804" s="79"/>
      <c r="C804" s="39" t="s">
        <v>879</v>
      </c>
      <c r="D804" s="39"/>
      <c r="E804" s="39"/>
      <c r="F804" s="11"/>
    </row>
    <row r="805" spans="1:6">
      <c r="A805" s="79"/>
      <c r="B805" s="79"/>
      <c r="C805" s="39" t="s">
        <v>880</v>
      </c>
      <c r="D805" s="39"/>
      <c r="E805" s="39"/>
      <c r="F805" s="11"/>
    </row>
    <row r="806" spans="1:6">
      <c r="A806" s="79"/>
      <c r="B806" s="79"/>
      <c r="C806" s="39" t="s">
        <v>881</v>
      </c>
      <c r="D806" s="39"/>
      <c r="E806" s="39"/>
      <c r="F806" s="11"/>
    </row>
    <row r="807" spans="1:6">
      <c r="A807" s="79"/>
      <c r="B807" s="79"/>
      <c r="C807" s="39" t="s">
        <v>882</v>
      </c>
      <c r="D807" s="39"/>
      <c r="E807" s="39"/>
      <c r="F807" s="11"/>
    </row>
    <row r="808" spans="1:6">
      <c r="A808" s="79"/>
      <c r="B808" s="79"/>
      <c r="C808" s="39" t="s">
        <v>883</v>
      </c>
      <c r="D808" s="39"/>
      <c r="E808" s="39"/>
      <c r="F808" s="11"/>
    </row>
    <row r="809" spans="1:6">
      <c r="A809" s="79"/>
      <c r="B809" s="79"/>
      <c r="C809" s="39" t="s">
        <v>884</v>
      </c>
      <c r="D809" s="39"/>
      <c r="E809" s="39"/>
      <c r="F809" s="11"/>
    </row>
    <row r="810" spans="1:6">
      <c r="A810" s="79"/>
      <c r="B810" s="79"/>
      <c r="C810" s="39" t="s">
        <v>885</v>
      </c>
      <c r="D810" s="39"/>
      <c r="E810" s="39"/>
      <c r="F810" s="11"/>
    </row>
    <row r="811" spans="1:6">
      <c r="A811" s="79"/>
      <c r="B811" s="79"/>
      <c r="C811" s="39" t="s">
        <v>886</v>
      </c>
      <c r="D811" s="39"/>
      <c r="E811" s="39"/>
      <c r="F811" s="11"/>
    </row>
    <row r="812" spans="1:6">
      <c r="A812" s="79"/>
      <c r="B812" s="79"/>
      <c r="C812" s="39" t="s">
        <v>888</v>
      </c>
      <c r="D812" s="39"/>
      <c r="E812" s="39"/>
      <c r="F812" s="11"/>
    </row>
    <row r="813" spans="1:6">
      <c r="A813" s="79"/>
      <c r="B813" s="79"/>
      <c r="C813" s="39" t="s">
        <v>887</v>
      </c>
      <c r="D813" s="39"/>
      <c r="E813" s="39"/>
      <c r="F813" s="11" t="s">
        <v>840</v>
      </c>
    </row>
    <row r="814" spans="1:6">
      <c r="A814" s="79"/>
      <c r="B814" s="79"/>
      <c r="C814" s="39" t="s">
        <v>889</v>
      </c>
      <c r="D814" s="39"/>
      <c r="E814" s="39"/>
      <c r="F814" s="11"/>
    </row>
    <row r="815" spans="1:6">
      <c r="A815" s="79"/>
      <c r="B815" s="79"/>
      <c r="C815" s="39" t="s">
        <v>890</v>
      </c>
      <c r="D815" s="39"/>
      <c r="E815" s="39"/>
      <c r="F815" s="11"/>
    </row>
    <row r="816" spans="1:6">
      <c r="A816" s="79"/>
      <c r="B816" s="79"/>
      <c r="C816" s="39" t="s">
        <v>891</v>
      </c>
      <c r="D816" s="39"/>
      <c r="E816" s="39"/>
      <c r="F816" s="11"/>
    </row>
    <row r="817" spans="1:5" s="11" customFormat="1">
      <c r="A817" s="79"/>
      <c r="B817" s="79"/>
      <c r="C817" s="39" t="s">
        <v>892</v>
      </c>
      <c r="D817" s="39"/>
      <c r="E817" s="39"/>
    </row>
    <row r="818" spans="1:5" s="11" customFormat="1">
      <c r="A818" s="79"/>
      <c r="B818" s="79"/>
      <c r="C818" s="39" t="s">
        <v>893</v>
      </c>
      <c r="D818" s="39"/>
      <c r="E818" s="39"/>
    </row>
    <row r="819" spans="1:5" s="11" customFormat="1">
      <c r="A819" s="79"/>
      <c r="B819" s="79"/>
      <c r="C819" s="39" t="s">
        <v>894</v>
      </c>
      <c r="D819" s="39"/>
      <c r="E819" s="39"/>
    </row>
    <row r="820" spans="1:5" s="11" customFormat="1">
      <c r="A820" s="79"/>
      <c r="B820" s="79"/>
      <c r="C820" s="39" t="s">
        <v>895</v>
      </c>
      <c r="D820" s="39"/>
      <c r="E820" s="39"/>
    </row>
    <row r="821" spans="1:5" s="11" customFormat="1">
      <c r="A821" s="79"/>
      <c r="B821" s="79"/>
      <c r="C821" s="39" t="s">
        <v>896</v>
      </c>
      <c r="D821" s="39"/>
      <c r="E821" s="39"/>
    </row>
    <row r="822" spans="1:5" s="11" customFormat="1">
      <c r="A822" s="79"/>
      <c r="B822" s="79"/>
      <c r="C822" s="39" t="s">
        <v>897</v>
      </c>
      <c r="D822" s="39"/>
      <c r="E822" s="39"/>
    </row>
    <row r="823" spans="1:5" s="11" customFormat="1">
      <c r="A823" s="79"/>
      <c r="B823" s="79"/>
      <c r="C823" s="39" t="s">
        <v>898</v>
      </c>
      <c r="D823" s="39"/>
      <c r="E823" s="39"/>
    </row>
    <row r="824" spans="1:5" s="11" customFormat="1">
      <c r="A824" s="79"/>
      <c r="B824" s="79"/>
      <c r="C824" s="39" t="s">
        <v>899</v>
      </c>
      <c r="D824" s="39"/>
      <c r="E824" s="39"/>
    </row>
    <row r="825" spans="1:5" s="11" customFormat="1">
      <c r="A825" s="79"/>
      <c r="B825" s="79"/>
      <c r="C825" s="39" t="s">
        <v>900</v>
      </c>
      <c r="D825" s="39"/>
      <c r="E825" s="39"/>
    </row>
    <row r="826" spans="1:5" s="11" customFormat="1">
      <c r="A826" s="79"/>
      <c r="B826" s="79"/>
      <c r="C826" s="39" t="s">
        <v>901</v>
      </c>
      <c r="D826" s="39"/>
      <c r="E826" s="39"/>
    </row>
    <row r="827" spans="1:5" s="11" customFormat="1">
      <c r="A827" s="79"/>
      <c r="B827" s="79"/>
      <c r="C827" s="39" t="s">
        <v>902</v>
      </c>
      <c r="D827" s="39"/>
      <c r="E827" s="39"/>
    </row>
    <row r="828" spans="1:5" s="11" customFormat="1">
      <c r="A828" s="79"/>
      <c r="B828" s="79"/>
      <c r="C828" s="39" t="s">
        <v>903</v>
      </c>
      <c r="D828" s="39"/>
      <c r="E828" s="39"/>
    </row>
    <row r="829" spans="1:5" s="11" customFormat="1">
      <c r="A829" s="79"/>
      <c r="B829" s="79"/>
      <c r="C829" s="39" t="s">
        <v>551</v>
      </c>
      <c r="D829" s="39"/>
      <c r="E829" s="39"/>
    </row>
    <row r="830" spans="1:5" s="11" customFormat="1">
      <c r="A830" s="79"/>
      <c r="B830" s="79"/>
      <c r="C830" s="39" t="s">
        <v>904</v>
      </c>
      <c r="D830" s="39"/>
      <c r="E830" s="39"/>
    </row>
    <row r="831" spans="1:5" s="11" customFormat="1">
      <c r="A831" s="79"/>
      <c r="B831" s="79"/>
      <c r="C831" s="39" t="s">
        <v>905</v>
      </c>
      <c r="D831" s="39"/>
      <c r="E831" s="39"/>
    </row>
    <row r="832" spans="1:5" s="11" customFormat="1">
      <c r="A832" s="79"/>
      <c r="B832" s="79"/>
      <c r="C832" s="39" t="s">
        <v>906</v>
      </c>
      <c r="D832" s="39"/>
      <c r="E832" s="39"/>
    </row>
    <row r="833" spans="1:5" s="11" customFormat="1">
      <c r="A833" s="79"/>
      <c r="B833" s="79"/>
      <c r="C833" s="39" t="s">
        <v>907</v>
      </c>
      <c r="D833" s="39"/>
      <c r="E833" s="39"/>
    </row>
    <row r="834" spans="1:5" s="11" customFormat="1">
      <c r="A834" s="79"/>
      <c r="B834" s="79"/>
      <c r="C834" s="39" t="s">
        <v>908</v>
      </c>
      <c r="D834" s="39"/>
      <c r="E834" s="39"/>
    </row>
    <row r="835" spans="1:5" s="11" customFormat="1">
      <c r="A835" s="79"/>
      <c r="B835" s="79"/>
      <c r="C835" s="39" t="s">
        <v>1479</v>
      </c>
      <c r="D835" s="39"/>
      <c r="E835" s="116" t="s">
        <v>1480</v>
      </c>
    </row>
    <row r="836" spans="1:5" s="11" customFormat="1">
      <c r="A836" s="79"/>
      <c r="B836" s="79"/>
      <c r="C836" s="39" t="s">
        <v>1481</v>
      </c>
      <c r="D836" s="39"/>
      <c r="E836" s="116" t="s">
        <v>918</v>
      </c>
    </row>
    <row r="837" spans="1:5" s="11" customFormat="1">
      <c r="A837" s="79"/>
      <c r="B837" s="79"/>
      <c r="C837" s="39" t="s">
        <v>1482</v>
      </c>
      <c r="D837" s="39"/>
      <c r="E837" s="116" t="s">
        <v>918</v>
      </c>
    </row>
    <row r="838" spans="1:5" s="11" customFormat="1" ht="15">
      <c r="A838" s="79"/>
      <c r="B838" s="79"/>
      <c r="C838" s="39" t="s">
        <v>914</v>
      </c>
      <c r="D838" s="39"/>
      <c r="E838" s="114"/>
    </row>
    <row r="839" spans="1:5" s="11" customFormat="1">
      <c r="A839" s="79"/>
      <c r="B839" s="79"/>
      <c r="C839" s="39" t="s">
        <v>264</v>
      </c>
      <c r="D839" s="39"/>
      <c r="E839" s="39"/>
    </row>
    <row r="840" spans="1:5" s="11" customFormat="1">
      <c r="A840" s="79"/>
      <c r="B840" s="79"/>
      <c r="C840" s="39" t="s">
        <v>911</v>
      </c>
      <c r="D840" s="39"/>
      <c r="E840" s="39"/>
    </row>
    <row r="841" spans="1:5" s="11" customFormat="1">
      <c r="A841" s="79"/>
      <c r="B841" s="79"/>
      <c r="C841" s="39" t="s">
        <v>912</v>
      </c>
      <c r="D841" s="39"/>
      <c r="E841" s="39"/>
    </row>
    <row r="842" spans="1:5" s="11" customFormat="1">
      <c r="A842" s="79"/>
      <c r="B842" s="79"/>
      <c r="C842" s="39" t="s">
        <v>909</v>
      </c>
      <c r="D842" s="39"/>
      <c r="E842" s="39"/>
    </row>
    <row r="843" spans="1:5" s="11" customFormat="1">
      <c r="A843" s="79"/>
      <c r="B843" s="79"/>
      <c r="C843" s="39" t="s">
        <v>351</v>
      </c>
      <c r="D843" s="39"/>
      <c r="E843" s="39"/>
    </row>
    <row r="844" spans="1:5" s="11" customFormat="1">
      <c r="A844" s="79"/>
      <c r="B844" s="79"/>
      <c r="C844" s="39" t="s">
        <v>910</v>
      </c>
      <c r="D844" s="39"/>
      <c r="E844" s="39"/>
    </row>
    <row r="845" spans="1:5" s="11" customFormat="1">
      <c r="A845" s="79"/>
      <c r="B845" s="79"/>
      <c r="C845" s="39" t="s">
        <v>913</v>
      </c>
      <c r="D845" s="39"/>
      <c r="E845" s="39"/>
    </row>
    <row r="846" spans="1:5" s="11" customFormat="1">
      <c r="A846" s="79"/>
      <c r="B846" s="79"/>
      <c r="C846" s="39" t="s">
        <v>1483</v>
      </c>
      <c r="D846" s="39"/>
      <c r="E846" s="39"/>
    </row>
    <row r="847" spans="1:5" s="11" customFormat="1">
      <c r="A847" s="79"/>
      <c r="B847" s="79"/>
      <c r="C847" s="39" t="s">
        <v>1484</v>
      </c>
      <c r="D847" s="39"/>
      <c r="E847" s="39"/>
    </row>
    <row r="848" spans="1:5" s="11" customFormat="1">
      <c r="A848" s="79"/>
      <c r="B848" s="79"/>
      <c r="C848" s="39" t="s">
        <v>672</v>
      </c>
      <c r="D848" s="39"/>
      <c r="E848" s="39"/>
    </row>
    <row r="849" spans="1:5" s="11" customFormat="1">
      <c r="A849" s="79"/>
      <c r="B849" s="79"/>
      <c r="C849" s="39" t="s">
        <v>1485</v>
      </c>
      <c r="D849" s="39"/>
      <c r="E849" s="39"/>
    </row>
    <row r="850" spans="1:5" s="11" customFormat="1">
      <c r="A850" s="79"/>
      <c r="B850" s="79"/>
      <c r="C850" s="39" t="s">
        <v>1486</v>
      </c>
      <c r="D850" s="39"/>
      <c r="E850" s="39"/>
    </row>
    <row r="851" spans="1:5" s="11" customFormat="1">
      <c r="A851" s="79"/>
      <c r="B851" s="79"/>
      <c r="C851" s="39" t="s">
        <v>1487</v>
      </c>
      <c r="D851" s="39"/>
      <c r="E851" s="39"/>
    </row>
    <row r="852" spans="1:5" s="11" customFormat="1">
      <c r="A852" s="79"/>
      <c r="B852" s="79"/>
      <c r="C852" s="39" t="s">
        <v>1488</v>
      </c>
      <c r="D852" s="39"/>
      <c r="E852" s="39"/>
    </row>
    <row r="853" spans="1:5" s="11" customFormat="1">
      <c r="A853" s="79"/>
      <c r="B853" s="79"/>
      <c r="C853" s="39" t="s">
        <v>1489</v>
      </c>
      <c r="D853" s="39"/>
      <c r="E853" s="39"/>
    </row>
    <row r="854" spans="1:5" s="11" customFormat="1">
      <c r="A854" s="79"/>
      <c r="B854" s="79"/>
      <c r="C854" s="39" t="s">
        <v>215</v>
      </c>
      <c r="D854" s="39"/>
      <c r="E854" s="39"/>
    </row>
    <row r="855" spans="1:5" s="11" customFormat="1">
      <c r="A855" s="52"/>
      <c r="B855" s="52" t="s">
        <v>664</v>
      </c>
      <c r="C855" s="41" t="s">
        <v>243</v>
      </c>
      <c r="D855" s="41" t="s">
        <v>943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297</v>
      </c>
      <c r="B857" s="79" t="s">
        <v>60</v>
      </c>
      <c r="C857" s="39" t="s">
        <v>810</v>
      </c>
      <c r="D857" s="39" t="s">
        <v>1490</v>
      </c>
      <c r="E857" s="39"/>
    </row>
    <row r="858" spans="1:5" s="11" customFormat="1">
      <c r="A858" s="79"/>
      <c r="B858" s="79"/>
      <c r="C858" s="39" t="s">
        <v>1491</v>
      </c>
      <c r="D858" s="39"/>
      <c r="E858" s="39"/>
    </row>
    <row r="859" spans="1:5" s="11" customFormat="1">
      <c r="A859" s="79"/>
      <c r="B859" s="79"/>
      <c r="C859" s="39" t="s">
        <v>809</v>
      </c>
      <c r="D859" s="39"/>
      <c r="E859" s="39"/>
    </row>
    <row r="860" spans="1:5" s="11" customFormat="1">
      <c r="A860" s="79"/>
      <c r="B860" s="79"/>
      <c r="C860" s="39" t="s">
        <v>1492</v>
      </c>
      <c r="D860" s="39"/>
      <c r="E860" s="39"/>
    </row>
    <row r="861" spans="1:5" s="11" customFormat="1">
      <c r="A861" s="79"/>
      <c r="B861" s="79"/>
      <c r="C861" s="39" t="s">
        <v>1493</v>
      </c>
      <c r="D861" s="39"/>
      <c r="E861" s="39"/>
    </row>
    <row r="862" spans="1:5" s="11" customFormat="1">
      <c r="A862" s="79"/>
      <c r="B862" s="79"/>
      <c r="C862" s="39" t="s">
        <v>1494</v>
      </c>
      <c r="D862" s="39"/>
      <c r="E862" s="39"/>
    </row>
    <row r="863" spans="1:5" s="11" customFormat="1">
      <c r="A863" s="79"/>
      <c r="B863" s="79"/>
      <c r="C863" s="39" t="s">
        <v>1495</v>
      </c>
      <c r="D863" s="39"/>
      <c r="E863" s="39"/>
    </row>
    <row r="864" spans="1:5" s="11" customFormat="1">
      <c r="A864" s="79"/>
      <c r="B864" s="79"/>
      <c r="C864" s="39" t="s">
        <v>1496</v>
      </c>
      <c r="D864" s="39"/>
      <c r="E864" s="39"/>
    </row>
    <row r="865" spans="1:5" s="11" customFormat="1">
      <c r="A865" s="79"/>
      <c r="B865" s="79"/>
      <c r="C865" s="39" t="s">
        <v>1497</v>
      </c>
      <c r="D865" s="39"/>
      <c r="E865" s="39"/>
    </row>
    <row r="866" spans="1:5" s="11" customFormat="1">
      <c r="A866" s="52" t="s">
        <v>298</v>
      </c>
      <c r="B866" s="52" t="s">
        <v>60</v>
      </c>
      <c r="C866" s="41" t="s">
        <v>1498</v>
      </c>
      <c r="D866" s="41" t="s">
        <v>1499</v>
      </c>
      <c r="E866" s="41"/>
    </row>
    <row r="867" spans="1:5" s="11" customFormat="1">
      <c r="A867" s="53"/>
      <c r="B867" s="53"/>
      <c r="C867" s="41" t="s">
        <v>1500</v>
      </c>
      <c r="D867" s="41"/>
      <c r="E867" s="41"/>
    </row>
    <row r="868" spans="1:5" s="11" customFormat="1">
      <c r="A868" s="53"/>
      <c r="B868" s="53"/>
      <c r="C868" s="41" t="s">
        <v>1501</v>
      </c>
      <c r="D868" s="41"/>
      <c r="E868" s="41"/>
    </row>
    <row r="869" spans="1:5" s="11" customFormat="1">
      <c r="A869" s="53"/>
      <c r="B869" s="53"/>
      <c r="C869" s="41" t="s">
        <v>1502</v>
      </c>
      <c r="D869" s="41"/>
      <c r="E869" s="41"/>
    </row>
    <row r="870" spans="1:5" s="11" customFormat="1">
      <c r="A870" s="53"/>
      <c r="B870" s="53"/>
      <c r="C870" s="41" t="s">
        <v>1503</v>
      </c>
      <c r="D870" s="41"/>
      <c r="E870" s="41"/>
    </row>
    <row r="871" spans="1:5" s="11" customFormat="1">
      <c r="A871" s="53"/>
      <c r="B871" s="53"/>
      <c r="C871" s="41" t="s">
        <v>1504</v>
      </c>
      <c r="D871" s="41"/>
      <c r="E871" s="41"/>
    </row>
    <row r="872" spans="1:5" s="11" customFormat="1">
      <c r="A872" s="53"/>
      <c r="B872" s="53"/>
      <c r="C872" s="41" t="s">
        <v>1505</v>
      </c>
      <c r="D872" s="41"/>
      <c r="E872" s="41"/>
    </row>
    <row r="873" spans="1:5" s="11" customFormat="1">
      <c r="A873" s="53"/>
      <c r="B873" s="53"/>
      <c r="C873" s="41" t="s">
        <v>1506</v>
      </c>
      <c r="D873" s="41"/>
      <c r="E873" s="41"/>
    </row>
    <row r="874" spans="1:5" s="11" customFormat="1">
      <c r="A874" s="79" t="s">
        <v>299</v>
      </c>
      <c r="B874" s="79" t="s">
        <v>60</v>
      </c>
      <c r="C874" s="39" t="s">
        <v>1498</v>
      </c>
      <c r="D874" s="39" t="s">
        <v>1507</v>
      </c>
      <c r="E874" s="39"/>
    </row>
    <row r="875" spans="1:5" s="11" customFormat="1">
      <c r="A875" s="79"/>
      <c r="B875" s="79"/>
      <c r="C875" s="39" t="s">
        <v>1501</v>
      </c>
      <c r="D875" s="39"/>
      <c r="E875" s="39"/>
    </row>
    <row r="876" spans="1:5" s="11" customFormat="1">
      <c r="A876" s="79"/>
      <c r="B876" s="79"/>
      <c r="C876" s="39" t="s">
        <v>1503</v>
      </c>
      <c r="D876" s="39"/>
      <c r="E876" s="39"/>
    </row>
    <row r="877" spans="1:5" s="11" customFormat="1">
      <c r="A877" s="79"/>
      <c r="B877" s="79"/>
      <c r="C877" s="39" t="s">
        <v>1508</v>
      </c>
      <c r="D877" s="39"/>
      <c r="E877" s="39"/>
    </row>
    <row r="878" spans="1:5" s="11" customFormat="1">
      <c r="A878" s="79"/>
      <c r="B878" s="79"/>
      <c r="C878" s="39" t="s">
        <v>215</v>
      </c>
      <c r="D878" s="39"/>
      <c r="E878" s="39"/>
    </row>
    <row r="879" spans="1:5" s="11" customFormat="1">
      <c r="A879" s="52" t="s">
        <v>300</v>
      </c>
      <c r="B879" s="52" t="s">
        <v>60</v>
      </c>
      <c r="C879" s="41" t="s">
        <v>1509</v>
      </c>
      <c r="D879" s="41" t="s">
        <v>1510</v>
      </c>
      <c r="E879" s="41"/>
    </row>
    <row r="880" spans="1:5" s="11" customFormat="1">
      <c r="A880" s="53"/>
      <c r="B880" s="53"/>
      <c r="C880" s="41" t="s">
        <v>1331</v>
      </c>
      <c r="D880" s="41"/>
      <c r="E880" s="41"/>
    </row>
    <row r="881" spans="1:6">
      <c r="A881" s="53"/>
      <c r="B881" s="53"/>
      <c r="C881" s="41" t="s">
        <v>124</v>
      </c>
      <c r="D881" s="41"/>
      <c r="E881" s="41"/>
      <c r="F881" s="11"/>
    </row>
    <row r="882" spans="1:6">
      <c r="A882" s="53"/>
      <c r="B882" s="53"/>
      <c r="C882" s="41" t="s">
        <v>1506</v>
      </c>
      <c r="D882" s="41"/>
      <c r="E882" s="41"/>
      <c r="F882" s="11"/>
    </row>
    <row r="883" spans="1:6">
      <c r="A883" s="53"/>
      <c r="B883" s="53"/>
      <c r="C883" s="41" t="s">
        <v>736</v>
      </c>
      <c r="D883" s="41"/>
      <c r="E883" s="41"/>
      <c r="F883" s="11"/>
    </row>
    <row r="884" spans="1:6">
      <c r="A884" s="53"/>
      <c r="B884" s="53"/>
      <c r="C884" s="41" t="s">
        <v>1511</v>
      </c>
      <c r="D884" s="41"/>
      <c r="E884" s="41"/>
      <c r="F884" s="11"/>
    </row>
    <row r="885" spans="1:6">
      <c r="A885" s="53"/>
      <c r="B885" s="53"/>
      <c r="C885" s="41" t="s">
        <v>1512</v>
      </c>
      <c r="D885" s="41"/>
      <c r="E885" s="41"/>
      <c r="F885" s="11"/>
    </row>
    <row r="886" spans="1:6">
      <c r="A886" s="53"/>
      <c r="B886" s="53"/>
      <c r="C886" s="41" t="s">
        <v>1513</v>
      </c>
      <c r="D886" s="41"/>
      <c r="E886" s="41"/>
      <c r="F886" s="11"/>
    </row>
    <row r="887" spans="1:6">
      <c r="A887" s="53"/>
      <c r="B887" s="53"/>
      <c r="C887" s="41" t="s">
        <v>1514</v>
      </c>
      <c r="D887" s="41"/>
      <c r="E887" s="41"/>
      <c r="F887" s="11"/>
    </row>
    <row r="888" spans="1:6">
      <c r="A888" s="53"/>
      <c r="B888" s="53"/>
      <c r="C888" s="41" t="s">
        <v>1515</v>
      </c>
      <c r="D888" s="41"/>
      <c r="E888" s="41"/>
      <c r="F888" s="11"/>
    </row>
    <row r="889" spans="1:6">
      <c r="A889" s="53"/>
      <c r="B889" s="53"/>
      <c r="C889" s="41" t="s">
        <v>1516</v>
      </c>
      <c r="D889" s="41"/>
      <c r="E889" s="41" t="s">
        <v>1517</v>
      </c>
      <c r="F889" s="11" t="s">
        <v>840</v>
      </c>
    </row>
    <row r="890" spans="1:6">
      <c r="A890" s="54"/>
      <c r="B890" s="54"/>
      <c r="C890" s="41" t="s">
        <v>215</v>
      </c>
      <c r="D890" s="41"/>
      <c r="E890" s="41"/>
      <c r="F890" s="11"/>
    </row>
    <row r="891" spans="1:6">
      <c r="A891" s="68" t="s">
        <v>301</v>
      </c>
      <c r="B891" s="68" t="s">
        <v>60</v>
      </c>
      <c r="C891" s="39" t="s">
        <v>1476</v>
      </c>
      <c r="D891" s="39" t="s">
        <v>1518</v>
      </c>
      <c r="E891" s="39"/>
      <c r="F891" s="11"/>
    </row>
    <row r="892" spans="1:6">
      <c r="A892" s="69"/>
      <c r="B892" s="69"/>
      <c r="C892" s="39" t="s">
        <v>1519</v>
      </c>
      <c r="D892" s="39"/>
      <c r="E892" s="39"/>
      <c r="F892" s="11"/>
    </row>
    <row r="893" spans="1:6">
      <c r="A893" s="69"/>
      <c r="B893" s="69"/>
      <c r="C893" s="39" t="s">
        <v>1520</v>
      </c>
      <c r="D893" s="39"/>
      <c r="E893" s="39"/>
      <c r="F893" s="11"/>
    </row>
    <row r="894" spans="1:6">
      <c r="A894" s="69"/>
      <c r="B894" s="69"/>
      <c r="C894" s="39" t="s">
        <v>1521</v>
      </c>
      <c r="D894" s="39"/>
      <c r="E894" s="39"/>
      <c r="F894" s="11"/>
    </row>
    <row r="895" spans="1:6">
      <c r="A895" s="69"/>
      <c r="B895" s="69"/>
      <c r="C895" s="39" t="s">
        <v>1522</v>
      </c>
      <c r="D895" s="39"/>
      <c r="E895" s="39"/>
      <c r="F895" s="11"/>
    </row>
    <row r="896" spans="1:6">
      <c r="A896" s="69"/>
      <c r="B896" s="69"/>
      <c r="C896" s="39" t="s">
        <v>1523</v>
      </c>
      <c r="D896" s="39"/>
      <c r="E896" s="39" t="s">
        <v>1524</v>
      </c>
      <c r="F896" s="11"/>
    </row>
    <row r="897" spans="1:5" s="11" customFormat="1">
      <c r="A897" s="69"/>
      <c r="B897" s="69"/>
      <c r="C897" s="39" t="s">
        <v>1525</v>
      </c>
      <c r="D897" s="39"/>
      <c r="E897" s="39"/>
    </row>
    <row r="898" spans="1:5" s="11" customFormat="1">
      <c r="A898" s="52" t="s">
        <v>302</v>
      </c>
      <c r="B898" s="52" t="s">
        <v>60</v>
      </c>
      <c r="C898" s="41" t="s">
        <v>1526</v>
      </c>
      <c r="D898" s="41" t="s">
        <v>1527</v>
      </c>
      <c r="E898" s="41"/>
    </row>
    <row r="899" spans="1:5" s="11" customFormat="1">
      <c r="A899" s="53"/>
      <c r="B899" s="53"/>
      <c r="C899" s="41" t="s">
        <v>1528</v>
      </c>
      <c r="D899" s="41"/>
      <c r="E899" s="41"/>
    </row>
    <row r="900" spans="1:5" s="11" customFormat="1">
      <c r="A900" s="53"/>
      <c r="B900" s="53"/>
      <c r="C900" s="41" t="s">
        <v>1529</v>
      </c>
      <c r="D900" s="41"/>
      <c r="E900" s="41"/>
    </row>
    <row r="901" spans="1:5" s="11" customFormat="1">
      <c r="A901" s="53"/>
      <c r="B901" s="53"/>
      <c r="C901" s="41" t="s">
        <v>1530</v>
      </c>
      <c r="D901" s="41"/>
      <c r="E901" s="41"/>
    </row>
    <row r="902" spans="1:5" s="11" customFormat="1">
      <c r="A902" s="53"/>
      <c r="B902" s="53"/>
      <c r="C902" s="41" t="s">
        <v>1531</v>
      </c>
      <c r="D902" s="41"/>
      <c r="E902" s="41"/>
    </row>
    <row r="903" spans="1:5" s="11" customFormat="1">
      <c r="A903" s="53"/>
      <c r="B903" s="53"/>
      <c r="C903" s="41" t="s">
        <v>215</v>
      </c>
      <c r="D903" s="41"/>
      <c r="E903" s="41"/>
    </row>
    <row r="904" spans="1:5" s="11" customFormat="1">
      <c r="A904" s="68" t="s">
        <v>303</v>
      </c>
      <c r="B904" s="68" t="s">
        <v>60</v>
      </c>
      <c r="C904" s="39" t="s">
        <v>1532</v>
      </c>
      <c r="D904" s="68" t="s">
        <v>1533</v>
      </c>
      <c r="E904" s="39"/>
    </row>
    <row r="905" spans="1:5" s="11" customFormat="1">
      <c r="A905" s="69"/>
      <c r="B905" s="69"/>
      <c r="C905" s="39" t="s">
        <v>1534</v>
      </c>
      <c r="D905" s="39"/>
      <c r="E905" s="39"/>
    </row>
    <row r="906" spans="1:5" s="11" customFormat="1">
      <c r="A906" s="69"/>
      <c r="B906" s="69"/>
      <c r="C906" s="39" t="s">
        <v>1476</v>
      </c>
      <c r="D906" s="39"/>
      <c r="E906" s="39"/>
    </row>
    <row r="907" spans="1:5" s="11" customFormat="1">
      <c r="A907" s="69"/>
      <c r="B907" s="69"/>
      <c r="C907" s="39" t="s">
        <v>215</v>
      </c>
      <c r="D907" s="39"/>
      <c r="E907" s="39"/>
    </row>
    <row r="908" spans="1:5" s="11" customFormat="1">
      <c r="A908" s="52" t="s">
        <v>305</v>
      </c>
      <c r="B908" s="52" t="s">
        <v>60</v>
      </c>
      <c r="C908" s="41" t="s">
        <v>1535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1536</v>
      </c>
      <c r="D909" s="41"/>
      <c r="E909" s="131" t="s">
        <v>1537</v>
      </c>
    </row>
    <row r="910" spans="1:5" s="11" customFormat="1">
      <c r="A910" s="53"/>
      <c r="B910" s="53"/>
      <c r="C910" s="41" t="s">
        <v>1538</v>
      </c>
      <c r="D910" s="41"/>
      <c r="E910" s="41"/>
    </row>
    <row r="911" spans="1:5" s="11" customFormat="1">
      <c r="A911" s="53"/>
      <c r="B911" s="53"/>
      <c r="C911" s="41" t="s">
        <v>100</v>
      </c>
      <c r="D911" s="41"/>
      <c r="E911" s="41"/>
    </row>
    <row r="912" spans="1:5" s="11" customFormat="1">
      <c r="A912" s="53"/>
      <c r="B912" s="53"/>
      <c r="C912" s="41" t="s">
        <v>1539</v>
      </c>
      <c r="D912" s="41"/>
      <c r="E912" s="41"/>
    </row>
    <row r="913" spans="1:6">
      <c r="A913" s="53"/>
      <c r="B913" s="53"/>
      <c r="C913" s="41" t="s">
        <v>1540</v>
      </c>
      <c r="D913" s="41"/>
      <c r="E913" s="41"/>
      <c r="F913" s="11"/>
    </row>
    <row r="914" spans="1:6">
      <c r="A914" s="78" t="s">
        <v>307</v>
      </c>
      <c r="B914" s="78" t="s">
        <v>60</v>
      </c>
      <c r="C914" s="44" t="s">
        <v>92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1541</v>
      </c>
      <c r="D915" s="44"/>
      <c r="E915" s="44"/>
      <c r="F915" s="11"/>
    </row>
    <row r="916" spans="1:6">
      <c r="A916" s="79"/>
      <c r="B916" s="79"/>
      <c r="C916" s="39" t="s">
        <v>1542</v>
      </c>
      <c r="D916" s="39"/>
      <c r="E916" s="39"/>
      <c r="F916" s="11"/>
    </row>
    <row r="917" spans="1:6">
      <c r="A917" s="79"/>
      <c r="B917" s="79"/>
      <c r="C917" s="39" t="s">
        <v>1543</v>
      </c>
      <c r="D917" s="39"/>
      <c r="E917" s="39"/>
      <c r="F917" s="11"/>
    </row>
    <row r="918" spans="1:6">
      <c r="A918" s="79"/>
      <c r="B918" s="79"/>
      <c r="C918" s="39" t="s">
        <v>1544</v>
      </c>
      <c r="D918" s="39"/>
      <c r="E918" s="39"/>
      <c r="F918" s="11"/>
    </row>
    <row r="919" spans="1:6">
      <c r="A919" s="79"/>
      <c r="B919" s="79"/>
      <c r="C919" s="39" t="s">
        <v>1545</v>
      </c>
      <c r="D919" s="39"/>
      <c r="E919" s="39"/>
      <c r="F919" s="11"/>
    </row>
    <row r="920" spans="1:6">
      <c r="A920" s="74" t="s">
        <v>308</v>
      </c>
      <c r="B920" s="74" t="s">
        <v>60</v>
      </c>
      <c r="C920" s="46" t="s">
        <v>1498</v>
      </c>
      <c r="D920" s="41" t="s">
        <v>1499</v>
      </c>
      <c r="E920" s="46"/>
      <c r="F920" s="11"/>
    </row>
    <row r="921" spans="1:6">
      <c r="A921" s="56"/>
      <c r="B921" s="56"/>
      <c r="C921" s="46" t="s">
        <v>1500</v>
      </c>
      <c r="D921" s="46"/>
      <c r="E921" s="46"/>
      <c r="F921" s="11"/>
    </row>
    <row r="922" spans="1:6">
      <c r="A922" s="56"/>
      <c r="B922" s="56"/>
      <c r="C922" s="41" t="s">
        <v>1501</v>
      </c>
      <c r="D922" s="41"/>
      <c r="E922" s="41"/>
      <c r="F922" s="11"/>
    </row>
    <row r="923" spans="1:6">
      <c r="A923" s="56"/>
      <c r="B923" s="56"/>
      <c r="C923" s="41" t="s">
        <v>1502</v>
      </c>
      <c r="D923" s="41"/>
      <c r="E923" s="41"/>
      <c r="F923" s="11"/>
    </row>
    <row r="924" spans="1:6">
      <c r="A924" s="56"/>
      <c r="B924" s="56"/>
      <c r="C924" s="41" t="s">
        <v>1503</v>
      </c>
      <c r="D924" s="41"/>
      <c r="E924" s="41"/>
      <c r="F924" s="11"/>
    </row>
    <row r="925" spans="1:6">
      <c r="A925" s="56"/>
      <c r="B925" s="56"/>
      <c r="C925" s="41" t="s">
        <v>1504</v>
      </c>
      <c r="D925" s="41"/>
      <c r="E925" s="41"/>
      <c r="F925" s="11"/>
    </row>
    <row r="926" spans="1:6">
      <c r="A926" s="56"/>
      <c r="B926" s="56"/>
      <c r="C926" s="46" t="s">
        <v>1505</v>
      </c>
      <c r="D926" s="46"/>
      <c r="E926" s="46"/>
      <c r="F926" s="11"/>
    </row>
    <row r="927" spans="1:6">
      <c r="A927" s="56"/>
      <c r="B927" s="56"/>
      <c r="C927" s="46" t="s">
        <v>1506</v>
      </c>
      <c r="D927" s="46"/>
      <c r="E927" s="46"/>
      <c r="F927" s="11"/>
    </row>
    <row r="928" spans="1:6" ht="15">
      <c r="A928" s="78" t="s">
        <v>309</v>
      </c>
      <c r="B928" s="78" t="s">
        <v>60</v>
      </c>
      <c r="C928" s="44" t="s">
        <v>1546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1547</v>
      </c>
      <c r="D929" s="44"/>
      <c r="E929" s="44"/>
      <c r="F929" s="45"/>
    </row>
    <row r="930" spans="1:6" ht="15">
      <c r="A930" s="79"/>
      <c r="B930" s="79"/>
      <c r="C930" s="39" t="s">
        <v>1548</v>
      </c>
      <c r="D930" s="39"/>
      <c r="E930" s="39"/>
      <c r="F930" s="45"/>
    </row>
    <row r="931" spans="1:6" ht="15">
      <c r="A931" s="79"/>
      <c r="B931" s="79"/>
      <c r="C931" s="39" t="s">
        <v>1549</v>
      </c>
      <c r="D931" s="39"/>
      <c r="E931" s="39"/>
      <c r="F931" s="45"/>
    </row>
    <row r="932" spans="1:6" ht="15">
      <c r="A932" s="79"/>
      <c r="B932" s="79"/>
      <c r="C932" s="39" t="s">
        <v>1550</v>
      </c>
      <c r="D932" s="39"/>
      <c r="E932" s="39"/>
      <c r="F932" s="45"/>
    </row>
    <row r="933" spans="1:6">
      <c r="A933" s="79"/>
      <c r="B933" s="79"/>
      <c r="C933" s="39" t="s">
        <v>215</v>
      </c>
      <c r="D933" s="39"/>
      <c r="E933" s="39"/>
      <c r="F933" s="11"/>
    </row>
    <row r="934" spans="1:6">
      <c r="A934" s="74" t="s">
        <v>310</v>
      </c>
      <c r="B934" s="74" t="s">
        <v>60</v>
      </c>
      <c r="C934" s="41" t="s">
        <v>1551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1552</v>
      </c>
      <c r="D935" s="41"/>
      <c r="E935" s="41"/>
      <c r="F935" s="11"/>
    </row>
    <row r="936" spans="1:6">
      <c r="A936" s="56"/>
      <c r="B936" s="56"/>
      <c r="C936" s="41" t="s">
        <v>1553</v>
      </c>
      <c r="D936" s="41"/>
      <c r="E936" s="41"/>
      <c r="F936" s="11"/>
    </row>
    <row r="937" spans="1:6">
      <c r="A937" s="75" t="s">
        <v>311</v>
      </c>
      <c r="B937" s="75" t="s">
        <v>60</v>
      </c>
      <c r="C937" s="44" t="s">
        <v>1331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1509</v>
      </c>
      <c r="D938" s="44"/>
      <c r="E938" s="44"/>
      <c r="F938" s="11"/>
    </row>
    <row r="939" spans="1:6">
      <c r="A939" s="76"/>
      <c r="B939" s="76"/>
      <c r="C939" s="39" t="s">
        <v>124</v>
      </c>
      <c r="D939" s="39"/>
      <c r="E939" s="39"/>
      <c r="F939" s="11"/>
    </row>
    <row r="940" spans="1:6">
      <c r="A940" s="76"/>
      <c r="B940" s="76"/>
      <c r="C940" s="39" t="s">
        <v>1506</v>
      </c>
      <c r="D940" s="39"/>
      <c r="E940" s="39"/>
      <c r="F940" s="11"/>
    </row>
    <row r="941" spans="1:6">
      <c r="A941" s="76"/>
      <c r="B941" s="76"/>
      <c r="C941" s="39" t="s">
        <v>140</v>
      </c>
      <c r="D941" s="39"/>
      <c r="E941" s="39"/>
      <c r="F941" s="11"/>
    </row>
    <row r="942" spans="1:6">
      <c r="A942" s="76"/>
      <c r="B942" s="76"/>
      <c r="C942" s="39" t="s">
        <v>149</v>
      </c>
      <c r="D942" s="39"/>
      <c r="E942" s="39"/>
      <c r="F942" s="11"/>
    </row>
    <row r="943" spans="1:6">
      <c r="A943" s="76"/>
      <c r="B943" s="76"/>
      <c r="C943" s="39" t="s">
        <v>1554</v>
      </c>
      <c r="D943" s="39"/>
      <c r="E943" s="39"/>
      <c r="F943" s="11"/>
    </row>
    <row r="944" spans="1:6">
      <c r="A944" s="76"/>
      <c r="B944" s="76"/>
      <c r="C944" s="39" t="s">
        <v>1555</v>
      </c>
      <c r="D944" s="39"/>
      <c r="E944" s="39"/>
      <c r="F944" s="11"/>
    </row>
    <row r="945" spans="1:5" s="11" customFormat="1">
      <c r="A945" s="76"/>
      <c r="B945" s="76"/>
      <c r="C945" s="39" t="s">
        <v>215</v>
      </c>
      <c r="D945" s="39"/>
      <c r="E945" s="39"/>
    </row>
    <row r="946" spans="1:5" s="11" customFormat="1">
      <c r="A946" s="82" t="s">
        <v>312</v>
      </c>
      <c r="B946" s="82" t="s">
        <v>60</v>
      </c>
      <c r="C946" s="46" t="s">
        <v>1509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1331</v>
      </c>
      <c r="D947" s="46"/>
      <c r="E947" s="46"/>
    </row>
    <row r="948" spans="1:5" s="11" customFormat="1">
      <c r="A948" s="83"/>
      <c r="B948" s="83"/>
      <c r="C948" s="41" t="s">
        <v>124</v>
      </c>
      <c r="D948" s="41"/>
      <c r="E948" s="41"/>
    </row>
    <row r="949" spans="1:5" s="11" customFormat="1">
      <c r="A949" s="83"/>
      <c r="B949" s="83"/>
      <c r="C949" s="41" t="s">
        <v>1506</v>
      </c>
      <c r="D949" s="41"/>
      <c r="E949" s="41"/>
    </row>
    <row r="950" spans="1:5" s="11" customFormat="1">
      <c r="A950" s="83"/>
      <c r="B950" s="83"/>
      <c r="C950" s="41" t="s">
        <v>736</v>
      </c>
      <c r="D950" s="41"/>
      <c r="E950" s="41"/>
    </row>
    <row r="951" spans="1:5" s="11" customFormat="1">
      <c r="A951" s="83"/>
      <c r="B951" s="83"/>
      <c r="C951" s="41" t="s">
        <v>1511</v>
      </c>
      <c r="D951" s="41"/>
      <c r="E951" s="41"/>
    </row>
    <row r="952" spans="1:5" s="11" customFormat="1">
      <c r="A952" s="83"/>
      <c r="B952" s="83"/>
      <c r="C952" s="46" t="s">
        <v>1512</v>
      </c>
      <c r="D952" s="46"/>
      <c r="E952" s="46"/>
    </row>
    <row r="953" spans="1:5" s="11" customFormat="1">
      <c r="A953" s="83"/>
      <c r="B953" s="83"/>
      <c r="C953" s="41" t="s">
        <v>1513</v>
      </c>
      <c r="D953" s="41"/>
      <c r="E953" s="41"/>
    </row>
    <row r="954" spans="1:5" s="11" customFormat="1">
      <c r="A954" s="83"/>
      <c r="B954" s="83"/>
      <c r="C954" s="46" t="s">
        <v>1514</v>
      </c>
      <c r="D954" s="46"/>
      <c r="E954" s="46"/>
    </row>
    <row r="955" spans="1:5" s="11" customFormat="1">
      <c r="A955" s="83"/>
      <c r="B955" s="83"/>
      <c r="C955" s="46" t="s">
        <v>1515</v>
      </c>
      <c r="D955" s="46"/>
      <c r="E955" s="46"/>
    </row>
    <row r="956" spans="1:5" s="11" customFormat="1">
      <c r="A956" s="83"/>
      <c r="B956" s="83"/>
      <c r="C956" s="46" t="s">
        <v>149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140</v>
      </c>
      <c r="D957" s="46"/>
      <c r="E957" s="46"/>
    </row>
    <row r="958" spans="1:5" s="11" customFormat="1">
      <c r="A958" s="83"/>
      <c r="B958" s="83"/>
      <c r="C958" s="46" t="s">
        <v>1554</v>
      </c>
      <c r="D958" s="46"/>
      <c r="E958" s="46"/>
    </row>
    <row r="959" spans="1:5" s="11" customFormat="1">
      <c r="A959" s="83"/>
      <c r="B959" s="83"/>
      <c r="C959" s="46" t="s">
        <v>1555</v>
      </c>
      <c r="D959" s="46"/>
      <c r="E959" s="46"/>
    </row>
    <row r="960" spans="1:5" s="11" customFormat="1">
      <c r="A960" s="83"/>
      <c r="B960" s="83"/>
      <c r="C960" s="46" t="s">
        <v>1556</v>
      </c>
      <c r="D960" s="46"/>
      <c r="E960" s="46"/>
    </row>
    <row r="961" spans="1:6">
      <c r="A961" s="83"/>
      <c r="B961" s="83"/>
      <c r="C961" s="41" t="s">
        <v>1516</v>
      </c>
      <c r="D961" s="41"/>
      <c r="E961" s="41" t="s">
        <v>1557</v>
      </c>
      <c r="F961" s="11" t="s">
        <v>840</v>
      </c>
    </row>
    <row r="962" spans="1:6">
      <c r="A962" s="112"/>
      <c r="B962" s="112"/>
      <c r="C962" s="41" t="s">
        <v>215</v>
      </c>
      <c r="D962" s="41"/>
      <c r="E962" s="41"/>
      <c r="F962" s="11"/>
    </row>
    <row r="963" spans="1:6" ht="14.25" customHeight="1">
      <c r="A963" s="75" t="s">
        <v>313</v>
      </c>
      <c r="B963" s="75" t="s">
        <v>60</v>
      </c>
      <c r="C963" s="44" t="s">
        <v>1558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1559</v>
      </c>
      <c r="D964" s="44"/>
      <c r="E964" s="44"/>
      <c r="F964" s="11"/>
    </row>
    <row r="965" spans="1:6">
      <c r="A965" s="76"/>
      <c r="B965" s="76"/>
      <c r="C965" s="39" t="s">
        <v>1560</v>
      </c>
      <c r="D965" s="39"/>
      <c r="E965" s="39"/>
      <c r="F965" s="11"/>
    </row>
    <row r="966" spans="1:6">
      <c r="A966" s="76"/>
      <c r="B966" s="76"/>
      <c r="C966" s="39" t="s">
        <v>1561</v>
      </c>
      <c r="D966" s="39"/>
      <c r="E966" s="39"/>
      <c r="F966" s="11"/>
    </row>
    <row r="967" spans="1:6">
      <c r="A967" s="76"/>
      <c r="B967" s="76"/>
      <c r="C967" s="39" t="s">
        <v>1562</v>
      </c>
      <c r="D967" s="39"/>
      <c r="E967" s="39"/>
      <c r="F967" s="11"/>
    </row>
    <row r="968" spans="1:6">
      <c r="A968" s="76"/>
      <c r="B968" s="76"/>
      <c r="C968" s="44" t="s">
        <v>250</v>
      </c>
      <c r="D968" s="44"/>
      <c r="E968" s="44"/>
      <c r="F968" s="11"/>
    </row>
    <row r="969" spans="1:6">
      <c r="A969" s="76"/>
      <c r="B969" s="76"/>
      <c r="C969" s="44" t="s">
        <v>1563</v>
      </c>
      <c r="D969" s="44"/>
      <c r="E969" s="44"/>
      <c r="F969" s="11"/>
    </row>
    <row r="970" spans="1:6">
      <c r="A970" s="76"/>
      <c r="B970" s="76"/>
      <c r="C970" s="39" t="s">
        <v>1564</v>
      </c>
      <c r="D970" s="39"/>
      <c r="E970" s="39" t="s">
        <v>1565</v>
      </c>
      <c r="F970" s="11"/>
    </row>
    <row r="971" spans="1:6">
      <c r="A971" s="76"/>
      <c r="B971" s="76"/>
      <c r="C971" s="39" t="s">
        <v>1523</v>
      </c>
      <c r="D971" s="39"/>
      <c r="E971" s="39" t="s">
        <v>1524</v>
      </c>
      <c r="F971" s="11"/>
    </row>
    <row r="972" spans="1:6">
      <c r="A972" s="76"/>
      <c r="B972" s="76"/>
      <c r="C972" s="39" t="s">
        <v>215</v>
      </c>
      <c r="D972" s="39"/>
      <c r="E972" s="39"/>
      <c r="F972" s="11"/>
    </row>
    <row r="973" spans="1:6">
      <c r="A973" s="82" t="s">
        <v>314</v>
      </c>
      <c r="B973" s="82" t="s">
        <v>60</v>
      </c>
      <c r="C973" s="41" t="s">
        <v>1566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340</v>
      </c>
      <c r="D974" s="41"/>
      <c r="E974" s="41"/>
      <c r="F974" s="11"/>
    </row>
    <row r="975" spans="1:6">
      <c r="A975" s="83"/>
      <c r="B975" s="83"/>
      <c r="C975" s="41" t="s">
        <v>1567</v>
      </c>
      <c r="D975" s="41"/>
      <c r="E975" s="41"/>
      <c r="F975" s="11"/>
    </row>
    <row r="976" spans="1:6">
      <c r="A976" s="83"/>
      <c r="B976" s="83"/>
      <c r="C976" s="41" t="s">
        <v>373</v>
      </c>
      <c r="D976" s="41"/>
      <c r="E976" s="41"/>
      <c r="F976" s="11"/>
    </row>
    <row r="977" spans="1:6">
      <c r="A977" s="83"/>
      <c r="B977" s="83"/>
      <c r="C977" s="41" t="s">
        <v>498</v>
      </c>
      <c r="D977" s="41"/>
      <c r="E977" s="41"/>
      <c r="F977" s="11"/>
    </row>
    <row r="978" spans="1:6">
      <c r="A978" s="83"/>
      <c r="B978" s="83"/>
      <c r="C978" s="41" t="s">
        <v>392</v>
      </c>
      <c r="D978" s="41"/>
      <c r="E978" s="41"/>
      <c r="F978" s="11"/>
    </row>
    <row r="979" spans="1:6">
      <c r="A979" s="83"/>
      <c r="B979" s="83"/>
      <c r="C979" s="41" t="s">
        <v>1568</v>
      </c>
      <c r="D979" s="41"/>
      <c r="E979" s="41"/>
      <c r="F979" s="11"/>
    </row>
    <row r="980" spans="1:6">
      <c r="A980" s="83"/>
      <c r="B980" s="83"/>
      <c r="C980" s="41" t="s">
        <v>1416</v>
      </c>
      <c r="D980" s="41"/>
      <c r="E980" s="41"/>
      <c r="F980" s="11" t="s">
        <v>840</v>
      </c>
    </row>
    <row r="981" spans="1:6">
      <c r="A981" s="84" t="s">
        <v>316</v>
      </c>
      <c r="B981" s="75" t="s">
        <v>60</v>
      </c>
      <c r="C981" s="39" t="s">
        <v>1535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1536</v>
      </c>
      <c r="D982" s="39"/>
      <c r="E982" s="120" t="s">
        <v>1537</v>
      </c>
      <c r="F982" s="11"/>
    </row>
    <row r="983" spans="1:6">
      <c r="A983" s="85"/>
      <c r="B983" s="76"/>
      <c r="C983" s="39" t="s">
        <v>1538</v>
      </c>
      <c r="D983" s="39"/>
      <c r="E983" s="120"/>
      <c r="F983" s="11"/>
    </row>
    <row r="984" spans="1:6">
      <c r="A984" s="85"/>
      <c r="B984" s="76"/>
      <c r="C984" s="39" t="s">
        <v>100</v>
      </c>
      <c r="D984" s="39"/>
      <c r="E984" s="39"/>
      <c r="F984" s="11"/>
    </row>
    <row r="985" spans="1:6">
      <c r="A985" s="85"/>
      <c r="B985" s="76"/>
      <c r="C985" s="39" t="s">
        <v>1539</v>
      </c>
      <c r="D985" s="39"/>
      <c r="E985" s="39"/>
      <c r="F985" s="11"/>
    </row>
    <row r="986" spans="1:6">
      <c r="A986" s="85"/>
      <c r="B986" s="76"/>
      <c r="C986" s="39" t="s">
        <v>1540</v>
      </c>
      <c r="D986" s="39"/>
      <c r="E986" s="39"/>
      <c r="F986" s="11"/>
    </row>
    <row r="987" spans="1:6">
      <c r="A987" s="85"/>
      <c r="B987" s="76"/>
      <c r="C987" s="39" t="s">
        <v>1569</v>
      </c>
      <c r="D987" s="39"/>
      <c r="E987" s="39"/>
      <c r="F987" s="11" t="s">
        <v>840</v>
      </c>
    </row>
    <row r="988" spans="1:6">
      <c r="A988" s="86" t="s">
        <v>318</v>
      </c>
      <c r="B988" s="82" t="s">
        <v>60</v>
      </c>
      <c r="C988" s="41" t="s">
        <v>1570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1571</v>
      </c>
      <c r="D989" s="41"/>
      <c r="E989" s="41"/>
      <c r="F989" s="11"/>
    </row>
    <row r="990" spans="1:6">
      <c r="A990" s="87"/>
      <c r="B990" s="83"/>
      <c r="C990" s="41" t="s">
        <v>1572</v>
      </c>
      <c r="D990" s="41"/>
      <c r="E990" s="41"/>
      <c r="F990" s="11"/>
    </row>
    <row r="991" spans="1:6">
      <c r="A991" s="87"/>
      <c r="B991" s="83"/>
      <c r="C991" s="41" t="s">
        <v>1573</v>
      </c>
      <c r="D991" s="41"/>
      <c r="E991" s="41"/>
      <c r="F991" s="11"/>
    </row>
    <row r="992" spans="1:6">
      <c r="A992" s="87"/>
      <c r="B992" s="83"/>
      <c r="C992" s="41" t="s">
        <v>730</v>
      </c>
      <c r="D992" s="41"/>
      <c r="E992" s="41"/>
      <c r="F992" s="11"/>
    </row>
    <row r="993" spans="1:6">
      <c r="A993" s="87"/>
      <c r="B993" s="83"/>
      <c r="C993" s="41" t="s">
        <v>748</v>
      </c>
      <c r="D993" s="41"/>
      <c r="E993" s="41"/>
      <c r="F993" s="11"/>
    </row>
    <row r="994" spans="1:6">
      <c r="A994" s="113"/>
      <c r="B994" s="112"/>
      <c r="C994" s="41" t="s">
        <v>215</v>
      </c>
      <c r="D994" s="41"/>
      <c r="E994" s="41"/>
      <c r="F994" s="11"/>
    </row>
    <row r="995" spans="1:6">
      <c r="A995" s="75" t="s">
        <v>317</v>
      </c>
      <c r="B995" s="75" t="s">
        <v>60</v>
      </c>
      <c r="C995" s="39" t="s">
        <v>1574</v>
      </c>
      <c r="D995" s="44" t="str">
        <f>B995 &amp; " " &amp; A995</f>
        <v>מאפיין עיקרי לא סחיר נגזרים אחרים</v>
      </c>
      <c r="E995" s="39"/>
      <c r="F995" s="11" t="s">
        <v>1575</v>
      </c>
    </row>
    <row r="996" spans="1:6">
      <c r="A996" s="76"/>
      <c r="B996" s="76"/>
      <c r="C996" s="39" t="s">
        <v>1576</v>
      </c>
      <c r="D996" s="39"/>
      <c r="E996" s="39"/>
      <c r="F996" s="11"/>
    </row>
    <row r="997" spans="1:6">
      <c r="A997" s="76"/>
      <c r="B997" s="76"/>
      <c r="C997" s="39" t="s">
        <v>1577</v>
      </c>
      <c r="D997" s="39"/>
      <c r="E997" s="39"/>
      <c r="F997" s="11"/>
    </row>
    <row r="998" spans="1:6">
      <c r="A998" s="76"/>
      <c r="B998" s="76"/>
      <c r="C998" s="39" t="s">
        <v>669</v>
      </c>
      <c r="D998" s="39"/>
      <c r="E998" s="39"/>
      <c r="F998" s="11"/>
    </row>
    <row r="999" spans="1:6">
      <c r="A999" s="76"/>
      <c r="B999" s="76"/>
      <c r="C999" s="39" t="s">
        <v>1578</v>
      </c>
      <c r="D999" s="39"/>
      <c r="E999" s="39"/>
      <c r="F999" s="11"/>
    </row>
    <row r="1000" spans="1:6">
      <c r="A1000" s="76"/>
      <c r="B1000" s="76"/>
      <c r="C1000" s="39" t="s">
        <v>1579</v>
      </c>
      <c r="D1000" s="39"/>
      <c r="E1000" s="39"/>
      <c r="F1000" s="11"/>
    </row>
    <row r="1001" spans="1:6">
      <c r="A1001" s="76"/>
      <c r="B1001" s="76"/>
      <c r="C1001" s="39" t="s">
        <v>1580</v>
      </c>
      <c r="D1001" s="39"/>
      <c r="E1001" s="39"/>
      <c r="F1001" s="11"/>
    </row>
    <row r="1002" spans="1:6">
      <c r="A1002" s="76"/>
      <c r="B1002" s="76"/>
      <c r="C1002" s="39" t="s">
        <v>1581</v>
      </c>
      <c r="D1002" s="39"/>
      <c r="E1002" s="39"/>
      <c r="F1002" s="11"/>
    </row>
    <row r="1003" spans="1:6">
      <c r="A1003" s="76"/>
      <c r="B1003" s="76"/>
      <c r="C1003" s="39" t="s">
        <v>1582</v>
      </c>
      <c r="D1003" s="39"/>
      <c r="E1003" s="39" t="s">
        <v>1583</v>
      </c>
      <c r="F1003" s="11" t="s">
        <v>840</v>
      </c>
    </row>
    <row r="1004" spans="1:6">
      <c r="A1004" s="86" t="s">
        <v>319</v>
      </c>
      <c r="B1004" s="82" t="s">
        <v>60</v>
      </c>
      <c r="C1004" s="41" t="s">
        <v>92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1541</v>
      </c>
      <c r="D1005" s="41"/>
      <c r="E1005" s="41"/>
      <c r="F1005" s="11"/>
    </row>
    <row r="1006" spans="1:6">
      <c r="A1006" s="87"/>
      <c r="B1006" s="83"/>
      <c r="C1006" s="41" t="s">
        <v>1584</v>
      </c>
      <c r="D1006" s="41"/>
      <c r="E1006" s="41"/>
      <c r="F1006" s="11"/>
    </row>
    <row r="1007" spans="1:6">
      <c r="A1007" s="87"/>
      <c r="B1007" s="83"/>
      <c r="C1007" s="41" t="s">
        <v>1585</v>
      </c>
      <c r="D1007" s="41"/>
      <c r="E1007" s="41"/>
      <c r="F1007" s="11"/>
    </row>
    <row r="1008" spans="1:6">
      <c r="A1008" s="87"/>
      <c r="B1008" s="83"/>
      <c r="C1008" s="41" t="s">
        <v>1586</v>
      </c>
      <c r="D1008" s="41"/>
      <c r="E1008" s="41"/>
      <c r="F1008" s="11"/>
    </row>
    <row r="1009" spans="1:6">
      <c r="A1009" s="87"/>
      <c r="B1009" s="83"/>
      <c r="C1009" s="41" t="s">
        <v>1587</v>
      </c>
      <c r="D1009" s="41"/>
      <c r="E1009" s="41"/>
      <c r="F1009" s="11"/>
    </row>
    <row r="1010" spans="1:6">
      <c r="A1010" s="75" t="s">
        <v>320</v>
      </c>
      <c r="B1010" s="75" t="s">
        <v>60</v>
      </c>
      <c r="C1010" s="39" t="s">
        <v>1331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1509</v>
      </c>
      <c r="D1011" s="39"/>
      <c r="E1011" s="39"/>
      <c r="F1011" s="11"/>
    </row>
    <row r="1012" spans="1:6">
      <c r="A1012" s="76"/>
      <c r="B1012" s="76"/>
      <c r="C1012" s="39" t="s">
        <v>1506</v>
      </c>
      <c r="D1012" s="39"/>
      <c r="E1012" s="39"/>
      <c r="F1012" s="11"/>
    </row>
    <row r="1013" spans="1:6">
      <c r="A1013" s="76"/>
      <c r="B1013" s="76"/>
      <c r="C1013" s="39" t="s">
        <v>124</v>
      </c>
      <c r="D1013" s="39"/>
      <c r="E1013" s="39"/>
      <c r="F1013" s="11"/>
    </row>
    <row r="1014" spans="1:6">
      <c r="A1014" s="76"/>
      <c r="B1014" s="76"/>
      <c r="C1014" s="39" t="s">
        <v>1588</v>
      </c>
      <c r="D1014" s="39"/>
      <c r="E1014" s="39" t="s">
        <v>1589</v>
      </c>
      <c r="F1014" s="11"/>
    </row>
    <row r="1015" spans="1:6">
      <c r="A1015" s="76"/>
      <c r="B1015" s="76"/>
      <c r="C1015" s="39" t="s">
        <v>215</v>
      </c>
      <c r="D1015" s="39"/>
      <c r="E1015" s="39"/>
      <c r="F1015" s="11"/>
    </row>
    <row r="1016" spans="1:6">
      <c r="A1016" s="82" t="s">
        <v>321</v>
      </c>
      <c r="B1016" s="82" t="s">
        <v>60</v>
      </c>
      <c r="C1016" s="41" t="s">
        <v>777</v>
      </c>
      <c r="D1016" s="41" t="str">
        <f>B1016 &amp; " " &amp; A1016</f>
        <v>מאפיין עיקרי זכויות מקרקעין</v>
      </c>
      <c r="E1016" s="41"/>
      <c r="F1016" s="11" t="s">
        <v>1575</v>
      </c>
    </row>
    <row r="1017" spans="1:6">
      <c r="A1017" s="83"/>
      <c r="B1017" s="83"/>
      <c r="C1017" s="41" t="s">
        <v>1590</v>
      </c>
      <c r="D1017" s="41"/>
      <c r="E1017" s="41"/>
      <c r="F1017" s="11"/>
    </row>
    <row r="1018" spans="1:6">
      <c r="A1018" s="75" t="s">
        <v>323</v>
      </c>
      <c r="B1018" s="75" t="s">
        <v>60</v>
      </c>
      <c r="C1018" s="39" t="s">
        <v>1591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1592</v>
      </c>
      <c r="D1019" s="39"/>
      <c r="E1019" s="39"/>
      <c r="F1019" s="11"/>
    </row>
    <row r="1020" spans="1:6">
      <c r="A1020" s="76"/>
      <c r="B1020" s="76"/>
      <c r="C1020" s="39" t="s">
        <v>1593</v>
      </c>
      <c r="D1020" s="39"/>
      <c r="E1020" s="39"/>
      <c r="F1020" s="11"/>
    </row>
    <row r="1021" spans="1:6">
      <c r="A1021" s="76"/>
      <c r="B1021" s="76"/>
      <c r="C1021" s="39" t="s">
        <v>1594</v>
      </c>
      <c r="D1021" s="39"/>
      <c r="E1021" s="39"/>
      <c r="F1021" s="11" t="s">
        <v>840</v>
      </c>
    </row>
    <row r="1022" spans="1:6">
      <c r="A1022" s="76"/>
      <c r="B1022" s="76"/>
      <c r="C1022" s="39" t="s">
        <v>1595</v>
      </c>
      <c r="D1022" s="39"/>
      <c r="E1022" s="39"/>
      <c r="F1022" s="11"/>
    </row>
    <row r="1023" spans="1:6">
      <c r="A1023" s="76"/>
      <c r="B1023" s="76"/>
      <c r="C1023" s="39" t="s">
        <v>1596</v>
      </c>
      <c r="D1023" s="39"/>
      <c r="E1023" s="39"/>
      <c r="F1023" s="11"/>
    </row>
    <row r="1024" spans="1:6">
      <c r="A1024" s="76"/>
      <c r="B1024" s="76"/>
      <c r="C1024" s="39" t="s">
        <v>1597</v>
      </c>
      <c r="D1024" s="39"/>
      <c r="E1024" s="39"/>
      <c r="F1024" s="11" t="s">
        <v>840</v>
      </c>
    </row>
    <row r="1025" spans="1:5" s="11" customFormat="1">
      <c r="A1025" s="76"/>
      <c r="B1025" s="76"/>
      <c r="C1025" s="39" t="s">
        <v>796</v>
      </c>
      <c r="D1025" s="39"/>
      <c r="E1025" s="39"/>
    </row>
    <row r="1026" spans="1:5" s="11" customFormat="1">
      <c r="A1026" s="76"/>
      <c r="B1026" s="76"/>
      <c r="C1026" s="39" t="s">
        <v>1598</v>
      </c>
      <c r="D1026" s="39"/>
      <c r="E1026" s="39"/>
    </row>
    <row r="1027" spans="1:5" s="11" customFormat="1">
      <c r="A1027" s="76"/>
      <c r="B1027" s="76"/>
      <c r="C1027" s="39" t="s">
        <v>1599</v>
      </c>
      <c r="D1027" s="39"/>
      <c r="E1027" s="39"/>
    </row>
    <row r="1028" spans="1:5" s="11" customFormat="1">
      <c r="A1028" s="76"/>
      <c r="B1028" s="76"/>
      <c r="C1028" s="39" t="s">
        <v>1600</v>
      </c>
      <c r="D1028" s="39"/>
      <c r="E1028" s="39"/>
    </row>
    <row r="1029" spans="1:5" s="11" customFormat="1">
      <c r="A1029" s="76"/>
      <c r="B1029" s="76"/>
      <c r="C1029" s="39" t="s">
        <v>1601</v>
      </c>
      <c r="D1029" s="39"/>
      <c r="E1029" s="39"/>
    </row>
    <row r="1030" spans="1:5" s="11" customFormat="1">
      <c r="A1030" s="76"/>
      <c r="B1030" s="76"/>
      <c r="C1030" s="39" t="s">
        <v>1602</v>
      </c>
      <c r="D1030" s="39"/>
      <c r="E1030" s="39"/>
    </row>
    <row r="1031" spans="1:5" s="11" customFormat="1">
      <c r="A1031" s="76"/>
      <c r="B1031" s="76"/>
      <c r="C1031" s="39" t="s">
        <v>1603</v>
      </c>
      <c r="D1031" s="39"/>
      <c r="E1031" s="39"/>
    </row>
    <row r="1032" spans="1:5" s="11" customFormat="1">
      <c r="A1032" s="76"/>
      <c r="B1032" s="76"/>
      <c r="C1032" s="39" t="s">
        <v>1604</v>
      </c>
      <c r="D1032" s="39"/>
      <c r="E1032" s="39"/>
    </row>
    <row r="1033" spans="1:5" s="11" customFormat="1">
      <c r="A1033" s="76"/>
      <c r="B1033" s="76"/>
      <c r="C1033" s="39" t="s">
        <v>788</v>
      </c>
      <c r="D1033" s="39"/>
      <c r="E1033" s="39"/>
    </row>
    <row r="1034" spans="1:5" s="11" customFormat="1">
      <c r="A1034" s="76"/>
      <c r="B1034" s="76"/>
      <c r="C1034" s="39" t="s">
        <v>1605</v>
      </c>
      <c r="D1034" s="39"/>
      <c r="E1034" s="39"/>
    </row>
    <row r="1035" spans="1:5" s="11" customFormat="1">
      <c r="A1035" s="76"/>
      <c r="B1035" s="76"/>
      <c r="C1035" s="39" t="s">
        <v>791</v>
      </c>
      <c r="D1035" s="39"/>
      <c r="E1035" s="39"/>
    </row>
    <row r="1036" spans="1:5" s="11" customFormat="1">
      <c r="A1036" s="76"/>
      <c r="B1036" s="76"/>
      <c r="C1036" s="39" t="s">
        <v>1606</v>
      </c>
      <c r="D1036" s="39"/>
      <c r="E1036" s="39"/>
    </row>
    <row r="1037" spans="1:5" s="11" customFormat="1">
      <c r="A1037" s="76"/>
      <c r="B1037" s="76"/>
      <c r="C1037" s="39" t="s">
        <v>1607</v>
      </c>
      <c r="D1037" s="39"/>
      <c r="E1037" s="39"/>
    </row>
    <row r="1038" spans="1:5" s="11" customFormat="1">
      <c r="A1038" s="76"/>
      <c r="B1038" s="76"/>
      <c r="C1038" s="39" t="s">
        <v>1608</v>
      </c>
      <c r="D1038" s="39"/>
      <c r="E1038" s="39"/>
    </row>
    <row r="1039" spans="1:5" s="11" customFormat="1">
      <c r="A1039" s="76"/>
      <c r="B1039" s="76"/>
      <c r="C1039" s="39" t="s">
        <v>1609</v>
      </c>
      <c r="D1039" s="39"/>
      <c r="E1039" s="39"/>
    </row>
    <row r="1040" spans="1:5" s="11" customFormat="1">
      <c r="A1040" s="76"/>
      <c r="B1040" s="76"/>
      <c r="C1040" s="39" t="s">
        <v>1610</v>
      </c>
      <c r="D1040" s="39"/>
      <c r="E1040" s="39"/>
    </row>
    <row r="1041" spans="1:6">
      <c r="A1041" s="76"/>
      <c r="B1041" s="76"/>
      <c r="C1041" s="39" t="s">
        <v>1611</v>
      </c>
      <c r="D1041" s="39"/>
      <c r="E1041" s="39"/>
      <c r="F1041" s="11"/>
    </row>
    <row r="1042" spans="1:6">
      <c r="A1042" s="76"/>
      <c r="B1042" s="76"/>
      <c r="C1042" s="39" t="s">
        <v>1612</v>
      </c>
      <c r="D1042" s="39"/>
      <c r="E1042" s="39"/>
      <c r="F1042" s="11"/>
    </row>
    <row r="1043" spans="1:6">
      <c r="A1043" s="76"/>
      <c r="B1043" s="76"/>
      <c r="C1043" s="39" t="s">
        <v>1613</v>
      </c>
      <c r="D1043" s="39"/>
      <c r="E1043" s="39"/>
      <c r="F1043" s="11"/>
    </row>
    <row r="1044" spans="1:6">
      <c r="A1044" s="76"/>
      <c r="B1044" s="76"/>
      <c r="C1044" s="39" t="s">
        <v>1614</v>
      </c>
      <c r="D1044" s="39"/>
      <c r="E1044" s="39"/>
      <c r="F1044" s="11"/>
    </row>
    <row r="1045" spans="1:6">
      <c r="A1045" s="76"/>
      <c r="B1045" s="76"/>
      <c r="C1045" s="39" t="s">
        <v>1615</v>
      </c>
      <c r="D1045" s="39"/>
      <c r="E1045" s="39"/>
      <c r="F1045" s="11"/>
    </row>
    <row r="1046" spans="1:6">
      <c r="A1046" s="76"/>
      <c r="B1046" s="76"/>
      <c r="C1046" s="39" t="s">
        <v>1616</v>
      </c>
      <c r="D1046" s="39"/>
      <c r="E1046" s="39"/>
      <c r="F1046" s="11"/>
    </row>
    <row r="1047" spans="1:6">
      <c r="A1047" s="76"/>
      <c r="B1047" s="76"/>
      <c r="C1047" s="39" t="s">
        <v>1617</v>
      </c>
      <c r="D1047" s="39"/>
      <c r="E1047" s="39"/>
      <c r="F1047" s="11"/>
    </row>
    <row r="1048" spans="1:6">
      <c r="A1048" s="76"/>
      <c r="B1048" s="76"/>
      <c r="C1048" s="39" t="s">
        <v>1618</v>
      </c>
      <c r="D1048" s="39"/>
      <c r="E1048" s="39"/>
      <c r="F1048" s="11"/>
    </row>
    <row r="1049" spans="1:6">
      <c r="A1049" s="76"/>
      <c r="B1049" s="76"/>
      <c r="C1049" s="120" t="s">
        <v>1619</v>
      </c>
      <c r="D1049" s="120"/>
      <c r="E1049" s="39"/>
      <c r="F1049" s="11" t="s">
        <v>840</v>
      </c>
    </row>
    <row r="1050" spans="1:6">
      <c r="A1050" s="76"/>
      <c r="B1050" s="76"/>
      <c r="C1050" s="39" t="s">
        <v>1620</v>
      </c>
      <c r="D1050" s="39"/>
      <c r="E1050" s="39"/>
      <c r="F1050" s="11"/>
    </row>
    <row r="1051" spans="1:6">
      <c r="A1051" s="76"/>
      <c r="B1051" s="76"/>
      <c r="C1051" s="39" t="s">
        <v>215</v>
      </c>
      <c r="D1051" s="39"/>
      <c r="E1051" s="39"/>
      <c r="F1051" s="11"/>
    </row>
    <row r="1052" spans="1:6">
      <c r="A1052" s="52" t="s">
        <v>322</v>
      </c>
      <c r="B1052" s="52" t="s">
        <v>60</v>
      </c>
      <c r="C1052" s="41" t="s">
        <v>1621</v>
      </c>
      <c r="D1052" s="41" t="str">
        <f>B1052 &amp; " " &amp; A1052</f>
        <v>מאפיין עיקרי השקעה בחברות מוחזקות</v>
      </c>
      <c r="E1052" s="41"/>
      <c r="F1052" s="11" t="s">
        <v>1575</v>
      </c>
    </row>
    <row r="1053" spans="1:6">
      <c r="A1053" s="53"/>
      <c r="B1053" s="53"/>
      <c r="C1053" s="41" t="s">
        <v>1622</v>
      </c>
      <c r="D1053" s="41"/>
      <c r="E1053" s="41"/>
      <c r="F1053" s="11"/>
    </row>
    <row r="1054" spans="1:6">
      <c r="A1054" s="53"/>
      <c r="B1054" s="53"/>
      <c r="C1054" s="41" t="s">
        <v>215</v>
      </c>
      <c r="D1054" s="41"/>
      <c r="E1054" s="41"/>
      <c r="F1054" s="11"/>
    </row>
    <row r="1055" spans="1:6">
      <c r="A1055" s="75" t="s">
        <v>326</v>
      </c>
      <c r="B1055" s="75" t="s">
        <v>60</v>
      </c>
      <c r="C1055" s="39" t="s">
        <v>1623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1624</v>
      </c>
      <c r="D1056" s="39"/>
      <c r="E1056" s="39" t="s">
        <v>1625</v>
      </c>
      <c r="F1056" s="11"/>
    </row>
    <row r="1057" spans="1:6">
      <c r="A1057" s="76"/>
      <c r="B1057" s="76"/>
      <c r="C1057" s="39" t="s">
        <v>1626</v>
      </c>
      <c r="D1057" s="39"/>
      <c r="E1057" s="39" t="s">
        <v>1627</v>
      </c>
      <c r="F1057" s="11"/>
    </row>
    <row r="1058" spans="1:6">
      <c r="A1058" s="76"/>
      <c r="B1058" s="76"/>
      <c r="C1058" s="39" t="s">
        <v>1628</v>
      </c>
      <c r="D1058" s="39"/>
      <c r="E1058" s="39" t="s">
        <v>1629</v>
      </c>
      <c r="F1058" s="11"/>
    </row>
  </sheetData>
  <autoFilter ref="A1:G1058" xr:uid="{00000000-0001-0000-1F00-00000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1630</v>
      </c>
      <c r="B1" s="99" t="s">
        <v>1631</v>
      </c>
      <c r="C1" s="99" t="s">
        <v>1632</v>
      </c>
      <c r="D1" s="100" t="s">
        <v>1633</v>
      </c>
    </row>
    <row r="2" spans="1:4" ht="15.75" hidden="1" outlineLevel="1">
      <c r="A2" s="24" t="s">
        <v>297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297</v>
      </c>
      <c r="B3" s="25" t="s">
        <v>15</v>
      </c>
      <c r="C3" s="24">
        <v>5.2</v>
      </c>
      <c r="D3" s="102"/>
    </row>
    <row r="4" spans="1:4" ht="15.75" hidden="1" outlineLevel="1">
      <c r="A4" s="24" t="s">
        <v>297</v>
      </c>
      <c r="B4" s="25" t="s">
        <v>762</v>
      </c>
      <c r="C4" s="24">
        <v>5.4</v>
      </c>
      <c r="D4" s="102"/>
    </row>
    <row r="5" spans="1:4" ht="15.75" hidden="1" outlineLevel="1">
      <c r="A5" s="24" t="s">
        <v>297</v>
      </c>
      <c r="B5" s="25" t="s">
        <v>763</v>
      </c>
      <c r="C5" s="24">
        <v>5.7</v>
      </c>
      <c r="D5" s="102"/>
    </row>
    <row r="6" spans="1:4" ht="15.75" hidden="1" outlineLevel="1">
      <c r="A6" s="24" t="s">
        <v>297</v>
      </c>
      <c r="B6" s="25" t="s">
        <v>764</v>
      </c>
      <c r="C6" s="24">
        <v>5.1100000000000003</v>
      </c>
      <c r="D6" s="102"/>
    </row>
    <row r="7" spans="1:4" ht="15.75" hidden="1" outlineLevel="1">
      <c r="A7" s="24" t="s">
        <v>297</v>
      </c>
      <c r="B7" s="25" t="s">
        <v>60</v>
      </c>
      <c r="C7" s="24">
        <v>5.26</v>
      </c>
      <c r="D7" s="102"/>
    </row>
    <row r="8" spans="1:4" ht="15.75" hidden="1" outlineLevel="1">
      <c r="A8" s="24" t="s">
        <v>297</v>
      </c>
      <c r="B8" s="25" t="s">
        <v>22</v>
      </c>
      <c r="C8" s="24">
        <v>5.27</v>
      </c>
      <c r="D8" s="102"/>
    </row>
    <row r="9" spans="1:4" ht="15.75" hidden="1" outlineLevel="1">
      <c r="A9" s="24" t="s">
        <v>297</v>
      </c>
      <c r="B9" s="25" t="s">
        <v>29</v>
      </c>
      <c r="C9" s="24">
        <v>5.36</v>
      </c>
      <c r="D9" s="102"/>
    </row>
    <row r="10" spans="1:4" ht="15.75" hidden="1" outlineLevel="1">
      <c r="A10" s="24" t="s">
        <v>297</v>
      </c>
      <c r="B10" s="25" t="s">
        <v>766</v>
      </c>
      <c r="C10" s="26">
        <v>5.5</v>
      </c>
      <c r="D10" s="102"/>
    </row>
    <row r="11" spans="1:4" ht="15.75" hidden="1" outlineLevel="1">
      <c r="A11" s="24" t="s">
        <v>297</v>
      </c>
      <c r="B11" s="25" t="s">
        <v>86</v>
      </c>
      <c r="C11" s="24">
        <v>5.51</v>
      </c>
      <c r="D11" s="102"/>
    </row>
    <row r="12" spans="1:4" ht="15.75" hidden="1" outlineLevel="1">
      <c r="A12" s="24" t="s">
        <v>297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297</v>
      </c>
      <c r="B13" s="25" t="s">
        <v>767</v>
      </c>
      <c r="C13" s="24">
        <v>5.59</v>
      </c>
      <c r="D13" s="102"/>
    </row>
    <row r="14" spans="1:4" ht="15.75" hidden="1" outlineLevel="1">
      <c r="A14" s="24" t="s">
        <v>297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297</v>
      </c>
      <c r="B15" s="25" t="s">
        <v>83</v>
      </c>
      <c r="C15" s="26">
        <v>5.7</v>
      </c>
      <c r="D15" s="101" t="s">
        <v>1634</v>
      </c>
    </row>
    <row r="16" spans="1:4" ht="15.75" hidden="1" outlineLevel="1">
      <c r="A16" s="24" t="s">
        <v>297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297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297</v>
      </c>
      <c r="B18" s="25" t="s">
        <v>38</v>
      </c>
      <c r="C18" s="24">
        <v>5.48</v>
      </c>
      <c r="D18" s="102"/>
    </row>
    <row r="19" spans="1:4" ht="15.75" collapsed="1">
      <c r="A19" s="29" t="s">
        <v>297</v>
      </c>
      <c r="B19" s="25"/>
      <c r="C19" s="24"/>
      <c r="D19" s="102"/>
    </row>
    <row r="20" spans="1:4" ht="15.75" hidden="1" outlineLevel="1">
      <c r="A20" s="24" t="s">
        <v>298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298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298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298</v>
      </c>
      <c r="B23" s="25" t="s">
        <v>1635</v>
      </c>
      <c r="C23" s="24">
        <v>5.14</v>
      </c>
      <c r="D23" s="102"/>
    </row>
    <row r="24" spans="1:4" ht="15.75" hidden="1" outlineLevel="1">
      <c r="A24" s="24" t="s">
        <v>298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298</v>
      </c>
      <c r="B25" s="25" t="s">
        <v>60</v>
      </c>
      <c r="C25" s="24">
        <v>5.26</v>
      </c>
      <c r="D25" s="102"/>
    </row>
    <row r="26" spans="1:4" ht="15.75" hidden="1" outlineLevel="1">
      <c r="A26" s="24" t="s">
        <v>298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298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298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298</v>
      </c>
      <c r="B29" s="25" t="s">
        <v>85</v>
      </c>
      <c r="C29" s="24">
        <v>5.49</v>
      </c>
      <c r="D29" s="102"/>
    </row>
    <row r="30" spans="1:4" ht="15.75" hidden="1" outlineLevel="1">
      <c r="A30" s="24" t="s">
        <v>298</v>
      </c>
      <c r="B30" s="25" t="s">
        <v>86</v>
      </c>
      <c r="C30" s="24">
        <v>5.51</v>
      </c>
      <c r="D30" s="102"/>
    </row>
    <row r="31" spans="1:4" ht="15.75" hidden="1" outlineLevel="1">
      <c r="A31" s="24" t="s">
        <v>298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298</v>
      </c>
      <c r="B32" s="25" t="s">
        <v>82</v>
      </c>
      <c r="C32" s="24">
        <v>5.69</v>
      </c>
      <c r="D32" s="102"/>
    </row>
    <row r="33" spans="1:4" ht="15.75" hidden="1" outlineLevel="1">
      <c r="A33" s="24" t="s">
        <v>298</v>
      </c>
      <c r="B33" s="25" t="s">
        <v>103</v>
      </c>
      <c r="C33" s="24">
        <v>5.75</v>
      </c>
      <c r="D33" s="102"/>
    </row>
    <row r="34" spans="1:4" ht="15.75" hidden="1" outlineLevel="1">
      <c r="A34" s="24" t="s">
        <v>298</v>
      </c>
      <c r="B34" s="25" t="s">
        <v>83</v>
      </c>
      <c r="C34" s="26">
        <v>5.7</v>
      </c>
      <c r="D34" s="102"/>
    </row>
    <row r="35" spans="1:4" ht="15.75" hidden="1" outlineLevel="1">
      <c r="A35" s="24" t="s">
        <v>298</v>
      </c>
      <c r="B35" s="25" t="s">
        <v>84</v>
      </c>
      <c r="C35" s="24">
        <v>5.74</v>
      </c>
      <c r="D35" s="102"/>
    </row>
    <row r="36" spans="1:4" ht="15.75" hidden="1" outlineLevel="1">
      <c r="A36" s="24" t="s">
        <v>298</v>
      </c>
      <c r="B36" s="25" t="s">
        <v>1636</v>
      </c>
      <c r="C36" s="24">
        <v>5.62</v>
      </c>
      <c r="D36" s="102"/>
    </row>
    <row r="37" spans="1:4" ht="15.75" hidden="1" outlineLevel="1">
      <c r="A37" s="24" t="s">
        <v>298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298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298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298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298</v>
      </c>
      <c r="B41" s="25" t="s">
        <v>104</v>
      </c>
      <c r="C41" s="24">
        <v>5.65</v>
      </c>
      <c r="D41" s="102"/>
    </row>
    <row r="42" spans="1:4" ht="15.75" hidden="1" outlineLevel="1">
      <c r="A42" s="24" t="s">
        <v>298</v>
      </c>
      <c r="B42" s="25" t="s">
        <v>105</v>
      </c>
      <c r="C42" s="24">
        <v>5.68</v>
      </c>
      <c r="D42" s="102"/>
    </row>
    <row r="43" spans="1:4" ht="15.75" hidden="1" outlineLevel="1">
      <c r="A43" s="24" t="s">
        <v>298</v>
      </c>
      <c r="B43" s="25" t="s">
        <v>1637</v>
      </c>
      <c r="C43" s="24">
        <v>5.45</v>
      </c>
      <c r="D43" s="102"/>
    </row>
    <row r="44" spans="1:4" ht="15.75" hidden="1" outlineLevel="1">
      <c r="A44" s="24" t="s">
        <v>298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298</v>
      </c>
      <c r="B45" s="25" t="s">
        <v>38</v>
      </c>
      <c r="C45" s="24">
        <v>5.48</v>
      </c>
      <c r="D45" s="102"/>
    </row>
    <row r="46" spans="1:4" ht="15.75" collapsed="1">
      <c r="A46" s="29" t="s">
        <v>298</v>
      </c>
      <c r="B46" s="25"/>
      <c r="C46" s="24"/>
      <c r="D46" s="102"/>
    </row>
    <row r="47" spans="1:4" ht="15.75" hidden="1" outlineLevel="1">
      <c r="A47" s="24" t="s">
        <v>299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299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299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299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299</v>
      </c>
      <c r="B51" s="25" t="s">
        <v>1638</v>
      </c>
      <c r="C51" s="26">
        <v>5.0999999999999996</v>
      </c>
      <c r="D51" s="102"/>
    </row>
    <row r="52" spans="1:4" ht="15.75" hidden="1" outlineLevel="1">
      <c r="A52" s="24" t="s">
        <v>299</v>
      </c>
      <c r="B52" s="25" t="s">
        <v>1635</v>
      </c>
      <c r="C52" s="24">
        <v>5.14</v>
      </c>
      <c r="D52" s="102"/>
    </row>
    <row r="53" spans="1:4" ht="15.75" hidden="1" outlineLevel="1">
      <c r="A53" s="24" t="s">
        <v>299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299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299</v>
      </c>
      <c r="B55" s="25" t="s">
        <v>60</v>
      </c>
      <c r="C55" s="24">
        <v>5.26</v>
      </c>
      <c r="D55" s="102"/>
    </row>
    <row r="56" spans="1:4" ht="15.75" hidden="1" outlineLevel="1">
      <c r="A56" s="24" t="s">
        <v>299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299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299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299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299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299</v>
      </c>
      <c r="B61" s="25" t="s">
        <v>85</v>
      </c>
      <c r="C61" s="24">
        <v>5.49</v>
      </c>
      <c r="D61" s="102"/>
    </row>
    <row r="62" spans="1:4" ht="15.75" hidden="1" outlineLevel="1">
      <c r="A62" s="24" t="s">
        <v>299</v>
      </c>
      <c r="B62" s="25" t="s">
        <v>86</v>
      </c>
      <c r="C62" s="24">
        <v>5.51</v>
      </c>
      <c r="D62" s="102"/>
    </row>
    <row r="63" spans="1:4" ht="15.75" hidden="1" outlineLevel="1">
      <c r="A63" s="24" t="s">
        <v>299</v>
      </c>
      <c r="B63" s="25" t="s">
        <v>1639</v>
      </c>
      <c r="C63" s="24">
        <v>5.52</v>
      </c>
      <c r="D63" s="102"/>
    </row>
    <row r="64" spans="1:4" ht="15.75" hidden="1" outlineLevel="1">
      <c r="A64" s="24" t="s">
        <v>299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299</v>
      </c>
      <c r="B65" s="25" t="s">
        <v>82</v>
      </c>
      <c r="C65" s="24">
        <v>5.69</v>
      </c>
      <c r="D65" s="102"/>
    </row>
    <row r="66" spans="1:4" ht="15.75" hidden="1" outlineLevel="1">
      <c r="A66" s="24" t="s">
        <v>299</v>
      </c>
      <c r="B66" s="25" t="s">
        <v>111</v>
      </c>
      <c r="C66" s="26">
        <v>5.72</v>
      </c>
      <c r="D66" s="102"/>
    </row>
    <row r="67" spans="1:4" ht="15.75" hidden="1" outlineLevel="1">
      <c r="A67" s="24" t="s">
        <v>299</v>
      </c>
      <c r="B67" s="25" t="s">
        <v>103</v>
      </c>
      <c r="C67" s="24">
        <v>5.75</v>
      </c>
      <c r="D67" s="102"/>
    </row>
    <row r="68" spans="1:4" ht="15.75" hidden="1" outlineLevel="1">
      <c r="A68" s="24" t="s">
        <v>299</v>
      </c>
      <c r="B68" s="25" t="s">
        <v>83</v>
      </c>
      <c r="C68" s="26">
        <v>5.7</v>
      </c>
      <c r="D68" s="102"/>
    </row>
    <row r="69" spans="1:4" ht="15.75" hidden="1" outlineLevel="1">
      <c r="A69" s="24" t="s">
        <v>299</v>
      </c>
      <c r="B69" s="25" t="s">
        <v>84</v>
      </c>
      <c r="C69" s="24">
        <v>5.74</v>
      </c>
      <c r="D69" s="102"/>
    </row>
    <row r="70" spans="1:4" ht="15.75" hidden="1" outlineLevel="1">
      <c r="A70" s="24" t="s">
        <v>299</v>
      </c>
      <c r="B70" s="25" t="s">
        <v>112</v>
      </c>
      <c r="C70" s="24">
        <v>5.76</v>
      </c>
      <c r="D70" s="102"/>
    </row>
    <row r="71" spans="1:4" ht="15.75" hidden="1" outlineLevel="1">
      <c r="A71" s="24" t="s">
        <v>299</v>
      </c>
      <c r="B71" s="25" t="s">
        <v>113</v>
      </c>
      <c r="C71" s="24">
        <v>5.89</v>
      </c>
      <c r="D71" s="101" t="s">
        <v>1634</v>
      </c>
    </row>
    <row r="72" spans="1:4" ht="15.75" hidden="1" outlineLevel="1">
      <c r="A72" s="24" t="s">
        <v>299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299</v>
      </c>
      <c r="B73" s="25" t="s">
        <v>1636</v>
      </c>
      <c r="C73" s="24">
        <v>5.62</v>
      </c>
      <c r="D73" s="102"/>
    </row>
    <row r="74" spans="1:4" ht="15.75" hidden="1" outlineLevel="1">
      <c r="A74" s="24" t="s">
        <v>299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299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299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299</v>
      </c>
      <c r="B77" s="25" t="s">
        <v>104</v>
      </c>
      <c r="C77" s="24">
        <v>5.65</v>
      </c>
      <c r="D77" s="102"/>
    </row>
    <row r="78" spans="1:4" ht="15.75" hidden="1" outlineLevel="1">
      <c r="A78" s="24" t="s">
        <v>299</v>
      </c>
      <c r="B78" s="25" t="s">
        <v>119</v>
      </c>
      <c r="C78" s="24">
        <v>5.66</v>
      </c>
      <c r="D78" s="102"/>
    </row>
    <row r="79" spans="1:4" ht="15.75" hidden="1" outlineLevel="1">
      <c r="A79" s="24" t="s">
        <v>299</v>
      </c>
      <c r="B79" s="25" t="s">
        <v>105</v>
      </c>
      <c r="C79" s="24">
        <v>5.68</v>
      </c>
      <c r="D79" s="102"/>
    </row>
    <row r="80" spans="1:4" ht="15.75" hidden="1" outlineLevel="1">
      <c r="A80" s="24" t="s">
        <v>299</v>
      </c>
      <c r="B80" s="25" t="s">
        <v>1637</v>
      </c>
      <c r="C80" s="24">
        <v>5.45</v>
      </c>
      <c r="D80" s="102"/>
    </row>
    <row r="81" spans="1:4" ht="15.75" hidden="1" outlineLevel="1">
      <c r="A81" s="24" t="s">
        <v>299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299</v>
      </c>
      <c r="B82" s="25" t="s">
        <v>38</v>
      </c>
      <c r="C82" s="24">
        <v>5.48</v>
      </c>
      <c r="D82" s="102"/>
    </row>
    <row r="83" spans="1:4" ht="15.75" collapsed="1">
      <c r="A83" s="29" t="s">
        <v>299</v>
      </c>
      <c r="B83" s="25"/>
      <c r="C83" s="24"/>
      <c r="D83" s="102"/>
    </row>
    <row r="84" spans="1:4" ht="15.75" hidden="1" outlineLevel="1">
      <c r="A84" s="24" t="s">
        <v>300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300</v>
      </c>
      <c r="B85" s="25" t="s">
        <v>15</v>
      </c>
      <c r="C85" s="24">
        <v>5.2</v>
      </c>
      <c r="D85" s="102"/>
    </row>
    <row r="86" spans="1:4" ht="15.75" hidden="1" outlineLevel="1">
      <c r="A86" s="24" t="s">
        <v>300</v>
      </c>
      <c r="B86" s="25" t="s">
        <v>16</v>
      </c>
      <c r="C86" s="24">
        <v>5.3</v>
      </c>
      <c r="D86" s="102"/>
    </row>
    <row r="87" spans="1:4" ht="15.75" hidden="1" outlineLevel="1">
      <c r="A87" s="24" t="s">
        <v>300</v>
      </c>
      <c r="B87" s="25" t="s">
        <v>17</v>
      </c>
      <c r="C87" s="24">
        <v>5.6</v>
      </c>
      <c r="D87" s="102"/>
    </row>
    <row r="88" spans="1:4" ht="15.75" hidden="1" outlineLevel="1">
      <c r="A88" s="24" t="s">
        <v>300</v>
      </c>
      <c r="B88" s="25" t="s">
        <v>1638</v>
      </c>
      <c r="C88" s="26">
        <v>5.0999999999999996</v>
      </c>
      <c r="D88" s="102"/>
    </row>
    <row r="89" spans="1:4" ht="15.75" hidden="1" outlineLevel="1">
      <c r="A89" s="24" t="s">
        <v>300</v>
      </c>
      <c r="B89" s="25" t="s">
        <v>1635</v>
      </c>
      <c r="C89" s="24">
        <v>5.14</v>
      </c>
      <c r="D89" s="102"/>
    </row>
    <row r="90" spans="1:4" ht="15.75" hidden="1" outlineLevel="1">
      <c r="A90" s="24" t="s">
        <v>300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300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300</v>
      </c>
      <c r="B92" s="25" t="s">
        <v>60</v>
      </c>
      <c r="C92" s="24">
        <v>5.26</v>
      </c>
      <c r="D92" s="102"/>
    </row>
    <row r="93" spans="1:4" ht="15.75" hidden="1" outlineLevel="1">
      <c r="A93" s="24" t="s">
        <v>300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300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300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300</v>
      </c>
      <c r="B96" s="25" t="s">
        <v>25</v>
      </c>
      <c r="C96" s="26">
        <v>5.3</v>
      </c>
      <c r="D96" s="102"/>
    </row>
    <row r="97" spans="1:4" ht="15.75" hidden="1" outlineLevel="1">
      <c r="A97" s="24" t="s">
        <v>300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300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300</v>
      </c>
      <c r="B99" s="25" t="s">
        <v>85</v>
      </c>
      <c r="C99" s="24">
        <v>5.49</v>
      </c>
      <c r="D99" s="102"/>
    </row>
    <row r="100" spans="1:4" ht="15.75" hidden="1" outlineLevel="1">
      <c r="A100" s="24" t="s">
        <v>300</v>
      </c>
      <c r="B100" s="25" t="s">
        <v>86</v>
      </c>
      <c r="C100" s="24">
        <v>5.51</v>
      </c>
      <c r="D100" s="102"/>
    </row>
    <row r="101" spans="1:4" ht="15.75" hidden="1" outlineLevel="1">
      <c r="A101" s="24" t="s">
        <v>300</v>
      </c>
      <c r="B101" s="25" t="s">
        <v>1639</v>
      </c>
      <c r="C101" s="24">
        <v>5.52</v>
      </c>
      <c r="D101" s="102"/>
    </row>
    <row r="102" spans="1:4" ht="15.75" hidden="1" outlineLevel="1">
      <c r="A102" s="24" t="s">
        <v>300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300</v>
      </c>
      <c r="B103" s="25" t="s">
        <v>82</v>
      </c>
      <c r="C103" s="24">
        <v>5.69</v>
      </c>
      <c r="D103" s="102"/>
    </row>
    <row r="104" spans="1:4" ht="15.75" hidden="1" outlineLevel="1">
      <c r="A104" s="24" t="s">
        <v>300</v>
      </c>
      <c r="B104" s="25" t="s">
        <v>103</v>
      </c>
      <c r="C104" s="24">
        <v>5.75</v>
      </c>
      <c r="D104" s="102"/>
    </row>
    <row r="105" spans="1:4" ht="15.75" hidden="1" outlineLevel="1">
      <c r="A105" s="24" t="s">
        <v>300</v>
      </c>
      <c r="B105" s="25" t="s">
        <v>83</v>
      </c>
      <c r="C105" s="26">
        <v>5.7</v>
      </c>
      <c r="D105" s="102"/>
    </row>
    <row r="106" spans="1:4" ht="15.75" hidden="1" outlineLevel="1">
      <c r="A106" s="24" t="s">
        <v>300</v>
      </c>
      <c r="B106" s="25" t="s">
        <v>84</v>
      </c>
      <c r="C106" s="24">
        <v>5.74</v>
      </c>
      <c r="D106" s="102"/>
    </row>
    <row r="107" spans="1:4" ht="15.75" hidden="1" outlineLevel="1">
      <c r="A107" s="24" t="s">
        <v>300</v>
      </c>
      <c r="B107" s="25" t="s">
        <v>112</v>
      </c>
      <c r="C107" s="24">
        <v>5.76</v>
      </c>
      <c r="D107" s="102"/>
    </row>
    <row r="108" spans="1:4" ht="15.75" hidden="1" outlineLevel="1">
      <c r="A108" s="24" t="s">
        <v>300</v>
      </c>
      <c r="B108" s="25" t="s">
        <v>113</v>
      </c>
      <c r="C108" s="24">
        <v>5.89</v>
      </c>
      <c r="D108" s="101" t="s">
        <v>1634</v>
      </c>
    </row>
    <row r="109" spans="1:4" ht="15.75" hidden="1" outlineLevel="1">
      <c r="A109" s="24" t="s">
        <v>300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300</v>
      </c>
      <c r="B110" s="25" t="s">
        <v>1636</v>
      </c>
      <c r="C110" s="24">
        <v>5.62</v>
      </c>
      <c r="D110" s="102"/>
    </row>
    <row r="111" spans="1:4" ht="15.75" hidden="1" outlineLevel="1">
      <c r="A111" s="24" t="s">
        <v>300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300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300</v>
      </c>
      <c r="B113" s="25" t="s">
        <v>104</v>
      </c>
      <c r="C113" s="24">
        <v>5.65</v>
      </c>
      <c r="D113" s="102"/>
    </row>
    <row r="114" spans="1:4" ht="15.75" hidden="1" outlineLevel="1">
      <c r="A114" s="24" t="s">
        <v>300</v>
      </c>
      <c r="B114" s="25" t="s">
        <v>119</v>
      </c>
      <c r="C114" s="24">
        <v>5.66</v>
      </c>
      <c r="D114" s="102"/>
    </row>
    <row r="115" spans="1:4" ht="15.75" hidden="1" outlineLevel="1">
      <c r="A115" s="24" t="s">
        <v>300</v>
      </c>
      <c r="B115" s="25" t="s">
        <v>105</v>
      </c>
      <c r="C115" s="24">
        <v>5.68</v>
      </c>
      <c r="D115" s="102"/>
    </row>
    <row r="116" spans="1:4" ht="15.75" hidden="1" outlineLevel="1">
      <c r="A116" s="24" t="s">
        <v>300</v>
      </c>
      <c r="B116" s="25" t="s">
        <v>1637</v>
      </c>
      <c r="C116" s="24">
        <v>5.45</v>
      </c>
      <c r="D116" s="102"/>
    </row>
    <row r="117" spans="1:4" ht="15.75" hidden="1" outlineLevel="1">
      <c r="A117" s="24" t="s">
        <v>300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300</v>
      </c>
      <c r="B118" s="25" t="s">
        <v>38</v>
      </c>
      <c r="C118" s="24">
        <v>5.48</v>
      </c>
      <c r="D118" s="102"/>
    </row>
    <row r="119" spans="1:4" ht="15.75" collapsed="1">
      <c r="A119" s="29" t="s">
        <v>300</v>
      </c>
      <c r="B119" s="25"/>
      <c r="C119" s="24"/>
      <c r="D119" s="102"/>
    </row>
    <row r="120" spans="1:4" ht="15.75" hidden="1" outlineLevel="1">
      <c r="A120" s="24" t="s">
        <v>301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301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301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301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301</v>
      </c>
      <c r="B124" s="25" t="s">
        <v>1638</v>
      </c>
      <c r="C124" s="26">
        <v>5.0999999999999996</v>
      </c>
      <c r="D124" s="102"/>
    </row>
    <row r="125" spans="1:4" ht="15.75" hidden="1" outlineLevel="1">
      <c r="A125" s="24" t="s">
        <v>301</v>
      </c>
      <c r="B125" s="25" t="s">
        <v>1635</v>
      </c>
      <c r="C125" s="24">
        <v>5.14</v>
      </c>
      <c r="D125" s="102"/>
    </row>
    <row r="126" spans="1:4" ht="15.75" hidden="1" outlineLevel="1">
      <c r="A126" s="24" t="s">
        <v>301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301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301</v>
      </c>
      <c r="B128" s="25" t="s">
        <v>60</v>
      </c>
      <c r="C128" s="24">
        <v>5.26</v>
      </c>
      <c r="D128" s="102"/>
    </row>
    <row r="129" spans="1:4" ht="15.75" hidden="1" outlineLevel="1">
      <c r="A129" s="24" t="s">
        <v>301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301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301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301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301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301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301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301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301</v>
      </c>
      <c r="B137" s="25" t="s">
        <v>1636</v>
      </c>
      <c r="C137" s="24">
        <v>5.62</v>
      </c>
      <c r="D137" s="102"/>
    </row>
    <row r="138" spans="1:4" ht="15.75" hidden="1" outlineLevel="1">
      <c r="A138" s="24" t="s">
        <v>301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301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301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301</v>
      </c>
      <c r="B141" s="25" t="s">
        <v>1637</v>
      </c>
      <c r="C141" s="24">
        <v>5.45</v>
      </c>
      <c r="D141" s="102"/>
    </row>
    <row r="142" spans="1:4" ht="15.75" hidden="1" outlineLevel="1">
      <c r="A142" s="24" t="s">
        <v>301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301</v>
      </c>
      <c r="B143" s="25" t="s">
        <v>38</v>
      </c>
      <c r="C143" s="24">
        <v>5.48</v>
      </c>
      <c r="D143" s="102"/>
    </row>
    <row r="144" spans="1:4" ht="15.75" collapsed="1">
      <c r="A144" s="29" t="s">
        <v>301</v>
      </c>
      <c r="B144" s="25"/>
      <c r="C144" s="24"/>
      <c r="D144" s="102"/>
    </row>
    <row r="145" spans="1:4" ht="15.75" hidden="1" outlineLevel="1">
      <c r="A145" s="24" t="s">
        <v>302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302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302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302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302</v>
      </c>
      <c r="B149" s="25" t="s">
        <v>1638</v>
      </c>
      <c r="C149" s="26">
        <v>5.0999999999999996</v>
      </c>
      <c r="D149" s="102"/>
    </row>
    <row r="150" spans="1:4" ht="15.75" hidden="1" outlineLevel="1">
      <c r="A150" s="24" t="s">
        <v>302</v>
      </c>
      <c r="B150" s="25" t="s">
        <v>1635</v>
      </c>
      <c r="C150" s="24">
        <v>5.14</v>
      </c>
      <c r="D150" s="102"/>
    </row>
    <row r="151" spans="1:4" ht="15.75" hidden="1" outlineLevel="1">
      <c r="A151" s="24" t="s">
        <v>302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302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302</v>
      </c>
      <c r="B153" s="25" t="s">
        <v>60</v>
      </c>
      <c r="C153" s="24">
        <v>5.26</v>
      </c>
      <c r="D153" s="102"/>
    </row>
    <row r="154" spans="1:4" ht="15.75" hidden="1" outlineLevel="1">
      <c r="A154" s="24" t="s">
        <v>302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302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302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302</v>
      </c>
      <c r="B157" s="25" t="s">
        <v>1150</v>
      </c>
      <c r="C157" s="24">
        <v>5.32</v>
      </c>
      <c r="D157" s="102"/>
    </row>
    <row r="158" spans="1:4" ht="15.75" hidden="1" outlineLevel="1">
      <c r="A158" s="24" t="s">
        <v>302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302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302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302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302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302</v>
      </c>
      <c r="B163" s="25" t="s">
        <v>1636</v>
      </c>
      <c r="C163" s="24">
        <v>5.62</v>
      </c>
      <c r="D163" s="102"/>
    </row>
    <row r="164" spans="1:4" ht="15.75" hidden="1" outlineLevel="1">
      <c r="A164" s="24" t="s">
        <v>302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302</v>
      </c>
      <c r="B165" s="25" t="s">
        <v>1637</v>
      </c>
      <c r="C165" s="24">
        <v>5.45</v>
      </c>
      <c r="D165" s="102"/>
    </row>
    <row r="166" spans="1:4" ht="15.75" hidden="1" outlineLevel="1">
      <c r="A166" s="24" t="s">
        <v>302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302</v>
      </c>
      <c r="B167" s="25" t="s">
        <v>38</v>
      </c>
      <c r="C167" s="24">
        <v>5.48</v>
      </c>
      <c r="D167" s="102"/>
    </row>
    <row r="168" spans="1:4" ht="15.75" collapsed="1">
      <c r="A168" s="29" t="s">
        <v>302</v>
      </c>
      <c r="B168" s="25"/>
      <c r="C168" s="24"/>
      <c r="D168" s="102"/>
    </row>
    <row r="169" spans="1:4" ht="15.75" hidden="1" outlineLevel="1">
      <c r="A169" s="24" t="s">
        <v>303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303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303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303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303</v>
      </c>
      <c r="B173" s="25" t="s">
        <v>1638</v>
      </c>
      <c r="C173" s="26">
        <v>5.0999999999999996</v>
      </c>
      <c r="D173" s="102"/>
    </row>
    <row r="174" spans="1:4" ht="15.75" hidden="1" outlineLevel="1">
      <c r="A174" s="24" t="s">
        <v>303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303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303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303</v>
      </c>
      <c r="B177" s="25" t="s">
        <v>60</v>
      </c>
      <c r="C177" s="24">
        <v>5.26</v>
      </c>
      <c r="D177" s="102"/>
    </row>
    <row r="178" spans="1:4" ht="15.75" hidden="1" outlineLevel="1">
      <c r="A178" s="24" t="s">
        <v>303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303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303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303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303</v>
      </c>
      <c r="B182" s="25" t="s">
        <v>1150</v>
      </c>
      <c r="C182" s="24">
        <v>5.32</v>
      </c>
      <c r="D182" s="102"/>
    </row>
    <row r="183" spans="1:4" ht="15.75" hidden="1" outlineLevel="1">
      <c r="A183" s="24" t="s">
        <v>303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303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303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303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303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303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303</v>
      </c>
      <c r="B189" s="25" t="s">
        <v>1637</v>
      </c>
      <c r="C189" s="24">
        <v>5.45</v>
      </c>
      <c r="D189" s="102"/>
    </row>
    <row r="190" spans="1:4" ht="15.75" hidden="1" outlineLevel="1">
      <c r="A190" s="24" t="s">
        <v>303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303</v>
      </c>
      <c r="B191" s="25" t="s">
        <v>38</v>
      </c>
      <c r="C191" s="24">
        <v>5.48</v>
      </c>
      <c r="D191" s="102"/>
    </row>
    <row r="192" spans="1:4" ht="15.75" collapsed="1">
      <c r="A192" s="29" t="s">
        <v>303</v>
      </c>
      <c r="B192" s="25"/>
      <c r="C192" s="24"/>
      <c r="D192" s="102"/>
    </row>
    <row r="193" spans="1:4" ht="15.75" hidden="1" outlineLevel="1">
      <c r="A193" s="24" t="s">
        <v>304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304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304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304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304</v>
      </c>
      <c r="B197" s="25" t="s">
        <v>1638</v>
      </c>
      <c r="C197" s="26">
        <v>5.0999999999999996</v>
      </c>
      <c r="D197" s="102"/>
    </row>
    <row r="198" spans="1:4" ht="15.75" hidden="1" outlineLevel="1">
      <c r="A198" s="24" t="s">
        <v>304</v>
      </c>
      <c r="B198" s="25" t="s">
        <v>1635</v>
      </c>
      <c r="C198" s="24">
        <v>5.14</v>
      </c>
      <c r="D198" s="102"/>
    </row>
    <row r="199" spans="1:4" ht="15.75" hidden="1" outlineLevel="1">
      <c r="A199" s="24" t="s">
        <v>304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304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304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304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304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304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304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304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304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304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304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304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304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304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304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304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304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304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304</v>
      </c>
      <c r="B217" s="25" t="s">
        <v>38</v>
      </c>
      <c r="C217" s="24">
        <v>5.48</v>
      </c>
      <c r="D217" s="102"/>
    </row>
    <row r="218" spans="1:4" ht="15.75" collapsed="1">
      <c r="A218" s="29" t="s">
        <v>304</v>
      </c>
      <c r="B218" s="25"/>
      <c r="C218" s="24"/>
      <c r="D218" s="102"/>
    </row>
    <row r="219" spans="1:4" ht="15.75" hidden="1" outlineLevel="1">
      <c r="A219" s="24" t="s">
        <v>305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305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305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305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305</v>
      </c>
      <c r="B223" s="25" t="s">
        <v>1638</v>
      </c>
      <c r="C223" s="26">
        <v>5.0999999999999996</v>
      </c>
      <c r="D223" s="102"/>
    </row>
    <row r="224" spans="1:4" ht="15.75" hidden="1" outlineLevel="1">
      <c r="A224" s="24" t="s">
        <v>305</v>
      </c>
      <c r="B224" s="25" t="s">
        <v>1635</v>
      </c>
      <c r="C224" s="24">
        <v>5.14</v>
      </c>
      <c r="D224" s="102"/>
    </row>
    <row r="225" spans="1:4" ht="15.75" hidden="1" outlineLevel="1">
      <c r="A225" s="24" t="s">
        <v>305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305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305</v>
      </c>
      <c r="B227" s="25" t="s">
        <v>60</v>
      </c>
      <c r="C227" s="24">
        <v>5.26</v>
      </c>
      <c r="D227" s="102"/>
    </row>
    <row r="228" spans="1:4" ht="15.75" hidden="1" outlineLevel="1">
      <c r="A228" s="24" t="s">
        <v>305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305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305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305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305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305</v>
      </c>
      <c r="B233" s="25" t="s">
        <v>61</v>
      </c>
      <c r="C233" s="24">
        <v>5.33</v>
      </c>
      <c r="D233" s="102"/>
    </row>
    <row r="234" spans="1:4" ht="15.75" hidden="1" outlineLevel="1">
      <c r="A234" s="24" t="s">
        <v>305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305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305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305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305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305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305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305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305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305</v>
      </c>
      <c r="B243" s="25" t="s">
        <v>38</v>
      </c>
      <c r="C243" s="24">
        <v>5.48</v>
      </c>
      <c r="D243" s="102"/>
    </row>
    <row r="244" spans="1:4" ht="15.75" collapsed="1">
      <c r="A244" s="29" t="s">
        <v>305</v>
      </c>
      <c r="B244" s="25"/>
      <c r="C244" s="24"/>
      <c r="D244" s="102"/>
    </row>
    <row r="245" spans="1:4" ht="15.75" hidden="1" outlineLevel="1">
      <c r="A245" s="24" t="s">
        <v>306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306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306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306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306</v>
      </c>
      <c r="B249" s="25" t="s">
        <v>1638</v>
      </c>
      <c r="C249" s="26">
        <v>5.0999999999999996</v>
      </c>
      <c r="D249" s="102"/>
    </row>
    <row r="250" spans="1:4" ht="15.75" hidden="1" outlineLevel="1">
      <c r="A250" s="24" t="s">
        <v>306</v>
      </c>
      <c r="B250" s="25" t="s">
        <v>1635</v>
      </c>
      <c r="C250" s="24">
        <v>5.14</v>
      </c>
      <c r="D250" s="102"/>
    </row>
    <row r="251" spans="1:4" ht="15.75" hidden="1" outlineLevel="1">
      <c r="A251" s="24" t="s">
        <v>306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306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306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306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306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306</v>
      </c>
      <c r="B256" s="25" t="s">
        <v>61</v>
      </c>
      <c r="C256" s="24">
        <v>5.33</v>
      </c>
      <c r="D256" s="102"/>
    </row>
    <row r="257" spans="1:4" ht="15.75" hidden="1" outlineLevel="1">
      <c r="A257" s="24" t="s">
        <v>306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306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306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306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306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306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306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306</v>
      </c>
      <c r="B264" s="25" t="s">
        <v>38</v>
      </c>
      <c r="C264" s="24">
        <v>5.48</v>
      </c>
      <c r="D264" s="102"/>
    </row>
    <row r="265" spans="1:4" ht="15.75" collapsed="1">
      <c r="A265" s="29" t="s">
        <v>306</v>
      </c>
      <c r="B265" s="25"/>
      <c r="C265" s="24"/>
      <c r="D265" s="102"/>
    </row>
    <row r="266" spans="1:4" ht="15.75" hidden="1" outlineLevel="1">
      <c r="A266" s="24" t="s">
        <v>307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307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307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307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307</v>
      </c>
      <c r="B270" s="25" t="s">
        <v>1638</v>
      </c>
      <c r="C270" s="26">
        <v>5.0999999999999996</v>
      </c>
      <c r="D270" s="102"/>
    </row>
    <row r="271" spans="1:4" ht="15.75" hidden="1" outlineLevel="1">
      <c r="A271" s="24" t="s">
        <v>307</v>
      </c>
      <c r="B271" s="25" t="s">
        <v>1635</v>
      </c>
      <c r="C271" s="24">
        <v>5.14</v>
      </c>
      <c r="D271" s="102"/>
    </row>
    <row r="272" spans="1:4" ht="15.75" hidden="1" outlineLevel="1">
      <c r="A272" s="24" t="s">
        <v>307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307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307</v>
      </c>
      <c r="B274" s="25" t="s">
        <v>60</v>
      </c>
      <c r="C274" s="24">
        <v>5.26</v>
      </c>
      <c r="D274" s="102"/>
    </row>
    <row r="275" spans="1:4" ht="15.75" hidden="1" outlineLevel="1">
      <c r="A275" s="24" t="s">
        <v>307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307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307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307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307</v>
      </c>
      <c r="B279" s="25" t="s">
        <v>61</v>
      </c>
      <c r="C279" s="24">
        <v>5.33</v>
      </c>
      <c r="D279" s="102"/>
    </row>
    <row r="280" spans="1:4" ht="15.75" hidden="1" outlineLevel="1">
      <c r="A280" s="24" t="s">
        <v>307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307</v>
      </c>
      <c r="B281" s="25" t="s">
        <v>82</v>
      </c>
      <c r="C281" s="24">
        <v>5.69</v>
      </c>
      <c r="D281" s="102"/>
    </row>
    <row r="282" spans="1:4" ht="15.75" hidden="1" outlineLevel="1">
      <c r="A282" s="24" t="s">
        <v>307</v>
      </c>
      <c r="B282" s="25" t="s">
        <v>83</v>
      </c>
      <c r="C282" s="26">
        <v>5.7</v>
      </c>
      <c r="D282" s="102"/>
    </row>
    <row r="283" spans="1:4" ht="15.75" hidden="1" outlineLevel="1">
      <c r="A283" s="24" t="s">
        <v>307</v>
      </c>
      <c r="B283" s="25" t="s">
        <v>84</v>
      </c>
      <c r="C283" s="24">
        <v>5.74</v>
      </c>
      <c r="D283" s="102"/>
    </row>
    <row r="284" spans="1:4" ht="15.75" hidden="1" outlineLevel="1">
      <c r="A284" s="24" t="s">
        <v>307</v>
      </c>
      <c r="B284" s="25" t="s">
        <v>85</v>
      </c>
      <c r="C284" s="24">
        <v>5.49</v>
      </c>
      <c r="D284" s="102"/>
    </row>
    <row r="285" spans="1:4" ht="15.75" hidden="1" outlineLevel="1">
      <c r="A285" s="24" t="s">
        <v>307</v>
      </c>
      <c r="B285" s="25" t="s">
        <v>86</v>
      </c>
      <c r="C285" s="24">
        <v>5.51</v>
      </c>
      <c r="D285" s="102"/>
    </row>
    <row r="286" spans="1:4" ht="15.75" hidden="1" outlineLevel="1">
      <c r="A286" s="24" t="s">
        <v>307</v>
      </c>
      <c r="B286" s="25" t="s">
        <v>1639</v>
      </c>
      <c r="C286" s="24">
        <v>5.52</v>
      </c>
      <c r="D286" s="102"/>
    </row>
    <row r="287" spans="1:4" ht="15.75" hidden="1" outlineLevel="1">
      <c r="A287" s="24" t="s">
        <v>307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307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307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307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307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307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307</v>
      </c>
      <c r="B293" s="25" t="s">
        <v>38</v>
      </c>
      <c r="C293" s="24">
        <v>5.48</v>
      </c>
      <c r="D293" s="102"/>
    </row>
    <row r="294" spans="1:4" ht="15.75" collapsed="1">
      <c r="A294" s="29" t="s">
        <v>307</v>
      </c>
      <c r="B294" s="25"/>
      <c r="C294" s="24"/>
      <c r="D294" s="102"/>
    </row>
    <row r="295" spans="1:4" ht="31.5" hidden="1" outlineLevel="1">
      <c r="A295" s="24" t="s">
        <v>308</v>
      </c>
      <c r="B295" s="25" t="s">
        <v>14</v>
      </c>
      <c r="C295" s="24">
        <v>5.0999999999999996</v>
      </c>
      <c r="D295" s="102"/>
    </row>
    <row r="296" spans="1:4" ht="31.5" hidden="1" outlineLevel="1">
      <c r="A296" s="24" t="s">
        <v>308</v>
      </c>
      <c r="B296" s="25" t="s">
        <v>15</v>
      </c>
      <c r="C296" s="24">
        <v>5.2</v>
      </c>
      <c r="D296" s="102"/>
    </row>
    <row r="297" spans="1:4" ht="31.5" hidden="1" outlineLevel="1">
      <c r="A297" s="24" t="s">
        <v>308</v>
      </c>
      <c r="B297" s="25" t="s">
        <v>16</v>
      </c>
      <c r="C297" s="24">
        <v>5.3</v>
      </c>
      <c r="D297" s="102"/>
    </row>
    <row r="298" spans="1:4" ht="31.5" hidden="1" outlineLevel="1">
      <c r="A298" s="24" t="s">
        <v>308</v>
      </c>
      <c r="B298" s="25" t="s">
        <v>1635</v>
      </c>
      <c r="C298" s="24">
        <v>5.14</v>
      </c>
      <c r="D298" s="102"/>
    </row>
    <row r="299" spans="1:4" ht="31.5" hidden="1" outlineLevel="1">
      <c r="A299" s="24" t="s">
        <v>308</v>
      </c>
      <c r="B299" s="25" t="s">
        <v>20</v>
      </c>
      <c r="C299" s="24">
        <v>5.19</v>
      </c>
      <c r="D299" s="102"/>
    </row>
    <row r="300" spans="1:4" ht="31.5" hidden="1" outlineLevel="1">
      <c r="A300" s="24" t="s">
        <v>308</v>
      </c>
      <c r="B300" s="25" t="s">
        <v>21</v>
      </c>
      <c r="C300" s="24">
        <v>5.24</v>
      </c>
      <c r="D300" s="102"/>
    </row>
    <row r="301" spans="1:4" ht="31.5" hidden="1" outlineLevel="1">
      <c r="A301" s="24" t="s">
        <v>308</v>
      </c>
      <c r="B301" s="25" t="s">
        <v>60</v>
      </c>
      <c r="C301" s="24">
        <v>5.26</v>
      </c>
      <c r="D301" s="102"/>
    </row>
    <row r="302" spans="1:4" ht="31.5" hidden="1" outlineLevel="1">
      <c r="A302" s="24" t="s">
        <v>308</v>
      </c>
      <c r="B302" s="25" t="s">
        <v>22</v>
      </c>
      <c r="C302" s="24">
        <v>5.27</v>
      </c>
      <c r="D302" s="102"/>
    </row>
    <row r="303" spans="1:4" ht="31.5" hidden="1" outlineLevel="1">
      <c r="A303" s="24" t="s">
        <v>308</v>
      </c>
      <c r="B303" s="25" t="s">
        <v>23</v>
      </c>
      <c r="C303" s="24">
        <v>5.28</v>
      </c>
      <c r="D303" s="102"/>
    </row>
    <row r="304" spans="1:4" ht="31.5" hidden="1" outlineLevel="1">
      <c r="A304" s="24" t="s">
        <v>308</v>
      </c>
      <c r="B304" s="25" t="s">
        <v>102</v>
      </c>
      <c r="C304" s="24">
        <v>5.37</v>
      </c>
      <c r="D304" s="102"/>
    </row>
    <row r="305" spans="1:4" ht="31.5" hidden="1" outlineLevel="1">
      <c r="A305" s="24" t="s">
        <v>308</v>
      </c>
      <c r="B305" s="25" t="s">
        <v>85</v>
      </c>
      <c r="C305" s="24">
        <v>5.49</v>
      </c>
      <c r="D305" s="102"/>
    </row>
    <row r="306" spans="1:4" ht="31.5" hidden="1" outlineLevel="1">
      <c r="A306" s="24" t="s">
        <v>308</v>
      </c>
      <c r="B306" s="25" t="s">
        <v>86</v>
      </c>
      <c r="C306" s="24">
        <v>5.51</v>
      </c>
      <c r="D306" s="102"/>
    </row>
    <row r="307" spans="1:4" ht="31.5" hidden="1" outlineLevel="1">
      <c r="A307" s="24" t="s">
        <v>308</v>
      </c>
      <c r="B307" s="25" t="s">
        <v>30</v>
      </c>
      <c r="C307" s="24">
        <v>5.53</v>
      </c>
      <c r="D307" s="102"/>
    </row>
    <row r="308" spans="1:4" ht="31.5" hidden="1" outlineLevel="1">
      <c r="A308" s="24" t="s">
        <v>308</v>
      </c>
      <c r="B308" s="25" t="s">
        <v>82</v>
      </c>
      <c r="C308" s="24">
        <v>5.69</v>
      </c>
      <c r="D308" s="102"/>
    </row>
    <row r="309" spans="1:4" ht="31.5" hidden="1" outlineLevel="1">
      <c r="A309" s="24" t="s">
        <v>308</v>
      </c>
      <c r="B309" s="25" t="s">
        <v>103</v>
      </c>
      <c r="C309" s="24">
        <v>5.75</v>
      </c>
      <c r="D309" s="102"/>
    </row>
    <row r="310" spans="1:4" ht="31.5" hidden="1" outlineLevel="1">
      <c r="A310" s="24" t="s">
        <v>308</v>
      </c>
      <c r="B310" s="25" t="s">
        <v>83</v>
      </c>
      <c r="C310" s="26">
        <v>5.7</v>
      </c>
      <c r="D310" s="102"/>
    </row>
    <row r="311" spans="1:4" ht="31.5" hidden="1" outlineLevel="1">
      <c r="A311" s="24" t="s">
        <v>308</v>
      </c>
      <c r="B311" s="25" t="s">
        <v>84</v>
      </c>
      <c r="C311" s="24">
        <v>5.74</v>
      </c>
      <c r="D311" s="102"/>
    </row>
    <row r="312" spans="1:4" ht="31.5" hidden="1" outlineLevel="1">
      <c r="A312" s="24" t="s">
        <v>308</v>
      </c>
      <c r="B312" s="25" t="s">
        <v>33</v>
      </c>
      <c r="C312" s="24">
        <v>5.58</v>
      </c>
      <c r="D312" s="102"/>
    </row>
    <row r="313" spans="1:4" ht="31.5" hidden="1" outlineLevel="1">
      <c r="A313" s="24" t="s">
        <v>308</v>
      </c>
      <c r="B313" s="25" t="s">
        <v>34</v>
      </c>
      <c r="C313" s="24">
        <v>5.54</v>
      </c>
      <c r="D313" s="102"/>
    </row>
    <row r="314" spans="1:4" ht="31.5" hidden="1" outlineLevel="1">
      <c r="A314" s="24" t="s">
        <v>308</v>
      </c>
      <c r="B314" s="25" t="s">
        <v>35</v>
      </c>
      <c r="C314" s="24">
        <v>5.55</v>
      </c>
      <c r="D314" s="102"/>
    </row>
    <row r="315" spans="1:4" ht="31.5" hidden="1" outlineLevel="1">
      <c r="A315" s="24" t="s">
        <v>308</v>
      </c>
      <c r="B315" s="25" t="s">
        <v>36</v>
      </c>
      <c r="C315" s="24">
        <v>5.63</v>
      </c>
      <c r="D315" s="102"/>
    </row>
    <row r="316" spans="1:4" ht="31.5" hidden="1" outlineLevel="1">
      <c r="A316" s="24" t="s">
        <v>308</v>
      </c>
      <c r="B316" s="25" t="s">
        <v>104</v>
      </c>
      <c r="C316" s="24">
        <v>5.65</v>
      </c>
      <c r="D316" s="102"/>
    </row>
    <row r="317" spans="1:4" ht="31.5" hidden="1" outlineLevel="1">
      <c r="A317" s="24" t="s">
        <v>308</v>
      </c>
      <c r="B317" s="25" t="s">
        <v>105</v>
      </c>
      <c r="C317" s="24">
        <v>5.68</v>
      </c>
      <c r="D317" s="102"/>
    </row>
    <row r="318" spans="1:4" ht="31.5" hidden="1" outlineLevel="1">
      <c r="A318" s="24" t="s">
        <v>308</v>
      </c>
      <c r="B318" s="25" t="s">
        <v>37</v>
      </c>
      <c r="C318" s="24">
        <v>5.47</v>
      </c>
      <c r="D318" s="102"/>
    </row>
    <row r="319" spans="1:4" ht="31.5" hidden="1" outlineLevel="1">
      <c r="A319" s="24" t="s">
        <v>308</v>
      </c>
      <c r="B319" s="25" t="s">
        <v>38</v>
      </c>
      <c r="C319" s="24">
        <v>5.48</v>
      </c>
      <c r="D319" s="102"/>
    </row>
    <row r="320" spans="1:4" ht="15.75" collapsed="1">
      <c r="A320" s="29" t="s">
        <v>308</v>
      </c>
      <c r="B320" s="25"/>
      <c r="C320" s="24"/>
      <c r="D320" s="102"/>
    </row>
    <row r="321" spans="1:4" ht="31.5" hidden="1" outlineLevel="1">
      <c r="A321" s="24" t="s">
        <v>309</v>
      </c>
      <c r="B321" s="25" t="s">
        <v>14</v>
      </c>
      <c r="C321" s="24">
        <v>5.0999999999999996</v>
      </c>
      <c r="D321" s="102"/>
    </row>
    <row r="322" spans="1:4" ht="31.5" hidden="1" outlineLevel="1">
      <c r="A322" s="24" t="s">
        <v>309</v>
      </c>
      <c r="B322" s="25" t="s">
        <v>15</v>
      </c>
      <c r="C322" s="24">
        <v>5.2</v>
      </c>
      <c r="D322" s="102"/>
    </row>
    <row r="323" spans="1:4" ht="31.5" hidden="1" outlineLevel="1">
      <c r="A323" s="24" t="s">
        <v>309</v>
      </c>
      <c r="B323" s="25" t="s">
        <v>60</v>
      </c>
      <c r="C323" s="24">
        <v>5.26</v>
      </c>
      <c r="D323" s="102"/>
    </row>
    <row r="324" spans="1:4" ht="31.5" hidden="1" outlineLevel="1">
      <c r="A324" s="24" t="s">
        <v>309</v>
      </c>
      <c r="B324" s="25" t="s">
        <v>1635</v>
      </c>
      <c r="C324" s="24">
        <v>5.14</v>
      </c>
      <c r="D324" s="102"/>
    </row>
    <row r="325" spans="1:4" ht="31.5" hidden="1" outlineLevel="1">
      <c r="A325" s="24" t="s">
        <v>309</v>
      </c>
      <c r="B325" s="25" t="s">
        <v>20</v>
      </c>
      <c r="C325" s="24">
        <v>5.19</v>
      </c>
      <c r="D325" s="102"/>
    </row>
    <row r="326" spans="1:4" ht="31.5" hidden="1" outlineLevel="1">
      <c r="A326" s="24" t="s">
        <v>309</v>
      </c>
      <c r="B326" s="25" t="s">
        <v>102</v>
      </c>
      <c r="C326" s="24">
        <v>5.37</v>
      </c>
      <c r="D326" s="102"/>
    </row>
    <row r="327" spans="1:4" ht="31.5" hidden="1" outlineLevel="1">
      <c r="A327" s="24" t="s">
        <v>309</v>
      </c>
      <c r="B327" s="25" t="s">
        <v>82</v>
      </c>
      <c r="C327" s="24">
        <v>5.69</v>
      </c>
      <c r="D327" s="102"/>
    </row>
    <row r="328" spans="1:4" ht="31.5" hidden="1" outlineLevel="1">
      <c r="A328" s="24" t="s">
        <v>309</v>
      </c>
      <c r="B328" s="25" t="s">
        <v>106</v>
      </c>
      <c r="C328" s="26">
        <v>5.8</v>
      </c>
      <c r="D328" s="102"/>
    </row>
    <row r="329" spans="1:4" ht="31.5" hidden="1" outlineLevel="1">
      <c r="A329" s="24" t="s">
        <v>309</v>
      </c>
      <c r="B329" s="25" t="s">
        <v>103</v>
      </c>
      <c r="C329" s="24">
        <v>5.75</v>
      </c>
      <c r="D329" s="102"/>
    </row>
    <row r="330" spans="1:4" ht="31.5" hidden="1" outlineLevel="1">
      <c r="A330" s="24" t="s">
        <v>309</v>
      </c>
      <c r="B330" s="25" t="s">
        <v>83</v>
      </c>
      <c r="C330" s="26">
        <v>5.7</v>
      </c>
      <c r="D330" s="102"/>
    </row>
    <row r="331" spans="1:4" ht="31.5" hidden="1" outlineLevel="1">
      <c r="A331" s="24" t="s">
        <v>309</v>
      </c>
      <c r="B331" s="25" t="s">
        <v>84</v>
      </c>
      <c r="C331" s="24">
        <v>5.74</v>
      </c>
      <c r="D331" s="102"/>
    </row>
    <row r="332" spans="1:4" ht="31.5" hidden="1" outlineLevel="1">
      <c r="A332" s="24" t="s">
        <v>309</v>
      </c>
      <c r="B332" s="25" t="s">
        <v>33</v>
      </c>
      <c r="C332" s="24">
        <v>5.58</v>
      </c>
      <c r="D332" s="102"/>
    </row>
    <row r="333" spans="1:4" ht="31.5" hidden="1" outlineLevel="1">
      <c r="A333" s="24" t="s">
        <v>309</v>
      </c>
      <c r="B333" s="25" t="s">
        <v>35</v>
      </c>
      <c r="C333" s="24">
        <v>5.55</v>
      </c>
      <c r="D333" s="102"/>
    </row>
    <row r="334" spans="1:4" ht="31.5" hidden="1" outlineLevel="1">
      <c r="A334" s="24" t="s">
        <v>309</v>
      </c>
      <c r="B334" s="25" t="s">
        <v>36</v>
      </c>
      <c r="C334" s="24">
        <v>5.63</v>
      </c>
      <c r="D334" s="102"/>
    </row>
    <row r="335" spans="1:4" ht="31.5" hidden="1" outlineLevel="1">
      <c r="A335" s="24" t="s">
        <v>309</v>
      </c>
      <c r="B335" s="25" t="s">
        <v>104</v>
      </c>
      <c r="C335" s="24">
        <v>5.65</v>
      </c>
      <c r="D335" s="102"/>
    </row>
    <row r="336" spans="1:4" ht="31.5" hidden="1" outlineLevel="1">
      <c r="A336" s="24" t="s">
        <v>309</v>
      </c>
      <c r="B336" s="25" t="s">
        <v>105</v>
      </c>
      <c r="C336" s="24">
        <v>5.68</v>
      </c>
      <c r="D336" s="102"/>
    </row>
    <row r="337" spans="1:4" ht="31.5" hidden="1" outlineLevel="1">
      <c r="A337" s="24" t="s">
        <v>309</v>
      </c>
      <c r="B337" s="25" t="s">
        <v>37</v>
      </c>
      <c r="C337" s="24">
        <v>5.47</v>
      </c>
      <c r="D337" s="102"/>
    </row>
    <row r="338" spans="1:4" ht="31.5" hidden="1" outlineLevel="1">
      <c r="A338" s="24" t="s">
        <v>309</v>
      </c>
      <c r="B338" s="25" t="s">
        <v>38</v>
      </c>
      <c r="C338" s="24">
        <v>5.48</v>
      </c>
      <c r="D338" s="102"/>
    </row>
    <row r="339" spans="1:4" ht="15.75" collapsed="1">
      <c r="A339" s="29" t="s">
        <v>309</v>
      </c>
      <c r="B339" s="25"/>
      <c r="C339" s="24"/>
      <c r="D339" s="102"/>
    </row>
    <row r="340" spans="1:4" ht="31.5" hidden="1" outlineLevel="1">
      <c r="A340" s="24" t="s">
        <v>310</v>
      </c>
      <c r="B340" s="25" t="s">
        <v>107</v>
      </c>
      <c r="C340" s="24">
        <v>5.0999999999999996</v>
      </c>
      <c r="D340" s="102"/>
    </row>
    <row r="341" spans="1:4" ht="31.5" hidden="1" outlineLevel="1">
      <c r="A341" s="24" t="s">
        <v>310</v>
      </c>
      <c r="B341" s="25" t="s">
        <v>15</v>
      </c>
      <c r="C341" s="24">
        <v>5.2</v>
      </c>
      <c r="D341" s="102"/>
    </row>
    <row r="342" spans="1:4" ht="31.5" hidden="1" outlineLevel="1">
      <c r="A342" s="24" t="s">
        <v>310</v>
      </c>
      <c r="B342" s="25" t="s">
        <v>60</v>
      </c>
      <c r="C342" s="24">
        <v>5.26</v>
      </c>
      <c r="D342" s="102"/>
    </row>
    <row r="343" spans="1:4" ht="31.5" hidden="1" outlineLevel="1">
      <c r="A343" s="24" t="s">
        <v>310</v>
      </c>
      <c r="B343" s="25" t="s">
        <v>108</v>
      </c>
      <c r="C343" s="24">
        <v>5.38</v>
      </c>
      <c r="D343" s="102"/>
    </row>
    <row r="344" spans="1:4" ht="31.5" hidden="1" outlineLevel="1">
      <c r="A344" s="24" t="s">
        <v>310</v>
      </c>
      <c r="B344" s="25" t="s">
        <v>109</v>
      </c>
      <c r="C344" s="24">
        <v>5.39</v>
      </c>
      <c r="D344" s="102"/>
    </row>
    <row r="345" spans="1:4" ht="31.5" hidden="1" outlineLevel="1">
      <c r="A345" s="24" t="s">
        <v>310</v>
      </c>
      <c r="B345" s="25" t="s">
        <v>110</v>
      </c>
      <c r="C345" s="26">
        <v>5.6</v>
      </c>
      <c r="D345" s="102"/>
    </row>
    <row r="346" spans="1:4" ht="31.5" hidden="1" outlineLevel="1">
      <c r="A346" s="24" t="s">
        <v>310</v>
      </c>
      <c r="B346" s="25" t="s">
        <v>38</v>
      </c>
      <c r="C346" s="24">
        <v>5.48</v>
      </c>
      <c r="D346" s="102"/>
    </row>
    <row r="347" spans="1:4" ht="15.75" collapsed="1">
      <c r="A347" s="29" t="s">
        <v>310</v>
      </c>
      <c r="B347" s="25"/>
      <c r="C347" s="24"/>
      <c r="D347" s="102"/>
    </row>
    <row r="348" spans="1:4" ht="31.5" hidden="1" outlineLevel="1">
      <c r="A348" s="24" t="s">
        <v>311</v>
      </c>
      <c r="B348" s="25" t="s">
        <v>14</v>
      </c>
      <c r="C348" s="24">
        <v>5.0999999999999996</v>
      </c>
      <c r="D348" s="102"/>
    </row>
    <row r="349" spans="1:4" ht="31.5" hidden="1" outlineLevel="1">
      <c r="A349" s="24" t="s">
        <v>311</v>
      </c>
      <c r="B349" s="25" t="s">
        <v>15</v>
      </c>
      <c r="C349" s="24">
        <v>5.2</v>
      </c>
      <c r="D349" s="102"/>
    </row>
    <row r="350" spans="1:4" ht="31.5" hidden="1" outlineLevel="1">
      <c r="A350" s="24" t="s">
        <v>311</v>
      </c>
      <c r="B350" s="25" t="s">
        <v>16</v>
      </c>
      <c r="C350" s="24">
        <v>5.3</v>
      </c>
      <c r="D350" s="102"/>
    </row>
    <row r="351" spans="1:4" ht="31.5" hidden="1" outlineLevel="1">
      <c r="A351" s="24" t="s">
        <v>311</v>
      </c>
      <c r="B351" s="25" t="s">
        <v>17</v>
      </c>
      <c r="C351" s="24">
        <v>5.6</v>
      </c>
      <c r="D351" s="102"/>
    </row>
    <row r="352" spans="1:4" ht="31.5" hidden="1" outlineLevel="1">
      <c r="A352" s="24" t="s">
        <v>311</v>
      </c>
      <c r="B352" s="25" t="s">
        <v>1638</v>
      </c>
      <c r="C352" s="26">
        <v>5.0999999999999996</v>
      </c>
      <c r="D352" s="102"/>
    </row>
    <row r="353" spans="1:4" ht="31.5" hidden="1" outlineLevel="1">
      <c r="A353" s="24" t="s">
        <v>311</v>
      </c>
      <c r="B353" s="25" t="s">
        <v>1635</v>
      </c>
      <c r="C353" s="24">
        <v>5.14</v>
      </c>
      <c r="D353" s="102"/>
    </row>
    <row r="354" spans="1:4" ht="31.5" hidden="1" outlineLevel="1">
      <c r="A354" s="24" t="s">
        <v>311</v>
      </c>
      <c r="B354" s="25" t="s">
        <v>20</v>
      </c>
      <c r="C354" s="24">
        <v>5.19</v>
      </c>
      <c r="D354" s="102"/>
    </row>
    <row r="355" spans="1:4" ht="31.5" hidden="1" outlineLevel="1">
      <c r="A355" s="24" t="s">
        <v>311</v>
      </c>
      <c r="B355" s="25" t="s">
        <v>21</v>
      </c>
      <c r="C355" s="24">
        <v>5.24</v>
      </c>
      <c r="D355" s="102"/>
    </row>
    <row r="356" spans="1:4" ht="31.5" hidden="1" outlineLevel="1">
      <c r="A356" s="24" t="s">
        <v>311</v>
      </c>
      <c r="B356" s="25" t="s">
        <v>60</v>
      </c>
      <c r="C356" s="24">
        <v>5.26</v>
      </c>
      <c r="D356" s="102"/>
    </row>
    <row r="357" spans="1:4" ht="31.5" hidden="1" outlineLevel="1">
      <c r="A357" s="24" t="s">
        <v>311</v>
      </c>
      <c r="B357" s="25" t="s">
        <v>22</v>
      </c>
      <c r="C357" s="24">
        <v>5.27</v>
      </c>
      <c r="D357" s="102"/>
    </row>
    <row r="358" spans="1:4" ht="31.5" hidden="1" outlineLevel="1">
      <c r="A358" s="24" t="s">
        <v>311</v>
      </c>
      <c r="B358" s="25" t="s">
        <v>23</v>
      </c>
      <c r="C358" s="24">
        <v>5.28</v>
      </c>
      <c r="D358" s="102"/>
    </row>
    <row r="359" spans="1:4" ht="31.5" hidden="1" outlineLevel="1">
      <c r="A359" s="24" t="s">
        <v>311</v>
      </c>
      <c r="B359" s="25" t="s">
        <v>27</v>
      </c>
      <c r="C359" s="24">
        <v>5.31</v>
      </c>
      <c r="D359" s="102"/>
    </row>
    <row r="360" spans="1:4" ht="31.5" hidden="1" outlineLevel="1">
      <c r="A360" s="24" t="s">
        <v>311</v>
      </c>
      <c r="B360" s="25" t="s">
        <v>29</v>
      </c>
      <c r="C360" s="24">
        <v>5.36</v>
      </c>
      <c r="D360" s="102"/>
    </row>
    <row r="361" spans="1:4" ht="31.5" hidden="1" outlineLevel="1">
      <c r="A361" s="24" t="s">
        <v>311</v>
      </c>
      <c r="B361" s="25" t="s">
        <v>102</v>
      </c>
      <c r="C361" s="24">
        <v>5.37</v>
      </c>
      <c r="D361" s="102"/>
    </row>
    <row r="362" spans="1:4" ht="31.5" hidden="1" outlineLevel="1">
      <c r="A362" s="24" t="s">
        <v>311</v>
      </c>
      <c r="B362" s="25" t="s">
        <v>85</v>
      </c>
      <c r="C362" s="24">
        <v>5.49</v>
      </c>
      <c r="D362" s="102"/>
    </row>
    <row r="363" spans="1:4" ht="31.5" hidden="1" outlineLevel="1">
      <c r="A363" s="24" t="s">
        <v>311</v>
      </c>
      <c r="B363" s="25" t="s">
        <v>86</v>
      </c>
      <c r="C363" s="24">
        <v>5.51</v>
      </c>
      <c r="D363" s="102"/>
    </row>
    <row r="364" spans="1:4" ht="31.5" hidden="1" outlineLevel="1">
      <c r="A364" s="24" t="s">
        <v>311</v>
      </c>
      <c r="B364" s="25" t="s">
        <v>1639</v>
      </c>
      <c r="C364" s="24">
        <v>5.52</v>
      </c>
      <c r="D364" s="102"/>
    </row>
    <row r="365" spans="1:4" ht="31.5" hidden="1" outlineLevel="1">
      <c r="A365" s="24" t="s">
        <v>311</v>
      </c>
      <c r="B365" s="25" t="s">
        <v>30</v>
      </c>
      <c r="C365" s="24">
        <v>5.53</v>
      </c>
      <c r="D365" s="102"/>
    </row>
    <row r="366" spans="1:4" ht="31.5" hidden="1" outlineLevel="1">
      <c r="A366" s="24" t="s">
        <v>311</v>
      </c>
      <c r="B366" s="25" t="s">
        <v>82</v>
      </c>
      <c r="C366" s="24">
        <v>5.69</v>
      </c>
      <c r="D366" s="102"/>
    </row>
    <row r="367" spans="1:4" ht="31.5" hidden="1" outlineLevel="1">
      <c r="A367" s="24" t="s">
        <v>311</v>
      </c>
      <c r="B367" s="25" t="s">
        <v>106</v>
      </c>
      <c r="C367" s="26">
        <v>5.8</v>
      </c>
      <c r="D367" s="102"/>
    </row>
    <row r="368" spans="1:4" ht="31.5" hidden="1" outlineLevel="1">
      <c r="A368" s="24" t="s">
        <v>311</v>
      </c>
      <c r="B368" s="25" t="s">
        <v>111</v>
      </c>
      <c r="C368" s="26">
        <v>5.72</v>
      </c>
      <c r="D368" s="102"/>
    </row>
    <row r="369" spans="1:4" ht="31.5" hidden="1" outlineLevel="1">
      <c r="A369" s="24" t="s">
        <v>311</v>
      </c>
      <c r="B369" s="25" t="s">
        <v>103</v>
      </c>
      <c r="C369" s="24">
        <v>5.75</v>
      </c>
      <c r="D369" s="102"/>
    </row>
    <row r="370" spans="1:4" ht="31.5" hidden="1" outlineLevel="1">
      <c r="A370" s="24" t="s">
        <v>311</v>
      </c>
      <c r="B370" s="25" t="s">
        <v>83</v>
      </c>
      <c r="C370" s="26">
        <v>5.7</v>
      </c>
      <c r="D370" s="102"/>
    </row>
    <row r="371" spans="1:4" ht="31.5" hidden="1" outlineLevel="1">
      <c r="A371" s="24" t="s">
        <v>311</v>
      </c>
      <c r="B371" s="25" t="s">
        <v>84</v>
      </c>
      <c r="C371" s="24">
        <v>5.74</v>
      </c>
      <c r="D371" s="102"/>
    </row>
    <row r="372" spans="1:4" ht="31.5" hidden="1" outlineLevel="1">
      <c r="A372" s="24" t="s">
        <v>311</v>
      </c>
      <c r="B372" s="25" t="s">
        <v>112</v>
      </c>
      <c r="C372" s="24">
        <v>5.76</v>
      </c>
      <c r="D372" s="102"/>
    </row>
    <row r="373" spans="1:4" ht="31.5" hidden="1" outlineLevel="1">
      <c r="A373" s="24" t="s">
        <v>311</v>
      </c>
      <c r="B373" s="25" t="s">
        <v>113</v>
      </c>
      <c r="C373" s="24">
        <v>5.89</v>
      </c>
      <c r="D373" s="101" t="s">
        <v>1634</v>
      </c>
    </row>
    <row r="374" spans="1:4" ht="31.5" hidden="1" outlineLevel="1">
      <c r="A374" s="24" t="s">
        <v>311</v>
      </c>
      <c r="B374" s="25" t="s">
        <v>114</v>
      </c>
      <c r="C374" s="24">
        <v>5.109</v>
      </c>
      <c r="D374" s="101"/>
    </row>
    <row r="375" spans="1:4" ht="31.5" hidden="1" outlineLevel="1">
      <c r="A375" s="24" t="s">
        <v>311</v>
      </c>
      <c r="B375" s="25" t="s">
        <v>115</v>
      </c>
      <c r="C375" s="24">
        <v>5.1109999999999998</v>
      </c>
      <c r="D375" s="102"/>
    </row>
    <row r="376" spans="1:4" ht="31.5" hidden="1" outlineLevel="1">
      <c r="A376" s="24" t="s">
        <v>311</v>
      </c>
      <c r="B376" s="25" t="s">
        <v>117</v>
      </c>
      <c r="C376" s="24">
        <v>5.1120000000000001</v>
      </c>
      <c r="D376" s="102"/>
    </row>
    <row r="377" spans="1:4" ht="31.5" hidden="1" outlineLevel="1">
      <c r="A377" s="24" t="s">
        <v>311</v>
      </c>
      <c r="B377" s="28" t="s">
        <v>1640</v>
      </c>
      <c r="C377" s="24">
        <v>5.1130000000000004</v>
      </c>
      <c r="D377" s="102"/>
    </row>
    <row r="378" spans="1:4" ht="31.5" hidden="1" outlineLevel="1">
      <c r="A378" s="24" t="s">
        <v>311</v>
      </c>
      <c r="B378" s="25" t="s">
        <v>33</v>
      </c>
      <c r="C378" s="24">
        <v>5.58</v>
      </c>
      <c r="D378" s="102"/>
    </row>
    <row r="379" spans="1:4" ht="31.5" hidden="1" outlineLevel="1">
      <c r="A379" s="24" t="s">
        <v>311</v>
      </c>
      <c r="B379" s="25" t="s">
        <v>34</v>
      </c>
      <c r="C379" s="24">
        <v>5.54</v>
      </c>
      <c r="D379" s="102"/>
    </row>
    <row r="380" spans="1:4" ht="31.5" hidden="1" outlineLevel="1">
      <c r="A380" s="24" t="s">
        <v>311</v>
      </c>
      <c r="B380" s="25" t="s">
        <v>35</v>
      </c>
      <c r="C380" s="24">
        <v>5.55</v>
      </c>
      <c r="D380" s="102"/>
    </row>
    <row r="381" spans="1:4" ht="31.5" hidden="1" outlineLevel="1">
      <c r="A381" s="24" t="s">
        <v>311</v>
      </c>
      <c r="B381" s="25" t="s">
        <v>36</v>
      </c>
      <c r="C381" s="24">
        <v>5.63</v>
      </c>
      <c r="D381" s="102"/>
    </row>
    <row r="382" spans="1:4" ht="31.5" hidden="1" outlineLevel="1">
      <c r="A382" s="24" t="s">
        <v>311</v>
      </c>
      <c r="B382" s="25" t="s">
        <v>104</v>
      </c>
      <c r="C382" s="24">
        <v>5.65</v>
      </c>
      <c r="D382" s="102"/>
    </row>
    <row r="383" spans="1:4" ht="31.5" hidden="1" outlineLevel="1">
      <c r="A383" s="24" t="s">
        <v>311</v>
      </c>
      <c r="B383" s="25" t="s">
        <v>119</v>
      </c>
      <c r="C383" s="24">
        <v>5.66</v>
      </c>
      <c r="D383" s="102"/>
    </row>
    <row r="384" spans="1:4" ht="31.5" hidden="1" outlineLevel="1">
      <c r="A384" s="24" t="s">
        <v>311</v>
      </c>
      <c r="B384" s="25" t="s">
        <v>105</v>
      </c>
      <c r="C384" s="24">
        <v>5.68</v>
      </c>
      <c r="D384" s="102"/>
    </row>
    <row r="385" spans="1:4" ht="31.5" hidden="1" outlineLevel="1">
      <c r="A385" s="24" t="s">
        <v>311</v>
      </c>
      <c r="B385" s="25" t="s">
        <v>37</v>
      </c>
      <c r="C385" s="24">
        <v>5.47</v>
      </c>
      <c r="D385" s="102"/>
    </row>
    <row r="386" spans="1:4" ht="31.5" hidden="1" outlineLevel="1">
      <c r="A386" s="24" t="s">
        <v>311</v>
      </c>
      <c r="B386" s="25" t="s">
        <v>38</v>
      </c>
      <c r="C386" s="24">
        <v>5.48</v>
      </c>
      <c r="D386" s="102"/>
    </row>
    <row r="387" spans="1:4" ht="15.75" collapsed="1">
      <c r="A387" s="29" t="s">
        <v>311</v>
      </c>
      <c r="B387" s="25"/>
      <c r="C387" s="24"/>
      <c r="D387" s="102"/>
    </row>
    <row r="388" spans="1:4" ht="15.75" hidden="1" outlineLevel="1">
      <c r="A388" s="24" t="s">
        <v>312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312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312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312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312</v>
      </c>
      <c r="B392" s="25" t="s">
        <v>1638</v>
      </c>
      <c r="C392" s="26">
        <v>5.0999999999999996</v>
      </c>
      <c r="D392" s="102"/>
    </row>
    <row r="393" spans="1:4" ht="15.75" hidden="1" outlineLevel="1">
      <c r="A393" s="24" t="s">
        <v>312</v>
      </c>
      <c r="B393" s="25" t="s">
        <v>1635</v>
      </c>
      <c r="C393" s="24">
        <v>5.14</v>
      </c>
      <c r="D393" s="102"/>
    </row>
    <row r="394" spans="1:4" ht="15.75" hidden="1" outlineLevel="1">
      <c r="A394" s="24" t="s">
        <v>312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312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312</v>
      </c>
      <c r="B396" s="25" t="s">
        <v>60</v>
      </c>
      <c r="C396" s="24">
        <v>5.26</v>
      </c>
      <c r="D396" s="102"/>
    </row>
    <row r="397" spans="1:4" ht="15.75" hidden="1" outlineLevel="1">
      <c r="A397" s="24" t="s">
        <v>312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312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312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312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312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312</v>
      </c>
      <c r="B402" s="25" t="s">
        <v>102</v>
      </c>
      <c r="C402" s="24">
        <v>5.37</v>
      </c>
      <c r="D402" s="102"/>
    </row>
    <row r="403" spans="1:4" ht="15.75" hidden="1" outlineLevel="1">
      <c r="A403" s="24" t="s">
        <v>312</v>
      </c>
      <c r="B403" s="25" t="s">
        <v>85</v>
      </c>
      <c r="C403" s="24">
        <v>5.49</v>
      </c>
      <c r="D403" s="102"/>
    </row>
    <row r="404" spans="1:4" ht="15.75" hidden="1" outlineLevel="1">
      <c r="A404" s="24" t="s">
        <v>312</v>
      </c>
      <c r="B404" s="25" t="s">
        <v>86</v>
      </c>
      <c r="C404" s="24">
        <v>5.51</v>
      </c>
      <c r="D404" s="102"/>
    </row>
    <row r="405" spans="1:4" ht="15.75" hidden="1" outlineLevel="1">
      <c r="A405" s="24" t="s">
        <v>312</v>
      </c>
      <c r="B405" s="25" t="s">
        <v>1639</v>
      </c>
      <c r="C405" s="24">
        <v>5.52</v>
      </c>
      <c r="D405" s="102"/>
    </row>
    <row r="406" spans="1:4" ht="15.75" hidden="1" outlineLevel="1">
      <c r="A406" s="24" t="s">
        <v>312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312</v>
      </c>
      <c r="B407" s="25" t="s">
        <v>82</v>
      </c>
      <c r="C407" s="24">
        <v>5.69</v>
      </c>
      <c r="D407" s="102"/>
    </row>
    <row r="408" spans="1:4" ht="15.75" hidden="1" outlineLevel="1">
      <c r="A408" s="24" t="s">
        <v>312</v>
      </c>
      <c r="B408" s="25" t="s">
        <v>103</v>
      </c>
      <c r="C408" s="24">
        <v>5.75</v>
      </c>
      <c r="D408" s="102"/>
    </row>
    <row r="409" spans="1:4" ht="15.75" hidden="1" outlineLevel="1">
      <c r="A409" s="24" t="s">
        <v>312</v>
      </c>
      <c r="B409" s="25" t="s">
        <v>84</v>
      </c>
      <c r="C409" s="24">
        <v>5.74</v>
      </c>
      <c r="D409" s="102"/>
    </row>
    <row r="410" spans="1:4" ht="15.75" hidden="1" outlineLevel="1">
      <c r="A410" s="24" t="s">
        <v>312</v>
      </c>
      <c r="B410" s="25" t="s">
        <v>83</v>
      </c>
      <c r="C410" s="26">
        <v>5.7</v>
      </c>
      <c r="D410" s="102"/>
    </row>
    <row r="411" spans="1:4" ht="15.75" hidden="1" outlineLevel="1">
      <c r="A411" s="24" t="s">
        <v>312</v>
      </c>
      <c r="B411" s="25" t="s">
        <v>112</v>
      </c>
      <c r="C411" s="24">
        <v>5.76</v>
      </c>
      <c r="D411" s="102"/>
    </row>
    <row r="412" spans="1:4" ht="15.75" hidden="1" outlineLevel="1">
      <c r="A412" s="24" t="s">
        <v>312</v>
      </c>
      <c r="B412" s="25" t="s">
        <v>113</v>
      </c>
      <c r="C412" s="24">
        <v>5.89</v>
      </c>
      <c r="D412" s="101" t="s">
        <v>1634</v>
      </c>
    </row>
    <row r="413" spans="1:4" ht="15.75" hidden="1" outlineLevel="1">
      <c r="A413" s="24" t="s">
        <v>312</v>
      </c>
      <c r="B413" s="25" t="s">
        <v>114</v>
      </c>
      <c r="C413" s="24">
        <v>5.109</v>
      </c>
      <c r="D413" s="102"/>
    </row>
    <row r="414" spans="1:4" ht="15.75" hidden="1" outlineLevel="1">
      <c r="A414" s="24" t="s">
        <v>312</v>
      </c>
      <c r="B414" s="25" t="s">
        <v>115</v>
      </c>
      <c r="C414" s="24">
        <v>5.1109999999999998</v>
      </c>
      <c r="D414" s="102"/>
    </row>
    <row r="415" spans="1:4" ht="15.75" hidden="1" outlineLevel="1">
      <c r="A415" s="24" t="s">
        <v>312</v>
      </c>
      <c r="B415" s="25" t="s">
        <v>117</v>
      </c>
      <c r="C415" s="24">
        <v>5.1120000000000001</v>
      </c>
      <c r="D415" s="102"/>
    </row>
    <row r="416" spans="1:4" ht="15.75" hidden="1" outlineLevel="1">
      <c r="A416" s="24" t="s">
        <v>312</v>
      </c>
      <c r="B416" s="28" t="s">
        <v>1640</v>
      </c>
      <c r="C416" s="24">
        <v>5.1130000000000004</v>
      </c>
      <c r="D416" s="102"/>
    </row>
    <row r="417" spans="1:4" ht="15.75" hidden="1" outlineLevel="1">
      <c r="A417" s="24" t="s">
        <v>312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312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312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312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312</v>
      </c>
      <c r="B421" s="25" t="s">
        <v>104</v>
      </c>
      <c r="C421" s="24">
        <v>5.65</v>
      </c>
      <c r="D421" s="102"/>
    </row>
    <row r="422" spans="1:4" ht="15.75" hidden="1" outlineLevel="1">
      <c r="A422" s="24" t="s">
        <v>312</v>
      </c>
      <c r="B422" s="25" t="s">
        <v>119</v>
      </c>
      <c r="C422" s="24">
        <v>5.66</v>
      </c>
      <c r="D422" s="102"/>
    </row>
    <row r="423" spans="1:4" ht="15.75" hidden="1" outlineLevel="1">
      <c r="A423" s="24" t="s">
        <v>312</v>
      </c>
      <c r="B423" s="25" t="s">
        <v>105</v>
      </c>
      <c r="C423" s="24">
        <v>5.68</v>
      </c>
      <c r="D423" s="102"/>
    </row>
    <row r="424" spans="1:4" ht="15.75" hidden="1" outlineLevel="1">
      <c r="A424" s="24" t="s">
        <v>312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312</v>
      </c>
      <c r="B425" s="25" t="s">
        <v>38</v>
      </c>
      <c r="C425" s="24">
        <v>5.48</v>
      </c>
      <c r="D425" s="102"/>
    </row>
    <row r="426" spans="1:4" ht="15.75" collapsed="1">
      <c r="A426" s="29" t="s">
        <v>312</v>
      </c>
      <c r="B426" s="25"/>
      <c r="C426" s="24"/>
      <c r="D426" s="102"/>
    </row>
    <row r="427" spans="1:4" ht="15.75" hidden="1" outlineLevel="1">
      <c r="A427" s="24" t="s">
        <v>313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313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313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313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313</v>
      </c>
      <c r="B431" s="25" t="s">
        <v>1638</v>
      </c>
      <c r="C431" s="26">
        <v>5.0999999999999996</v>
      </c>
      <c r="D431" s="102"/>
    </row>
    <row r="432" spans="1:4" ht="15.75" hidden="1" outlineLevel="1">
      <c r="A432" s="24" t="s">
        <v>313</v>
      </c>
      <c r="B432" s="25" t="s">
        <v>1635</v>
      </c>
      <c r="C432" s="24">
        <v>5.14</v>
      </c>
      <c r="D432" s="102"/>
    </row>
    <row r="433" spans="1:4" ht="15.75" hidden="1" outlineLevel="1">
      <c r="A433" s="24" t="s">
        <v>313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313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313</v>
      </c>
      <c r="B435" s="25" t="s">
        <v>60</v>
      </c>
      <c r="C435" s="24">
        <v>5.26</v>
      </c>
      <c r="D435" s="102"/>
    </row>
    <row r="436" spans="1:4" ht="15.75" hidden="1" outlineLevel="1">
      <c r="A436" s="24" t="s">
        <v>313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313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313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313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313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313</v>
      </c>
      <c r="B441" s="25" t="s">
        <v>102</v>
      </c>
      <c r="C441" s="24">
        <v>5.37</v>
      </c>
      <c r="D441" s="102"/>
    </row>
    <row r="442" spans="1:4" ht="15.75" hidden="1" outlineLevel="1">
      <c r="A442" s="24" t="s">
        <v>313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313</v>
      </c>
      <c r="B443" s="25" t="s">
        <v>114</v>
      </c>
      <c r="C443" s="24">
        <v>5.109</v>
      </c>
      <c r="D443" s="102"/>
    </row>
    <row r="444" spans="1:4" ht="15.75" hidden="1" outlineLevel="1">
      <c r="A444" s="24" t="s">
        <v>313</v>
      </c>
      <c r="B444" s="25" t="s">
        <v>115</v>
      </c>
      <c r="C444" s="24">
        <v>5.1109999999999998</v>
      </c>
      <c r="D444" s="102"/>
    </row>
    <row r="445" spans="1:4" ht="15.75" hidden="1" outlineLevel="1">
      <c r="A445" s="24" t="s">
        <v>313</v>
      </c>
      <c r="B445" s="25" t="s">
        <v>117</v>
      </c>
      <c r="C445" s="24">
        <v>5.1120000000000001</v>
      </c>
      <c r="D445" s="102"/>
    </row>
    <row r="446" spans="1:4" ht="15.75" hidden="1" outlineLevel="1">
      <c r="A446" s="24" t="s">
        <v>313</v>
      </c>
      <c r="B446" s="28" t="s">
        <v>1640</v>
      </c>
      <c r="C446" s="24">
        <v>5.1130000000000004</v>
      </c>
      <c r="D446" s="102"/>
    </row>
    <row r="447" spans="1:4" ht="15.75" hidden="1" outlineLevel="1">
      <c r="A447" s="24" t="s">
        <v>313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313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313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313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313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313</v>
      </c>
      <c r="B452" s="25" t="s">
        <v>38</v>
      </c>
      <c r="C452" s="24">
        <v>5.48</v>
      </c>
      <c r="D452" s="102"/>
    </row>
    <row r="453" spans="1:4" ht="15.75" collapsed="1">
      <c r="A453" s="29" t="s">
        <v>313</v>
      </c>
      <c r="B453" s="25"/>
      <c r="C453" s="24"/>
      <c r="D453" s="102"/>
    </row>
    <row r="454" spans="1:4" ht="15.75" hidden="1" outlineLevel="1">
      <c r="A454" s="24" t="s">
        <v>314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314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314</v>
      </c>
      <c r="B456" s="25" t="s">
        <v>327</v>
      </c>
      <c r="C456" s="24">
        <v>5.5</v>
      </c>
      <c r="D456" s="102"/>
    </row>
    <row r="457" spans="1:4" ht="15.75" hidden="1" outlineLevel="1">
      <c r="A457" s="24" t="s">
        <v>314</v>
      </c>
      <c r="B457" s="25" t="s">
        <v>328</v>
      </c>
      <c r="C457" s="24">
        <v>5.8</v>
      </c>
      <c r="D457" s="101" t="s">
        <v>1634</v>
      </c>
    </row>
    <row r="458" spans="1:4" ht="15.75" hidden="1" outlineLevel="1">
      <c r="A458" s="24" t="s">
        <v>314</v>
      </c>
      <c r="B458" s="25" t="s">
        <v>329</v>
      </c>
      <c r="C458" s="24">
        <v>5.12</v>
      </c>
      <c r="D458" s="101" t="s">
        <v>1634</v>
      </c>
    </row>
    <row r="459" spans="1:4" ht="15.75" hidden="1" outlineLevel="1">
      <c r="A459" s="24" t="s">
        <v>314</v>
      </c>
      <c r="B459" s="25" t="s">
        <v>330</v>
      </c>
      <c r="C459" s="24">
        <v>5.15</v>
      </c>
      <c r="D459" s="102"/>
    </row>
    <row r="460" spans="1:4" ht="15.75" hidden="1" outlineLevel="1">
      <c r="A460" s="24" t="s">
        <v>314</v>
      </c>
      <c r="B460" s="25" t="s">
        <v>331</v>
      </c>
      <c r="C460" s="26">
        <v>5.2</v>
      </c>
      <c r="D460" s="101"/>
    </row>
    <row r="461" spans="1:4" ht="15.75" hidden="1" outlineLevel="1">
      <c r="A461" s="24" t="s">
        <v>314</v>
      </c>
      <c r="B461" s="25" t="s">
        <v>332</v>
      </c>
      <c r="C461" s="24">
        <v>5.25</v>
      </c>
      <c r="D461" s="102"/>
    </row>
    <row r="462" spans="1:4" ht="15.75" hidden="1" outlineLevel="1">
      <c r="A462" s="24" t="s">
        <v>314</v>
      </c>
      <c r="B462" s="25" t="s">
        <v>60</v>
      </c>
      <c r="C462" s="24">
        <v>5.26</v>
      </c>
      <c r="D462" s="102"/>
    </row>
    <row r="463" spans="1:4" ht="15.75" hidden="1" outlineLevel="1">
      <c r="A463" s="24" t="s">
        <v>314</v>
      </c>
      <c r="B463" s="25" t="s">
        <v>333</v>
      </c>
      <c r="C463" s="24">
        <v>5.1139999999999999</v>
      </c>
      <c r="D463" s="101" t="s">
        <v>1634</v>
      </c>
    </row>
    <row r="464" spans="1:4" ht="15.75" hidden="1" outlineLevel="1">
      <c r="A464" s="24" t="s">
        <v>314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314</v>
      </c>
      <c r="B465" s="25" t="s">
        <v>334</v>
      </c>
      <c r="C465" s="24">
        <v>5.1150000000000002</v>
      </c>
      <c r="D465" s="101" t="s">
        <v>1634</v>
      </c>
    </row>
    <row r="466" spans="1:4" ht="15.75" hidden="1" outlineLevel="1">
      <c r="A466" s="24" t="s">
        <v>314</v>
      </c>
      <c r="B466" s="25" t="s">
        <v>335</v>
      </c>
      <c r="C466" s="24">
        <v>5.1159999999999997</v>
      </c>
      <c r="D466" s="101" t="s">
        <v>1634</v>
      </c>
    </row>
    <row r="467" spans="1:4" ht="15.75" hidden="1" outlineLevel="1">
      <c r="A467" s="24" t="s">
        <v>314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314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314</v>
      </c>
      <c r="B469" s="25" t="s">
        <v>102</v>
      </c>
      <c r="C469" s="24">
        <v>5.37</v>
      </c>
      <c r="D469" s="102"/>
    </row>
    <row r="470" spans="1:4" ht="15.75" hidden="1" outlineLevel="1">
      <c r="A470" s="24" t="s">
        <v>314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314</v>
      </c>
      <c r="B471" s="25" t="s">
        <v>114</v>
      </c>
      <c r="C471" s="24">
        <v>5.109</v>
      </c>
      <c r="D471" s="102"/>
    </row>
    <row r="472" spans="1:4" ht="15.75" hidden="1" outlineLevel="1">
      <c r="A472" s="24" t="s">
        <v>314</v>
      </c>
      <c r="B472" s="25" t="s">
        <v>115</v>
      </c>
      <c r="C472" s="24">
        <v>5.1109999999999998</v>
      </c>
      <c r="D472" s="102"/>
    </row>
    <row r="473" spans="1:4" ht="15.75" hidden="1" outlineLevel="1">
      <c r="A473" s="24" t="s">
        <v>314</v>
      </c>
      <c r="B473" s="25" t="s">
        <v>117</v>
      </c>
      <c r="C473" s="24">
        <v>5.1120000000000001</v>
      </c>
      <c r="D473" s="102"/>
    </row>
    <row r="474" spans="1:4" ht="15.75" hidden="1" outlineLevel="1">
      <c r="A474" s="24" t="s">
        <v>314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314</v>
      </c>
      <c r="B475" s="25" t="s">
        <v>336</v>
      </c>
      <c r="C475" s="24">
        <v>5.61</v>
      </c>
      <c r="D475" s="102"/>
    </row>
    <row r="476" spans="1:4" ht="15.75" hidden="1" outlineLevel="1">
      <c r="A476" s="24" t="s">
        <v>314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314</v>
      </c>
      <c r="B477" s="25" t="s">
        <v>337</v>
      </c>
      <c r="C477" s="24">
        <v>5.46</v>
      </c>
      <c r="D477" s="102"/>
    </row>
    <row r="478" spans="1:4" ht="15.75" hidden="1" outlineLevel="1">
      <c r="A478" s="24" t="s">
        <v>314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314</v>
      </c>
      <c r="B479" s="25" t="s">
        <v>38</v>
      </c>
      <c r="C479" s="24">
        <v>5.48</v>
      </c>
      <c r="D479" s="102"/>
    </row>
    <row r="480" spans="1:4" ht="15.75" collapsed="1">
      <c r="A480" s="29" t="s">
        <v>314</v>
      </c>
      <c r="B480" s="25"/>
      <c r="C480" s="24"/>
      <c r="D480" s="102"/>
    </row>
    <row r="481" spans="1:4" ht="15.75" hidden="1" outlineLevel="1">
      <c r="A481" s="24" t="s">
        <v>315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315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315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315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315</v>
      </c>
      <c r="B485" s="25" t="s">
        <v>1638</v>
      </c>
      <c r="C485" s="26">
        <v>5.0999999999999996</v>
      </c>
      <c r="D485" s="102"/>
    </row>
    <row r="486" spans="1:4" ht="15.75" hidden="1" outlineLevel="1">
      <c r="A486" s="24" t="s">
        <v>315</v>
      </c>
      <c r="B486" s="25" t="s">
        <v>1635</v>
      </c>
      <c r="C486" s="24">
        <v>5.14</v>
      </c>
      <c r="D486" s="102"/>
    </row>
    <row r="487" spans="1:4" ht="15.75" hidden="1" outlineLevel="1">
      <c r="A487" s="24" t="s">
        <v>315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315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315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315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315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315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315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315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315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315</v>
      </c>
      <c r="B496" s="25" t="s">
        <v>102</v>
      </c>
      <c r="C496" s="24">
        <v>5.37</v>
      </c>
      <c r="D496" s="102"/>
    </row>
    <row r="497" spans="1:4" ht="15.75" hidden="1" outlineLevel="1">
      <c r="A497" s="24" t="s">
        <v>315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315</v>
      </c>
      <c r="B498" s="25" t="s">
        <v>114</v>
      </c>
      <c r="C498" s="24">
        <v>5.109</v>
      </c>
      <c r="D498" s="102"/>
    </row>
    <row r="499" spans="1:4" ht="15.75" hidden="1" outlineLevel="1">
      <c r="A499" s="24" t="s">
        <v>315</v>
      </c>
      <c r="B499" s="25" t="s">
        <v>115</v>
      </c>
      <c r="C499" s="24">
        <v>5.1109999999999998</v>
      </c>
      <c r="D499" s="102"/>
    </row>
    <row r="500" spans="1:4" ht="15.75" hidden="1" outlineLevel="1">
      <c r="A500" s="24" t="s">
        <v>315</v>
      </c>
      <c r="B500" s="25" t="s">
        <v>117</v>
      </c>
      <c r="C500" s="24">
        <v>5.1120000000000001</v>
      </c>
      <c r="D500" s="102"/>
    </row>
    <row r="501" spans="1:4" ht="15.75" hidden="1" outlineLevel="1">
      <c r="A501" s="24" t="s">
        <v>315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315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315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315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315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315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315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315</v>
      </c>
      <c r="B508" s="25" t="s">
        <v>38</v>
      </c>
      <c r="C508" s="24">
        <v>5.48</v>
      </c>
      <c r="D508" s="102"/>
    </row>
    <row r="509" spans="1:4" ht="15.75" collapsed="1">
      <c r="A509" s="29" t="s">
        <v>315</v>
      </c>
      <c r="B509" s="25"/>
      <c r="C509" s="24"/>
      <c r="D509" s="102"/>
    </row>
    <row r="510" spans="1:4" ht="15.75" hidden="1" outlineLevel="1">
      <c r="A510" s="24" t="s">
        <v>316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316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316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316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316</v>
      </c>
      <c r="B514" s="25" t="s">
        <v>1638</v>
      </c>
      <c r="C514" s="26">
        <v>5.0999999999999996</v>
      </c>
      <c r="D514" s="102"/>
    </row>
    <row r="515" spans="1:4" ht="15.75" hidden="1" outlineLevel="1">
      <c r="A515" s="24" t="s">
        <v>316</v>
      </c>
      <c r="B515" s="25" t="s">
        <v>1635</v>
      </c>
      <c r="C515" s="24">
        <v>5.14</v>
      </c>
      <c r="D515" s="102"/>
    </row>
    <row r="516" spans="1:4" ht="15.75" hidden="1" outlineLevel="1">
      <c r="A516" s="24" t="s">
        <v>316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316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316</v>
      </c>
      <c r="B518" s="25" t="s">
        <v>60</v>
      </c>
      <c r="C518" s="24">
        <v>5.26</v>
      </c>
      <c r="D518" s="102"/>
    </row>
    <row r="519" spans="1:4" ht="15.75" hidden="1" outlineLevel="1">
      <c r="A519" s="24" t="s">
        <v>316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316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316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316</v>
      </c>
      <c r="B522" s="25" t="s">
        <v>61</v>
      </c>
      <c r="C522" s="24">
        <v>5.33</v>
      </c>
      <c r="D522" s="102"/>
    </row>
    <row r="523" spans="1:4" ht="15.75" hidden="1" outlineLevel="1">
      <c r="A523" s="24" t="s">
        <v>316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316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316</v>
      </c>
      <c r="B525" s="25" t="s">
        <v>102</v>
      </c>
      <c r="C525" s="24">
        <v>5.37</v>
      </c>
      <c r="D525" s="102"/>
    </row>
    <row r="526" spans="1:4" ht="15.75" hidden="1" outlineLevel="1">
      <c r="A526" s="24" t="s">
        <v>316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316</v>
      </c>
      <c r="B527" s="25" t="s">
        <v>114</v>
      </c>
      <c r="C527" s="24">
        <v>5.109</v>
      </c>
      <c r="D527" s="102"/>
    </row>
    <row r="528" spans="1:4" ht="15.75" hidden="1" outlineLevel="1">
      <c r="A528" s="24" t="s">
        <v>316</v>
      </c>
      <c r="B528" s="25" t="s">
        <v>115</v>
      </c>
      <c r="C528" s="24">
        <v>5.1109999999999998</v>
      </c>
      <c r="D528" s="102"/>
    </row>
    <row r="529" spans="1:4" ht="15.75" hidden="1" outlineLevel="1">
      <c r="A529" s="24" t="s">
        <v>316</v>
      </c>
      <c r="B529" s="25" t="s">
        <v>117</v>
      </c>
      <c r="C529" s="24">
        <v>5.1120000000000001</v>
      </c>
      <c r="D529" s="102"/>
    </row>
    <row r="530" spans="1:4" ht="15.75" hidden="1" outlineLevel="1">
      <c r="A530" s="24" t="s">
        <v>316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316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316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316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316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316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316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316</v>
      </c>
      <c r="B537" s="25" t="s">
        <v>38</v>
      </c>
      <c r="C537" s="24">
        <v>5.48</v>
      </c>
      <c r="D537" s="102"/>
    </row>
    <row r="538" spans="1:4" ht="15.75" collapsed="1">
      <c r="A538" s="29" t="s">
        <v>316</v>
      </c>
      <c r="B538" s="25"/>
      <c r="C538" s="24"/>
      <c r="D538" s="102"/>
    </row>
    <row r="539" spans="1:4" ht="15.75" hidden="1" outlineLevel="1">
      <c r="A539" s="24" t="s">
        <v>317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317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317</v>
      </c>
      <c r="B541" s="25" t="s">
        <v>60</v>
      </c>
      <c r="C541" s="24">
        <v>5.26</v>
      </c>
      <c r="D541" s="102"/>
    </row>
    <row r="542" spans="1:4" ht="15.75" hidden="1" outlineLevel="1">
      <c r="A542" s="24" t="s">
        <v>317</v>
      </c>
      <c r="B542" s="25" t="s">
        <v>636</v>
      </c>
      <c r="C542" s="24">
        <v>5.21</v>
      </c>
      <c r="D542" s="102"/>
    </row>
    <row r="543" spans="1:4" ht="15.75" hidden="1" outlineLevel="1">
      <c r="A543" s="24" t="s">
        <v>317</v>
      </c>
      <c r="B543" s="25" t="s">
        <v>637</v>
      </c>
      <c r="C543" s="24">
        <v>5.53</v>
      </c>
      <c r="D543" s="102"/>
    </row>
    <row r="544" spans="1:4" ht="15.75" hidden="1" outlineLevel="1">
      <c r="A544" s="24" t="s">
        <v>317</v>
      </c>
      <c r="B544" s="25" t="s">
        <v>638</v>
      </c>
      <c r="C544" s="24">
        <v>5.54</v>
      </c>
      <c r="D544" s="102"/>
    </row>
    <row r="545" spans="1:4" ht="15.75" hidden="1" outlineLevel="1">
      <c r="A545" s="24" t="s">
        <v>317</v>
      </c>
      <c r="B545" s="25" t="s">
        <v>639</v>
      </c>
      <c r="C545" s="24">
        <v>5.58</v>
      </c>
      <c r="D545" s="102"/>
    </row>
    <row r="546" spans="1:4" ht="15.75" hidden="1" outlineLevel="1">
      <c r="A546" s="24" t="s">
        <v>317</v>
      </c>
      <c r="B546" s="25" t="s">
        <v>640</v>
      </c>
      <c r="C546" s="24">
        <v>5.1180000000000003</v>
      </c>
      <c r="D546" s="102"/>
    </row>
    <row r="547" spans="1:4" ht="15.75" hidden="1" outlineLevel="1">
      <c r="A547" s="24" t="s">
        <v>317</v>
      </c>
      <c r="B547" s="28" t="s">
        <v>641</v>
      </c>
      <c r="C547" s="24">
        <v>5.47</v>
      </c>
      <c r="D547" s="102"/>
    </row>
    <row r="548" spans="1:4" ht="15.75" hidden="1" outlineLevel="1">
      <c r="A548" s="24" t="s">
        <v>317</v>
      </c>
      <c r="B548" s="25" t="s">
        <v>642</v>
      </c>
      <c r="C548" s="24">
        <v>5.48</v>
      </c>
      <c r="D548" s="102"/>
    </row>
    <row r="549" spans="1:4" ht="15.75" hidden="1" outlineLevel="1">
      <c r="A549" s="24" t="s">
        <v>317</v>
      </c>
      <c r="B549" s="25" t="s">
        <v>643</v>
      </c>
      <c r="C549" s="24">
        <v>5.21</v>
      </c>
      <c r="D549" s="102"/>
    </row>
    <row r="550" spans="1:4" ht="15.75" hidden="1" outlineLevel="1">
      <c r="A550" s="24" t="s">
        <v>317</v>
      </c>
      <c r="B550" s="25" t="s">
        <v>644</v>
      </c>
      <c r="C550" s="24">
        <v>5.53</v>
      </c>
      <c r="D550" s="102"/>
    </row>
    <row r="551" spans="1:4" ht="15.75" hidden="1" outlineLevel="1">
      <c r="A551" s="24" t="s">
        <v>317</v>
      </c>
      <c r="B551" s="25" t="s">
        <v>645</v>
      </c>
      <c r="C551" s="24">
        <v>5.54</v>
      </c>
      <c r="D551" s="102"/>
    </row>
    <row r="552" spans="1:4" ht="15.75" hidden="1" outlineLevel="1">
      <c r="A552" s="24" t="s">
        <v>317</v>
      </c>
      <c r="B552" s="25" t="s">
        <v>646</v>
      </c>
      <c r="C552" s="24">
        <v>5.58</v>
      </c>
      <c r="D552" s="102"/>
    </row>
    <row r="553" spans="1:4" ht="15.75" hidden="1" outlineLevel="1">
      <c r="A553" s="24" t="s">
        <v>317</v>
      </c>
      <c r="B553" s="25" t="s">
        <v>647</v>
      </c>
      <c r="C553" s="24">
        <v>5.1180000000000003</v>
      </c>
      <c r="D553" s="102"/>
    </row>
    <row r="554" spans="1:4" ht="15.75" hidden="1" outlineLevel="1">
      <c r="A554" s="24" t="s">
        <v>317</v>
      </c>
      <c r="B554" s="25" t="s">
        <v>648</v>
      </c>
      <c r="C554" s="24">
        <v>5.47</v>
      </c>
      <c r="D554" s="102"/>
    </row>
    <row r="555" spans="1:4" ht="15.75" hidden="1" outlineLevel="1">
      <c r="A555" s="24" t="s">
        <v>317</v>
      </c>
      <c r="B555" s="25" t="s">
        <v>649</v>
      </c>
      <c r="C555" s="24">
        <v>5.48</v>
      </c>
      <c r="D555" s="102"/>
    </row>
    <row r="556" spans="1:4" ht="15.75" hidden="1" outlineLevel="1">
      <c r="A556" s="24" t="s">
        <v>317</v>
      </c>
      <c r="B556" s="25" t="s">
        <v>650</v>
      </c>
      <c r="C556" s="24">
        <v>5.63</v>
      </c>
      <c r="D556" s="102"/>
    </row>
    <row r="557" spans="1:4" ht="15.75" hidden="1" outlineLevel="1">
      <c r="A557" s="24" t="s">
        <v>317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317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317</v>
      </c>
      <c r="B559" s="25" t="s">
        <v>651</v>
      </c>
      <c r="C559" s="24">
        <v>5.35</v>
      </c>
      <c r="D559" s="102"/>
    </row>
    <row r="560" spans="1:4" ht="15.75" hidden="1" outlineLevel="1">
      <c r="A560" s="24" t="s">
        <v>317</v>
      </c>
      <c r="B560" s="25" t="s">
        <v>652</v>
      </c>
      <c r="C560" s="24">
        <v>5.1189999999999998</v>
      </c>
      <c r="D560" s="102"/>
    </row>
    <row r="561" spans="1:4" ht="15.75" hidden="1" outlineLevel="1">
      <c r="A561" s="24" t="s">
        <v>317</v>
      </c>
      <c r="B561" s="25" t="s">
        <v>653</v>
      </c>
      <c r="C561" s="27">
        <v>5.12</v>
      </c>
      <c r="D561" s="102"/>
    </row>
    <row r="562" spans="1:4" ht="15.75" hidden="1" outlineLevel="1">
      <c r="A562" s="24" t="s">
        <v>317</v>
      </c>
      <c r="B562" s="25" t="s">
        <v>67</v>
      </c>
      <c r="C562" s="24">
        <v>5.1210000000000004</v>
      </c>
      <c r="D562" s="102"/>
    </row>
    <row r="563" spans="1:4" ht="15.75" hidden="1" outlineLevel="1">
      <c r="A563" s="24" t="s">
        <v>317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317</v>
      </c>
      <c r="B564" s="25" t="s">
        <v>654</v>
      </c>
      <c r="C564" s="24">
        <v>5.1219999999999999</v>
      </c>
      <c r="D564" s="102"/>
    </row>
    <row r="565" spans="1:4" ht="15.75" hidden="1" outlineLevel="1">
      <c r="A565" s="24" t="s">
        <v>317</v>
      </c>
      <c r="B565" s="25" t="s">
        <v>655</v>
      </c>
      <c r="C565" s="24">
        <v>5.1230000000000002</v>
      </c>
      <c r="D565" s="102"/>
    </row>
    <row r="566" spans="1:4" ht="15.75" hidden="1" outlineLevel="1">
      <c r="A566" s="24" t="s">
        <v>317</v>
      </c>
      <c r="B566" s="25" t="s">
        <v>656</v>
      </c>
      <c r="C566" s="24">
        <v>5.1239999999999997</v>
      </c>
      <c r="D566" s="102"/>
    </row>
    <row r="567" spans="1:4" ht="15.75" hidden="1" outlineLevel="1">
      <c r="A567" s="24" t="s">
        <v>317</v>
      </c>
      <c r="B567" s="25" t="s">
        <v>657</v>
      </c>
      <c r="C567" s="24">
        <v>5.125</v>
      </c>
      <c r="D567" s="102"/>
    </row>
    <row r="568" spans="1:4" ht="15.75" hidden="1" outlineLevel="1">
      <c r="A568" s="24" t="s">
        <v>317</v>
      </c>
      <c r="B568" s="25" t="s">
        <v>658</v>
      </c>
      <c r="C568" s="24">
        <v>5.1260000000000003</v>
      </c>
      <c r="D568" s="102"/>
    </row>
    <row r="569" spans="1:4" ht="15.75" hidden="1" outlineLevel="1">
      <c r="A569" s="24" t="s">
        <v>317</v>
      </c>
      <c r="B569" s="25" t="s">
        <v>659</v>
      </c>
      <c r="C569" s="24">
        <v>5.1269999999999998</v>
      </c>
      <c r="D569" s="102"/>
    </row>
    <row r="570" spans="1:4" ht="15.75" hidden="1" outlineLevel="1">
      <c r="A570" s="24" t="s">
        <v>317</v>
      </c>
      <c r="B570" s="25" t="s">
        <v>111</v>
      </c>
      <c r="C570" s="26">
        <v>5.72</v>
      </c>
      <c r="D570" s="102"/>
    </row>
    <row r="571" spans="1:4" ht="15.75" hidden="1" outlineLevel="1">
      <c r="A571" s="24" t="s">
        <v>317</v>
      </c>
      <c r="B571" s="25" t="s">
        <v>660</v>
      </c>
      <c r="C571" s="24">
        <v>5.1280000000000001</v>
      </c>
      <c r="D571" s="102"/>
    </row>
    <row r="572" spans="1:4" ht="15.75" hidden="1" outlineLevel="1">
      <c r="A572" s="24" t="s">
        <v>317</v>
      </c>
      <c r="B572" s="25" t="s">
        <v>661</v>
      </c>
      <c r="C572" s="24">
        <v>5.1289999999999996</v>
      </c>
      <c r="D572" s="101" t="s">
        <v>1634</v>
      </c>
    </row>
    <row r="573" spans="1:4" ht="15.75" hidden="1" outlineLevel="1">
      <c r="A573" s="24" t="s">
        <v>317</v>
      </c>
      <c r="B573" s="25" t="s">
        <v>662</v>
      </c>
      <c r="C573" s="24">
        <v>5.1310000000000002</v>
      </c>
      <c r="D573" s="102"/>
    </row>
    <row r="574" spans="1:4" ht="15.75" hidden="1" outlineLevel="1">
      <c r="A574" s="24" t="s">
        <v>317</v>
      </c>
      <c r="B574" s="25" t="s">
        <v>663</v>
      </c>
      <c r="C574" s="24">
        <v>5.1319999999999997</v>
      </c>
      <c r="D574" s="101" t="s">
        <v>1634</v>
      </c>
    </row>
    <row r="575" spans="1:4" ht="15.75" hidden="1" outlineLevel="1">
      <c r="A575" s="24" t="s">
        <v>317</v>
      </c>
      <c r="B575" s="25" t="s">
        <v>664</v>
      </c>
      <c r="C575" s="24">
        <v>5.133</v>
      </c>
      <c r="D575" s="101" t="s">
        <v>1634</v>
      </c>
    </row>
    <row r="576" spans="1:4" ht="15.75" hidden="1" outlineLevel="1">
      <c r="A576" s="24" t="s">
        <v>317</v>
      </c>
      <c r="B576" s="25" t="s">
        <v>665</v>
      </c>
      <c r="C576" s="24">
        <v>5.1340000000000003</v>
      </c>
      <c r="D576" s="101" t="s">
        <v>1634</v>
      </c>
    </row>
    <row r="577" spans="1:4" ht="15.75" hidden="1" outlineLevel="1">
      <c r="A577" s="24" t="s">
        <v>317</v>
      </c>
      <c r="B577" s="25" t="s">
        <v>666</v>
      </c>
      <c r="C577" s="27">
        <v>5.13</v>
      </c>
      <c r="D577" s="102"/>
    </row>
    <row r="578" spans="1:4" ht="15.75" hidden="1" outlineLevel="1">
      <c r="A578" s="24" t="s">
        <v>317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317</v>
      </c>
      <c r="B579" s="25" t="s">
        <v>38</v>
      </c>
      <c r="C579" s="24">
        <v>5.48</v>
      </c>
      <c r="D579" s="102"/>
    </row>
    <row r="580" spans="1:4" ht="15.75" collapsed="1">
      <c r="A580" s="29" t="s">
        <v>317</v>
      </c>
      <c r="B580" s="25"/>
      <c r="C580" s="24"/>
      <c r="D580" s="102"/>
    </row>
    <row r="581" spans="1:4" ht="15.75" hidden="1" outlineLevel="1">
      <c r="A581" s="24" t="s">
        <v>318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318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318</v>
      </c>
      <c r="B583" s="25" t="s">
        <v>704</v>
      </c>
      <c r="C583" s="24">
        <v>5.9</v>
      </c>
      <c r="D583" s="101" t="s">
        <v>1634</v>
      </c>
    </row>
    <row r="584" spans="1:4" ht="15.75" hidden="1" outlineLevel="1">
      <c r="A584" s="24" t="s">
        <v>318</v>
      </c>
      <c r="B584" s="25" t="s">
        <v>705</v>
      </c>
      <c r="C584" s="24">
        <v>5.13</v>
      </c>
      <c r="D584" s="101" t="s">
        <v>1634</v>
      </c>
    </row>
    <row r="585" spans="1:4" ht="15.75" hidden="1" outlineLevel="1">
      <c r="A585" s="24" t="s">
        <v>318</v>
      </c>
      <c r="B585" s="25" t="s">
        <v>706</v>
      </c>
      <c r="C585" s="24">
        <v>5.16</v>
      </c>
      <c r="D585" s="101" t="s">
        <v>1634</v>
      </c>
    </row>
    <row r="586" spans="1:4" ht="15.75" hidden="1" outlineLevel="1">
      <c r="A586" s="24" t="s">
        <v>318</v>
      </c>
      <c r="B586" s="25" t="s">
        <v>707</v>
      </c>
      <c r="C586" s="24">
        <v>5.22</v>
      </c>
      <c r="D586" s="101"/>
    </row>
    <row r="587" spans="1:4" ht="15.75" hidden="1" outlineLevel="1">
      <c r="A587" s="24" t="s">
        <v>318</v>
      </c>
      <c r="B587" s="25" t="s">
        <v>60</v>
      </c>
      <c r="C587" s="24">
        <v>5.26</v>
      </c>
      <c r="D587" s="102"/>
    </row>
    <row r="588" spans="1:4" ht="15.75" hidden="1" outlineLevel="1">
      <c r="A588" s="24" t="s">
        <v>318</v>
      </c>
      <c r="B588" s="25" t="s">
        <v>708</v>
      </c>
      <c r="C588" s="24">
        <v>5.77</v>
      </c>
      <c r="D588" s="102"/>
    </row>
    <row r="589" spans="1:4" ht="15.75" hidden="1" outlineLevel="1">
      <c r="A589" s="24" t="s">
        <v>318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318</v>
      </c>
      <c r="B590" s="25" t="s">
        <v>23</v>
      </c>
      <c r="C590" s="24">
        <v>5.28</v>
      </c>
      <c r="D590" s="101" t="s">
        <v>1634</v>
      </c>
    </row>
    <row r="591" spans="1:4" ht="15.75" hidden="1" outlineLevel="1">
      <c r="A591" s="24" t="s">
        <v>318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318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318</v>
      </c>
      <c r="B593" s="25" t="s">
        <v>709</v>
      </c>
      <c r="C593" s="24">
        <v>5.78</v>
      </c>
      <c r="D593" s="102"/>
    </row>
    <row r="594" spans="1:4" ht="15.75" hidden="1" outlineLevel="1">
      <c r="A594" s="24" t="s">
        <v>318</v>
      </c>
      <c r="B594" s="25" t="s">
        <v>710</v>
      </c>
      <c r="C594" s="24">
        <v>5.79</v>
      </c>
      <c r="D594" s="101" t="s">
        <v>1634</v>
      </c>
    </row>
    <row r="595" spans="1:4" ht="15.75" hidden="1" outlineLevel="1">
      <c r="A595" s="24" t="s">
        <v>318</v>
      </c>
      <c r="B595" s="25" t="s">
        <v>711</v>
      </c>
      <c r="C595" s="24">
        <v>5.41</v>
      </c>
      <c r="D595" s="102"/>
    </row>
    <row r="596" spans="1:4" ht="15.75" hidden="1" outlineLevel="1">
      <c r="A596" s="24" t="s">
        <v>318</v>
      </c>
      <c r="B596" s="25" t="s">
        <v>85</v>
      </c>
      <c r="C596" s="24">
        <v>5.49</v>
      </c>
      <c r="D596" s="102"/>
    </row>
    <row r="597" spans="1:4" ht="15.75" hidden="1" outlineLevel="1">
      <c r="A597" s="24" t="s">
        <v>318</v>
      </c>
      <c r="B597" s="25" t="s">
        <v>86</v>
      </c>
      <c r="C597" s="24">
        <v>5.51</v>
      </c>
      <c r="D597" s="102"/>
    </row>
    <row r="598" spans="1:4" ht="15.75" hidden="1" outlineLevel="1">
      <c r="A598" s="24" t="s">
        <v>318</v>
      </c>
      <c r="B598" s="25" t="s">
        <v>1641</v>
      </c>
      <c r="C598" s="24">
        <v>5.52</v>
      </c>
      <c r="D598" s="102"/>
    </row>
    <row r="599" spans="1:4" ht="15.75" hidden="1" outlineLevel="1">
      <c r="A599" s="24" t="s">
        <v>318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318</v>
      </c>
      <c r="B600" s="25" t="s">
        <v>82</v>
      </c>
      <c r="C600" s="24">
        <v>5.69</v>
      </c>
      <c r="D600" s="102"/>
    </row>
    <row r="601" spans="1:4" ht="15.75" hidden="1" outlineLevel="1">
      <c r="A601" s="24" t="s">
        <v>318</v>
      </c>
      <c r="B601" s="25" t="s">
        <v>713</v>
      </c>
      <c r="C601" s="24">
        <v>5.71</v>
      </c>
      <c r="D601" s="102"/>
    </row>
    <row r="602" spans="1:4" ht="15.75" hidden="1" outlineLevel="1">
      <c r="A602" s="24" t="s">
        <v>318</v>
      </c>
      <c r="B602" s="25" t="s">
        <v>83</v>
      </c>
      <c r="C602" s="26">
        <v>5.7</v>
      </c>
      <c r="D602" s="102"/>
    </row>
    <row r="603" spans="1:4" ht="15.75" hidden="1" outlineLevel="1">
      <c r="A603" s="24" t="s">
        <v>318</v>
      </c>
      <c r="B603" s="25" t="s">
        <v>106</v>
      </c>
      <c r="C603" s="26">
        <v>5.8</v>
      </c>
      <c r="D603" s="101" t="s">
        <v>1634</v>
      </c>
    </row>
    <row r="604" spans="1:4" ht="15.75" hidden="1" outlineLevel="1">
      <c r="A604" s="24" t="s">
        <v>318</v>
      </c>
      <c r="B604" s="25" t="s">
        <v>111</v>
      </c>
      <c r="C604" s="26">
        <v>5.72</v>
      </c>
      <c r="D604" s="101" t="s">
        <v>1634</v>
      </c>
    </row>
    <row r="605" spans="1:4" ht="15.75" hidden="1" outlineLevel="1">
      <c r="A605" s="24" t="s">
        <v>318</v>
      </c>
      <c r="B605" s="25" t="s">
        <v>714</v>
      </c>
      <c r="C605" s="24">
        <v>5.73</v>
      </c>
      <c r="D605" s="101" t="s">
        <v>1634</v>
      </c>
    </row>
    <row r="606" spans="1:4" ht="15.75" hidden="1" outlineLevel="1">
      <c r="A606" s="24" t="s">
        <v>318</v>
      </c>
      <c r="B606" s="25" t="s">
        <v>84</v>
      </c>
      <c r="C606" s="24">
        <v>5.74</v>
      </c>
      <c r="D606" s="102"/>
    </row>
    <row r="607" spans="1:4" ht="15.75" hidden="1" outlineLevel="1">
      <c r="A607" s="24" t="s">
        <v>318</v>
      </c>
      <c r="B607" s="25" t="s">
        <v>103</v>
      </c>
      <c r="C607" s="24">
        <v>5.75</v>
      </c>
      <c r="D607" s="102"/>
    </row>
    <row r="608" spans="1:4" ht="15.75" hidden="1" outlineLevel="1">
      <c r="A608" s="24" t="s">
        <v>318</v>
      </c>
      <c r="B608" s="25" t="s">
        <v>112</v>
      </c>
      <c r="C608" s="24">
        <v>5.76</v>
      </c>
      <c r="D608" s="102"/>
    </row>
    <row r="609" spans="1:4" ht="15.75" hidden="1" outlineLevel="1">
      <c r="A609" s="24" t="s">
        <v>318</v>
      </c>
      <c r="B609" s="25" t="s">
        <v>715</v>
      </c>
      <c r="C609" s="24">
        <v>5.81</v>
      </c>
      <c r="D609" s="101" t="s">
        <v>1634</v>
      </c>
    </row>
    <row r="610" spans="1:4" ht="15.75" hidden="1" outlineLevel="1">
      <c r="A610" s="24" t="s">
        <v>318</v>
      </c>
      <c r="B610" s="25" t="s">
        <v>716</v>
      </c>
      <c r="C610" s="24">
        <v>5.82</v>
      </c>
      <c r="D610" s="101" t="s">
        <v>1634</v>
      </c>
    </row>
    <row r="611" spans="1:4" ht="15.75" hidden="1" outlineLevel="1">
      <c r="A611" s="24" t="s">
        <v>318</v>
      </c>
      <c r="B611" s="25" t="s">
        <v>717</v>
      </c>
      <c r="C611" s="24">
        <v>5.83</v>
      </c>
      <c r="D611" s="101" t="s">
        <v>1634</v>
      </c>
    </row>
    <row r="612" spans="1:4" ht="15.75" hidden="1" outlineLevel="1">
      <c r="A612" s="24" t="s">
        <v>318</v>
      </c>
      <c r="B612" s="25" t="s">
        <v>718</v>
      </c>
      <c r="C612" s="24">
        <v>5.84</v>
      </c>
      <c r="D612" s="102"/>
    </row>
    <row r="613" spans="1:4" ht="15.75" hidden="1" outlineLevel="1">
      <c r="A613" s="24" t="s">
        <v>318</v>
      </c>
      <c r="B613" s="25" t="s">
        <v>719</v>
      </c>
      <c r="C613" s="24">
        <v>5.85</v>
      </c>
      <c r="D613" s="101" t="s">
        <v>1634</v>
      </c>
    </row>
    <row r="614" spans="1:4" ht="15.75" hidden="1" outlineLevel="1">
      <c r="A614" s="24" t="s">
        <v>318</v>
      </c>
      <c r="B614" s="25" t="s">
        <v>720</v>
      </c>
      <c r="C614" s="24">
        <v>5.86</v>
      </c>
      <c r="D614" s="101" t="s">
        <v>1634</v>
      </c>
    </row>
    <row r="615" spans="1:4" ht="15.75" hidden="1" outlineLevel="1">
      <c r="A615" s="24" t="s">
        <v>318</v>
      </c>
      <c r="B615" s="25" t="s">
        <v>721</v>
      </c>
      <c r="C615" s="24">
        <v>5.88</v>
      </c>
      <c r="D615" s="101" t="s">
        <v>1634</v>
      </c>
    </row>
    <row r="616" spans="1:4" ht="15.75" hidden="1" outlineLevel="1">
      <c r="A616" s="24" t="s">
        <v>318</v>
      </c>
      <c r="B616" s="25" t="s">
        <v>722</v>
      </c>
      <c r="C616" s="24">
        <v>5.87</v>
      </c>
      <c r="D616" s="102"/>
    </row>
    <row r="617" spans="1:4" ht="15.75" hidden="1" outlineLevel="1">
      <c r="A617" s="24" t="s">
        <v>318</v>
      </c>
      <c r="B617" s="25" t="s">
        <v>114</v>
      </c>
      <c r="C617" s="24">
        <v>5.109</v>
      </c>
      <c r="D617" s="102"/>
    </row>
    <row r="618" spans="1:4" ht="15.75" hidden="1" outlineLevel="1">
      <c r="A618" s="24" t="s">
        <v>318</v>
      </c>
      <c r="B618" s="25" t="s">
        <v>116</v>
      </c>
      <c r="C618" s="27">
        <v>5.1100000000000003</v>
      </c>
      <c r="D618" s="101" t="s">
        <v>1634</v>
      </c>
    </row>
    <row r="619" spans="1:4" ht="15.75" hidden="1" outlineLevel="1">
      <c r="A619" s="24" t="s">
        <v>318</v>
      </c>
      <c r="B619" s="25" t="s">
        <v>115</v>
      </c>
      <c r="C619" s="24">
        <v>5.1109999999999998</v>
      </c>
      <c r="D619" s="102"/>
    </row>
    <row r="620" spans="1:4" ht="15.75" hidden="1" outlineLevel="1">
      <c r="A620" s="24" t="s">
        <v>318</v>
      </c>
      <c r="B620" s="25" t="s">
        <v>117</v>
      </c>
      <c r="C620" s="24">
        <v>5.1120000000000001</v>
      </c>
      <c r="D620" s="102"/>
    </row>
    <row r="621" spans="1:4" ht="15.75" hidden="1" outlineLevel="1">
      <c r="A621" s="24" t="s">
        <v>318</v>
      </c>
      <c r="B621" s="25" t="s">
        <v>1640</v>
      </c>
      <c r="C621" s="24">
        <v>5.1130000000000004</v>
      </c>
      <c r="D621" s="102"/>
    </row>
    <row r="622" spans="1:4" ht="15.75" hidden="1" outlineLevel="1">
      <c r="A622" s="24" t="s">
        <v>318</v>
      </c>
      <c r="B622" s="25" t="s">
        <v>723</v>
      </c>
      <c r="C622" s="24">
        <v>5.99</v>
      </c>
      <c r="D622" s="101" t="s">
        <v>1634</v>
      </c>
    </row>
    <row r="623" spans="1:4" ht="15.75" hidden="1" outlineLevel="1">
      <c r="A623" s="24" t="s">
        <v>318</v>
      </c>
      <c r="B623" s="25" t="s">
        <v>724</v>
      </c>
      <c r="C623" s="24">
        <v>5.58</v>
      </c>
      <c r="D623" s="101"/>
    </row>
    <row r="624" spans="1:4" ht="15.75" hidden="1" outlineLevel="1">
      <c r="A624" s="24" t="s">
        <v>318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318</v>
      </c>
      <c r="B625" s="25" t="s">
        <v>725</v>
      </c>
      <c r="C625" s="24">
        <v>5.56</v>
      </c>
      <c r="D625" s="102"/>
    </row>
    <row r="626" spans="1:4" ht="15.75" hidden="1" outlineLevel="1">
      <c r="A626" s="24" t="s">
        <v>318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318</v>
      </c>
      <c r="B627" s="25" t="s">
        <v>726</v>
      </c>
      <c r="C627" s="24">
        <v>5.64</v>
      </c>
      <c r="D627" s="102"/>
    </row>
    <row r="628" spans="1:4" ht="15.75" hidden="1" outlineLevel="1">
      <c r="A628" s="24" t="s">
        <v>318</v>
      </c>
      <c r="B628" s="25" t="s">
        <v>104</v>
      </c>
      <c r="C628" s="24">
        <v>5.65</v>
      </c>
      <c r="D628" s="102"/>
    </row>
    <row r="629" spans="1:4" ht="15.75" hidden="1" outlineLevel="1">
      <c r="A629" s="24" t="s">
        <v>318</v>
      </c>
      <c r="B629" s="25" t="s">
        <v>119</v>
      </c>
      <c r="C629" s="24">
        <v>5.66</v>
      </c>
      <c r="D629" s="102"/>
    </row>
    <row r="630" spans="1:4" ht="15.75" hidden="1" outlineLevel="1">
      <c r="A630" s="24" t="s">
        <v>318</v>
      </c>
      <c r="B630" s="25" t="s">
        <v>113</v>
      </c>
      <c r="C630" s="24">
        <v>5.89</v>
      </c>
      <c r="D630" s="101" t="s">
        <v>1634</v>
      </c>
    </row>
    <row r="631" spans="1:4" ht="15.75" hidden="1" outlineLevel="1">
      <c r="A631" s="24" t="s">
        <v>318</v>
      </c>
      <c r="B631" s="25" t="s">
        <v>105</v>
      </c>
      <c r="C631" s="24">
        <v>5.68</v>
      </c>
      <c r="D631" s="102"/>
    </row>
    <row r="632" spans="1:4" ht="15.75" hidden="1" outlineLevel="1">
      <c r="A632" s="24" t="s">
        <v>318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318</v>
      </c>
      <c r="B633" s="25" t="s">
        <v>38</v>
      </c>
      <c r="C633" s="24">
        <v>5.48</v>
      </c>
      <c r="D633" s="102"/>
    </row>
    <row r="634" spans="1:4" ht="15.75" collapsed="1">
      <c r="A634" s="29" t="s">
        <v>318</v>
      </c>
      <c r="B634" s="25"/>
      <c r="C634" s="24"/>
      <c r="D634" s="102"/>
    </row>
    <row r="635" spans="1:4" ht="15.75" hidden="1" outlineLevel="1">
      <c r="A635" s="24" t="s">
        <v>319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319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319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319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319</v>
      </c>
      <c r="B639" s="25" t="s">
        <v>1638</v>
      </c>
      <c r="C639" s="26">
        <v>5.0999999999999996</v>
      </c>
      <c r="D639" s="102"/>
    </row>
    <row r="640" spans="1:4" ht="15.75" hidden="1" outlineLevel="1">
      <c r="A640" s="24" t="s">
        <v>319</v>
      </c>
      <c r="B640" s="25" t="s">
        <v>1635</v>
      </c>
      <c r="C640" s="24">
        <v>5.14</v>
      </c>
      <c r="D640" s="102"/>
    </row>
    <row r="641" spans="1:4" ht="15.75" hidden="1" outlineLevel="1">
      <c r="A641" s="24" t="s">
        <v>319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319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319</v>
      </c>
      <c r="B643" s="25" t="s">
        <v>60</v>
      </c>
      <c r="C643" s="24">
        <v>5.26</v>
      </c>
      <c r="D643" s="102"/>
    </row>
    <row r="644" spans="1:4" ht="15.75" hidden="1" outlineLevel="1">
      <c r="A644" s="24" t="s">
        <v>319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319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319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319</v>
      </c>
      <c r="B647" s="25" t="s">
        <v>61</v>
      </c>
      <c r="C647" s="24">
        <v>5.33</v>
      </c>
      <c r="D647" s="102"/>
    </row>
    <row r="648" spans="1:4" ht="15.75" hidden="1" outlineLevel="1">
      <c r="A648" s="24" t="s">
        <v>319</v>
      </c>
      <c r="B648" s="25" t="s">
        <v>102</v>
      </c>
      <c r="C648" s="24">
        <v>5.37</v>
      </c>
      <c r="D648" s="102"/>
    </row>
    <row r="649" spans="1:4" ht="15.75" hidden="1" outlineLevel="1">
      <c r="A649" s="24" t="s">
        <v>319</v>
      </c>
      <c r="B649" s="25" t="s">
        <v>85</v>
      </c>
      <c r="C649" s="24">
        <v>5.49</v>
      </c>
      <c r="D649" s="102"/>
    </row>
    <row r="650" spans="1:4" ht="15.75" hidden="1" outlineLevel="1">
      <c r="A650" s="24" t="s">
        <v>319</v>
      </c>
      <c r="B650" s="25" t="s">
        <v>86</v>
      </c>
      <c r="C650" s="24">
        <v>5.51</v>
      </c>
      <c r="D650" s="102"/>
    </row>
    <row r="651" spans="1:4" ht="15.75" hidden="1" outlineLevel="1">
      <c r="A651" s="24" t="s">
        <v>319</v>
      </c>
      <c r="B651" s="25" t="s">
        <v>1639</v>
      </c>
      <c r="C651" s="24">
        <v>5.52</v>
      </c>
      <c r="D651" s="102"/>
    </row>
    <row r="652" spans="1:4" ht="15.75" hidden="1" outlineLevel="1">
      <c r="A652" s="24" t="s">
        <v>319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319</v>
      </c>
      <c r="B653" s="25" t="s">
        <v>82</v>
      </c>
      <c r="C653" s="24">
        <v>5.69</v>
      </c>
      <c r="D653" s="102"/>
    </row>
    <row r="654" spans="1:4" ht="15.75" hidden="1" outlineLevel="1">
      <c r="A654" s="24" t="s">
        <v>319</v>
      </c>
      <c r="B654" s="25" t="s">
        <v>83</v>
      </c>
      <c r="C654" s="26">
        <v>5.7</v>
      </c>
      <c r="D654" s="102"/>
    </row>
    <row r="655" spans="1:4" ht="15.75" hidden="1" outlineLevel="1">
      <c r="A655" s="24" t="s">
        <v>319</v>
      </c>
      <c r="B655" s="25" t="s">
        <v>84</v>
      </c>
      <c r="C655" s="24">
        <v>5.74</v>
      </c>
      <c r="D655" s="102"/>
    </row>
    <row r="656" spans="1:4" ht="15.75" hidden="1" outlineLevel="1">
      <c r="A656" s="24" t="s">
        <v>319</v>
      </c>
      <c r="B656" s="25" t="s">
        <v>114</v>
      </c>
      <c r="C656" s="24">
        <v>5.109</v>
      </c>
      <c r="D656" s="102"/>
    </row>
    <row r="657" spans="1:4" ht="15.75" hidden="1" outlineLevel="1">
      <c r="A657" s="24" t="s">
        <v>319</v>
      </c>
      <c r="B657" s="25" t="s">
        <v>115</v>
      </c>
      <c r="C657" s="24">
        <v>5.1109999999999998</v>
      </c>
      <c r="D657" s="102"/>
    </row>
    <row r="658" spans="1:4" ht="15.75" hidden="1" outlineLevel="1">
      <c r="A658" s="24" t="s">
        <v>319</v>
      </c>
      <c r="B658" s="25" t="s">
        <v>117</v>
      </c>
      <c r="C658" s="24">
        <v>5.1120000000000001</v>
      </c>
      <c r="D658" s="102"/>
    </row>
    <row r="659" spans="1:4" ht="15.75" hidden="1" outlineLevel="1">
      <c r="A659" s="24" t="s">
        <v>319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319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319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319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319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319</v>
      </c>
      <c r="B664" s="25" t="s">
        <v>38</v>
      </c>
      <c r="C664" s="24">
        <v>5.48</v>
      </c>
      <c r="D664" s="102"/>
    </row>
    <row r="665" spans="1:4" ht="15.75" collapsed="1">
      <c r="A665" s="29" t="s">
        <v>319</v>
      </c>
      <c r="B665" s="25"/>
      <c r="C665" s="24"/>
      <c r="D665" s="102"/>
    </row>
    <row r="666" spans="1:4" ht="15.75" hidden="1" outlineLevel="1">
      <c r="A666" s="24" t="s">
        <v>320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320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320</v>
      </c>
      <c r="B668" s="25" t="s">
        <v>762</v>
      </c>
      <c r="C668" s="24">
        <v>5.4</v>
      </c>
      <c r="D668" s="102"/>
    </row>
    <row r="669" spans="1:4" ht="15.75" hidden="1" outlineLevel="1">
      <c r="A669" s="24" t="s">
        <v>320</v>
      </c>
      <c r="B669" s="25" t="s">
        <v>763</v>
      </c>
      <c r="C669" s="24">
        <v>5.7</v>
      </c>
      <c r="D669" s="102"/>
    </row>
    <row r="670" spans="1:4" ht="15.75" hidden="1" outlineLevel="1">
      <c r="A670" s="24" t="s">
        <v>320</v>
      </c>
      <c r="B670" s="25" t="s">
        <v>764</v>
      </c>
      <c r="C670" s="24">
        <v>5.1100000000000003</v>
      </c>
      <c r="D670" s="102"/>
    </row>
    <row r="671" spans="1:4" ht="15.75" hidden="1" outlineLevel="1">
      <c r="A671" s="24" t="s">
        <v>320</v>
      </c>
      <c r="B671" s="25" t="s">
        <v>60</v>
      </c>
      <c r="C671" s="24">
        <v>5.26</v>
      </c>
      <c r="D671" s="102"/>
    </row>
    <row r="672" spans="1:4" ht="15.75" hidden="1" outlineLevel="1">
      <c r="A672" s="24" t="s">
        <v>320</v>
      </c>
      <c r="B672" s="25" t="s">
        <v>765</v>
      </c>
      <c r="C672" s="24">
        <v>5.43</v>
      </c>
      <c r="D672" s="102"/>
    </row>
    <row r="673" spans="1:4" ht="15.75" hidden="1" outlineLevel="1">
      <c r="A673" s="24" t="s">
        <v>320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320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320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320</v>
      </c>
      <c r="B676" s="25" t="s">
        <v>766</v>
      </c>
      <c r="C676" s="26">
        <v>5.5</v>
      </c>
      <c r="D676" s="102"/>
    </row>
    <row r="677" spans="1:4" ht="15.75" hidden="1" outlineLevel="1">
      <c r="A677" s="24" t="s">
        <v>320</v>
      </c>
      <c r="B677" s="25" t="s">
        <v>86</v>
      </c>
      <c r="C677" s="24">
        <v>5.51</v>
      </c>
      <c r="D677" s="102"/>
    </row>
    <row r="678" spans="1:4" ht="15.75" hidden="1" outlineLevel="1">
      <c r="A678" s="24" t="s">
        <v>320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320</v>
      </c>
      <c r="B679" s="25" t="s">
        <v>82</v>
      </c>
      <c r="C679" s="24">
        <v>5.69</v>
      </c>
      <c r="D679" s="102"/>
    </row>
    <row r="680" spans="1:4" ht="15.75" hidden="1" outlineLevel="1">
      <c r="A680" s="24" t="s">
        <v>320</v>
      </c>
      <c r="B680" s="25" t="s">
        <v>83</v>
      </c>
      <c r="C680" s="26">
        <v>5.7</v>
      </c>
      <c r="D680" s="101" t="s">
        <v>1634</v>
      </c>
    </row>
    <row r="681" spans="1:4" ht="15.75" hidden="1" outlineLevel="1">
      <c r="A681" s="24" t="s">
        <v>320</v>
      </c>
      <c r="B681" s="25" t="s">
        <v>84</v>
      </c>
      <c r="C681" s="24">
        <v>5.74</v>
      </c>
      <c r="D681" s="102"/>
    </row>
    <row r="682" spans="1:4" ht="15.75" hidden="1" outlineLevel="1">
      <c r="A682" s="24" t="s">
        <v>320</v>
      </c>
      <c r="B682" s="25" t="s">
        <v>767</v>
      </c>
      <c r="C682" s="24">
        <v>5.59</v>
      </c>
      <c r="D682" s="102"/>
    </row>
    <row r="683" spans="1:4" ht="15.75" hidden="1" outlineLevel="1">
      <c r="A683" s="24" t="s">
        <v>320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320</v>
      </c>
      <c r="B684" s="25" t="s">
        <v>768</v>
      </c>
      <c r="C684" s="24">
        <v>5.57</v>
      </c>
      <c r="D684" s="102"/>
    </row>
    <row r="685" spans="1:4" ht="15.75" hidden="1" outlineLevel="1">
      <c r="A685" s="24" t="s">
        <v>320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320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320</v>
      </c>
      <c r="B687" s="25" t="s">
        <v>38</v>
      </c>
      <c r="C687" s="24">
        <v>5.48</v>
      </c>
      <c r="D687" s="102"/>
    </row>
    <row r="688" spans="1:4" ht="15.75" collapsed="1">
      <c r="A688" s="29" t="s">
        <v>320</v>
      </c>
      <c r="B688" s="25"/>
      <c r="C688" s="24"/>
      <c r="D688" s="102"/>
    </row>
    <row r="689" spans="1:4" ht="15.75" hidden="1" outlineLevel="1">
      <c r="A689" s="24" t="s">
        <v>321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321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321</v>
      </c>
      <c r="B691" s="25" t="s">
        <v>769</v>
      </c>
      <c r="C691" s="24">
        <v>5.17</v>
      </c>
      <c r="D691" s="102"/>
    </row>
    <row r="692" spans="1:4" ht="15.75" hidden="1" outlineLevel="1">
      <c r="A692" s="24" t="s">
        <v>321</v>
      </c>
      <c r="B692" s="25" t="s">
        <v>60</v>
      </c>
      <c r="C692" s="24">
        <v>5.26</v>
      </c>
      <c r="D692" s="102"/>
    </row>
    <row r="693" spans="1:4" ht="15.75" hidden="1" outlineLevel="1">
      <c r="A693" s="24" t="s">
        <v>321</v>
      </c>
      <c r="B693" s="25" t="s">
        <v>770</v>
      </c>
      <c r="C693" s="24">
        <v>5.1029999999999998</v>
      </c>
      <c r="D693" s="102"/>
    </row>
    <row r="694" spans="1:4" ht="15.75" hidden="1" outlineLevel="1">
      <c r="A694" s="24" t="s">
        <v>321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321</v>
      </c>
      <c r="B695" s="25" t="s">
        <v>102</v>
      </c>
      <c r="C695" s="24">
        <v>5.37</v>
      </c>
      <c r="D695" s="102"/>
    </row>
    <row r="696" spans="1:4" ht="15.75" hidden="1" outlineLevel="1">
      <c r="A696" s="24" t="s">
        <v>321</v>
      </c>
      <c r="B696" s="25" t="s">
        <v>771</v>
      </c>
      <c r="C696" s="24">
        <v>5.1040000000000001</v>
      </c>
      <c r="D696" s="102"/>
    </row>
    <row r="697" spans="1:4" ht="15.75" hidden="1" outlineLevel="1">
      <c r="A697" s="24" t="s">
        <v>321</v>
      </c>
      <c r="B697" s="25" t="s">
        <v>772</v>
      </c>
      <c r="C697" s="24">
        <v>5.1050000000000004</v>
      </c>
      <c r="D697" s="102"/>
    </row>
    <row r="698" spans="1:4" ht="15.75" hidden="1" outlineLevel="1">
      <c r="A698" s="24" t="s">
        <v>321</v>
      </c>
      <c r="B698" s="25" t="s">
        <v>773</v>
      </c>
      <c r="C698" s="24">
        <v>5.1059999999999999</v>
      </c>
      <c r="D698" s="102"/>
    </row>
    <row r="699" spans="1:4" ht="15.75" hidden="1" outlineLevel="1">
      <c r="A699" s="24" t="s">
        <v>321</v>
      </c>
      <c r="B699" s="25" t="s">
        <v>774</v>
      </c>
      <c r="C699" s="24">
        <v>5.1070000000000002</v>
      </c>
      <c r="D699" s="102"/>
    </row>
    <row r="700" spans="1:4" ht="15.75" hidden="1" outlineLevel="1">
      <c r="A700" s="24" t="s">
        <v>321</v>
      </c>
      <c r="B700" s="25" t="s">
        <v>1642</v>
      </c>
      <c r="C700" s="24">
        <v>5.1079999999999997</v>
      </c>
      <c r="D700" s="101" t="s">
        <v>1634</v>
      </c>
    </row>
    <row r="701" spans="1:4" ht="15.75" hidden="1" outlineLevel="1">
      <c r="A701" s="24" t="s">
        <v>321</v>
      </c>
      <c r="B701" s="25" t="s">
        <v>114</v>
      </c>
      <c r="C701" s="24">
        <v>5.109</v>
      </c>
      <c r="D701" s="102"/>
    </row>
    <row r="702" spans="1:4" ht="15.75" hidden="1" outlineLevel="1">
      <c r="A702" s="24" t="s">
        <v>321</v>
      </c>
      <c r="B702" s="25" t="s">
        <v>116</v>
      </c>
      <c r="C702" s="27">
        <v>5.1100000000000003</v>
      </c>
      <c r="D702" s="101" t="s">
        <v>1634</v>
      </c>
    </row>
    <row r="703" spans="1:4" ht="15.75" hidden="1" outlineLevel="1">
      <c r="A703" s="24" t="s">
        <v>321</v>
      </c>
      <c r="B703" s="25" t="s">
        <v>115</v>
      </c>
      <c r="C703" s="24">
        <v>5.1109999999999998</v>
      </c>
      <c r="D703" s="102"/>
    </row>
    <row r="704" spans="1:4" ht="15.75" hidden="1" outlineLevel="1">
      <c r="A704" s="24" t="s">
        <v>321</v>
      </c>
      <c r="B704" s="25" t="s">
        <v>117</v>
      </c>
      <c r="C704" s="24">
        <v>5.1120000000000001</v>
      </c>
      <c r="D704" s="102"/>
    </row>
    <row r="705" spans="1:4" ht="15.75" hidden="1" outlineLevel="1">
      <c r="A705" s="24" t="s">
        <v>321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321</v>
      </c>
      <c r="B706" s="25" t="s">
        <v>726</v>
      </c>
      <c r="C706" s="24">
        <v>5.64</v>
      </c>
      <c r="D706" s="102"/>
    </row>
    <row r="707" spans="1:4" ht="15.75" hidden="1" outlineLevel="1">
      <c r="A707" s="24" t="s">
        <v>321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321</v>
      </c>
      <c r="B708" s="25" t="s">
        <v>104</v>
      </c>
      <c r="C708" s="24">
        <v>5.65</v>
      </c>
      <c r="D708" s="102"/>
    </row>
    <row r="709" spans="1:4" ht="15.75" hidden="1" outlineLevel="1">
      <c r="A709" s="24" t="s">
        <v>321</v>
      </c>
      <c r="B709" s="25" t="s">
        <v>119</v>
      </c>
      <c r="C709" s="24">
        <v>5.66</v>
      </c>
      <c r="D709" s="102"/>
    </row>
    <row r="710" spans="1:4" ht="15.75" hidden="1" outlineLevel="1">
      <c r="A710" s="24" t="s">
        <v>321</v>
      </c>
      <c r="B710" s="25" t="s">
        <v>105</v>
      </c>
      <c r="C710" s="24">
        <v>5.68</v>
      </c>
      <c r="D710" s="102"/>
    </row>
    <row r="711" spans="1:4" ht="15.75" hidden="1" outlineLevel="1">
      <c r="A711" s="24" t="s">
        <v>321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321</v>
      </c>
      <c r="B712" s="25" t="s">
        <v>38</v>
      </c>
      <c r="C712" s="24">
        <v>5.48</v>
      </c>
      <c r="D712" s="102"/>
    </row>
    <row r="713" spans="1:4" ht="15.75" collapsed="1">
      <c r="A713" s="29" t="s">
        <v>321</v>
      </c>
      <c r="B713" s="25"/>
      <c r="C713" s="24"/>
      <c r="D713" s="102"/>
    </row>
    <row r="714" spans="1:4" ht="15.75" hidden="1" outlineLevel="1">
      <c r="A714" s="24" t="s">
        <v>322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322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322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322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322</v>
      </c>
      <c r="B718" s="25" t="s">
        <v>1638</v>
      </c>
      <c r="C718" s="26">
        <v>5.0999999999999996</v>
      </c>
      <c r="D718" s="102"/>
    </row>
    <row r="719" spans="1:4" ht="15.75" hidden="1" outlineLevel="1">
      <c r="A719" s="24" t="s">
        <v>322</v>
      </c>
      <c r="B719" s="25" t="s">
        <v>1635</v>
      </c>
      <c r="C719" s="24">
        <v>5.14</v>
      </c>
      <c r="D719" s="102"/>
    </row>
    <row r="720" spans="1:4" ht="15.75" hidden="1" outlineLevel="1">
      <c r="A720" s="24" t="s">
        <v>322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322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322</v>
      </c>
      <c r="B722" s="25" t="s">
        <v>60</v>
      </c>
      <c r="C722" s="24">
        <v>5.26</v>
      </c>
      <c r="D722" s="102"/>
    </row>
    <row r="723" spans="1:4" ht="15.75" hidden="1" outlineLevel="1">
      <c r="A723" s="24" t="s">
        <v>322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322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322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322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322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322</v>
      </c>
      <c r="B728" s="25" t="s">
        <v>114</v>
      </c>
      <c r="C728" s="24">
        <v>5.109</v>
      </c>
      <c r="D728" s="102"/>
    </row>
    <row r="729" spans="1:4" ht="15.75" hidden="1" outlineLevel="1">
      <c r="A729" s="24" t="s">
        <v>322</v>
      </c>
      <c r="B729" s="25" t="s">
        <v>115</v>
      </c>
      <c r="C729" s="24">
        <v>5.1109999999999998</v>
      </c>
      <c r="D729" s="102"/>
    </row>
    <row r="730" spans="1:4" ht="15.75" hidden="1" outlineLevel="1">
      <c r="A730" s="24" t="s">
        <v>322</v>
      </c>
      <c r="B730" s="25" t="s">
        <v>117</v>
      </c>
      <c r="C730" s="24">
        <v>5.1120000000000001</v>
      </c>
      <c r="D730" s="102"/>
    </row>
    <row r="731" spans="1:4" ht="15.75" hidden="1" outlineLevel="1">
      <c r="A731" s="24" t="s">
        <v>322</v>
      </c>
      <c r="B731" s="25" t="s">
        <v>1640</v>
      </c>
      <c r="C731" s="24">
        <v>5.1130000000000004</v>
      </c>
      <c r="D731" s="102"/>
    </row>
    <row r="732" spans="1:4" ht="15.75" hidden="1" outlineLevel="1">
      <c r="A732" s="24" t="s">
        <v>322</v>
      </c>
      <c r="B732" s="25" t="s">
        <v>781</v>
      </c>
      <c r="C732" s="24">
        <v>5.117</v>
      </c>
      <c r="D732" s="102"/>
    </row>
    <row r="733" spans="1:4" ht="15.75" hidden="1" outlineLevel="1">
      <c r="A733" s="24" t="s">
        <v>322</v>
      </c>
      <c r="B733" s="25" t="s">
        <v>782</v>
      </c>
      <c r="C733" s="24">
        <v>5.67</v>
      </c>
      <c r="D733" s="102"/>
    </row>
    <row r="734" spans="1:4" ht="15.75" hidden="1" outlineLevel="1">
      <c r="A734" s="24" t="s">
        <v>322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322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322</v>
      </c>
      <c r="B736" s="25" t="s">
        <v>38</v>
      </c>
      <c r="C736" s="24">
        <v>5.48</v>
      </c>
      <c r="D736" s="102"/>
    </row>
    <row r="737" spans="1:4" ht="15.75" collapsed="1">
      <c r="A737" s="29" t="s">
        <v>322</v>
      </c>
      <c r="B737" s="25"/>
      <c r="C737" s="24"/>
      <c r="D737" s="102"/>
    </row>
    <row r="738" spans="1:4" ht="15.75" hidden="1" outlineLevel="1">
      <c r="A738" s="24" t="s">
        <v>323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323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323</v>
      </c>
      <c r="B740" s="25" t="s">
        <v>783</v>
      </c>
      <c r="C740" s="24">
        <v>5.18</v>
      </c>
      <c r="D740" s="102"/>
    </row>
    <row r="741" spans="1:4" ht="15.75" hidden="1" outlineLevel="1">
      <c r="A741" s="24" t="s">
        <v>323</v>
      </c>
      <c r="B741" s="25" t="s">
        <v>784</v>
      </c>
      <c r="C741" s="24">
        <v>5.23</v>
      </c>
      <c r="D741" s="102"/>
    </row>
    <row r="742" spans="1:4" ht="15.75" hidden="1" outlineLevel="1">
      <c r="A742" s="24" t="s">
        <v>323</v>
      </c>
      <c r="B742" s="25" t="s">
        <v>60</v>
      </c>
      <c r="C742" s="24">
        <v>5.26</v>
      </c>
      <c r="D742" s="102"/>
    </row>
    <row r="743" spans="1:4" ht="15.75" hidden="1" outlineLevel="1">
      <c r="A743" s="24" t="s">
        <v>323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323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323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323</v>
      </c>
      <c r="B746" s="25" t="s">
        <v>785</v>
      </c>
      <c r="C746" s="24">
        <v>5.44</v>
      </c>
      <c r="D746" s="102"/>
    </row>
    <row r="747" spans="1:4" ht="15.75" hidden="1" outlineLevel="1">
      <c r="A747" s="24" t="s">
        <v>323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323</v>
      </c>
      <c r="B748" s="25" t="s">
        <v>117</v>
      </c>
      <c r="C748" s="24">
        <v>5.1120000000000001</v>
      </c>
      <c r="D748" s="102"/>
    </row>
    <row r="749" spans="1:4" ht="15.75" hidden="1" outlineLevel="1">
      <c r="A749" s="24" t="s">
        <v>323</v>
      </c>
      <c r="B749" s="25" t="s">
        <v>767</v>
      </c>
      <c r="C749" s="24">
        <v>5.59</v>
      </c>
      <c r="D749" s="102"/>
    </row>
    <row r="750" spans="1:4" ht="15.75" hidden="1" outlineLevel="1">
      <c r="A750" s="24" t="s">
        <v>323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323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323</v>
      </c>
      <c r="B752" s="25" t="s">
        <v>104</v>
      </c>
      <c r="C752" s="24">
        <v>5.65</v>
      </c>
      <c r="D752" s="102"/>
    </row>
    <row r="753" spans="1:4" ht="15.75" hidden="1" outlineLevel="1">
      <c r="A753" s="24" t="s">
        <v>323</v>
      </c>
      <c r="B753" s="25" t="s">
        <v>105</v>
      </c>
      <c r="C753" s="24">
        <v>5.68</v>
      </c>
      <c r="D753" s="102"/>
    </row>
    <row r="754" spans="1:4" ht="15.75" hidden="1" outlineLevel="1">
      <c r="A754" s="24" t="s">
        <v>323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323</v>
      </c>
      <c r="B755" s="25" t="s">
        <v>38</v>
      </c>
      <c r="C755" s="24">
        <v>5.48</v>
      </c>
      <c r="D755" s="102"/>
    </row>
    <row r="756" spans="1:4" ht="15.75" collapsed="1">
      <c r="A756" s="29" t="s">
        <v>323</v>
      </c>
      <c r="B756" s="25"/>
      <c r="C756" s="24"/>
      <c r="D756" s="102"/>
    </row>
    <row r="757" spans="1:4" ht="15.75" hidden="1" outlineLevel="1">
      <c r="A757" s="24" t="s">
        <v>325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325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325</v>
      </c>
      <c r="B759" s="25" t="s">
        <v>704</v>
      </c>
      <c r="C759" s="24">
        <v>5.9</v>
      </c>
      <c r="D759" s="101" t="s">
        <v>1634</v>
      </c>
    </row>
    <row r="760" spans="1:4" ht="15.75" hidden="1" outlineLevel="1">
      <c r="A760" s="24" t="s">
        <v>325</v>
      </c>
      <c r="B760" s="25" t="s">
        <v>705</v>
      </c>
      <c r="C760" s="24">
        <v>5.13</v>
      </c>
      <c r="D760" s="102"/>
    </row>
    <row r="761" spans="1:4" ht="15.75" hidden="1" outlineLevel="1">
      <c r="A761" s="24" t="s">
        <v>325</v>
      </c>
      <c r="B761" s="25" t="s">
        <v>706</v>
      </c>
      <c r="C761" s="24">
        <v>5.16</v>
      </c>
      <c r="D761" s="101" t="s">
        <v>1634</v>
      </c>
    </row>
    <row r="762" spans="1:4" ht="15.75" hidden="1" outlineLevel="1">
      <c r="A762" s="24" t="s">
        <v>325</v>
      </c>
      <c r="B762" s="25" t="s">
        <v>707</v>
      </c>
      <c r="C762" s="24">
        <v>5.22</v>
      </c>
      <c r="D762" s="101"/>
    </row>
    <row r="763" spans="1:4" ht="15.75" hidden="1" outlineLevel="1">
      <c r="A763" s="24" t="s">
        <v>325</v>
      </c>
      <c r="B763" s="25" t="s">
        <v>815</v>
      </c>
      <c r="C763" s="24">
        <v>5.42</v>
      </c>
      <c r="D763" s="102"/>
    </row>
    <row r="764" spans="1:4" ht="15.75" hidden="1" outlineLevel="1">
      <c r="A764" s="24" t="s">
        <v>325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325</v>
      </c>
      <c r="B765" s="25" t="s">
        <v>23</v>
      </c>
      <c r="C765" s="24">
        <v>5.28</v>
      </c>
      <c r="D765" s="101" t="s">
        <v>1634</v>
      </c>
    </row>
    <row r="766" spans="1:4" ht="15.75" hidden="1" outlineLevel="1">
      <c r="A766" s="24" t="s">
        <v>325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325</v>
      </c>
      <c r="B767" s="25" t="s">
        <v>85</v>
      </c>
      <c r="C767" s="24">
        <v>5.49</v>
      </c>
      <c r="D767" s="102"/>
    </row>
    <row r="768" spans="1:4" ht="15.75" hidden="1" outlineLevel="1">
      <c r="A768" s="24" t="s">
        <v>325</v>
      </c>
      <c r="B768" s="25" t="s">
        <v>86</v>
      </c>
      <c r="C768" s="24">
        <v>5.51</v>
      </c>
      <c r="D768" s="102"/>
    </row>
    <row r="769" spans="1:4" ht="15.75" hidden="1" outlineLevel="1">
      <c r="A769" s="24" t="s">
        <v>325</v>
      </c>
      <c r="B769" s="25" t="s">
        <v>1641</v>
      </c>
      <c r="C769" s="24">
        <v>5.52</v>
      </c>
      <c r="D769" s="102"/>
    </row>
    <row r="770" spans="1:4" ht="15.75" hidden="1" outlineLevel="1">
      <c r="A770" s="24" t="s">
        <v>325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325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325</v>
      </c>
      <c r="B772" s="25" t="s">
        <v>83</v>
      </c>
      <c r="C772" s="26">
        <v>5.7</v>
      </c>
      <c r="D772" s="102"/>
    </row>
    <row r="773" spans="1:4" ht="15.75" hidden="1" outlineLevel="1">
      <c r="A773" s="24" t="s">
        <v>325</v>
      </c>
      <c r="B773" s="25" t="s">
        <v>713</v>
      </c>
      <c r="C773" s="24">
        <v>5.71</v>
      </c>
      <c r="D773" s="102"/>
    </row>
    <row r="774" spans="1:4" ht="15.75" hidden="1" outlineLevel="1">
      <c r="A774" s="24" t="s">
        <v>325</v>
      </c>
      <c r="B774" s="25" t="s">
        <v>816</v>
      </c>
      <c r="C774" s="26">
        <v>5.9</v>
      </c>
      <c r="D774" s="102"/>
    </row>
    <row r="775" spans="1:4" ht="15.75" hidden="1" outlineLevel="1">
      <c r="A775" s="24" t="s">
        <v>325</v>
      </c>
      <c r="B775" s="25" t="s">
        <v>817</v>
      </c>
      <c r="C775" s="24">
        <v>5.91</v>
      </c>
      <c r="D775" s="102"/>
    </row>
    <row r="776" spans="1:4" ht="15.75" hidden="1" outlineLevel="1">
      <c r="A776" s="24" t="s">
        <v>325</v>
      </c>
      <c r="B776" s="25" t="s">
        <v>818</v>
      </c>
      <c r="C776" s="24">
        <v>5.97</v>
      </c>
      <c r="D776" s="102"/>
    </row>
    <row r="777" spans="1:4" ht="15.75" collapsed="1">
      <c r="A777" s="29" t="s">
        <v>325</v>
      </c>
      <c r="B777" s="25"/>
      <c r="C777" s="24"/>
      <c r="D777" s="102"/>
    </row>
    <row r="778" spans="1:4" ht="31.5" hidden="1" outlineLevel="1">
      <c r="A778" s="24" t="s">
        <v>326</v>
      </c>
      <c r="B778" s="25" t="s">
        <v>14</v>
      </c>
      <c r="C778" s="24">
        <v>5.0999999999999996</v>
      </c>
      <c r="D778" s="102"/>
    </row>
    <row r="779" spans="1:4" ht="31.5" hidden="1" outlineLevel="1">
      <c r="A779" s="24" t="s">
        <v>326</v>
      </c>
      <c r="B779" s="25" t="s">
        <v>15</v>
      </c>
      <c r="C779" s="24">
        <v>5.2</v>
      </c>
      <c r="D779" s="102"/>
    </row>
    <row r="780" spans="1:4" ht="31.5" hidden="1" outlineLevel="1">
      <c r="A780" s="24" t="s">
        <v>326</v>
      </c>
      <c r="B780" s="25" t="s">
        <v>60</v>
      </c>
      <c r="C780" s="24">
        <v>5.26</v>
      </c>
      <c r="D780" s="102"/>
    </row>
    <row r="781" spans="1:4" ht="31.5" hidden="1" outlineLevel="1">
      <c r="A781" s="24" t="s">
        <v>326</v>
      </c>
      <c r="B781" s="25" t="s">
        <v>327</v>
      </c>
      <c r="C781" s="24">
        <v>5.5</v>
      </c>
      <c r="D781" s="102"/>
    </row>
    <row r="782" spans="1:4" ht="31.5" hidden="1" outlineLevel="1">
      <c r="A782" s="24" t="s">
        <v>326</v>
      </c>
      <c r="B782" s="25" t="s">
        <v>328</v>
      </c>
      <c r="C782" s="24">
        <v>5.8</v>
      </c>
      <c r="D782" s="101" t="s">
        <v>1634</v>
      </c>
    </row>
    <row r="783" spans="1:4" ht="31.5" hidden="1" outlineLevel="1">
      <c r="A783" s="24" t="s">
        <v>326</v>
      </c>
      <c r="B783" s="25" t="s">
        <v>329</v>
      </c>
      <c r="C783" s="24">
        <v>5.12</v>
      </c>
      <c r="D783" s="24"/>
    </row>
    <row r="784" spans="1:4" ht="31.5" hidden="1" outlineLevel="1">
      <c r="A784" s="24" t="s">
        <v>326</v>
      </c>
      <c r="B784" s="25" t="s">
        <v>330</v>
      </c>
      <c r="C784" s="24">
        <v>5.15</v>
      </c>
      <c r="D784" s="24"/>
    </row>
    <row r="785" spans="1:4" ht="31.5" hidden="1" outlineLevel="1">
      <c r="A785" s="24" t="s">
        <v>326</v>
      </c>
      <c r="B785" s="25" t="s">
        <v>331</v>
      </c>
      <c r="C785" s="26">
        <v>5.2</v>
      </c>
      <c r="D785" s="101"/>
    </row>
    <row r="786" spans="1:4" ht="31.5" hidden="1" outlineLevel="1">
      <c r="A786" s="24" t="s">
        <v>326</v>
      </c>
      <c r="B786" s="25" t="s">
        <v>332</v>
      </c>
      <c r="C786" s="24">
        <v>5.25</v>
      </c>
      <c r="D786" s="24"/>
    </row>
    <row r="787" spans="1:4" ht="31.5" hidden="1" outlineLevel="1">
      <c r="A787" s="24" t="s">
        <v>326</v>
      </c>
      <c r="B787" s="25" t="s">
        <v>30</v>
      </c>
      <c r="C787" s="24">
        <v>5.53</v>
      </c>
      <c r="D787" s="24"/>
    </row>
    <row r="788" spans="1:4" ht="31.5" hidden="1" outlineLevel="1">
      <c r="A788" s="24" t="s">
        <v>326</v>
      </c>
      <c r="B788" s="25" t="s">
        <v>819</v>
      </c>
      <c r="C788" s="26">
        <v>5.4</v>
      </c>
      <c r="D788" s="24"/>
    </row>
    <row r="789" spans="1:4" ht="31.5" hidden="1" outlineLevel="1">
      <c r="A789" s="24" t="s">
        <v>326</v>
      </c>
      <c r="B789" s="25" t="s">
        <v>820</v>
      </c>
      <c r="C789" s="24">
        <v>5.92</v>
      </c>
      <c r="D789" s="24"/>
    </row>
    <row r="790" spans="1:4" ht="31.5" hidden="1" outlineLevel="1">
      <c r="A790" s="24" t="s">
        <v>326</v>
      </c>
      <c r="B790" s="25" t="s">
        <v>821</v>
      </c>
      <c r="C790" s="24">
        <v>5.93</v>
      </c>
      <c r="D790" s="24"/>
    </row>
    <row r="791" spans="1:4" ht="31.5" hidden="1" outlineLevel="1">
      <c r="A791" s="24" t="s">
        <v>326</v>
      </c>
      <c r="B791" s="25" t="s">
        <v>822</v>
      </c>
      <c r="C791" s="24">
        <v>5.94</v>
      </c>
      <c r="D791" s="24"/>
    </row>
    <row r="792" spans="1:4" ht="31.5" hidden="1" outlineLevel="1">
      <c r="A792" s="24" t="s">
        <v>326</v>
      </c>
      <c r="B792" s="25" t="s">
        <v>823</v>
      </c>
      <c r="C792" s="24">
        <v>5.95</v>
      </c>
      <c r="D792" s="24"/>
    </row>
    <row r="793" spans="1:4" ht="31.5" hidden="1" outlineLevel="1">
      <c r="A793" s="24" t="s">
        <v>326</v>
      </c>
      <c r="B793" s="25" t="s">
        <v>824</v>
      </c>
      <c r="C793" s="24">
        <v>5.98</v>
      </c>
      <c r="D793" s="24"/>
    </row>
    <row r="794" spans="1:4" ht="31.5" hidden="1" outlineLevel="1">
      <c r="A794" s="24" t="s">
        <v>326</v>
      </c>
      <c r="B794" s="25" t="s">
        <v>825</v>
      </c>
      <c r="C794" s="24">
        <v>5.96</v>
      </c>
      <c r="D794" s="24"/>
    </row>
    <row r="795" spans="1:4" ht="15.75" collapsed="1">
      <c r="A795" s="29" t="s">
        <v>326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1643</v>
      </c>
      <c r="B1" s="17" t="s">
        <v>1644</v>
      </c>
      <c r="C1" s="17" t="s">
        <v>1645</v>
      </c>
    </row>
    <row r="2" spans="1:3">
      <c r="A2" t="s">
        <v>1646</v>
      </c>
      <c r="B2" t="s">
        <v>1647</v>
      </c>
      <c r="C2" s="132" t="s">
        <v>1648</v>
      </c>
    </row>
    <row r="3" spans="1:3">
      <c r="A3" t="s">
        <v>1646</v>
      </c>
      <c r="B3" t="s">
        <v>1647</v>
      </c>
      <c r="C3" s="132" t="s">
        <v>1649</v>
      </c>
    </row>
    <row r="4" spans="1:3">
      <c r="A4" t="s">
        <v>1646</v>
      </c>
      <c r="B4" t="s">
        <v>1647</v>
      </c>
      <c r="C4" s="132" t="s">
        <v>1650</v>
      </c>
    </row>
    <row r="5" spans="1:3">
      <c r="A5" t="s">
        <v>1646</v>
      </c>
      <c r="B5" t="s">
        <v>1647</v>
      </c>
      <c r="C5" s="132" t="s">
        <v>1651</v>
      </c>
    </row>
    <row r="6" spans="1:3">
      <c r="A6" t="s">
        <v>1646</v>
      </c>
      <c r="B6" t="s">
        <v>1647</v>
      </c>
      <c r="C6" s="132" t="s">
        <v>1652</v>
      </c>
    </row>
    <row r="7" spans="1:3">
      <c r="A7" t="s">
        <v>1646</v>
      </c>
      <c r="B7" t="s">
        <v>1653</v>
      </c>
      <c r="C7" s="132" t="s">
        <v>1654</v>
      </c>
    </row>
    <row r="8" spans="1:3">
      <c r="A8" t="s">
        <v>1646</v>
      </c>
      <c r="B8" t="s">
        <v>1655</v>
      </c>
      <c r="C8" s="132" t="s">
        <v>1656</v>
      </c>
    </row>
    <row r="9" spans="1:3">
      <c r="A9" t="s">
        <v>1646</v>
      </c>
      <c r="B9" t="s">
        <v>1657</v>
      </c>
      <c r="C9" s="132" t="s">
        <v>1658</v>
      </c>
    </row>
    <row r="10" spans="1:3">
      <c r="A10" t="s">
        <v>1646</v>
      </c>
      <c r="B10" t="s">
        <v>1659</v>
      </c>
      <c r="C10" s="132" t="s">
        <v>1660</v>
      </c>
    </row>
    <row r="11" spans="1:3">
      <c r="A11" t="s">
        <v>1646</v>
      </c>
      <c r="B11" t="s">
        <v>1653</v>
      </c>
      <c r="C11" s="132" t="s">
        <v>1661</v>
      </c>
    </row>
    <row r="12" spans="1:3">
      <c r="A12" t="s">
        <v>1646</v>
      </c>
      <c r="B12" t="s">
        <v>1662</v>
      </c>
      <c r="C12" s="132" t="s">
        <v>1663</v>
      </c>
    </row>
    <row r="13" spans="1:3">
      <c r="A13" t="s">
        <v>303</v>
      </c>
      <c r="B13" t="s">
        <v>1664</v>
      </c>
      <c r="C13" s="132" t="s">
        <v>1665</v>
      </c>
    </row>
    <row r="14" spans="1:3">
      <c r="A14" t="s">
        <v>317</v>
      </c>
      <c r="B14" t="s">
        <v>1664</v>
      </c>
      <c r="C14" s="132" t="s">
        <v>1666</v>
      </c>
    </row>
    <row r="15" spans="1:3">
      <c r="A15" t="s">
        <v>316</v>
      </c>
      <c r="B15" t="s">
        <v>1664</v>
      </c>
      <c r="C15" s="132" t="s">
        <v>1667</v>
      </c>
    </row>
    <row r="16" spans="1:3">
      <c r="A16" t="s">
        <v>317</v>
      </c>
      <c r="B16" t="s">
        <v>1664</v>
      </c>
      <c r="C16" s="132" t="s">
        <v>1668</v>
      </c>
    </row>
    <row r="17" spans="1:3">
      <c r="A17" t="s">
        <v>1669</v>
      </c>
      <c r="B17" t="s">
        <v>1664</v>
      </c>
      <c r="C17" s="132" t="s">
        <v>1670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1671</v>
      </c>
    </row>
    <row r="3" spans="1:2">
      <c r="A3" t="s">
        <v>1672</v>
      </c>
      <c r="B3" t="s">
        <v>1673</v>
      </c>
    </row>
    <row r="4" spans="1:2">
      <c r="A4" t="s">
        <v>1674</v>
      </c>
      <c r="B4" t="s">
        <v>1675</v>
      </c>
    </row>
    <row r="5" spans="1:2">
      <c r="A5" t="s">
        <v>1676</v>
      </c>
      <c r="B5" t="s">
        <v>1677</v>
      </c>
    </row>
    <row r="6" spans="1:2">
      <c r="A6" t="s">
        <v>1678</v>
      </c>
      <c r="B6" t="s">
        <v>1679</v>
      </c>
    </row>
    <row r="7" spans="1:2">
      <c r="A7" t="s">
        <v>1680</v>
      </c>
      <c r="B7" t="s">
        <v>1681</v>
      </c>
    </row>
    <row r="8" spans="1:2">
      <c r="A8" t="s">
        <v>1682</v>
      </c>
      <c r="B8" t="s">
        <v>1683</v>
      </c>
    </row>
    <row r="10" spans="1:2" ht="15">
      <c r="A10" s="17" t="s">
        <v>1684</v>
      </c>
    </row>
    <row r="11" spans="1:2">
      <c r="A11" t="s">
        <v>1685</v>
      </c>
    </row>
    <row r="12" spans="1:2">
      <c r="A12" t="s">
        <v>1686</v>
      </c>
      <c r="B12" t="s">
        <v>1687</v>
      </c>
    </row>
    <row r="14" spans="1:2">
      <c r="A14" s="23"/>
    </row>
    <row r="15" spans="1:2" ht="15">
      <c r="A15" s="17" t="s">
        <v>1688</v>
      </c>
    </row>
    <row r="16" spans="1:2">
      <c r="A16" s="21" t="s">
        <v>1689</v>
      </c>
    </row>
    <row r="17" spans="1:2">
      <c r="A17" s="21" t="s">
        <v>1690</v>
      </c>
    </row>
    <row r="18" spans="1:2">
      <c r="A18" s="21" t="s">
        <v>1691</v>
      </c>
    </row>
    <row r="19" spans="1:2">
      <c r="A19" s="21" t="s">
        <v>1692</v>
      </c>
    </row>
    <row r="21" spans="1:2" ht="15">
      <c r="A21" s="22" t="s">
        <v>1693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1694</v>
      </c>
      <c r="B34" s="17" t="s">
        <v>41</v>
      </c>
    </row>
    <row r="35" spans="1:2">
      <c r="A35" s="121" t="s">
        <v>1695</v>
      </c>
      <c r="B35" s="122">
        <v>520023185</v>
      </c>
    </row>
    <row r="36" spans="1:2">
      <c r="A36" s="123" t="s">
        <v>1696</v>
      </c>
      <c r="B36" s="122">
        <v>520024647</v>
      </c>
    </row>
    <row r="37" spans="1:2">
      <c r="A37" s="123" t="s">
        <v>1697</v>
      </c>
      <c r="B37" s="122">
        <v>520004896</v>
      </c>
    </row>
    <row r="38" spans="1:2">
      <c r="A38" s="123" t="s">
        <v>1698</v>
      </c>
      <c r="B38" s="122">
        <v>520042540</v>
      </c>
    </row>
    <row r="39" spans="1:2">
      <c r="A39" s="123" t="s">
        <v>1699</v>
      </c>
      <c r="B39" s="122">
        <v>520021916</v>
      </c>
    </row>
    <row r="40" spans="1:2">
      <c r="A40" s="123" t="s">
        <v>1700</v>
      </c>
      <c r="B40" s="124">
        <v>510015951</v>
      </c>
    </row>
    <row r="41" spans="1:2">
      <c r="A41" s="123" t="s">
        <v>1701</v>
      </c>
      <c r="B41" s="124">
        <v>510888985</v>
      </c>
    </row>
    <row r="42" spans="1:2">
      <c r="A42" s="123" t="s">
        <v>1702</v>
      </c>
      <c r="B42" s="124">
        <v>520042177</v>
      </c>
    </row>
    <row r="43" spans="1:2">
      <c r="A43" s="123" t="s">
        <v>1703</v>
      </c>
      <c r="B43" s="123">
        <v>520031030</v>
      </c>
    </row>
    <row r="44" spans="1:2">
      <c r="A44" s="123" t="s">
        <v>1704</v>
      </c>
      <c r="B44" s="123">
        <v>520030677</v>
      </c>
    </row>
    <row r="45" spans="1:2">
      <c r="A45" s="123" t="s">
        <v>1705</v>
      </c>
      <c r="B45" s="123">
        <v>513879189</v>
      </c>
    </row>
    <row r="46" spans="1:2">
      <c r="A46" s="123" t="s">
        <v>1706</v>
      </c>
      <c r="B46" s="124">
        <v>520027848</v>
      </c>
    </row>
    <row r="47" spans="1:2">
      <c r="A47" s="123" t="s">
        <v>1707</v>
      </c>
      <c r="B47" s="124">
        <v>570003152</v>
      </c>
    </row>
    <row r="48" spans="1:2">
      <c r="A48" s="123" t="s">
        <v>1708</v>
      </c>
      <c r="B48" s="123">
        <v>513910703</v>
      </c>
    </row>
    <row r="49" spans="1:2">
      <c r="A49" s="123" t="s">
        <v>1709</v>
      </c>
      <c r="B49" s="124">
        <v>512304882</v>
      </c>
    </row>
    <row r="50" spans="1:2">
      <c r="A50" s="123" t="s">
        <v>1710</v>
      </c>
      <c r="B50" s="124">
        <v>512310509</v>
      </c>
    </row>
    <row r="51" spans="1:2">
      <c r="A51" s="123" t="s">
        <v>1711</v>
      </c>
      <c r="B51" s="124">
        <v>512904608</v>
      </c>
    </row>
    <row r="52" spans="1:2">
      <c r="A52" s="123" t="s">
        <v>1712</v>
      </c>
      <c r="B52" s="124">
        <v>500500376</v>
      </c>
    </row>
    <row r="53" spans="1:2">
      <c r="A53" s="123" t="s">
        <v>1713</v>
      </c>
      <c r="B53" s="124">
        <v>520044025</v>
      </c>
    </row>
    <row r="54" spans="1:2">
      <c r="A54" s="123" t="s">
        <v>1714</v>
      </c>
      <c r="B54" s="124">
        <v>513136895</v>
      </c>
    </row>
    <row r="55" spans="1:2">
      <c r="A55" s="123" t="s">
        <v>1715</v>
      </c>
      <c r="B55" s="124">
        <v>520004078</v>
      </c>
    </row>
    <row r="56" spans="1:2">
      <c r="A56" s="123" t="s">
        <v>1716</v>
      </c>
      <c r="B56" s="124">
        <v>515761625</v>
      </c>
    </row>
    <row r="57" spans="1:2">
      <c r="A57" s="123" t="s">
        <v>1717</v>
      </c>
      <c r="B57" s="124">
        <v>515764868</v>
      </c>
    </row>
    <row r="58" spans="1:2">
      <c r="A58" s="123" t="s">
        <v>1718</v>
      </c>
      <c r="B58" s="125">
        <v>515859379</v>
      </c>
    </row>
    <row r="59" spans="1:2">
      <c r="A59" s="123" t="s">
        <v>1719</v>
      </c>
      <c r="B59" s="124">
        <v>516687407</v>
      </c>
    </row>
    <row r="60" spans="1:2">
      <c r="A60" s="123" t="s">
        <v>1720</v>
      </c>
      <c r="B60" s="124">
        <v>516885639</v>
      </c>
    </row>
    <row r="61" spans="1:2">
      <c r="A61" s="123" t="s">
        <v>1721</v>
      </c>
      <c r="B61" s="123">
        <v>570009449</v>
      </c>
    </row>
    <row r="62" spans="1:2">
      <c r="A62" s="123" t="s">
        <v>1722</v>
      </c>
      <c r="B62" s="124">
        <v>520027954</v>
      </c>
    </row>
    <row r="63" spans="1:2">
      <c r="A63" s="123" t="s">
        <v>1723</v>
      </c>
      <c r="B63" s="124">
        <v>512362914</v>
      </c>
    </row>
    <row r="64" spans="1:2">
      <c r="A64" s="123" t="s">
        <v>1724</v>
      </c>
      <c r="B64" s="124">
        <v>511880460</v>
      </c>
    </row>
    <row r="65" spans="1:2">
      <c r="A65" s="123" t="s">
        <v>1725</v>
      </c>
      <c r="B65" s="123">
        <v>511033060</v>
      </c>
    </row>
    <row r="66" spans="1:2">
      <c r="A66" s="123" t="s">
        <v>1726</v>
      </c>
      <c r="B66" s="123">
        <v>570005850</v>
      </c>
    </row>
    <row r="67" spans="1:2">
      <c r="A67" s="123" t="s">
        <v>1727</v>
      </c>
      <c r="B67" s="124">
        <v>510694821</v>
      </c>
    </row>
    <row r="68" spans="1:2">
      <c r="A68" s="123" t="s">
        <v>1728</v>
      </c>
      <c r="B68" s="123">
        <v>520027624</v>
      </c>
    </row>
    <row r="69" spans="1:2">
      <c r="A69" s="123" t="s">
        <v>1729</v>
      </c>
      <c r="B69" s="124">
        <v>520027715</v>
      </c>
    </row>
    <row r="70" spans="1:2">
      <c r="A70" s="123" t="s">
        <v>1730</v>
      </c>
      <c r="B70" s="124">
        <v>520028861</v>
      </c>
    </row>
    <row r="71" spans="1:2">
      <c r="A71" s="123" t="s">
        <v>1731</v>
      </c>
      <c r="B71" s="124">
        <v>520029620</v>
      </c>
    </row>
    <row r="72" spans="1:2">
      <c r="A72" s="123" t="s">
        <v>1732</v>
      </c>
      <c r="B72" s="124">
        <v>520030743</v>
      </c>
    </row>
    <row r="73" spans="1:2">
      <c r="A73" s="123" t="s">
        <v>1733</v>
      </c>
      <c r="B73" s="124">
        <v>520030198</v>
      </c>
    </row>
    <row r="74" spans="1:2">
      <c r="A74" s="123" t="s">
        <v>1734</v>
      </c>
      <c r="B74" s="124">
        <v>520042631</v>
      </c>
    </row>
    <row r="75" spans="1:2">
      <c r="A75" s="123" t="s">
        <v>1735</v>
      </c>
      <c r="B75" s="124">
        <v>520030941</v>
      </c>
    </row>
    <row r="76" spans="1:2">
      <c r="A76" s="123" t="s">
        <v>1736</v>
      </c>
      <c r="B76" s="124">
        <v>520032269</v>
      </c>
    </row>
    <row r="77" spans="1:2">
      <c r="A77" s="123" t="s">
        <v>1737</v>
      </c>
      <c r="B77" s="123">
        <v>510806870</v>
      </c>
    </row>
    <row r="78" spans="1:2">
      <c r="A78" s="123" t="s">
        <v>1738</v>
      </c>
      <c r="B78" s="123">
        <v>520031824</v>
      </c>
    </row>
    <row r="79" spans="1:2">
      <c r="A79" s="123" t="s">
        <v>1739</v>
      </c>
      <c r="B79" s="124">
        <v>510927536</v>
      </c>
    </row>
    <row r="80" spans="1:2">
      <c r="A80" s="123" t="s">
        <v>1740</v>
      </c>
      <c r="B80" s="124">
        <v>510930654</v>
      </c>
    </row>
    <row r="81" spans="1:2">
      <c r="A81" s="123" t="s">
        <v>1741</v>
      </c>
      <c r="B81" s="123">
        <v>510930670</v>
      </c>
    </row>
    <row r="82" spans="1:2">
      <c r="A82" s="123" t="s">
        <v>1742</v>
      </c>
      <c r="B82" s="124">
        <v>520034968</v>
      </c>
    </row>
    <row r="83" spans="1:2">
      <c r="A83" s="123" t="s">
        <v>1743</v>
      </c>
      <c r="B83" s="124">
        <v>520024985</v>
      </c>
    </row>
    <row r="84" spans="1:2">
      <c r="A84" s="123" t="s">
        <v>1744</v>
      </c>
      <c r="B84" s="123">
        <v>520030990</v>
      </c>
    </row>
    <row r="85" spans="1:2">
      <c r="A85" s="123" t="s">
        <v>1745</v>
      </c>
      <c r="B85" s="124">
        <v>520042615</v>
      </c>
    </row>
    <row r="86" spans="1:2">
      <c r="A86" s="123" t="s">
        <v>1746</v>
      </c>
      <c r="B86" s="124">
        <v>520042607</v>
      </c>
    </row>
    <row r="87" spans="1:2">
      <c r="A87" s="123" t="s">
        <v>1747</v>
      </c>
      <c r="B87" s="124">
        <v>520019688</v>
      </c>
    </row>
    <row r="88" spans="1:2">
      <c r="A88" s="123" t="s">
        <v>1748</v>
      </c>
      <c r="B88" s="124">
        <v>570014928</v>
      </c>
    </row>
    <row r="89" spans="1:2">
      <c r="A89" s="123" t="s">
        <v>1749</v>
      </c>
      <c r="B89" s="124">
        <v>510960586</v>
      </c>
    </row>
    <row r="90" spans="1:2">
      <c r="A90" s="123" t="s">
        <v>1750</v>
      </c>
      <c r="B90" s="123">
        <v>520042581</v>
      </c>
    </row>
    <row r="91" spans="1:2">
      <c r="A91" s="123" t="s">
        <v>1751</v>
      </c>
      <c r="B91" s="124">
        <v>570005959</v>
      </c>
    </row>
    <row r="92" spans="1:2">
      <c r="A92" s="123" t="s">
        <v>1752</v>
      </c>
      <c r="B92" s="124">
        <v>570002618</v>
      </c>
    </row>
    <row r="93" spans="1:2">
      <c r="A93" s="123" t="s">
        <v>1753</v>
      </c>
      <c r="B93" s="124">
        <v>511789190</v>
      </c>
    </row>
    <row r="94" spans="1:2">
      <c r="A94" s="123" t="s">
        <v>1754</v>
      </c>
      <c r="B94" s="124">
        <v>520022518</v>
      </c>
    </row>
    <row r="95" spans="1:2">
      <c r="A95" s="123" t="s">
        <v>1755</v>
      </c>
      <c r="B95" s="124">
        <v>520031659</v>
      </c>
    </row>
    <row r="96" spans="1:2">
      <c r="A96" s="123" t="s">
        <v>1756</v>
      </c>
      <c r="B96" s="124">
        <v>570007476</v>
      </c>
    </row>
    <row r="97" spans="1:2">
      <c r="A97" s="123" t="s">
        <v>1757</v>
      </c>
      <c r="B97" s="124">
        <v>570009852</v>
      </c>
    </row>
    <row r="98" spans="1:2">
      <c r="A98" s="123" t="s">
        <v>1758</v>
      </c>
      <c r="B98" s="124">
        <v>510800402</v>
      </c>
    </row>
    <row r="99" spans="1:2">
      <c r="A99" s="123" t="s">
        <v>1759</v>
      </c>
      <c r="B99" s="124">
        <v>510773922</v>
      </c>
    </row>
    <row r="100" spans="1:2">
      <c r="A100" s="123" t="s">
        <v>1760</v>
      </c>
      <c r="B100" s="124">
        <v>512008335</v>
      </c>
    </row>
    <row r="101" spans="1:2">
      <c r="A101" s="123" t="s">
        <v>1761</v>
      </c>
      <c r="B101" s="124">
        <v>510142789</v>
      </c>
    </row>
    <row r="102" spans="1:2">
      <c r="A102" s="123" t="s">
        <v>1762</v>
      </c>
      <c r="B102" s="124">
        <v>520028556</v>
      </c>
    </row>
    <row r="103" spans="1:2">
      <c r="A103" s="123" t="s">
        <v>1763</v>
      </c>
      <c r="B103" s="124">
        <v>520030693</v>
      </c>
    </row>
    <row r="104" spans="1:2">
      <c r="A104" s="123" t="s">
        <v>1764</v>
      </c>
      <c r="B104" s="124">
        <v>520042573</v>
      </c>
    </row>
    <row r="105" spans="1:2">
      <c r="A105" s="123" t="s">
        <v>1765</v>
      </c>
      <c r="B105" s="124">
        <v>511423048</v>
      </c>
    </row>
    <row r="106" spans="1:2">
      <c r="A106" s="123" t="s">
        <v>1766</v>
      </c>
      <c r="B106" s="124">
        <v>570011767</v>
      </c>
    </row>
    <row r="107" spans="1:2">
      <c r="A107" s="123" t="s">
        <v>1767</v>
      </c>
      <c r="B107" s="124">
        <v>512065202</v>
      </c>
    </row>
    <row r="108" spans="1:2">
      <c r="A108" s="123" t="s">
        <v>1768</v>
      </c>
      <c r="B108" s="124">
        <v>512711409</v>
      </c>
    </row>
    <row r="109" spans="1:2">
      <c r="A109" s="123" t="s">
        <v>1769</v>
      </c>
      <c r="B109" s="124">
        <v>520005497</v>
      </c>
    </row>
    <row r="110" spans="1:2">
      <c r="A110" s="123" t="s">
        <v>1770</v>
      </c>
      <c r="B110" s="124">
        <v>570024109</v>
      </c>
    </row>
    <row r="111" spans="1:2">
      <c r="A111" s="123" t="s">
        <v>1771</v>
      </c>
      <c r="B111" s="124">
        <v>520020447</v>
      </c>
    </row>
    <row r="112" spans="1:2">
      <c r="A112" s="123" t="s">
        <v>1772</v>
      </c>
      <c r="B112" s="124">
        <v>520023094</v>
      </c>
    </row>
    <row r="113" spans="1:2">
      <c r="A113" s="123" t="s">
        <v>1773</v>
      </c>
      <c r="B113" s="124">
        <v>520028812</v>
      </c>
    </row>
    <row r="114" spans="1:2">
      <c r="A114" s="123" t="s">
        <v>1774</v>
      </c>
      <c r="B114" s="124">
        <v>520022963</v>
      </c>
    </row>
    <row r="115" spans="1:2">
      <c r="A115" s="123" t="s">
        <v>1775</v>
      </c>
      <c r="B115" s="124">
        <v>520027251</v>
      </c>
    </row>
    <row r="116" spans="1:2">
      <c r="A116" s="123" t="s">
        <v>1776</v>
      </c>
      <c r="B116" s="124">
        <v>520028390</v>
      </c>
    </row>
    <row r="117" spans="1:2">
      <c r="A117" s="123" t="s">
        <v>1777</v>
      </c>
      <c r="B117" s="124">
        <v>513026484</v>
      </c>
    </row>
    <row r="118" spans="1:2">
      <c r="A118" s="123" t="s">
        <v>1778</v>
      </c>
      <c r="B118" s="124">
        <v>513173393</v>
      </c>
    </row>
    <row r="119" spans="1:2">
      <c r="A119" s="123" t="s">
        <v>1779</v>
      </c>
      <c r="B119" s="124">
        <v>513452003</v>
      </c>
    </row>
    <row r="120" spans="1:2">
      <c r="A120" s="123" t="s">
        <v>1780</v>
      </c>
      <c r="B120" s="124">
        <v>513611509</v>
      </c>
    </row>
    <row r="121" spans="1:2">
      <c r="A121" s="123" t="s">
        <v>1781</v>
      </c>
      <c r="B121" s="124">
        <v>513621110</v>
      </c>
    </row>
    <row r="122" spans="1:2">
      <c r="A122" s="123" t="s">
        <v>1782</v>
      </c>
      <c r="B122" s="123">
        <v>512244146</v>
      </c>
    </row>
    <row r="123" spans="1:2">
      <c r="A123" s="123" t="s">
        <v>1783</v>
      </c>
      <c r="B123" s="124">
        <v>512237744</v>
      </c>
    </row>
    <row r="124" spans="1:2">
      <c r="A124" s="123" t="s">
        <v>1784</v>
      </c>
      <c r="B124" s="124">
        <v>512267592</v>
      </c>
    </row>
    <row r="125" spans="1:2">
      <c r="A125" s="123" t="s">
        <v>1785</v>
      </c>
      <c r="B125" s="124">
        <v>514767490</v>
      </c>
    </row>
    <row r="126" spans="1:2">
      <c r="A126" s="123" t="s">
        <v>1786</v>
      </c>
      <c r="B126" s="124">
        <v>514956465</v>
      </c>
    </row>
    <row r="127" spans="1:2">
      <c r="A127" s="123" t="s">
        <v>1787</v>
      </c>
      <c r="B127" s="124">
        <v>512245812</v>
      </c>
    </row>
    <row r="128" spans="1:2">
      <c r="A128" s="123" t="s">
        <v>1788</v>
      </c>
      <c r="B128" s="124">
        <v>515447035</v>
      </c>
    </row>
    <row r="129" spans="1:2">
      <c r="A129" s="123" t="s">
        <v>1789</v>
      </c>
      <c r="B129" s="124">
        <v>516463635</v>
      </c>
    </row>
    <row r="130" spans="1:2">
      <c r="A130" s="123" t="s">
        <v>1790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Vaysman Karina</cp:lastModifiedBy>
  <cp:lastPrinted>2022-08-08T09:16:18Z</cp:lastPrinted>
  <dcterms:created xsi:type="dcterms:W3CDTF">2021-05-03T04:41:48Z</dcterms:created>
  <dcterms:modified xsi:type="dcterms:W3CDTF">2026-05-06T09:26:44Z</dcterms:modified>
</cp:coreProperties>
</file>