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2F396192-B66D-4F61-8681-D8FF43B860F4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אחרים'!$A$1:$AO$29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9" i="2" l="1"/>
  <c r="E15" i="2"/>
  <c r="E24" i="2"/>
  <c r="E13" i="2"/>
  <c r="E29" i="2"/>
  <c r="E11" i="2"/>
  <c r="E4" i="2"/>
  <c r="E28" i="2"/>
  <c r="E16" i="2"/>
  <c r="E19" i="2"/>
  <c r="E10" i="2"/>
  <c r="E20" i="2"/>
  <c r="E18" i="2"/>
  <c r="E22" i="2"/>
  <c r="E5" i="2"/>
  <c r="E27" i="2"/>
  <c r="E6" i="2"/>
  <c r="E12" i="2"/>
  <c r="E14" i="2"/>
  <c r="E21" i="2"/>
  <c r="E30" i="2"/>
  <c r="E25" i="2"/>
  <c r="E8" i="2"/>
  <c r="E26" i="2"/>
  <c r="E7" i="2"/>
  <c r="E3" i="2"/>
  <c r="E23" i="2"/>
</calcChain>
</file>

<file path=xl/sharedStrings.xml><?xml version="1.0" encoding="utf-8"?>
<sst xmlns="http://schemas.openxmlformats.org/spreadsheetml/2006/main" count="8983" uniqueCount="1925">
  <si>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</si>
  <si>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</si>
  <si>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</si>
  <si>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</si>
  <si>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</si>
  <si>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</si>
  <si>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</si>
  <si>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</si>
  <si>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</si>
  <si>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</si>
  <si>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</si>
  <si>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</si>
  <si>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</si>
  <si>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</si>
  <si>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</si>
  <si>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</si>
  <si>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</si>
  <si>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</si>
  <si>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</si>
  <si>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</si>
  <si>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</si>
  <si>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</si>
  <si>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</si>
  <si>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</si>
  <si>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</si>
  <si>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</si>
  <si>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</si>
  <si>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</si>
  <si>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</si>
  <si>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</si>
  <si>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</si>
  <si>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</si>
  <si>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</si>
  <si>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</si>
  <si>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</si>
  <si>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</si>
  <si>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</si>
  <si>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</si>
  <si>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</si>
  <si>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</si>
  <si>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</si>
  <si>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</si>
  <si>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</si>
  <si>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</si>
  <si>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</si>
  <si>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</si>
  <si>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</si>
  <si>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</si>
  <si>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</si>
  <si>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</si>
  <si>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</si>
  <si>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</si>
  <si>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</si>
  <si>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</si>
  <si>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</si>
  <si>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</si>
  <si>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</si>
  <si>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</si>
  <si>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</si>
  <si>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</si>
  <si>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</si>
  <si>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</si>
  <si>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</si>
  <si>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</si>
  <si>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</si>
  <si>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</si>
  <si>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</si>
  <si>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</si>
  <si>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</si>
  <si>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</si>
  <si>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</si>
  <si>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</si>
  <si>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</si>
  <si>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</si>
  <si>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</si>
  <si>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</si>
  <si>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</si>
  <si>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</si>
  <si>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</si>
  <si>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</si>
  <si>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</si>
  <si>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</si>
  <si>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</si>
  <si>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</si>
  <si>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</si>
  <si>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</si>
  <si>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</si>
  <si>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</si>
  <si>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</si>
  <si>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</si>
  <si>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</si>
  <si>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</si>
  <si>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</si>
  <si>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</si>
  <si>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</si>
  <si>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</si>
  <si>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</si>
  <si>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</si>
  <si>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</si>
  <si>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</si>
  <si>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</si>
  <si>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</si>
  <si>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</si>
  <si>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</si>
  <si>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</si>
  <si>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</si>
  <si>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</si>
  <si>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</si>
  <si>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</si>
  <si>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</si>
  <si>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</si>
  <si>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</si>
  <si>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</si>
  <si>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</si>
  <si>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</si>
  <si>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</si>
  <si>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</si>
  <si>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</si>
  <si>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</si>
  <si>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</si>
  <si>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</si>
  <si>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</si>
  <si>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</si>
  <si>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</si>
  <si>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</si>
  <si>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</si>
  <si>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</si>
  <si>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</si>
  <si>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</si>
  <si>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</si>
  <si>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</si>
  <si>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</si>
  <si>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</si>
  <si>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</si>
  <si>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</si>
  <si>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</si>
  <si>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</si>
  <si>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</si>
  <si>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</si>
  <si>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</si>
  <si>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</si>
  <si>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</si>
  <si>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</si>
  <si>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</si>
  <si>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</si>
  <si>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</si>
  <si>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</si>
  <si>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</si>
  <si>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</si>
  <si>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</si>
  <si>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</si>
  <si>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</si>
  <si>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</si>
  <si>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</si>
  <si>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</si>
  <si>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</si>
  <si>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</si>
  <si>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</si>
  <si>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</si>
  <si>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</si>
  <si>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</si>
  <si>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</si>
  <si>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</si>
  <si>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</si>
  <si>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</si>
  <si>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</si>
  <si>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</si>
  <si>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</si>
  <si>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</si>
  <si>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</si>
  <si>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</si>
  <si>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</si>
  <si>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</si>
  <si>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</si>
  <si>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</si>
  <si>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</si>
  <si>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</si>
  <si>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</si>
  <si>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</si>
  <si>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</si>
  <si>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</si>
  <si>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</si>
  <si>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</si>
  <si>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</si>
  <si>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</si>
  <si>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</si>
  <si>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</si>
  <si>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</si>
  <si>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</si>
  <si>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</si>
  <si>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</si>
  <si>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</si>
  <si>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</si>
  <si>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</si>
  <si>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</si>
  <si>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</si>
  <si>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</si>
  <si>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</si>
  <si>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</si>
  <si>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</si>
  <si>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</si>
  <si>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</si>
  <si>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</si>
  <si>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</si>
  <si>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</si>
  <si>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</si>
  <si>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</si>
  <si>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</si>
  <si>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</si>
  <si>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</si>
  <si>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</si>
  <si>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</si>
  <si>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</si>
  <si>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</si>
  <si>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</si>
  <si>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</si>
  <si>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</si>
  <si>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</si>
  <si>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</si>
  <si>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</si>
  <si>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</si>
  <si>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</si>
  <si>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</si>
  <si>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</si>
  <si>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</si>
  <si>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</si>
  <si>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</si>
  <si>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</si>
  <si>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</si>
  <si>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</si>
  <si>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</si>
  <si>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</si>
  <si>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</si>
  <si>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</si>
  <si>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</si>
  <si>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</si>
  <si>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</si>
  <si>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</si>
  <si>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</si>
  <si>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</si>
  <si>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</si>
  <si>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</si>
  <si>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</si>
  <si>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</si>
  <si>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</si>
  <si>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</si>
  <si>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</si>
  <si>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</si>
  <si>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</si>
  <si>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</si>
  <si>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</si>
  <si>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</si>
  <si>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</si>
  <si>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</si>
  <si>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</si>
  <si>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</si>
  <si>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</si>
  <si>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</si>
  <si>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</si>
  <si>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</si>
  <si>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</si>
  <si>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</si>
  <si>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</si>
  <si>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</si>
  <si>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</si>
  <si>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</si>
  <si>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</si>
  <si>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</si>
  <si>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</si>
  <si>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</si>
  <si>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</si>
  <si>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</si>
  <si>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</si>
  <si>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</si>
  <si>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</si>
  <si>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</si>
  <si>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</si>
  <si>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</si>
  <si>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</si>
  <si>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</si>
  <si>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</si>
  <si>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</si>
  <si>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</si>
  <si>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</si>
  <si>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</si>
  <si>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</si>
  <si>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</si>
  <si>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</si>
  <si>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</si>
  <si>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</si>
  <si>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</si>
  <si>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</si>
  <si>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</si>
  <si>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</si>
  <si>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</si>
  <si>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</si>
  <si>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</si>
  <si>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</si>
  <si>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</si>
  <si>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</si>
  <si>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</si>
  <si>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</si>
  <si>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</si>
  <si>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</si>
  <si>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</si>
  <si>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</si>
  <si>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</si>
  <si>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</si>
  <si>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</si>
  <si>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</si>
  <si>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</si>
  <si>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</si>
  <si>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</si>
  <si>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</si>
  <si>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</si>
  <si>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</si>
  <si>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</si>
  <si>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</si>
  <si>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</si>
  <si>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</si>
  <si>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</si>
  <si>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</si>
  <si>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</si>
  <si>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</si>
  <si>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</si>
  <si>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</si>
  <si>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</si>
  <si>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</si>
  <si>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</si>
  <si>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</si>
  <si>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</si>
  <si>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</si>
  <si>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</si>
  <si>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</si>
  <si>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</si>
  <si>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</si>
  <si>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</si>
  <si>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</si>
  <si>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</si>
  <si>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</si>
  <si>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</si>
  <si>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</si>
  <si>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</si>
  <si>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</si>
  <si>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</si>
  <si>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</si>
  <si>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</si>
  <si>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</si>
  <si>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</si>
  <si>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</si>
  <si>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</si>
  <si>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</si>
  <si>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</si>
  <si>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</si>
  <si>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</si>
  <si>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</si>
  <si>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</si>
  <si>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</si>
  <si>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</si>
  <si>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</si>
  <si>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</si>
  <si>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</si>
  <si>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</si>
  <si>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</si>
  <si>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</si>
  <si>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</si>
  <si>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</si>
  <si>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</si>
  <si>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</si>
  <si>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</si>
  <si>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</si>
  <si>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</si>
  <si>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</si>
  <si>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</si>
  <si>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</si>
  <si>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</si>
  <si>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</si>
  <si>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</si>
  <si>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</si>
  <si>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</si>
  <si>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</si>
  <si>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</si>
  <si>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</si>
  <si>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</si>
  <si>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</si>
  <si>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</si>
  <si>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</si>
  <si>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</si>
  <si>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</si>
  <si>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</si>
  <si>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</si>
  <si>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</si>
  <si>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</si>
  <si>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</si>
  <si>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</si>
  <si>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</si>
  <si>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</si>
  <si>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</si>
  <si>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</si>
  <si>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</si>
  <si>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</si>
  <si>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</si>
  <si>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</si>
  <si>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</si>
  <si>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</si>
  <si>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</si>
  <si>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</si>
  <si>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</si>
  <si>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</si>
  <si>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</si>
  <si>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</si>
  <si>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</si>
  <si>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</si>
  <si>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</si>
  <si>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</si>
  <si>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</si>
  <si>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</si>
  <si>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</si>
  <si>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</si>
  <si>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</si>
  <si>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</si>
  <si>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</si>
  <si>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</si>
  <si>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</si>
  <si>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</si>
  <si>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</si>
  <si>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</si>
  <si>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</si>
  <si>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</si>
  <si>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</si>
  <si>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</si>
  <si>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</si>
  <si>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</si>
  <si>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</si>
  <si>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</si>
  <si>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</si>
  <si>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</si>
  <si>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</si>
  <si>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</si>
  <si>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</si>
  <si>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</si>
  <si>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</si>
  <si>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</si>
  <si>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</si>
  <si>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</si>
  <si>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</si>
  <si>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</si>
  <si>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</si>
  <si>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</si>
  <si>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</si>
  <si>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</si>
  <si>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</si>
  <si>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</si>
  <si>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</si>
  <si>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</si>
  <si>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</si>
  <si>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</si>
  <si>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</si>
  <si>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</si>
  <si>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</si>
  <si>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</si>
  <si>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</si>
  <si>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</si>
  <si>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</si>
  <si>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</si>
  <si>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</si>
  <si>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</si>
  <si>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</si>
  <si>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</si>
  <si>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</si>
  <si>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</si>
  <si>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</si>
  <si>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</si>
  <si>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</si>
  <si>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</si>
  <si>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</si>
  <si>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</si>
  <si>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</si>
  <si>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</si>
  <si>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</si>
  <si>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</si>
  <si>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</si>
  <si>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</si>
  <si>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</si>
  <si>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</si>
  <si>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</si>
  <si>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</si>
  <si>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</si>
  <si>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</si>
  <si>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</si>
  <si>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</si>
  <si>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</si>
  <si>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</si>
  <si>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</si>
  <si>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</si>
  <si>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</si>
  <si>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</si>
  <si>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</si>
  <si>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</si>
  <si>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</si>
  <si>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</si>
  <si>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</si>
  <si>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</si>
  <si>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</si>
  <si>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</si>
  <si>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</si>
  <si>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</si>
  <si>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</si>
  <si>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</si>
  <si>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</si>
  <si>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</si>
  <si>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</si>
  <si>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</si>
  <si>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</si>
  <si>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</si>
  <si>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</si>
  <si>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</si>
  <si>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</si>
  <si>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</si>
  <si>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</si>
  <si>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</si>
  <si>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</si>
  <si>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</si>
  <si>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</si>
  <si>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</si>
  <si>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</si>
  <si>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</si>
  <si>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</si>
  <si>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</si>
  <si>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</si>
  <si>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</si>
  <si>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</si>
  <si>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</si>
  <si>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</si>
  <si>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</si>
  <si>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</si>
  <si>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</si>
  <si>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</si>
  <si>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</si>
  <si>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</si>
  <si>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</si>
  <si>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</si>
  <si>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</si>
  <si>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</si>
  <si>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</si>
  <si>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</si>
  <si>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</si>
  <si>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</si>
  <si>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</si>
  <si>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</si>
  <si>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</si>
  <si>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</si>
  <si>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</si>
  <si>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</si>
  <si>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</si>
  <si>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</si>
  <si>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</si>
  <si>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</si>
  <si>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</si>
  <si>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</si>
  <si>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</si>
  <si>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</si>
  <si>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</si>
  <si>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</si>
  <si>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</si>
  <si>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</si>
  <si>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</si>
  <si>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</si>
  <si>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</si>
  <si>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</si>
  <si>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</si>
  <si>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</si>
  <si>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</si>
  <si>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</si>
  <si>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</si>
  <si>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</si>
  <si>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</si>
  <si>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</si>
  <si>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</si>
  <si>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</si>
  <si>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</si>
  <si>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</si>
  <si>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</si>
  <si>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</si>
  <si>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</si>
  <si>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</si>
  <si>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</si>
  <si>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</si>
  <si>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</si>
  <si>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</si>
  <si>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</si>
  <si>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</si>
  <si>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</si>
  <si>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</si>
  <si>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</si>
  <si>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</si>
  <si>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</si>
  <si>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</si>
  <si>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</si>
  <si>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</si>
  <si>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</si>
  <si>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</si>
  <si>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</si>
  <si>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</si>
  <si>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</si>
  <si>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</si>
  <si>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</si>
  <si>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</si>
  <si>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</si>
  <si>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</si>
  <si>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</si>
  <si>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</si>
  <si>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</si>
  <si>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</si>
  <si>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</si>
  <si>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</si>
  <si>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</si>
  <si>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</si>
  <si>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</si>
  <si>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</si>
  <si>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</si>
  <si>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</si>
  <si>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</si>
  <si>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</si>
  <si>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</si>
  <si>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</si>
  <si>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</si>
  <si>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</si>
  <si>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</si>
  <si>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</si>
  <si>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</si>
  <si>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</si>
  <si>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</si>
  <si>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</si>
  <si>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</si>
  <si>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</si>
  <si>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</si>
  <si>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</si>
  <si>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</si>
  <si>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</si>
  <si>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</si>
  <si>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</si>
  <si>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</si>
  <si>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</si>
  <si>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</si>
  <si>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</si>
  <si>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</si>
  <si>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</si>
  <si>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</si>
  <si>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</si>
  <si>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</si>
  <si>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</si>
  <si>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</si>
  <si>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</si>
  <si>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</si>
  <si>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</si>
  <si>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</si>
  <si>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</si>
  <si>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</si>
  <si>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</si>
  <si>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</si>
  <si>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</si>
  <si>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</si>
  <si>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</si>
  <si>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</si>
  <si>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</si>
  <si>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</si>
  <si>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</si>
  <si>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</si>
  <si>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</si>
  <si>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</si>
  <si>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</si>
  <si>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</si>
  <si>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</si>
  <si>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</si>
  <si>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</si>
  <si>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</si>
  <si>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</si>
  <si>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</si>
  <si>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</si>
  <si>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</si>
  <si>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</si>
  <si>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</si>
  <si>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</si>
  <si>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</si>
  <si>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</si>
  <si>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</si>
  <si>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</si>
  <si>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</si>
  <si>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</si>
  <si>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</si>
  <si>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</si>
  <si>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</si>
  <si>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</si>
  <si>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</si>
  <si>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</si>
  <si>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</si>
  <si>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</si>
  <si>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</si>
  <si>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</si>
  <si>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</si>
  <si>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</si>
  <si>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</si>
  <si>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</si>
  <si>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</si>
  <si>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</si>
  <si>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</si>
  <si>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</si>
  <si>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</si>
  <si>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</si>
  <si>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</si>
  <si>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</si>
  <si>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</si>
  <si>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</si>
  <si>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</si>
  <si>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</si>
  <si>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</si>
  <si>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</si>
  <si>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</si>
  <si>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</si>
  <si>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</si>
  <si>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</si>
  <si>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</si>
  <si>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</si>
  <si>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</si>
  <si>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</si>
  <si>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</si>
  <si>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</si>
  <si>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</si>
  <si>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</si>
  <si>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</si>
  <si>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</si>
  <si>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</si>
  <si>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</si>
  <si>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</si>
  <si>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</si>
  <si>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</si>
  <si>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</si>
  <si>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</si>
  <si>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</si>
  <si>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</si>
  <si>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</si>
  <si>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</si>
  <si>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</si>
  <si>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</si>
  <si>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</si>
  <si>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</si>
  <si>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</si>
  <si>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</si>
  <si>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</si>
  <si>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</si>
  <si>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</si>
  <si>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</si>
  <si>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</si>
  <si>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</si>
  <si>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</si>
  <si>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</si>
  <si>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</si>
  <si>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</si>
  <si>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</si>
  <si>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</si>
  <si>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</si>
  <si>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</si>
  <si>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</si>
  <si>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</si>
  <si>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</si>
  <si>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</si>
  <si>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</si>
  <si>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</si>
  <si>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</si>
  <si>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</si>
  <si>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</si>
  <si>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</si>
  <si>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</si>
  <si>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</si>
  <si>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</si>
  <si>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</si>
  <si>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</si>
  <si>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</si>
  <si>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</si>
  <si>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</si>
  <si>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</si>
  <si>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</si>
  <si>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</si>
  <si>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</si>
  <si>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</si>
  <si>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</si>
  <si>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</si>
  <si>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</si>
  <si>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</si>
  <si>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</si>
  <si>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</si>
  <si>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</si>
  <si>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</si>
  <si>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</si>
  <si>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</si>
  <si>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</si>
  <si>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</si>
  <si>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</si>
  <si>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</si>
  <si>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</si>
  <si>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</si>
  <si>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</si>
  <si>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</si>
  <si>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</si>
  <si>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</si>
  <si>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</si>
  <si>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</si>
  <si>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</si>
  <si>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</si>
  <si>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</si>
  <si>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</si>
  <si>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</si>
  <si>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</si>
  <si>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</si>
  <si>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</si>
  <si>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</si>
  <si>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</si>
  <si>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</si>
  <si>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</si>
  <si>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</si>
  <si>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</si>
  <si>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</si>
  <si>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</si>
  <si>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</si>
  <si>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</si>
  <si>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</si>
  <si>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</si>
  <si>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</si>
  <si>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</si>
  <si>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</si>
  <si>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</si>
  <si>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</si>
  <si>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</si>
  <si>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</si>
  <si>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</si>
  <si>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</si>
  <si>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</si>
  <si>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</si>
  <si>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</si>
  <si>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</si>
  <si>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</si>
  <si>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</si>
  <si>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</si>
  <si>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</si>
  <si>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</si>
  <si>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</si>
  <si>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</si>
  <si>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</si>
  <si>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</si>
  <si>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</si>
  <si>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</si>
  <si>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</si>
  <si>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</si>
  <si>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</si>
  <si>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</si>
  <si>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</si>
  <si>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</si>
  <si>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</si>
  <si>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</si>
  <si>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</si>
  <si>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</si>
  <si>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</si>
  <si>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</si>
  <si>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</si>
  <si>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</si>
  <si>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</si>
  <si>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</si>
  <si>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</si>
  <si>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</si>
  <si>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</si>
  <si>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</si>
  <si>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</si>
  <si>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</si>
  <si>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</si>
  <si>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</si>
  <si>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</si>
  <si>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</si>
  <si>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</si>
  <si>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</si>
  <si>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</si>
  <si>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</si>
  <si>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</si>
  <si>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</si>
  <si>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</si>
  <si>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</si>
  <si>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</si>
  <si>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</si>
  <si>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</si>
  <si>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</si>
  <si>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</si>
  <si>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</si>
  <si>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</si>
  <si>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</si>
  <si>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</si>
  <si>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</si>
  <si>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</si>
  <si>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</si>
  <si>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</si>
  <si>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</si>
  <si>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</si>
  <si>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</si>
  <si>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</si>
  <si>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</si>
  <si>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</si>
  <si>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</si>
  <si>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</si>
  <si>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</si>
  <si>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</si>
  <si>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</si>
  <si>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</si>
  <si>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</si>
  <si>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</si>
  <si>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</si>
  <si>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</si>
  <si>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</si>
  <si>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</si>
  <si>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</si>
  <si>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</si>
  <si>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</si>
  <si>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</si>
  <si>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</si>
  <si>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</si>
  <si>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</si>
  <si>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</si>
  <si>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</si>
  <si>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</si>
  <si>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</si>
  <si>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</si>
  <si>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</si>
  <si>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</si>
  <si>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</si>
  <si>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</si>
  <si>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</si>
  <si>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</si>
  <si>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</si>
  <si>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</si>
  <si>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</si>
  <si>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</si>
  <si>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</si>
  <si>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</si>
  <si>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</si>
  <si>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</si>
  <si>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</si>
  <si>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</si>
  <si>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</si>
  <si>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</si>
  <si>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</si>
  <si>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</si>
  <si>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</si>
  <si>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</si>
  <si>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</si>
  <si>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</si>
  <si>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</si>
  <si>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</si>
  <si>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</si>
  <si>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</si>
  <si>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</si>
  <si>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</si>
  <si>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</si>
  <si>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</si>
  <si>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</si>
  <si>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</si>
  <si>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</si>
  <si>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</si>
  <si>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</si>
  <si>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</si>
  <si>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</si>
  <si>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</si>
  <si>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</si>
  <si>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</si>
  <si>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</si>
  <si>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</si>
  <si>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</si>
  <si>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</si>
  <si>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</si>
  <si>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</si>
  <si>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</si>
  <si>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</si>
  <si>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</si>
  <si>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</si>
  <si>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</si>
  <si>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</si>
  <si>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</si>
  <si>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</si>
  <si>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</si>
  <si>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</si>
  <si>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</si>
  <si>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</si>
  <si>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</si>
  <si>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</si>
  <si>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</si>
  <si>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</si>
  <si>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</si>
  <si>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</si>
  <si>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</si>
  <si>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</si>
  <si>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</si>
  <si>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</si>
  <si>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</si>
  <si>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</si>
  <si>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</si>
  <si>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</si>
  <si>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</si>
  <si>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</si>
  <si>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</si>
  <si>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</si>
  <si>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</si>
  <si>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</si>
  <si>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</si>
  <si>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</si>
  <si>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</si>
  <si>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</si>
  <si>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</si>
  <si>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</si>
  <si>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</si>
  <si>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</si>
  <si>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</si>
  <si>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</si>
  <si>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</si>
  <si>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</si>
  <si>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</si>
  <si>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</si>
  <si>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</si>
  <si>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</si>
  <si>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</si>
  <si>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</si>
  <si>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</si>
  <si>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</si>
  <si>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</si>
  <si>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</si>
  <si>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</si>
  <si>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</si>
  <si>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</si>
  <si>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</si>
  <si>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</si>
  <si>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</si>
  <si>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</si>
  <si>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</si>
  <si>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</si>
  <si>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</si>
  <si>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</si>
  <si>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</si>
  <si>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</si>
  <si>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</si>
  <si>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</si>
  <si>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</si>
  <si>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</si>
  <si>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</si>
  <si>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</si>
  <si>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</si>
  <si>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</si>
  <si>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</si>
  <si>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</si>
  <si>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</si>
  <si>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</si>
  <si>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</si>
  <si>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</si>
  <si>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</si>
  <si>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</si>
  <si>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</si>
  <si>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</si>
  <si>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</si>
  <si>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</si>
  <si>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</si>
  <si>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</si>
  <si>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</si>
  <si>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</si>
  <si>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</si>
  <si>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</si>
  <si>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</si>
  <si>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</si>
  <si>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</si>
  <si>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</si>
  <si>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</si>
  <si>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</si>
  <si>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</si>
  <si>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</si>
  <si>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</si>
  <si>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</si>
  <si>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</si>
  <si>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</si>
  <si>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</si>
  <si>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</si>
  <si>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</si>
  <si>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</si>
  <si>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</si>
  <si>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</si>
  <si>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</si>
  <si>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</si>
  <si>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</si>
  <si>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</si>
  <si>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</si>
  <si>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</si>
  <si>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</si>
  <si>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</si>
  <si>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</si>
  <si>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</si>
  <si>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</si>
  <si>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</si>
  <si>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</si>
  <si>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</si>
  <si>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</si>
  <si>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</si>
  <si>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</si>
  <si>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</si>
  <si>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</si>
  <si>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</si>
  <si>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</si>
  <si>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</si>
  <si>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</si>
  <si>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</si>
  <si>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</si>
  <si>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</si>
  <si>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</si>
  <si>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</si>
  <si>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</si>
  <si>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</si>
  <si>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</si>
  <si>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</si>
  <si>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</si>
  <si>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</si>
  <si>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</si>
  <si>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</si>
  <si>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</si>
  <si>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</si>
  <si>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</si>
  <si>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</si>
  <si>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</si>
  <si>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</si>
  <si>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</si>
  <si>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</si>
  <si>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</si>
  <si>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</si>
  <si>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</si>
  <si>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</si>
  <si>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</si>
  <si>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</si>
  <si>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</si>
  <si>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</si>
  <si>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</si>
  <si>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</si>
  <si>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</si>
  <si>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</si>
  <si>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</si>
  <si>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</si>
  <si>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</si>
  <si>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</si>
  <si>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</si>
  <si>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</si>
  <si>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</si>
  <si>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</si>
  <si>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</si>
  <si>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</si>
  <si>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</si>
  <si>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</si>
  <si>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</si>
  <si>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</si>
  <si>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</si>
  <si>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</si>
  <si>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</si>
  <si>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</si>
  <si>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</si>
  <si>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</si>
  <si>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</si>
  <si>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</si>
  <si>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</si>
  <si>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</si>
  <si>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</si>
  <si>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</si>
  <si>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</si>
  <si>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</si>
  <si>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</si>
  <si>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</si>
  <si>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</si>
  <si>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</si>
  <si>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</si>
  <si>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</si>
  <si>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</si>
  <si>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</si>
  <si>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</si>
  <si>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</si>
  <si>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</si>
  <si>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</si>
  <si>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</si>
  <si>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</si>
  <si>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</si>
  <si>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</si>
  <si>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</si>
  <si>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</si>
  <si>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</si>
  <si>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</si>
  <si>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</si>
  <si>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</si>
  <si>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</si>
  <si>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</si>
  <si>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</si>
  <si>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</si>
  <si>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</si>
  <si>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</si>
  <si>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</si>
  <si>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</si>
  <si>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</si>
  <si>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</si>
  <si>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</si>
  <si>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</si>
  <si>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</si>
  <si>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</si>
  <si>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</si>
  <si>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</si>
  <si>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</si>
  <si>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</si>
  <si>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</si>
  <si>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</si>
  <si>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</si>
  <si>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</si>
  <si>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</si>
  <si>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</si>
  <si>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</si>
  <si>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</si>
  <si>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</si>
  <si>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</si>
  <si>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</si>
  <si>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</si>
  <si>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</si>
  <si>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</si>
  <si>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</si>
  <si>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</si>
  <si>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</si>
  <si>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</si>
  <si>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קופת הפנסיה לעובדי הדסה בעמ</t>
  </si>
  <si>
    <t>בנק הפועלים</t>
  </si>
  <si>
    <t>12-600</t>
  </si>
  <si>
    <t>ilAAA</t>
  </si>
  <si>
    <t>EUR</t>
  </si>
  <si>
    <t>בנק לאומי</t>
  </si>
  <si>
    <t>10-800</t>
  </si>
  <si>
    <t>Aaa.il</t>
  </si>
  <si>
    <t>DKK</t>
  </si>
  <si>
    <t>יו-בנק</t>
  </si>
  <si>
    <t>26-273</t>
  </si>
  <si>
    <t>ILS</t>
  </si>
  <si>
    <t>בנק דיסקונט</t>
  </si>
  <si>
    <t>11-10</t>
  </si>
  <si>
    <t>בנק מזרחי</t>
  </si>
  <si>
    <t>20-21</t>
  </si>
  <si>
    <t>JPY</t>
  </si>
  <si>
    <t>CAD</t>
  </si>
  <si>
    <t>GBP</t>
  </si>
  <si>
    <t>USD</t>
  </si>
  <si>
    <t>AUD</t>
  </si>
  <si>
    <t>ממשלת ישראל</t>
  </si>
  <si>
    <t>ממשל שקלית 0330</t>
  </si>
  <si>
    <t>IL0011609851</t>
  </si>
  <si>
    <t>ilRF</t>
  </si>
  <si>
    <t>ממשלתי צמוד 0536</t>
  </si>
  <si>
    <t>IL0010977085</t>
  </si>
  <si>
    <t>ממשל צמודה 1033</t>
  </si>
  <si>
    <t>IL0012043795</t>
  </si>
  <si>
    <t>ממשלתי שקלי 347</t>
  </si>
  <si>
    <t>IL0011401937</t>
  </si>
  <si>
    <t>ממשלתי צמוד  1151</t>
  </si>
  <si>
    <t>IL0011683013</t>
  </si>
  <si>
    <t>ממשלתי  צמוד 0841</t>
  </si>
  <si>
    <t>IL0011205833</t>
  </si>
  <si>
    <t>ממשלתי צמוד 0545</t>
  </si>
  <si>
    <t>IL0011348658</t>
  </si>
  <si>
    <t>ממשלתי שקלי 1152</t>
  </si>
  <si>
    <t>IL0011840761</t>
  </si>
  <si>
    <t>ממשל צמודה 0726</t>
  </si>
  <si>
    <t>IL0011695645</t>
  </si>
  <si>
    <t>ממשלתי שקלי 142</t>
  </si>
  <si>
    <t>IL0011254005</t>
  </si>
  <si>
    <t>ממשלתי משתנה 0526</t>
  </si>
  <si>
    <t>IL0011417958</t>
  </si>
  <si>
    <t>ממשלתי 0928</t>
  </si>
  <si>
    <t>IL0011508798</t>
  </si>
  <si>
    <t>ממשלתי 0327</t>
  </si>
  <si>
    <t>IL0011393449</t>
  </si>
  <si>
    <t>ממשל צמודה 1131</t>
  </si>
  <si>
    <t>IL0011722209</t>
  </si>
  <si>
    <t>ממשל צמודה 0456</t>
  </si>
  <si>
    <t>IL0012307133</t>
  </si>
  <si>
    <t>ממשלתי צמוד 0837</t>
  </si>
  <si>
    <t>IL0012372053</t>
  </si>
  <si>
    <t>US Government</t>
  </si>
  <si>
    <t>B 0 03/18/27</t>
  </si>
  <si>
    <t>US912797UD79</t>
  </si>
  <si>
    <t>ISRAEL 2.75 07/03/30</t>
  </si>
  <si>
    <t>US46513JB346</t>
  </si>
  <si>
    <t>Baa1</t>
  </si>
  <si>
    <t>B 0 10/29/26</t>
  </si>
  <si>
    <t>US912797SK41</t>
  </si>
  <si>
    <t>Aa1</t>
  </si>
  <si>
    <t>B 0 10/01/26</t>
  </si>
  <si>
    <t>US912797SA68</t>
  </si>
  <si>
    <t>מזרחי טפחות הנפקות</t>
  </si>
  <si>
    <t>מזרחי  טפחות הנפקות 64</t>
  </si>
  <si>
    <t>IL0023105559</t>
  </si>
  <si>
    <t>פועלים התח נד ז</t>
  </si>
  <si>
    <t>IL0011913295</t>
  </si>
  <si>
    <t>ilAA-</t>
  </si>
  <si>
    <t>מז טפ הנ אגח 67</t>
  </si>
  <si>
    <t>IL0011968075</t>
  </si>
  <si>
    <t>חברת החשמל לישראל בע"מ</t>
  </si>
  <si>
    <t>חשמל אגח 33</t>
  </si>
  <si>
    <t>IL0060003923</t>
  </si>
  <si>
    <t>מקורות חברת מים בע"מ</t>
  </si>
  <si>
    <t>מקורות סדרה 10</t>
  </si>
  <si>
    <t>IL0011584682</t>
  </si>
  <si>
    <t>חשמל אגח 27</t>
  </si>
  <si>
    <t>IL0060002107</t>
  </si>
  <si>
    <t>פועלים 200</t>
  </si>
  <si>
    <t>IL0066204962</t>
  </si>
  <si>
    <t>מז טפ הנ אגח 66</t>
  </si>
  <si>
    <t>IL0011916678</t>
  </si>
  <si>
    <t>הראל ביטוח מימון והנפקות בע"מ</t>
  </si>
  <si>
    <t>הראל שטר הון נדחה יג 2029 3.95%</t>
  </si>
  <si>
    <t>IL0011381717</t>
  </si>
  <si>
    <t>Aa2.il</t>
  </si>
  <si>
    <t>מזרחי טפחות הנפקות 46</t>
  </si>
  <si>
    <t>IL0023102259</t>
  </si>
  <si>
    <t>קבוצת עזריאלי בע"מ</t>
  </si>
  <si>
    <t>עזריאלי אגח ה</t>
  </si>
  <si>
    <t>IL0011566036</t>
  </si>
  <si>
    <t>Aa1.il</t>
  </si>
  <si>
    <t>פועלים אגח 201</t>
  </si>
  <si>
    <t>IL0011913451</t>
  </si>
  <si>
    <t>לאומי</t>
  </si>
  <si>
    <t>לאומי 186</t>
  </si>
  <si>
    <t>IL0012018391</t>
  </si>
  <si>
    <t>חשמל 35</t>
  </si>
  <si>
    <t>IL0011967994</t>
  </si>
  <si>
    <t>מזרחי טפחות הנפקות אגח 62</t>
  </si>
  <si>
    <t>IL0023104982</t>
  </si>
  <si>
    <t>מזרחי טפחות  הנפקות 49</t>
  </si>
  <si>
    <t>IL0023102820</t>
  </si>
  <si>
    <t>מזרחי טפ הנ אגח 68</t>
  </si>
  <si>
    <t>IL0012021429</t>
  </si>
  <si>
    <t>לאומי אגח 182</t>
  </si>
  <si>
    <t>IL0060405391</t>
  </si>
  <si>
    <t>חשמל 34</t>
  </si>
  <si>
    <t>IL0011967812</t>
  </si>
  <si>
    <t>לאומי 183</t>
  </si>
  <si>
    <t>IL0060405474</t>
  </si>
  <si>
    <t>דיסקונט מנפיקים בע"מ</t>
  </si>
  <si>
    <t>דיסקונט מנפיקים אגח טו</t>
  </si>
  <si>
    <t>IL0074803045</t>
  </si>
  <si>
    <t>פועלים  אגח 202</t>
  </si>
  <si>
    <t>IL0011998502</t>
  </si>
  <si>
    <t>מימון ישיר</t>
  </si>
  <si>
    <t>מימון ישיר קבוצה ו</t>
  </si>
  <si>
    <t>IL0011916595</t>
  </si>
  <si>
    <t>A1.il</t>
  </si>
  <si>
    <t>מזרחי  טפחות הנפקות  52</t>
  </si>
  <si>
    <t>IL0023103810</t>
  </si>
  <si>
    <t>פועלים התח נד ה</t>
  </si>
  <si>
    <t>IL0066204624</t>
  </si>
  <si>
    <t>לאומי מימון 179</t>
  </si>
  <si>
    <t>IL0060403727</t>
  </si>
  <si>
    <t>נתיבי הגז הטבעי לישראל בע"מ</t>
  </si>
  <si>
    <t>נתיבי גז אגח ד</t>
  </si>
  <si>
    <t>IL0011475030</t>
  </si>
  <si>
    <t>עזריאלי   אגח ד</t>
  </si>
  <si>
    <t>IL0011386500</t>
  </si>
  <si>
    <t>מקורות סדרה 11</t>
  </si>
  <si>
    <t>IL0011584765</t>
  </si>
  <si>
    <t>עזריאלי אגח ט</t>
  </si>
  <si>
    <t>IL0012092537</t>
  </si>
  <si>
    <t>חשמל 31</t>
  </si>
  <si>
    <t>IL0060002859</t>
  </si>
  <si>
    <t>Expedia group</t>
  </si>
  <si>
    <t>549300IMO4B4W5RWYH14</t>
  </si>
  <si>
    <t>EXPE 2.95 03/15/31</t>
  </si>
  <si>
    <t>US30212PBH73</t>
  </si>
  <si>
    <t>Baa2</t>
  </si>
  <si>
    <t>HF SINCLAIR CORP</t>
  </si>
  <si>
    <t>98840072S6T63E2V1291</t>
  </si>
  <si>
    <t>DINO 4 1/2 10/01/30</t>
  </si>
  <si>
    <t>US403949AC48</t>
  </si>
  <si>
    <t>Baa3</t>
  </si>
  <si>
    <t>Lenovo</t>
  </si>
  <si>
    <t>254900VUZRGD5U73RE46</t>
  </si>
  <si>
    <t>Lenovo 3.421 11/02/30</t>
  </si>
  <si>
    <t>USY5257YAJ65</t>
  </si>
  <si>
    <t>BBB</t>
  </si>
  <si>
    <t>H&amp;R Block</t>
  </si>
  <si>
    <t>549300CE3KUCWLZBG404</t>
  </si>
  <si>
    <t>HRB 3.875 08/15/30</t>
  </si>
  <si>
    <t>US093662AH70</t>
  </si>
  <si>
    <t>Verisign</t>
  </si>
  <si>
    <t>LMPL4N8ZOJRMF0KOF759</t>
  </si>
  <si>
    <t>VRSN 5 ¼ 06/01/32</t>
  </si>
  <si>
    <t>US92343EAQ52</t>
  </si>
  <si>
    <t>Micron Technology Inc</t>
  </si>
  <si>
    <t>B3DXGBC8GAIYWI2Z0172</t>
  </si>
  <si>
    <t>MU 5 7.8 09.15.33</t>
  </si>
  <si>
    <t>US595112CB74</t>
  </si>
  <si>
    <t>Kyndryl Holdings, Inc.</t>
  </si>
  <si>
    <t>549300LQ4LWX2R8ZV130</t>
  </si>
  <si>
    <t>KD 6.35 02/20/34</t>
  </si>
  <si>
    <t>US50155QAN07</t>
  </si>
  <si>
    <t>BBB-</t>
  </si>
  <si>
    <t>HYUNDAI CAPITAL AMERICA</t>
  </si>
  <si>
    <t>9884004RQX8PRBXQ8S60</t>
  </si>
  <si>
    <t>HYNMTR 5.35% 03/19/29</t>
  </si>
  <si>
    <t>US44891CCY75</t>
  </si>
  <si>
    <t>A-</t>
  </si>
  <si>
    <t>D.R. Horton Inc</t>
  </si>
  <si>
    <t>529900ZIUEYVSB8QDD25</t>
  </si>
  <si>
    <t>DHI 5 10/15/34</t>
  </si>
  <si>
    <t>US23331ABS78</t>
  </si>
  <si>
    <t>BBB+</t>
  </si>
  <si>
    <t>Pershing Square Holdings</t>
  </si>
  <si>
    <t>G67KJ524WPCAX4V2X190</t>
  </si>
  <si>
    <t>PSHNA 3.25 10/01/31</t>
  </si>
  <si>
    <t>XS2392997172</t>
  </si>
  <si>
    <t>VRSN 2.7 06/15/31</t>
  </si>
  <si>
    <t>US92343EAM49</t>
  </si>
  <si>
    <t>ISRAEL ELECTRIC 8.1% 2096</t>
  </si>
  <si>
    <t>USM60170AC79</t>
  </si>
  <si>
    <t>מליסרון</t>
  </si>
  <si>
    <t>IL0003230146</t>
  </si>
  <si>
    <t>טאואר</t>
  </si>
  <si>
    <t>IL0010823792</t>
  </si>
  <si>
    <t>אנלייט אנרגיה</t>
  </si>
  <si>
    <t>IL0007200111</t>
  </si>
  <si>
    <t>הפניקס אחזקות</t>
  </si>
  <si>
    <t>הפניקס 1</t>
  </si>
  <si>
    <t>IL0007670123</t>
  </si>
  <si>
    <t>נקסט ויז'ן מערכות מיוצבות בע"מ</t>
  </si>
  <si>
    <t>נקסט ויז'ן</t>
  </si>
  <si>
    <t>IL0011765935</t>
  </si>
  <si>
    <t>מגדל ביטוח</t>
  </si>
  <si>
    <t>IL0010811656</t>
  </si>
  <si>
    <t>אר פי אופטיקל לאב בע"מ</t>
  </si>
  <si>
    <t>אר פי אופטיקל</t>
  </si>
  <si>
    <t>IL0012224627</t>
  </si>
  <si>
    <t>פתאל החזקות</t>
  </si>
  <si>
    <t>IL0011434292</t>
  </si>
  <si>
    <t>כלל חברה לביטוח</t>
  </si>
  <si>
    <t>כלל עסקי ביטוח</t>
  </si>
  <si>
    <t>IL0002240146</t>
  </si>
  <si>
    <t>שפיר הנדסה ותעשיה בע"מ</t>
  </si>
  <si>
    <t>IL0011338758</t>
  </si>
  <si>
    <t>ביג מרכזי קניות</t>
  </si>
  <si>
    <t>ביג</t>
  </si>
  <si>
    <t>IL0010972607</t>
  </si>
  <si>
    <t>נובה מכשירי מדידה</t>
  </si>
  <si>
    <t>נובה</t>
  </si>
  <si>
    <t>IL0010845571</t>
  </si>
  <si>
    <t>טבע</t>
  </si>
  <si>
    <t>IL0006290147</t>
  </si>
  <si>
    <t>דלק קידוחים</t>
  </si>
  <si>
    <t>ניו-מד אנרג יהש</t>
  </si>
  <si>
    <t>IL0004750209</t>
  </si>
  <si>
    <t>פועלים</t>
  </si>
  <si>
    <t>IL0006625771</t>
  </si>
  <si>
    <t>שיכון ובינוי</t>
  </si>
  <si>
    <t>IL0010819428</t>
  </si>
  <si>
    <t>נאוויטס פטרוליום, שותפות מוגבלת</t>
  </si>
  <si>
    <t>נאוויטס פטר יהש</t>
  </si>
  <si>
    <t>IL0011419699</t>
  </si>
  <si>
    <t>בנק מזרחי טפחות בע"מ</t>
  </si>
  <si>
    <t>מזרחי טפחות</t>
  </si>
  <si>
    <t>IL0006954379</t>
  </si>
  <si>
    <t>שטראוס גרופ</t>
  </si>
  <si>
    <t>שטראוס-עלית</t>
  </si>
  <si>
    <t>IL0007460160</t>
  </si>
  <si>
    <t>בינלאומי</t>
  </si>
  <si>
    <t>בינלאומי  5</t>
  </si>
  <si>
    <t>IL0005930388</t>
  </si>
  <si>
    <t>דמרי</t>
  </si>
  <si>
    <t>IL0010903156</t>
  </si>
  <si>
    <t>קבוצת אשטרום</t>
  </si>
  <si>
    <t>אשטרום קבוצה</t>
  </si>
  <si>
    <t>IL0011323156</t>
  </si>
  <si>
    <t>סמארט שוטר בע"מ</t>
  </si>
  <si>
    <t>סמארט שוטר</t>
  </si>
  <si>
    <t>IL0012377425</t>
  </si>
  <si>
    <t>בזק החברה הישראלית לתקשורת בע"מ</t>
  </si>
  <si>
    <t>בזק</t>
  </si>
  <si>
    <t>IL0002300114</t>
  </si>
  <si>
    <t>הראל השקעות</t>
  </si>
  <si>
    <t>IL0005850180</t>
  </si>
  <si>
    <t>או פי סי אנרגיה</t>
  </si>
  <si>
    <t>IL0011415713</t>
  </si>
  <si>
    <t>אמות השקעות</t>
  </si>
  <si>
    <t>אמות</t>
  </si>
  <si>
    <t>IL0010972789</t>
  </si>
  <si>
    <t>שופרסל</t>
  </si>
  <si>
    <t>IL0007770378</t>
  </si>
  <si>
    <t>אלביט מערכות</t>
  </si>
  <si>
    <t>IL0010811243</t>
  </si>
  <si>
    <t>החברה לישראל</t>
  </si>
  <si>
    <t>חברה לישראל</t>
  </si>
  <si>
    <t>IL0005760173</t>
  </si>
  <si>
    <t>פרטנר</t>
  </si>
  <si>
    <t>IL0010834849</t>
  </si>
  <si>
    <t>IL0006046119</t>
  </si>
  <si>
    <t>אורמת טכנולוגיות, אינק (דואלי)</t>
  </si>
  <si>
    <t>אורמת טכנולוגיות בע"מ</t>
  </si>
  <si>
    <t>US6866881021</t>
  </si>
  <si>
    <t>מבנה נדל"ן (כ.ד) בע"מ</t>
  </si>
  <si>
    <t>מבני תעשיה</t>
  </si>
  <si>
    <t>IL0002260193</t>
  </si>
  <si>
    <t>מנורה מבטחים החזקות</t>
  </si>
  <si>
    <t>IL0005660183</t>
  </si>
  <si>
    <t>קבוצת דלק בע"מ</t>
  </si>
  <si>
    <t>דלק קבוצה</t>
  </si>
  <si>
    <t>IL0010841281</t>
  </si>
  <si>
    <t>נייס</t>
  </si>
  <si>
    <t>IL0002730112</t>
  </si>
  <si>
    <t>סלקום ישראל בע"מ</t>
  </si>
  <si>
    <t>סלקום</t>
  </si>
  <si>
    <t>IL0011015349</t>
  </si>
  <si>
    <t>קמטק</t>
  </si>
  <si>
    <t>IL0010952641</t>
  </si>
  <si>
    <t>ג'י סיטי בע"מ</t>
  </si>
  <si>
    <t>גזית גלוב</t>
  </si>
  <si>
    <t>IL0001260111</t>
  </si>
  <si>
    <t>רציו חיפושי נפט</t>
  </si>
  <si>
    <t>רציו יהש</t>
  </si>
  <si>
    <t>IL0003940157</t>
  </si>
  <si>
    <t>עזריאלי קבוצה</t>
  </si>
  <si>
    <t>IL0011194789</t>
  </si>
  <si>
    <t>כיל</t>
  </si>
  <si>
    <t>אי.סי. אל  -  כיל</t>
  </si>
  <si>
    <t>IL0002810146</t>
  </si>
  <si>
    <t>ריט 1</t>
  </si>
  <si>
    <t>IL0010989205</t>
  </si>
  <si>
    <t>דיסקונט א</t>
  </si>
  <si>
    <t>IL0006912120</t>
  </si>
  <si>
    <t>Taiwan Semiconductor</t>
  </si>
  <si>
    <t>549300KB6NK5SBD14S87</t>
  </si>
  <si>
    <t>TSM - Taiwan Semiconductor (P)</t>
  </si>
  <si>
    <t>US8740391003</t>
  </si>
  <si>
    <t>Agnico Eagle Mines</t>
  </si>
  <si>
    <t>254900BFJ2DOHPMEXN45</t>
  </si>
  <si>
    <t>AEM - Agnico Eagle Mines (P)</t>
  </si>
  <si>
    <t>CA0084741085</t>
  </si>
  <si>
    <t>NICE US ( poalim)</t>
  </si>
  <si>
    <t>US6536561086</t>
  </si>
  <si>
    <t>Vistra Corp</t>
  </si>
  <si>
    <t>549300KP43CPCUJOOG15</t>
  </si>
  <si>
    <t>VST - Vistra Corp (P)</t>
  </si>
  <si>
    <t>US92840M1027</t>
  </si>
  <si>
    <t>Teva US(poalim)</t>
  </si>
  <si>
    <t>US8816242098</t>
  </si>
  <si>
    <t>MU - Micron (P)</t>
  </si>
  <si>
    <t>US5951121038</t>
  </si>
  <si>
    <t>CARPENTER TECHNOLOGY</t>
  </si>
  <si>
    <t>DX6I6ZD3X5WNNCDJKP85</t>
  </si>
  <si>
    <t>CRS - CARPENTER TECHNOLOGY (P)</t>
  </si>
  <si>
    <t>US1442851036</t>
  </si>
  <si>
    <t>PALO ALTO NETWORKS INC</t>
  </si>
  <si>
    <t>549300QXR2YVZV231H43</t>
  </si>
  <si>
    <t>PANW -   PALO ALTO NETWORKS INC (P)</t>
  </si>
  <si>
    <t>US6974351057</t>
  </si>
  <si>
    <t>SOLAREDGE</t>
  </si>
  <si>
    <t>5493000K6Y58XXPDF853</t>
  </si>
  <si>
    <t>SEDG US ( POALIM)</t>
  </si>
  <si>
    <t>US83417M1045</t>
  </si>
  <si>
    <t>camt-קמטק חול(poalim)</t>
  </si>
  <si>
    <t>Broadcom Inc</t>
  </si>
  <si>
    <t>549300Wv6GIDOZJTV909</t>
  </si>
  <si>
    <t>AVGO - Broadcom Inc (P)</t>
  </si>
  <si>
    <t>US11135F1012</t>
  </si>
  <si>
    <t>ALPHABET</t>
  </si>
  <si>
    <t>5493006MHB84DD0ZWV18</t>
  </si>
  <si>
    <t>GOOGL - ALPHABET (P)</t>
  </si>
  <si>
    <t>US02079K3059</t>
  </si>
  <si>
    <t>TTM TECHNOLOGIES</t>
  </si>
  <si>
    <t>549300SC4BDOIS008048</t>
  </si>
  <si>
    <t>TTMI - TTM TECHNOLOGIES (P)</t>
  </si>
  <si>
    <t>US87305R1095</t>
  </si>
  <si>
    <t>ELI LILLY &amp; CO</t>
  </si>
  <si>
    <t>FRDRIPF3EKNDJ2CQJL29</t>
  </si>
  <si>
    <t>LLY - Eli Lilly (P)</t>
  </si>
  <si>
    <t>US5324571083</t>
  </si>
  <si>
    <t>ATI Inc</t>
  </si>
  <si>
    <t>ZW1LRE7C3H17O2ZN9B45</t>
  </si>
  <si>
    <t>ATI - ATI (P)</t>
  </si>
  <si>
    <t>US01741R1023</t>
  </si>
  <si>
    <t>NVIDIA Corporation</t>
  </si>
  <si>
    <t>549300S4KLFTLO7GSQ80</t>
  </si>
  <si>
    <t>NVDA - NVIDIA (P)</t>
  </si>
  <si>
    <t>US67066G1040</t>
  </si>
  <si>
    <t>TESLA INC</t>
  </si>
  <si>
    <t>54930043XZGB27CTOV49</t>
  </si>
  <si>
    <t>TSLA Tesla Inc (P)</t>
  </si>
  <si>
    <t>US88160R1014</t>
  </si>
  <si>
    <t>TOWER TSEM US( POALIM)</t>
  </si>
  <si>
    <t>ORA US (POALIM)</t>
  </si>
  <si>
    <t>GOLDMAN</t>
  </si>
  <si>
    <t>784F5XWPLTWKTBV3E584</t>
  </si>
  <si>
    <t>GS - Goldman Sachs (P)</t>
  </si>
  <si>
    <t>US38141G1040</t>
  </si>
  <si>
    <t>Curtiss-Wright</t>
  </si>
  <si>
    <t>TEL51ETZWP7D0ZM4X325</t>
  </si>
  <si>
    <t>CW - Curtiss-Wright (P)</t>
  </si>
  <si>
    <t>US2315611010</t>
  </si>
  <si>
    <t>ENLIGHT RENEWABLE ENERGY LTD(poalim)</t>
  </si>
  <si>
    <t>NVMI US (POALIM)</t>
  </si>
  <si>
    <t>מגדל קרנות נאמנות בע"מ</t>
  </si>
  <si>
    <t>MTF סל (00) תל בונד 20</t>
  </si>
  <si>
    <t>IL0011499881</t>
  </si>
  <si>
    <t>MTF סל (4A) ת"א 35</t>
  </si>
  <si>
    <t>IL0011501843</t>
  </si>
  <si>
    <t>MTF סל תל בונד 60</t>
  </si>
  <si>
    <t>IL0011499964</t>
  </si>
  <si>
    <t>מיטב תכלית קרנות נאמנות בע"מ</t>
  </si>
  <si>
    <t>תכלית סל (00) תל בונד 40</t>
  </si>
  <si>
    <t>IL0011450934</t>
  </si>
  <si>
    <t>קסם קרנות נאמנות בע"מ</t>
  </si>
  <si>
    <t>קסם ETF תלבונד 20</t>
  </si>
  <si>
    <t>IL0011459604</t>
  </si>
  <si>
    <t>הראל קרנות נאמנות בע"מ</t>
  </si>
  <si>
    <t>הראל סל תא 35</t>
  </si>
  <si>
    <t>IL0011489072</t>
  </si>
  <si>
    <t>תכלית סל תא 35</t>
  </si>
  <si>
    <t>IL0011437006</t>
  </si>
  <si>
    <t>קסם ETF תא 35</t>
  </si>
  <si>
    <t>IL0011465700</t>
  </si>
  <si>
    <t>הראל סל תלבונד 20</t>
  </si>
  <si>
    <t>IL0011504409</t>
  </si>
  <si>
    <t>State Street</t>
  </si>
  <si>
    <t>549300ZFEEJ2IP5VME73</t>
  </si>
  <si>
    <t>XBI   US  Biotech  (P)</t>
  </si>
  <si>
    <t>US78464A8707</t>
  </si>
  <si>
    <t>AMUNDI INVT SOLUTIONS</t>
  </si>
  <si>
    <t>213800WAVVOPS85N2205</t>
  </si>
  <si>
    <t>SP5C  LN -   S&amp;P 500 (P)</t>
  </si>
  <si>
    <t>LU1135865084</t>
  </si>
  <si>
    <t>INVESCO</t>
  </si>
  <si>
    <t>ECPGFXU8A2SHKVVGJI15</t>
  </si>
  <si>
    <t>PPA - Invesco Aerospace &amp; Defense (p)</t>
  </si>
  <si>
    <t>US46137V1008</t>
  </si>
  <si>
    <t>FIRST TRUST</t>
  </si>
  <si>
    <t>5493001KJTIIGC8Y1R12</t>
  </si>
  <si>
    <t>CIBR US -Nasdaq Cybersecurity(P)</t>
  </si>
  <si>
    <t>US33734X8469</t>
  </si>
  <si>
    <t>INVESCO MARKETS PLC</t>
  </si>
  <si>
    <t>SPXS  LN -  S&amp;P 500 (P)</t>
  </si>
  <si>
    <t>IE00B3YCGJ38</t>
  </si>
  <si>
    <t>XLU US (p)</t>
  </si>
  <si>
    <t>US81369Y8865</t>
  </si>
  <si>
    <t>ISHARES</t>
  </si>
  <si>
    <t>529900VBK42Y5HHRMD23</t>
  </si>
  <si>
    <t>IWDS NA - MSCI WORLD (P)</t>
  </si>
  <si>
    <t>IE000F9IDGB5</t>
  </si>
  <si>
    <t>VanEck</t>
  </si>
  <si>
    <t>549300MJTG2N9QRH7I02</t>
  </si>
  <si>
    <t>SMH- VanEck Semiconductor -POALIM</t>
  </si>
  <si>
    <t>US92189F6768</t>
  </si>
  <si>
    <t>MUNI LN</t>
  </si>
  <si>
    <t>IE00BNG70R26</t>
  </si>
  <si>
    <t>XLV  US -  Health Care (P)</t>
  </si>
  <si>
    <t>US81369Y2090</t>
  </si>
  <si>
    <t>Tabula</t>
  </si>
  <si>
    <t>2138009WPYMWJN3RVF44</t>
  </si>
  <si>
    <t>TAHY LN - Asia USD HY</t>
  </si>
  <si>
    <t>IE000LZC9NM0</t>
  </si>
  <si>
    <t>Nomura holdings Inc</t>
  </si>
  <si>
    <t>549300B3CEAHYG7K8164</t>
  </si>
  <si>
    <t>1615 JP -  TOPIX Banks (P)</t>
  </si>
  <si>
    <t>JP3040170007</t>
  </si>
  <si>
    <t>DWS</t>
  </si>
  <si>
    <t>7LTWFZYICNSX8D621K86</t>
  </si>
  <si>
    <t>XDWD  LN -  MSCI World (P)</t>
  </si>
  <si>
    <t>IE00BJ0KDQ92</t>
  </si>
  <si>
    <t>XDJP  GR -  Nikkei 225 (P)</t>
  </si>
  <si>
    <t>LU0839027447</t>
  </si>
  <si>
    <t>XLC  US -  Communication Services (P)</t>
  </si>
  <si>
    <t>US81369Y8527</t>
  </si>
  <si>
    <t>SWRD  LN -  MSCI World (P)</t>
  </si>
  <si>
    <t>IE00BFY0GT14</t>
  </si>
  <si>
    <t>IWN -  Russell 2000 Value (P)</t>
  </si>
  <si>
    <t>US4642876308</t>
  </si>
  <si>
    <t>LYXOR INTL</t>
  </si>
  <si>
    <t>BRES FP - Basic resources (P)</t>
  </si>
  <si>
    <t>LU1834983550</t>
  </si>
  <si>
    <t>I500  NA -   S&amp;P 500 (P)</t>
  </si>
  <si>
    <t>IE00BMTX1Y45</t>
  </si>
  <si>
    <t>XLF  US -  Financial (P)</t>
  </si>
  <si>
    <t>US81369Y6059</t>
  </si>
  <si>
    <t>XLE - Energy Sector (p)</t>
  </si>
  <si>
    <t>US81369Y5069</t>
  </si>
  <si>
    <t>Vanguard Group Inc</t>
  </si>
  <si>
    <t>5493002789CX3L0CJP65</t>
  </si>
  <si>
    <t>VWO  US -   FTSE Emerging Markets (P)</t>
  </si>
  <si>
    <t>US9220428588</t>
  </si>
  <si>
    <t>FXI  US -  China Large (P)</t>
  </si>
  <si>
    <t>US4642871846</t>
  </si>
  <si>
    <t>1306 JP -  TOPIX (P)</t>
  </si>
  <si>
    <t>JP3027630007</t>
  </si>
  <si>
    <t>EWY Ishares Korea (P)</t>
  </si>
  <si>
    <t>US4642867729</t>
  </si>
  <si>
    <t>AIRR US - Industrial Renaisssance(P)</t>
  </si>
  <si>
    <t>US33738R7044</t>
  </si>
  <si>
    <t>MUSD  NA -   MSCI USA (P)</t>
  </si>
  <si>
    <t>IE0002W8NB38</t>
  </si>
  <si>
    <t>XLY  US -  Consumer Discretionary (P)</t>
  </si>
  <si>
    <t>US81369Y4070</t>
  </si>
  <si>
    <t>XLK  US -  Technology (P)</t>
  </si>
  <si>
    <t>US81369Y8030</t>
  </si>
  <si>
    <t>ECH-  Ishares MSCI Chile (P)</t>
  </si>
  <si>
    <t>US4642866408</t>
  </si>
  <si>
    <t>SPIDER</t>
  </si>
  <si>
    <t>549300PQC2CS3IA6B871</t>
  </si>
  <si>
    <t>XME US - Metals &amp; Mining (P)</t>
  </si>
  <si>
    <t>US78464A7550</t>
  </si>
  <si>
    <t>GRID  US -   Grid Infrastructure (P)</t>
  </si>
  <si>
    <t>US33737A1088</t>
  </si>
  <si>
    <t>MFE  FP -   MSCI EMU (P)</t>
  </si>
  <si>
    <t>LU1646360971</t>
  </si>
  <si>
    <t>U127  LN -  MSCI Emerging Markets (P)</t>
  </si>
  <si>
    <t>LU2573966905</t>
  </si>
  <si>
    <t>Global X</t>
  </si>
  <si>
    <t>988400XS10PE37QW6R37</t>
  </si>
  <si>
    <t>HXT  CN -  Canada TSX 60 (P)</t>
  </si>
  <si>
    <t>CA37963M1086</t>
  </si>
  <si>
    <t>XMEU  GR -  MSCI Europe (P)</t>
  </si>
  <si>
    <t>LU0274209237</t>
  </si>
  <si>
    <t>XMUD  LN -   MSCI USA (P)</t>
  </si>
  <si>
    <t>LU0274210672</t>
  </si>
  <si>
    <t>XD9U  LN -   MSCI USA (P)</t>
  </si>
  <si>
    <t>IE00BJ0KDR00</t>
  </si>
  <si>
    <t>TAN US-Solar Energy (P)</t>
  </si>
  <si>
    <t>US46138G7060</t>
  </si>
  <si>
    <t>Nomura Asset Management UK</t>
  </si>
  <si>
    <t>Nomura US HY</t>
  </si>
  <si>
    <t>IE00B3RW8498</t>
  </si>
  <si>
    <t>Sparx</t>
  </si>
  <si>
    <t>635400BTSWMY84SXPB33</t>
  </si>
  <si>
    <t>SPARX Japan JPY Inst G</t>
  </si>
  <si>
    <t>IE00BD6HM324</t>
  </si>
  <si>
    <t>Liontrust</t>
  </si>
  <si>
    <t>549300XVXU6S7PLCL855</t>
  </si>
  <si>
    <t>Liontrust European Dynamic</t>
  </si>
  <si>
    <t>GB00BKPQVT86</t>
  </si>
  <si>
    <t>Pinebridge</t>
  </si>
  <si>
    <t>549300KM5F6LSTMERC50</t>
  </si>
  <si>
    <t>PineBridge US IG</t>
  </si>
  <si>
    <t>IE00BD82R632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</si>
  <si>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</si>
  <si>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</si>
  <si>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</si>
  <si>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</si>
  <si>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</si>
  <si>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</si>
  <si>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</si>
  <si>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</si>
  <si>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India Acorn ICAV</t>
  </si>
  <si>
    <t>213800MG9QHLSQHZYD08</t>
  </si>
  <si>
    <t>Ashoka Indian Opportunities</t>
  </si>
  <si>
    <t>IE00BH3N4915</t>
  </si>
  <si>
    <t>RAM (Lux) Systematic funds</t>
  </si>
  <si>
    <t>54930031J1R3XQN7ZR19</t>
  </si>
  <si>
    <t>RAM (Lux) Systematic EM</t>
  </si>
  <si>
    <t>LU1433244511</t>
  </si>
  <si>
    <t>ARTEMIS</t>
  </si>
  <si>
    <t>549300CN3YT7REW82D41</t>
  </si>
  <si>
    <t>Artemis SmartGARP European Equity</t>
  </si>
  <si>
    <t>GB00B2PLJD73</t>
  </si>
  <si>
    <t>Threadneedle</t>
  </si>
  <si>
    <t>6ZLKQF7QB6JAEKQS5388</t>
  </si>
  <si>
    <t>Threadneedle US</t>
  </si>
  <si>
    <t>LU1859430891</t>
  </si>
  <si>
    <t>HSBC Global Investment Funds</t>
  </si>
  <si>
    <t>2138009R2RHG7P8LL653</t>
  </si>
  <si>
    <t>HSBC HY Global Securitized Credit</t>
  </si>
  <si>
    <t>LU1194162217</t>
  </si>
  <si>
    <t>HSBC XC Global Securitized Credit</t>
  </si>
  <si>
    <t>LU1717580259</t>
  </si>
  <si>
    <t>Fidelity</t>
  </si>
  <si>
    <t>2549008C2MCQYBAUGY55</t>
  </si>
  <si>
    <t>Fidelity Japan Value Fund</t>
  </si>
  <si>
    <t>LU1777188316</t>
  </si>
  <si>
    <t>Schroder Investment Management (Europe) S.A</t>
  </si>
  <si>
    <t>8AFAYMK90I2QVGLMLS34</t>
  </si>
  <si>
    <t>Schroders Euro HY Hedged USD</t>
  </si>
  <si>
    <t>LU2880861682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</si>
  <si>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</si>
  <si>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</si>
  <si>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</si>
  <si>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</si>
  <si>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</si>
  <si>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</si>
  <si>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</si>
  <si>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</si>
  <si>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</si>
  <si>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</si>
  <si>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</si>
  <si>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</si>
  <si>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Oaktree Capital Management LP</t>
  </si>
  <si>
    <t>5493003O8J2P3YCBEH15 </t>
  </si>
  <si>
    <t>Oaktree Global Credit</t>
  </si>
  <si>
    <t>LU1617688392</t>
  </si>
  <si>
    <t>Artemis SmartGARP EM</t>
  </si>
  <si>
    <t>LU1846577242</t>
  </si>
  <si>
    <t>זפירוס ווינג אנרג'יס בע"מ</t>
  </si>
  <si>
    <t>זפירוס אפ1</t>
  </si>
  <si>
    <t>IL0011947038</t>
  </si>
  <si>
    <t>IL0011946956</t>
  </si>
  <si>
    <t>ערד 8874 01.05.34 4.8%</t>
  </si>
  <si>
    <t>ערד 8806 01.09.28 4.8%</t>
  </si>
  <si>
    <t>ערד 8834 01.01.31 4.8%</t>
  </si>
  <si>
    <t>ערד 8809 01.12.28 4.8%</t>
  </si>
  <si>
    <t>ערד 8825 01.04.30 4.8%</t>
  </si>
  <si>
    <t>ערד 8827 2.6.30 4.8%</t>
  </si>
  <si>
    <t>ערד 8846 1.1.32 4.8%</t>
  </si>
  <si>
    <t>ערד 8895 01.03.36 4.8%</t>
  </si>
  <si>
    <t>ערד 8802 01.05.28 4.8%</t>
  </si>
  <si>
    <t>ערד 8821 1.12.29 4.8%</t>
  </si>
  <si>
    <t>ערד 8819 02.10.29 4.8%</t>
  </si>
  <si>
    <t>ערד 8867 4.10.33 4.8%</t>
  </si>
  <si>
    <t>ערד 8881 01.12.34 4.8%</t>
  </si>
  <si>
    <t>ערד 8839 01.06.31 4.8%</t>
  </si>
  <si>
    <t>ערד 8796 01.11.27 4.8%</t>
  </si>
  <si>
    <t>ערד 8849 2.4.32 4.8%</t>
  </si>
  <si>
    <t>ערד 8872 01.03.34 4.8%</t>
  </si>
  <si>
    <t>ערד 8817 01.8.29 4.8%</t>
  </si>
  <si>
    <t>ערד 8852 2.7.32 4.8%</t>
  </si>
  <si>
    <t>ערד 8798 01.01.28 4.8%</t>
  </si>
  <si>
    <t>ערד 8803 02.06.28 4.8%</t>
  </si>
  <si>
    <t>ערד 8840 01.07.31 4.8%</t>
  </si>
  <si>
    <t>ערד 8835 01.02.31 4.8%</t>
  </si>
  <si>
    <t>ערד 8860 01.03.33 4.8%</t>
  </si>
  <si>
    <t>ערד 8868 1.11.33 4.8%</t>
  </si>
  <si>
    <t>ערד 8815 01.6.29 4.8%</t>
  </si>
  <si>
    <t>ערד 8797 02.12.27 4.8%</t>
  </si>
  <si>
    <t>ערד 8816 01.7.29 4.8%</t>
  </si>
  <si>
    <t>ערד 8863 01.06.33 4.8%</t>
  </si>
  <si>
    <t>ערד 8833 01.12.30 4.8%</t>
  </si>
  <si>
    <t>ערד 8902 01.10.36 4.8%</t>
  </si>
  <si>
    <t>ערד 8811 02.2.29 4.8%</t>
  </si>
  <si>
    <t>ערד 8808 01.11.28 4.8%</t>
  </si>
  <si>
    <t>ערד 8801 02.04.28 4.8%</t>
  </si>
  <si>
    <t>ערד 8851 01.06.32 4.8%</t>
  </si>
  <si>
    <t>ערד 8842 1.9.31 4.8%</t>
  </si>
  <si>
    <t>ערד 8826 01.05.30 4.8%</t>
  </si>
  <si>
    <t>ערד 8883 02.02.35 4.8%</t>
  </si>
  <si>
    <t>ערד 8854 01.09.32 4.8%</t>
  </si>
  <si>
    <t>ערד 8823 01.02.30 4.8%</t>
  </si>
  <si>
    <t>ערד 8799 01.02.28 4.8%</t>
  </si>
  <si>
    <t>ערד 8847 1.2.32 4.8%</t>
  </si>
  <si>
    <t>ערד 8794 02.09.27 4.8%</t>
  </si>
  <si>
    <t>ערד 8855 1.10.32 4.8%</t>
  </si>
  <si>
    <t>ערד 8859 01.02.33 4.8%</t>
  </si>
  <si>
    <t>ערד 8844 02.11.31 4.8%</t>
  </si>
  <si>
    <t>ערד 8893 01.01.36 4.8%</t>
  </si>
  <si>
    <t>ערד 8800 01.03.28 4.8%</t>
  </si>
  <si>
    <t>ערד 8880 01.11.34 4.8%</t>
  </si>
  <si>
    <t>ערד 8857 01.12.32 4.8%</t>
  </si>
  <si>
    <t>ערד 8865 01.08.33 4.8%</t>
  </si>
  <si>
    <t>ערד 8873 01.04.34 4.8%</t>
  </si>
  <si>
    <t>ערד 8875 02.06.34 4.8%</t>
  </si>
  <si>
    <t>ערד 8845 01.12.31 4.8%</t>
  </si>
  <si>
    <t>ערד 8824 01.03.30 4.8%</t>
  </si>
  <si>
    <t>ערד 8812 02.3.29 4.8%</t>
  </si>
  <si>
    <t>ערד 8804 01.07.28 4.8%</t>
  </si>
  <si>
    <t>ערד 8795 02.10.27 4.8%</t>
  </si>
  <si>
    <t>ערד 8813 01.4.29 4.8%</t>
  </si>
  <si>
    <t>ערד 8856 1.11.32 4.8%</t>
  </si>
  <si>
    <t>ערד 8820 02.11.29 4.8%</t>
  </si>
  <si>
    <t>ערד 8858 01.01.33 4.8%</t>
  </si>
  <si>
    <t>ערד 8814 01.5.29 4.8%</t>
  </si>
  <si>
    <t>ערד 8810 01.1.29 4.8%</t>
  </si>
  <si>
    <t>ערד 8894 01.02.36 4.8%</t>
  </si>
  <si>
    <t>ערד 8848 1.3.32 4.8%</t>
  </si>
  <si>
    <t>ערד 8866 02.09.33 4.8%</t>
  </si>
  <si>
    <t>ערד 8822 1.1.30 4.8%</t>
  </si>
  <si>
    <t>ערד 8838 01.5.31 4.8%</t>
  </si>
  <si>
    <t>ערד 8807 01.10.28 4.8%</t>
  </si>
  <si>
    <t>ערד 8899 01.07.36 4.8%</t>
  </si>
  <si>
    <t>ערד 8896 01.04.36 4.8%</t>
  </si>
  <si>
    <t>ערד 8843 03.10.31 4.8%</t>
  </si>
  <si>
    <t>ערד 8897 02.05.36 4.8%</t>
  </si>
  <si>
    <t>ערד 8828 01.07.30 4.8%</t>
  </si>
  <si>
    <t>ערד 8850 2.5.32 4.8%</t>
  </si>
  <si>
    <t>ערד 8882 01.01.35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</si>
  <si>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</si>
  <si>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</si>
  <si>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</si>
  <si>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</si>
  <si>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</si>
  <si>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</si>
  <si>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</si>
  <si>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</si>
  <si>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</si>
  <si>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</si>
  <si>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</si>
  <si>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</si>
  <si>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</si>
  <si>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</si>
  <si>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A+</t>
  </si>
  <si>
    <t>רשות שדות התעופה בישראל</t>
  </si>
  <si>
    <t>רש"ת אגח א-רמ</t>
  </si>
  <si>
    <t>IL0011873358</t>
  </si>
  <si>
    <t>AA+</t>
  </si>
  <si>
    <t>רש"ת אגח ב-רמ</t>
  </si>
  <si>
    <t>IL0011873432</t>
  </si>
  <si>
    <t>IIF</t>
  </si>
  <si>
    <t>A ת.ש.י דרכים מר</t>
  </si>
  <si>
    <t>POALIILIT</t>
  </si>
  <si>
    <t>IDBLILITXXX</t>
  </si>
  <si>
    <t>LEUMIILILTXXX</t>
  </si>
  <si>
    <t>NDDUWI INDEX</t>
  </si>
  <si>
    <t>MIZBILIT</t>
  </si>
  <si>
    <t>USDILS</t>
  </si>
  <si>
    <t>CHASUS33</t>
  </si>
  <si>
    <t>GOLDUS33001</t>
  </si>
  <si>
    <t>CITIUS33</t>
  </si>
  <si>
    <t>GSCBAOP1 INDEX</t>
  </si>
  <si>
    <t>BARCUS33</t>
  </si>
  <si>
    <t>DEUTUS33</t>
  </si>
  <si>
    <t>ILSILS</t>
  </si>
  <si>
    <t>Aa3.il</t>
  </si>
  <si>
    <t>קבועה</t>
  </si>
  <si>
    <t>A3.il</t>
  </si>
  <si>
    <t>ilAA+</t>
  </si>
  <si>
    <t>הדסה ס.מ.ישיר 31.12.25</t>
  </si>
  <si>
    <t>התח.ממש.אי העלאת ג.פרישה נשים</t>
  </si>
  <si>
    <t>520022963_pn_p_0126.xlsx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</si>
</sst>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169" fontId="0" fillId="0" borderId="0" xfId="0" applyNumberFormat="1"/>
    <xf numFmtId="0" fontId="0" fillId="0" borderId="0" xfId="0" quotePrefix="1" applyAlignment="1">
      <alignment horizontal="left"/>
    </xf>
    <xf numFmtId="168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1230</v>
      </c>
    </row>
    <row r="12" spans="1:4" ht="13.5" customHeight="1"/>
    <row r="13" spans="1:4" ht="13.5" customHeight="1">
      <c r="A13" s="3" t="s">
        <v>6</v>
      </c>
      <c r="D13" s="4">
        <v>520022963</v>
      </c>
    </row>
    <row r="14" spans="1:4" ht="13.5" customHeight="1"/>
    <row r="15" spans="1:4" ht="13.5" customHeight="1">
      <c r="A15" s="6" t="s">
        <v>7</v>
      </c>
      <c r="D15" s="120" t="s">
        <v>1924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79395.377210000006</v>
      </c>
      <c r="C3" s="93"/>
      <c r="D3" s="96"/>
      <c r="E3" s="97">
        <f>IFERROR(B3/$B$30,0)</f>
        <v>1.981610510526859E-2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508250.72194999992</v>
      </c>
      <c r="C4" s="93"/>
      <c r="D4" s="96"/>
      <c r="E4" s="97">
        <f t="shared" ref="E4:E30" si="0">IFERROR(B4/$B$30,0)</f>
        <v>0.12685310001551714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74775.358619999985</v>
      </c>
      <c r="C6" s="93"/>
      <c r="D6" s="96"/>
      <c r="E6" s="97">
        <f t="shared" si="0"/>
        <v>1.866300555231119E-2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65567.351639999993</v>
      </c>
      <c r="C7" s="93"/>
      <c r="D7" s="96"/>
      <c r="E7" s="97">
        <f t="shared" si="0"/>
        <v>1.6364800788536294E-2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297462.33472000004</v>
      </c>
      <c r="C8" s="93"/>
      <c r="D8" s="96"/>
      <c r="E8" s="97">
        <f t="shared" si="0"/>
        <v>7.4242923162630647E-2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21676.229449999999</v>
      </c>
      <c r="C9" s="93"/>
      <c r="D9" s="96"/>
      <c r="E9" s="97">
        <f t="shared" si="0"/>
        <v>5.4101190291091297E-3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76.170140000000004</v>
      </c>
      <c r="C10" s="93"/>
      <c r="D10" s="96"/>
      <c r="E10" s="97">
        <f t="shared" si="0"/>
        <v>1.9011125750189295E-5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805593.39494000003</v>
      </c>
      <c r="C15" s="93"/>
      <c r="D15" s="96"/>
      <c r="E15" s="97">
        <f t="shared" si="0"/>
        <v>0.20106615708893599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13405.988640000001</v>
      </c>
      <c r="C18" s="93"/>
      <c r="D18" s="96"/>
      <c r="E18" s="97">
        <f t="shared" si="0"/>
        <v>3.3459691138896315E-3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0</v>
      </c>
      <c r="C19" s="93"/>
      <c r="D19" s="96"/>
      <c r="E19" s="97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2480.2810599999998</v>
      </c>
      <c r="C20" s="93"/>
      <c r="D20" s="96"/>
      <c r="E20" s="97">
        <f t="shared" si="0"/>
        <v>6.1904750506527613E-4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-1080.3533680499997</v>
      </c>
      <c r="C23" s="93"/>
      <c r="D23" s="96"/>
      <c r="E23" s="97">
        <f t="shared" si="0"/>
        <v>-2.6964285131468948E-4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13248.60614</v>
      </c>
      <c r="C24" s="93"/>
      <c r="D24" s="96"/>
      <c r="E24" s="97">
        <f t="shared" si="0"/>
        <v>3.3066883865812769E-3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32227.554670000001</v>
      </c>
      <c r="C26" s="93"/>
      <c r="D26" s="96"/>
      <c r="E26" s="97">
        <f t="shared" si="0"/>
        <v>8.0435994269207091E-3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מוחזקות'!T:T)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2093529.58806</v>
      </c>
      <c r="C29" s="93"/>
      <c r="D29" s="96"/>
      <c r="E29" s="97">
        <f t="shared" si="0"/>
        <v>0.52251911655079863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4006608.6038719499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138.166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/>
      <c r="C32" s="93"/>
      <c r="D32" s="93">
        <f>SUM('יתרות התחייבות להשקעה'!O:O)</f>
        <v>0</v>
      </c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274</v>
      </c>
      <c r="B2" s="101">
        <v>274</v>
      </c>
      <c r="C2" s="101" t="s">
        <v>1231</v>
      </c>
      <c r="D2" s="101" t="s">
        <v>1232</v>
      </c>
      <c r="E2" s="101" t="s">
        <v>314</v>
      </c>
      <c r="F2" s="101" t="s">
        <v>943</v>
      </c>
      <c r="G2" s="101" t="s">
        <v>202</v>
      </c>
      <c r="H2" s="101" t="s">
        <v>336</v>
      </c>
      <c r="I2" s="101" t="s">
        <v>1233</v>
      </c>
      <c r="J2" s="101" t="s">
        <v>411</v>
      </c>
      <c r="K2" s="101" t="s">
        <v>1234</v>
      </c>
      <c r="L2" s="104">
        <v>352.65998999999999</v>
      </c>
      <c r="M2" s="104">
        <v>3.6360000000000001</v>
      </c>
      <c r="N2" s="103"/>
      <c r="O2" s="104">
        <v>1282.27172</v>
      </c>
      <c r="P2" s="103">
        <v>1.6150000000000001E-2</v>
      </c>
      <c r="Q2" s="103">
        <v>3.2000000000000003E-4</v>
      </c>
    </row>
    <row r="3" spans="1:26" ht="13.5" customHeight="1">
      <c r="A3" s="101">
        <v>274</v>
      </c>
      <c r="B3" s="101">
        <v>274</v>
      </c>
      <c r="C3" s="101" t="s">
        <v>1235</v>
      </c>
      <c r="D3" s="101" t="s">
        <v>1236</v>
      </c>
      <c r="E3" s="101" t="s">
        <v>314</v>
      </c>
      <c r="F3" s="101" t="s">
        <v>943</v>
      </c>
      <c r="G3" s="101" t="s">
        <v>202</v>
      </c>
      <c r="H3" s="101" t="s">
        <v>336</v>
      </c>
      <c r="I3" s="101" t="s">
        <v>1237</v>
      </c>
      <c r="J3" s="101" t="s">
        <v>413</v>
      </c>
      <c r="K3" s="101" t="s">
        <v>1238</v>
      </c>
      <c r="L3" s="104">
        <v>14.031090000000001</v>
      </c>
      <c r="M3" s="104">
        <v>0.48670000000000002</v>
      </c>
      <c r="N3" s="103"/>
      <c r="O3" s="104">
        <v>6.8289299999999997</v>
      </c>
      <c r="P3" s="103">
        <v>8.6000000000000003E-5</v>
      </c>
      <c r="Q3" s="103">
        <v>9.9999999999999995E-7</v>
      </c>
    </row>
    <row r="4" spans="1:26" ht="13.5" customHeight="1">
      <c r="A4" s="101">
        <v>274</v>
      </c>
      <c r="B4" s="101">
        <v>274</v>
      </c>
      <c r="C4" s="101" t="s">
        <v>1239</v>
      </c>
      <c r="D4" s="101" t="s">
        <v>1240</v>
      </c>
      <c r="E4" s="101" t="s">
        <v>314</v>
      </c>
      <c r="F4" s="101" t="s">
        <v>940</v>
      </c>
      <c r="G4" s="101" t="s">
        <v>202</v>
      </c>
      <c r="H4" s="101" t="s">
        <v>336</v>
      </c>
      <c r="I4" s="101" t="s">
        <v>1233</v>
      </c>
      <c r="J4" s="101" t="s">
        <v>411</v>
      </c>
      <c r="K4" s="101" t="s">
        <v>1241</v>
      </c>
      <c r="L4" s="104">
        <v>186.78384</v>
      </c>
      <c r="M4" s="104">
        <v>1</v>
      </c>
      <c r="N4" s="103"/>
      <c r="O4" s="104">
        <v>186.78384</v>
      </c>
      <c r="P4" s="103">
        <v>2.3519999999999999E-3</v>
      </c>
      <c r="Q4" s="103">
        <v>4.6E-5</v>
      </c>
    </row>
    <row r="5" spans="1:26" ht="13.5" customHeight="1">
      <c r="A5" s="101">
        <v>274</v>
      </c>
      <c r="B5" s="101">
        <v>274</v>
      </c>
      <c r="C5" s="101" t="s">
        <v>1239</v>
      </c>
      <c r="D5" s="101" t="s">
        <v>1240</v>
      </c>
      <c r="E5" s="101" t="s">
        <v>314</v>
      </c>
      <c r="F5" s="101" t="s">
        <v>945</v>
      </c>
      <c r="G5" s="101" t="s">
        <v>202</v>
      </c>
      <c r="H5" s="101" t="s">
        <v>336</v>
      </c>
      <c r="I5" s="101" t="s">
        <v>1233</v>
      </c>
      <c r="J5" s="101" t="s">
        <v>411</v>
      </c>
      <c r="K5" s="101" t="s">
        <v>1241</v>
      </c>
      <c r="L5" s="104">
        <v>11000</v>
      </c>
      <c r="M5" s="104">
        <v>1</v>
      </c>
      <c r="N5" s="103"/>
      <c r="O5" s="104">
        <v>11000</v>
      </c>
      <c r="P5" s="103">
        <v>0.138547</v>
      </c>
      <c r="Q5" s="103">
        <v>2.745E-3</v>
      </c>
    </row>
    <row r="6" spans="1:26" ht="13.5" customHeight="1">
      <c r="A6" s="101">
        <v>274</v>
      </c>
      <c r="B6" s="101">
        <v>274</v>
      </c>
      <c r="C6" s="101" t="s">
        <v>1242</v>
      </c>
      <c r="D6" s="101" t="s">
        <v>1243</v>
      </c>
      <c r="E6" s="101" t="s">
        <v>314</v>
      </c>
      <c r="F6" s="101" t="s">
        <v>943</v>
      </c>
      <c r="G6" s="101" t="s">
        <v>202</v>
      </c>
      <c r="H6" s="101" t="s">
        <v>336</v>
      </c>
      <c r="I6" s="101" t="s">
        <v>1233</v>
      </c>
      <c r="J6" s="101" t="s">
        <v>411</v>
      </c>
      <c r="K6" s="101" t="s">
        <v>1234</v>
      </c>
      <c r="L6" s="104">
        <v>0.1</v>
      </c>
      <c r="M6" s="104">
        <v>3.6360000000000001</v>
      </c>
      <c r="N6" s="103"/>
      <c r="O6" s="104">
        <v>0.36359999999999998</v>
      </c>
      <c r="P6" s="103">
        <v>3.9999999999999998E-6</v>
      </c>
      <c r="Q6" s="103">
        <v>0</v>
      </c>
    </row>
    <row r="7" spans="1:26" ht="13.5" customHeight="1">
      <c r="A7" s="101">
        <v>274</v>
      </c>
      <c r="B7" s="101">
        <v>274</v>
      </c>
      <c r="C7" s="101" t="s">
        <v>1244</v>
      </c>
      <c r="D7" s="101" t="s">
        <v>1245</v>
      </c>
      <c r="E7" s="101" t="s">
        <v>314</v>
      </c>
      <c r="F7" s="101" t="s">
        <v>943</v>
      </c>
      <c r="G7" s="101" t="s">
        <v>202</v>
      </c>
      <c r="H7" s="101" t="s">
        <v>336</v>
      </c>
      <c r="I7" s="101" t="s">
        <v>1233</v>
      </c>
      <c r="J7" s="101" t="s">
        <v>411</v>
      </c>
      <c r="K7" s="101" t="s">
        <v>1234</v>
      </c>
      <c r="L7" s="104">
        <v>271.87941999999998</v>
      </c>
      <c r="M7" s="104">
        <v>3.6360000000000001</v>
      </c>
      <c r="N7" s="103"/>
      <c r="O7" s="104">
        <v>988.55357000000004</v>
      </c>
      <c r="P7" s="103">
        <v>1.2451E-2</v>
      </c>
      <c r="Q7" s="103">
        <v>2.4600000000000002E-4</v>
      </c>
    </row>
    <row r="8" spans="1:26" ht="13.5" customHeight="1">
      <c r="A8" s="101">
        <v>274</v>
      </c>
      <c r="B8" s="101">
        <v>274</v>
      </c>
      <c r="C8" s="101" t="s">
        <v>1231</v>
      </c>
      <c r="D8" s="101" t="s">
        <v>1232</v>
      </c>
      <c r="E8" s="101" t="s">
        <v>314</v>
      </c>
      <c r="F8" s="101" t="s">
        <v>940</v>
      </c>
      <c r="G8" s="101" t="s">
        <v>202</v>
      </c>
      <c r="H8" s="101" t="s">
        <v>336</v>
      </c>
      <c r="I8" s="101" t="s">
        <v>1233</v>
      </c>
      <c r="J8" s="101" t="s">
        <v>411</v>
      </c>
      <c r="K8" s="101" t="s">
        <v>1241</v>
      </c>
      <c r="L8" s="104">
        <v>22942.151320000001</v>
      </c>
      <c r="M8" s="104">
        <v>1</v>
      </c>
      <c r="N8" s="103"/>
      <c r="O8" s="104">
        <v>22942.151320000001</v>
      </c>
      <c r="P8" s="103">
        <v>0.28895999999999999</v>
      </c>
      <c r="Q8" s="103">
        <v>5.7250000000000001E-3</v>
      </c>
    </row>
    <row r="9" spans="1:26" ht="13.5" customHeight="1">
      <c r="A9" s="101">
        <v>274</v>
      </c>
      <c r="B9" s="101">
        <v>274</v>
      </c>
      <c r="C9" s="101" t="s">
        <v>1235</v>
      </c>
      <c r="D9" s="101" t="s">
        <v>1236</v>
      </c>
      <c r="E9" s="101" t="s">
        <v>314</v>
      </c>
      <c r="F9" s="101" t="s">
        <v>943</v>
      </c>
      <c r="G9" s="101" t="s">
        <v>202</v>
      </c>
      <c r="H9" s="101" t="s">
        <v>336</v>
      </c>
      <c r="I9" s="101" t="s">
        <v>1237</v>
      </c>
      <c r="J9" s="101" t="s">
        <v>413</v>
      </c>
      <c r="K9" s="101" t="s">
        <v>1246</v>
      </c>
      <c r="L9" s="104">
        <v>1234.18571</v>
      </c>
      <c r="M9" s="104">
        <v>1.9858000000000001E-2</v>
      </c>
      <c r="N9" s="103"/>
      <c r="O9" s="104">
        <v>24.508459999999999</v>
      </c>
      <c r="P9" s="103">
        <v>3.0800000000000001E-4</v>
      </c>
      <c r="Q9" s="103">
        <v>6.0000000000000002E-6</v>
      </c>
    </row>
    <row r="10" spans="1:26" ht="13.5" customHeight="1">
      <c r="A10" s="101">
        <v>274</v>
      </c>
      <c r="B10" s="101">
        <v>274</v>
      </c>
      <c r="C10" s="101" t="s">
        <v>1235</v>
      </c>
      <c r="D10" s="101" t="s">
        <v>1236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1237</v>
      </c>
      <c r="J10" s="101" t="s">
        <v>413</v>
      </c>
      <c r="K10" s="101" t="s">
        <v>1247</v>
      </c>
      <c r="L10" s="104">
        <v>23.096419999999998</v>
      </c>
      <c r="M10" s="104">
        <v>2.2717999999999998</v>
      </c>
      <c r="N10" s="103"/>
      <c r="O10" s="104">
        <v>52.47045</v>
      </c>
      <c r="P10" s="103">
        <v>6.6E-4</v>
      </c>
      <c r="Q10" s="103">
        <v>1.2999999999999999E-5</v>
      </c>
    </row>
    <row r="11" spans="1:26" ht="13.5" customHeight="1">
      <c r="A11" s="101">
        <v>274</v>
      </c>
      <c r="B11" s="101">
        <v>274</v>
      </c>
      <c r="C11" s="101" t="s">
        <v>1244</v>
      </c>
      <c r="D11" s="101" t="s">
        <v>1245</v>
      </c>
      <c r="E11" s="101" t="s">
        <v>314</v>
      </c>
      <c r="F11" s="101" t="s">
        <v>943</v>
      </c>
      <c r="G11" s="101" t="s">
        <v>202</v>
      </c>
      <c r="H11" s="101" t="s">
        <v>336</v>
      </c>
      <c r="I11" s="101" t="s">
        <v>1233</v>
      </c>
      <c r="J11" s="101" t="s">
        <v>411</v>
      </c>
      <c r="K11" s="101" t="s">
        <v>1248</v>
      </c>
      <c r="L11" s="104">
        <v>2.9341599999999999</v>
      </c>
      <c r="M11" s="104">
        <v>4.1872999999999996</v>
      </c>
      <c r="N11" s="103"/>
      <c r="O11" s="104">
        <v>12.286210000000001</v>
      </c>
      <c r="P11" s="103">
        <v>1.54E-4</v>
      </c>
      <c r="Q11" s="103">
        <v>3.0000000000000001E-6</v>
      </c>
    </row>
    <row r="12" spans="1:26" ht="13.5" customHeight="1">
      <c r="A12" s="101">
        <v>274</v>
      </c>
      <c r="B12" s="101">
        <v>274</v>
      </c>
      <c r="C12" s="101" t="s">
        <v>1231</v>
      </c>
      <c r="D12" s="101" t="s">
        <v>1232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1233</v>
      </c>
      <c r="J12" s="101" t="s">
        <v>411</v>
      </c>
      <c r="K12" s="101" t="s">
        <v>1249</v>
      </c>
      <c r="L12" s="104">
        <v>2430.3422099999998</v>
      </c>
      <c r="M12" s="104">
        <v>3.165</v>
      </c>
      <c r="N12" s="103"/>
      <c r="O12" s="104">
        <v>7692.0330899999999</v>
      </c>
      <c r="P12" s="103">
        <v>9.6881999999999996E-2</v>
      </c>
      <c r="Q12" s="103">
        <v>1.9189999999999999E-3</v>
      </c>
    </row>
    <row r="13" spans="1:26" ht="13.5" customHeight="1">
      <c r="A13" s="101">
        <v>274</v>
      </c>
      <c r="B13" s="101">
        <v>274</v>
      </c>
      <c r="C13" s="101" t="s">
        <v>1235</v>
      </c>
      <c r="D13" s="101" t="s">
        <v>1236</v>
      </c>
      <c r="E13" s="101" t="s">
        <v>314</v>
      </c>
      <c r="F13" s="101" t="s">
        <v>943</v>
      </c>
      <c r="G13" s="101" t="s">
        <v>202</v>
      </c>
      <c r="H13" s="101" t="s">
        <v>336</v>
      </c>
      <c r="I13" s="101" t="s">
        <v>1237</v>
      </c>
      <c r="J13" s="101" t="s">
        <v>413</v>
      </c>
      <c r="K13" s="101" t="s">
        <v>1250</v>
      </c>
      <c r="L13" s="104">
        <v>26.783449999999998</v>
      </c>
      <c r="M13" s="104">
        <v>2.1793</v>
      </c>
      <c r="N13" s="103"/>
      <c r="O13" s="104">
        <v>58.369169999999997</v>
      </c>
      <c r="P13" s="103">
        <v>7.3499999999999998E-4</v>
      </c>
      <c r="Q13" s="103">
        <v>1.4E-5</v>
      </c>
    </row>
    <row r="14" spans="1:26" ht="13.5" customHeight="1">
      <c r="A14" s="101">
        <v>274</v>
      </c>
      <c r="B14" s="101">
        <v>274</v>
      </c>
      <c r="C14" s="101" t="s">
        <v>1235</v>
      </c>
      <c r="D14" s="101" t="s">
        <v>1236</v>
      </c>
      <c r="E14" s="101" t="s">
        <v>314</v>
      </c>
      <c r="F14" s="101" t="s">
        <v>943</v>
      </c>
      <c r="G14" s="101" t="s">
        <v>202</v>
      </c>
      <c r="H14" s="101" t="s">
        <v>336</v>
      </c>
      <c r="I14" s="101" t="s">
        <v>1237</v>
      </c>
      <c r="J14" s="101" t="s">
        <v>413</v>
      </c>
      <c r="K14" s="101" t="s">
        <v>1248</v>
      </c>
      <c r="L14" s="104">
        <v>10.624320000000001</v>
      </c>
      <c r="M14" s="104">
        <v>4.1872999999999996</v>
      </c>
      <c r="N14" s="103"/>
      <c r="O14" s="104">
        <v>44.487220000000001</v>
      </c>
      <c r="P14" s="103">
        <v>5.5999999999999995E-4</v>
      </c>
      <c r="Q14" s="103">
        <v>1.1E-5</v>
      </c>
    </row>
    <row r="15" spans="1:26" ht="13.5" customHeight="1">
      <c r="A15" s="101">
        <v>274</v>
      </c>
      <c r="B15" s="101">
        <v>274</v>
      </c>
      <c r="C15" s="101" t="s">
        <v>1235</v>
      </c>
      <c r="D15" s="101" t="s">
        <v>1236</v>
      </c>
      <c r="E15" s="101" t="s">
        <v>314</v>
      </c>
      <c r="F15" s="101" t="s">
        <v>943</v>
      </c>
      <c r="G15" s="101" t="s">
        <v>202</v>
      </c>
      <c r="H15" s="101" t="s">
        <v>336</v>
      </c>
      <c r="I15" s="101" t="s">
        <v>1237</v>
      </c>
      <c r="J15" s="101" t="s">
        <v>413</v>
      </c>
      <c r="K15" s="101" t="s">
        <v>1249</v>
      </c>
      <c r="L15" s="104">
        <v>734.63962000000004</v>
      </c>
      <c r="M15" s="104">
        <v>3.165</v>
      </c>
      <c r="N15" s="103"/>
      <c r="O15" s="104">
        <v>2325.1343999999999</v>
      </c>
      <c r="P15" s="103">
        <v>2.9284999999999999E-2</v>
      </c>
      <c r="Q15" s="103">
        <v>5.7899999999999998E-4</v>
      </c>
    </row>
    <row r="16" spans="1:26" ht="13.5" customHeight="1">
      <c r="A16" s="101">
        <v>274</v>
      </c>
      <c r="B16" s="101">
        <v>274</v>
      </c>
      <c r="C16" s="101" t="s">
        <v>1235</v>
      </c>
      <c r="D16" s="101" t="s">
        <v>1236</v>
      </c>
      <c r="E16" s="101" t="s">
        <v>314</v>
      </c>
      <c r="F16" s="101" t="s">
        <v>940</v>
      </c>
      <c r="G16" s="101" t="s">
        <v>202</v>
      </c>
      <c r="H16" s="101" t="s">
        <v>336</v>
      </c>
      <c r="I16" s="101" t="s">
        <v>1237</v>
      </c>
      <c r="J16" s="101" t="s">
        <v>413</v>
      </c>
      <c r="K16" s="101" t="s">
        <v>1241</v>
      </c>
      <c r="L16" s="104">
        <v>2091.98551</v>
      </c>
      <c r="M16" s="104">
        <v>1</v>
      </c>
      <c r="N16" s="103"/>
      <c r="O16" s="104">
        <v>2091.98551</v>
      </c>
      <c r="P16" s="103">
        <v>2.6348E-2</v>
      </c>
      <c r="Q16" s="103">
        <v>5.22E-4</v>
      </c>
    </row>
    <row r="17" spans="1:17" ht="13.5" customHeight="1">
      <c r="A17" s="101">
        <v>274</v>
      </c>
      <c r="B17" s="101">
        <v>274</v>
      </c>
      <c r="C17" s="101" t="s">
        <v>1235</v>
      </c>
      <c r="D17" s="101" t="s">
        <v>1236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1237</v>
      </c>
      <c r="J17" s="101" t="s">
        <v>413</v>
      </c>
      <c r="K17" s="101" t="s">
        <v>1234</v>
      </c>
      <c r="L17" s="104">
        <v>23.556509999999999</v>
      </c>
      <c r="M17" s="104">
        <v>3.6360000000000001</v>
      </c>
      <c r="N17" s="103"/>
      <c r="O17" s="104">
        <v>85.651470000000003</v>
      </c>
      <c r="P17" s="103">
        <v>1.078E-3</v>
      </c>
      <c r="Q17" s="103">
        <v>2.0999999999999999E-5</v>
      </c>
    </row>
    <row r="18" spans="1:17" ht="13.5" customHeight="1">
      <c r="A18" s="101">
        <v>274</v>
      </c>
      <c r="B18" s="101">
        <v>274</v>
      </c>
      <c r="C18" s="101" t="s">
        <v>1244</v>
      </c>
      <c r="D18" s="101" t="s">
        <v>1245</v>
      </c>
      <c r="E18" s="101" t="s">
        <v>314</v>
      </c>
      <c r="F18" s="101" t="s">
        <v>940</v>
      </c>
      <c r="G18" s="101" t="s">
        <v>202</v>
      </c>
      <c r="H18" s="101" t="s">
        <v>336</v>
      </c>
      <c r="I18" s="101" t="s">
        <v>1233</v>
      </c>
      <c r="J18" s="101" t="s">
        <v>411</v>
      </c>
      <c r="K18" s="101" t="s">
        <v>1241</v>
      </c>
      <c r="L18" s="104">
        <v>22333.322169999999</v>
      </c>
      <c r="M18" s="104">
        <v>1</v>
      </c>
      <c r="N18" s="103"/>
      <c r="O18" s="104">
        <v>22333.322169999999</v>
      </c>
      <c r="P18" s="103">
        <v>0.28129199999999999</v>
      </c>
      <c r="Q18" s="103">
        <v>5.574E-3</v>
      </c>
    </row>
    <row r="19" spans="1:17" ht="13.5" customHeight="1">
      <c r="A19" s="101">
        <v>274</v>
      </c>
      <c r="B19" s="101">
        <v>274</v>
      </c>
      <c r="C19" s="101" t="s">
        <v>1231</v>
      </c>
      <c r="D19" s="101" t="s">
        <v>1232</v>
      </c>
      <c r="E19" s="101" t="s">
        <v>314</v>
      </c>
      <c r="F19" s="101" t="s">
        <v>943</v>
      </c>
      <c r="G19" s="101" t="s">
        <v>202</v>
      </c>
      <c r="H19" s="101" t="s">
        <v>336</v>
      </c>
      <c r="I19" s="101" t="s">
        <v>1233</v>
      </c>
      <c r="J19" s="101" t="s">
        <v>411</v>
      </c>
      <c r="K19" s="101" t="s">
        <v>1238</v>
      </c>
      <c r="L19" s="104">
        <v>319.44623000000001</v>
      </c>
      <c r="M19" s="104">
        <v>0.48670000000000002</v>
      </c>
      <c r="N19" s="103"/>
      <c r="O19" s="104">
        <v>155.47448</v>
      </c>
      <c r="P19" s="103">
        <v>1.9580000000000001E-3</v>
      </c>
      <c r="Q19" s="103">
        <v>3.8000000000000002E-5</v>
      </c>
    </row>
    <row r="20" spans="1:17" ht="13.5" customHeight="1">
      <c r="A20" s="101">
        <v>274</v>
      </c>
      <c r="B20" s="101">
        <v>274</v>
      </c>
      <c r="C20" s="101" t="s">
        <v>1239</v>
      </c>
      <c r="D20" s="101" t="s">
        <v>1240</v>
      </c>
      <c r="E20" s="101" t="s">
        <v>314</v>
      </c>
      <c r="F20" s="101" t="s">
        <v>943</v>
      </c>
      <c r="G20" s="101" t="s">
        <v>202</v>
      </c>
      <c r="H20" s="101" t="s">
        <v>336</v>
      </c>
      <c r="I20" s="101" t="s">
        <v>1233</v>
      </c>
      <c r="J20" s="101" t="s">
        <v>411</v>
      </c>
      <c r="K20" s="101" t="s">
        <v>1249</v>
      </c>
      <c r="L20" s="104">
        <v>1.16926</v>
      </c>
      <c r="M20" s="104">
        <v>3.165</v>
      </c>
      <c r="N20" s="103"/>
      <c r="O20" s="104">
        <v>3.7007099999999999</v>
      </c>
      <c r="P20" s="103">
        <v>4.6E-5</v>
      </c>
      <c r="Q20" s="103">
        <v>0</v>
      </c>
    </row>
    <row r="21" spans="1:17" ht="13.5" customHeight="1">
      <c r="A21" s="101">
        <v>274</v>
      </c>
      <c r="B21" s="101">
        <v>274</v>
      </c>
      <c r="C21" s="101" t="s">
        <v>1244</v>
      </c>
      <c r="D21" s="101" t="s">
        <v>1245</v>
      </c>
      <c r="E21" s="101" t="s">
        <v>314</v>
      </c>
      <c r="F21" s="101" t="s">
        <v>943</v>
      </c>
      <c r="G21" s="101" t="s">
        <v>202</v>
      </c>
      <c r="H21" s="101" t="s">
        <v>336</v>
      </c>
      <c r="I21" s="101" t="s">
        <v>1233</v>
      </c>
      <c r="J21" s="101" t="s">
        <v>411</v>
      </c>
      <c r="K21" s="101" t="s">
        <v>1249</v>
      </c>
      <c r="L21" s="104">
        <v>263.75447000000003</v>
      </c>
      <c r="M21" s="104">
        <v>3.165</v>
      </c>
      <c r="N21" s="103"/>
      <c r="O21" s="104">
        <v>834.78290000000004</v>
      </c>
      <c r="P21" s="103">
        <v>1.0514000000000001E-2</v>
      </c>
      <c r="Q21" s="103">
        <v>2.0799999999999999E-4</v>
      </c>
    </row>
    <row r="22" spans="1:17" ht="13.5" customHeight="1">
      <c r="A22" s="101">
        <v>274</v>
      </c>
      <c r="B22" s="101">
        <v>274</v>
      </c>
      <c r="C22" s="101" t="s">
        <v>1242</v>
      </c>
      <c r="D22" s="101" t="s">
        <v>1243</v>
      </c>
      <c r="E22" s="101" t="s">
        <v>314</v>
      </c>
      <c r="F22" s="101" t="s">
        <v>940</v>
      </c>
      <c r="G22" s="101" t="s">
        <v>202</v>
      </c>
      <c r="H22" s="101" t="s">
        <v>336</v>
      </c>
      <c r="I22" s="101" t="s">
        <v>1233</v>
      </c>
      <c r="J22" s="101" t="s">
        <v>411</v>
      </c>
      <c r="K22" s="101" t="s">
        <v>1241</v>
      </c>
      <c r="L22" s="104">
        <v>145.7304</v>
      </c>
      <c r="M22" s="104">
        <v>1</v>
      </c>
      <c r="N22" s="103"/>
      <c r="O22" s="104">
        <v>145.7304</v>
      </c>
      <c r="P22" s="103">
        <v>1.835E-3</v>
      </c>
      <c r="Q22" s="103">
        <v>3.6000000000000001E-5</v>
      </c>
    </row>
    <row r="23" spans="1:17" ht="13.5" customHeight="1">
      <c r="A23" s="101">
        <v>274</v>
      </c>
      <c r="B23" s="101">
        <v>274</v>
      </c>
      <c r="C23" s="101" t="s">
        <v>1242</v>
      </c>
      <c r="D23" s="101" t="s">
        <v>1243</v>
      </c>
      <c r="E23" s="101" t="s">
        <v>314</v>
      </c>
      <c r="F23" s="101" t="s">
        <v>943</v>
      </c>
      <c r="G23" s="101" t="s">
        <v>202</v>
      </c>
      <c r="H23" s="101" t="s">
        <v>336</v>
      </c>
      <c r="I23" s="101" t="s">
        <v>1233</v>
      </c>
      <c r="J23" s="101" t="s">
        <v>411</v>
      </c>
      <c r="K23" s="101" t="s">
        <v>1249</v>
      </c>
      <c r="L23" s="104">
        <v>2.11843</v>
      </c>
      <c r="M23" s="104">
        <v>3.165</v>
      </c>
      <c r="N23" s="103"/>
      <c r="O23" s="104">
        <v>6.7048300000000003</v>
      </c>
      <c r="P23" s="103">
        <v>8.3999999999999995E-5</v>
      </c>
      <c r="Q23" s="103">
        <v>9.9999999999999995E-7</v>
      </c>
    </row>
    <row r="24" spans="1:17" ht="13.5" customHeight="1">
      <c r="A24" s="101">
        <v>274</v>
      </c>
      <c r="B24" s="101">
        <v>274</v>
      </c>
      <c r="C24" s="101" t="s">
        <v>1235</v>
      </c>
      <c r="D24" s="101" t="s">
        <v>1236</v>
      </c>
      <c r="E24" s="101" t="s">
        <v>314</v>
      </c>
      <c r="F24" s="101" t="s">
        <v>945</v>
      </c>
      <c r="G24" s="101" t="s">
        <v>202</v>
      </c>
      <c r="H24" s="101" t="s">
        <v>336</v>
      </c>
      <c r="I24" s="101" t="s">
        <v>1237</v>
      </c>
      <c r="J24" s="101" t="s">
        <v>413</v>
      </c>
      <c r="K24" s="101" t="s">
        <v>1241</v>
      </c>
      <c r="L24" s="104">
        <v>7003.7109600000003</v>
      </c>
      <c r="M24" s="104">
        <v>1</v>
      </c>
      <c r="N24" s="103"/>
      <c r="O24" s="104">
        <v>7003.7109600000003</v>
      </c>
      <c r="P24" s="103">
        <v>8.8213E-2</v>
      </c>
      <c r="Q24" s="103">
        <v>1.748E-3</v>
      </c>
    </row>
    <row r="25" spans="1:17" ht="13.5" customHeight="1">
      <c r="A25" s="101">
        <v>274</v>
      </c>
      <c r="B25" s="101">
        <v>274</v>
      </c>
      <c r="C25" s="101" t="s">
        <v>1231</v>
      </c>
      <c r="D25" s="101" t="s">
        <v>1232</v>
      </c>
      <c r="E25" s="101" t="s">
        <v>314</v>
      </c>
      <c r="F25" s="101" t="s">
        <v>943</v>
      </c>
      <c r="G25" s="101" t="s">
        <v>202</v>
      </c>
      <c r="H25" s="101" t="s">
        <v>336</v>
      </c>
      <c r="I25" s="101" t="s">
        <v>1233</v>
      </c>
      <c r="J25" s="101" t="s">
        <v>411</v>
      </c>
      <c r="K25" s="101" t="s">
        <v>1247</v>
      </c>
      <c r="L25" s="104">
        <v>0.38040000000000002</v>
      </c>
      <c r="M25" s="104">
        <v>2.2717999999999998</v>
      </c>
      <c r="N25" s="103"/>
      <c r="O25" s="104">
        <v>0.86419000000000001</v>
      </c>
      <c r="P25" s="103">
        <v>1.0000000000000001E-5</v>
      </c>
      <c r="Q25" s="103">
        <v>0</v>
      </c>
    </row>
    <row r="26" spans="1:17" ht="13.5" customHeight="1">
      <c r="A26" s="101">
        <v>274</v>
      </c>
      <c r="B26" s="101">
        <v>274</v>
      </c>
      <c r="C26" s="101" t="s">
        <v>1231</v>
      </c>
      <c r="D26" s="101" t="s">
        <v>1232</v>
      </c>
      <c r="E26" s="101" t="s">
        <v>314</v>
      </c>
      <c r="F26" s="101" t="s">
        <v>943</v>
      </c>
      <c r="G26" s="101" t="s">
        <v>202</v>
      </c>
      <c r="H26" s="101" t="s">
        <v>336</v>
      </c>
      <c r="I26" s="101" t="s">
        <v>1233</v>
      </c>
      <c r="J26" s="101" t="s">
        <v>411</v>
      </c>
      <c r="K26" s="101" t="s">
        <v>1248</v>
      </c>
      <c r="L26" s="104">
        <v>16.01492</v>
      </c>
      <c r="M26" s="104">
        <v>4.1872999999999996</v>
      </c>
      <c r="N26" s="103"/>
      <c r="O26" s="104">
        <v>67.059269999999998</v>
      </c>
      <c r="P26" s="103">
        <v>8.4400000000000002E-4</v>
      </c>
      <c r="Q26" s="103">
        <v>1.5999999999999999E-5</v>
      </c>
    </row>
    <row r="27" spans="1:17" ht="13.5" customHeight="1">
      <c r="A27" s="101">
        <v>274</v>
      </c>
      <c r="B27" s="101">
        <v>274</v>
      </c>
      <c r="C27" s="101" t="s">
        <v>1231</v>
      </c>
      <c r="D27" s="101" t="s">
        <v>1232</v>
      </c>
      <c r="E27" s="101" t="s">
        <v>314</v>
      </c>
      <c r="F27" s="101" t="s">
        <v>943</v>
      </c>
      <c r="G27" s="101" t="s">
        <v>202</v>
      </c>
      <c r="H27" s="101" t="s">
        <v>336</v>
      </c>
      <c r="I27" s="101" t="s">
        <v>1233</v>
      </c>
      <c r="J27" s="101" t="s">
        <v>411</v>
      </c>
      <c r="K27" s="101" t="s">
        <v>1246</v>
      </c>
      <c r="L27" s="104">
        <v>2525.3470000000002</v>
      </c>
      <c r="M27" s="104">
        <v>1.9858000000000001E-2</v>
      </c>
      <c r="N27" s="103"/>
      <c r="O27" s="104">
        <v>50.148339999999997</v>
      </c>
      <c r="P27" s="103">
        <v>6.3100000000000005E-4</v>
      </c>
      <c r="Q27" s="103">
        <v>1.2E-5</v>
      </c>
    </row>
    <row r="28" spans="1:17" ht="13.5" customHeight="1"/>
    <row r="29" spans="1:17" ht="13.5" customHeight="1"/>
    <row r="30" spans="1:17" ht="13.5" customHeight="1"/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1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274</v>
      </c>
      <c r="B2" s="101">
        <v>274</v>
      </c>
      <c r="C2" s="101" t="s">
        <v>1251</v>
      </c>
      <c r="D2" s="101" t="s">
        <v>1252</v>
      </c>
      <c r="E2" s="101" t="s">
        <v>1253</v>
      </c>
      <c r="F2" s="101" t="s">
        <v>953</v>
      </c>
      <c r="G2" s="101" t="s">
        <v>202</v>
      </c>
      <c r="H2" s="101" t="s">
        <v>202</v>
      </c>
      <c r="I2" s="101" t="s">
        <v>337</v>
      </c>
      <c r="J2" s="101" t="s">
        <v>1254</v>
      </c>
      <c r="K2" s="101" t="s">
        <v>411</v>
      </c>
      <c r="L2" s="101" t="s">
        <v>1241</v>
      </c>
      <c r="M2" s="104">
        <v>3.94</v>
      </c>
      <c r="N2" s="107">
        <v>47573</v>
      </c>
      <c r="O2" s="103">
        <v>0.01</v>
      </c>
      <c r="P2" s="103">
        <v>3.9100000000000003E-2</v>
      </c>
      <c r="Q2" s="104">
        <v>0</v>
      </c>
      <c r="R2" s="104">
        <v>756821</v>
      </c>
      <c r="S2" s="104">
        <v>1</v>
      </c>
      <c r="T2" s="104">
        <v>89.4</v>
      </c>
      <c r="U2" s="104">
        <v>676.59797000000003</v>
      </c>
      <c r="V2" s="104"/>
      <c r="W2" s="101"/>
      <c r="X2" s="103">
        <v>2.0000000000000002E-5</v>
      </c>
      <c r="Y2" s="103">
        <v>1.3309999999999999E-3</v>
      </c>
      <c r="Z2" s="103">
        <v>1.6799999999999999E-4</v>
      </c>
    </row>
    <row r="3" spans="1:26" ht="13.5" customHeight="1">
      <c r="A3" s="101">
        <v>274</v>
      </c>
      <c r="B3" s="101">
        <v>274</v>
      </c>
      <c r="C3" s="101" t="s">
        <v>1251</v>
      </c>
      <c r="D3" s="101" t="s">
        <v>1255</v>
      </c>
      <c r="E3" s="101" t="s">
        <v>1256</v>
      </c>
      <c r="F3" s="101" t="s">
        <v>950</v>
      </c>
      <c r="G3" s="101" t="s">
        <v>202</v>
      </c>
      <c r="H3" s="101" t="s">
        <v>202</v>
      </c>
      <c r="I3" s="101" t="s">
        <v>337</v>
      </c>
      <c r="J3" s="101" t="s">
        <v>1254</v>
      </c>
      <c r="K3" s="101" t="s">
        <v>411</v>
      </c>
      <c r="L3" s="101" t="s">
        <v>1241</v>
      </c>
      <c r="M3" s="104">
        <v>8.4600000000000009</v>
      </c>
      <c r="N3" s="107">
        <v>49825</v>
      </c>
      <c r="O3" s="103">
        <v>0.04</v>
      </c>
      <c r="P3" s="103">
        <v>2.1000000000000001E-2</v>
      </c>
      <c r="Q3" s="104">
        <v>0</v>
      </c>
      <c r="R3" s="104">
        <v>61925738</v>
      </c>
      <c r="S3" s="104">
        <v>1</v>
      </c>
      <c r="T3" s="104">
        <v>168.94</v>
      </c>
      <c r="U3" s="104">
        <v>104617.34178</v>
      </c>
      <c r="V3" s="102"/>
      <c r="W3" s="101"/>
      <c r="X3" s="103">
        <v>3.8860000000000001E-3</v>
      </c>
      <c r="Y3" s="103">
        <v>0.20583799999999999</v>
      </c>
      <c r="Z3" s="103">
        <v>2.6110999999999999E-2</v>
      </c>
    </row>
    <row r="4" spans="1:26" ht="13.5" customHeight="1">
      <c r="A4" s="101">
        <v>274</v>
      </c>
      <c r="B4" s="101">
        <v>274</v>
      </c>
      <c r="C4" s="101" t="s">
        <v>1251</v>
      </c>
      <c r="D4" s="101" t="s">
        <v>1257</v>
      </c>
      <c r="E4" s="101" t="s">
        <v>1258</v>
      </c>
      <c r="F4" s="101" t="s">
        <v>950</v>
      </c>
      <c r="G4" s="101" t="s">
        <v>202</v>
      </c>
      <c r="H4" s="101" t="s">
        <v>202</v>
      </c>
      <c r="I4" s="101" t="s">
        <v>337</v>
      </c>
      <c r="J4" s="101" t="s">
        <v>1254</v>
      </c>
      <c r="K4" s="101" t="s">
        <v>411</v>
      </c>
      <c r="L4" s="101" t="s">
        <v>1241</v>
      </c>
      <c r="M4" s="104">
        <v>7.15</v>
      </c>
      <c r="N4" s="107">
        <v>48883</v>
      </c>
      <c r="O4" s="103">
        <v>1.6E-2</v>
      </c>
      <c r="P4" s="103">
        <v>2.0400000000000001E-2</v>
      </c>
      <c r="Q4" s="104">
        <v>0</v>
      </c>
      <c r="R4" s="104">
        <v>10973000</v>
      </c>
      <c r="S4" s="104">
        <v>1</v>
      </c>
      <c r="T4" s="104">
        <v>103.34</v>
      </c>
      <c r="U4" s="104">
        <v>11339.4982</v>
      </c>
      <c r="V4" s="102"/>
      <c r="W4" s="101"/>
      <c r="X4" s="103">
        <v>3.4200000000000002E-4</v>
      </c>
      <c r="Y4" s="103">
        <v>2.231E-2</v>
      </c>
      <c r="Z4" s="103">
        <v>2.8300000000000001E-3</v>
      </c>
    </row>
    <row r="5" spans="1:26" ht="13.5" customHeight="1">
      <c r="A5" s="101">
        <v>274</v>
      </c>
      <c r="B5" s="101">
        <v>274</v>
      </c>
      <c r="C5" s="101" t="s">
        <v>1251</v>
      </c>
      <c r="D5" s="101" t="s">
        <v>1259</v>
      </c>
      <c r="E5" s="101" t="s">
        <v>1260</v>
      </c>
      <c r="F5" s="101" t="s">
        <v>953</v>
      </c>
      <c r="G5" s="101" t="s">
        <v>202</v>
      </c>
      <c r="H5" s="101" t="s">
        <v>202</v>
      </c>
      <c r="I5" s="101" t="s">
        <v>337</v>
      </c>
      <c r="J5" s="101" t="s">
        <v>1254</v>
      </c>
      <c r="K5" s="101" t="s">
        <v>411</v>
      </c>
      <c r="L5" s="101" t="s">
        <v>1241</v>
      </c>
      <c r="M5" s="104">
        <v>14.57</v>
      </c>
      <c r="N5" s="107">
        <v>53782</v>
      </c>
      <c r="O5" s="103">
        <v>3.7499999999999999E-2</v>
      </c>
      <c r="P5" s="103">
        <v>4.41E-2</v>
      </c>
      <c r="Q5" s="104">
        <v>0</v>
      </c>
      <c r="R5" s="104">
        <v>27240253</v>
      </c>
      <c r="S5" s="104">
        <v>1</v>
      </c>
      <c r="T5" s="104">
        <v>91.06</v>
      </c>
      <c r="U5" s="104">
        <v>24804.97438</v>
      </c>
      <c r="V5" s="102"/>
      <c r="W5" s="101"/>
      <c r="X5" s="103">
        <v>1.005E-3</v>
      </c>
      <c r="Y5" s="103">
        <v>4.8804E-2</v>
      </c>
      <c r="Z5" s="103">
        <v>6.1910000000000003E-3</v>
      </c>
    </row>
    <row r="6" spans="1:26" ht="13.5" customHeight="1">
      <c r="A6" s="101">
        <v>274</v>
      </c>
      <c r="B6" s="101">
        <v>274</v>
      </c>
      <c r="C6" s="101" t="s">
        <v>1251</v>
      </c>
      <c r="D6" s="101" t="s">
        <v>1261</v>
      </c>
      <c r="E6" s="101" t="s">
        <v>1262</v>
      </c>
      <c r="F6" s="101" t="s">
        <v>950</v>
      </c>
      <c r="G6" s="101" t="s">
        <v>202</v>
      </c>
      <c r="H6" s="101" t="s">
        <v>202</v>
      </c>
      <c r="I6" s="101" t="s">
        <v>337</v>
      </c>
      <c r="J6" s="101" t="s">
        <v>1254</v>
      </c>
      <c r="K6" s="101" t="s">
        <v>411</v>
      </c>
      <c r="L6" s="101" t="s">
        <v>1241</v>
      </c>
      <c r="M6" s="104">
        <v>23.62</v>
      </c>
      <c r="N6" s="107">
        <v>55487</v>
      </c>
      <c r="O6" s="103">
        <v>5.0000000000000001E-3</v>
      </c>
      <c r="P6" s="103">
        <v>2.3300000000000001E-2</v>
      </c>
      <c r="Q6" s="104">
        <v>0</v>
      </c>
      <c r="R6" s="104">
        <v>165429945</v>
      </c>
      <c r="S6" s="104">
        <v>1</v>
      </c>
      <c r="T6" s="104">
        <v>76.66</v>
      </c>
      <c r="U6" s="104">
        <v>126818.59583999999</v>
      </c>
      <c r="V6" s="102"/>
      <c r="W6" s="101"/>
      <c r="X6" s="103">
        <v>5.1440000000000001E-3</v>
      </c>
      <c r="Y6" s="103">
        <v>0.24951899999999999</v>
      </c>
      <c r="Z6" s="103">
        <v>3.1652E-2</v>
      </c>
    </row>
    <row r="7" spans="1:26" ht="13.5" customHeight="1">
      <c r="A7" s="101">
        <v>274</v>
      </c>
      <c r="B7" s="101">
        <v>274</v>
      </c>
      <c r="C7" s="101" t="s">
        <v>1251</v>
      </c>
      <c r="D7" s="101" t="s">
        <v>1263</v>
      </c>
      <c r="E7" s="101" t="s">
        <v>1264</v>
      </c>
      <c r="F7" s="101" t="s">
        <v>950</v>
      </c>
      <c r="G7" s="101" t="s">
        <v>202</v>
      </c>
      <c r="H7" s="101" t="s">
        <v>202</v>
      </c>
      <c r="I7" s="101" t="s">
        <v>337</v>
      </c>
      <c r="J7" s="101" t="s">
        <v>1254</v>
      </c>
      <c r="K7" s="101" t="s">
        <v>411</v>
      </c>
      <c r="L7" s="101" t="s">
        <v>1241</v>
      </c>
      <c r="M7" s="104">
        <v>12.7</v>
      </c>
      <c r="N7" s="107">
        <v>51744</v>
      </c>
      <c r="O7" s="103">
        <v>2.75E-2</v>
      </c>
      <c r="P7" s="103">
        <v>2.1899999999999999E-2</v>
      </c>
      <c r="Q7" s="104">
        <v>0</v>
      </c>
      <c r="R7" s="104">
        <v>38734531</v>
      </c>
      <c r="S7" s="104">
        <v>1</v>
      </c>
      <c r="T7" s="104">
        <v>137.41999999999999</v>
      </c>
      <c r="U7" s="104">
        <v>53228.9925</v>
      </c>
      <c r="V7" s="102"/>
      <c r="W7" s="101"/>
      <c r="X7" s="103">
        <v>1.915E-3</v>
      </c>
      <c r="Y7" s="103">
        <v>0.104729</v>
      </c>
      <c r="Z7" s="103">
        <v>1.3285E-2</v>
      </c>
    </row>
    <row r="8" spans="1:26" ht="13.5" customHeight="1">
      <c r="A8" s="101">
        <v>274</v>
      </c>
      <c r="B8" s="101">
        <v>274</v>
      </c>
      <c r="C8" s="101" t="s">
        <v>1251</v>
      </c>
      <c r="D8" s="101" t="s">
        <v>1265</v>
      </c>
      <c r="E8" s="101" t="s">
        <v>1266</v>
      </c>
      <c r="F8" s="101" t="s">
        <v>950</v>
      </c>
      <c r="G8" s="101" t="s">
        <v>202</v>
      </c>
      <c r="H8" s="101" t="s">
        <v>202</v>
      </c>
      <c r="I8" s="101" t="s">
        <v>337</v>
      </c>
      <c r="J8" s="101" t="s">
        <v>1254</v>
      </c>
      <c r="K8" s="101" t="s">
        <v>411</v>
      </c>
      <c r="L8" s="101" t="s">
        <v>1241</v>
      </c>
      <c r="M8" s="104">
        <v>17.14</v>
      </c>
      <c r="N8" s="107">
        <v>53113</v>
      </c>
      <c r="O8" s="103">
        <v>0.01</v>
      </c>
      <c r="P8" s="103">
        <v>2.23E-2</v>
      </c>
      <c r="Q8" s="104">
        <v>0</v>
      </c>
      <c r="R8" s="104">
        <v>55543648</v>
      </c>
      <c r="S8" s="104">
        <v>1</v>
      </c>
      <c r="T8" s="104">
        <v>97.28</v>
      </c>
      <c r="U8" s="104">
        <v>54032.860769999999</v>
      </c>
      <c r="V8" s="102"/>
      <c r="W8" s="101"/>
      <c r="X8" s="103">
        <v>2.447E-3</v>
      </c>
      <c r="Y8" s="103">
        <v>0.106311</v>
      </c>
      <c r="Z8" s="103">
        <v>1.3485E-2</v>
      </c>
    </row>
    <row r="9" spans="1:26" ht="13.5" customHeight="1">
      <c r="A9" s="101">
        <v>274</v>
      </c>
      <c r="B9" s="101">
        <v>274</v>
      </c>
      <c r="C9" s="101" t="s">
        <v>1251</v>
      </c>
      <c r="D9" s="101" t="s">
        <v>1267</v>
      </c>
      <c r="E9" s="101" t="s">
        <v>1268</v>
      </c>
      <c r="F9" s="101" t="s">
        <v>953</v>
      </c>
      <c r="G9" s="101" t="s">
        <v>202</v>
      </c>
      <c r="H9" s="101" t="s">
        <v>202</v>
      </c>
      <c r="I9" s="101" t="s">
        <v>337</v>
      </c>
      <c r="J9" s="101" t="s">
        <v>1254</v>
      </c>
      <c r="K9" s="101" t="s">
        <v>411</v>
      </c>
      <c r="L9" s="101" t="s">
        <v>1241</v>
      </c>
      <c r="M9" s="104">
        <v>17.45</v>
      </c>
      <c r="N9" s="107">
        <v>55852</v>
      </c>
      <c r="O9" s="103">
        <v>2.8000000000000001E-2</v>
      </c>
      <c r="P9" s="103">
        <v>4.5699999999999998E-2</v>
      </c>
      <c r="Q9" s="104">
        <v>0</v>
      </c>
      <c r="R9" s="104">
        <v>38702087</v>
      </c>
      <c r="S9" s="104">
        <v>1</v>
      </c>
      <c r="T9" s="104">
        <v>73.94</v>
      </c>
      <c r="U9" s="104">
        <v>28616.323130000001</v>
      </c>
      <c r="V9" s="102"/>
      <c r="W9" s="101"/>
      <c r="X9" s="103">
        <v>1.147E-3</v>
      </c>
      <c r="Y9" s="103">
        <v>5.6302999999999999E-2</v>
      </c>
      <c r="Z9" s="103">
        <v>7.1419999999999999E-3</v>
      </c>
    </row>
    <row r="10" spans="1:26" ht="13.5" customHeight="1">
      <c r="A10" s="101">
        <v>274</v>
      </c>
      <c r="B10" s="101">
        <v>274</v>
      </c>
      <c r="C10" s="101" t="s">
        <v>1251</v>
      </c>
      <c r="D10" s="101" t="s">
        <v>1269</v>
      </c>
      <c r="E10" s="101" t="s">
        <v>1270</v>
      </c>
      <c r="F10" s="101" t="s">
        <v>950</v>
      </c>
      <c r="G10" s="101" t="s">
        <v>202</v>
      </c>
      <c r="H10" s="101" t="s">
        <v>202</v>
      </c>
      <c r="I10" s="101" t="s">
        <v>337</v>
      </c>
      <c r="J10" s="101" t="s">
        <v>1254</v>
      </c>
      <c r="K10" s="101" t="s">
        <v>411</v>
      </c>
      <c r="L10" s="101" t="s">
        <v>1241</v>
      </c>
      <c r="M10" s="104">
        <v>0.33</v>
      </c>
      <c r="N10" s="107">
        <v>46234</v>
      </c>
      <c r="O10" s="103">
        <v>1E-3</v>
      </c>
      <c r="P10" s="103">
        <v>-4.3E-3</v>
      </c>
      <c r="Q10" s="104">
        <v>0</v>
      </c>
      <c r="R10" s="104">
        <v>5313038</v>
      </c>
      <c r="S10" s="104">
        <v>1</v>
      </c>
      <c r="T10" s="104">
        <v>118.24</v>
      </c>
      <c r="U10" s="104">
        <v>6282.1361299999999</v>
      </c>
      <c r="V10" s="102"/>
      <c r="W10" s="101"/>
      <c r="X10" s="103">
        <v>3.01E-4</v>
      </c>
      <c r="Y10" s="103">
        <v>1.2359999999999999E-2</v>
      </c>
      <c r="Z10" s="103">
        <v>1.567E-3</v>
      </c>
    </row>
    <row r="11" spans="1:26" ht="13.5" customHeight="1">
      <c r="A11" s="101">
        <v>274</v>
      </c>
      <c r="B11" s="101">
        <v>274</v>
      </c>
      <c r="C11" s="101" t="s">
        <v>1251</v>
      </c>
      <c r="D11" s="101" t="s">
        <v>1271</v>
      </c>
      <c r="E11" s="101" t="s">
        <v>1272</v>
      </c>
      <c r="F11" s="101" t="s">
        <v>953</v>
      </c>
      <c r="G11" s="101" t="s">
        <v>202</v>
      </c>
      <c r="H11" s="101" t="s">
        <v>202</v>
      </c>
      <c r="I11" s="101" t="s">
        <v>337</v>
      </c>
      <c r="J11" s="101" t="s">
        <v>1254</v>
      </c>
      <c r="K11" s="101" t="s">
        <v>411</v>
      </c>
      <c r="L11" s="101" t="s">
        <v>1241</v>
      </c>
      <c r="M11" s="104">
        <v>11.23</v>
      </c>
      <c r="N11" s="107">
        <v>51897</v>
      </c>
      <c r="O11" s="103">
        <v>5.5E-2</v>
      </c>
      <c r="P11" s="103">
        <v>4.2500000000000003E-2</v>
      </c>
      <c r="Q11" s="104">
        <v>0</v>
      </c>
      <c r="R11" s="104">
        <v>1713313</v>
      </c>
      <c r="S11" s="104">
        <v>1</v>
      </c>
      <c r="T11" s="104">
        <v>115.07</v>
      </c>
      <c r="U11" s="104">
        <v>1971.50927</v>
      </c>
      <c r="V11" s="102"/>
      <c r="W11" s="101"/>
      <c r="X11" s="103">
        <v>4.8999999999999998E-5</v>
      </c>
      <c r="Y11" s="103">
        <v>3.8790000000000001E-3</v>
      </c>
      <c r="Z11" s="103">
        <v>4.9200000000000003E-4</v>
      </c>
    </row>
    <row r="12" spans="1:26" ht="13.5" customHeight="1">
      <c r="A12" s="101">
        <v>274</v>
      </c>
      <c r="B12" s="101">
        <v>274</v>
      </c>
      <c r="C12" s="101" t="s">
        <v>1251</v>
      </c>
      <c r="D12" s="101" t="s">
        <v>1273</v>
      </c>
      <c r="E12" s="101" t="s">
        <v>1274</v>
      </c>
      <c r="F12" s="101" t="s">
        <v>954</v>
      </c>
      <c r="G12" s="101" t="s">
        <v>202</v>
      </c>
      <c r="H12" s="101" t="s">
        <v>202</v>
      </c>
      <c r="I12" s="101" t="s">
        <v>337</v>
      </c>
      <c r="J12" s="101" t="s">
        <v>1254</v>
      </c>
      <c r="K12" s="101" t="s">
        <v>411</v>
      </c>
      <c r="L12" s="101" t="s">
        <v>1241</v>
      </c>
      <c r="M12" s="104">
        <v>0.16</v>
      </c>
      <c r="N12" s="107">
        <v>46173</v>
      </c>
      <c r="O12" s="103">
        <v>0</v>
      </c>
      <c r="P12" s="103">
        <v>3.9699999999999999E-2</v>
      </c>
      <c r="Q12" s="104">
        <v>0</v>
      </c>
      <c r="R12" s="104">
        <v>2118357</v>
      </c>
      <c r="S12" s="104">
        <v>1</v>
      </c>
      <c r="T12" s="104">
        <v>100.24</v>
      </c>
      <c r="U12" s="104">
        <v>2123.4410600000001</v>
      </c>
      <c r="V12" s="102"/>
      <c r="W12" s="101"/>
      <c r="X12" s="103">
        <v>1.45E-4</v>
      </c>
      <c r="Y12" s="103">
        <v>4.1770000000000002E-3</v>
      </c>
      <c r="Z12" s="103">
        <v>5.2899999999999996E-4</v>
      </c>
    </row>
    <row r="13" spans="1:26" ht="13.5" customHeight="1">
      <c r="A13" s="101">
        <v>274</v>
      </c>
      <c r="B13" s="101">
        <v>274</v>
      </c>
      <c r="C13" s="101" t="s">
        <v>1251</v>
      </c>
      <c r="D13" s="101" t="s">
        <v>1275</v>
      </c>
      <c r="E13" s="101" t="s">
        <v>1276</v>
      </c>
      <c r="F13" s="101" t="s">
        <v>953</v>
      </c>
      <c r="G13" s="101" t="s">
        <v>202</v>
      </c>
      <c r="H13" s="101" t="s">
        <v>202</v>
      </c>
      <c r="I13" s="101" t="s">
        <v>337</v>
      </c>
      <c r="J13" s="101" t="s">
        <v>1254</v>
      </c>
      <c r="K13" s="101" t="s">
        <v>411</v>
      </c>
      <c r="L13" s="101" t="s">
        <v>1241</v>
      </c>
      <c r="M13" s="104">
        <v>2.4300000000000002</v>
      </c>
      <c r="N13" s="107">
        <v>47024</v>
      </c>
      <c r="O13" s="103">
        <v>2.2499999999999999E-2</v>
      </c>
      <c r="P13" s="103">
        <v>3.9199999999999999E-2</v>
      </c>
      <c r="Q13" s="104">
        <v>0</v>
      </c>
      <c r="R13" s="104">
        <v>45103</v>
      </c>
      <c r="S13" s="104">
        <v>1</v>
      </c>
      <c r="T13" s="104">
        <v>97.23</v>
      </c>
      <c r="U13" s="104">
        <v>43.853650000000002</v>
      </c>
      <c r="V13" s="102"/>
      <c r="W13" s="101"/>
      <c r="X13" s="103">
        <v>9.9999999999999995E-7</v>
      </c>
      <c r="Y13" s="103">
        <v>8.6000000000000003E-5</v>
      </c>
      <c r="Z13" s="103">
        <v>1.0000000000000001E-5</v>
      </c>
    </row>
    <row r="14" spans="1:26" ht="13.5" customHeight="1">
      <c r="A14" s="101">
        <v>274</v>
      </c>
      <c r="B14" s="101">
        <v>274</v>
      </c>
      <c r="C14" s="101" t="s">
        <v>1251</v>
      </c>
      <c r="D14" s="101" t="s">
        <v>1277</v>
      </c>
      <c r="E14" s="101" t="s">
        <v>1278</v>
      </c>
      <c r="F14" s="101" t="s">
        <v>953</v>
      </c>
      <c r="G14" s="101" t="s">
        <v>202</v>
      </c>
      <c r="H14" s="101" t="s">
        <v>202</v>
      </c>
      <c r="I14" s="101" t="s">
        <v>337</v>
      </c>
      <c r="J14" s="101" t="s">
        <v>1254</v>
      </c>
      <c r="K14" s="101" t="s">
        <v>411</v>
      </c>
      <c r="L14" s="101" t="s">
        <v>1241</v>
      </c>
      <c r="M14" s="104">
        <v>1</v>
      </c>
      <c r="N14" s="107">
        <v>46477</v>
      </c>
      <c r="O14" s="103">
        <v>0.02</v>
      </c>
      <c r="P14" s="103">
        <v>3.7600000000000001E-2</v>
      </c>
      <c r="Q14" s="104">
        <v>0</v>
      </c>
      <c r="R14" s="104">
        <v>13296396</v>
      </c>
      <c r="S14" s="104">
        <v>1</v>
      </c>
      <c r="T14" s="104">
        <v>98.31</v>
      </c>
      <c r="U14" s="104">
        <v>13071.68691</v>
      </c>
      <c r="V14" s="102"/>
      <c r="W14" s="101"/>
      <c r="X14" s="103">
        <v>4.7100000000000001E-4</v>
      </c>
      <c r="Y14" s="103">
        <v>2.5718000000000001E-2</v>
      </c>
      <c r="Z14" s="103">
        <v>3.2620000000000001E-3</v>
      </c>
    </row>
    <row r="15" spans="1:26" ht="13.5" customHeight="1">
      <c r="A15" s="101">
        <v>274</v>
      </c>
      <c r="B15" s="101">
        <v>274</v>
      </c>
      <c r="C15" s="101" t="s">
        <v>1251</v>
      </c>
      <c r="D15" s="101" t="s">
        <v>1279</v>
      </c>
      <c r="E15" s="101" t="s">
        <v>1280</v>
      </c>
      <c r="F15" s="101" t="s">
        <v>950</v>
      </c>
      <c r="G15" s="101" t="s">
        <v>202</v>
      </c>
      <c r="H15" s="101" t="s">
        <v>202</v>
      </c>
      <c r="I15" s="101" t="s">
        <v>337</v>
      </c>
      <c r="J15" s="101" t="s">
        <v>1254</v>
      </c>
      <c r="K15" s="101" t="s">
        <v>411</v>
      </c>
      <c r="L15" s="101" t="s">
        <v>1241</v>
      </c>
      <c r="M15" s="104">
        <v>5.65</v>
      </c>
      <c r="N15" s="107">
        <v>48182</v>
      </c>
      <c r="O15" s="103">
        <v>1E-3</v>
      </c>
      <c r="P15" s="103">
        <v>1.9300000000000001E-2</v>
      </c>
      <c r="Q15" s="104">
        <v>0</v>
      </c>
      <c r="R15" s="104">
        <v>57829553</v>
      </c>
      <c r="S15" s="104">
        <v>1</v>
      </c>
      <c r="T15" s="104">
        <v>106.48</v>
      </c>
      <c r="U15" s="104">
        <v>61576.908029999999</v>
      </c>
      <c r="V15" s="102"/>
      <c r="W15" s="101"/>
      <c r="X15" s="103">
        <v>1.689E-3</v>
      </c>
      <c r="Y15" s="103">
        <v>0.121154</v>
      </c>
      <c r="Z15" s="103">
        <v>1.5368E-2</v>
      </c>
    </row>
    <row r="16" spans="1:26" ht="13.5" customHeight="1">
      <c r="A16" s="101">
        <v>274</v>
      </c>
      <c r="B16" s="101">
        <v>274</v>
      </c>
      <c r="C16" s="101" t="s">
        <v>1251</v>
      </c>
      <c r="D16" s="101" t="s">
        <v>1281</v>
      </c>
      <c r="E16" s="101" t="s">
        <v>1282</v>
      </c>
      <c r="F16" s="101" t="s">
        <v>950</v>
      </c>
      <c r="G16" s="101" t="s">
        <v>202</v>
      </c>
      <c r="H16" s="101" t="s">
        <v>202</v>
      </c>
      <c r="I16" s="101" t="s">
        <v>337</v>
      </c>
      <c r="J16" s="101" t="s">
        <v>1254</v>
      </c>
      <c r="K16" s="101" t="s">
        <v>411</v>
      </c>
      <c r="L16" s="101" t="s">
        <v>1241</v>
      </c>
      <c r="M16" s="104">
        <v>22.35</v>
      </c>
      <c r="N16" s="107">
        <v>57100</v>
      </c>
      <c r="O16" s="103">
        <v>0.02</v>
      </c>
      <c r="P16" s="103">
        <v>2.3699999999999999E-2</v>
      </c>
      <c r="Q16" s="104">
        <v>0</v>
      </c>
      <c r="R16" s="104">
        <v>13039190</v>
      </c>
      <c r="S16" s="104">
        <v>1</v>
      </c>
      <c r="T16" s="104">
        <v>92.83</v>
      </c>
      <c r="U16" s="104">
        <v>12104.28008</v>
      </c>
      <c r="V16" s="102"/>
      <c r="W16" s="101"/>
      <c r="X16" s="103">
        <v>2.5200000000000001E-3</v>
      </c>
      <c r="Y16" s="103">
        <v>2.3814999999999999E-2</v>
      </c>
      <c r="Z16" s="103">
        <v>3.0209999999999998E-3</v>
      </c>
    </row>
    <row r="17" spans="1:26" ht="13.5" customHeight="1">
      <c r="A17" s="101">
        <v>274</v>
      </c>
      <c r="B17" s="101">
        <v>274</v>
      </c>
      <c r="C17" s="101" t="s">
        <v>1251</v>
      </c>
      <c r="D17" s="101" t="s">
        <v>1283</v>
      </c>
      <c r="E17" s="101" t="s">
        <v>1284</v>
      </c>
      <c r="F17" s="101" t="s">
        <v>950</v>
      </c>
      <c r="G17" s="101" t="s">
        <v>202</v>
      </c>
      <c r="H17" s="101" t="s">
        <v>202</v>
      </c>
      <c r="I17" s="101" t="s">
        <v>337</v>
      </c>
      <c r="J17" s="101" t="s">
        <v>1254</v>
      </c>
      <c r="K17" s="101" t="s">
        <v>411</v>
      </c>
      <c r="L17" s="101" t="s">
        <v>1241</v>
      </c>
      <c r="M17" s="104">
        <v>10.37</v>
      </c>
      <c r="N17" s="107">
        <v>50283</v>
      </c>
      <c r="O17" s="103">
        <v>1.8499999999999999E-2</v>
      </c>
      <c r="P17" s="103">
        <v>2.1899999999999999E-2</v>
      </c>
      <c r="Q17" s="104">
        <v>0</v>
      </c>
      <c r="R17" s="104">
        <v>1199350</v>
      </c>
      <c r="S17" s="104">
        <v>1</v>
      </c>
      <c r="T17" s="104">
        <v>96.9</v>
      </c>
      <c r="U17" s="104">
        <v>1162.1701499999999</v>
      </c>
      <c r="V17" s="102"/>
      <c r="W17" s="101"/>
      <c r="X17" s="103">
        <v>5.0699999999999996E-4</v>
      </c>
      <c r="Y17" s="103">
        <v>2.2859999999999998E-3</v>
      </c>
      <c r="Z17" s="103">
        <v>2.9E-4</v>
      </c>
    </row>
    <row r="18" spans="1:26" ht="13.5" customHeight="1">
      <c r="A18" s="101">
        <v>274</v>
      </c>
      <c r="B18" s="101">
        <v>274</v>
      </c>
      <c r="C18" s="101" t="s">
        <v>1285</v>
      </c>
      <c r="D18" s="101" t="s">
        <v>1286</v>
      </c>
      <c r="E18" s="101" t="s">
        <v>1287</v>
      </c>
      <c r="F18" s="101" t="s">
        <v>957</v>
      </c>
      <c r="G18" s="101" t="s">
        <v>203</v>
      </c>
      <c r="H18" s="101" t="s">
        <v>223</v>
      </c>
      <c r="I18" s="101" t="s">
        <v>313</v>
      </c>
      <c r="J18" s="101" t="s">
        <v>1293</v>
      </c>
      <c r="K18" s="101" t="s">
        <v>429</v>
      </c>
      <c r="L18" s="101" t="s">
        <v>1249</v>
      </c>
      <c r="M18" s="104">
        <v>0.96</v>
      </c>
      <c r="N18" s="107">
        <v>46464</v>
      </c>
      <c r="O18" s="103">
        <v>0</v>
      </c>
      <c r="P18" s="103">
        <v>3.6900000000000002E-2</v>
      </c>
      <c r="Q18" s="104">
        <v>0</v>
      </c>
      <c r="R18" s="104">
        <v>313736</v>
      </c>
      <c r="S18" s="104">
        <v>3.165</v>
      </c>
      <c r="T18" s="104">
        <v>96.569000000000003</v>
      </c>
      <c r="U18" s="104">
        <v>958.90553</v>
      </c>
      <c r="V18" s="102"/>
      <c r="W18" s="101"/>
      <c r="X18" s="103">
        <v>5.0000000000000004E-6</v>
      </c>
      <c r="Y18" s="103">
        <v>1.8860000000000001E-3</v>
      </c>
      <c r="Z18" s="103">
        <v>2.3900000000000001E-4</v>
      </c>
    </row>
    <row r="19" spans="1:26" ht="13.5" customHeight="1">
      <c r="A19" s="101">
        <v>274</v>
      </c>
      <c r="B19" s="101">
        <v>274</v>
      </c>
      <c r="C19" s="101" t="s">
        <v>1251</v>
      </c>
      <c r="D19" s="101" t="s">
        <v>1288</v>
      </c>
      <c r="E19" s="101" t="s">
        <v>1289</v>
      </c>
      <c r="F19" s="101" t="s">
        <v>958</v>
      </c>
      <c r="G19" s="101" t="s">
        <v>203</v>
      </c>
      <c r="H19" s="101" t="s">
        <v>202</v>
      </c>
      <c r="I19" s="101" t="s">
        <v>313</v>
      </c>
      <c r="J19" s="101" t="s">
        <v>1290</v>
      </c>
      <c r="K19" s="101" t="s">
        <v>429</v>
      </c>
      <c r="L19" s="101" t="s">
        <v>1249</v>
      </c>
      <c r="M19" s="104">
        <v>4.01</v>
      </c>
      <c r="N19" s="107">
        <v>47667</v>
      </c>
      <c r="O19" s="103">
        <v>2.75E-2</v>
      </c>
      <c r="P19" s="103">
        <v>5.04E-2</v>
      </c>
      <c r="Q19" s="104">
        <v>0</v>
      </c>
      <c r="R19" s="104">
        <v>359000</v>
      </c>
      <c r="S19" s="104">
        <v>3.165</v>
      </c>
      <c r="T19" s="104">
        <v>92.206000000000003</v>
      </c>
      <c r="U19" s="104">
        <v>1047.6768400000001</v>
      </c>
      <c r="V19" s="102"/>
      <c r="W19" s="101"/>
      <c r="X19" s="103">
        <v>1.7899999999999999E-4</v>
      </c>
      <c r="Y19" s="103">
        <v>2.0609999999999999E-3</v>
      </c>
      <c r="Z19" s="103">
        <v>2.61E-4</v>
      </c>
    </row>
    <row r="20" spans="1:26" ht="13.5" customHeight="1">
      <c r="A20" s="101">
        <v>274</v>
      </c>
      <c r="B20" s="101">
        <v>274</v>
      </c>
      <c r="C20" s="101" t="s">
        <v>1285</v>
      </c>
      <c r="D20" s="101" t="s">
        <v>1291</v>
      </c>
      <c r="E20" s="101" t="s">
        <v>1292</v>
      </c>
      <c r="F20" s="101" t="s">
        <v>957</v>
      </c>
      <c r="G20" s="101" t="s">
        <v>203</v>
      </c>
      <c r="H20" s="101" t="s">
        <v>223</v>
      </c>
      <c r="I20" s="101" t="s">
        <v>313</v>
      </c>
      <c r="J20" s="101" t="s">
        <v>1293</v>
      </c>
      <c r="K20" s="101" t="s">
        <v>429</v>
      </c>
      <c r="L20" s="101" t="s">
        <v>1249</v>
      </c>
      <c r="M20" s="104">
        <v>0.57999999999999996</v>
      </c>
      <c r="N20" s="107">
        <v>46324</v>
      </c>
      <c r="O20" s="103">
        <v>0</v>
      </c>
      <c r="P20" s="103">
        <v>3.6900000000000002E-2</v>
      </c>
      <c r="Q20" s="104">
        <v>0</v>
      </c>
      <c r="R20" s="104">
        <v>1053000</v>
      </c>
      <c r="S20" s="104">
        <v>3.165</v>
      </c>
      <c r="T20" s="104">
        <v>97.918099999999995</v>
      </c>
      <c r="U20" s="104">
        <v>3263.3607200000001</v>
      </c>
      <c r="V20" s="102"/>
      <c r="W20" s="101"/>
      <c r="X20" s="103">
        <v>1.9000000000000001E-5</v>
      </c>
      <c r="Y20" s="103">
        <v>6.4200000000000004E-3</v>
      </c>
      <c r="Z20" s="103">
        <v>8.1400000000000005E-4</v>
      </c>
    </row>
    <row r="21" spans="1:26" ht="13.5" customHeight="1">
      <c r="A21" s="101">
        <v>274</v>
      </c>
      <c r="B21" s="101">
        <v>274</v>
      </c>
      <c r="C21" s="101" t="s">
        <v>1285</v>
      </c>
      <c r="D21" s="101" t="s">
        <v>1294</v>
      </c>
      <c r="E21" s="101" t="s">
        <v>1295</v>
      </c>
      <c r="F21" s="101" t="s">
        <v>957</v>
      </c>
      <c r="G21" s="101" t="s">
        <v>203</v>
      </c>
      <c r="H21" s="101" t="s">
        <v>223</v>
      </c>
      <c r="I21" s="101" t="s">
        <v>313</v>
      </c>
      <c r="J21" s="101" t="s">
        <v>1293</v>
      </c>
      <c r="K21" s="101" t="s">
        <v>429</v>
      </c>
      <c r="L21" s="101" t="s">
        <v>1249</v>
      </c>
      <c r="M21" s="104">
        <v>0.5</v>
      </c>
      <c r="N21" s="107">
        <v>46296</v>
      </c>
      <c r="O21" s="103">
        <v>0</v>
      </c>
      <c r="P21" s="103">
        <v>3.7100000000000001E-2</v>
      </c>
      <c r="Q21" s="104">
        <v>0</v>
      </c>
      <c r="R21" s="104">
        <v>164000</v>
      </c>
      <c r="S21" s="104">
        <v>3.165</v>
      </c>
      <c r="T21" s="104">
        <v>98.179199999999994</v>
      </c>
      <c r="U21" s="104">
        <v>509.60901000000001</v>
      </c>
      <c r="V21" s="102"/>
      <c r="W21" s="101"/>
      <c r="X21" s="103">
        <v>3.0000000000000001E-6</v>
      </c>
      <c r="Y21" s="103">
        <v>1.0020000000000001E-3</v>
      </c>
      <c r="Z21" s="103">
        <v>1.27E-4</v>
      </c>
    </row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25" bestFit="1" customWidth="1"/>
    <col min="5" max="5" width="9.125" bestFit="1" customWidth="1"/>
    <col min="6" max="6" width="27.75" bestFit="1" customWidth="1"/>
    <col min="7" max="7" width="14.3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274</v>
      </c>
      <c r="B2" s="101">
        <v>274</v>
      </c>
      <c r="C2" s="101" t="s">
        <v>1296</v>
      </c>
      <c r="D2" s="101">
        <v>520032046</v>
      </c>
      <c r="E2" s="101" t="s">
        <v>308</v>
      </c>
      <c r="F2" s="101" t="s">
        <v>1297</v>
      </c>
      <c r="G2" s="101" t="s">
        <v>1298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446</v>
      </c>
      <c r="O2" s="101" t="s">
        <v>336</v>
      </c>
      <c r="P2" s="101" t="s">
        <v>1233</v>
      </c>
      <c r="Q2" s="101" t="s">
        <v>411</v>
      </c>
      <c r="R2" s="101" t="s">
        <v>404</v>
      </c>
      <c r="S2" s="101" t="s">
        <v>1241</v>
      </c>
      <c r="T2" s="104">
        <v>2.46</v>
      </c>
      <c r="U2" s="107">
        <v>47950</v>
      </c>
      <c r="V2" s="103">
        <v>1E-3</v>
      </c>
      <c r="W2" s="103">
        <v>2.3300000000000001E-2</v>
      </c>
      <c r="X2" s="101" t="s">
        <v>410</v>
      </c>
      <c r="Y2" s="101"/>
      <c r="Z2" s="104">
        <v>991382</v>
      </c>
      <c r="AA2" s="104">
        <v>1</v>
      </c>
      <c r="AB2" s="104">
        <v>107.76</v>
      </c>
      <c r="AC2" s="104">
        <v>0</v>
      </c>
      <c r="AD2" s="104">
        <v>1068.31324</v>
      </c>
      <c r="AE2" s="104"/>
      <c r="AF2" s="104"/>
      <c r="AG2" s="101"/>
      <c r="AH2" s="103">
        <v>4.44E-4</v>
      </c>
      <c r="AI2" s="103">
        <v>1.4286E-2</v>
      </c>
      <c r="AJ2" s="103">
        <v>2.6600000000000001E-4</v>
      </c>
    </row>
    <row r="3" spans="1:36" ht="13.5" customHeight="1">
      <c r="A3" s="101">
        <v>274</v>
      </c>
      <c r="B3" s="101">
        <v>274</v>
      </c>
      <c r="C3" s="101" t="s">
        <v>1231</v>
      </c>
      <c r="D3" s="101">
        <v>520000118</v>
      </c>
      <c r="E3" s="101" t="s">
        <v>308</v>
      </c>
      <c r="F3" s="101" t="s">
        <v>1299</v>
      </c>
      <c r="G3" s="101" t="s">
        <v>1300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446</v>
      </c>
      <c r="O3" s="101" t="s">
        <v>336</v>
      </c>
      <c r="P3" s="101" t="s">
        <v>1301</v>
      </c>
      <c r="Q3" s="101" t="s">
        <v>411</v>
      </c>
      <c r="R3" s="101" t="s">
        <v>404</v>
      </c>
      <c r="S3" s="101" t="s">
        <v>1241</v>
      </c>
      <c r="T3" s="104">
        <v>2.58</v>
      </c>
      <c r="U3" s="107">
        <v>47086</v>
      </c>
      <c r="V3" s="103">
        <v>3.09E-2</v>
      </c>
      <c r="W3" s="103">
        <v>2.6700000000000002E-2</v>
      </c>
      <c r="X3" s="101" t="s">
        <v>410</v>
      </c>
      <c r="Y3" s="101"/>
      <c r="Z3" s="104">
        <v>600000</v>
      </c>
      <c r="AA3" s="104">
        <v>1</v>
      </c>
      <c r="AB3" s="104">
        <v>111.7</v>
      </c>
      <c r="AC3" s="104">
        <v>0</v>
      </c>
      <c r="AD3" s="104">
        <v>670.2</v>
      </c>
      <c r="AE3" s="102"/>
      <c r="AF3" s="102"/>
      <c r="AG3" s="101"/>
      <c r="AH3" s="103">
        <v>6.3100000000000005E-4</v>
      </c>
      <c r="AI3" s="103">
        <v>8.9619999999999995E-3</v>
      </c>
      <c r="AJ3" s="103">
        <v>1.6699999999999999E-4</v>
      </c>
    </row>
    <row r="4" spans="1:36" ht="13.5" customHeight="1">
      <c r="A4" s="101">
        <v>274</v>
      </c>
      <c r="B4" s="101">
        <v>274</v>
      </c>
      <c r="C4" s="101" t="s">
        <v>1296</v>
      </c>
      <c r="D4" s="101">
        <v>520032046</v>
      </c>
      <c r="E4" s="101" t="s">
        <v>308</v>
      </c>
      <c r="F4" s="101" t="s">
        <v>1302</v>
      </c>
      <c r="G4" s="101" t="s">
        <v>1303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446</v>
      </c>
      <c r="O4" s="101" t="s">
        <v>336</v>
      </c>
      <c r="P4" s="101" t="s">
        <v>1233</v>
      </c>
      <c r="Q4" s="101" t="s">
        <v>411</v>
      </c>
      <c r="R4" s="101" t="s">
        <v>404</v>
      </c>
      <c r="S4" s="101" t="s">
        <v>1241</v>
      </c>
      <c r="T4" s="104">
        <v>3.48</v>
      </c>
      <c r="U4" s="107">
        <v>48742</v>
      </c>
      <c r="V4" s="103">
        <v>2.06E-2</v>
      </c>
      <c r="W4" s="103">
        <v>2.4199999999999999E-2</v>
      </c>
      <c r="X4" s="101" t="s">
        <v>410</v>
      </c>
      <c r="Y4" s="101"/>
      <c r="Z4" s="104">
        <v>1965000</v>
      </c>
      <c r="AA4" s="104">
        <v>1</v>
      </c>
      <c r="AB4" s="104">
        <v>107.31</v>
      </c>
      <c r="AC4" s="104">
        <v>0</v>
      </c>
      <c r="AD4" s="104">
        <v>2108.6415000000002</v>
      </c>
      <c r="AE4" s="102"/>
      <c r="AF4" s="102"/>
      <c r="AG4" s="101"/>
      <c r="AH4" s="103">
        <v>1.2279999999999999E-3</v>
      </c>
      <c r="AI4" s="103">
        <v>2.8198999999999998E-2</v>
      </c>
      <c r="AJ4" s="103">
        <v>5.2599999999999999E-4</v>
      </c>
    </row>
    <row r="5" spans="1:36" ht="13.5" customHeight="1">
      <c r="A5" s="101">
        <v>274</v>
      </c>
      <c r="B5" s="101">
        <v>274</v>
      </c>
      <c r="C5" s="101" t="s">
        <v>1304</v>
      </c>
      <c r="D5" s="101">
        <v>520000472</v>
      </c>
      <c r="E5" s="101" t="s">
        <v>308</v>
      </c>
      <c r="F5" s="101" t="s">
        <v>1305</v>
      </c>
      <c r="G5" s="101" t="s">
        <v>1306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438</v>
      </c>
      <c r="O5" s="101" t="s">
        <v>336</v>
      </c>
      <c r="P5" s="101" t="s">
        <v>1237</v>
      </c>
      <c r="Q5" s="101" t="s">
        <v>413</v>
      </c>
      <c r="R5" s="101" t="s">
        <v>404</v>
      </c>
      <c r="S5" s="101" t="s">
        <v>1241</v>
      </c>
      <c r="T5" s="104">
        <v>9.4499999999999993</v>
      </c>
      <c r="U5" s="107">
        <v>49825</v>
      </c>
      <c r="V5" s="103">
        <v>1.2500000000000001E-2</v>
      </c>
      <c r="W5" s="103">
        <v>2.81E-2</v>
      </c>
      <c r="X5" s="101" t="s">
        <v>410</v>
      </c>
      <c r="Y5" s="101"/>
      <c r="Z5" s="104">
        <v>586000</v>
      </c>
      <c r="AA5" s="104">
        <v>1</v>
      </c>
      <c r="AB5" s="104">
        <v>101.47</v>
      </c>
      <c r="AC5" s="104">
        <v>0</v>
      </c>
      <c r="AD5" s="104">
        <v>594.61419999999998</v>
      </c>
      <c r="AE5" s="102"/>
      <c r="AF5" s="102"/>
      <c r="AG5" s="101"/>
      <c r="AH5" s="103">
        <v>1.36E-4</v>
      </c>
      <c r="AI5" s="103">
        <v>7.9520000000000007E-3</v>
      </c>
      <c r="AJ5" s="103">
        <v>1.4799999999999999E-4</v>
      </c>
    </row>
    <row r="6" spans="1:36" ht="13.5" customHeight="1">
      <c r="A6" s="101">
        <v>274</v>
      </c>
      <c r="B6" s="101">
        <v>274</v>
      </c>
      <c r="C6" s="101" t="s">
        <v>1307</v>
      </c>
      <c r="D6" s="101">
        <v>520010869</v>
      </c>
      <c r="E6" s="101" t="s">
        <v>308</v>
      </c>
      <c r="F6" s="101" t="s">
        <v>1308</v>
      </c>
      <c r="G6" s="101" t="s">
        <v>1309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475</v>
      </c>
      <c r="O6" s="101" t="s">
        <v>336</v>
      </c>
      <c r="P6" s="101" t="s">
        <v>1233</v>
      </c>
      <c r="Q6" s="101" t="s">
        <v>411</v>
      </c>
      <c r="R6" s="101" t="s">
        <v>404</v>
      </c>
      <c r="S6" s="101" t="s">
        <v>1241</v>
      </c>
      <c r="T6" s="104">
        <v>1.25</v>
      </c>
      <c r="U6" s="107">
        <v>46752</v>
      </c>
      <c r="V6" s="103">
        <v>1E-3</v>
      </c>
      <c r="W6" s="103">
        <v>1.7399999999999999E-2</v>
      </c>
      <c r="X6" s="101" t="s">
        <v>410</v>
      </c>
      <c r="Y6" s="101"/>
      <c r="Z6" s="104">
        <v>644800</v>
      </c>
      <c r="AA6" s="104">
        <v>1</v>
      </c>
      <c r="AB6" s="104">
        <v>113.8</v>
      </c>
      <c r="AC6" s="104">
        <v>0</v>
      </c>
      <c r="AD6" s="104">
        <v>733.78240000000005</v>
      </c>
      <c r="AE6" s="102"/>
      <c r="AF6" s="102"/>
      <c r="AG6" s="101"/>
      <c r="AH6" s="103">
        <v>1.505E-3</v>
      </c>
      <c r="AI6" s="103">
        <v>9.8130000000000005E-3</v>
      </c>
      <c r="AJ6" s="103">
        <v>1.83E-4</v>
      </c>
    </row>
    <row r="7" spans="1:36" ht="13.5" customHeight="1">
      <c r="A7" s="101">
        <v>274</v>
      </c>
      <c r="B7" s="101">
        <v>274</v>
      </c>
      <c r="C7" s="101" t="s">
        <v>1304</v>
      </c>
      <c r="D7" s="101">
        <v>520000472</v>
      </c>
      <c r="E7" s="101" t="s">
        <v>308</v>
      </c>
      <c r="F7" s="101" t="s">
        <v>1310</v>
      </c>
      <c r="G7" s="101" t="s">
        <v>1311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438</v>
      </c>
      <c r="O7" s="101" t="s">
        <v>336</v>
      </c>
      <c r="P7" s="101" t="s">
        <v>1237</v>
      </c>
      <c r="Q7" s="101" t="s">
        <v>413</v>
      </c>
      <c r="R7" s="101" t="s">
        <v>404</v>
      </c>
      <c r="S7" s="101" t="s">
        <v>1241</v>
      </c>
      <c r="T7" s="104">
        <v>2.13</v>
      </c>
      <c r="U7" s="107">
        <v>47220</v>
      </c>
      <c r="V7" s="103">
        <v>3.85E-2</v>
      </c>
      <c r="W7" s="103">
        <v>2.23E-2</v>
      </c>
      <c r="X7" s="101" t="s">
        <v>410</v>
      </c>
      <c r="Y7" s="101"/>
      <c r="Z7" s="104">
        <v>10970512.300000001</v>
      </c>
      <c r="AA7" s="104">
        <v>1</v>
      </c>
      <c r="AB7" s="104">
        <v>122.64</v>
      </c>
      <c r="AC7" s="104">
        <v>397.98448999999999</v>
      </c>
      <c r="AD7" s="104">
        <v>13852.22077</v>
      </c>
      <c r="AE7" s="102"/>
      <c r="AF7" s="102"/>
      <c r="AG7" s="101"/>
      <c r="AH7" s="103">
        <v>4.3889999999999997E-3</v>
      </c>
      <c r="AI7" s="103">
        <v>0.18525</v>
      </c>
      <c r="AJ7" s="103">
        <v>3.457E-3</v>
      </c>
    </row>
    <row r="8" spans="1:36" ht="13.5" customHeight="1">
      <c r="A8" s="101">
        <v>274</v>
      </c>
      <c r="B8" s="101">
        <v>274</v>
      </c>
      <c r="C8" s="101" t="s">
        <v>1231</v>
      </c>
      <c r="D8" s="101">
        <v>520000118</v>
      </c>
      <c r="E8" s="101" t="s">
        <v>308</v>
      </c>
      <c r="F8" s="101" t="s">
        <v>1312</v>
      </c>
      <c r="G8" s="101" t="s">
        <v>1313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446</v>
      </c>
      <c r="O8" s="101" t="s">
        <v>336</v>
      </c>
      <c r="P8" s="101" t="s">
        <v>1237</v>
      </c>
      <c r="Q8" s="101" t="s">
        <v>413</v>
      </c>
      <c r="R8" s="101" t="s">
        <v>404</v>
      </c>
      <c r="S8" s="101" t="s">
        <v>1241</v>
      </c>
      <c r="T8" s="104">
        <v>3.12</v>
      </c>
      <c r="U8" s="107">
        <v>48191</v>
      </c>
      <c r="V8" s="103">
        <v>1E-3</v>
      </c>
      <c r="W8" s="103">
        <v>2.3599999999999999E-2</v>
      </c>
      <c r="X8" s="101" t="s">
        <v>410</v>
      </c>
      <c r="Y8" s="101"/>
      <c r="Z8" s="104">
        <v>333742.03000000003</v>
      </c>
      <c r="AA8" s="104">
        <v>1</v>
      </c>
      <c r="AB8" s="104">
        <v>107.18</v>
      </c>
      <c r="AC8" s="104">
        <v>0</v>
      </c>
      <c r="AD8" s="104">
        <v>357.70470999999998</v>
      </c>
      <c r="AE8" s="102"/>
      <c r="AF8" s="102"/>
      <c r="AG8" s="101"/>
      <c r="AH8" s="103">
        <v>3.9500000000000001E-4</v>
      </c>
      <c r="AI8" s="103">
        <v>4.7829999999999999E-3</v>
      </c>
      <c r="AJ8" s="103">
        <v>8.8999999999999995E-5</v>
      </c>
    </row>
    <row r="9" spans="1:36" ht="13.5" customHeight="1">
      <c r="A9" s="101">
        <v>274</v>
      </c>
      <c r="B9" s="101">
        <v>274</v>
      </c>
      <c r="C9" s="101" t="s">
        <v>1296</v>
      </c>
      <c r="D9" s="101">
        <v>520032046</v>
      </c>
      <c r="E9" s="101" t="s">
        <v>308</v>
      </c>
      <c r="F9" s="101" t="s">
        <v>1314</v>
      </c>
      <c r="G9" s="101" t="s">
        <v>1315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446</v>
      </c>
      <c r="O9" s="101" t="s">
        <v>336</v>
      </c>
      <c r="P9" s="101" t="s">
        <v>1233</v>
      </c>
      <c r="Q9" s="101" t="s">
        <v>411</v>
      </c>
      <c r="R9" s="101" t="s">
        <v>404</v>
      </c>
      <c r="S9" s="101" t="s">
        <v>1241</v>
      </c>
      <c r="T9" s="104">
        <v>3.08</v>
      </c>
      <c r="U9" s="107">
        <v>48190</v>
      </c>
      <c r="V9" s="103">
        <v>1.6400000000000001E-2</v>
      </c>
      <c r="W9" s="103">
        <v>2.3400000000000001E-2</v>
      </c>
      <c r="X9" s="101" t="s">
        <v>410</v>
      </c>
      <c r="Y9" s="101"/>
      <c r="Z9" s="104">
        <v>344017.2</v>
      </c>
      <c r="AA9" s="104">
        <v>1</v>
      </c>
      <c r="AB9" s="104">
        <v>107.65</v>
      </c>
      <c r="AC9" s="104">
        <v>0</v>
      </c>
      <c r="AD9" s="104">
        <v>370.33452</v>
      </c>
      <c r="AE9" s="102"/>
      <c r="AF9" s="102"/>
      <c r="AG9" s="101"/>
      <c r="AH9" s="103">
        <v>4.26E-4</v>
      </c>
      <c r="AI9" s="103">
        <v>4.9519999999999998E-3</v>
      </c>
      <c r="AJ9" s="103">
        <v>9.2E-5</v>
      </c>
    </row>
    <row r="10" spans="1:36" ht="13.5" customHeight="1">
      <c r="A10" s="101">
        <v>274</v>
      </c>
      <c r="B10" s="101">
        <v>274</v>
      </c>
      <c r="C10" s="101" t="s">
        <v>1316</v>
      </c>
      <c r="D10" s="101">
        <v>513834200</v>
      </c>
      <c r="E10" s="101" t="s">
        <v>308</v>
      </c>
      <c r="F10" s="101" t="s">
        <v>1317</v>
      </c>
      <c r="G10" s="101" t="s">
        <v>1318</v>
      </c>
      <c r="H10" s="101" t="s">
        <v>319</v>
      </c>
      <c r="I10" s="101" t="s">
        <v>961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443</v>
      </c>
      <c r="O10" s="101" t="s">
        <v>336</v>
      </c>
      <c r="P10" s="101" t="s">
        <v>1319</v>
      </c>
      <c r="Q10" s="101" t="s">
        <v>413</v>
      </c>
      <c r="R10" s="101" t="s">
        <v>404</v>
      </c>
      <c r="S10" s="101" t="s">
        <v>1241</v>
      </c>
      <c r="T10" s="104">
        <v>3.49</v>
      </c>
      <c r="U10" s="107">
        <v>47483</v>
      </c>
      <c r="V10" s="103">
        <v>3.95E-2</v>
      </c>
      <c r="W10" s="103">
        <v>4.3900000000000002E-2</v>
      </c>
      <c r="X10" s="101" t="s">
        <v>410</v>
      </c>
      <c r="Y10" s="101"/>
      <c r="Z10" s="104">
        <v>26066</v>
      </c>
      <c r="AA10" s="104">
        <v>1</v>
      </c>
      <c r="AB10" s="104">
        <v>99.62</v>
      </c>
      <c r="AC10" s="104">
        <v>0</v>
      </c>
      <c r="AD10" s="104">
        <v>25.966950000000001</v>
      </c>
      <c r="AE10" s="102"/>
      <c r="AF10" s="102"/>
      <c r="AG10" s="101"/>
      <c r="AH10" s="103">
        <v>1.08E-4</v>
      </c>
      <c r="AI10" s="103">
        <v>3.4699999999999998E-4</v>
      </c>
      <c r="AJ10" s="103">
        <v>6.0000000000000002E-6</v>
      </c>
    </row>
    <row r="11" spans="1:36" ht="13.5" customHeight="1">
      <c r="A11" s="101">
        <v>274</v>
      </c>
      <c r="B11" s="101">
        <v>274</v>
      </c>
      <c r="C11" s="101" t="s">
        <v>1296</v>
      </c>
      <c r="D11" s="101">
        <v>520032046</v>
      </c>
      <c r="E11" s="101" t="s">
        <v>308</v>
      </c>
      <c r="F11" s="101" t="s">
        <v>1320</v>
      </c>
      <c r="G11" s="101" t="s">
        <v>1321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446</v>
      </c>
      <c r="O11" s="101" t="s">
        <v>336</v>
      </c>
      <c r="P11" s="101" t="s">
        <v>1233</v>
      </c>
      <c r="Q11" s="101" t="s">
        <v>411</v>
      </c>
      <c r="R11" s="101" t="s">
        <v>404</v>
      </c>
      <c r="S11" s="101" t="s">
        <v>1241</v>
      </c>
      <c r="T11" s="104">
        <v>1.48</v>
      </c>
      <c r="U11" s="107">
        <v>46658</v>
      </c>
      <c r="V11" s="103">
        <v>1.2200000000000001E-2</v>
      </c>
      <c r="W11" s="103">
        <v>1.7500000000000002E-2</v>
      </c>
      <c r="X11" s="101" t="s">
        <v>410</v>
      </c>
      <c r="Y11" s="101"/>
      <c r="Z11" s="104">
        <v>381114</v>
      </c>
      <c r="AA11" s="104">
        <v>1</v>
      </c>
      <c r="AB11" s="104">
        <v>118.82</v>
      </c>
      <c r="AC11" s="104">
        <v>0</v>
      </c>
      <c r="AD11" s="104">
        <v>452.83965000000001</v>
      </c>
      <c r="AE11" s="102"/>
      <c r="AF11" s="102"/>
      <c r="AG11" s="101"/>
      <c r="AH11" s="103">
        <v>1.26E-4</v>
      </c>
      <c r="AI11" s="103">
        <v>6.0559999999999998E-3</v>
      </c>
      <c r="AJ11" s="103">
        <v>1.13E-4</v>
      </c>
    </row>
    <row r="12" spans="1:36" ht="13.5" customHeight="1">
      <c r="A12" s="101">
        <v>274</v>
      </c>
      <c r="B12" s="101">
        <v>274</v>
      </c>
      <c r="C12" s="101" t="s">
        <v>1322</v>
      </c>
      <c r="D12" s="101">
        <v>510960719</v>
      </c>
      <c r="E12" s="101" t="s">
        <v>308</v>
      </c>
      <c r="F12" s="101" t="s">
        <v>1323</v>
      </c>
      <c r="G12" s="101" t="s">
        <v>1324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462</v>
      </c>
      <c r="O12" s="101" t="s">
        <v>336</v>
      </c>
      <c r="P12" s="101" t="s">
        <v>1325</v>
      </c>
      <c r="Q12" s="101" t="s">
        <v>413</v>
      </c>
      <c r="R12" s="101" t="s">
        <v>404</v>
      </c>
      <c r="S12" s="101" t="s">
        <v>1241</v>
      </c>
      <c r="T12" s="104">
        <v>1.23</v>
      </c>
      <c r="U12" s="107">
        <v>46934</v>
      </c>
      <c r="V12" s="103">
        <v>1.77E-2</v>
      </c>
      <c r="W12" s="103">
        <v>2.07E-2</v>
      </c>
      <c r="X12" s="101" t="s">
        <v>410</v>
      </c>
      <c r="Y12" s="101"/>
      <c r="Z12" s="104">
        <v>1145250</v>
      </c>
      <c r="AA12" s="104">
        <v>1</v>
      </c>
      <c r="AB12" s="104">
        <v>117.94</v>
      </c>
      <c r="AC12" s="104">
        <v>0</v>
      </c>
      <c r="AD12" s="104">
        <v>1350.70785</v>
      </c>
      <c r="AE12" s="102"/>
      <c r="AF12" s="102"/>
      <c r="AG12" s="101"/>
      <c r="AH12" s="103">
        <v>4.6999999999999999E-4</v>
      </c>
      <c r="AI12" s="103">
        <v>1.8062999999999999E-2</v>
      </c>
      <c r="AJ12" s="103">
        <v>3.3700000000000001E-4</v>
      </c>
    </row>
    <row r="13" spans="1:36" ht="13.5" customHeight="1">
      <c r="A13" s="101">
        <v>274</v>
      </c>
      <c r="B13" s="101">
        <v>274</v>
      </c>
      <c r="C13" s="101" t="s">
        <v>1231</v>
      </c>
      <c r="D13" s="101">
        <v>520000118</v>
      </c>
      <c r="E13" s="101" t="s">
        <v>308</v>
      </c>
      <c r="F13" s="101" t="s">
        <v>1326</v>
      </c>
      <c r="G13" s="101" t="s">
        <v>1327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446</v>
      </c>
      <c r="O13" s="101" t="s">
        <v>336</v>
      </c>
      <c r="P13" s="101" t="s">
        <v>1237</v>
      </c>
      <c r="Q13" s="101" t="s">
        <v>413</v>
      </c>
      <c r="R13" s="101" t="s">
        <v>404</v>
      </c>
      <c r="S13" s="101" t="s">
        <v>1241</v>
      </c>
      <c r="T13" s="104">
        <v>3.52</v>
      </c>
      <c r="U13" s="107">
        <v>48547</v>
      </c>
      <c r="V13" s="103">
        <v>1.3899999999999999E-2</v>
      </c>
      <c r="W13" s="103">
        <v>2.4299999999999999E-2</v>
      </c>
      <c r="X13" s="101" t="s">
        <v>410</v>
      </c>
      <c r="Y13" s="101"/>
      <c r="Z13" s="104">
        <v>100100</v>
      </c>
      <c r="AA13" s="104">
        <v>1</v>
      </c>
      <c r="AB13" s="104">
        <v>106.02</v>
      </c>
      <c r="AC13" s="104">
        <v>0</v>
      </c>
      <c r="AD13" s="104">
        <v>106.12602</v>
      </c>
      <c r="AE13" s="102"/>
      <c r="AF13" s="102"/>
      <c r="AG13" s="101"/>
      <c r="AH13" s="103">
        <v>3.1999999999999999E-5</v>
      </c>
      <c r="AI13" s="103">
        <v>1.4189999999999999E-3</v>
      </c>
      <c r="AJ13" s="103">
        <v>2.5999999999999998E-5</v>
      </c>
    </row>
    <row r="14" spans="1:36" ht="13.5" customHeight="1">
      <c r="A14" s="101">
        <v>274</v>
      </c>
      <c r="B14" s="101">
        <v>274</v>
      </c>
      <c r="C14" s="101" t="s">
        <v>1328</v>
      </c>
      <c r="D14" s="101">
        <v>520018078</v>
      </c>
      <c r="E14" s="101" t="s">
        <v>308</v>
      </c>
      <c r="F14" s="101" t="s">
        <v>1329</v>
      </c>
      <c r="G14" s="101" t="s">
        <v>1330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446</v>
      </c>
      <c r="O14" s="101" t="s">
        <v>336</v>
      </c>
      <c r="P14" s="101" t="s">
        <v>1237</v>
      </c>
      <c r="Q14" s="101" t="s">
        <v>413</v>
      </c>
      <c r="R14" s="101" t="s">
        <v>404</v>
      </c>
      <c r="S14" s="101" t="s">
        <v>1241</v>
      </c>
      <c r="T14" s="104">
        <v>3.69</v>
      </c>
      <c r="U14" s="107">
        <v>48913</v>
      </c>
      <c r="V14" s="103">
        <v>2.0199999999999999E-2</v>
      </c>
      <c r="W14" s="103">
        <v>2.4500000000000001E-2</v>
      </c>
      <c r="X14" s="101" t="s">
        <v>410</v>
      </c>
      <c r="Y14" s="101"/>
      <c r="Z14" s="104">
        <v>4200000</v>
      </c>
      <c r="AA14" s="104">
        <v>1</v>
      </c>
      <c r="AB14" s="104">
        <v>104.86</v>
      </c>
      <c r="AC14" s="104">
        <v>0</v>
      </c>
      <c r="AD14" s="104">
        <v>4404.12</v>
      </c>
      <c r="AE14" s="102"/>
      <c r="AF14" s="102"/>
      <c r="AG14" s="101"/>
      <c r="AH14" s="103">
        <v>7.8200000000000003E-4</v>
      </c>
      <c r="AI14" s="103">
        <v>5.8897999999999999E-2</v>
      </c>
      <c r="AJ14" s="103">
        <v>1.0989999999999999E-3</v>
      </c>
    </row>
    <row r="15" spans="1:36" ht="13.5" customHeight="1">
      <c r="A15" s="101">
        <v>274</v>
      </c>
      <c r="B15" s="101">
        <v>274</v>
      </c>
      <c r="C15" s="101" t="s">
        <v>1304</v>
      </c>
      <c r="D15" s="101">
        <v>520000472</v>
      </c>
      <c r="E15" s="101" t="s">
        <v>308</v>
      </c>
      <c r="F15" s="101" t="s">
        <v>1331</v>
      </c>
      <c r="G15" s="101" t="s">
        <v>1332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438</v>
      </c>
      <c r="O15" s="101" t="s">
        <v>336</v>
      </c>
      <c r="P15" s="101" t="s">
        <v>1237</v>
      </c>
      <c r="Q15" s="101" t="s">
        <v>413</v>
      </c>
      <c r="R15" s="101" t="s">
        <v>404</v>
      </c>
      <c r="S15" s="101" t="s">
        <v>1241</v>
      </c>
      <c r="T15" s="104">
        <v>9.4600000000000009</v>
      </c>
      <c r="U15" s="107">
        <v>50203</v>
      </c>
      <c r="V15" s="103">
        <v>3.2000000000000001E-2</v>
      </c>
      <c r="W15" s="103">
        <v>2.81E-2</v>
      </c>
      <c r="X15" s="101" t="s">
        <v>410</v>
      </c>
      <c r="Y15" s="101"/>
      <c r="Z15" s="104">
        <v>1287000</v>
      </c>
      <c r="AA15" s="104">
        <v>1</v>
      </c>
      <c r="AB15" s="104">
        <v>112.06</v>
      </c>
      <c r="AC15" s="104">
        <v>0</v>
      </c>
      <c r="AD15" s="104">
        <v>1442.2121999999999</v>
      </c>
      <c r="AE15" s="102"/>
      <c r="AF15" s="102"/>
      <c r="AG15" s="101"/>
      <c r="AH15" s="103">
        <v>2.61E-4</v>
      </c>
      <c r="AI15" s="103">
        <v>1.9286999999999999E-2</v>
      </c>
      <c r="AJ15" s="103">
        <v>3.59E-4</v>
      </c>
    </row>
    <row r="16" spans="1:36" ht="13.5" customHeight="1">
      <c r="A16" s="101">
        <v>274</v>
      </c>
      <c r="B16" s="101">
        <v>274</v>
      </c>
      <c r="C16" s="101" t="s">
        <v>1296</v>
      </c>
      <c r="D16" s="101">
        <v>520032046</v>
      </c>
      <c r="E16" s="101" t="s">
        <v>308</v>
      </c>
      <c r="F16" s="101" t="s">
        <v>1333</v>
      </c>
      <c r="G16" s="101" t="s">
        <v>1334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446</v>
      </c>
      <c r="O16" s="101" t="s">
        <v>336</v>
      </c>
      <c r="P16" s="101" t="s">
        <v>1233</v>
      </c>
      <c r="Q16" s="101" t="s">
        <v>411</v>
      </c>
      <c r="R16" s="101" t="s">
        <v>404</v>
      </c>
      <c r="S16" s="101" t="s">
        <v>1241</v>
      </c>
      <c r="T16" s="104">
        <v>2.56</v>
      </c>
      <c r="U16" s="107">
        <v>47048</v>
      </c>
      <c r="V16" s="103">
        <v>1E-3</v>
      </c>
      <c r="W16" s="103">
        <v>2.3099999999999999E-2</v>
      </c>
      <c r="X16" s="101" t="s">
        <v>410</v>
      </c>
      <c r="Y16" s="101"/>
      <c r="Z16" s="104">
        <v>5671929</v>
      </c>
      <c r="AA16" s="104">
        <v>1</v>
      </c>
      <c r="AB16" s="104">
        <v>108.87</v>
      </c>
      <c r="AC16" s="104">
        <v>0</v>
      </c>
      <c r="AD16" s="104">
        <v>6175.0290999999997</v>
      </c>
      <c r="AE16" s="102"/>
      <c r="AF16" s="102"/>
      <c r="AG16" s="101"/>
      <c r="AH16" s="103">
        <v>1.6789999999999999E-3</v>
      </c>
      <c r="AI16" s="103">
        <v>8.2581000000000002E-2</v>
      </c>
      <c r="AJ16" s="103">
        <v>1.5410000000000001E-3</v>
      </c>
    </row>
    <row r="17" spans="1:36" ht="13.5" customHeight="1">
      <c r="A17" s="101">
        <v>274</v>
      </c>
      <c r="B17" s="101">
        <v>274</v>
      </c>
      <c r="C17" s="101" t="s">
        <v>1296</v>
      </c>
      <c r="D17" s="101">
        <v>520032046</v>
      </c>
      <c r="E17" s="101" t="s">
        <v>308</v>
      </c>
      <c r="F17" s="101" t="s">
        <v>1335</v>
      </c>
      <c r="G17" s="101" t="s">
        <v>1336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446</v>
      </c>
      <c r="O17" s="101" t="s">
        <v>336</v>
      </c>
      <c r="P17" s="101" t="s">
        <v>1233</v>
      </c>
      <c r="Q17" s="101" t="s">
        <v>411</v>
      </c>
      <c r="R17" s="101" t="s">
        <v>404</v>
      </c>
      <c r="S17" s="101" t="s">
        <v>1241</v>
      </c>
      <c r="T17" s="104">
        <v>0.23</v>
      </c>
      <c r="U17" s="107">
        <v>46196</v>
      </c>
      <c r="V17" s="103">
        <v>3.8E-3</v>
      </c>
      <c r="W17" s="103">
        <v>-1.24E-2</v>
      </c>
      <c r="X17" s="101" t="s">
        <v>410</v>
      </c>
      <c r="Y17" s="101"/>
      <c r="Z17" s="104">
        <v>750000</v>
      </c>
      <c r="AA17" s="104">
        <v>1</v>
      </c>
      <c r="AB17" s="104">
        <v>116.87</v>
      </c>
      <c r="AC17" s="104">
        <v>0</v>
      </c>
      <c r="AD17" s="104">
        <v>876.52499999999998</v>
      </c>
      <c r="AE17" s="102"/>
      <c r="AF17" s="102"/>
      <c r="AG17" s="101"/>
      <c r="AH17" s="103">
        <v>2.5000000000000001E-4</v>
      </c>
      <c r="AI17" s="103">
        <v>1.1722E-2</v>
      </c>
      <c r="AJ17" s="103">
        <v>2.1800000000000001E-4</v>
      </c>
    </row>
    <row r="18" spans="1:36" ht="13.5" customHeight="1">
      <c r="A18" s="101">
        <v>274</v>
      </c>
      <c r="B18" s="101">
        <v>274</v>
      </c>
      <c r="C18" s="101" t="s">
        <v>1296</v>
      </c>
      <c r="D18" s="101">
        <v>520032046</v>
      </c>
      <c r="E18" s="101" t="s">
        <v>308</v>
      </c>
      <c r="F18" s="101" t="s">
        <v>1337</v>
      </c>
      <c r="G18" s="101" t="s">
        <v>1338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446</v>
      </c>
      <c r="O18" s="101" t="s">
        <v>336</v>
      </c>
      <c r="P18" s="101" t="s">
        <v>1233</v>
      </c>
      <c r="Q18" s="101" t="s">
        <v>411</v>
      </c>
      <c r="R18" s="101" t="s">
        <v>404</v>
      </c>
      <c r="S18" s="101" t="s">
        <v>1241</v>
      </c>
      <c r="T18" s="104">
        <v>4.01</v>
      </c>
      <c r="U18" s="107">
        <v>48938</v>
      </c>
      <c r="V18" s="103">
        <v>1.9900000000000001E-2</v>
      </c>
      <c r="W18" s="103">
        <v>2.4799999999999999E-2</v>
      </c>
      <c r="X18" s="101" t="s">
        <v>410</v>
      </c>
      <c r="Y18" s="101"/>
      <c r="Z18" s="104">
        <v>3360000</v>
      </c>
      <c r="AA18" s="104">
        <v>1</v>
      </c>
      <c r="AB18" s="104">
        <v>104.27</v>
      </c>
      <c r="AC18" s="104">
        <v>0</v>
      </c>
      <c r="AD18" s="104">
        <v>3503.4720000000002</v>
      </c>
      <c r="AE18" s="102"/>
      <c r="AF18" s="102"/>
      <c r="AG18" s="101"/>
      <c r="AH18" s="103">
        <v>1.555E-3</v>
      </c>
      <c r="AI18" s="103">
        <v>4.6852999999999999E-2</v>
      </c>
      <c r="AJ18" s="103">
        <v>8.7399999999999999E-4</v>
      </c>
    </row>
    <row r="19" spans="1:36" ht="13.5" customHeight="1">
      <c r="A19" s="101">
        <v>274</v>
      </c>
      <c r="B19" s="101">
        <v>274</v>
      </c>
      <c r="C19" s="101" t="s">
        <v>1328</v>
      </c>
      <c r="D19" s="101">
        <v>520018078</v>
      </c>
      <c r="E19" s="101" t="s">
        <v>308</v>
      </c>
      <c r="F19" s="101" t="s">
        <v>1339</v>
      </c>
      <c r="G19" s="101" t="s">
        <v>1340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446</v>
      </c>
      <c r="O19" s="101" t="s">
        <v>336</v>
      </c>
      <c r="P19" s="101" t="s">
        <v>1237</v>
      </c>
      <c r="Q19" s="101" t="s">
        <v>413</v>
      </c>
      <c r="R19" s="101" t="s">
        <v>404</v>
      </c>
      <c r="S19" s="101" t="s">
        <v>1241</v>
      </c>
      <c r="T19" s="104">
        <v>1.65</v>
      </c>
      <c r="U19" s="107">
        <v>46716</v>
      </c>
      <c r="V19" s="103">
        <v>1E-3</v>
      </c>
      <c r="W19" s="103">
        <v>1.8499999999999999E-2</v>
      </c>
      <c r="X19" s="101" t="s">
        <v>410</v>
      </c>
      <c r="Y19" s="101"/>
      <c r="Z19" s="104">
        <v>49096</v>
      </c>
      <c r="AA19" s="104">
        <v>1</v>
      </c>
      <c r="AB19" s="104">
        <v>111.75</v>
      </c>
      <c r="AC19" s="104">
        <v>0</v>
      </c>
      <c r="AD19" s="104">
        <v>54.864780000000003</v>
      </c>
      <c r="AE19" s="102"/>
      <c r="AF19" s="102"/>
      <c r="AG19" s="101"/>
      <c r="AH19" s="103">
        <v>1.5E-5</v>
      </c>
      <c r="AI19" s="103">
        <v>7.3300000000000004E-4</v>
      </c>
      <c r="AJ19" s="103">
        <v>1.2999999999999999E-5</v>
      </c>
    </row>
    <row r="20" spans="1:36" ht="13.5" customHeight="1">
      <c r="A20" s="101">
        <v>274</v>
      </c>
      <c r="B20" s="101">
        <v>274</v>
      </c>
      <c r="C20" s="101" t="s">
        <v>1304</v>
      </c>
      <c r="D20" s="101">
        <v>520000472</v>
      </c>
      <c r="E20" s="101" t="s">
        <v>308</v>
      </c>
      <c r="F20" s="101" t="s">
        <v>1341</v>
      </c>
      <c r="G20" s="101" t="s">
        <v>1342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438</v>
      </c>
      <c r="O20" s="101" t="s">
        <v>336</v>
      </c>
      <c r="P20" s="101" t="s">
        <v>1237</v>
      </c>
      <c r="Q20" s="101" t="s">
        <v>413</v>
      </c>
      <c r="R20" s="101" t="s">
        <v>404</v>
      </c>
      <c r="S20" s="101" t="s">
        <v>1241</v>
      </c>
      <c r="T20" s="104">
        <v>6.49</v>
      </c>
      <c r="U20" s="107">
        <v>48742</v>
      </c>
      <c r="V20" s="103">
        <v>0.03</v>
      </c>
      <c r="W20" s="103">
        <v>2.5899999999999999E-2</v>
      </c>
      <c r="X20" s="101" t="s">
        <v>410</v>
      </c>
      <c r="Y20" s="101"/>
      <c r="Z20" s="104">
        <v>1976000</v>
      </c>
      <c r="AA20" s="104">
        <v>1</v>
      </c>
      <c r="AB20" s="104">
        <v>110.85</v>
      </c>
      <c r="AC20" s="104">
        <v>0</v>
      </c>
      <c r="AD20" s="104">
        <v>2190.3960000000002</v>
      </c>
      <c r="AE20" s="102"/>
      <c r="AF20" s="102"/>
      <c r="AG20" s="101"/>
      <c r="AH20" s="103">
        <v>4.84E-4</v>
      </c>
      <c r="AI20" s="103">
        <v>2.9293E-2</v>
      </c>
      <c r="AJ20" s="103">
        <v>5.4600000000000004E-4</v>
      </c>
    </row>
    <row r="21" spans="1:36" ht="13.5" customHeight="1">
      <c r="A21" s="101">
        <v>274</v>
      </c>
      <c r="B21" s="101">
        <v>274</v>
      </c>
      <c r="C21" s="101" t="s">
        <v>1328</v>
      </c>
      <c r="D21" s="101">
        <v>520018078</v>
      </c>
      <c r="E21" s="101" t="s">
        <v>308</v>
      </c>
      <c r="F21" s="101" t="s">
        <v>1343</v>
      </c>
      <c r="G21" s="101" t="s">
        <v>1344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446</v>
      </c>
      <c r="O21" s="101" t="s">
        <v>336</v>
      </c>
      <c r="P21" s="101" t="s">
        <v>1237</v>
      </c>
      <c r="Q21" s="101" t="s">
        <v>413</v>
      </c>
      <c r="R21" s="101" t="s">
        <v>404</v>
      </c>
      <c r="S21" s="101" t="s">
        <v>1241</v>
      </c>
      <c r="T21" s="104">
        <v>3.65</v>
      </c>
      <c r="U21" s="107">
        <v>47447</v>
      </c>
      <c r="V21" s="103">
        <v>1E-3</v>
      </c>
      <c r="W21" s="103">
        <v>2.41E-2</v>
      </c>
      <c r="X21" s="101" t="s">
        <v>410</v>
      </c>
      <c r="Y21" s="101"/>
      <c r="Z21" s="104">
        <v>495042</v>
      </c>
      <c r="AA21" s="104">
        <v>1</v>
      </c>
      <c r="AB21" s="104">
        <v>105.8</v>
      </c>
      <c r="AC21" s="104">
        <v>0</v>
      </c>
      <c r="AD21" s="104">
        <v>523.75444000000005</v>
      </c>
      <c r="AE21" s="102"/>
      <c r="AF21" s="102"/>
      <c r="AG21" s="101"/>
      <c r="AH21" s="103">
        <v>1.15E-4</v>
      </c>
      <c r="AI21" s="103">
        <v>7.0039999999999998E-3</v>
      </c>
      <c r="AJ21" s="103">
        <v>1.2999999999999999E-4</v>
      </c>
    </row>
    <row r="22" spans="1:36" ht="13.5" customHeight="1">
      <c r="A22" s="101">
        <v>274</v>
      </c>
      <c r="B22" s="101">
        <v>274</v>
      </c>
      <c r="C22" s="101" t="s">
        <v>1345</v>
      </c>
      <c r="D22" s="101">
        <v>520029935</v>
      </c>
      <c r="E22" s="101" t="s">
        <v>308</v>
      </c>
      <c r="F22" s="101" t="s">
        <v>1346</v>
      </c>
      <c r="G22" s="101" t="s">
        <v>1347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1233</v>
      </c>
      <c r="Q22" s="101" t="s">
        <v>411</v>
      </c>
      <c r="R22" s="101" t="s">
        <v>404</v>
      </c>
      <c r="S22" s="101" t="s">
        <v>1241</v>
      </c>
      <c r="T22" s="104">
        <v>3.29</v>
      </c>
      <c r="U22" s="107">
        <v>48441</v>
      </c>
      <c r="V22" s="103">
        <v>2E-3</v>
      </c>
      <c r="W22" s="103">
        <v>2.4199999999999999E-2</v>
      </c>
      <c r="X22" s="101" t="s">
        <v>410</v>
      </c>
      <c r="Y22" s="101"/>
      <c r="Z22" s="104">
        <v>3895803.74</v>
      </c>
      <c r="AA22" s="104">
        <v>1</v>
      </c>
      <c r="AB22" s="104">
        <v>106.92</v>
      </c>
      <c r="AC22" s="104">
        <v>0</v>
      </c>
      <c r="AD22" s="104">
        <v>4165.39336</v>
      </c>
      <c r="AE22" s="102"/>
      <c r="AF22" s="102"/>
      <c r="AG22" s="101"/>
      <c r="AH22" s="103">
        <v>1.3179999999999999E-3</v>
      </c>
      <c r="AI22" s="103">
        <v>5.5704999999999998E-2</v>
      </c>
      <c r="AJ22" s="103">
        <v>1.039E-3</v>
      </c>
    </row>
    <row r="23" spans="1:36" ht="13.5" customHeight="1">
      <c r="A23" s="101">
        <v>274</v>
      </c>
      <c r="B23" s="101">
        <v>274</v>
      </c>
      <c r="C23" s="101" t="s">
        <v>1231</v>
      </c>
      <c r="D23" s="101">
        <v>520000118</v>
      </c>
      <c r="E23" s="101" t="s">
        <v>308</v>
      </c>
      <c r="F23" s="101" t="s">
        <v>1348</v>
      </c>
      <c r="G23" s="101" t="s">
        <v>1349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446</v>
      </c>
      <c r="O23" s="101" t="s">
        <v>336</v>
      </c>
      <c r="P23" s="101" t="s">
        <v>1237</v>
      </c>
      <c r="Q23" s="101" t="s">
        <v>413</v>
      </c>
      <c r="R23" s="101" t="s">
        <v>404</v>
      </c>
      <c r="S23" s="101" t="s">
        <v>1241</v>
      </c>
      <c r="T23" s="104">
        <v>1.06</v>
      </c>
      <c r="U23" s="107">
        <v>46872</v>
      </c>
      <c r="V23" s="103">
        <v>6.0000000000000001E-3</v>
      </c>
      <c r="W23" s="103">
        <v>1.6799999999999999E-2</v>
      </c>
      <c r="X23" s="101" t="s">
        <v>410</v>
      </c>
      <c r="Y23" s="101"/>
      <c r="Z23" s="104">
        <v>386700</v>
      </c>
      <c r="AA23" s="104">
        <v>1</v>
      </c>
      <c r="AB23" s="104">
        <v>118.2</v>
      </c>
      <c r="AC23" s="104">
        <v>0</v>
      </c>
      <c r="AD23" s="104">
        <v>457.07940000000002</v>
      </c>
      <c r="AE23" s="102"/>
      <c r="AF23" s="102"/>
      <c r="AG23" s="101"/>
      <c r="AH23" s="103">
        <v>5.7899999999999998E-4</v>
      </c>
      <c r="AI23" s="103">
        <v>6.1120000000000002E-3</v>
      </c>
      <c r="AJ23" s="103">
        <v>1.1400000000000001E-4</v>
      </c>
    </row>
    <row r="24" spans="1:36" ht="13.5" customHeight="1">
      <c r="A24" s="101">
        <v>274</v>
      </c>
      <c r="B24" s="101">
        <v>274</v>
      </c>
      <c r="C24" s="101" t="s">
        <v>1350</v>
      </c>
      <c r="D24" s="101">
        <v>513893123</v>
      </c>
      <c r="E24" s="101" t="s">
        <v>308</v>
      </c>
      <c r="F24" s="101" t="s">
        <v>1351</v>
      </c>
      <c r="G24" s="101" t="s">
        <v>1352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441</v>
      </c>
      <c r="O24" s="101" t="s">
        <v>336</v>
      </c>
      <c r="P24" s="101" t="s">
        <v>1353</v>
      </c>
      <c r="Q24" s="101" t="s">
        <v>413</v>
      </c>
      <c r="R24" s="101" t="s">
        <v>404</v>
      </c>
      <c r="S24" s="101" t="s">
        <v>1241</v>
      </c>
      <c r="T24" s="104">
        <v>0.74</v>
      </c>
      <c r="U24" s="107">
        <v>46477</v>
      </c>
      <c r="V24" s="103">
        <v>3.5400000000000001E-2</v>
      </c>
      <c r="W24" s="103">
        <v>2.3E-2</v>
      </c>
      <c r="X24" s="101" t="s">
        <v>410</v>
      </c>
      <c r="Y24" s="101"/>
      <c r="Z24" s="104">
        <v>150965.5</v>
      </c>
      <c r="AA24" s="104">
        <v>1</v>
      </c>
      <c r="AB24" s="104">
        <v>110.42</v>
      </c>
      <c r="AC24" s="104">
        <v>0</v>
      </c>
      <c r="AD24" s="104">
        <v>166.69611</v>
      </c>
      <c r="AE24" s="102"/>
      <c r="AF24" s="102"/>
      <c r="AG24" s="101"/>
      <c r="AH24" s="103">
        <v>2.7E-4</v>
      </c>
      <c r="AI24" s="103">
        <v>2.2290000000000001E-3</v>
      </c>
      <c r="AJ24" s="103">
        <v>4.1E-5</v>
      </c>
    </row>
    <row r="25" spans="1:36" ht="13.5" customHeight="1">
      <c r="A25" s="101">
        <v>274</v>
      </c>
      <c r="B25" s="101">
        <v>274</v>
      </c>
      <c r="C25" s="101" t="s">
        <v>1296</v>
      </c>
      <c r="D25" s="101">
        <v>520032046</v>
      </c>
      <c r="E25" s="101" t="s">
        <v>308</v>
      </c>
      <c r="F25" s="101" t="s">
        <v>1354</v>
      </c>
      <c r="G25" s="101" t="s">
        <v>1355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446</v>
      </c>
      <c r="O25" s="101" t="s">
        <v>336</v>
      </c>
      <c r="P25" s="101" t="s">
        <v>1233</v>
      </c>
      <c r="Q25" s="101" t="s">
        <v>411</v>
      </c>
      <c r="R25" s="101" t="s">
        <v>404</v>
      </c>
      <c r="S25" s="101" t="s">
        <v>1241</v>
      </c>
      <c r="T25" s="104">
        <v>4.2300000000000004</v>
      </c>
      <c r="U25" s="107">
        <v>47665</v>
      </c>
      <c r="V25" s="103">
        <v>2E-3</v>
      </c>
      <c r="W25" s="103">
        <v>2.4899999999999999E-2</v>
      </c>
      <c r="X25" s="101" t="s">
        <v>410</v>
      </c>
      <c r="Y25" s="101"/>
      <c r="Z25" s="104">
        <v>2913500</v>
      </c>
      <c r="AA25" s="104">
        <v>1</v>
      </c>
      <c r="AB25" s="104">
        <v>107.35</v>
      </c>
      <c r="AC25" s="104">
        <v>0</v>
      </c>
      <c r="AD25" s="104">
        <v>3127.6422499999999</v>
      </c>
      <c r="AE25" s="102"/>
      <c r="AF25" s="102"/>
      <c r="AG25" s="101"/>
      <c r="AH25" s="103">
        <v>8.4199999999999998E-4</v>
      </c>
      <c r="AI25" s="103">
        <v>4.1827000000000003E-2</v>
      </c>
      <c r="AJ25" s="103">
        <v>7.7999999999999999E-4</v>
      </c>
    </row>
    <row r="26" spans="1:36" ht="13.5" customHeight="1">
      <c r="A26" s="101">
        <v>274</v>
      </c>
      <c r="B26" s="101">
        <v>274</v>
      </c>
      <c r="C26" s="101" t="s">
        <v>1231</v>
      </c>
      <c r="D26" s="101">
        <v>520000118</v>
      </c>
      <c r="E26" s="101" t="s">
        <v>308</v>
      </c>
      <c r="F26" s="101" t="s">
        <v>1356</v>
      </c>
      <c r="G26" s="101" t="s">
        <v>1357</v>
      </c>
      <c r="H26" s="101" t="s">
        <v>319</v>
      </c>
      <c r="I26" s="101" t="s">
        <v>751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446</v>
      </c>
      <c r="O26" s="101" t="s">
        <v>336</v>
      </c>
      <c r="P26" s="101" t="s">
        <v>1301</v>
      </c>
      <c r="Q26" s="101" t="s">
        <v>411</v>
      </c>
      <c r="R26" s="101" t="s">
        <v>404</v>
      </c>
      <c r="S26" s="101" t="s">
        <v>1241</v>
      </c>
      <c r="T26" s="104">
        <v>0.38</v>
      </c>
      <c r="U26" s="107">
        <v>46251</v>
      </c>
      <c r="V26" s="103">
        <v>2.9700000000000001E-2</v>
      </c>
      <c r="W26" s="103">
        <v>5.4000000000000003E-3</v>
      </c>
      <c r="X26" s="101" t="s">
        <v>410</v>
      </c>
      <c r="Y26" s="101"/>
      <c r="Z26" s="104">
        <v>300000</v>
      </c>
      <c r="AA26" s="104">
        <v>1</v>
      </c>
      <c r="AB26" s="104">
        <v>121.09</v>
      </c>
      <c r="AC26" s="104">
        <v>0</v>
      </c>
      <c r="AD26" s="104">
        <v>363.27</v>
      </c>
      <c r="AE26" s="102"/>
      <c r="AF26" s="102"/>
      <c r="AG26" s="101"/>
      <c r="AH26" s="103">
        <v>4.28E-4</v>
      </c>
      <c r="AI26" s="103">
        <v>4.8580000000000003E-3</v>
      </c>
      <c r="AJ26" s="103">
        <v>9.0000000000000006E-5</v>
      </c>
    </row>
    <row r="27" spans="1:36" ht="13.5" customHeight="1">
      <c r="A27" s="101">
        <v>274</v>
      </c>
      <c r="B27" s="101">
        <v>274</v>
      </c>
      <c r="C27" s="101" t="s">
        <v>1328</v>
      </c>
      <c r="D27" s="101">
        <v>520018078</v>
      </c>
      <c r="E27" s="101" t="s">
        <v>308</v>
      </c>
      <c r="F27" s="101" t="s">
        <v>1358</v>
      </c>
      <c r="G27" s="101" t="s">
        <v>1359</v>
      </c>
      <c r="H27" s="101" t="s">
        <v>319</v>
      </c>
      <c r="I27" s="101" t="s">
        <v>751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446</v>
      </c>
      <c r="O27" s="101" t="s">
        <v>336</v>
      </c>
      <c r="P27" s="101" t="s">
        <v>1237</v>
      </c>
      <c r="Q27" s="101" t="s">
        <v>413</v>
      </c>
      <c r="R27" s="101" t="s">
        <v>404</v>
      </c>
      <c r="S27" s="101" t="s">
        <v>1241</v>
      </c>
      <c r="T27" s="104">
        <v>0.25</v>
      </c>
      <c r="U27" s="107">
        <v>46203</v>
      </c>
      <c r="V27" s="103">
        <v>8.3000000000000001E-3</v>
      </c>
      <c r="W27" s="103">
        <v>-8.3000000000000001E-3</v>
      </c>
      <c r="X27" s="101" t="s">
        <v>410</v>
      </c>
      <c r="Y27" s="101"/>
      <c r="Z27" s="104">
        <v>377569</v>
      </c>
      <c r="AA27" s="104">
        <v>1</v>
      </c>
      <c r="AB27" s="104">
        <v>119.06</v>
      </c>
      <c r="AC27" s="104">
        <v>0</v>
      </c>
      <c r="AD27" s="104">
        <v>449.53365000000002</v>
      </c>
      <c r="AE27" s="102"/>
      <c r="AF27" s="102"/>
      <c r="AG27" s="101"/>
      <c r="AH27" s="103">
        <v>2.4800000000000001E-4</v>
      </c>
      <c r="AI27" s="103">
        <v>6.0109999999999999E-3</v>
      </c>
      <c r="AJ27" s="103">
        <v>1.12E-4</v>
      </c>
    </row>
    <row r="28" spans="1:36" ht="13.5" customHeight="1">
      <c r="A28" s="101">
        <v>274</v>
      </c>
      <c r="B28" s="101">
        <v>274</v>
      </c>
      <c r="C28" s="101" t="s">
        <v>1360</v>
      </c>
      <c r="D28" s="101">
        <v>513436394</v>
      </c>
      <c r="E28" s="101" t="s">
        <v>308</v>
      </c>
      <c r="F28" s="101" t="s">
        <v>1361</v>
      </c>
      <c r="G28" s="101" t="s">
        <v>1362</v>
      </c>
      <c r="H28" s="101" t="s">
        <v>319</v>
      </c>
      <c r="I28" s="101" t="s">
        <v>751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475</v>
      </c>
      <c r="O28" s="101" t="s">
        <v>336</v>
      </c>
      <c r="P28" s="101" t="s">
        <v>1233</v>
      </c>
      <c r="Q28" s="101" t="s">
        <v>411</v>
      </c>
      <c r="R28" s="101" t="s">
        <v>404</v>
      </c>
      <c r="S28" s="101" t="s">
        <v>1241</v>
      </c>
      <c r="T28" s="104">
        <v>4.49</v>
      </c>
      <c r="U28" s="107">
        <v>48760</v>
      </c>
      <c r="V28" s="103">
        <v>2.9499999999999998E-2</v>
      </c>
      <c r="W28" s="103">
        <v>2.4799999999999999E-2</v>
      </c>
      <c r="X28" s="101" t="s">
        <v>410</v>
      </c>
      <c r="Y28" s="101"/>
      <c r="Z28" s="104">
        <v>3745538.9</v>
      </c>
      <c r="AA28" s="104">
        <v>1</v>
      </c>
      <c r="AB28" s="104">
        <v>120.26</v>
      </c>
      <c r="AC28" s="104">
        <v>0</v>
      </c>
      <c r="AD28" s="104">
        <v>4504.38508</v>
      </c>
      <c r="AE28" s="102"/>
      <c r="AF28" s="102"/>
      <c r="AG28" s="101"/>
      <c r="AH28" s="103">
        <v>2.7109999999999999E-3</v>
      </c>
      <c r="AI28" s="103">
        <v>6.0238E-2</v>
      </c>
      <c r="AJ28" s="103">
        <v>1.124E-3</v>
      </c>
    </row>
    <row r="29" spans="1:36" ht="13.5" customHeight="1">
      <c r="A29" s="101">
        <v>274</v>
      </c>
      <c r="B29" s="101">
        <v>274</v>
      </c>
      <c r="C29" s="101" t="s">
        <v>1322</v>
      </c>
      <c r="D29" s="101">
        <v>510960719</v>
      </c>
      <c r="E29" s="101" t="s">
        <v>308</v>
      </c>
      <c r="F29" s="101" t="s">
        <v>1363</v>
      </c>
      <c r="G29" s="101" t="s">
        <v>1364</v>
      </c>
      <c r="H29" s="101" t="s">
        <v>319</v>
      </c>
      <c r="I29" s="101" t="s">
        <v>751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462</v>
      </c>
      <c r="O29" s="101" t="s">
        <v>336</v>
      </c>
      <c r="P29" s="101" t="s">
        <v>1325</v>
      </c>
      <c r="Q29" s="101" t="s">
        <v>413</v>
      </c>
      <c r="R29" s="101" t="s">
        <v>404</v>
      </c>
      <c r="S29" s="101" t="s">
        <v>1241</v>
      </c>
      <c r="T29" s="104">
        <v>2.2000000000000002</v>
      </c>
      <c r="U29" s="107">
        <v>47669</v>
      </c>
      <c r="V29" s="103">
        <v>1.34E-2</v>
      </c>
      <c r="W29" s="103">
        <v>2.47E-2</v>
      </c>
      <c r="X29" s="101" t="s">
        <v>410</v>
      </c>
      <c r="Y29" s="101"/>
      <c r="Z29" s="104">
        <v>36977.980000000003</v>
      </c>
      <c r="AA29" s="104">
        <v>1</v>
      </c>
      <c r="AB29" s="104">
        <v>116.87</v>
      </c>
      <c r="AC29" s="104">
        <v>0</v>
      </c>
      <c r="AD29" s="104">
        <v>43.216169999999998</v>
      </c>
      <c r="AE29" s="102"/>
      <c r="AF29" s="102"/>
      <c r="AG29" s="101"/>
      <c r="AH29" s="103">
        <v>1.8E-5</v>
      </c>
      <c r="AI29" s="103">
        <v>5.7700000000000004E-4</v>
      </c>
      <c r="AJ29" s="103">
        <v>1.0000000000000001E-5</v>
      </c>
    </row>
    <row r="30" spans="1:36" ht="13.5" customHeight="1">
      <c r="A30" s="101">
        <v>274</v>
      </c>
      <c r="B30" s="101">
        <v>274</v>
      </c>
      <c r="C30" s="101" t="s">
        <v>1307</v>
      </c>
      <c r="D30" s="101">
        <v>520010869</v>
      </c>
      <c r="E30" s="101" t="s">
        <v>308</v>
      </c>
      <c r="F30" s="101" t="s">
        <v>1365</v>
      </c>
      <c r="G30" s="101" t="s">
        <v>1366</v>
      </c>
      <c r="H30" s="101" t="s">
        <v>319</v>
      </c>
      <c r="I30" s="101" t="s">
        <v>751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475</v>
      </c>
      <c r="O30" s="101" t="s">
        <v>336</v>
      </c>
      <c r="P30" s="101" t="s">
        <v>1233</v>
      </c>
      <c r="Q30" s="101" t="s">
        <v>411</v>
      </c>
      <c r="R30" s="101" t="s">
        <v>404</v>
      </c>
      <c r="S30" s="101" t="s">
        <v>1241</v>
      </c>
      <c r="T30" s="104">
        <v>11.49</v>
      </c>
      <c r="U30" s="107">
        <v>56249</v>
      </c>
      <c r="V30" s="103">
        <v>2.07E-2</v>
      </c>
      <c r="W30" s="103">
        <v>2.86E-2</v>
      </c>
      <c r="X30" s="101" t="s">
        <v>410</v>
      </c>
      <c r="Y30" s="101"/>
      <c r="Z30" s="104">
        <v>12015534.1</v>
      </c>
      <c r="AA30" s="104">
        <v>1</v>
      </c>
      <c r="AB30" s="104">
        <v>106.7</v>
      </c>
      <c r="AC30" s="104">
        <v>0</v>
      </c>
      <c r="AD30" s="104">
        <v>12820.57488</v>
      </c>
      <c r="AE30" s="102"/>
      <c r="AF30" s="102"/>
      <c r="AG30" s="101"/>
      <c r="AH30" s="103">
        <v>1.8209999999999999E-3</v>
      </c>
      <c r="AI30" s="103">
        <v>0.171454</v>
      </c>
      <c r="AJ30" s="103">
        <v>3.199E-3</v>
      </c>
    </row>
    <row r="31" spans="1:36" ht="13.5" customHeight="1">
      <c r="A31" s="101">
        <v>274</v>
      </c>
      <c r="B31" s="101">
        <v>274</v>
      </c>
      <c r="C31" s="101" t="s">
        <v>1322</v>
      </c>
      <c r="D31" s="101">
        <v>510960719</v>
      </c>
      <c r="E31" s="101" t="s">
        <v>308</v>
      </c>
      <c r="F31" s="101" t="s">
        <v>1367</v>
      </c>
      <c r="G31" s="101" t="s">
        <v>1368</v>
      </c>
      <c r="H31" s="101" t="s">
        <v>319</v>
      </c>
      <c r="I31" s="101" t="s">
        <v>751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462</v>
      </c>
      <c r="O31" s="101" t="s">
        <v>336</v>
      </c>
      <c r="P31" s="101" t="s">
        <v>1325</v>
      </c>
      <c r="Q31" s="101" t="s">
        <v>413</v>
      </c>
      <c r="R31" s="101" t="s">
        <v>404</v>
      </c>
      <c r="S31" s="101" t="s">
        <v>1241</v>
      </c>
      <c r="T31" s="104">
        <v>11.4</v>
      </c>
      <c r="U31" s="107">
        <v>53329</v>
      </c>
      <c r="V31" s="103">
        <v>3.6700000000000003E-2</v>
      </c>
      <c r="W31" s="103">
        <v>3.1E-2</v>
      </c>
      <c r="X31" s="101" t="s">
        <v>410</v>
      </c>
      <c r="Y31" s="101"/>
      <c r="Z31" s="104">
        <v>1882000</v>
      </c>
      <c r="AA31" s="104">
        <v>1</v>
      </c>
      <c r="AB31" s="104">
        <v>111.75</v>
      </c>
      <c r="AC31" s="104">
        <v>0</v>
      </c>
      <c r="AD31" s="104">
        <v>2103.1350000000002</v>
      </c>
      <c r="AE31" s="102"/>
      <c r="AF31" s="102"/>
      <c r="AG31" s="101"/>
      <c r="AH31" s="103">
        <v>3.6900000000000002E-4</v>
      </c>
      <c r="AI31" s="103">
        <v>2.8126000000000002E-2</v>
      </c>
      <c r="AJ31" s="103">
        <v>5.2400000000000005E-4</v>
      </c>
    </row>
    <row r="32" spans="1:36" ht="13.5" customHeight="1">
      <c r="A32" s="101">
        <v>274</v>
      </c>
      <c r="B32" s="101">
        <v>274</v>
      </c>
      <c r="C32" s="101" t="s">
        <v>1304</v>
      </c>
      <c r="D32" s="101">
        <v>520000472</v>
      </c>
      <c r="E32" s="101" t="s">
        <v>308</v>
      </c>
      <c r="F32" s="101" t="s">
        <v>1369</v>
      </c>
      <c r="G32" s="101" t="s">
        <v>1370</v>
      </c>
      <c r="H32" s="101" t="s">
        <v>319</v>
      </c>
      <c r="I32" s="101" t="s">
        <v>751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438</v>
      </c>
      <c r="O32" s="101" t="s">
        <v>336</v>
      </c>
      <c r="P32" s="101" t="s">
        <v>1237</v>
      </c>
      <c r="Q32" s="101" t="s">
        <v>413</v>
      </c>
      <c r="R32" s="101" t="s">
        <v>404</v>
      </c>
      <c r="S32" s="101" t="s">
        <v>1241</v>
      </c>
      <c r="T32" s="104">
        <v>4.4800000000000004</v>
      </c>
      <c r="U32" s="107">
        <v>48112</v>
      </c>
      <c r="V32" s="103">
        <v>2.3900000000000001E-2</v>
      </c>
      <c r="W32" s="103">
        <v>2.5499999999999998E-2</v>
      </c>
      <c r="X32" s="101" t="s">
        <v>410</v>
      </c>
      <c r="Y32" s="101"/>
      <c r="Z32" s="104">
        <v>3431000</v>
      </c>
      <c r="AA32" s="104">
        <v>1</v>
      </c>
      <c r="AB32" s="104">
        <v>116.8</v>
      </c>
      <c r="AC32" s="104">
        <v>0</v>
      </c>
      <c r="AD32" s="104">
        <v>4007.4079999999999</v>
      </c>
      <c r="AE32" s="102"/>
      <c r="AF32" s="102"/>
      <c r="AG32" s="101"/>
      <c r="AH32" s="103">
        <v>8.8199999999999997E-4</v>
      </c>
      <c r="AI32" s="103">
        <v>5.3592000000000001E-2</v>
      </c>
      <c r="AJ32" s="103">
        <v>1E-3</v>
      </c>
    </row>
    <row r="33" spans="1:36" ht="13.5" customHeight="1">
      <c r="A33" s="101">
        <v>274</v>
      </c>
      <c r="B33" s="101">
        <v>274</v>
      </c>
      <c r="C33" s="101" t="s">
        <v>1371</v>
      </c>
      <c r="D33" s="101" t="s">
        <v>1372</v>
      </c>
      <c r="E33" s="101" t="s">
        <v>312</v>
      </c>
      <c r="F33" s="101" t="s">
        <v>1373</v>
      </c>
      <c r="G33" s="101" t="s">
        <v>1374</v>
      </c>
      <c r="H33" s="101" t="s">
        <v>319</v>
      </c>
      <c r="I33" s="101" t="s">
        <v>752</v>
      </c>
      <c r="J33" s="101" t="s">
        <v>203</v>
      </c>
      <c r="K33" s="101" t="s">
        <v>223</v>
      </c>
      <c r="L33" s="101" t="s">
        <v>322</v>
      </c>
      <c r="M33" s="101" t="s">
        <v>313</v>
      </c>
      <c r="N33" s="101" t="s">
        <v>514</v>
      </c>
      <c r="O33" s="101" t="s">
        <v>336</v>
      </c>
      <c r="P33" s="101" t="s">
        <v>1375</v>
      </c>
      <c r="Q33" s="101" t="s">
        <v>429</v>
      </c>
      <c r="R33" s="101" t="s">
        <v>404</v>
      </c>
      <c r="S33" s="101" t="s">
        <v>1249</v>
      </c>
      <c r="T33" s="104">
        <v>4.63</v>
      </c>
      <c r="U33" s="107">
        <v>47922</v>
      </c>
      <c r="V33" s="103">
        <v>2.9499999999999998E-2</v>
      </c>
      <c r="W33" s="103">
        <v>4.9200000000000001E-2</v>
      </c>
      <c r="X33" s="101" t="s">
        <v>410</v>
      </c>
      <c r="Y33" s="101"/>
      <c r="Z33" s="104">
        <v>27000</v>
      </c>
      <c r="AA33" s="104">
        <v>3.165</v>
      </c>
      <c r="AB33" s="104">
        <v>91.770399999999995</v>
      </c>
      <c r="AC33" s="104">
        <v>0</v>
      </c>
      <c r="AD33" s="104">
        <v>78.422399999999996</v>
      </c>
      <c r="AE33" s="102"/>
      <c r="AF33" s="102"/>
      <c r="AG33" s="101"/>
      <c r="AH33" s="103">
        <v>2.6999999999999999E-5</v>
      </c>
      <c r="AI33" s="103">
        <v>1.0480000000000001E-3</v>
      </c>
      <c r="AJ33" s="103">
        <v>1.9000000000000001E-5</v>
      </c>
    </row>
    <row r="34" spans="1:36" ht="13.5" customHeight="1">
      <c r="A34" s="101">
        <v>274</v>
      </c>
      <c r="B34" s="101">
        <v>274</v>
      </c>
      <c r="C34" s="101" t="s">
        <v>1376</v>
      </c>
      <c r="D34" s="101" t="s">
        <v>1377</v>
      </c>
      <c r="E34" s="101" t="s">
        <v>312</v>
      </c>
      <c r="F34" s="101" t="s">
        <v>1378</v>
      </c>
      <c r="G34" s="101" t="s">
        <v>1379</v>
      </c>
      <c r="H34" s="101" t="s">
        <v>319</v>
      </c>
      <c r="I34" s="101" t="s">
        <v>752</v>
      </c>
      <c r="J34" s="101" t="s">
        <v>203</v>
      </c>
      <c r="K34" s="101" t="s">
        <v>223</v>
      </c>
      <c r="L34" s="101" t="s">
        <v>322</v>
      </c>
      <c r="M34" s="101" t="s">
        <v>313</v>
      </c>
      <c r="N34" s="101" t="s">
        <v>484</v>
      </c>
      <c r="O34" s="101" t="s">
        <v>336</v>
      </c>
      <c r="P34" s="101" t="s">
        <v>1380</v>
      </c>
      <c r="Q34" s="101" t="s">
        <v>429</v>
      </c>
      <c r="R34" s="101" t="s">
        <v>404</v>
      </c>
      <c r="S34" s="101" t="s">
        <v>1249</v>
      </c>
      <c r="T34" s="104">
        <v>4.03</v>
      </c>
      <c r="U34" s="107">
        <v>47757</v>
      </c>
      <c r="V34" s="103">
        <v>4.4999999999999998E-2</v>
      </c>
      <c r="W34" s="103">
        <v>5.1299999999999998E-2</v>
      </c>
      <c r="X34" s="101" t="s">
        <v>410</v>
      </c>
      <c r="Y34" s="101"/>
      <c r="Z34" s="104">
        <v>12000</v>
      </c>
      <c r="AA34" s="104">
        <v>3.165</v>
      </c>
      <c r="AB34" s="104">
        <v>99.946600000000004</v>
      </c>
      <c r="AC34" s="104">
        <v>0</v>
      </c>
      <c r="AD34" s="104">
        <v>37.959719999999997</v>
      </c>
      <c r="AE34" s="102"/>
      <c r="AF34" s="102"/>
      <c r="AG34" s="101"/>
      <c r="AH34" s="103">
        <v>3.6000000000000001E-5</v>
      </c>
      <c r="AI34" s="103">
        <v>5.0699999999999996E-4</v>
      </c>
      <c r="AJ34" s="103">
        <v>9.0000000000000002E-6</v>
      </c>
    </row>
    <row r="35" spans="1:36" ht="13.5" customHeight="1">
      <c r="A35" s="101">
        <v>274</v>
      </c>
      <c r="B35" s="101">
        <v>274</v>
      </c>
      <c r="C35" s="101" t="s">
        <v>1381</v>
      </c>
      <c r="D35" s="101" t="s">
        <v>1382</v>
      </c>
      <c r="E35" s="101" t="s">
        <v>312</v>
      </c>
      <c r="F35" s="101" t="s">
        <v>1383</v>
      </c>
      <c r="G35" s="101" t="s">
        <v>1384</v>
      </c>
      <c r="H35" s="101" t="s">
        <v>319</v>
      </c>
      <c r="I35" s="101" t="s">
        <v>752</v>
      </c>
      <c r="J35" s="101" t="s">
        <v>203</v>
      </c>
      <c r="K35" s="101" t="s">
        <v>267</v>
      </c>
      <c r="L35" s="101" t="s">
        <v>322</v>
      </c>
      <c r="M35" s="101" t="s">
        <v>367</v>
      </c>
      <c r="N35" s="101" t="s">
        <v>544</v>
      </c>
      <c r="O35" s="101" t="s">
        <v>336</v>
      </c>
      <c r="P35" s="101" t="s">
        <v>1385</v>
      </c>
      <c r="Q35" s="101" t="s">
        <v>431</v>
      </c>
      <c r="R35" s="101" t="s">
        <v>404</v>
      </c>
      <c r="S35" s="101" t="s">
        <v>1249</v>
      </c>
      <c r="T35" s="104">
        <v>4.22</v>
      </c>
      <c r="U35" s="107">
        <v>47789</v>
      </c>
      <c r="V35" s="103">
        <v>3.4209999999999997E-2</v>
      </c>
      <c r="W35" s="103">
        <v>4.7800000000000002E-2</v>
      </c>
      <c r="X35" s="101" t="s">
        <v>410</v>
      </c>
      <c r="Y35" s="101"/>
      <c r="Z35" s="104">
        <v>44000</v>
      </c>
      <c r="AA35" s="104">
        <v>3.165</v>
      </c>
      <c r="AB35" s="104">
        <v>96.060100000000006</v>
      </c>
      <c r="AC35" s="104">
        <v>0</v>
      </c>
      <c r="AD35" s="104">
        <v>133.77330000000001</v>
      </c>
      <c r="AE35" s="102"/>
      <c r="AF35" s="102"/>
      <c r="AG35" s="101"/>
      <c r="AH35" s="103">
        <v>4.3999999999999999E-5</v>
      </c>
      <c r="AI35" s="103">
        <v>1.789E-3</v>
      </c>
      <c r="AJ35" s="103">
        <v>3.3000000000000003E-5</v>
      </c>
    </row>
    <row r="36" spans="1:36" ht="13.5" customHeight="1">
      <c r="A36" s="101">
        <v>274</v>
      </c>
      <c r="B36" s="101">
        <v>274</v>
      </c>
      <c r="C36" s="101" t="s">
        <v>1386</v>
      </c>
      <c r="D36" s="101" t="s">
        <v>1387</v>
      </c>
      <c r="E36" s="101" t="s">
        <v>312</v>
      </c>
      <c r="F36" s="101" t="s">
        <v>1388</v>
      </c>
      <c r="G36" s="101" t="s">
        <v>1389</v>
      </c>
      <c r="H36" s="101" t="s">
        <v>319</v>
      </c>
      <c r="I36" s="101" t="s">
        <v>752</v>
      </c>
      <c r="J36" s="101" t="s">
        <v>203</v>
      </c>
      <c r="K36" s="101" t="s">
        <v>223</v>
      </c>
      <c r="L36" s="101" t="s">
        <v>322</v>
      </c>
      <c r="M36" s="101" t="s">
        <v>341</v>
      </c>
      <c r="N36" s="101" t="s">
        <v>552</v>
      </c>
      <c r="O36" s="101" t="s">
        <v>336</v>
      </c>
      <c r="P36" s="101" t="s">
        <v>1380</v>
      </c>
      <c r="Q36" s="101" t="s">
        <v>429</v>
      </c>
      <c r="R36" s="101" t="s">
        <v>404</v>
      </c>
      <c r="S36" s="101" t="s">
        <v>1249</v>
      </c>
      <c r="T36" s="104">
        <v>4.04</v>
      </c>
      <c r="U36" s="107">
        <v>47710</v>
      </c>
      <c r="V36" s="103">
        <v>3.875E-2</v>
      </c>
      <c r="W36" s="103">
        <v>5.3999999999999999E-2</v>
      </c>
      <c r="X36" s="101" t="s">
        <v>410</v>
      </c>
      <c r="Y36" s="101"/>
      <c r="Z36" s="104">
        <v>45000</v>
      </c>
      <c r="AA36" s="104">
        <v>3.165</v>
      </c>
      <c r="AB36" s="104">
        <v>94.871300000000005</v>
      </c>
      <c r="AC36" s="104">
        <v>0</v>
      </c>
      <c r="AD36" s="104">
        <v>135.12045000000001</v>
      </c>
      <c r="AE36" s="102"/>
      <c r="AF36" s="102"/>
      <c r="AG36" s="101"/>
      <c r="AH36" s="103">
        <v>6.8999999999999997E-5</v>
      </c>
      <c r="AI36" s="103">
        <v>1.807E-3</v>
      </c>
      <c r="AJ36" s="103">
        <v>3.3000000000000003E-5</v>
      </c>
    </row>
    <row r="37" spans="1:36" ht="13.5" customHeight="1">
      <c r="A37" s="101">
        <v>274</v>
      </c>
      <c r="B37" s="101">
        <v>274</v>
      </c>
      <c r="C37" s="101" t="s">
        <v>1390</v>
      </c>
      <c r="D37" s="101" t="s">
        <v>1391</v>
      </c>
      <c r="E37" s="101" t="s">
        <v>312</v>
      </c>
      <c r="F37" s="101" t="s">
        <v>1392</v>
      </c>
      <c r="G37" s="101" t="s">
        <v>1393</v>
      </c>
      <c r="H37" s="101" t="s">
        <v>319</v>
      </c>
      <c r="I37" s="101" t="s">
        <v>752</v>
      </c>
      <c r="J37" s="101" t="s">
        <v>203</v>
      </c>
      <c r="K37" s="101" t="s">
        <v>223</v>
      </c>
      <c r="L37" s="101" t="s">
        <v>322</v>
      </c>
      <c r="M37" s="101" t="s">
        <v>313</v>
      </c>
      <c r="N37" s="101" t="s">
        <v>547</v>
      </c>
      <c r="O37" s="101" t="s">
        <v>336</v>
      </c>
      <c r="P37" s="101" t="s">
        <v>1380</v>
      </c>
      <c r="Q37" s="101" t="s">
        <v>429</v>
      </c>
      <c r="R37" s="101" t="s">
        <v>404</v>
      </c>
      <c r="S37" s="101" t="s">
        <v>1249</v>
      </c>
      <c r="T37" s="104">
        <v>5.27</v>
      </c>
      <c r="U37" s="107">
        <v>48366</v>
      </c>
      <c r="V37" s="103">
        <v>5.2499999999999998E-2</v>
      </c>
      <c r="W37" s="103">
        <v>5.1700000000000003E-2</v>
      </c>
      <c r="X37" s="101" t="s">
        <v>410</v>
      </c>
      <c r="Y37" s="101"/>
      <c r="Z37" s="104">
        <v>15000</v>
      </c>
      <c r="AA37" s="104">
        <v>3.165</v>
      </c>
      <c r="AB37" s="104">
        <v>102.4764</v>
      </c>
      <c r="AC37" s="104">
        <v>0</v>
      </c>
      <c r="AD37" s="104">
        <v>48.650669999999998</v>
      </c>
      <c r="AE37" s="102"/>
      <c r="AF37" s="102"/>
      <c r="AG37" s="101"/>
      <c r="AH37" s="103">
        <v>3.0000000000000001E-5</v>
      </c>
      <c r="AI37" s="103">
        <v>6.4999999999999997E-4</v>
      </c>
      <c r="AJ37" s="103">
        <v>1.2E-5</v>
      </c>
    </row>
    <row r="38" spans="1:36" ht="13.5" customHeight="1">
      <c r="A38" s="101">
        <v>274</v>
      </c>
      <c r="B38" s="101">
        <v>274</v>
      </c>
      <c r="C38" s="101" t="s">
        <v>1394</v>
      </c>
      <c r="D38" s="101" t="s">
        <v>1395</v>
      </c>
      <c r="E38" s="101" t="s">
        <v>312</v>
      </c>
      <c r="F38" s="101" t="s">
        <v>1396</v>
      </c>
      <c r="G38" s="101" t="s">
        <v>1397</v>
      </c>
      <c r="H38" s="101" t="s">
        <v>319</v>
      </c>
      <c r="I38" s="101" t="s">
        <v>752</v>
      </c>
      <c r="J38" s="101" t="s">
        <v>203</v>
      </c>
      <c r="K38" s="101" t="s">
        <v>223</v>
      </c>
      <c r="L38" s="101" t="s">
        <v>322</v>
      </c>
      <c r="M38" s="101" t="s">
        <v>313</v>
      </c>
      <c r="N38" s="101" t="s">
        <v>544</v>
      </c>
      <c r="O38" s="101" t="s">
        <v>336</v>
      </c>
      <c r="P38" s="101" t="s">
        <v>1380</v>
      </c>
      <c r="Q38" s="101" t="s">
        <v>429</v>
      </c>
      <c r="R38" s="101" t="s">
        <v>404</v>
      </c>
      <c r="S38" s="101" t="s">
        <v>1249</v>
      </c>
      <c r="T38" s="104">
        <v>6.19</v>
      </c>
      <c r="U38" s="107">
        <v>48837</v>
      </c>
      <c r="V38" s="103">
        <v>5.8749999999999997E-2</v>
      </c>
      <c r="W38" s="103">
        <v>4.8300000000000003E-2</v>
      </c>
      <c r="X38" s="101" t="s">
        <v>410</v>
      </c>
      <c r="Y38" s="101"/>
      <c r="Z38" s="104">
        <v>18000</v>
      </c>
      <c r="AA38" s="104">
        <v>3.165</v>
      </c>
      <c r="AB38" s="104">
        <v>107.0779</v>
      </c>
      <c r="AC38" s="104">
        <v>0</v>
      </c>
      <c r="AD38" s="104">
        <v>61.002279999999999</v>
      </c>
      <c r="AE38" s="102"/>
      <c r="AF38" s="102"/>
      <c r="AG38" s="101"/>
      <c r="AH38" s="103">
        <v>2.0000000000000002E-5</v>
      </c>
      <c r="AI38" s="103">
        <v>8.1499999999999997E-4</v>
      </c>
      <c r="AJ38" s="103">
        <v>1.5E-5</v>
      </c>
    </row>
    <row r="39" spans="1:36" ht="13.5" customHeight="1">
      <c r="A39" s="101">
        <v>274</v>
      </c>
      <c r="B39" s="101">
        <v>274</v>
      </c>
      <c r="C39" s="101" t="s">
        <v>1398</v>
      </c>
      <c r="D39" s="101" t="s">
        <v>1399</v>
      </c>
      <c r="E39" s="101" t="s">
        <v>312</v>
      </c>
      <c r="F39" s="101" t="s">
        <v>1400</v>
      </c>
      <c r="G39" s="101" t="s">
        <v>1401</v>
      </c>
      <c r="H39" s="101" t="s">
        <v>319</v>
      </c>
      <c r="I39" s="101" t="s">
        <v>752</v>
      </c>
      <c r="J39" s="101" t="s">
        <v>203</v>
      </c>
      <c r="K39" s="101" t="s">
        <v>223</v>
      </c>
      <c r="L39" s="101" t="s">
        <v>322</v>
      </c>
      <c r="M39" s="101" t="s">
        <v>341</v>
      </c>
      <c r="N39" s="101" t="s">
        <v>542</v>
      </c>
      <c r="O39" s="101" t="s">
        <v>336</v>
      </c>
      <c r="P39" s="101" t="s">
        <v>1402</v>
      </c>
      <c r="Q39" s="101" t="s">
        <v>431</v>
      </c>
      <c r="R39" s="101" t="s">
        <v>404</v>
      </c>
      <c r="S39" s="101" t="s">
        <v>1249</v>
      </c>
      <c r="T39" s="104">
        <v>6.22</v>
      </c>
      <c r="U39" s="107">
        <v>48995</v>
      </c>
      <c r="V39" s="103">
        <v>6.3500000000000001E-2</v>
      </c>
      <c r="W39" s="103">
        <v>7.6700000000000004E-2</v>
      </c>
      <c r="X39" s="101" t="s">
        <v>410</v>
      </c>
      <c r="Y39" s="101"/>
      <c r="Z39" s="104">
        <v>18000</v>
      </c>
      <c r="AA39" s="104">
        <v>3.165</v>
      </c>
      <c r="AB39" s="104">
        <v>93.703900000000004</v>
      </c>
      <c r="AC39" s="104">
        <v>0</v>
      </c>
      <c r="AD39" s="104">
        <v>53.383110000000002</v>
      </c>
      <c r="AE39" s="102"/>
      <c r="AF39" s="102"/>
      <c r="AG39" s="101"/>
      <c r="AH39" s="103">
        <v>3.6000000000000001E-5</v>
      </c>
      <c r="AI39" s="103">
        <v>7.1299999999999998E-4</v>
      </c>
      <c r="AJ39" s="103">
        <v>1.2999999999999999E-5</v>
      </c>
    </row>
    <row r="40" spans="1:36" ht="13.5" customHeight="1">
      <c r="A40" s="101">
        <v>274</v>
      </c>
      <c r="B40" s="101">
        <v>274</v>
      </c>
      <c r="C40" s="101" t="s">
        <v>1403</v>
      </c>
      <c r="D40" s="101" t="s">
        <v>1404</v>
      </c>
      <c r="E40" s="101" t="s">
        <v>312</v>
      </c>
      <c r="F40" s="101" t="s">
        <v>1405</v>
      </c>
      <c r="G40" s="101" t="s">
        <v>1406</v>
      </c>
      <c r="H40" s="101" t="s">
        <v>319</v>
      </c>
      <c r="I40" s="101" t="s">
        <v>752</v>
      </c>
      <c r="J40" s="101" t="s">
        <v>203</v>
      </c>
      <c r="K40" s="101" t="s">
        <v>223</v>
      </c>
      <c r="L40" s="101" t="s">
        <v>322</v>
      </c>
      <c r="M40" s="101" t="s">
        <v>313</v>
      </c>
      <c r="N40" s="101" t="s">
        <v>508</v>
      </c>
      <c r="O40" s="101" t="s">
        <v>336</v>
      </c>
      <c r="P40" s="101" t="s">
        <v>1407</v>
      </c>
      <c r="Q40" s="101" t="s">
        <v>431</v>
      </c>
      <c r="R40" s="101" t="s">
        <v>404</v>
      </c>
      <c r="S40" s="101" t="s">
        <v>1249</v>
      </c>
      <c r="T40" s="104">
        <v>2.78</v>
      </c>
      <c r="U40" s="107">
        <v>47196</v>
      </c>
      <c r="V40" s="103">
        <v>5.3499999999999999E-2</v>
      </c>
      <c r="W40" s="103">
        <v>4.8000000000000001E-2</v>
      </c>
      <c r="X40" s="101" t="s">
        <v>410</v>
      </c>
      <c r="Y40" s="101"/>
      <c r="Z40" s="104">
        <v>10000</v>
      </c>
      <c r="AA40" s="104">
        <v>3.165</v>
      </c>
      <c r="AB40" s="104">
        <v>101.81910000000001</v>
      </c>
      <c r="AC40" s="104">
        <v>0</v>
      </c>
      <c r="AD40" s="104">
        <v>32.225749999999998</v>
      </c>
      <c r="AE40" s="102"/>
      <c r="AF40" s="102"/>
      <c r="AG40" s="101"/>
      <c r="AH40" s="103">
        <v>2.0000000000000002E-5</v>
      </c>
      <c r="AI40" s="103">
        <v>4.2999999999999999E-4</v>
      </c>
      <c r="AJ40" s="103">
        <v>7.9999999999999996E-6</v>
      </c>
    </row>
    <row r="41" spans="1:36" ht="13.5" customHeight="1">
      <c r="A41" s="101">
        <v>274</v>
      </c>
      <c r="B41" s="101">
        <v>274</v>
      </c>
      <c r="C41" s="101" t="s">
        <v>1408</v>
      </c>
      <c r="D41" s="101" t="s">
        <v>1409</v>
      </c>
      <c r="E41" s="101" t="s">
        <v>312</v>
      </c>
      <c r="F41" s="101" t="s">
        <v>1410</v>
      </c>
      <c r="G41" s="101" t="s">
        <v>1411</v>
      </c>
      <c r="H41" s="101" t="s">
        <v>319</v>
      </c>
      <c r="I41" s="101" t="s">
        <v>752</v>
      </c>
      <c r="J41" s="101" t="s">
        <v>203</v>
      </c>
      <c r="K41" s="101" t="s">
        <v>223</v>
      </c>
      <c r="L41" s="101" t="s">
        <v>322</v>
      </c>
      <c r="M41" s="101" t="s">
        <v>313</v>
      </c>
      <c r="N41" s="101" t="s">
        <v>526</v>
      </c>
      <c r="O41" s="101" t="s">
        <v>336</v>
      </c>
      <c r="P41" s="101" t="s">
        <v>1412</v>
      </c>
      <c r="Q41" s="101" t="s">
        <v>431</v>
      </c>
      <c r="R41" s="101" t="s">
        <v>404</v>
      </c>
      <c r="S41" s="101" t="s">
        <v>1249</v>
      </c>
      <c r="T41" s="104">
        <v>6.89</v>
      </c>
      <c r="U41" s="107">
        <v>49232</v>
      </c>
      <c r="V41" s="103">
        <v>0.05</v>
      </c>
      <c r="W41" s="103">
        <v>5.3100000000000001E-2</v>
      </c>
      <c r="X41" s="101" t="s">
        <v>410</v>
      </c>
      <c r="Y41" s="101"/>
      <c r="Z41" s="104">
        <v>26000</v>
      </c>
      <c r="AA41" s="104">
        <v>3.165</v>
      </c>
      <c r="AB41" s="104">
        <v>100.61150000000001</v>
      </c>
      <c r="AC41" s="104">
        <v>0</v>
      </c>
      <c r="AD41" s="104">
        <v>82.793199999999999</v>
      </c>
      <c r="AE41" s="102"/>
      <c r="AF41" s="102"/>
      <c r="AG41" s="101"/>
      <c r="AH41" s="103">
        <v>3.6999999999999998E-5</v>
      </c>
      <c r="AI41" s="103">
        <v>1.1069999999999999E-3</v>
      </c>
      <c r="AJ41" s="103">
        <v>2.0000000000000002E-5</v>
      </c>
    </row>
    <row r="42" spans="1:36" ht="13.5" customHeight="1">
      <c r="A42" s="101">
        <v>274</v>
      </c>
      <c r="B42" s="101">
        <v>274</v>
      </c>
      <c r="C42" s="101" t="s">
        <v>1413</v>
      </c>
      <c r="D42" s="101" t="s">
        <v>1414</v>
      </c>
      <c r="E42" s="101" t="s">
        <v>312</v>
      </c>
      <c r="F42" s="101" t="s">
        <v>1415</v>
      </c>
      <c r="G42" s="101" t="s">
        <v>1416</v>
      </c>
      <c r="H42" s="101" t="s">
        <v>319</v>
      </c>
      <c r="I42" s="101" t="s">
        <v>752</v>
      </c>
      <c r="J42" s="101" t="s">
        <v>203</v>
      </c>
      <c r="K42" s="101" t="s">
        <v>237</v>
      </c>
      <c r="L42" s="101" t="s">
        <v>322</v>
      </c>
      <c r="M42" s="101" t="s">
        <v>365</v>
      </c>
      <c r="N42" s="101" t="s">
        <v>547</v>
      </c>
      <c r="O42" s="101" t="s">
        <v>336</v>
      </c>
      <c r="P42" s="101" t="s">
        <v>1407</v>
      </c>
      <c r="Q42" s="101" t="s">
        <v>431</v>
      </c>
      <c r="R42" s="101" t="s">
        <v>404</v>
      </c>
      <c r="S42" s="101" t="s">
        <v>1249</v>
      </c>
      <c r="T42" s="104">
        <v>4.96</v>
      </c>
      <c r="U42" s="107">
        <v>48122</v>
      </c>
      <c r="V42" s="103">
        <v>3.2500000000000001E-2</v>
      </c>
      <c r="W42" s="103">
        <v>5.8900000000000001E-2</v>
      </c>
      <c r="X42" s="101" t="s">
        <v>410</v>
      </c>
      <c r="Y42" s="101"/>
      <c r="Z42" s="104">
        <v>46000</v>
      </c>
      <c r="AA42" s="104">
        <v>3.165</v>
      </c>
      <c r="AB42" s="104">
        <v>89.695300000000003</v>
      </c>
      <c r="AC42" s="104">
        <v>0</v>
      </c>
      <c r="AD42" s="104">
        <v>130.58739</v>
      </c>
      <c r="AE42" s="102"/>
      <c r="AF42" s="102"/>
      <c r="AG42" s="101"/>
      <c r="AH42" s="103">
        <v>6.4999999999999994E-5</v>
      </c>
      <c r="AI42" s="103">
        <v>1.7459999999999999E-3</v>
      </c>
      <c r="AJ42" s="103">
        <v>3.1999999999999999E-5</v>
      </c>
    </row>
    <row r="43" spans="1:36" ht="13.5" customHeight="1">
      <c r="A43" s="101">
        <v>274</v>
      </c>
      <c r="B43" s="101">
        <v>274</v>
      </c>
      <c r="C43" s="101" t="s">
        <v>1390</v>
      </c>
      <c r="D43" s="101" t="s">
        <v>1391</v>
      </c>
      <c r="E43" s="101" t="s">
        <v>312</v>
      </c>
      <c r="F43" s="101" t="s">
        <v>1417</v>
      </c>
      <c r="G43" s="101" t="s">
        <v>1418</v>
      </c>
      <c r="H43" s="101" t="s">
        <v>319</v>
      </c>
      <c r="I43" s="101" t="s">
        <v>752</v>
      </c>
      <c r="J43" s="101" t="s">
        <v>203</v>
      </c>
      <c r="K43" s="101" t="s">
        <v>223</v>
      </c>
      <c r="L43" s="101" t="s">
        <v>322</v>
      </c>
      <c r="M43" s="101" t="s">
        <v>313</v>
      </c>
      <c r="N43" s="101" t="s">
        <v>542</v>
      </c>
      <c r="O43" s="101" t="s">
        <v>336</v>
      </c>
      <c r="P43" s="101" t="s">
        <v>1380</v>
      </c>
      <c r="Q43" s="101" t="s">
        <v>429</v>
      </c>
      <c r="R43" s="101" t="s">
        <v>404</v>
      </c>
      <c r="S43" s="101" t="s">
        <v>1249</v>
      </c>
      <c r="T43" s="104">
        <v>4.83</v>
      </c>
      <c r="U43" s="107">
        <v>48014</v>
      </c>
      <c r="V43" s="103">
        <v>2.7E-2</v>
      </c>
      <c r="W43" s="103">
        <v>5.1400000000000001E-2</v>
      </c>
      <c r="X43" s="101" t="s">
        <v>410</v>
      </c>
      <c r="Y43" s="101"/>
      <c r="Z43" s="104">
        <v>25000</v>
      </c>
      <c r="AA43" s="104">
        <v>3.165</v>
      </c>
      <c r="AB43" s="104">
        <v>90.020099999999999</v>
      </c>
      <c r="AC43" s="104">
        <v>0</v>
      </c>
      <c r="AD43" s="104">
        <v>71.228399999999993</v>
      </c>
      <c r="AE43" s="102"/>
      <c r="AF43" s="102"/>
      <c r="AG43" s="101"/>
      <c r="AH43" s="103">
        <v>3.3000000000000003E-5</v>
      </c>
      <c r="AI43" s="103">
        <v>9.5200000000000005E-4</v>
      </c>
      <c r="AJ43" s="103">
        <v>1.7E-5</v>
      </c>
    </row>
    <row r="44" spans="1:36" ht="13.5" customHeight="1">
      <c r="A44" s="101">
        <v>274</v>
      </c>
      <c r="B44" s="101">
        <v>274</v>
      </c>
      <c r="C44" s="101" t="s">
        <v>1304</v>
      </c>
      <c r="D44" s="101">
        <v>520000472</v>
      </c>
      <c r="E44" s="101" t="s">
        <v>308</v>
      </c>
      <c r="F44" s="101" t="s">
        <v>1419</v>
      </c>
      <c r="G44" s="101" t="s">
        <v>1420</v>
      </c>
      <c r="H44" s="101" t="s">
        <v>319</v>
      </c>
      <c r="I44" s="101" t="s">
        <v>752</v>
      </c>
      <c r="J44" s="101" t="s">
        <v>203</v>
      </c>
      <c r="K44" s="101" t="s">
        <v>202</v>
      </c>
      <c r="L44" s="101" t="s">
        <v>322</v>
      </c>
      <c r="M44" s="101" t="s">
        <v>313</v>
      </c>
      <c r="N44" s="101" t="s">
        <v>552</v>
      </c>
      <c r="O44" s="101" t="s">
        <v>336</v>
      </c>
      <c r="P44" s="101" t="s">
        <v>1375</v>
      </c>
      <c r="Q44" s="101" t="s">
        <v>429</v>
      </c>
      <c r="R44" s="101" t="s">
        <v>404</v>
      </c>
      <c r="S44" s="101" t="s">
        <v>1249</v>
      </c>
      <c r="T44" s="104">
        <v>15.98</v>
      </c>
      <c r="U44" s="107">
        <v>71939</v>
      </c>
      <c r="V44" s="103">
        <v>8.1000000000000003E-2</v>
      </c>
      <c r="W44" s="103">
        <v>6.2899999999999998E-2</v>
      </c>
      <c r="X44" s="101" t="s">
        <v>410</v>
      </c>
      <c r="Y44" s="101"/>
      <c r="Z44" s="104">
        <v>200000</v>
      </c>
      <c r="AA44" s="104">
        <v>3.165</v>
      </c>
      <c r="AB44" s="104">
        <v>132.7098</v>
      </c>
      <c r="AC44" s="104">
        <v>0</v>
      </c>
      <c r="AD44" s="104">
        <v>840.05272000000002</v>
      </c>
      <c r="AE44" s="102"/>
      <c r="AF44" s="102"/>
      <c r="AG44" s="101"/>
      <c r="AH44" s="103">
        <v>1.6000000000000001E-3</v>
      </c>
      <c r="AI44" s="103">
        <v>1.1233999999999999E-2</v>
      </c>
      <c r="AJ44" s="103">
        <v>2.0900000000000001E-4</v>
      </c>
    </row>
    <row r="45" spans="1:36" ht="13.5" customHeight="1"/>
    <row r="46" spans="1:36" ht="13.5" customHeight="1"/>
    <row r="47" spans="1:36" ht="13.5" customHeight="1"/>
    <row r="48" spans="1:3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11.12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274</v>
      </c>
      <c r="B2" s="101">
        <v>274</v>
      </c>
      <c r="C2" s="101" t="s">
        <v>1421</v>
      </c>
      <c r="D2" s="101">
        <v>520037789</v>
      </c>
      <c r="E2" s="101" t="s">
        <v>308</v>
      </c>
      <c r="F2" s="101" t="s">
        <v>1421</v>
      </c>
      <c r="G2" s="101" t="s">
        <v>1422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462</v>
      </c>
      <c r="O2" s="101" t="s">
        <v>336</v>
      </c>
      <c r="P2" s="101" t="s">
        <v>1241</v>
      </c>
      <c r="Q2" s="104">
        <v>641</v>
      </c>
      <c r="R2" s="104">
        <v>1</v>
      </c>
      <c r="S2" s="104">
        <v>40600</v>
      </c>
      <c r="T2" s="104">
        <v>1.20963</v>
      </c>
      <c r="U2" s="104">
        <v>261.45562999999999</v>
      </c>
      <c r="V2" s="103">
        <v>1.2999999999999999E-5</v>
      </c>
      <c r="W2" s="103">
        <v>3.9870000000000001E-3</v>
      </c>
      <c r="X2" s="103">
        <v>6.3999999999999997E-5</v>
      </c>
    </row>
    <row r="3" spans="1:26" ht="13.5" customHeight="1">
      <c r="A3" s="101">
        <v>274</v>
      </c>
      <c r="B3" s="101">
        <v>274</v>
      </c>
      <c r="C3" s="101" t="s">
        <v>1423</v>
      </c>
      <c r="D3" s="101">
        <v>520041997</v>
      </c>
      <c r="E3" s="101" t="s">
        <v>308</v>
      </c>
      <c r="F3" s="101" t="s">
        <v>1423</v>
      </c>
      <c r="G3" s="101" t="s">
        <v>1424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456</v>
      </c>
      <c r="O3" s="101" t="s">
        <v>336</v>
      </c>
      <c r="P3" s="101" t="s">
        <v>1241</v>
      </c>
      <c r="Q3" s="104">
        <v>5038.76</v>
      </c>
      <c r="R3" s="104">
        <v>1</v>
      </c>
      <c r="S3" s="104">
        <v>53870</v>
      </c>
      <c r="T3" s="104">
        <v>0</v>
      </c>
      <c r="U3" s="104">
        <v>2714.3800099999999</v>
      </c>
      <c r="V3" s="103">
        <v>4.3999999999999999E-5</v>
      </c>
      <c r="W3" s="103">
        <v>4.1397999999999997E-2</v>
      </c>
      <c r="X3" s="103">
        <v>6.7699999999999998E-4</v>
      </c>
    </row>
    <row r="4" spans="1:26" ht="13.5" customHeight="1">
      <c r="A4" s="101">
        <v>274</v>
      </c>
      <c r="B4" s="101">
        <v>274</v>
      </c>
      <c r="C4" s="101" t="s">
        <v>1425</v>
      </c>
      <c r="D4" s="101">
        <v>520041146</v>
      </c>
      <c r="E4" s="101" t="s">
        <v>308</v>
      </c>
      <c r="F4" s="101" t="s">
        <v>1425</v>
      </c>
      <c r="G4" s="101" t="s">
        <v>1426</v>
      </c>
      <c r="H4" s="101" t="s">
        <v>319</v>
      </c>
      <c r="I4" s="101" t="s">
        <v>925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439</v>
      </c>
      <c r="O4" s="101" t="s">
        <v>336</v>
      </c>
      <c r="P4" s="101" t="s">
        <v>1241</v>
      </c>
      <c r="Q4" s="104">
        <v>10452.4</v>
      </c>
      <c r="R4" s="104">
        <v>1</v>
      </c>
      <c r="S4" s="104">
        <v>20930</v>
      </c>
      <c r="T4" s="104">
        <v>0</v>
      </c>
      <c r="U4" s="104">
        <v>2187.68732</v>
      </c>
      <c r="V4" s="103">
        <v>7.4999999999999993E-5</v>
      </c>
      <c r="W4" s="103">
        <v>3.3364999999999999E-2</v>
      </c>
      <c r="X4" s="103">
        <v>5.4600000000000004E-4</v>
      </c>
    </row>
    <row r="5" spans="1:26" ht="13.5" customHeight="1">
      <c r="A5" s="101">
        <v>274</v>
      </c>
      <c r="B5" s="101">
        <v>274</v>
      </c>
      <c r="C5" s="101" t="s">
        <v>1427</v>
      </c>
      <c r="D5" s="101">
        <v>520017450</v>
      </c>
      <c r="E5" s="101" t="s">
        <v>308</v>
      </c>
      <c r="F5" s="101" t="s">
        <v>1428</v>
      </c>
      <c r="G5" s="101" t="s">
        <v>1429</v>
      </c>
      <c r="H5" s="101" t="s">
        <v>319</v>
      </c>
      <c r="I5" s="101" t="s">
        <v>925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443</v>
      </c>
      <c r="O5" s="101" t="s">
        <v>336</v>
      </c>
      <c r="P5" s="101" t="s">
        <v>1241</v>
      </c>
      <c r="Q5" s="104">
        <v>10383</v>
      </c>
      <c r="R5" s="104">
        <v>1</v>
      </c>
      <c r="S5" s="104">
        <v>16600</v>
      </c>
      <c r="T5" s="104">
        <v>0</v>
      </c>
      <c r="U5" s="104">
        <v>1723.578</v>
      </c>
      <c r="V5" s="103">
        <v>3.8999999999999999E-5</v>
      </c>
      <c r="W5" s="103">
        <v>2.6287000000000001E-2</v>
      </c>
      <c r="X5" s="103">
        <v>4.2999999999999999E-4</v>
      </c>
    </row>
    <row r="6" spans="1:26" ht="13.5" customHeight="1">
      <c r="A6" s="101">
        <v>274</v>
      </c>
      <c r="B6" s="101">
        <v>274</v>
      </c>
      <c r="C6" s="101" t="s">
        <v>1430</v>
      </c>
      <c r="D6" s="101">
        <v>514259019</v>
      </c>
      <c r="E6" s="101" t="s">
        <v>308</v>
      </c>
      <c r="F6" s="101" t="s">
        <v>1431</v>
      </c>
      <c r="G6" s="101" t="s">
        <v>1432</v>
      </c>
      <c r="H6" s="101" t="s">
        <v>319</v>
      </c>
      <c r="I6" s="101" t="s">
        <v>925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444</v>
      </c>
      <c r="O6" s="101" t="s">
        <v>336</v>
      </c>
      <c r="P6" s="101" t="s">
        <v>1241</v>
      </c>
      <c r="Q6" s="104">
        <v>3644</v>
      </c>
      <c r="R6" s="104">
        <v>1</v>
      </c>
      <c r="S6" s="104">
        <v>30500</v>
      </c>
      <c r="T6" s="104">
        <v>0</v>
      </c>
      <c r="U6" s="104">
        <v>1111.42</v>
      </c>
      <c r="V6" s="103">
        <v>3.8999999999999999E-5</v>
      </c>
      <c r="W6" s="103">
        <v>1.695E-2</v>
      </c>
      <c r="X6" s="103">
        <v>2.7700000000000001E-4</v>
      </c>
    </row>
    <row r="7" spans="1:26" ht="13.5" customHeight="1">
      <c r="A7" s="101">
        <v>274</v>
      </c>
      <c r="B7" s="101">
        <v>274</v>
      </c>
      <c r="C7" s="101" t="s">
        <v>1433</v>
      </c>
      <c r="D7" s="101">
        <v>520029984</v>
      </c>
      <c r="E7" s="101" t="s">
        <v>308</v>
      </c>
      <c r="F7" s="101" t="s">
        <v>1433</v>
      </c>
      <c r="G7" s="101" t="s">
        <v>1434</v>
      </c>
      <c r="H7" s="101" t="s">
        <v>319</v>
      </c>
      <c r="I7" s="101" t="s">
        <v>925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443</v>
      </c>
      <c r="O7" s="101" t="s">
        <v>336</v>
      </c>
      <c r="P7" s="101" t="s">
        <v>1241</v>
      </c>
      <c r="Q7" s="104">
        <v>29780</v>
      </c>
      <c r="R7" s="104">
        <v>1</v>
      </c>
      <c r="S7" s="104">
        <v>1650</v>
      </c>
      <c r="T7" s="104">
        <v>0</v>
      </c>
      <c r="U7" s="104">
        <v>491.37</v>
      </c>
      <c r="V7" s="103">
        <v>2.8E-5</v>
      </c>
      <c r="W7" s="103">
        <v>7.4939999999999998E-3</v>
      </c>
      <c r="X7" s="103">
        <v>1.22E-4</v>
      </c>
    </row>
    <row r="8" spans="1:26" ht="13.5" customHeight="1">
      <c r="A8" s="101">
        <v>274</v>
      </c>
      <c r="B8" s="101">
        <v>274</v>
      </c>
      <c r="C8" s="101" t="s">
        <v>1435</v>
      </c>
      <c r="D8" s="101">
        <v>514454701</v>
      </c>
      <c r="E8" s="101" t="s">
        <v>308</v>
      </c>
      <c r="F8" s="101" t="s">
        <v>1436</v>
      </c>
      <c r="G8" s="101" t="s">
        <v>1437</v>
      </c>
      <c r="H8" s="101" t="s">
        <v>319</v>
      </c>
      <c r="I8" s="101" t="s">
        <v>925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444</v>
      </c>
      <c r="O8" s="101" t="s">
        <v>336</v>
      </c>
      <c r="P8" s="101" t="s">
        <v>1241</v>
      </c>
      <c r="Q8" s="104">
        <v>11885</v>
      </c>
      <c r="R8" s="104">
        <v>1</v>
      </c>
      <c r="S8" s="104">
        <v>3666</v>
      </c>
      <c r="T8" s="104">
        <v>0</v>
      </c>
      <c r="U8" s="104">
        <v>435.70409999999998</v>
      </c>
      <c r="V8" s="103">
        <v>1.6000000000000001E-4</v>
      </c>
      <c r="W8" s="103">
        <v>6.6449999999999999E-3</v>
      </c>
      <c r="X8" s="103">
        <v>1.08E-4</v>
      </c>
    </row>
    <row r="9" spans="1:26" ht="13.5" customHeight="1">
      <c r="A9" s="101">
        <v>274</v>
      </c>
      <c r="B9" s="101">
        <v>274</v>
      </c>
      <c r="C9" s="101" t="s">
        <v>1438</v>
      </c>
      <c r="D9" s="101">
        <v>512607888</v>
      </c>
      <c r="E9" s="101" t="s">
        <v>308</v>
      </c>
      <c r="F9" s="101" t="s">
        <v>1438</v>
      </c>
      <c r="G9" s="101" t="s">
        <v>1439</v>
      </c>
      <c r="H9" s="101" t="s">
        <v>319</v>
      </c>
      <c r="I9" s="101" t="s">
        <v>925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459</v>
      </c>
      <c r="O9" s="101" t="s">
        <v>336</v>
      </c>
      <c r="P9" s="101" t="s">
        <v>1241</v>
      </c>
      <c r="Q9" s="104">
        <v>866</v>
      </c>
      <c r="R9" s="104">
        <v>1</v>
      </c>
      <c r="S9" s="104">
        <v>57240</v>
      </c>
      <c r="T9" s="104">
        <v>0</v>
      </c>
      <c r="U9" s="104">
        <v>495.69839999999999</v>
      </c>
      <c r="V9" s="103">
        <v>5.1999999999999997E-5</v>
      </c>
      <c r="W9" s="103">
        <v>7.5599999999999999E-3</v>
      </c>
      <c r="X9" s="103">
        <v>1.2300000000000001E-4</v>
      </c>
    </row>
    <row r="10" spans="1:26" ht="13.5" customHeight="1">
      <c r="A10" s="101">
        <v>274</v>
      </c>
      <c r="B10" s="101">
        <v>274</v>
      </c>
      <c r="C10" s="101" t="s">
        <v>1440</v>
      </c>
      <c r="D10" s="101">
        <v>520036120</v>
      </c>
      <c r="E10" s="101" t="s">
        <v>308</v>
      </c>
      <c r="F10" s="101" t="s">
        <v>1441</v>
      </c>
      <c r="G10" s="101" t="s">
        <v>1442</v>
      </c>
      <c r="H10" s="101" t="s">
        <v>319</v>
      </c>
      <c r="I10" s="101" t="s">
        <v>925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443</v>
      </c>
      <c r="O10" s="101" t="s">
        <v>336</v>
      </c>
      <c r="P10" s="101" t="s">
        <v>1241</v>
      </c>
      <c r="Q10" s="104">
        <v>4459</v>
      </c>
      <c r="R10" s="104">
        <v>1</v>
      </c>
      <c r="S10" s="104">
        <v>22200</v>
      </c>
      <c r="T10" s="104">
        <v>0</v>
      </c>
      <c r="U10" s="104">
        <v>989.89800000000002</v>
      </c>
      <c r="V10" s="103">
        <v>5.5000000000000002E-5</v>
      </c>
      <c r="W10" s="103">
        <v>1.5096999999999999E-2</v>
      </c>
      <c r="X10" s="103">
        <v>2.4699999999999999E-4</v>
      </c>
    </row>
    <row r="11" spans="1:26" ht="13.5" customHeight="1">
      <c r="A11" s="101">
        <v>274</v>
      </c>
      <c r="B11" s="101">
        <v>274</v>
      </c>
      <c r="C11" s="101" t="s">
        <v>1443</v>
      </c>
      <c r="D11" s="101">
        <v>514892801</v>
      </c>
      <c r="E11" s="101" t="s">
        <v>308</v>
      </c>
      <c r="F11" s="101" t="s">
        <v>1443</v>
      </c>
      <c r="G11" s="101" t="s">
        <v>1444</v>
      </c>
      <c r="H11" s="101" t="s">
        <v>319</v>
      </c>
      <c r="I11" s="101" t="s">
        <v>925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461</v>
      </c>
      <c r="O11" s="101" t="s">
        <v>336</v>
      </c>
      <c r="P11" s="101" t="s">
        <v>1241</v>
      </c>
      <c r="Q11" s="104">
        <v>14010</v>
      </c>
      <c r="R11" s="104">
        <v>1</v>
      </c>
      <c r="S11" s="104">
        <v>3747</v>
      </c>
      <c r="T11" s="104">
        <v>0</v>
      </c>
      <c r="U11" s="104">
        <v>524.9547</v>
      </c>
      <c r="V11" s="103">
        <v>3.8999999999999999E-5</v>
      </c>
      <c r="W11" s="103">
        <v>8.0059999999999992E-3</v>
      </c>
      <c r="X11" s="103">
        <v>1.3100000000000001E-4</v>
      </c>
    </row>
    <row r="12" spans="1:26" ht="13.5" customHeight="1">
      <c r="A12" s="101">
        <v>274</v>
      </c>
      <c r="B12" s="101">
        <v>274</v>
      </c>
      <c r="C12" s="101" t="s">
        <v>1445</v>
      </c>
      <c r="D12" s="101">
        <v>513623314</v>
      </c>
      <c r="E12" s="101" t="s">
        <v>308</v>
      </c>
      <c r="F12" s="101" t="s">
        <v>1446</v>
      </c>
      <c r="G12" s="101" t="s">
        <v>1447</v>
      </c>
      <c r="H12" s="101" t="s">
        <v>319</v>
      </c>
      <c r="I12" s="101" t="s">
        <v>925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462</v>
      </c>
      <c r="O12" s="101" t="s">
        <v>336</v>
      </c>
      <c r="P12" s="101" t="s">
        <v>1241</v>
      </c>
      <c r="Q12" s="104">
        <v>613</v>
      </c>
      <c r="R12" s="104">
        <v>1</v>
      </c>
      <c r="S12" s="104">
        <v>71680</v>
      </c>
      <c r="T12" s="104">
        <v>0</v>
      </c>
      <c r="U12" s="104">
        <v>439.39839999999998</v>
      </c>
      <c r="V12" s="103">
        <v>2.4000000000000001E-5</v>
      </c>
      <c r="W12" s="103">
        <v>6.7010000000000004E-3</v>
      </c>
      <c r="X12" s="103">
        <v>1.0900000000000001E-4</v>
      </c>
    </row>
    <row r="13" spans="1:26" ht="13.5" customHeight="1">
      <c r="A13" s="101">
        <v>274</v>
      </c>
      <c r="B13" s="101">
        <v>274</v>
      </c>
      <c r="C13" s="101" t="s">
        <v>1448</v>
      </c>
      <c r="D13" s="101">
        <v>511812463</v>
      </c>
      <c r="E13" s="101" t="s">
        <v>308</v>
      </c>
      <c r="F13" s="101" t="s">
        <v>1449</v>
      </c>
      <c r="G13" s="101" t="s">
        <v>1450</v>
      </c>
      <c r="H13" s="101" t="s">
        <v>319</v>
      </c>
      <c r="I13" s="101" t="s">
        <v>925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456</v>
      </c>
      <c r="O13" s="101" t="s">
        <v>336</v>
      </c>
      <c r="P13" s="101" t="s">
        <v>1241</v>
      </c>
      <c r="Q13" s="104">
        <v>820</v>
      </c>
      <c r="R13" s="104">
        <v>1</v>
      </c>
      <c r="S13" s="104">
        <v>135650</v>
      </c>
      <c r="T13" s="104">
        <v>0</v>
      </c>
      <c r="U13" s="104">
        <v>1112.33</v>
      </c>
      <c r="V13" s="103">
        <v>2.5999999999999998E-5</v>
      </c>
      <c r="W13" s="103">
        <v>1.6964E-2</v>
      </c>
      <c r="X13" s="103">
        <v>2.7700000000000001E-4</v>
      </c>
    </row>
    <row r="14" spans="1:26" ht="13.5" customHeight="1">
      <c r="A14" s="101">
        <v>274</v>
      </c>
      <c r="B14" s="101">
        <v>274</v>
      </c>
      <c r="C14" s="101" t="s">
        <v>1451</v>
      </c>
      <c r="D14" s="101">
        <v>520013954</v>
      </c>
      <c r="E14" s="101" t="s">
        <v>308</v>
      </c>
      <c r="F14" s="101" t="s">
        <v>1451</v>
      </c>
      <c r="G14" s="101" t="s">
        <v>1452</v>
      </c>
      <c r="H14" s="101" t="s">
        <v>319</v>
      </c>
      <c r="I14" s="101" t="s">
        <v>925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465</v>
      </c>
      <c r="O14" s="101" t="s">
        <v>336</v>
      </c>
      <c r="P14" s="101" t="s">
        <v>1241</v>
      </c>
      <c r="Q14" s="104">
        <v>23006</v>
      </c>
      <c r="R14" s="104">
        <v>1</v>
      </c>
      <c r="S14" s="104">
        <v>9239</v>
      </c>
      <c r="T14" s="104">
        <v>0</v>
      </c>
      <c r="U14" s="104">
        <v>2125.5243399999999</v>
      </c>
      <c r="V14" s="103">
        <v>1.8E-5</v>
      </c>
      <c r="W14" s="103">
        <v>3.2417000000000001E-2</v>
      </c>
      <c r="X14" s="103">
        <v>5.2999999999999998E-4</v>
      </c>
    </row>
    <row r="15" spans="1:26" ht="13.5" customHeight="1">
      <c r="A15" s="101">
        <v>274</v>
      </c>
      <c r="B15" s="101">
        <v>274</v>
      </c>
      <c r="C15" s="101" t="s">
        <v>1453</v>
      </c>
      <c r="D15" s="101">
        <v>550013098</v>
      </c>
      <c r="E15" s="101" t="s">
        <v>308</v>
      </c>
      <c r="F15" s="101" t="s">
        <v>1454</v>
      </c>
      <c r="G15" s="101" t="s">
        <v>1455</v>
      </c>
      <c r="H15" s="101" t="s">
        <v>319</v>
      </c>
      <c r="I15" s="101" t="s">
        <v>925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452</v>
      </c>
      <c r="O15" s="101" t="s">
        <v>336</v>
      </c>
      <c r="P15" s="101" t="s">
        <v>1241</v>
      </c>
      <c r="Q15" s="104">
        <v>13070</v>
      </c>
      <c r="R15" s="104">
        <v>1</v>
      </c>
      <c r="S15" s="104">
        <v>1799</v>
      </c>
      <c r="T15" s="104">
        <v>0</v>
      </c>
      <c r="U15" s="104">
        <v>235.1293</v>
      </c>
      <c r="V15" s="103">
        <v>1.1E-5</v>
      </c>
      <c r="W15" s="103">
        <v>3.5860000000000002E-3</v>
      </c>
      <c r="X15" s="103">
        <v>5.8E-5</v>
      </c>
    </row>
    <row r="16" spans="1:26" ht="13.5" customHeight="1">
      <c r="A16" s="101">
        <v>274</v>
      </c>
      <c r="B16" s="101">
        <v>274</v>
      </c>
      <c r="C16" s="101" t="s">
        <v>1231</v>
      </c>
      <c r="D16" s="101">
        <v>520000118</v>
      </c>
      <c r="E16" s="101" t="s">
        <v>308</v>
      </c>
      <c r="F16" s="101" t="s">
        <v>1456</v>
      </c>
      <c r="G16" s="101" t="s">
        <v>1457</v>
      </c>
      <c r="H16" s="101" t="s">
        <v>319</v>
      </c>
      <c r="I16" s="101" t="s">
        <v>925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446</v>
      </c>
      <c r="O16" s="101" t="s">
        <v>336</v>
      </c>
      <c r="P16" s="101" t="s">
        <v>1241</v>
      </c>
      <c r="Q16" s="104">
        <v>47408.18</v>
      </c>
      <c r="R16" s="104">
        <v>1</v>
      </c>
      <c r="S16" s="104">
        <v>7332</v>
      </c>
      <c r="T16" s="104">
        <v>0</v>
      </c>
      <c r="U16" s="104">
        <v>3475.96776</v>
      </c>
      <c r="V16" s="103">
        <v>3.4999999999999997E-5</v>
      </c>
      <c r="W16" s="103">
        <v>5.3012999999999998E-2</v>
      </c>
      <c r="X16" s="103">
        <v>8.6700000000000004E-4</v>
      </c>
    </row>
    <row r="17" spans="1:24" ht="13.5" customHeight="1">
      <c r="A17" s="101">
        <v>274</v>
      </c>
      <c r="B17" s="101">
        <v>274</v>
      </c>
      <c r="C17" s="101" t="s">
        <v>1458</v>
      </c>
      <c r="D17" s="101">
        <v>520036104</v>
      </c>
      <c r="E17" s="101" t="s">
        <v>308</v>
      </c>
      <c r="F17" s="101" t="s">
        <v>1458</v>
      </c>
      <c r="G17" s="101" t="s">
        <v>1459</v>
      </c>
      <c r="H17" s="101" t="s">
        <v>319</v>
      </c>
      <c r="I17" s="101" t="s">
        <v>925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445</v>
      </c>
      <c r="O17" s="101" t="s">
        <v>336</v>
      </c>
      <c r="P17" s="101" t="s">
        <v>1241</v>
      </c>
      <c r="Q17" s="104">
        <v>10262.6</v>
      </c>
      <c r="R17" s="104">
        <v>1</v>
      </c>
      <c r="S17" s="104">
        <v>1642</v>
      </c>
      <c r="T17" s="104">
        <v>0</v>
      </c>
      <c r="U17" s="104">
        <v>168.51188999999999</v>
      </c>
      <c r="V17" s="103">
        <v>1.7E-5</v>
      </c>
      <c r="W17" s="103">
        <v>2.5699999999999998E-3</v>
      </c>
      <c r="X17" s="103">
        <v>4.1999999999999998E-5</v>
      </c>
    </row>
    <row r="18" spans="1:24" ht="13.5" customHeight="1">
      <c r="A18" s="101">
        <v>274</v>
      </c>
      <c r="B18" s="101">
        <v>274</v>
      </c>
      <c r="C18" s="101" t="s">
        <v>1460</v>
      </c>
      <c r="D18" s="101">
        <v>550263107</v>
      </c>
      <c r="E18" s="101" t="s">
        <v>309</v>
      </c>
      <c r="F18" s="101" t="s">
        <v>1461</v>
      </c>
      <c r="G18" s="101" t="s">
        <v>1462</v>
      </c>
      <c r="H18" s="101" t="s">
        <v>319</v>
      </c>
      <c r="I18" s="101" t="s">
        <v>925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452</v>
      </c>
      <c r="O18" s="101" t="s">
        <v>336</v>
      </c>
      <c r="P18" s="101" t="s">
        <v>1241</v>
      </c>
      <c r="Q18" s="104">
        <v>7227</v>
      </c>
      <c r="R18" s="104">
        <v>1</v>
      </c>
      <c r="S18" s="104">
        <v>12900</v>
      </c>
      <c r="T18" s="104">
        <v>0</v>
      </c>
      <c r="U18" s="104">
        <v>932.28300000000002</v>
      </c>
      <c r="V18" s="103">
        <v>6.0000000000000002E-5</v>
      </c>
      <c r="W18" s="103">
        <v>1.4218E-2</v>
      </c>
      <c r="X18" s="103">
        <v>2.32E-4</v>
      </c>
    </row>
    <row r="19" spans="1:24" ht="13.5" customHeight="1">
      <c r="A19" s="101">
        <v>274</v>
      </c>
      <c r="B19" s="101">
        <v>274</v>
      </c>
      <c r="C19" s="101" t="s">
        <v>1463</v>
      </c>
      <c r="D19" s="101">
        <v>520000522</v>
      </c>
      <c r="E19" s="101" t="s">
        <v>308</v>
      </c>
      <c r="F19" s="101" t="s">
        <v>1464</v>
      </c>
      <c r="G19" s="101" t="s">
        <v>1465</v>
      </c>
      <c r="H19" s="101" t="s">
        <v>319</v>
      </c>
      <c r="I19" s="101" t="s">
        <v>925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446</v>
      </c>
      <c r="O19" s="101" t="s">
        <v>336</v>
      </c>
      <c r="P19" s="101" t="s">
        <v>1241</v>
      </c>
      <c r="Q19" s="104">
        <v>12834</v>
      </c>
      <c r="R19" s="104">
        <v>1</v>
      </c>
      <c r="S19" s="104">
        <v>22780</v>
      </c>
      <c r="T19" s="104">
        <v>0</v>
      </c>
      <c r="U19" s="104">
        <v>2923.5852</v>
      </c>
      <c r="V19" s="103">
        <v>4.8999999999999998E-5</v>
      </c>
      <c r="W19" s="103">
        <v>4.4588999999999997E-2</v>
      </c>
      <c r="X19" s="103">
        <v>7.2900000000000005E-4</v>
      </c>
    </row>
    <row r="20" spans="1:24" ht="13.5" customHeight="1">
      <c r="A20" s="101">
        <v>274</v>
      </c>
      <c r="B20" s="101">
        <v>274</v>
      </c>
      <c r="C20" s="101" t="s">
        <v>1466</v>
      </c>
      <c r="D20" s="101">
        <v>520003781</v>
      </c>
      <c r="E20" s="101" t="s">
        <v>308</v>
      </c>
      <c r="F20" s="101" t="s">
        <v>1467</v>
      </c>
      <c r="G20" s="101" t="s">
        <v>1468</v>
      </c>
      <c r="H20" s="101" t="s">
        <v>319</v>
      </c>
      <c r="I20" s="101" t="s">
        <v>925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457</v>
      </c>
      <c r="O20" s="101" t="s">
        <v>336</v>
      </c>
      <c r="P20" s="101" t="s">
        <v>1241</v>
      </c>
      <c r="Q20" s="104">
        <v>5325</v>
      </c>
      <c r="R20" s="104">
        <v>1</v>
      </c>
      <c r="S20" s="104">
        <v>13820</v>
      </c>
      <c r="T20" s="104">
        <v>0</v>
      </c>
      <c r="U20" s="104">
        <v>735.91499999999996</v>
      </c>
      <c r="V20" s="103">
        <v>4.5000000000000003E-5</v>
      </c>
      <c r="W20" s="103">
        <v>1.1223E-2</v>
      </c>
      <c r="X20" s="103">
        <v>1.83E-4</v>
      </c>
    </row>
    <row r="21" spans="1:24" ht="13.5" customHeight="1">
      <c r="A21" s="101">
        <v>274</v>
      </c>
      <c r="B21" s="101">
        <v>274</v>
      </c>
      <c r="C21" s="101" t="s">
        <v>1469</v>
      </c>
      <c r="D21" s="101">
        <v>520029083</v>
      </c>
      <c r="E21" s="101" t="s">
        <v>308</v>
      </c>
      <c r="F21" s="101" t="s">
        <v>1470</v>
      </c>
      <c r="G21" s="101" t="s">
        <v>1471</v>
      </c>
      <c r="H21" s="101" t="s">
        <v>319</v>
      </c>
      <c r="I21" s="101" t="s">
        <v>925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446</v>
      </c>
      <c r="O21" s="101" t="s">
        <v>336</v>
      </c>
      <c r="P21" s="101" t="s">
        <v>1241</v>
      </c>
      <c r="Q21" s="104">
        <v>4288</v>
      </c>
      <c r="R21" s="104">
        <v>1</v>
      </c>
      <c r="S21" s="104">
        <v>24230</v>
      </c>
      <c r="T21" s="104">
        <v>0</v>
      </c>
      <c r="U21" s="104">
        <v>1038.9824000000001</v>
      </c>
      <c r="V21" s="103">
        <v>4.1999999999999998E-5</v>
      </c>
      <c r="W21" s="103">
        <v>1.5845999999999999E-2</v>
      </c>
      <c r="X21" s="103">
        <v>2.5900000000000001E-4</v>
      </c>
    </row>
    <row r="22" spans="1:24" ht="13.5" customHeight="1">
      <c r="A22" s="101">
        <v>274</v>
      </c>
      <c r="B22" s="101">
        <v>274</v>
      </c>
      <c r="C22" s="101" t="s">
        <v>1472</v>
      </c>
      <c r="D22" s="101">
        <v>511399388</v>
      </c>
      <c r="E22" s="101" t="s">
        <v>308</v>
      </c>
      <c r="F22" s="101" t="s">
        <v>1472</v>
      </c>
      <c r="G22" s="101" t="s">
        <v>1473</v>
      </c>
      <c r="H22" s="101" t="s">
        <v>319</v>
      </c>
      <c r="I22" s="101" t="s">
        <v>925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313</v>
      </c>
      <c r="O22" s="101" t="s">
        <v>336</v>
      </c>
      <c r="P22" s="101" t="s">
        <v>1241</v>
      </c>
      <c r="Q22" s="104">
        <v>1194</v>
      </c>
      <c r="R22" s="104">
        <v>1</v>
      </c>
      <c r="S22" s="104">
        <v>42240</v>
      </c>
      <c r="T22" s="104">
        <v>0</v>
      </c>
      <c r="U22" s="104">
        <v>504.34559999999999</v>
      </c>
      <c r="V22" s="103">
        <v>5.3000000000000001E-5</v>
      </c>
      <c r="W22" s="103">
        <v>7.6920000000000001E-3</v>
      </c>
      <c r="X22" s="103">
        <v>1.25E-4</v>
      </c>
    </row>
    <row r="23" spans="1:24" ht="13.5" customHeight="1">
      <c r="A23" s="101">
        <v>274</v>
      </c>
      <c r="B23" s="101">
        <v>274</v>
      </c>
      <c r="C23" s="101" t="s">
        <v>1474</v>
      </c>
      <c r="D23" s="101">
        <v>510381601</v>
      </c>
      <c r="E23" s="101" t="s">
        <v>308</v>
      </c>
      <c r="F23" s="101" t="s">
        <v>1475</v>
      </c>
      <c r="G23" s="101" t="s">
        <v>1476</v>
      </c>
      <c r="H23" s="101" t="s">
        <v>319</v>
      </c>
      <c r="I23" s="101" t="s">
        <v>925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445</v>
      </c>
      <c r="O23" s="101" t="s">
        <v>336</v>
      </c>
      <c r="P23" s="101" t="s">
        <v>1241</v>
      </c>
      <c r="Q23" s="104">
        <v>2955</v>
      </c>
      <c r="R23" s="104">
        <v>1</v>
      </c>
      <c r="S23" s="104">
        <v>6851</v>
      </c>
      <c r="T23" s="104">
        <v>0</v>
      </c>
      <c r="U23" s="104">
        <v>202.44704999999999</v>
      </c>
      <c r="V23" s="103">
        <v>2.5999999999999998E-5</v>
      </c>
      <c r="W23" s="103">
        <v>3.0869999999999999E-3</v>
      </c>
      <c r="X23" s="103">
        <v>5.0000000000000002E-5</v>
      </c>
    </row>
    <row r="24" spans="1:24" ht="13.5" customHeight="1">
      <c r="A24" s="101">
        <v>274</v>
      </c>
      <c r="B24" s="101">
        <v>274</v>
      </c>
      <c r="C24" s="101" t="s">
        <v>1477</v>
      </c>
      <c r="D24" s="101">
        <v>514615590</v>
      </c>
      <c r="E24" s="101" t="s">
        <v>308</v>
      </c>
      <c r="F24" s="101" t="s">
        <v>1478</v>
      </c>
      <c r="G24" s="101" t="s">
        <v>1479</v>
      </c>
      <c r="H24" s="101" t="s">
        <v>319</v>
      </c>
      <c r="I24" s="101" t="s">
        <v>925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444</v>
      </c>
      <c r="O24" s="101" t="s">
        <v>336</v>
      </c>
      <c r="P24" s="101" t="s">
        <v>1241</v>
      </c>
      <c r="Q24" s="104">
        <v>13763</v>
      </c>
      <c r="R24" s="104">
        <v>1</v>
      </c>
      <c r="S24" s="104">
        <v>1807</v>
      </c>
      <c r="T24" s="104">
        <v>0</v>
      </c>
      <c r="U24" s="104">
        <v>248.69740999999999</v>
      </c>
      <c r="V24" s="103">
        <v>2.6800000000000001E-4</v>
      </c>
      <c r="W24" s="103">
        <v>3.7929999999999999E-3</v>
      </c>
      <c r="X24" s="103">
        <v>6.2000000000000003E-5</v>
      </c>
    </row>
    <row r="25" spans="1:24" ht="13.5" customHeight="1">
      <c r="A25" s="101">
        <v>274</v>
      </c>
      <c r="B25" s="101">
        <v>274</v>
      </c>
      <c r="C25" s="101" t="s">
        <v>1480</v>
      </c>
      <c r="D25" s="101">
        <v>520031931</v>
      </c>
      <c r="E25" s="101" t="s">
        <v>308</v>
      </c>
      <c r="F25" s="101" t="s">
        <v>1481</v>
      </c>
      <c r="G25" s="101" t="s">
        <v>1482</v>
      </c>
      <c r="H25" s="101" t="s">
        <v>319</v>
      </c>
      <c r="I25" s="101" t="s">
        <v>925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482</v>
      </c>
      <c r="O25" s="101" t="s">
        <v>336</v>
      </c>
      <c r="P25" s="101" t="s">
        <v>1241</v>
      </c>
      <c r="Q25" s="104">
        <v>212674.5</v>
      </c>
      <c r="R25" s="104">
        <v>1</v>
      </c>
      <c r="S25" s="104">
        <v>749</v>
      </c>
      <c r="T25" s="104">
        <v>0</v>
      </c>
      <c r="U25" s="104">
        <v>1592.93201</v>
      </c>
      <c r="V25" s="103">
        <v>7.6000000000000004E-5</v>
      </c>
      <c r="W25" s="103">
        <v>2.4294E-2</v>
      </c>
      <c r="X25" s="103">
        <v>3.97E-4</v>
      </c>
    </row>
    <row r="26" spans="1:24" ht="13.5" customHeight="1">
      <c r="A26" s="101">
        <v>274</v>
      </c>
      <c r="B26" s="101">
        <v>274</v>
      </c>
      <c r="C26" s="101" t="s">
        <v>1483</v>
      </c>
      <c r="D26" s="101">
        <v>520033986</v>
      </c>
      <c r="E26" s="101" t="s">
        <v>308</v>
      </c>
      <c r="F26" s="101" t="s">
        <v>1483</v>
      </c>
      <c r="G26" s="101" t="s">
        <v>1484</v>
      </c>
      <c r="H26" s="101" t="s">
        <v>319</v>
      </c>
      <c r="I26" s="101" t="s">
        <v>925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443</v>
      </c>
      <c r="O26" s="101" t="s">
        <v>336</v>
      </c>
      <c r="P26" s="101" t="s">
        <v>1241</v>
      </c>
      <c r="Q26" s="104">
        <v>11210</v>
      </c>
      <c r="R26" s="104">
        <v>1</v>
      </c>
      <c r="S26" s="104">
        <v>17410</v>
      </c>
      <c r="T26" s="104">
        <v>0</v>
      </c>
      <c r="U26" s="104">
        <v>1951.6610000000001</v>
      </c>
      <c r="V26" s="103">
        <v>4.8999999999999998E-5</v>
      </c>
      <c r="W26" s="103">
        <v>2.9765E-2</v>
      </c>
      <c r="X26" s="103">
        <v>4.8700000000000002E-4</v>
      </c>
    </row>
    <row r="27" spans="1:24" ht="13.5" customHeight="1">
      <c r="A27" s="101">
        <v>274</v>
      </c>
      <c r="B27" s="101">
        <v>274</v>
      </c>
      <c r="C27" s="101" t="s">
        <v>1485</v>
      </c>
      <c r="D27" s="101">
        <v>514401702</v>
      </c>
      <c r="E27" s="101" t="s">
        <v>308</v>
      </c>
      <c r="F27" s="101" t="s">
        <v>1485</v>
      </c>
      <c r="G27" s="101" t="s">
        <v>1486</v>
      </c>
      <c r="H27" s="101" t="s">
        <v>319</v>
      </c>
      <c r="I27" s="101" t="s">
        <v>925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438</v>
      </c>
      <c r="O27" s="101" t="s">
        <v>336</v>
      </c>
      <c r="P27" s="101" t="s">
        <v>1241</v>
      </c>
      <c r="Q27" s="104">
        <v>9750.36</v>
      </c>
      <c r="R27" s="104">
        <v>1</v>
      </c>
      <c r="S27" s="104">
        <v>10860</v>
      </c>
      <c r="T27" s="104">
        <v>0</v>
      </c>
      <c r="U27" s="104">
        <v>1058.8891000000001</v>
      </c>
      <c r="V27" s="103">
        <v>3.1000000000000001E-5</v>
      </c>
      <c r="W27" s="103">
        <v>1.6149E-2</v>
      </c>
      <c r="X27" s="103">
        <v>2.6400000000000002E-4</v>
      </c>
    </row>
    <row r="28" spans="1:24" ht="13.5" customHeight="1">
      <c r="A28" s="101">
        <v>274</v>
      </c>
      <c r="B28" s="101">
        <v>274</v>
      </c>
      <c r="C28" s="101" t="s">
        <v>1487</v>
      </c>
      <c r="D28" s="101">
        <v>520026683</v>
      </c>
      <c r="E28" s="101" t="s">
        <v>308</v>
      </c>
      <c r="F28" s="101" t="s">
        <v>1488</v>
      </c>
      <c r="G28" s="101" t="s">
        <v>1489</v>
      </c>
      <c r="H28" s="101" t="s">
        <v>319</v>
      </c>
      <c r="I28" s="101" t="s">
        <v>925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462</v>
      </c>
      <c r="O28" s="101" t="s">
        <v>336</v>
      </c>
      <c r="P28" s="101" t="s">
        <v>1241</v>
      </c>
      <c r="Q28" s="104">
        <v>20323</v>
      </c>
      <c r="R28" s="104">
        <v>1</v>
      </c>
      <c r="S28" s="104">
        <v>1923</v>
      </c>
      <c r="T28" s="104">
        <v>0</v>
      </c>
      <c r="U28" s="104">
        <v>390.81128999999999</v>
      </c>
      <c r="V28" s="103">
        <v>4.1E-5</v>
      </c>
      <c r="W28" s="103">
        <v>5.96E-3</v>
      </c>
      <c r="X28" s="103">
        <v>9.7E-5</v>
      </c>
    </row>
    <row r="29" spans="1:24" ht="13.5" customHeight="1">
      <c r="A29" s="101">
        <v>274</v>
      </c>
      <c r="B29" s="101">
        <v>274</v>
      </c>
      <c r="C29" s="101" t="s">
        <v>1490</v>
      </c>
      <c r="D29" s="101">
        <v>520022732</v>
      </c>
      <c r="E29" s="101" t="s">
        <v>308</v>
      </c>
      <c r="F29" s="101" t="s">
        <v>1490</v>
      </c>
      <c r="G29" s="101" t="s">
        <v>1491</v>
      </c>
      <c r="H29" s="101" t="s">
        <v>319</v>
      </c>
      <c r="I29" s="101" t="s">
        <v>925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473</v>
      </c>
      <c r="O29" s="101" t="s">
        <v>336</v>
      </c>
      <c r="P29" s="101" t="s">
        <v>1241</v>
      </c>
      <c r="Q29" s="104">
        <v>15357</v>
      </c>
      <c r="R29" s="104">
        <v>1</v>
      </c>
      <c r="S29" s="104">
        <v>4593</v>
      </c>
      <c r="T29" s="104">
        <v>0</v>
      </c>
      <c r="U29" s="104">
        <v>705.34700999999995</v>
      </c>
      <c r="V29" s="103">
        <v>5.5000000000000002E-5</v>
      </c>
      <c r="W29" s="103">
        <v>1.0756999999999999E-2</v>
      </c>
      <c r="X29" s="103">
        <v>1.76E-4</v>
      </c>
    </row>
    <row r="30" spans="1:24" ht="13.5" customHeight="1">
      <c r="A30" s="101">
        <v>274</v>
      </c>
      <c r="B30" s="101">
        <v>274</v>
      </c>
      <c r="C30" s="101" t="s">
        <v>1492</v>
      </c>
      <c r="D30" s="101">
        <v>520043027</v>
      </c>
      <c r="E30" s="101" t="s">
        <v>308</v>
      </c>
      <c r="F30" s="101" t="s">
        <v>1492</v>
      </c>
      <c r="G30" s="101" t="s">
        <v>1493</v>
      </c>
      <c r="H30" s="101" t="s">
        <v>319</v>
      </c>
      <c r="I30" s="101" t="s">
        <v>925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444</v>
      </c>
      <c r="O30" s="101" t="s">
        <v>336</v>
      </c>
      <c r="P30" s="101" t="s">
        <v>1241</v>
      </c>
      <c r="Q30" s="104">
        <v>1924</v>
      </c>
      <c r="R30" s="104">
        <v>1</v>
      </c>
      <c r="S30" s="104">
        <v>263700</v>
      </c>
      <c r="T30" s="104">
        <v>0</v>
      </c>
      <c r="U30" s="104">
        <v>5073.5879999999997</v>
      </c>
      <c r="V30" s="103">
        <v>4.1E-5</v>
      </c>
      <c r="W30" s="103">
        <v>7.7379000000000003E-2</v>
      </c>
      <c r="X30" s="103">
        <v>1.266E-3</v>
      </c>
    </row>
    <row r="31" spans="1:24" ht="13.5" customHeight="1">
      <c r="A31" s="101">
        <v>274</v>
      </c>
      <c r="B31" s="101">
        <v>274</v>
      </c>
      <c r="C31" s="101" t="s">
        <v>1494</v>
      </c>
      <c r="D31" s="101">
        <v>520028010</v>
      </c>
      <c r="E31" s="101" t="s">
        <v>308</v>
      </c>
      <c r="F31" s="101" t="s">
        <v>1495</v>
      </c>
      <c r="G31" s="101" t="s">
        <v>1496</v>
      </c>
      <c r="H31" s="101" t="s">
        <v>319</v>
      </c>
      <c r="I31" s="101" t="s">
        <v>925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449</v>
      </c>
      <c r="O31" s="101" t="s">
        <v>336</v>
      </c>
      <c r="P31" s="101" t="s">
        <v>1241</v>
      </c>
      <c r="Q31" s="104">
        <v>330</v>
      </c>
      <c r="R31" s="104">
        <v>1</v>
      </c>
      <c r="S31" s="104">
        <v>87870</v>
      </c>
      <c r="T31" s="104">
        <v>0</v>
      </c>
      <c r="U31" s="104">
        <v>289.971</v>
      </c>
      <c r="V31" s="103">
        <v>4.1999999999999998E-5</v>
      </c>
      <c r="W31" s="103">
        <v>4.4219999999999997E-3</v>
      </c>
      <c r="X31" s="103">
        <v>7.2000000000000002E-5</v>
      </c>
    </row>
    <row r="32" spans="1:24" ht="13.5" customHeight="1">
      <c r="A32" s="101">
        <v>274</v>
      </c>
      <c r="B32" s="101">
        <v>274</v>
      </c>
      <c r="C32" s="101" t="s">
        <v>1497</v>
      </c>
      <c r="D32" s="101">
        <v>520044314</v>
      </c>
      <c r="E32" s="101" t="s">
        <v>308</v>
      </c>
      <c r="F32" s="101" t="s">
        <v>1497</v>
      </c>
      <c r="G32" s="101" t="s">
        <v>1498</v>
      </c>
      <c r="H32" s="101" t="s">
        <v>319</v>
      </c>
      <c r="I32" s="101" t="s">
        <v>925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460</v>
      </c>
      <c r="O32" s="101" t="s">
        <v>336</v>
      </c>
      <c r="P32" s="101" t="s">
        <v>1241</v>
      </c>
      <c r="Q32" s="104">
        <v>4347</v>
      </c>
      <c r="R32" s="104">
        <v>1</v>
      </c>
      <c r="S32" s="104">
        <v>3509</v>
      </c>
      <c r="T32" s="104">
        <v>0</v>
      </c>
      <c r="U32" s="104">
        <v>152.53622999999999</v>
      </c>
      <c r="V32" s="103">
        <v>2.1999999999999999E-5</v>
      </c>
      <c r="W32" s="103">
        <v>2.3259999999999999E-3</v>
      </c>
      <c r="X32" s="103">
        <v>3.8000000000000002E-5</v>
      </c>
    </row>
    <row r="33" spans="1:24" ht="13.5" customHeight="1">
      <c r="A33" s="101">
        <v>274</v>
      </c>
      <c r="B33" s="101">
        <v>274</v>
      </c>
      <c r="C33" s="101" t="s">
        <v>1328</v>
      </c>
      <c r="D33" s="101">
        <v>520018078</v>
      </c>
      <c r="E33" s="101" t="s">
        <v>308</v>
      </c>
      <c r="F33" s="101" t="s">
        <v>1328</v>
      </c>
      <c r="G33" s="101" t="s">
        <v>1499</v>
      </c>
      <c r="H33" s="101" t="s">
        <v>319</v>
      </c>
      <c r="I33" s="101" t="s">
        <v>925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446</v>
      </c>
      <c r="O33" s="101" t="s">
        <v>336</v>
      </c>
      <c r="P33" s="101" t="s">
        <v>1241</v>
      </c>
      <c r="Q33" s="104">
        <v>44958.21</v>
      </c>
      <c r="R33" s="104">
        <v>1</v>
      </c>
      <c r="S33" s="104">
        <v>6979</v>
      </c>
      <c r="T33" s="104">
        <v>0</v>
      </c>
      <c r="U33" s="104">
        <v>3137.63348</v>
      </c>
      <c r="V33" s="103">
        <v>2.6999999999999999E-5</v>
      </c>
      <c r="W33" s="103">
        <v>4.7853E-2</v>
      </c>
      <c r="X33" s="103">
        <v>7.8299999999999995E-4</v>
      </c>
    </row>
    <row r="34" spans="1:24" ht="13.5" customHeight="1">
      <c r="A34" s="101">
        <v>274</v>
      </c>
      <c r="B34" s="101">
        <v>274</v>
      </c>
      <c r="C34" s="101" t="s">
        <v>1500</v>
      </c>
      <c r="D34" s="101">
        <v>880326081</v>
      </c>
      <c r="E34" s="101" t="s">
        <v>308</v>
      </c>
      <c r="F34" s="101" t="s">
        <v>1501</v>
      </c>
      <c r="G34" s="101" t="s">
        <v>1502</v>
      </c>
      <c r="H34" s="101" t="s">
        <v>319</v>
      </c>
      <c r="I34" s="101" t="s">
        <v>925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439</v>
      </c>
      <c r="O34" s="101" t="s">
        <v>336</v>
      </c>
      <c r="P34" s="101" t="s">
        <v>1241</v>
      </c>
      <c r="Q34" s="104">
        <v>811</v>
      </c>
      <c r="R34" s="104">
        <v>1</v>
      </c>
      <c r="S34" s="104">
        <v>35120</v>
      </c>
      <c r="T34" s="104">
        <v>0</v>
      </c>
      <c r="U34" s="104">
        <v>284.82319999999999</v>
      </c>
      <c r="V34" s="103">
        <v>1.4E-5</v>
      </c>
      <c r="W34" s="103">
        <v>4.3429999999999996E-3</v>
      </c>
      <c r="X34" s="103">
        <v>7.1000000000000005E-5</v>
      </c>
    </row>
    <row r="35" spans="1:24" ht="13.5" customHeight="1">
      <c r="A35" s="101">
        <v>274</v>
      </c>
      <c r="B35" s="101">
        <v>274</v>
      </c>
      <c r="C35" s="101" t="s">
        <v>1503</v>
      </c>
      <c r="D35" s="101">
        <v>520024126</v>
      </c>
      <c r="E35" s="101" t="s">
        <v>308</v>
      </c>
      <c r="F35" s="101" t="s">
        <v>1504</v>
      </c>
      <c r="G35" s="101" t="s">
        <v>1505</v>
      </c>
      <c r="H35" s="101" t="s">
        <v>319</v>
      </c>
      <c r="I35" s="101" t="s">
        <v>925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462</v>
      </c>
      <c r="O35" s="101" t="s">
        <v>336</v>
      </c>
      <c r="P35" s="101" t="s">
        <v>1241</v>
      </c>
      <c r="Q35" s="104">
        <v>8525</v>
      </c>
      <c r="R35" s="104">
        <v>1</v>
      </c>
      <c r="S35" s="104">
        <v>1303</v>
      </c>
      <c r="T35" s="104">
        <v>0</v>
      </c>
      <c r="U35" s="104">
        <v>111.08074999999999</v>
      </c>
      <c r="V35" s="103">
        <v>1.1E-5</v>
      </c>
      <c r="W35" s="103">
        <v>1.694E-3</v>
      </c>
      <c r="X35" s="103">
        <v>2.6999999999999999E-5</v>
      </c>
    </row>
    <row r="36" spans="1:24" ht="13.5" customHeight="1">
      <c r="A36" s="101">
        <v>274</v>
      </c>
      <c r="B36" s="101">
        <v>274</v>
      </c>
      <c r="C36" s="101" t="s">
        <v>1506</v>
      </c>
      <c r="D36" s="101">
        <v>520007469</v>
      </c>
      <c r="E36" s="101" t="s">
        <v>308</v>
      </c>
      <c r="F36" s="101" t="s">
        <v>1506</v>
      </c>
      <c r="G36" s="101" t="s">
        <v>1507</v>
      </c>
      <c r="H36" s="101" t="s">
        <v>319</v>
      </c>
      <c r="I36" s="101" t="s">
        <v>925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443</v>
      </c>
      <c r="O36" s="101" t="s">
        <v>336</v>
      </c>
      <c r="P36" s="101" t="s">
        <v>1241</v>
      </c>
      <c r="Q36" s="104">
        <v>1189</v>
      </c>
      <c r="R36" s="104">
        <v>1</v>
      </c>
      <c r="S36" s="104">
        <v>45370</v>
      </c>
      <c r="T36" s="104">
        <v>0</v>
      </c>
      <c r="U36" s="104">
        <v>539.44929999999999</v>
      </c>
      <c r="V36" s="103">
        <v>1.8E-5</v>
      </c>
      <c r="W36" s="103">
        <v>8.2269999999999999E-3</v>
      </c>
      <c r="X36" s="103">
        <v>1.34E-4</v>
      </c>
    </row>
    <row r="37" spans="1:24" ht="13.5" customHeight="1">
      <c r="A37" s="101">
        <v>274</v>
      </c>
      <c r="B37" s="101">
        <v>274</v>
      </c>
      <c r="C37" s="101" t="s">
        <v>1508</v>
      </c>
      <c r="D37" s="101">
        <v>520044322</v>
      </c>
      <c r="E37" s="101" t="s">
        <v>308</v>
      </c>
      <c r="F37" s="101" t="s">
        <v>1509</v>
      </c>
      <c r="G37" s="101" t="s">
        <v>1510</v>
      </c>
      <c r="H37" s="101" t="s">
        <v>319</v>
      </c>
      <c r="I37" s="101" t="s">
        <v>925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452</v>
      </c>
      <c r="O37" s="101" t="s">
        <v>336</v>
      </c>
      <c r="P37" s="101" t="s">
        <v>1241</v>
      </c>
      <c r="Q37" s="104">
        <v>179</v>
      </c>
      <c r="R37" s="104">
        <v>1</v>
      </c>
      <c r="S37" s="104">
        <v>105920</v>
      </c>
      <c r="T37" s="104">
        <v>0</v>
      </c>
      <c r="U37" s="104">
        <v>189.5968</v>
      </c>
      <c r="V37" s="103">
        <v>9.0000000000000002E-6</v>
      </c>
      <c r="W37" s="103">
        <v>2.8909999999999999E-3</v>
      </c>
      <c r="X37" s="103">
        <v>4.6999999999999997E-5</v>
      </c>
    </row>
    <row r="38" spans="1:24" ht="13.5" customHeight="1">
      <c r="A38" s="101">
        <v>274</v>
      </c>
      <c r="B38" s="101">
        <v>274</v>
      </c>
      <c r="C38" s="101" t="s">
        <v>1511</v>
      </c>
      <c r="D38" s="101">
        <v>520036872</v>
      </c>
      <c r="E38" s="101" t="s">
        <v>308</v>
      </c>
      <c r="F38" s="101" t="s">
        <v>1511</v>
      </c>
      <c r="G38" s="101" t="s">
        <v>1512</v>
      </c>
      <c r="H38" s="101" t="s">
        <v>319</v>
      </c>
      <c r="I38" s="101" t="s">
        <v>925</v>
      </c>
      <c r="J38" s="101" t="s">
        <v>202</v>
      </c>
      <c r="K38" s="101" t="s">
        <v>202</v>
      </c>
      <c r="L38" s="101" t="s">
        <v>322</v>
      </c>
      <c r="M38" s="101" t="s">
        <v>337</v>
      </c>
      <c r="N38" s="101" t="s">
        <v>478</v>
      </c>
      <c r="O38" s="101" t="s">
        <v>336</v>
      </c>
      <c r="P38" s="101" t="s">
        <v>1241</v>
      </c>
      <c r="Q38" s="104">
        <v>5030</v>
      </c>
      <c r="R38" s="104">
        <v>1</v>
      </c>
      <c r="S38" s="104">
        <v>34690</v>
      </c>
      <c r="T38" s="104">
        <v>0</v>
      </c>
      <c r="U38" s="104">
        <v>1744.9069999999999</v>
      </c>
      <c r="V38" s="103">
        <v>6.7000000000000002E-5</v>
      </c>
      <c r="W38" s="103">
        <v>2.6612E-2</v>
      </c>
      <c r="X38" s="103">
        <v>4.35E-4</v>
      </c>
    </row>
    <row r="39" spans="1:24" ht="13.5" customHeight="1">
      <c r="A39" s="101">
        <v>274</v>
      </c>
      <c r="B39" s="101">
        <v>274</v>
      </c>
      <c r="C39" s="101" t="s">
        <v>1513</v>
      </c>
      <c r="D39" s="101">
        <v>511930125</v>
      </c>
      <c r="E39" s="101" t="s">
        <v>308</v>
      </c>
      <c r="F39" s="101" t="s">
        <v>1514</v>
      </c>
      <c r="G39" s="101" t="s">
        <v>1515</v>
      </c>
      <c r="H39" s="101" t="s">
        <v>319</v>
      </c>
      <c r="I39" s="101" t="s">
        <v>925</v>
      </c>
      <c r="J39" s="101" t="s">
        <v>202</v>
      </c>
      <c r="K39" s="101" t="s">
        <v>202</v>
      </c>
      <c r="L39" s="101" t="s">
        <v>322</v>
      </c>
      <c r="M39" s="101" t="s">
        <v>337</v>
      </c>
      <c r="N39" s="101" t="s">
        <v>460</v>
      </c>
      <c r="O39" s="101" t="s">
        <v>336</v>
      </c>
      <c r="P39" s="101" t="s">
        <v>1241</v>
      </c>
      <c r="Q39" s="104">
        <v>3271</v>
      </c>
      <c r="R39" s="104">
        <v>1</v>
      </c>
      <c r="S39" s="104">
        <v>3390</v>
      </c>
      <c r="T39" s="104">
        <v>0</v>
      </c>
      <c r="U39" s="104">
        <v>110.8869</v>
      </c>
      <c r="V39" s="103">
        <v>1.9000000000000001E-5</v>
      </c>
      <c r="W39" s="103">
        <v>1.691E-3</v>
      </c>
      <c r="X39" s="103">
        <v>2.6999999999999999E-5</v>
      </c>
    </row>
    <row r="40" spans="1:24" ht="13.5" customHeight="1">
      <c r="A40" s="101">
        <v>274</v>
      </c>
      <c r="B40" s="101">
        <v>274</v>
      </c>
      <c r="C40" s="101" t="s">
        <v>1516</v>
      </c>
      <c r="D40" s="101">
        <v>511235434</v>
      </c>
      <c r="E40" s="101" t="s">
        <v>308</v>
      </c>
      <c r="F40" s="101" t="s">
        <v>1516</v>
      </c>
      <c r="G40" s="101" t="s">
        <v>1517</v>
      </c>
      <c r="H40" s="101" t="s">
        <v>319</v>
      </c>
      <c r="I40" s="101" t="s">
        <v>925</v>
      </c>
      <c r="J40" s="101" t="s">
        <v>202</v>
      </c>
      <c r="K40" s="101" t="s">
        <v>202</v>
      </c>
      <c r="L40" s="101" t="s">
        <v>322</v>
      </c>
      <c r="M40" s="101" t="s">
        <v>337</v>
      </c>
      <c r="N40" s="101" t="s">
        <v>474</v>
      </c>
      <c r="O40" s="101" t="s">
        <v>336</v>
      </c>
      <c r="P40" s="101" t="s">
        <v>1241</v>
      </c>
      <c r="Q40" s="104">
        <v>2217</v>
      </c>
      <c r="R40" s="104">
        <v>1</v>
      </c>
      <c r="S40" s="104">
        <v>46340</v>
      </c>
      <c r="T40" s="104">
        <v>0</v>
      </c>
      <c r="U40" s="104">
        <v>1027.3578</v>
      </c>
      <c r="V40" s="103">
        <v>4.6E-5</v>
      </c>
      <c r="W40" s="103">
        <v>1.5668000000000001E-2</v>
      </c>
      <c r="X40" s="103">
        <v>2.5599999999999999E-4</v>
      </c>
    </row>
    <row r="41" spans="1:24" ht="13.5" customHeight="1">
      <c r="A41" s="101">
        <v>274</v>
      </c>
      <c r="B41" s="101">
        <v>274</v>
      </c>
      <c r="C41" s="101" t="s">
        <v>1518</v>
      </c>
      <c r="D41" s="101">
        <v>520033234</v>
      </c>
      <c r="E41" s="101" t="s">
        <v>308</v>
      </c>
      <c r="F41" s="101" t="s">
        <v>1519</v>
      </c>
      <c r="G41" s="101" t="s">
        <v>1520</v>
      </c>
      <c r="H41" s="101" t="s">
        <v>319</v>
      </c>
      <c r="I41" s="101" t="s">
        <v>925</v>
      </c>
      <c r="J41" s="101" t="s">
        <v>202</v>
      </c>
      <c r="K41" s="101" t="s">
        <v>202</v>
      </c>
      <c r="L41" s="101" t="s">
        <v>322</v>
      </c>
      <c r="M41" s="101" t="s">
        <v>337</v>
      </c>
      <c r="N41" s="101" t="s">
        <v>463</v>
      </c>
      <c r="O41" s="101" t="s">
        <v>336</v>
      </c>
      <c r="P41" s="101" t="s">
        <v>1241</v>
      </c>
      <c r="Q41" s="104">
        <v>49996</v>
      </c>
      <c r="R41" s="104">
        <v>1</v>
      </c>
      <c r="S41" s="104">
        <v>1165</v>
      </c>
      <c r="T41" s="104">
        <v>0</v>
      </c>
      <c r="U41" s="104">
        <v>582.45339999999999</v>
      </c>
      <c r="V41" s="103">
        <v>2.4899999999999998E-4</v>
      </c>
      <c r="W41" s="103">
        <v>8.8830000000000003E-3</v>
      </c>
      <c r="X41" s="103">
        <v>1.45E-4</v>
      </c>
    </row>
    <row r="42" spans="1:24" ht="13.5" customHeight="1">
      <c r="A42" s="101">
        <v>274</v>
      </c>
      <c r="B42" s="101">
        <v>274</v>
      </c>
      <c r="C42" s="101" t="s">
        <v>1521</v>
      </c>
      <c r="D42" s="101">
        <v>550012777</v>
      </c>
      <c r="E42" s="101" t="s">
        <v>308</v>
      </c>
      <c r="F42" s="101" t="s">
        <v>1522</v>
      </c>
      <c r="G42" s="101" t="s">
        <v>1523</v>
      </c>
      <c r="H42" s="101" t="s">
        <v>319</v>
      </c>
      <c r="I42" s="101" t="s">
        <v>925</v>
      </c>
      <c r="J42" s="101" t="s">
        <v>202</v>
      </c>
      <c r="K42" s="101" t="s">
        <v>202</v>
      </c>
      <c r="L42" s="101" t="s">
        <v>322</v>
      </c>
      <c r="M42" s="101" t="s">
        <v>337</v>
      </c>
      <c r="N42" s="101" t="s">
        <v>452</v>
      </c>
      <c r="O42" s="101" t="s">
        <v>336</v>
      </c>
      <c r="P42" s="101" t="s">
        <v>1241</v>
      </c>
      <c r="Q42" s="104">
        <v>59330</v>
      </c>
      <c r="R42" s="104">
        <v>1</v>
      </c>
      <c r="S42" s="104">
        <v>435</v>
      </c>
      <c r="T42" s="104">
        <v>6.4550000000000001</v>
      </c>
      <c r="U42" s="104">
        <v>264.54050000000001</v>
      </c>
      <c r="V42" s="103">
        <v>5.1999999999999997E-5</v>
      </c>
      <c r="W42" s="103">
        <v>4.0340000000000003E-3</v>
      </c>
      <c r="X42" s="103">
        <v>6.4999999999999994E-5</v>
      </c>
    </row>
    <row r="43" spans="1:24" ht="13.5" customHeight="1">
      <c r="A43" s="101">
        <v>274</v>
      </c>
      <c r="B43" s="101">
        <v>274</v>
      </c>
      <c r="C43" s="101" t="s">
        <v>1322</v>
      </c>
      <c r="D43" s="101">
        <v>510960719</v>
      </c>
      <c r="E43" s="101" t="s">
        <v>308</v>
      </c>
      <c r="F43" s="101" t="s">
        <v>1524</v>
      </c>
      <c r="G43" s="101" t="s">
        <v>1525</v>
      </c>
      <c r="H43" s="101" t="s">
        <v>319</v>
      </c>
      <c r="I43" s="101" t="s">
        <v>925</v>
      </c>
      <c r="J43" s="101" t="s">
        <v>202</v>
      </c>
      <c r="K43" s="101" t="s">
        <v>202</v>
      </c>
      <c r="L43" s="101" t="s">
        <v>322</v>
      </c>
      <c r="M43" s="101" t="s">
        <v>337</v>
      </c>
      <c r="N43" s="101" t="s">
        <v>462</v>
      </c>
      <c r="O43" s="101" t="s">
        <v>336</v>
      </c>
      <c r="P43" s="101" t="s">
        <v>1241</v>
      </c>
      <c r="Q43" s="104">
        <v>2927</v>
      </c>
      <c r="R43" s="104">
        <v>1</v>
      </c>
      <c r="S43" s="104">
        <v>41870</v>
      </c>
      <c r="T43" s="104">
        <v>0</v>
      </c>
      <c r="U43" s="104">
        <v>1225.5349000000001</v>
      </c>
      <c r="V43" s="103">
        <v>2.3E-5</v>
      </c>
      <c r="W43" s="103">
        <v>1.8690999999999999E-2</v>
      </c>
      <c r="X43" s="103">
        <v>3.0499999999999999E-4</v>
      </c>
    </row>
    <row r="44" spans="1:24" ht="13.5" customHeight="1">
      <c r="A44" s="101">
        <v>274</v>
      </c>
      <c r="B44" s="101">
        <v>274</v>
      </c>
      <c r="C44" s="101" t="s">
        <v>1526</v>
      </c>
      <c r="D44" s="101">
        <v>520027830</v>
      </c>
      <c r="E44" s="101" t="s">
        <v>308</v>
      </c>
      <c r="F44" s="101" t="s">
        <v>1527</v>
      </c>
      <c r="G44" s="101" t="s">
        <v>1528</v>
      </c>
      <c r="H44" s="101" t="s">
        <v>319</v>
      </c>
      <c r="I44" s="101" t="s">
        <v>925</v>
      </c>
      <c r="J44" s="101" t="s">
        <v>202</v>
      </c>
      <c r="K44" s="101" t="s">
        <v>202</v>
      </c>
      <c r="L44" s="101" t="s">
        <v>322</v>
      </c>
      <c r="M44" s="101" t="s">
        <v>337</v>
      </c>
      <c r="N44" s="101" t="s">
        <v>454</v>
      </c>
      <c r="O44" s="101" t="s">
        <v>336</v>
      </c>
      <c r="P44" s="101" t="s">
        <v>1241</v>
      </c>
      <c r="Q44" s="104">
        <v>62687</v>
      </c>
      <c r="R44" s="104">
        <v>1</v>
      </c>
      <c r="S44" s="104">
        <v>1619</v>
      </c>
      <c r="T44" s="104">
        <v>0</v>
      </c>
      <c r="U44" s="104">
        <v>1014.90253</v>
      </c>
      <c r="V44" s="103">
        <v>4.6999999999999997E-5</v>
      </c>
      <c r="W44" s="103">
        <v>1.5478E-2</v>
      </c>
      <c r="X44" s="103">
        <v>2.5300000000000002E-4</v>
      </c>
    </row>
    <row r="45" spans="1:24" ht="13.5" customHeight="1">
      <c r="A45" s="101">
        <v>274</v>
      </c>
      <c r="B45" s="101">
        <v>274</v>
      </c>
      <c r="C45" s="101" t="s">
        <v>1529</v>
      </c>
      <c r="D45" s="101">
        <v>513821488</v>
      </c>
      <c r="E45" s="101" t="s">
        <v>308</v>
      </c>
      <c r="F45" s="101" t="s">
        <v>1529</v>
      </c>
      <c r="G45" s="101" t="s">
        <v>1530</v>
      </c>
      <c r="H45" s="101" t="s">
        <v>319</v>
      </c>
      <c r="I45" s="101" t="s">
        <v>925</v>
      </c>
      <c r="J45" s="101" t="s">
        <v>202</v>
      </c>
      <c r="K45" s="101" t="s">
        <v>202</v>
      </c>
      <c r="L45" s="101" t="s">
        <v>322</v>
      </c>
      <c r="M45" s="101" t="s">
        <v>337</v>
      </c>
      <c r="N45" s="101" t="s">
        <v>462</v>
      </c>
      <c r="O45" s="101" t="s">
        <v>336</v>
      </c>
      <c r="P45" s="101" t="s">
        <v>1241</v>
      </c>
      <c r="Q45" s="104">
        <v>17546</v>
      </c>
      <c r="R45" s="104">
        <v>1</v>
      </c>
      <c r="S45" s="104">
        <v>2245</v>
      </c>
      <c r="T45" s="104">
        <v>0</v>
      </c>
      <c r="U45" s="104">
        <v>393.90769999999998</v>
      </c>
      <c r="V45" s="103">
        <v>8.6000000000000003E-5</v>
      </c>
      <c r="W45" s="103">
        <v>6.0070000000000002E-3</v>
      </c>
      <c r="X45" s="103">
        <v>9.7999999999999997E-5</v>
      </c>
    </row>
    <row r="46" spans="1:24" ht="13.5" customHeight="1">
      <c r="A46" s="101">
        <v>274</v>
      </c>
      <c r="B46" s="101">
        <v>274</v>
      </c>
      <c r="C46" s="101" t="s">
        <v>1242</v>
      </c>
      <c r="D46" s="101">
        <v>520007030</v>
      </c>
      <c r="E46" s="101" t="s">
        <v>308</v>
      </c>
      <c r="F46" s="101" t="s">
        <v>1531</v>
      </c>
      <c r="G46" s="101" t="s">
        <v>1532</v>
      </c>
      <c r="H46" s="101" t="s">
        <v>319</v>
      </c>
      <c r="I46" s="101" t="s">
        <v>925</v>
      </c>
      <c r="J46" s="101" t="s">
        <v>202</v>
      </c>
      <c r="K46" s="101" t="s">
        <v>202</v>
      </c>
      <c r="L46" s="101" t="s">
        <v>322</v>
      </c>
      <c r="M46" s="101" t="s">
        <v>337</v>
      </c>
      <c r="N46" s="101" t="s">
        <v>446</v>
      </c>
      <c r="O46" s="101" t="s">
        <v>336</v>
      </c>
      <c r="P46" s="101" t="s">
        <v>1241</v>
      </c>
      <c r="Q46" s="104">
        <v>105773.49</v>
      </c>
      <c r="R46" s="104">
        <v>1</v>
      </c>
      <c r="S46" s="104">
        <v>3148</v>
      </c>
      <c r="T46" s="104">
        <v>37.001809999999999</v>
      </c>
      <c r="U46" s="104">
        <v>3366.75128</v>
      </c>
      <c r="V46" s="103">
        <v>8.5000000000000006E-5</v>
      </c>
      <c r="W46" s="103">
        <v>5.1346999999999997E-2</v>
      </c>
      <c r="X46" s="103">
        <v>8.4000000000000003E-4</v>
      </c>
    </row>
    <row r="47" spans="1:24" ht="13.5" customHeight="1">
      <c r="A47" s="101">
        <v>274</v>
      </c>
      <c r="B47" s="101">
        <v>274</v>
      </c>
      <c r="C47" s="101" t="s">
        <v>1533</v>
      </c>
      <c r="D47" s="101" t="s">
        <v>1534</v>
      </c>
      <c r="E47" s="101" t="s">
        <v>312</v>
      </c>
      <c r="F47" s="101" t="s">
        <v>1535</v>
      </c>
      <c r="G47" s="101" t="s">
        <v>1536</v>
      </c>
      <c r="H47" s="101" t="s">
        <v>319</v>
      </c>
      <c r="I47" s="101" t="s">
        <v>925</v>
      </c>
      <c r="J47" s="101" t="s">
        <v>203</v>
      </c>
      <c r="K47" s="101" t="s">
        <v>295</v>
      </c>
      <c r="L47" s="101" t="s">
        <v>322</v>
      </c>
      <c r="M47" s="101" t="s">
        <v>341</v>
      </c>
      <c r="N47" s="101" t="s">
        <v>546</v>
      </c>
      <c r="O47" s="101" t="s">
        <v>336</v>
      </c>
      <c r="P47" s="101" t="s">
        <v>1249</v>
      </c>
      <c r="Q47" s="104">
        <v>282</v>
      </c>
      <c r="R47" s="104">
        <v>3.165</v>
      </c>
      <c r="S47" s="104">
        <v>33795</v>
      </c>
      <c r="T47" s="104">
        <v>0.26479000000000003</v>
      </c>
      <c r="U47" s="104">
        <v>302.46857</v>
      </c>
      <c r="V47" s="103">
        <v>0</v>
      </c>
      <c r="W47" s="103">
        <v>4.6119999999999998E-3</v>
      </c>
      <c r="X47" s="103">
        <v>7.4999999999999993E-5</v>
      </c>
    </row>
    <row r="48" spans="1:24" ht="13.5" customHeight="1">
      <c r="A48" s="101">
        <v>274</v>
      </c>
      <c r="B48" s="101">
        <v>274</v>
      </c>
      <c r="C48" s="101" t="s">
        <v>1537</v>
      </c>
      <c r="D48" s="101" t="s">
        <v>1538</v>
      </c>
      <c r="E48" s="101" t="s">
        <v>312</v>
      </c>
      <c r="F48" s="101" t="s">
        <v>1539</v>
      </c>
      <c r="G48" s="101" t="s">
        <v>1540</v>
      </c>
      <c r="H48" s="101" t="s">
        <v>319</v>
      </c>
      <c r="I48" s="101" t="s">
        <v>925</v>
      </c>
      <c r="J48" s="101" t="s">
        <v>203</v>
      </c>
      <c r="K48" s="101" t="s">
        <v>281</v>
      </c>
      <c r="L48" s="101" t="s">
        <v>322</v>
      </c>
      <c r="M48" s="101" t="s">
        <v>365</v>
      </c>
      <c r="N48" s="101" t="s">
        <v>489</v>
      </c>
      <c r="O48" s="101" t="s">
        <v>336</v>
      </c>
      <c r="P48" s="101" t="s">
        <v>1249</v>
      </c>
      <c r="Q48" s="104">
        <v>285</v>
      </c>
      <c r="R48" s="104">
        <v>3.165</v>
      </c>
      <c r="S48" s="104">
        <v>20298</v>
      </c>
      <c r="T48" s="104">
        <v>0</v>
      </c>
      <c r="U48" s="104">
        <v>183.09303</v>
      </c>
      <c r="V48" s="103">
        <v>0</v>
      </c>
      <c r="W48" s="103">
        <v>2.7920000000000002E-3</v>
      </c>
      <c r="X48" s="103">
        <v>4.5000000000000003E-5</v>
      </c>
    </row>
    <row r="49" spans="1:24" ht="13.5" customHeight="1">
      <c r="A49" s="101">
        <v>274</v>
      </c>
      <c r="B49" s="101">
        <v>274</v>
      </c>
      <c r="C49" s="101" t="s">
        <v>1511</v>
      </c>
      <c r="D49" s="101">
        <v>520036872</v>
      </c>
      <c r="E49" s="101" t="s">
        <v>308</v>
      </c>
      <c r="F49" s="101" t="s">
        <v>1541</v>
      </c>
      <c r="G49" s="101" t="s">
        <v>1542</v>
      </c>
      <c r="H49" s="101" t="s">
        <v>319</v>
      </c>
      <c r="I49" s="101" t="s">
        <v>925</v>
      </c>
      <c r="J49" s="101" t="s">
        <v>203</v>
      </c>
      <c r="K49" s="101" t="s">
        <v>202</v>
      </c>
      <c r="L49" s="101" t="s">
        <v>322</v>
      </c>
      <c r="M49" s="101" t="s">
        <v>343</v>
      </c>
      <c r="N49" s="101" t="s">
        <v>542</v>
      </c>
      <c r="O49" s="101" t="s">
        <v>336</v>
      </c>
      <c r="P49" s="101" t="s">
        <v>1249</v>
      </c>
      <c r="Q49" s="104">
        <v>928</v>
      </c>
      <c r="R49" s="104">
        <v>3.165</v>
      </c>
      <c r="S49" s="104">
        <v>11026</v>
      </c>
      <c r="T49" s="104">
        <v>0</v>
      </c>
      <c r="U49" s="104">
        <v>323.84685000000002</v>
      </c>
      <c r="V49" s="103">
        <v>1.5E-5</v>
      </c>
      <c r="W49" s="103">
        <v>4.9389999999999998E-3</v>
      </c>
      <c r="X49" s="103">
        <v>8.0000000000000007E-5</v>
      </c>
    </row>
    <row r="50" spans="1:24" ht="13.5" customHeight="1">
      <c r="A50" s="101">
        <v>274</v>
      </c>
      <c r="B50" s="101">
        <v>274</v>
      </c>
      <c r="C50" s="101" t="s">
        <v>1543</v>
      </c>
      <c r="D50" s="101" t="s">
        <v>1544</v>
      </c>
      <c r="E50" s="101" t="s">
        <v>312</v>
      </c>
      <c r="F50" s="101" t="s">
        <v>1545</v>
      </c>
      <c r="G50" s="101" t="s">
        <v>1546</v>
      </c>
      <c r="H50" s="101" t="s">
        <v>319</v>
      </c>
      <c r="I50" s="101" t="s">
        <v>925</v>
      </c>
      <c r="J50" s="101" t="s">
        <v>203</v>
      </c>
      <c r="K50" s="101" t="s">
        <v>223</v>
      </c>
      <c r="L50" s="101" t="s">
        <v>322</v>
      </c>
      <c r="M50" s="101" t="s">
        <v>341</v>
      </c>
      <c r="N50" s="101" t="s">
        <v>552</v>
      </c>
      <c r="O50" s="101" t="s">
        <v>336</v>
      </c>
      <c r="P50" s="101" t="s">
        <v>1249</v>
      </c>
      <c r="Q50" s="104">
        <v>524</v>
      </c>
      <c r="R50" s="104">
        <v>3.165</v>
      </c>
      <c r="S50" s="104">
        <v>15033</v>
      </c>
      <c r="T50" s="104">
        <v>0</v>
      </c>
      <c r="U50" s="104">
        <v>249.31629000000001</v>
      </c>
      <c r="V50" s="103">
        <v>9.9999999999999995E-7</v>
      </c>
      <c r="W50" s="103">
        <v>3.8019999999999998E-3</v>
      </c>
      <c r="X50" s="103">
        <v>6.2000000000000003E-5</v>
      </c>
    </row>
    <row r="51" spans="1:24" ht="13.5" customHeight="1">
      <c r="A51" s="101">
        <v>274</v>
      </c>
      <c r="B51" s="101">
        <v>274</v>
      </c>
      <c r="C51" s="101" t="s">
        <v>1451</v>
      </c>
      <c r="D51" s="101">
        <v>520013954</v>
      </c>
      <c r="E51" s="101" t="s">
        <v>308</v>
      </c>
      <c r="F51" s="101" t="s">
        <v>1547</v>
      </c>
      <c r="G51" s="101" t="s">
        <v>1548</v>
      </c>
      <c r="H51" s="101" t="s">
        <v>319</v>
      </c>
      <c r="I51" s="101" t="s">
        <v>925</v>
      </c>
      <c r="J51" s="101" t="s">
        <v>203</v>
      </c>
      <c r="K51" s="101" t="s">
        <v>202</v>
      </c>
      <c r="L51" s="101" t="s">
        <v>322</v>
      </c>
      <c r="M51" s="101" t="s">
        <v>341</v>
      </c>
      <c r="N51" s="101" t="s">
        <v>532</v>
      </c>
      <c r="O51" s="101" t="s">
        <v>336</v>
      </c>
      <c r="P51" s="101" t="s">
        <v>1249</v>
      </c>
      <c r="Q51" s="104">
        <v>26725</v>
      </c>
      <c r="R51" s="104">
        <v>3.165</v>
      </c>
      <c r="S51" s="104">
        <v>3012</v>
      </c>
      <c r="T51" s="104">
        <v>0</v>
      </c>
      <c r="U51" s="104">
        <v>2547.6889099999999</v>
      </c>
      <c r="V51" s="103">
        <v>2.1999999999999999E-5</v>
      </c>
      <c r="W51" s="103">
        <v>3.8856000000000002E-2</v>
      </c>
      <c r="X51" s="103">
        <v>6.3500000000000004E-4</v>
      </c>
    </row>
    <row r="52" spans="1:24" ht="13.5" customHeight="1">
      <c r="A52" s="101">
        <v>274</v>
      </c>
      <c r="B52" s="101">
        <v>274</v>
      </c>
      <c r="C52" s="101" t="s">
        <v>1394</v>
      </c>
      <c r="D52" s="101" t="s">
        <v>1395</v>
      </c>
      <c r="E52" s="101" t="s">
        <v>312</v>
      </c>
      <c r="F52" s="101" t="s">
        <v>1549</v>
      </c>
      <c r="G52" s="101" t="s">
        <v>1550</v>
      </c>
      <c r="H52" s="101" t="s">
        <v>319</v>
      </c>
      <c r="I52" s="101" t="s">
        <v>925</v>
      </c>
      <c r="J52" s="101" t="s">
        <v>203</v>
      </c>
      <c r="K52" s="101" t="s">
        <v>223</v>
      </c>
      <c r="L52" s="101" t="s">
        <v>322</v>
      </c>
      <c r="M52" s="101" t="s">
        <v>343</v>
      </c>
      <c r="N52" s="101" t="s">
        <v>544</v>
      </c>
      <c r="O52" s="101" t="s">
        <v>336</v>
      </c>
      <c r="P52" s="101" t="s">
        <v>1249</v>
      </c>
      <c r="Q52" s="104">
        <v>296</v>
      </c>
      <c r="R52" s="104">
        <v>3.165</v>
      </c>
      <c r="S52" s="104">
        <v>33784</v>
      </c>
      <c r="T52" s="104">
        <v>4.4389999999999999E-2</v>
      </c>
      <c r="U52" s="104">
        <v>316.64251999999999</v>
      </c>
      <c r="V52" s="103">
        <v>0</v>
      </c>
      <c r="W52" s="103">
        <v>4.829E-3</v>
      </c>
      <c r="X52" s="103">
        <v>7.7999999999999999E-5</v>
      </c>
    </row>
    <row r="53" spans="1:24" ht="13.5" customHeight="1">
      <c r="A53" s="101">
        <v>274</v>
      </c>
      <c r="B53" s="101">
        <v>274</v>
      </c>
      <c r="C53" s="101" t="s">
        <v>1551</v>
      </c>
      <c r="D53" s="101" t="s">
        <v>1552</v>
      </c>
      <c r="E53" s="101" t="s">
        <v>312</v>
      </c>
      <c r="F53" s="101" t="s">
        <v>1553</v>
      </c>
      <c r="G53" s="101" t="s">
        <v>1554</v>
      </c>
      <c r="H53" s="101" t="s">
        <v>319</v>
      </c>
      <c r="I53" s="101" t="s">
        <v>925</v>
      </c>
      <c r="J53" s="101" t="s">
        <v>203</v>
      </c>
      <c r="K53" s="101" t="s">
        <v>223</v>
      </c>
      <c r="L53" s="101" t="s">
        <v>322</v>
      </c>
      <c r="M53" s="101" t="s">
        <v>341</v>
      </c>
      <c r="N53" s="101" t="s">
        <v>489</v>
      </c>
      <c r="O53" s="101" t="s">
        <v>336</v>
      </c>
      <c r="P53" s="101" t="s">
        <v>1249</v>
      </c>
      <c r="Q53" s="104">
        <v>77</v>
      </c>
      <c r="R53" s="104">
        <v>3.165</v>
      </c>
      <c r="S53" s="104">
        <v>39415</v>
      </c>
      <c r="T53" s="104">
        <v>0</v>
      </c>
      <c r="U53" s="104">
        <v>96.056330000000003</v>
      </c>
      <c r="V53" s="103">
        <v>9.9999999999999995E-7</v>
      </c>
      <c r="W53" s="103">
        <v>1.4649999999999999E-3</v>
      </c>
      <c r="X53" s="103">
        <v>2.3E-5</v>
      </c>
    </row>
    <row r="54" spans="1:24" ht="13.5" customHeight="1">
      <c r="A54" s="101">
        <v>274</v>
      </c>
      <c r="B54" s="101">
        <v>274</v>
      </c>
      <c r="C54" s="101" t="s">
        <v>1555</v>
      </c>
      <c r="D54" s="101" t="s">
        <v>1556</v>
      </c>
      <c r="E54" s="101" t="s">
        <v>312</v>
      </c>
      <c r="F54" s="101" t="s">
        <v>1557</v>
      </c>
      <c r="G54" s="101" t="s">
        <v>1558</v>
      </c>
      <c r="H54" s="101" t="s">
        <v>319</v>
      </c>
      <c r="I54" s="101" t="s">
        <v>925</v>
      </c>
      <c r="J54" s="101" t="s">
        <v>203</v>
      </c>
      <c r="K54" s="101" t="s">
        <v>223</v>
      </c>
      <c r="L54" s="101" t="s">
        <v>322</v>
      </c>
      <c r="M54" s="101" t="s">
        <v>343</v>
      </c>
      <c r="N54" s="101" t="s">
        <v>542</v>
      </c>
      <c r="O54" s="101" t="s">
        <v>336</v>
      </c>
      <c r="P54" s="101" t="s">
        <v>1249</v>
      </c>
      <c r="Q54" s="104">
        <v>465</v>
      </c>
      <c r="R54" s="104">
        <v>3.165</v>
      </c>
      <c r="S54" s="104">
        <v>16032</v>
      </c>
      <c r="T54" s="104">
        <v>0</v>
      </c>
      <c r="U54" s="104">
        <v>235.94694999999999</v>
      </c>
      <c r="V54" s="103">
        <v>0</v>
      </c>
      <c r="W54" s="103">
        <v>3.5980000000000001E-3</v>
      </c>
      <c r="X54" s="103">
        <v>5.8E-5</v>
      </c>
    </row>
    <row r="55" spans="1:24" ht="13.5" customHeight="1">
      <c r="A55" s="101">
        <v>274</v>
      </c>
      <c r="B55" s="101">
        <v>274</v>
      </c>
      <c r="C55" s="101" t="s">
        <v>1559</v>
      </c>
      <c r="D55" s="101" t="s">
        <v>1560</v>
      </c>
      <c r="E55" s="101" t="s">
        <v>312</v>
      </c>
      <c r="F55" s="101" t="s">
        <v>1561</v>
      </c>
      <c r="G55" s="101" t="s">
        <v>1562</v>
      </c>
      <c r="H55" s="101" t="s">
        <v>319</v>
      </c>
      <c r="I55" s="101" t="s">
        <v>925</v>
      </c>
      <c r="J55" s="101" t="s">
        <v>203</v>
      </c>
      <c r="K55" s="101" t="s">
        <v>223</v>
      </c>
      <c r="L55" s="101" t="s">
        <v>322</v>
      </c>
      <c r="M55" s="101" t="s">
        <v>343</v>
      </c>
      <c r="N55" s="101" t="s">
        <v>544</v>
      </c>
      <c r="O55" s="101" t="s">
        <v>336</v>
      </c>
      <c r="P55" s="101" t="s">
        <v>1249</v>
      </c>
      <c r="Q55" s="104">
        <v>6770</v>
      </c>
      <c r="R55" s="104">
        <v>3.165</v>
      </c>
      <c r="S55" s="104">
        <v>5105</v>
      </c>
      <c r="T55" s="104">
        <v>0</v>
      </c>
      <c r="U55" s="104">
        <v>1093.8508999999999</v>
      </c>
      <c r="V55" s="103">
        <v>1.12E-4</v>
      </c>
      <c r="W55" s="103">
        <v>1.6681999999999999E-2</v>
      </c>
      <c r="X55" s="103">
        <v>2.7300000000000002E-4</v>
      </c>
    </row>
    <row r="56" spans="1:24" ht="13.5" customHeight="1">
      <c r="A56" s="101">
        <v>274</v>
      </c>
      <c r="B56" s="101">
        <v>274</v>
      </c>
      <c r="C56" s="101" t="s">
        <v>1516</v>
      </c>
      <c r="D56" s="101">
        <v>511235434</v>
      </c>
      <c r="E56" s="101" t="s">
        <v>308</v>
      </c>
      <c r="F56" s="101" t="s">
        <v>1563</v>
      </c>
      <c r="G56" s="101" t="s">
        <v>1517</v>
      </c>
      <c r="H56" s="101" t="s">
        <v>319</v>
      </c>
      <c r="I56" s="101" t="s">
        <v>925</v>
      </c>
      <c r="J56" s="101" t="s">
        <v>203</v>
      </c>
      <c r="K56" s="101" t="s">
        <v>202</v>
      </c>
      <c r="L56" s="101" t="s">
        <v>322</v>
      </c>
      <c r="M56" s="101" t="s">
        <v>341</v>
      </c>
      <c r="N56" s="101" t="s">
        <v>546</v>
      </c>
      <c r="O56" s="101" t="s">
        <v>336</v>
      </c>
      <c r="P56" s="101" t="s">
        <v>1249</v>
      </c>
      <c r="Q56" s="104">
        <v>633</v>
      </c>
      <c r="R56" s="104">
        <v>3.165</v>
      </c>
      <c r="S56" s="104">
        <v>15161</v>
      </c>
      <c r="T56" s="104">
        <v>0</v>
      </c>
      <c r="U56" s="104">
        <v>303.7423</v>
      </c>
      <c r="V56" s="103">
        <v>1.2999999999999999E-5</v>
      </c>
      <c r="W56" s="103">
        <v>4.6319999999999998E-3</v>
      </c>
      <c r="X56" s="103">
        <v>7.4999999999999993E-5</v>
      </c>
    </row>
    <row r="57" spans="1:24" ht="13.5" customHeight="1">
      <c r="A57" s="101">
        <v>274</v>
      </c>
      <c r="B57" s="101">
        <v>274</v>
      </c>
      <c r="C57" s="101" t="s">
        <v>1564</v>
      </c>
      <c r="D57" s="101" t="s">
        <v>1565</v>
      </c>
      <c r="E57" s="101" t="s">
        <v>312</v>
      </c>
      <c r="F57" s="101" t="s">
        <v>1566</v>
      </c>
      <c r="G57" s="101" t="s">
        <v>1567</v>
      </c>
      <c r="H57" s="101" t="s">
        <v>319</v>
      </c>
      <c r="I57" s="101" t="s">
        <v>925</v>
      </c>
      <c r="J57" s="101" t="s">
        <v>203</v>
      </c>
      <c r="K57" s="101" t="s">
        <v>223</v>
      </c>
      <c r="L57" s="101" t="s">
        <v>322</v>
      </c>
      <c r="M57" s="101" t="s">
        <v>343</v>
      </c>
      <c r="N57" s="101" t="s">
        <v>546</v>
      </c>
      <c r="O57" s="101" t="s">
        <v>336</v>
      </c>
      <c r="P57" s="101" t="s">
        <v>1249</v>
      </c>
      <c r="Q57" s="104">
        <v>326</v>
      </c>
      <c r="R57" s="104">
        <v>3.165</v>
      </c>
      <c r="S57" s="104">
        <v>30951</v>
      </c>
      <c r="T57" s="104">
        <v>0</v>
      </c>
      <c r="U57" s="104">
        <v>319.34931999999998</v>
      </c>
      <c r="V57" s="103">
        <v>0</v>
      </c>
      <c r="W57" s="103">
        <v>4.8700000000000002E-3</v>
      </c>
      <c r="X57" s="103">
        <v>7.8999999999999996E-5</v>
      </c>
    </row>
    <row r="58" spans="1:24" ht="13.5" customHeight="1">
      <c r="A58" s="101">
        <v>274</v>
      </c>
      <c r="B58" s="101">
        <v>274</v>
      </c>
      <c r="C58" s="101" t="s">
        <v>1568</v>
      </c>
      <c r="D58" s="101" t="s">
        <v>1569</v>
      </c>
      <c r="E58" s="101" t="s">
        <v>312</v>
      </c>
      <c r="F58" s="101" t="s">
        <v>1570</v>
      </c>
      <c r="G58" s="101" t="s">
        <v>1571</v>
      </c>
      <c r="H58" s="101" t="s">
        <v>319</v>
      </c>
      <c r="I58" s="101" t="s">
        <v>925</v>
      </c>
      <c r="J58" s="101" t="s">
        <v>203</v>
      </c>
      <c r="K58" s="101" t="s">
        <v>223</v>
      </c>
      <c r="L58" s="101" t="s">
        <v>322</v>
      </c>
      <c r="M58" s="101" t="s">
        <v>343</v>
      </c>
      <c r="N58" s="101" t="s">
        <v>547</v>
      </c>
      <c r="O58" s="101" t="s">
        <v>336</v>
      </c>
      <c r="P58" s="101" t="s">
        <v>1249</v>
      </c>
      <c r="Q58" s="104">
        <v>546</v>
      </c>
      <c r="R58" s="104">
        <v>3.165</v>
      </c>
      <c r="S58" s="104">
        <v>28756</v>
      </c>
      <c r="T58" s="104">
        <v>0</v>
      </c>
      <c r="U58" s="104">
        <v>496.92955999999998</v>
      </c>
      <c r="V58" s="103">
        <v>0</v>
      </c>
      <c r="W58" s="103">
        <v>7.5779999999999997E-3</v>
      </c>
      <c r="X58" s="103">
        <v>1.2400000000000001E-4</v>
      </c>
    </row>
    <row r="59" spans="1:24" ht="13.5" customHeight="1">
      <c r="A59" s="101">
        <v>274</v>
      </c>
      <c r="B59" s="101">
        <v>274</v>
      </c>
      <c r="C59" s="101" t="s">
        <v>1572</v>
      </c>
      <c r="D59" s="101" t="s">
        <v>1573</v>
      </c>
      <c r="E59" s="101" t="s">
        <v>312</v>
      </c>
      <c r="F59" s="101" t="s">
        <v>1574</v>
      </c>
      <c r="G59" s="101" t="s">
        <v>1575</v>
      </c>
      <c r="H59" s="101" t="s">
        <v>319</v>
      </c>
      <c r="I59" s="101" t="s">
        <v>925</v>
      </c>
      <c r="J59" s="101" t="s">
        <v>203</v>
      </c>
      <c r="K59" s="101" t="s">
        <v>223</v>
      </c>
      <c r="L59" s="101" t="s">
        <v>322</v>
      </c>
      <c r="M59" s="101" t="s">
        <v>343</v>
      </c>
      <c r="N59" s="101" t="s">
        <v>546</v>
      </c>
      <c r="O59" s="101" t="s">
        <v>336</v>
      </c>
      <c r="P59" s="101" t="s">
        <v>1249</v>
      </c>
      <c r="Q59" s="104">
        <v>695</v>
      </c>
      <c r="R59" s="104">
        <v>3.165</v>
      </c>
      <c r="S59" s="104">
        <v>9742</v>
      </c>
      <c r="T59" s="104">
        <v>0</v>
      </c>
      <c r="U59" s="104">
        <v>214.29234</v>
      </c>
      <c r="V59" s="103">
        <v>6.0000000000000002E-6</v>
      </c>
      <c r="W59" s="103">
        <v>3.2680000000000001E-3</v>
      </c>
      <c r="X59" s="103">
        <v>5.3000000000000001E-5</v>
      </c>
    </row>
    <row r="60" spans="1:24" ht="13.5" customHeight="1">
      <c r="A60" s="101">
        <v>274</v>
      </c>
      <c r="B60" s="101">
        <v>274</v>
      </c>
      <c r="C60" s="101" t="s">
        <v>1576</v>
      </c>
      <c r="D60" s="101" t="s">
        <v>1577</v>
      </c>
      <c r="E60" s="101" t="s">
        <v>312</v>
      </c>
      <c r="F60" s="101" t="s">
        <v>1578</v>
      </c>
      <c r="G60" s="101" t="s">
        <v>1579</v>
      </c>
      <c r="H60" s="101" t="s">
        <v>319</v>
      </c>
      <c r="I60" s="101" t="s">
        <v>925</v>
      </c>
      <c r="J60" s="101" t="s">
        <v>203</v>
      </c>
      <c r="K60" s="101" t="s">
        <v>223</v>
      </c>
      <c r="L60" s="101" t="s">
        <v>322</v>
      </c>
      <c r="M60" s="101" t="s">
        <v>343</v>
      </c>
      <c r="N60" s="101" t="s">
        <v>532</v>
      </c>
      <c r="O60" s="101" t="s">
        <v>336</v>
      </c>
      <c r="P60" s="101" t="s">
        <v>1249</v>
      </c>
      <c r="Q60" s="104">
        <v>51</v>
      </c>
      <c r="R60" s="104">
        <v>3.165</v>
      </c>
      <c r="S60" s="104">
        <v>91977</v>
      </c>
      <c r="T60" s="104">
        <v>0</v>
      </c>
      <c r="U60" s="104">
        <v>148.46467000000001</v>
      </c>
      <c r="V60" s="103">
        <v>0</v>
      </c>
      <c r="W60" s="103">
        <v>2.264E-3</v>
      </c>
      <c r="X60" s="103">
        <v>3.6999999999999998E-5</v>
      </c>
    </row>
    <row r="61" spans="1:24" ht="13.5" customHeight="1">
      <c r="A61" s="101">
        <v>274</v>
      </c>
      <c r="B61" s="101">
        <v>274</v>
      </c>
      <c r="C61" s="101" t="s">
        <v>1580</v>
      </c>
      <c r="D61" s="101" t="s">
        <v>1581</v>
      </c>
      <c r="E61" s="101" t="s">
        <v>312</v>
      </c>
      <c r="F61" s="101" t="s">
        <v>1582</v>
      </c>
      <c r="G61" s="101" t="s">
        <v>1583</v>
      </c>
      <c r="H61" s="101" t="s">
        <v>319</v>
      </c>
      <c r="I61" s="101" t="s">
        <v>925</v>
      </c>
      <c r="J61" s="101" t="s">
        <v>203</v>
      </c>
      <c r="K61" s="101" t="s">
        <v>223</v>
      </c>
      <c r="L61" s="101" t="s">
        <v>322</v>
      </c>
      <c r="M61" s="101" t="s">
        <v>341</v>
      </c>
      <c r="N61" s="101" t="s">
        <v>567</v>
      </c>
      <c r="O61" s="101" t="s">
        <v>336</v>
      </c>
      <c r="P61" s="101" t="s">
        <v>1249</v>
      </c>
      <c r="Q61" s="104">
        <v>265</v>
      </c>
      <c r="R61" s="104">
        <v>3.165</v>
      </c>
      <c r="S61" s="104">
        <v>14546</v>
      </c>
      <c r="T61" s="104">
        <v>0</v>
      </c>
      <c r="U61" s="104">
        <v>122.00094</v>
      </c>
      <c r="V61" s="103">
        <v>9.9999999999999995E-7</v>
      </c>
      <c r="W61" s="103">
        <v>1.8600000000000001E-3</v>
      </c>
      <c r="X61" s="103">
        <v>3.0000000000000001E-5</v>
      </c>
    </row>
    <row r="62" spans="1:24" ht="13.5" customHeight="1">
      <c r="A62" s="101">
        <v>274</v>
      </c>
      <c r="B62" s="101">
        <v>274</v>
      </c>
      <c r="C62" s="101" t="s">
        <v>1584</v>
      </c>
      <c r="D62" s="101" t="s">
        <v>1585</v>
      </c>
      <c r="E62" s="101" t="s">
        <v>312</v>
      </c>
      <c r="F62" s="101" t="s">
        <v>1586</v>
      </c>
      <c r="G62" s="101" t="s">
        <v>1587</v>
      </c>
      <c r="H62" s="101" t="s">
        <v>319</v>
      </c>
      <c r="I62" s="101" t="s">
        <v>925</v>
      </c>
      <c r="J62" s="101" t="s">
        <v>203</v>
      </c>
      <c r="K62" s="101" t="s">
        <v>223</v>
      </c>
      <c r="L62" s="101" t="s">
        <v>322</v>
      </c>
      <c r="M62" s="101" t="s">
        <v>343</v>
      </c>
      <c r="N62" s="101" t="s">
        <v>546</v>
      </c>
      <c r="O62" s="101" t="s">
        <v>336</v>
      </c>
      <c r="P62" s="101" t="s">
        <v>1249</v>
      </c>
      <c r="Q62" s="104">
        <v>1105</v>
      </c>
      <c r="R62" s="104">
        <v>3.165</v>
      </c>
      <c r="S62" s="104">
        <v>17440</v>
      </c>
      <c r="T62" s="104">
        <v>1.1050000000000001E-2</v>
      </c>
      <c r="U62" s="104">
        <v>609.96844999999996</v>
      </c>
      <c r="V62" s="103">
        <v>0</v>
      </c>
      <c r="W62" s="103">
        <v>9.3019999999999995E-3</v>
      </c>
      <c r="X62" s="103">
        <v>1.5200000000000001E-4</v>
      </c>
    </row>
    <row r="63" spans="1:24" ht="13.5" customHeight="1">
      <c r="A63" s="101">
        <v>274</v>
      </c>
      <c r="B63" s="101">
        <v>274</v>
      </c>
      <c r="C63" s="101" t="s">
        <v>1588</v>
      </c>
      <c r="D63" s="101" t="s">
        <v>1589</v>
      </c>
      <c r="E63" s="101" t="s">
        <v>312</v>
      </c>
      <c r="F63" s="101" t="s">
        <v>1590</v>
      </c>
      <c r="G63" s="101" t="s">
        <v>1591</v>
      </c>
      <c r="H63" s="101" t="s">
        <v>319</v>
      </c>
      <c r="I63" s="101" t="s">
        <v>925</v>
      </c>
      <c r="J63" s="101" t="s">
        <v>203</v>
      </c>
      <c r="K63" s="101" t="s">
        <v>223</v>
      </c>
      <c r="L63" s="101" t="s">
        <v>322</v>
      </c>
      <c r="M63" s="101" t="s">
        <v>343</v>
      </c>
      <c r="N63" s="101" t="s">
        <v>508</v>
      </c>
      <c r="O63" s="101" t="s">
        <v>336</v>
      </c>
      <c r="P63" s="101" t="s">
        <v>1249</v>
      </c>
      <c r="Q63" s="104">
        <v>287</v>
      </c>
      <c r="R63" s="104">
        <v>3.165</v>
      </c>
      <c r="S63" s="104">
        <v>37175</v>
      </c>
      <c r="T63" s="104">
        <v>0</v>
      </c>
      <c r="U63" s="104">
        <v>337.68097</v>
      </c>
      <c r="V63" s="103">
        <v>0</v>
      </c>
      <c r="W63" s="103">
        <v>5.1500000000000001E-3</v>
      </c>
      <c r="X63" s="103">
        <v>8.3999999999999995E-5</v>
      </c>
    </row>
    <row r="64" spans="1:24" ht="13.5" customHeight="1">
      <c r="A64" s="101">
        <v>274</v>
      </c>
      <c r="B64" s="101">
        <v>274</v>
      </c>
      <c r="C64" s="101" t="s">
        <v>1423</v>
      </c>
      <c r="D64" s="101">
        <v>520041997</v>
      </c>
      <c r="E64" s="101" t="s">
        <v>308</v>
      </c>
      <c r="F64" s="101" t="s">
        <v>1592</v>
      </c>
      <c r="G64" s="101" t="s">
        <v>1424</v>
      </c>
      <c r="H64" s="101" t="s">
        <v>319</v>
      </c>
      <c r="I64" s="101" t="s">
        <v>925</v>
      </c>
      <c r="J64" s="101" t="s">
        <v>203</v>
      </c>
      <c r="K64" s="101" t="s">
        <v>202</v>
      </c>
      <c r="L64" s="101" t="s">
        <v>322</v>
      </c>
      <c r="M64" s="101" t="s">
        <v>343</v>
      </c>
      <c r="N64" s="101" t="s">
        <v>546</v>
      </c>
      <c r="O64" s="101" t="s">
        <v>336</v>
      </c>
      <c r="P64" s="101" t="s">
        <v>1249</v>
      </c>
      <c r="Q64" s="104">
        <v>5790</v>
      </c>
      <c r="R64" s="104">
        <v>3.165</v>
      </c>
      <c r="S64" s="104">
        <v>17548</v>
      </c>
      <c r="T64" s="104">
        <v>0</v>
      </c>
      <c r="U64" s="104">
        <v>3215.7324199999998</v>
      </c>
      <c r="V64" s="103">
        <v>5.1E-5</v>
      </c>
      <c r="W64" s="103">
        <v>4.9043999999999997E-2</v>
      </c>
      <c r="X64" s="103">
        <v>8.0199999999999998E-4</v>
      </c>
    </row>
    <row r="65" spans="1:24" ht="13.5" customHeight="1">
      <c r="A65" s="101">
        <v>274</v>
      </c>
      <c r="B65" s="101">
        <v>274</v>
      </c>
      <c r="C65" s="101" t="s">
        <v>1500</v>
      </c>
      <c r="D65" s="101">
        <v>880326081</v>
      </c>
      <c r="E65" s="101" t="s">
        <v>308</v>
      </c>
      <c r="F65" s="101" t="s">
        <v>1593</v>
      </c>
      <c r="G65" s="101" t="s">
        <v>1502</v>
      </c>
      <c r="H65" s="101" t="s">
        <v>319</v>
      </c>
      <c r="I65" s="101" t="s">
        <v>925</v>
      </c>
      <c r="J65" s="101" t="s">
        <v>203</v>
      </c>
      <c r="K65" s="101" t="s">
        <v>223</v>
      </c>
      <c r="L65" s="101" t="s">
        <v>322</v>
      </c>
      <c r="M65" s="101" t="s">
        <v>341</v>
      </c>
      <c r="N65" s="101" t="s">
        <v>484</v>
      </c>
      <c r="O65" s="101" t="s">
        <v>336</v>
      </c>
      <c r="P65" s="101" t="s">
        <v>1249</v>
      </c>
      <c r="Q65" s="104">
        <v>2802</v>
      </c>
      <c r="R65" s="104">
        <v>3.165</v>
      </c>
      <c r="S65" s="104">
        <v>11192</v>
      </c>
      <c r="T65" s="104">
        <v>0</v>
      </c>
      <c r="U65" s="104">
        <v>992.54349000000002</v>
      </c>
      <c r="V65" s="103">
        <v>4.6E-5</v>
      </c>
      <c r="W65" s="103">
        <v>1.5136999999999999E-2</v>
      </c>
      <c r="X65" s="103">
        <v>2.4699999999999999E-4</v>
      </c>
    </row>
    <row r="66" spans="1:24" ht="13.5" customHeight="1">
      <c r="A66" s="101">
        <v>274</v>
      </c>
      <c r="B66" s="101">
        <v>274</v>
      </c>
      <c r="C66" s="101" t="s">
        <v>1594</v>
      </c>
      <c r="D66" s="101" t="s">
        <v>1595</v>
      </c>
      <c r="E66" s="101" t="s">
        <v>312</v>
      </c>
      <c r="F66" s="101" t="s">
        <v>1596</v>
      </c>
      <c r="G66" s="101" t="s">
        <v>1597</v>
      </c>
      <c r="H66" s="101" t="s">
        <v>319</v>
      </c>
      <c r="I66" s="101" t="s">
        <v>925</v>
      </c>
      <c r="J66" s="101" t="s">
        <v>203</v>
      </c>
      <c r="K66" s="101" t="s">
        <v>223</v>
      </c>
      <c r="L66" s="101" t="s">
        <v>322</v>
      </c>
      <c r="M66" s="101" t="s">
        <v>341</v>
      </c>
      <c r="N66" s="101" t="s">
        <v>534</v>
      </c>
      <c r="O66" s="101" t="s">
        <v>336</v>
      </c>
      <c r="P66" s="101" t="s">
        <v>1249</v>
      </c>
      <c r="Q66" s="104">
        <v>57</v>
      </c>
      <c r="R66" s="104">
        <v>3.165</v>
      </c>
      <c r="S66" s="104">
        <v>84599</v>
      </c>
      <c r="T66" s="104">
        <v>0</v>
      </c>
      <c r="U66" s="104">
        <v>152.62083000000001</v>
      </c>
      <c r="V66" s="103">
        <v>0</v>
      </c>
      <c r="W66" s="103">
        <v>2.3270000000000001E-3</v>
      </c>
      <c r="X66" s="103">
        <v>3.8000000000000002E-5</v>
      </c>
    </row>
    <row r="67" spans="1:24" ht="13.5" customHeight="1">
      <c r="A67" s="101">
        <v>274</v>
      </c>
      <c r="B67" s="101">
        <v>274</v>
      </c>
      <c r="C67" s="101" t="s">
        <v>1598</v>
      </c>
      <c r="D67" s="101" t="s">
        <v>1599</v>
      </c>
      <c r="E67" s="101" t="s">
        <v>312</v>
      </c>
      <c r="F67" s="101" t="s">
        <v>1600</v>
      </c>
      <c r="G67" s="101" t="s">
        <v>1601</v>
      </c>
      <c r="H67" s="101" t="s">
        <v>319</v>
      </c>
      <c r="I67" s="101" t="s">
        <v>925</v>
      </c>
      <c r="J67" s="101" t="s">
        <v>203</v>
      </c>
      <c r="K67" s="101" t="s">
        <v>223</v>
      </c>
      <c r="L67" s="101" t="s">
        <v>322</v>
      </c>
      <c r="M67" s="101" t="s">
        <v>341</v>
      </c>
      <c r="N67" s="101" t="s">
        <v>567</v>
      </c>
      <c r="O67" s="101" t="s">
        <v>336</v>
      </c>
      <c r="P67" s="101" t="s">
        <v>1249</v>
      </c>
      <c r="Q67" s="104">
        <v>53</v>
      </c>
      <c r="R67" s="104">
        <v>3.165</v>
      </c>
      <c r="S67" s="104">
        <v>68112</v>
      </c>
      <c r="T67" s="104">
        <v>1.2710000000000001E-2</v>
      </c>
      <c r="U67" s="104">
        <v>114.29470000000001</v>
      </c>
      <c r="V67" s="103">
        <v>9.9999999999999995E-7</v>
      </c>
      <c r="W67" s="103">
        <v>1.7420000000000001E-3</v>
      </c>
      <c r="X67" s="103">
        <v>2.8E-5</v>
      </c>
    </row>
    <row r="68" spans="1:24" ht="13.5" customHeight="1">
      <c r="A68" s="101">
        <v>274</v>
      </c>
      <c r="B68" s="101">
        <v>274</v>
      </c>
      <c r="C68" s="101" t="s">
        <v>1425</v>
      </c>
      <c r="D68" s="101">
        <v>520041146</v>
      </c>
      <c r="E68" s="101" t="s">
        <v>308</v>
      </c>
      <c r="F68" s="101" t="s">
        <v>1602</v>
      </c>
      <c r="G68" s="101" t="s">
        <v>1426</v>
      </c>
      <c r="H68" s="101" t="s">
        <v>319</v>
      </c>
      <c r="I68" s="101" t="s">
        <v>925</v>
      </c>
      <c r="J68" s="101" t="s">
        <v>203</v>
      </c>
      <c r="K68" s="101" t="s">
        <v>202</v>
      </c>
      <c r="L68" s="101" t="s">
        <v>322</v>
      </c>
      <c r="M68" s="101" t="s">
        <v>343</v>
      </c>
      <c r="N68" s="101" t="s">
        <v>484</v>
      </c>
      <c r="O68" s="101" t="s">
        <v>336</v>
      </c>
      <c r="P68" s="101" t="s">
        <v>1249</v>
      </c>
      <c r="Q68" s="104">
        <v>3164</v>
      </c>
      <c r="R68" s="104">
        <v>3.165</v>
      </c>
      <c r="S68" s="104">
        <v>6826</v>
      </c>
      <c r="T68" s="104">
        <v>0</v>
      </c>
      <c r="U68" s="104">
        <v>683.55974000000003</v>
      </c>
      <c r="V68" s="103">
        <v>2.1999999999999999E-5</v>
      </c>
      <c r="W68" s="103">
        <v>1.0425E-2</v>
      </c>
      <c r="X68" s="103">
        <v>1.7000000000000001E-4</v>
      </c>
    </row>
    <row r="69" spans="1:24" ht="13.5" customHeight="1">
      <c r="A69" s="101">
        <v>274</v>
      </c>
      <c r="B69" s="101">
        <v>274</v>
      </c>
      <c r="C69" s="101" t="s">
        <v>1448</v>
      </c>
      <c r="D69" s="101">
        <v>511812463</v>
      </c>
      <c r="E69" s="101" t="s">
        <v>308</v>
      </c>
      <c r="F69" s="101" t="s">
        <v>1603</v>
      </c>
      <c r="G69" s="101" t="s">
        <v>1450</v>
      </c>
      <c r="H69" s="101" t="s">
        <v>319</v>
      </c>
      <c r="I69" s="101" t="s">
        <v>925</v>
      </c>
      <c r="J69" s="101" t="s">
        <v>203</v>
      </c>
      <c r="K69" s="101" t="s">
        <v>202</v>
      </c>
      <c r="L69" s="101" t="s">
        <v>322</v>
      </c>
      <c r="M69" s="101" t="s">
        <v>343</v>
      </c>
      <c r="N69" s="101" t="s">
        <v>546</v>
      </c>
      <c r="O69" s="101" t="s">
        <v>336</v>
      </c>
      <c r="P69" s="101" t="s">
        <v>1249</v>
      </c>
      <c r="Q69" s="104">
        <v>1614</v>
      </c>
      <c r="R69" s="104">
        <v>3.165</v>
      </c>
      <c r="S69" s="104">
        <v>43428</v>
      </c>
      <c r="T69" s="104">
        <v>0</v>
      </c>
      <c r="U69" s="104">
        <v>2218.43687</v>
      </c>
      <c r="V69" s="103">
        <v>5.0000000000000002E-5</v>
      </c>
      <c r="W69" s="103">
        <v>3.3834000000000003E-2</v>
      </c>
      <c r="X69" s="103">
        <v>5.53E-4</v>
      </c>
    </row>
    <row r="70" spans="1:24" ht="13.5" customHeight="1"/>
    <row r="71" spans="1:24" ht="13.5" customHeight="1"/>
    <row r="72" spans="1:24" ht="13.5" customHeight="1"/>
    <row r="73" spans="1:24" ht="13.5" customHeight="1"/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5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3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1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1604</v>
      </c>
      <c r="D2" s="101">
        <v>511303661</v>
      </c>
      <c r="E2" s="101" t="s">
        <v>308</v>
      </c>
      <c r="F2" s="101" t="s">
        <v>1605</v>
      </c>
      <c r="G2" s="101" t="s">
        <v>1606</v>
      </c>
      <c r="H2" s="101" t="s">
        <v>319</v>
      </c>
      <c r="I2" s="101" t="s">
        <v>981</v>
      </c>
      <c r="J2" s="101" t="s">
        <v>202</v>
      </c>
      <c r="K2" s="101" t="s">
        <v>202</v>
      </c>
      <c r="L2" s="101" t="s">
        <v>337</v>
      </c>
      <c r="M2" s="112" t="s">
        <v>571</v>
      </c>
      <c r="N2" s="101" t="s">
        <v>336</v>
      </c>
      <c r="O2" s="101" t="s">
        <v>1241</v>
      </c>
      <c r="P2" s="104">
        <v>33000</v>
      </c>
      <c r="Q2" s="104">
        <v>1</v>
      </c>
      <c r="R2" s="104">
        <v>498.92</v>
      </c>
      <c r="S2" s="104">
        <v>0</v>
      </c>
      <c r="T2" s="104">
        <v>164.64359999999999</v>
      </c>
      <c r="U2" s="103">
        <v>1.3799999999999999E-4</v>
      </c>
      <c r="V2" s="103">
        <v>5.53E-4</v>
      </c>
      <c r="W2" s="103">
        <v>4.1E-5</v>
      </c>
    </row>
    <row r="3" spans="1:26" ht="13.5" customHeight="1">
      <c r="A3" s="101">
        <v>274</v>
      </c>
      <c r="B3" s="101">
        <v>274</v>
      </c>
      <c r="C3" s="101" t="s">
        <v>1604</v>
      </c>
      <c r="D3" s="101">
        <v>511303661</v>
      </c>
      <c r="E3" s="101" t="s">
        <v>308</v>
      </c>
      <c r="F3" s="101" t="s">
        <v>1607</v>
      </c>
      <c r="G3" s="101" t="s">
        <v>1608</v>
      </c>
      <c r="H3" s="101" t="s">
        <v>319</v>
      </c>
      <c r="I3" s="101" t="s">
        <v>978</v>
      </c>
      <c r="J3" s="101" t="s">
        <v>202</v>
      </c>
      <c r="K3" s="101" t="s">
        <v>202</v>
      </c>
      <c r="L3" s="101" t="s">
        <v>337</v>
      </c>
      <c r="M3" s="112" t="s">
        <v>572</v>
      </c>
      <c r="N3" s="101" t="s">
        <v>336</v>
      </c>
      <c r="O3" s="101" t="s">
        <v>1241</v>
      </c>
      <c r="P3" s="104">
        <v>189694</v>
      </c>
      <c r="Q3" s="104">
        <v>1</v>
      </c>
      <c r="R3" s="104">
        <v>5475</v>
      </c>
      <c r="S3" s="104">
        <v>0</v>
      </c>
      <c r="T3" s="104">
        <v>10385.746499999999</v>
      </c>
      <c r="U3" s="103">
        <v>2.709E-3</v>
      </c>
      <c r="V3" s="103">
        <v>3.4914000000000001E-2</v>
      </c>
      <c r="W3" s="103">
        <v>2.5920000000000001E-3</v>
      </c>
    </row>
    <row r="4" spans="1:26" ht="13.5" customHeight="1">
      <c r="A4" s="101">
        <v>274</v>
      </c>
      <c r="B4" s="101">
        <v>274</v>
      </c>
      <c r="C4" s="101" t="s">
        <v>1604</v>
      </c>
      <c r="D4" s="101">
        <v>511303661</v>
      </c>
      <c r="E4" s="101" t="s">
        <v>308</v>
      </c>
      <c r="F4" s="101" t="s">
        <v>1609</v>
      </c>
      <c r="G4" s="101" t="s">
        <v>1610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2" t="s">
        <v>574</v>
      </c>
      <c r="N4" s="101" t="s">
        <v>336</v>
      </c>
      <c r="O4" s="101" t="s">
        <v>1241</v>
      </c>
      <c r="P4" s="104">
        <v>1818503</v>
      </c>
      <c r="Q4" s="104">
        <v>1</v>
      </c>
      <c r="R4" s="104">
        <v>503.22</v>
      </c>
      <c r="S4" s="104">
        <v>0</v>
      </c>
      <c r="T4" s="104">
        <v>9151.0707999999995</v>
      </c>
      <c r="U4" s="103">
        <v>8.659E-3</v>
      </c>
      <c r="V4" s="103">
        <v>3.0762999999999999E-2</v>
      </c>
      <c r="W4" s="103">
        <v>2.2829999999999999E-3</v>
      </c>
    </row>
    <row r="5" spans="1:26" ht="13.5" customHeight="1">
      <c r="A5" s="101">
        <v>274</v>
      </c>
      <c r="B5" s="101">
        <v>274</v>
      </c>
      <c r="C5" s="101" t="s">
        <v>1611</v>
      </c>
      <c r="D5" s="101">
        <v>513534974</v>
      </c>
      <c r="E5" s="101" t="s">
        <v>308</v>
      </c>
      <c r="F5" s="101" t="s">
        <v>1612</v>
      </c>
      <c r="G5" s="101" t="s">
        <v>1613</v>
      </c>
      <c r="H5" s="101" t="s">
        <v>319</v>
      </c>
      <c r="I5" s="101" t="s">
        <v>981</v>
      </c>
      <c r="J5" s="101" t="s">
        <v>202</v>
      </c>
      <c r="K5" s="101" t="s">
        <v>202</v>
      </c>
      <c r="L5" s="101" t="s">
        <v>337</v>
      </c>
      <c r="M5" s="112" t="s">
        <v>573</v>
      </c>
      <c r="N5" s="101" t="s">
        <v>336</v>
      </c>
      <c r="O5" s="101" t="s">
        <v>1241</v>
      </c>
      <c r="P5" s="104">
        <v>351755</v>
      </c>
      <c r="Q5" s="104">
        <v>1</v>
      </c>
      <c r="R5" s="104">
        <v>384.51</v>
      </c>
      <c r="S5" s="104">
        <v>0</v>
      </c>
      <c r="T5" s="104">
        <v>1352.53315</v>
      </c>
      <c r="U5" s="103">
        <v>6.1200000000000002E-4</v>
      </c>
      <c r="V5" s="103">
        <v>4.5459999999999997E-3</v>
      </c>
      <c r="W5" s="103">
        <v>3.3700000000000001E-4</v>
      </c>
    </row>
    <row r="6" spans="1:26" ht="13.5" customHeight="1">
      <c r="A6" s="101">
        <v>274</v>
      </c>
      <c r="B6" s="101">
        <v>274</v>
      </c>
      <c r="C6" s="101" t="s">
        <v>1614</v>
      </c>
      <c r="D6" s="101">
        <v>510938608</v>
      </c>
      <c r="E6" s="101" t="s">
        <v>308</v>
      </c>
      <c r="F6" s="101" t="s">
        <v>1615</v>
      </c>
      <c r="G6" s="101" t="s">
        <v>1616</v>
      </c>
      <c r="H6" s="101" t="s">
        <v>319</v>
      </c>
      <c r="I6" s="101" t="s">
        <v>981</v>
      </c>
      <c r="J6" s="101" t="s">
        <v>202</v>
      </c>
      <c r="K6" s="101" t="s">
        <v>202</v>
      </c>
      <c r="L6" s="101" t="s">
        <v>337</v>
      </c>
      <c r="M6" s="112" t="s">
        <v>571</v>
      </c>
      <c r="N6" s="101" t="s">
        <v>336</v>
      </c>
      <c r="O6" s="101" t="s">
        <v>1241</v>
      </c>
      <c r="P6" s="104">
        <v>5930.5</v>
      </c>
      <c r="Q6" s="104">
        <v>1</v>
      </c>
      <c r="R6" s="104">
        <v>4002.92</v>
      </c>
      <c r="S6" s="104">
        <v>0</v>
      </c>
      <c r="T6" s="104">
        <v>237.39317</v>
      </c>
      <c r="U6" s="103">
        <v>1.13E-4</v>
      </c>
      <c r="V6" s="103">
        <v>7.9799999999999999E-4</v>
      </c>
      <c r="W6" s="103">
        <v>5.8999999999999998E-5</v>
      </c>
    </row>
    <row r="7" spans="1:26" ht="13.5" customHeight="1">
      <c r="A7" s="101">
        <v>274</v>
      </c>
      <c r="B7" s="101">
        <v>274</v>
      </c>
      <c r="C7" s="101" t="s">
        <v>1617</v>
      </c>
      <c r="D7" s="101">
        <v>511776783</v>
      </c>
      <c r="E7" s="101" t="s">
        <v>308</v>
      </c>
      <c r="F7" s="101" t="s">
        <v>1618</v>
      </c>
      <c r="G7" s="101" t="s">
        <v>1619</v>
      </c>
      <c r="H7" s="101" t="s">
        <v>319</v>
      </c>
      <c r="I7" s="101" t="s">
        <v>978</v>
      </c>
      <c r="J7" s="101" t="s">
        <v>202</v>
      </c>
      <c r="K7" s="101" t="s">
        <v>202</v>
      </c>
      <c r="L7" s="101" t="s">
        <v>337</v>
      </c>
      <c r="M7" s="112" t="s">
        <v>572</v>
      </c>
      <c r="N7" s="101" t="s">
        <v>336</v>
      </c>
      <c r="O7" s="101" t="s">
        <v>1241</v>
      </c>
      <c r="P7" s="104">
        <v>152802</v>
      </c>
      <c r="Q7" s="104">
        <v>1</v>
      </c>
      <c r="R7" s="104">
        <v>4021</v>
      </c>
      <c r="S7" s="104">
        <v>0</v>
      </c>
      <c r="T7" s="104">
        <v>6144.16842</v>
      </c>
      <c r="U7" s="103">
        <v>1.7930000000000001E-3</v>
      </c>
      <c r="V7" s="103">
        <v>2.0655E-2</v>
      </c>
      <c r="W7" s="103">
        <v>1.5330000000000001E-3</v>
      </c>
    </row>
    <row r="8" spans="1:26" ht="13.5" customHeight="1">
      <c r="A8" s="101">
        <v>274</v>
      </c>
      <c r="B8" s="101">
        <v>274</v>
      </c>
      <c r="C8" s="101" t="s">
        <v>1611</v>
      </c>
      <c r="D8" s="101">
        <v>513534974</v>
      </c>
      <c r="E8" s="101" t="s">
        <v>308</v>
      </c>
      <c r="F8" s="101" t="s">
        <v>1620</v>
      </c>
      <c r="G8" s="101" t="s">
        <v>1621</v>
      </c>
      <c r="H8" s="101" t="s">
        <v>319</v>
      </c>
      <c r="I8" s="101" t="s">
        <v>978</v>
      </c>
      <c r="J8" s="101" t="s">
        <v>202</v>
      </c>
      <c r="K8" s="101" t="s">
        <v>202</v>
      </c>
      <c r="L8" s="101" t="s">
        <v>337</v>
      </c>
      <c r="M8" s="112" t="s">
        <v>572</v>
      </c>
      <c r="N8" s="101" t="s">
        <v>336</v>
      </c>
      <c r="O8" s="101" t="s">
        <v>1241</v>
      </c>
      <c r="P8" s="104">
        <v>46030</v>
      </c>
      <c r="Q8" s="104">
        <v>1</v>
      </c>
      <c r="R8" s="104">
        <v>4013</v>
      </c>
      <c r="S8" s="104">
        <v>0</v>
      </c>
      <c r="T8" s="104">
        <v>1847.1839</v>
      </c>
      <c r="U8" s="103">
        <v>1.7899999999999999E-4</v>
      </c>
      <c r="V8" s="103">
        <v>6.2090000000000001E-3</v>
      </c>
      <c r="W8" s="103">
        <v>4.6099999999999998E-4</v>
      </c>
    </row>
    <row r="9" spans="1:26" ht="13.5" customHeight="1">
      <c r="A9" s="101">
        <v>274</v>
      </c>
      <c r="B9" s="101">
        <v>274</v>
      </c>
      <c r="C9" s="101" t="s">
        <v>1614</v>
      </c>
      <c r="D9" s="101">
        <v>510938608</v>
      </c>
      <c r="E9" s="101" t="s">
        <v>308</v>
      </c>
      <c r="F9" s="101" t="s">
        <v>1622</v>
      </c>
      <c r="G9" s="101" t="s">
        <v>1623</v>
      </c>
      <c r="H9" s="101" t="s">
        <v>319</v>
      </c>
      <c r="I9" s="101" t="s">
        <v>978</v>
      </c>
      <c r="J9" s="101" t="s">
        <v>202</v>
      </c>
      <c r="K9" s="101" t="s">
        <v>202</v>
      </c>
      <c r="L9" s="101" t="s">
        <v>337</v>
      </c>
      <c r="M9" s="112" t="s">
        <v>572</v>
      </c>
      <c r="N9" s="101" t="s">
        <v>336</v>
      </c>
      <c r="O9" s="101" t="s">
        <v>1241</v>
      </c>
      <c r="P9" s="104">
        <v>9711.81</v>
      </c>
      <c r="Q9" s="104">
        <v>1</v>
      </c>
      <c r="R9" s="104">
        <v>39970</v>
      </c>
      <c r="S9" s="104">
        <v>0</v>
      </c>
      <c r="T9" s="104">
        <v>3881.8104600000001</v>
      </c>
      <c r="U9" s="103">
        <v>5.0199999999999995E-4</v>
      </c>
      <c r="V9" s="103">
        <v>1.3049E-2</v>
      </c>
      <c r="W9" s="103">
        <v>9.68E-4</v>
      </c>
    </row>
    <row r="10" spans="1:26" ht="13.5" customHeight="1">
      <c r="A10" s="101">
        <v>274</v>
      </c>
      <c r="B10" s="101">
        <v>274</v>
      </c>
      <c r="C10" s="101" t="s">
        <v>1617</v>
      </c>
      <c r="D10" s="101">
        <v>511776783</v>
      </c>
      <c r="E10" s="101" t="s">
        <v>308</v>
      </c>
      <c r="F10" s="101" t="s">
        <v>1624</v>
      </c>
      <c r="G10" s="101" t="s">
        <v>1625</v>
      </c>
      <c r="H10" s="101" t="s">
        <v>319</v>
      </c>
      <c r="I10" s="101" t="s">
        <v>981</v>
      </c>
      <c r="J10" s="101" t="s">
        <v>202</v>
      </c>
      <c r="K10" s="101" t="s">
        <v>202</v>
      </c>
      <c r="L10" s="101" t="s">
        <v>337</v>
      </c>
      <c r="M10" s="112" t="s">
        <v>571</v>
      </c>
      <c r="N10" s="101" t="s">
        <v>336</v>
      </c>
      <c r="O10" s="101" t="s">
        <v>1241</v>
      </c>
      <c r="P10" s="104">
        <v>68800</v>
      </c>
      <c r="Q10" s="104">
        <v>1</v>
      </c>
      <c r="R10" s="104">
        <v>404.36</v>
      </c>
      <c r="S10" s="104">
        <v>0</v>
      </c>
      <c r="T10" s="104">
        <v>278.19968</v>
      </c>
      <c r="U10" s="103">
        <v>2.8200000000000002E-4</v>
      </c>
      <c r="V10" s="103">
        <v>9.3499999999999996E-4</v>
      </c>
      <c r="W10" s="103">
        <v>6.8999999999999997E-5</v>
      </c>
    </row>
    <row r="11" spans="1:26" ht="13.5" customHeight="1">
      <c r="A11" s="101">
        <v>274</v>
      </c>
      <c r="B11" s="101">
        <v>274</v>
      </c>
      <c r="C11" s="101" t="s">
        <v>1626</v>
      </c>
      <c r="D11" s="101" t="s">
        <v>1627</v>
      </c>
      <c r="E11" s="101" t="s">
        <v>312</v>
      </c>
      <c r="F11" s="101" t="s">
        <v>1628</v>
      </c>
      <c r="G11" s="101" t="s">
        <v>1629</v>
      </c>
      <c r="H11" s="101" t="s">
        <v>319</v>
      </c>
      <c r="I11" s="101" t="s">
        <v>980</v>
      </c>
      <c r="J11" s="101" t="s">
        <v>203</v>
      </c>
      <c r="K11" s="101" t="s">
        <v>223</v>
      </c>
      <c r="L11" s="101" t="s">
        <v>341</v>
      </c>
      <c r="M11" s="112" t="s">
        <v>733</v>
      </c>
      <c r="N11" s="101" t="s">
        <v>336</v>
      </c>
      <c r="O11" s="101" t="s">
        <v>1249</v>
      </c>
      <c r="P11" s="104">
        <v>1456</v>
      </c>
      <c r="Q11" s="104">
        <v>3.165</v>
      </c>
      <c r="R11" s="104">
        <v>12773</v>
      </c>
      <c r="S11" s="104">
        <v>0</v>
      </c>
      <c r="T11" s="104">
        <v>588.6105</v>
      </c>
      <c r="U11" s="103">
        <v>2.1999999999999999E-5</v>
      </c>
      <c r="V11" s="103">
        <v>1.9780000000000002E-3</v>
      </c>
      <c r="W11" s="103">
        <v>1.46E-4</v>
      </c>
    </row>
    <row r="12" spans="1:26" ht="13.5" customHeight="1">
      <c r="A12" s="101">
        <v>274</v>
      </c>
      <c r="B12" s="101">
        <v>274</v>
      </c>
      <c r="C12" s="101" t="s">
        <v>1630</v>
      </c>
      <c r="D12" s="101" t="s">
        <v>1631</v>
      </c>
      <c r="E12" s="101" t="s">
        <v>312</v>
      </c>
      <c r="F12" s="101" t="s">
        <v>1632</v>
      </c>
      <c r="G12" s="101" t="s">
        <v>1633</v>
      </c>
      <c r="H12" s="101" t="s">
        <v>319</v>
      </c>
      <c r="I12" s="101" t="s">
        <v>980</v>
      </c>
      <c r="J12" s="101" t="s">
        <v>203</v>
      </c>
      <c r="K12" s="101" t="s">
        <v>223</v>
      </c>
      <c r="L12" s="101" t="s">
        <v>377</v>
      </c>
      <c r="M12" s="112" t="s">
        <v>733</v>
      </c>
      <c r="N12" s="101" t="s">
        <v>336</v>
      </c>
      <c r="O12" s="101" t="s">
        <v>1249</v>
      </c>
      <c r="P12" s="104">
        <v>14942</v>
      </c>
      <c r="Q12" s="104">
        <v>3.165</v>
      </c>
      <c r="R12" s="104">
        <v>46624</v>
      </c>
      <c r="S12" s="104">
        <v>0</v>
      </c>
      <c r="T12" s="104">
        <v>22049.156319999998</v>
      </c>
      <c r="U12" s="103">
        <v>4.7899999999999999E-4</v>
      </c>
      <c r="V12" s="103">
        <v>7.4123999999999995E-2</v>
      </c>
      <c r="W12" s="103">
        <v>5.5030000000000001E-3</v>
      </c>
    </row>
    <row r="13" spans="1:26" ht="13.5" customHeight="1">
      <c r="A13" s="101">
        <v>274</v>
      </c>
      <c r="B13" s="101">
        <v>274</v>
      </c>
      <c r="C13" s="101" t="s">
        <v>1634</v>
      </c>
      <c r="D13" s="101" t="s">
        <v>1635</v>
      </c>
      <c r="E13" s="101" t="s">
        <v>312</v>
      </c>
      <c r="F13" s="101" t="s">
        <v>1636</v>
      </c>
      <c r="G13" s="101" t="s">
        <v>1637</v>
      </c>
      <c r="H13" s="101" t="s">
        <v>319</v>
      </c>
      <c r="I13" s="101" t="s">
        <v>980</v>
      </c>
      <c r="J13" s="101" t="s">
        <v>203</v>
      </c>
      <c r="K13" s="101" t="s">
        <v>223</v>
      </c>
      <c r="L13" s="101" t="s">
        <v>341</v>
      </c>
      <c r="M13" s="112" t="s">
        <v>733</v>
      </c>
      <c r="N13" s="101" t="s">
        <v>336</v>
      </c>
      <c r="O13" s="101" t="s">
        <v>1249</v>
      </c>
      <c r="P13" s="104">
        <v>819</v>
      </c>
      <c r="Q13" s="104">
        <v>3.165</v>
      </c>
      <c r="R13" s="104">
        <v>16570</v>
      </c>
      <c r="S13" s="104">
        <v>0</v>
      </c>
      <c r="T13" s="104">
        <v>429.51677000000001</v>
      </c>
      <c r="U13" s="103">
        <v>1.7E-5</v>
      </c>
      <c r="V13" s="103">
        <v>1.4430000000000001E-3</v>
      </c>
      <c r="W13" s="103">
        <v>1.07E-4</v>
      </c>
    </row>
    <row r="14" spans="1:26" ht="13.5" customHeight="1">
      <c r="A14" s="101">
        <v>274</v>
      </c>
      <c r="B14" s="101">
        <v>274</v>
      </c>
      <c r="C14" s="101" t="s">
        <v>1638</v>
      </c>
      <c r="D14" s="101" t="s">
        <v>1639</v>
      </c>
      <c r="E14" s="101" t="s">
        <v>312</v>
      </c>
      <c r="F14" s="101" t="s">
        <v>1640</v>
      </c>
      <c r="G14" s="101" t="s">
        <v>1641</v>
      </c>
      <c r="H14" s="101" t="s">
        <v>319</v>
      </c>
      <c r="I14" s="101" t="s">
        <v>980</v>
      </c>
      <c r="J14" s="101" t="s">
        <v>203</v>
      </c>
      <c r="K14" s="101" t="s">
        <v>223</v>
      </c>
      <c r="L14" s="101" t="s">
        <v>343</v>
      </c>
      <c r="M14" s="112" t="s">
        <v>733</v>
      </c>
      <c r="N14" s="101" t="s">
        <v>336</v>
      </c>
      <c r="O14" s="101" t="s">
        <v>1249</v>
      </c>
      <c r="P14" s="104">
        <v>2494</v>
      </c>
      <c r="Q14" s="104">
        <v>3.165</v>
      </c>
      <c r="R14" s="104">
        <v>6268</v>
      </c>
      <c r="S14" s="104">
        <v>0</v>
      </c>
      <c r="T14" s="104">
        <v>494.76521000000002</v>
      </c>
      <c r="U14" s="103">
        <v>1.5999999999999999E-5</v>
      </c>
      <c r="V14" s="103">
        <v>1.663E-3</v>
      </c>
      <c r="W14" s="103">
        <v>1.2300000000000001E-4</v>
      </c>
    </row>
    <row r="15" spans="1:26" ht="13.5" customHeight="1">
      <c r="A15" s="101">
        <v>274</v>
      </c>
      <c r="B15" s="101">
        <v>274</v>
      </c>
      <c r="C15" s="101" t="s">
        <v>1642</v>
      </c>
      <c r="D15" s="101" t="s">
        <v>1635</v>
      </c>
      <c r="E15" s="101" t="s">
        <v>312</v>
      </c>
      <c r="F15" s="101" t="s">
        <v>1643</v>
      </c>
      <c r="G15" s="101" t="s">
        <v>1644</v>
      </c>
      <c r="H15" s="101" t="s">
        <v>319</v>
      </c>
      <c r="I15" s="101" t="s">
        <v>980</v>
      </c>
      <c r="J15" s="101" t="s">
        <v>203</v>
      </c>
      <c r="K15" s="101" t="s">
        <v>223</v>
      </c>
      <c r="L15" s="101" t="s">
        <v>377</v>
      </c>
      <c r="M15" s="112" t="s">
        <v>733</v>
      </c>
      <c r="N15" s="101" t="s">
        <v>336</v>
      </c>
      <c r="O15" s="101" t="s">
        <v>1249</v>
      </c>
      <c r="P15" s="104">
        <v>191500</v>
      </c>
      <c r="Q15" s="104">
        <v>3.165</v>
      </c>
      <c r="R15" s="104">
        <v>1287</v>
      </c>
      <c r="S15" s="104">
        <v>0</v>
      </c>
      <c r="T15" s="104">
        <v>7800.4748300000001</v>
      </c>
      <c r="U15" s="103">
        <v>7.2999999999999999E-5</v>
      </c>
      <c r="V15" s="103">
        <v>2.6223E-2</v>
      </c>
      <c r="W15" s="103">
        <v>1.946E-3</v>
      </c>
    </row>
    <row r="16" spans="1:26" ht="13.5" customHeight="1">
      <c r="A16" s="101">
        <v>274</v>
      </c>
      <c r="B16" s="101">
        <v>274</v>
      </c>
      <c r="C16" s="101" t="s">
        <v>1626</v>
      </c>
      <c r="D16" s="101" t="s">
        <v>1627</v>
      </c>
      <c r="E16" s="101" t="s">
        <v>312</v>
      </c>
      <c r="F16" s="101" t="s">
        <v>1645</v>
      </c>
      <c r="G16" s="101" t="s">
        <v>1646</v>
      </c>
      <c r="H16" s="101" t="s">
        <v>319</v>
      </c>
      <c r="I16" s="101" t="s">
        <v>980</v>
      </c>
      <c r="J16" s="101" t="s">
        <v>203</v>
      </c>
      <c r="K16" s="101" t="s">
        <v>223</v>
      </c>
      <c r="L16" s="101" t="s">
        <v>341</v>
      </c>
      <c r="M16" s="112" t="s">
        <v>733</v>
      </c>
      <c r="N16" s="101" t="s">
        <v>336</v>
      </c>
      <c r="O16" s="101" t="s">
        <v>1249</v>
      </c>
      <c r="P16" s="104">
        <v>6257</v>
      </c>
      <c r="Q16" s="104">
        <v>3.165</v>
      </c>
      <c r="R16" s="104">
        <v>4589</v>
      </c>
      <c r="S16" s="104">
        <v>0</v>
      </c>
      <c r="T16" s="104">
        <v>908.77826000000005</v>
      </c>
      <c r="U16" s="103">
        <v>1.1E-5</v>
      </c>
      <c r="V16" s="103">
        <v>3.055E-3</v>
      </c>
      <c r="W16" s="103">
        <v>2.2599999999999999E-4</v>
      </c>
    </row>
    <row r="17" spans="1:23" ht="13.5" customHeight="1">
      <c r="A17" s="101">
        <v>274</v>
      </c>
      <c r="B17" s="101">
        <v>274</v>
      </c>
      <c r="C17" s="101" t="s">
        <v>1647</v>
      </c>
      <c r="D17" s="101" t="s">
        <v>1648</v>
      </c>
      <c r="E17" s="101" t="s">
        <v>312</v>
      </c>
      <c r="F17" s="101" t="s">
        <v>1649</v>
      </c>
      <c r="G17" s="101" t="s">
        <v>1650</v>
      </c>
      <c r="H17" s="101" t="s">
        <v>319</v>
      </c>
      <c r="I17" s="101" t="s">
        <v>980</v>
      </c>
      <c r="J17" s="101" t="s">
        <v>203</v>
      </c>
      <c r="K17" s="101" t="s">
        <v>223</v>
      </c>
      <c r="L17" s="101" t="s">
        <v>313</v>
      </c>
      <c r="M17" s="112" t="s">
        <v>733</v>
      </c>
      <c r="N17" s="101" t="s">
        <v>336</v>
      </c>
      <c r="O17" s="101" t="s">
        <v>1249</v>
      </c>
      <c r="P17" s="104">
        <v>294000</v>
      </c>
      <c r="Q17" s="104">
        <v>3.165</v>
      </c>
      <c r="R17" s="104">
        <v>645.80999999999995</v>
      </c>
      <c r="S17" s="104">
        <v>0</v>
      </c>
      <c r="T17" s="104">
        <v>6009.3266299999996</v>
      </c>
      <c r="U17" s="103">
        <v>1.3309999999999999E-3</v>
      </c>
      <c r="V17" s="103">
        <v>2.0201E-2</v>
      </c>
      <c r="W17" s="103">
        <v>1.4989999999999999E-3</v>
      </c>
    </row>
    <row r="18" spans="1:23" ht="13.5" customHeight="1">
      <c r="A18" s="101">
        <v>274</v>
      </c>
      <c r="B18" s="101">
        <v>274</v>
      </c>
      <c r="C18" s="101" t="s">
        <v>1651</v>
      </c>
      <c r="D18" s="101" t="s">
        <v>1652</v>
      </c>
      <c r="E18" s="101" t="s">
        <v>312</v>
      </c>
      <c r="F18" s="101" t="s">
        <v>1653</v>
      </c>
      <c r="G18" s="101" t="s">
        <v>1654</v>
      </c>
      <c r="H18" s="101" t="s">
        <v>319</v>
      </c>
      <c r="I18" s="101" t="s">
        <v>980</v>
      </c>
      <c r="J18" s="101" t="s">
        <v>203</v>
      </c>
      <c r="K18" s="101" t="s">
        <v>223</v>
      </c>
      <c r="L18" s="101" t="s">
        <v>343</v>
      </c>
      <c r="M18" s="112" t="s">
        <v>733</v>
      </c>
      <c r="N18" s="101" t="s">
        <v>336</v>
      </c>
      <c r="O18" s="101" t="s">
        <v>1249</v>
      </c>
      <c r="P18" s="104">
        <v>278</v>
      </c>
      <c r="Q18" s="104">
        <v>3.165</v>
      </c>
      <c r="R18" s="104">
        <v>38340</v>
      </c>
      <c r="S18" s="104">
        <v>0</v>
      </c>
      <c r="T18" s="104">
        <v>337.34215999999998</v>
      </c>
      <c r="U18" s="103">
        <v>1.9999999999999999E-6</v>
      </c>
      <c r="V18" s="103">
        <v>1.134E-3</v>
      </c>
      <c r="W18" s="103">
        <v>8.3999999999999995E-5</v>
      </c>
    </row>
    <row r="19" spans="1:23" ht="13.5" customHeight="1">
      <c r="A19" s="101">
        <v>274</v>
      </c>
      <c r="B19" s="101">
        <v>274</v>
      </c>
      <c r="C19" s="101" t="s">
        <v>1634</v>
      </c>
      <c r="D19" s="101" t="s">
        <v>1635</v>
      </c>
      <c r="E19" s="101" t="s">
        <v>312</v>
      </c>
      <c r="F19" s="101" t="s">
        <v>1655</v>
      </c>
      <c r="G19" s="101" t="s">
        <v>1656</v>
      </c>
      <c r="H19" s="101" t="s">
        <v>319</v>
      </c>
      <c r="I19" s="101" t="s">
        <v>313</v>
      </c>
      <c r="J19" s="101" t="s">
        <v>203</v>
      </c>
      <c r="K19" s="101" t="s">
        <v>223</v>
      </c>
      <c r="L19" s="101" t="s">
        <v>377</v>
      </c>
      <c r="M19" s="112" t="s">
        <v>676</v>
      </c>
      <c r="N19" s="101" t="s">
        <v>336</v>
      </c>
      <c r="O19" s="101" t="s">
        <v>1249</v>
      </c>
      <c r="P19" s="104">
        <v>6600</v>
      </c>
      <c r="Q19" s="104">
        <v>3.165</v>
      </c>
      <c r="R19" s="104">
        <v>3200.25</v>
      </c>
      <c r="S19" s="104">
        <v>0</v>
      </c>
      <c r="T19" s="104">
        <v>668.50022000000001</v>
      </c>
      <c r="U19" s="103">
        <v>5.202E-3</v>
      </c>
      <c r="V19" s="103">
        <v>2.2469999999999999E-3</v>
      </c>
      <c r="W19" s="103">
        <v>1.66E-4</v>
      </c>
    </row>
    <row r="20" spans="1:23" ht="13.5" customHeight="1">
      <c r="A20" s="101">
        <v>274</v>
      </c>
      <c r="B20" s="101">
        <v>274</v>
      </c>
      <c r="C20" s="101" t="s">
        <v>1626</v>
      </c>
      <c r="D20" s="101" t="s">
        <v>1627</v>
      </c>
      <c r="E20" s="101" t="s">
        <v>312</v>
      </c>
      <c r="F20" s="101" t="s">
        <v>1657</v>
      </c>
      <c r="G20" s="101" t="s">
        <v>1658</v>
      </c>
      <c r="H20" s="101" t="s">
        <v>319</v>
      </c>
      <c r="I20" s="101" t="s">
        <v>980</v>
      </c>
      <c r="J20" s="101" t="s">
        <v>203</v>
      </c>
      <c r="K20" s="101" t="s">
        <v>223</v>
      </c>
      <c r="L20" s="101" t="s">
        <v>341</v>
      </c>
      <c r="M20" s="112" t="s">
        <v>733</v>
      </c>
      <c r="N20" s="101" t="s">
        <v>336</v>
      </c>
      <c r="O20" s="101" t="s">
        <v>1249</v>
      </c>
      <c r="P20" s="104">
        <v>2929</v>
      </c>
      <c r="Q20" s="104">
        <v>3.165</v>
      </c>
      <c r="R20" s="104">
        <v>14661</v>
      </c>
      <c r="S20" s="104">
        <v>0</v>
      </c>
      <c r="T20" s="104">
        <v>1359.1164799999999</v>
      </c>
      <c r="U20" s="103">
        <v>1.1E-5</v>
      </c>
      <c r="V20" s="103">
        <v>4.5690000000000001E-3</v>
      </c>
      <c r="W20" s="103">
        <v>3.39E-4</v>
      </c>
    </row>
    <row r="21" spans="1:23" ht="13.5" customHeight="1">
      <c r="A21" s="101">
        <v>274</v>
      </c>
      <c r="B21" s="101">
        <v>274</v>
      </c>
      <c r="C21" s="101" t="s">
        <v>1659</v>
      </c>
      <c r="D21" s="101" t="s">
        <v>1660</v>
      </c>
      <c r="E21" s="101" t="s">
        <v>312</v>
      </c>
      <c r="F21" s="101" t="s">
        <v>1661</v>
      </c>
      <c r="G21" s="101" t="s">
        <v>1662</v>
      </c>
      <c r="H21" s="101" t="s">
        <v>319</v>
      </c>
      <c r="I21" s="101" t="s">
        <v>313</v>
      </c>
      <c r="J21" s="101" t="s">
        <v>203</v>
      </c>
      <c r="K21" s="101" t="s">
        <v>288</v>
      </c>
      <c r="L21" s="101" t="s">
        <v>377</v>
      </c>
      <c r="M21" s="112" t="s">
        <v>676</v>
      </c>
      <c r="N21" s="101" t="s">
        <v>336</v>
      </c>
      <c r="O21" s="101" t="s">
        <v>1249</v>
      </c>
      <c r="P21" s="104">
        <v>10550</v>
      </c>
      <c r="Q21" s="104">
        <v>3.165</v>
      </c>
      <c r="R21" s="104">
        <v>797.65</v>
      </c>
      <c r="S21" s="104">
        <v>0</v>
      </c>
      <c r="T21" s="104">
        <v>266.34132</v>
      </c>
      <c r="U21" s="103">
        <v>5.4600000000000004E-4</v>
      </c>
      <c r="V21" s="103">
        <v>8.9499999999999996E-4</v>
      </c>
      <c r="W21" s="103">
        <v>6.6000000000000005E-5</v>
      </c>
    </row>
    <row r="22" spans="1:23" ht="13.5" customHeight="1">
      <c r="A22" s="101">
        <v>274</v>
      </c>
      <c r="B22" s="101">
        <v>274</v>
      </c>
      <c r="C22" s="101" t="s">
        <v>1663</v>
      </c>
      <c r="D22" s="101" t="s">
        <v>1664</v>
      </c>
      <c r="E22" s="101" t="s">
        <v>312</v>
      </c>
      <c r="F22" s="101" t="s">
        <v>1665</v>
      </c>
      <c r="G22" s="101" t="s">
        <v>1666</v>
      </c>
      <c r="H22" s="101" t="s">
        <v>319</v>
      </c>
      <c r="I22" s="101" t="s">
        <v>980</v>
      </c>
      <c r="J22" s="101" t="s">
        <v>203</v>
      </c>
      <c r="K22" s="101" t="s">
        <v>250</v>
      </c>
      <c r="L22" s="101" t="s">
        <v>397</v>
      </c>
      <c r="M22" s="112" t="s">
        <v>733</v>
      </c>
      <c r="N22" s="101" t="s">
        <v>336</v>
      </c>
      <c r="O22" s="101" t="s">
        <v>1246</v>
      </c>
      <c r="P22" s="104">
        <v>119890</v>
      </c>
      <c r="Q22" s="104">
        <v>1.9858000000000001E-2</v>
      </c>
      <c r="R22" s="104">
        <v>57350</v>
      </c>
      <c r="S22" s="104">
        <v>0</v>
      </c>
      <c r="T22" s="104">
        <v>1365.37482</v>
      </c>
      <c r="U22" s="103">
        <v>1.5100000000000001E-4</v>
      </c>
      <c r="V22" s="103">
        <v>4.5900000000000003E-3</v>
      </c>
      <c r="W22" s="103">
        <v>3.4000000000000002E-4</v>
      </c>
    </row>
    <row r="23" spans="1:23" ht="13.5" customHeight="1">
      <c r="A23" s="101">
        <v>274</v>
      </c>
      <c r="B23" s="101">
        <v>274</v>
      </c>
      <c r="C23" s="101" t="s">
        <v>1667</v>
      </c>
      <c r="D23" s="101" t="s">
        <v>1668</v>
      </c>
      <c r="E23" s="101" t="s">
        <v>312</v>
      </c>
      <c r="F23" s="101" t="s">
        <v>1669</v>
      </c>
      <c r="G23" s="101" t="s">
        <v>1670</v>
      </c>
      <c r="H23" s="101" t="s">
        <v>319</v>
      </c>
      <c r="I23" s="101" t="s">
        <v>980</v>
      </c>
      <c r="J23" s="101" t="s">
        <v>203</v>
      </c>
      <c r="K23" s="101" t="s">
        <v>288</v>
      </c>
      <c r="L23" s="101" t="s">
        <v>377</v>
      </c>
      <c r="M23" s="112" t="s">
        <v>733</v>
      </c>
      <c r="N23" s="101" t="s">
        <v>336</v>
      </c>
      <c r="O23" s="101" t="s">
        <v>1249</v>
      </c>
      <c r="P23" s="104">
        <v>38959</v>
      </c>
      <c r="Q23" s="104">
        <v>3.165</v>
      </c>
      <c r="R23" s="104">
        <v>13620</v>
      </c>
      <c r="S23" s="104">
        <v>0</v>
      </c>
      <c r="T23" s="104">
        <v>16794.173009999999</v>
      </c>
      <c r="U23" s="103">
        <v>2.8299999999999999E-4</v>
      </c>
      <c r="V23" s="103">
        <v>5.6458000000000001E-2</v>
      </c>
      <c r="W23" s="103">
        <v>4.1910000000000003E-3</v>
      </c>
    </row>
    <row r="24" spans="1:23" ht="13.5" customHeight="1">
      <c r="A24" s="101">
        <v>274</v>
      </c>
      <c r="B24" s="101">
        <v>274</v>
      </c>
      <c r="C24" s="101" t="s">
        <v>1667</v>
      </c>
      <c r="D24" s="101" t="s">
        <v>1668</v>
      </c>
      <c r="E24" s="101" t="s">
        <v>312</v>
      </c>
      <c r="F24" s="101" t="s">
        <v>1671</v>
      </c>
      <c r="G24" s="101" t="s">
        <v>1672</v>
      </c>
      <c r="H24" s="101" t="s">
        <v>319</v>
      </c>
      <c r="I24" s="101" t="s">
        <v>980</v>
      </c>
      <c r="J24" s="101" t="s">
        <v>203</v>
      </c>
      <c r="K24" s="101" t="s">
        <v>250</v>
      </c>
      <c r="L24" s="101" t="s">
        <v>365</v>
      </c>
      <c r="M24" s="112" t="s">
        <v>733</v>
      </c>
      <c r="N24" s="101" t="s">
        <v>336</v>
      </c>
      <c r="O24" s="101" t="s">
        <v>1234</v>
      </c>
      <c r="P24" s="104">
        <v>30583</v>
      </c>
      <c r="Q24" s="104">
        <v>3.6360000000000001</v>
      </c>
      <c r="R24" s="104">
        <v>2988.5</v>
      </c>
      <c r="S24" s="104">
        <v>0</v>
      </c>
      <c r="T24" s="104">
        <v>3323.2056600000001</v>
      </c>
      <c r="U24" s="103">
        <v>5.6599999999999999E-4</v>
      </c>
      <c r="V24" s="103">
        <v>1.1171E-2</v>
      </c>
      <c r="W24" s="103">
        <v>8.2899999999999998E-4</v>
      </c>
    </row>
    <row r="25" spans="1:23" ht="13.5" customHeight="1">
      <c r="A25" s="101">
        <v>274</v>
      </c>
      <c r="B25" s="101">
        <v>274</v>
      </c>
      <c r="C25" s="101" t="s">
        <v>1626</v>
      </c>
      <c r="D25" s="101" t="s">
        <v>1627</v>
      </c>
      <c r="E25" s="101" t="s">
        <v>312</v>
      </c>
      <c r="F25" s="101" t="s">
        <v>1673</v>
      </c>
      <c r="G25" s="101" t="s">
        <v>1674</v>
      </c>
      <c r="H25" s="101" t="s">
        <v>319</v>
      </c>
      <c r="I25" s="101" t="s">
        <v>980</v>
      </c>
      <c r="J25" s="101" t="s">
        <v>203</v>
      </c>
      <c r="K25" s="101" t="s">
        <v>223</v>
      </c>
      <c r="L25" s="101" t="s">
        <v>341</v>
      </c>
      <c r="M25" s="112" t="s">
        <v>733</v>
      </c>
      <c r="N25" s="101" t="s">
        <v>336</v>
      </c>
      <c r="O25" s="101" t="s">
        <v>1249</v>
      </c>
      <c r="P25" s="104">
        <v>3998</v>
      </c>
      <c r="Q25" s="104">
        <v>3.165</v>
      </c>
      <c r="R25" s="104">
        <v>11086</v>
      </c>
      <c r="S25" s="104">
        <v>0</v>
      </c>
      <c r="T25" s="104">
        <v>1402.78586</v>
      </c>
      <c r="U25" s="103">
        <v>1.8E-5</v>
      </c>
      <c r="V25" s="103">
        <v>4.7149999999999996E-3</v>
      </c>
      <c r="W25" s="103">
        <v>3.5E-4</v>
      </c>
    </row>
    <row r="26" spans="1:23" ht="13.5" customHeight="1">
      <c r="A26" s="101">
        <v>274</v>
      </c>
      <c r="B26" s="101">
        <v>274</v>
      </c>
      <c r="C26" s="101" t="s">
        <v>1626</v>
      </c>
      <c r="D26" s="101" t="s">
        <v>1627</v>
      </c>
      <c r="E26" s="101" t="s">
        <v>312</v>
      </c>
      <c r="F26" s="101" t="s">
        <v>1675</v>
      </c>
      <c r="G26" s="101" t="s">
        <v>1676</v>
      </c>
      <c r="H26" s="101" t="s">
        <v>319</v>
      </c>
      <c r="I26" s="101" t="s">
        <v>980</v>
      </c>
      <c r="J26" s="101" t="s">
        <v>203</v>
      </c>
      <c r="K26" s="101" t="s">
        <v>288</v>
      </c>
      <c r="L26" s="101" t="s">
        <v>377</v>
      </c>
      <c r="M26" s="112" t="s">
        <v>733</v>
      </c>
      <c r="N26" s="101" t="s">
        <v>336</v>
      </c>
      <c r="O26" s="101" t="s">
        <v>1249</v>
      </c>
      <c r="P26" s="104">
        <v>208953</v>
      </c>
      <c r="Q26" s="104">
        <v>3.165</v>
      </c>
      <c r="R26" s="104">
        <v>4554</v>
      </c>
      <c r="S26" s="104">
        <v>0</v>
      </c>
      <c r="T26" s="104">
        <v>30117.2526</v>
      </c>
      <c r="U26" s="103">
        <v>5.7799999999999995E-4</v>
      </c>
      <c r="V26" s="103">
        <v>0.101247</v>
      </c>
      <c r="W26" s="103">
        <v>7.5160000000000001E-3</v>
      </c>
    </row>
    <row r="27" spans="1:23" ht="13.5" customHeight="1">
      <c r="A27" s="101">
        <v>274</v>
      </c>
      <c r="B27" s="101">
        <v>274</v>
      </c>
      <c r="C27" s="101" t="s">
        <v>1647</v>
      </c>
      <c r="D27" s="101" t="s">
        <v>1648</v>
      </c>
      <c r="E27" s="101" t="s">
        <v>312</v>
      </c>
      <c r="F27" s="101" t="s">
        <v>1677</v>
      </c>
      <c r="G27" s="101" t="s">
        <v>1678</v>
      </c>
      <c r="H27" s="101" t="s">
        <v>319</v>
      </c>
      <c r="I27" s="101" t="s">
        <v>980</v>
      </c>
      <c r="J27" s="101" t="s">
        <v>203</v>
      </c>
      <c r="K27" s="101" t="s">
        <v>223</v>
      </c>
      <c r="L27" s="101" t="s">
        <v>341</v>
      </c>
      <c r="M27" s="112" t="s">
        <v>733</v>
      </c>
      <c r="N27" s="101" t="s">
        <v>336</v>
      </c>
      <c r="O27" s="101" t="s">
        <v>1249</v>
      </c>
      <c r="P27" s="104">
        <v>556</v>
      </c>
      <c r="Q27" s="104">
        <v>3.165</v>
      </c>
      <c r="R27" s="104">
        <v>18959</v>
      </c>
      <c r="S27" s="104">
        <v>0</v>
      </c>
      <c r="T27" s="104">
        <v>333.62911000000003</v>
      </c>
      <c r="U27" s="103">
        <v>7.9999999999999996E-6</v>
      </c>
      <c r="V27" s="103">
        <v>1.121E-3</v>
      </c>
      <c r="W27" s="103">
        <v>8.2999999999999998E-5</v>
      </c>
    </row>
    <row r="28" spans="1:23" ht="13.5" customHeight="1">
      <c r="A28" s="101">
        <v>274</v>
      </c>
      <c r="B28" s="101">
        <v>274</v>
      </c>
      <c r="C28" s="101" t="s">
        <v>1679</v>
      </c>
      <c r="D28" s="101" t="s">
        <v>1631</v>
      </c>
      <c r="E28" s="101" t="s">
        <v>312</v>
      </c>
      <c r="F28" s="101" t="s">
        <v>1680</v>
      </c>
      <c r="G28" s="101" t="s">
        <v>1681</v>
      </c>
      <c r="H28" s="101" t="s">
        <v>319</v>
      </c>
      <c r="I28" s="101" t="s">
        <v>980</v>
      </c>
      <c r="J28" s="101" t="s">
        <v>203</v>
      </c>
      <c r="K28" s="101" t="s">
        <v>232</v>
      </c>
      <c r="L28" s="101" t="s">
        <v>361</v>
      </c>
      <c r="M28" s="112" t="s">
        <v>733</v>
      </c>
      <c r="N28" s="101" t="s">
        <v>336</v>
      </c>
      <c r="O28" s="101" t="s">
        <v>1234</v>
      </c>
      <c r="P28" s="104">
        <v>986</v>
      </c>
      <c r="Q28" s="104">
        <v>3.6360000000000001</v>
      </c>
      <c r="R28" s="104">
        <v>12416.3</v>
      </c>
      <c r="S28" s="104">
        <v>0</v>
      </c>
      <c r="T28" s="104">
        <v>445.13627000000002</v>
      </c>
      <c r="U28" s="103">
        <v>2.81E-4</v>
      </c>
      <c r="V28" s="103">
        <v>1.4959999999999999E-3</v>
      </c>
      <c r="W28" s="103">
        <v>1.11E-4</v>
      </c>
    </row>
    <row r="29" spans="1:23" ht="13.5" customHeight="1">
      <c r="A29" s="101">
        <v>274</v>
      </c>
      <c r="B29" s="101">
        <v>274</v>
      </c>
      <c r="C29" s="101" t="s">
        <v>1647</v>
      </c>
      <c r="D29" s="101" t="s">
        <v>1648</v>
      </c>
      <c r="E29" s="101" t="s">
        <v>312</v>
      </c>
      <c r="F29" s="101" t="s">
        <v>1682</v>
      </c>
      <c r="G29" s="101" t="s">
        <v>1683</v>
      </c>
      <c r="H29" s="101" t="s">
        <v>319</v>
      </c>
      <c r="I29" s="101" t="s">
        <v>980</v>
      </c>
      <c r="J29" s="101" t="s">
        <v>203</v>
      </c>
      <c r="K29" s="101" t="s">
        <v>223</v>
      </c>
      <c r="L29" s="101" t="s">
        <v>313</v>
      </c>
      <c r="M29" s="112" t="s">
        <v>733</v>
      </c>
      <c r="N29" s="101" t="s">
        <v>336</v>
      </c>
      <c r="O29" s="101" t="s">
        <v>1249</v>
      </c>
      <c r="P29" s="104">
        <v>658440</v>
      </c>
      <c r="Q29" s="104">
        <v>3.165</v>
      </c>
      <c r="R29" s="104">
        <v>1073.54</v>
      </c>
      <c r="S29" s="104">
        <v>0</v>
      </c>
      <c r="T29" s="104">
        <v>22372.1721</v>
      </c>
      <c r="U29" s="103">
        <v>6.7199999999999996E-4</v>
      </c>
      <c r="V29" s="103">
        <v>7.5209999999999999E-2</v>
      </c>
      <c r="W29" s="103">
        <v>5.5830000000000003E-3</v>
      </c>
    </row>
    <row r="30" spans="1:23" ht="13.5" customHeight="1">
      <c r="A30" s="101">
        <v>274</v>
      </c>
      <c r="B30" s="101">
        <v>274</v>
      </c>
      <c r="C30" s="101" t="s">
        <v>1626</v>
      </c>
      <c r="D30" s="101" t="s">
        <v>1627</v>
      </c>
      <c r="E30" s="101" t="s">
        <v>312</v>
      </c>
      <c r="F30" s="101" t="s">
        <v>1684</v>
      </c>
      <c r="G30" s="101" t="s">
        <v>1685</v>
      </c>
      <c r="H30" s="101" t="s">
        <v>319</v>
      </c>
      <c r="I30" s="101" t="s">
        <v>980</v>
      </c>
      <c r="J30" s="101" t="s">
        <v>203</v>
      </c>
      <c r="K30" s="101" t="s">
        <v>223</v>
      </c>
      <c r="L30" s="101" t="s">
        <v>341</v>
      </c>
      <c r="M30" s="112" t="s">
        <v>733</v>
      </c>
      <c r="N30" s="101" t="s">
        <v>336</v>
      </c>
      <c r="O30" s="101" t="s">
        <v>1249</v>
      </c>
      <c r="P30" s="104">
        <v>10267</v>
      </c>
      <c r="Q30" s="104">
        <v>3.165</v>
      </c>
      <c r="R30" s="104">
        <v>4937</v>
      </c>
      <c r="S30" s="104">
        <v>0</v>
      </c>
      <c r="T30" s="104">
        <v>1604.28087</v>
      </c>
      <c r="U30" s="103">
        <v>1.0000000000000001E-5</v>
      </c>
      <c r="V30" s="103">
        <v>5.3930000000000002E-3</v>
      </c>
      <c r="W30" s="103">
        <v>4.0000000000000002E-4</v>
      </c>
    </row>
    <row r="31" spans="1:23" ht="13.5" customHeight="1">
      <c r="A31" s="101">
        <v>274</v>
      </c>
      <c r="B31" s="101">
        <v>274</v>
      </c>
      <c r="C31" s="101" t="s">
        <v>1626</v>
      </c>
      <c r="D31" s="101" t="s">
        <v>1627</v>
      </c>
      <c r="E31" s="101" t="s">
        <v>312</v>
      </c>
      <c r="F31" s="101" t="s">
        <v>1686</v>
      </c>
      <c r="G31" s="101" t="s">
        <v>1687</v>
      </c>
      <c r="H31" s="101" t="s">
        <v>319</v>
      </c>
      <c r="I31" s="101" t="s">
        <v>980</v>
      </c>
      <c r="J31" s="101" t="s">
        <v>203</v>
      </c>
      <c r="K31" s="101" t="s">
        <v>223</v>
      </c>
      <c r="L31" s="101" t="s">
        <v>341</v>
      </c>
      <c r="M31" s="112" t="s">
        <v>733</v>
      </c>
      <c r="N31" s="101" t="s">
        <v>336</v>
      </c>
      <c r="O31" s="101" t="s">
        <v>1249</v>
      </c>
      <c r="P31" s="104">
        <v>2492</v>
      </c>
      <c r="Q31" s="104">
        <v>3.165</v>
      </c>
      <c r="R31" s="104">
        <v>6126</v>
      </c>
      <c r="S31" s="104">
        <v>0</v>
      </c>
      <c r="T31" s="104">
        <v>483.16865000000001</v>
      </c>
      <c r="U31" s="103">
        <v>3.0000000000000001E-6</v>
      </c>
      <c r="V31" s="103">
        <v>1.624E-3</v>
      </c>
      <c r="W31" s="103">
        <v>1.2E-4</v>
      </c>
    </row>
    <row r="32" spans="1:23" ht="13.5" customHeight="1">
      <c r="A32" s="101">
        <v>274</v>
      </c>
      <c r="B32" s="101">
        <v>274</v>
      </c>
      <c r="C32" s="101" t="s">
        <v>1688</v>
      </c>
      <c r="D32" s="101" t="s">
        <v>1689</v>
      </c>
      <c r="E32" s="101" t="s">
        <v>312</v>
      </c>
      <c r="F32" s="101" t="s">
        <v>1690</v>
      </c>
      <c r="G32" s="101" t="s">
        <v>1691</v>
      </c>
      <c r="H32" s="101" t="s">
        <v>319</v>
      </c>
      <c r="I32" s="101" t="s">
        <v>980</v>
      </c>
      <c r="J32" s="101" t="s">
        <v>203</v>
      </c>
      <c r="K32" s="101" t="s">
        <v>295</v>
      </c>
      <c r="L32" s="101" t="s">
        <v>341</v>
      </c>
      <c r="M32" s="112" t="s">
        <v>733</v>
      </c>
      <c r="N32" s="101" t="s">
        <v>336</v>
      </c>
      <c r="O32" s="101" t="s">
        <v>1249</v>
      </c>
      <c r="P32" s="104">
        <v>10430</v>
      </c>
      <c r="Q32" s="104">
        <v>3.165</v>
      </c>
      <c r="R32" s="104">
        <v>5405</v>
      </c>
      <c r="S32" s="104">
        <v>0</v>
      </c>
      <c r="T32" s="104">
        <v>1784.2418500000001</v>
      </c>
      <c r="U32" s="103">
        <v>5.0000000000000004E-6</v>
      </c>
      <c r="V32" s="103">
        <v>5.9979999999999999E-3</v>
      </c>
      <c r="W32" s="103">
        <v>4.4499999999999997E-4</v>
      </c>
    </row>
    <row r="33" spans="1:23" ht="13.5" customHeight="1">
      <c r="A33" s="101">
        <v>274</v>
      </c>
      <c r="B33" s="101">
        <v>274</v>
      </c>
      <c r="C33" s="101" t="s">
        <v>1647</v>
      </c>
      <c r="D33" s="101" t="s">
        <v>1648</v>
      </c>
      <c r="E33" s="101" t="s">
        <v>312</v>
      </c>
      <c r="F33" s="101" t="s">
        <v>1692</v>
      </c>
      <c r="G33" s="101" t="s">
        <v>1693</v>
      </c>
      <c r="H33" s="101" t="s">
        <v>319</v>
      </c>
      <c r="I33" s="101" t="s">
        <v>980</v>
      </c>
      <c r="J33" s="101" t="s">
        <v>203</v>
      </c>
      <c r="K33" s="101" t="s">
        <v>267</v>
      </c>
      <c r="L33" s="101" t="s">
        <v>341</v>
      </c>
      <c r="M33" s="112" t="s">
        <v>733</v>
      </c>
      <c r="N33" s="101" t="s">
        <v>336</v>
      </c>
      <c r="O33" s="101" t="s">
        <v>1249</v>
      </c>
      <c r="P33" s="104">
        <v>12553</v>
      </c>
      <c r="Q33" s="104">
        <v>3.165</v>
      </c>
      <c r="R33" s="104">
        <v>3590</v>
      </c>
      <c r="S33" s="104">
        <v>0</v>
      </c>
      <c r="T33" s="104">
        <v>1426.3158000000001</v>
      </c>
      <c r="U33" s="103">
        <v>7.4999999999999993E-5</v>
      </c>
      <c r="V33" s="103">
        <v>4.7939999999999997E-3</v>
      </c>
      <c r="W33" s="103">
        <v>3.5500000000000001E-4</v>
      </c>
    </row>
    <row r="34" spans="1:23" ht="13.5" customHeight="1">
      <c r="A34" s="101">
        <v>274</v>
      </c>
      <c r="B34" s="101">
        <v>274</v>
      </c>
      <c r="C34" s="101" t="s">
        <v>1663</v>
      </c>
      <c r="D34" s="101" t="s">
        <v>1664</v>
      </c>
      <c r="E34" s="101" t="s">
        <v>312</v>
      </c>
      <c r="F34" s="101" t="s">
        <v>1694</v>
      </c>
      <c r="G34" s="101" t="s">
        <v>1695</v>
      </c>
      <c r="H34" s="101" t="s">
        <v>319</v>
      </c>
      <c r="I34" s="101" t="s">
        <v>980</v>
      </c>
      <c r="J34" s="101" t="s">
        <v>203</v>
      </c>
      <c r="K34" s="101" t="s">
        <v>250</v>
      </c>
      <c r="L34" s="101" t="s">
        <v>397</v>
      </c>
      <c r="M34" s="112" t="s">
        <v>733</v>
      </c>
      <c r="N34" s="101" t="s">
        <v>336</v>
      </c>
      <c r="O34" s="101" t="s">
        <v>1246</v>
      </c>
      <c r="P34" s="104">
        <v>26977</v>
      </c>
      <c r="Q34" s="104">
        <v>1.9858000000000001E-2</v>
      </c>
      <c r="R34" s="104">
        <v>371400</v>
      </c>
      <c r="S34" s="104">
        <v>0</v>
      </c>
      <c r="T34" s="104">
        <v>1989.6242099999999</v>
      </c>
      <c r="U34" s="103">
        <v>0</v>
      </c>
      <c r="V34" s="103">
        <v>6.6880000000000004E-3</v>
      </c>
      <c r="W34" s="103">
        <v>4.9600000000000002E-4</v>
      </c>
    </row>
    <row r="35" spans="1:23" ht="13.5" customHeight="1">
      <c r="A35" s="101">
        <v>274</v>
      </c>
      <c r="B35" s="101">
        <v>274</v>
      </c>
      <c r="C35" s="101" t="s">
        <v>1647</v>
      </c>
      <c r="D35" s="101" t="s">
        <v>1648</v>
      </c>
      <c r="E35" s="101" t="s">
        <v>312</v>
      </c>
      <c r="F35" s="101" t="s">
        <v>1696</v>
      </c>
      <c r="G35" s="101" t="s">
        <v>1697</v>
      </c>
      <c r="H35" s="101" t="s">
        <v>319</v>
      </c>
      <c r="I35" s="101" t="s">
        <v>980</v>
      </c>
      <c r="J35" s="101" t="s">
        <v>203</v>
      </c>
      <c r="K35" s="101" t="s">
        <v>295</v>
      </c>
      <c r="L35" s="101" t="s">
        <v>377</v>
      </c>
      <c r="M35" s="112" t="s">
        <v>733</v>
      </c>
      <c r="N35" s="101" t="s">
        <v>336</v>
      </c>
      <c r="O35" s="101" t="s">
        <v>1249</v>
      </c>
      <c r="P35" s="104">
        <v>806</v>
      </c>
      <c r="Q35" s="104">
        <v>3.165</v>
      </c>
      <c r="R35" s="104">
        <v>12301</v>
      </c>
      <c r="S35" s="104">
        <v>0</v>
      </c>
      <c r="T35" s="104">
        <v>313.79728</v>
      </c>
      <c r="U35" s="103">
        <v>6.0000000000000002E-6</v>
      </c>
      <c r="V35" s="103">
        <v>1.054E-3</v>
      </c>
      <c r="W35" s="103">
        <v>7.7999999999999999E-5</v>
      </c>
    </row>
    <row r="36" spans="1:23" ht="13.5" customHeight="1">
      <c r="A36" s="101">
        <v>274</v>
      </c>
      <c r="B36" s="101">
        <v>274</v>
      </c>
      <c r="C36" s="101" t="s">
        <v>1638</v>
      </c>
      <c r="D36" s="101" t="s">
        <v>1639</v>
      </c>
      <c r="E36" s="101" t="s">
        <v>312</v>
      </c>
      <c r="F36" s="101" t="s">
        <v>1698</v>
      </c>
      <c r="G36" s="101" t="s">
        <v>1699</v>
      </c>
      <c r="H36" s="101" t="s">
        <v>319</v>
      </c>
      <c r="I36" s="101" t="s">
        <v>980</v>
      </c>
      <c r="J36" s="101" t="s">
        <v>203</v>
      </c>
      <c r="K36" s="101" t="s">
        <v>223</v>
      </c>
      <c r="L36" s="101" t="s">
        <v>343</v>
      </c>
      <c r="M36" s="112" t="s">
        <v>733</v>
      </c>
      <c r="N36" s="101" t="s">
        <v>336</v>
      </c>
      <c r="O36" s="101" t="s">
        <v>1249</v>
      </c>
      <c r="P36" s="104">
        <v>1016</v>
      </c>
      <c r="Q36" s="104">
        <v>3.165</v>
      </c>
      <c r="R36" s="104">
        <v>11078</v>
      </c>
      <c r="S36" s="104">
        <v>0</v>
      </c>
      <c r="T36" s="104">
        <v>356.22859999999997</v>
      </c>
      <c r="U36" s="103">
        <v>1.2999999999999999E-5</v>
      </c>
      <c r="V36" s="103">
        <v>1.1969999999999999E-3</v>
      </c>
      <c r="W36" s="103">
        <v>8.7999999999999998E-5</v>
      </c>
    </row>
    <row r="37" spans="1:23" ht="13.5" customHeight="1">
      <c r="A37" s="101">
        <v>274</v>
      </c>
      <c r="B37" s="101">
        <v>274</v>
      </c>
      <c r="C37" s="101" t="s">
        <v>1647</v>
      </c>
      <c r="D37" s="101" t="s">
        <v>1648</v>
      </c>
      <c r="E37" s="101" t="s">
        <v>312</v>
      </c>
      <c r="F37" s="101" t="s">
        <v>1700</v>
      </c>
      <c r="G37" s="101" t="s">
        <v>1701</v>
      </c>
      <c r="H37" s="101" t="s">
        <v>319</v>
      </c>
      <c r="I37" s="101" t="s">
        <v>980</v>
      </c>
      <c r="J37" s="101" t="s">
        <v>203</v>
      </c>
      <c r="K37" s="101" t="s">
        <v>223</v>
      </c>
      <c r="L37" s="101" t="s">
        <v>313</v>
      </c>
      <c r="M37" s="112" t="s">
        <v>733</v>
      </c>
      <c r="N37" s="101" t="s">
        <v>336</v>
      </c>
      <c r="O37" s="101" t="s">
        <v>1249</v>
      </c>
      <c r="P37" s="104">
        <v>912893</v>
      </c>
      <c r="Q37" s="104">
        <v>3.165</v>
      </c>
      <c r="R37" s="104">
        <v>879.84</v>
      </c>
      <c r="S37" s="104">
        <v>0</v>
      </c>
      <c r="T37" s="104">
        <v>25421.272949999999</v>
      </c>
      <c r="U37" s="103">
        <v>1.9239999999999999E-3</v>
      </c>
      <c r="V37" s="103">
        <v>8.5459999999999994E-2</v>
      </c>
      <c r="W37" s="103">
        <v>6.3439999999999998E-3</v>
      </c>
    </row>
    <row r="38" spans="1:23" ht="13.5" customHeight="1">
      <c r="A38" s="101">
        <v>274</v>
      </c>
      <c r="B38" s="101">
        <v>274</v>
      </c>
      <c r="C38" s="101" t="s">
        <v>1626</v>
      </c>
      <c r="D38" s="101" t="s">
        <v>1627</v>
      </c>
      <c r="E38" s="101" t="s">
        <v>312</v>
      </c>
      <c r="F38" s="101" t="s">
        <v>1702</v>
      </c>
      <c r="G38" s="101" t="s">
        <v>1703</v>
      </c>
      <c r="H38" s="101" t="s">
        <v>319</v>
      </c>
      <c r="I38" s="101" t="s">
        <v>980</v>
      </c>
      <c r="J38" s="101" t="s">
        <v>203</v>
      </c>
      <c r="K38" s="101" t="s">
        <v>223</v>
      </c>
      <c r="L38" s="101" t="s">
        <v>341</v>
      </c>
      <c r="M38" s="112" t="s">
        <v>733</v>
      </c>
      <c r="N38" s="101" t="s">
        <v>336</v>
      </c>
      <c r="O38" s="101" t="s">
        <v>1249</v>
      </c>
      <c r="P38" s="104">
        <v>842</v>
      </c>
      <c r="Q38" s="104">
        <v>3.165</v>
      </c>
      <c r="R38" s="104">
        <v>10898</v>
      </c>
      <c r="S38" s="104">
        <v>0</v>
      </c>
      <c r="T38" s="104">
        <v>290.42406999999997</v>
      </c>
      <c r="U38" s="103">
        <v>3.9999999999999998E-6</v>
      </c>
      <c r="V38" s="103">
        <v>9.7599999999999998E-4</v>
      </c>
      <c r="W38" s="103">
        <v>7.2000000000000002E-5</v>
      </c>
    </row>
    <row r="39" spans="1:23" ht="13.5" customHeight="1">
      <c r="A39" s="101">
        <v>274</v>
      </c>
      <c r="B39" s="101">
        <v>274</v>
      </c>
      <c r="C39" s="101" t="s">
        <v>1626</v>
      </c>
      <c r="D39" s="101" t="s">
        <v>1627</v>
      </c>
      <c r="E39" s="101" t="s">
        <v>312</v>
      </c>
      <c r="F39" s="101" t="s">
        <v>1704</v>
      </c>
      <c r="G39" s="101" t="s">
        <v>1705</v>
      </c>
      <c r="H39" s="101" t="s">
        <v>319</v>
      </c>
      <c r="I39" s="101" t="s">
        <v>980</v>
      </c>
      <c r="J39" s="101" t="s">
        <v>203</v>
      </c>
      <c r="K39" s="101" t="s">
        <v>223</v>
      </c>
      <c r="L39" s="101" t="s">
        <v>341</v>
      </c>
      <c r="M39" s="112" t="s">
        <v>733</v>
      </c>
      <c r="N39" s="101" t="s">
        <v>336</v>
      </c>
      <c r="O39" s="101" t="s">
        <v>1249</v>
      </c>
      <c r="P39" s="104">
        <v>6240</v>
      </c>
      <c r="Q39" s="104">
        <v>3.165</v>
      </c>
      <c r="R39" s="104">
        <v>13290</v>
      </c>
      <c r="S39" s="104">
        <v>0</v>
      </c>
      <c r="T39" s="104">
        <v>2624.7218400000002</v>
      </c>
      <c r="U39" s="103">
        <v>9.0000000000000002E-6</v>
      </c>
      <c r="V39" s="103">
        <v>8.8229999999999992E-3</v>
      </c>
      <c r="W39" s="103">
        <v>6.5499999999999998E-4</v>
      </c>
    </row>
    <row r="40" spans="1:23" ht="13.5" customHeight="1">
      <c r="A40" s="101">
        <v>274</v>
      </c>
      <c r="B40" s="101">
        <v>274</v>
      </c>
      <c r="C40" s="101" t="s">
        <v>1647</v>
      </c>
      <c r="D40" s="101" t="s">
        <v>1648</v>
      </c>
      <c r="E40" s="101" t="s">
        <v>312</v>
      </c>
      <c r="F40" s="101" t="s">
        <v>1706</v>
      </c>
      <c r="G40" s="101" t="s">
        <v>1707</v>
      </c>
      <c r="H40" s="101" t="s">
        <v>319</v>
      </c>
      <c r="I40" s="101" t="s">
        <v>980</v>
      </c>
      <c r="J40" s="101" t="s">
        <v>203</v>
      </c>
      <c r="K40" s="101" t="s">
        <v>295</v>
      </c>
      <c r="L40" s="101" t="s">
        <v>357</v>
      </c>
      <c r="M40" s="112" t="s">
        <v>733</v>
      </c>
      <c r="N40" s="101" t="s">
        <v>336</v>
      </c>
      <c r="O40" s="101" t="s">
        <v>1249</v>
      </c>
      <c r="P40" s="104">
        <v>1239</v>
      </c>
      <c r="Q40" s="104">
        <v>3.165</v>
      </c>
      <c r="R40" s="104">
        <v>3976</v>
      </c>
      <c r="S40" s="104">
        <v>0</v>
      </c>
      <c r="T40" s="104">
        <v>155.91625999999999</v>
      </c>
      <c r="U40" s="103">
        <v>4.8999999999999998E-5</v>
      </c>
      <c r="V40" s="103">
        <v>5.2400000000000005E-4</v>
      </c>
      <c r="W40" s="103">
        <v>3.8000000000000002E-5</v>
      </c>
    </row>
    <row r="41" spans="1:23" ht="13.5" customHeight="1">
      <c r="A41" s="101">
        <v>274</v>
      </c>
      <c r="B41" s="101">
        <v>274</v>
      </c>
      <c r="C41" s="101" t="s">
        <v>1708</v>
      </c>
      <c r="D41" s="101" t="s">
        <v>1709</v>
      </c>
      <c r="E41" s="101" t="s">
        <v>312</v>
      </c>
      <c r="F41" s="101" t="s">
        <v>1710</v>
      </c>
      <c r="G41" s="101" t="s">
        <v>1711</v>
      </c>
      <c r="H41" s="101" t="s">
        <v>319</v>
      </c>
      <c r="I41" s="101" t="s">
        <v>980</v>
      </c>
      <c r="J41" s="101" t="s">
        <v>203</v>
      </c>
      <c r="K41" s="101" t="s">
        <v>223</v>
      </c>
      <c r="L41" s="101" t="s">
        <v>341</v>
      </c>
      <c r="M41" s="112" t="s">
        <v>733</v>
      </c>
      <c r="N41" s="101" t="s">
        <v>336</v>
      </c>
      <c r="O41" s="101" t="s">
        <v>1249</v>
      </c>
      <c r="P41" s="104">
        <v>1069</v>
      </c>
      <c r="Q41" s="104">
        <v>3.165</v>
      </c>
      <c r="R41" s="104">
        <v>10801</v>
      </c>
      <c r="S41" s="104">
        <v>0</v>
      </c>
      <c r="T41" s="104">
        <v>365.43941000000001</v>
      </c>
      <c r="U41" s="103">
        <v>2.5000000000000001E-5</v>
      </c>
      <c r="V41" s="103">
        <v>1.2279999999999999E-3</v>
      </c>
      <c r="W41" s="103">
        <v>9.1000000000000003E-5</v>
      </c>
    </row>
    <row r="42" spans="1:23" ht="13.5" customHeight="1">
      <c r="A42" s="101">
        <v>274</v>
      </c>
      <c r="B42" s="101">
        <v>274</v>
      </c>
      <c r="C42" s="101" t="s">
        <v>1638</v>
      </c>
      <c r="D42" s="101" t="s">
        <v>1639</v>
      </c>
      <c r="E42" s="101" t="s">
        <v>312</v>
      </c>
      <c r="F42" s="101" t="s">
        <v>1712</v>
      </c>
      <c r="G42" s="101" t="s">
        <v>1713</v>
      </c>
      <c r="H42" s="101" t="s">
        <v>319</v>
      </c>
      <c r="I42" s="101" t="s">
        <v>980</v>
      </c>
      <c r="J42" s="101" t="s">
        <v>203</v>
      </c>
      <c r="K42" s="101" t="s">
        <v>295</v>
      </c>
      <c r="L42" s="101" t="s">
        <v>313</v>
      </c>
      <c r="M42" s="112" t="s">
        <v>733</v>
      </c>
      <c r="N42" s="101" t="s">
        <v>336</v>
      </c>
      <c r="O42" s="101" t="s">
        <v>1249</v>
      </c>
      <c r="P42" s="104">
        <v>2583</v>
      </c>
      <c r="Q42" s="104">
        <v>3.165</v>
      </c>
      <c r="R42" s="104">
        <v>16358</v>
      </c>
      <c r="S42" s="104">
        <v>0</v>
      </c>
      <c r="T42" s="104">
        <v>1337.2983999999999</v>
      </c>
      <c r="U42" s="103">
        <v>5.3999999999999998E-5</v>
      </c>
      <c r="V42" s="103">
        <v>4.4949999999999999E-3</v>
      </c>
      <c r="W42" s="103">
        <v>3.3300000000000002E-4</v>
      </c>
    </row>
    <row r="43" spans="1:23" ht="13.5" customHeight="1">
      <c r="A43" s="101">
        <v>274</v>
      </c>
      <c r="B43" s="101">
        <v>274</v>
      </c>
      <c r="C43" s="101" t="s">
        <v>1630</v>
      </c>
      <c r="D43" s="101" t="s">
        <v>1631</v>
      </c>
      <c r="E43" s="101" t="s">
        <v>312</v>
      </c>
      <c r="F43" s="101" t="s">
        <v>1714</v>
      </c>
      <c r="G43" s="101" t="s">
        <v>1715</v>
      </c>
      <c r="H43" s="101" t="s">
        <v>319</v>
      </c>
      <c r="I43" s="101" t="s">
        <v>980</v>
      </c>
      <c r="J43" s="101" t="s">
        <v>203</v>
      </c>
      <c r="K43" s="101" t="s">
        <v>292</v>
      </c>
      <c r="L43" s="101" t="s">
        <v>313</v>
      </c>
      <c r="M43" s="112" t="s">
        <v>733</v>
      </c>
      <c r="N43" s="101" t="s">
        <v>336</v>
      </c>
      <c r="O43" s="101" t="s">
        <v>1234</v>
      </c>
      <c r="P43" s="104">
        <v>1921</v>
      </c>
      <c r="Q43" s="104">
        <v>3.6360000000000001</v>
      </c>
      <c r="R43" s="104">
        <v>7245</v>
      </c>
      <c r="S43" s="104">
        <v>0</v>
      </c>
      <c r="T43" s="104">
        <v>506.04557</v>
      </c>
      <c r="U43" s="103">
        <v>2.2699999999999999E-4</v>
      </c>
      <c r="V43" s="103">
        <v>1.701E-3</v>
      </c>
      <c r="W43" s="103">
        <v>1.26E-4</v>
      </c>
    </row>
    <row r="44" spans="1:23" ht="13.5" customHeight="1">
      <c r="A44" s="101">
        <v>274</v>
      </c>
      <c r="B44" s="101">
        <v>274</v>
      </c>
      <c r="C44" s="101" t="s">
        <v>1630</v>
      </c>
      <c r="D44" s="101" t="s">
        <v>1631</v>
      </c>
      <c r="E44" s="101" t="s">
        <v>312</v>
      </c>
      <c r="F44" s="101" t="s">
        <v>1716</v>
      </c>
      <c r="G44" s="101" t="s">
        <v>1717</v>
      </c>
      <c r="H44" s="101" t="s">
        <v>319</v>
      </c>
      <c r="I44" s="101" t="s">
        <v>980</v>
      </c>
      <c r="J44" s="101" t="s">
        <v>203</v>
      </c>
      <c r="K44" s="101" t="s">
        <v>295</v>
      </c>
      <c r="L44" s="101" t="s">
        <v>377</v>
      </c>
      <c r="M44" s="112" t="s">
        <v>733</v>
      </c>
      <c r="N44" s="101" t="s">
        <v>336</v>
      </c>
      <c r="O44" s="101" t="s">
        <v>1249</v>
      </c>
      <c r="P44" s="104">
        <v>139286</v>
      </c>
      <c r="Q44" s="104">
        <v>3.165</v>
      </c>
      <c r="R44" s="104">
        <v>6203.5</v>
      </c>
      <c r="S44" s="104">
        <v>0</v>
      </c>
      <c r="T44" s="104">
        <v>27347.521189999999</v>
      </c>
      <c r="U44" s="103">
        <v>1.8450000000000001E-3</v>
      </c>
      <c r="V44" s="103">
        <v>9.1936000000000004E-2</v>
      </c>
      <c r="W44" s="103">
        <v>6.8250000000000003E-3</v>
      </c>
    </row>
    <row r="45" spans="1:23" ht="13.5" customHeight="1">
      <c r="A45" s="101">
        <v>274</v>
      </c>
      <c r="B45" s="101">
        <v>274</v>
      </c>
      <c r="C45" s="101" t="s">
        <v>1718</v>
      </c>
      <c r="D45" s="101" t="s">
        <v>1719</v>
      </c>
      <c r="E45" s="101" t="s">
        <v>312</v>
      </c>
      <c r="F45" s="101" t="s">
        <v>1720</v>
      </c>
      <c r="G45" s="101" t="s">
        <v>1721</v>
      </c>
      <c r="H45" s="101" t="s">
        <v>319</v>
      </c>
      <c r="I45" s="101" t="s">
        <v>980</v>
      </c>
      <c r="J45" s="101" t="s">
        <v>203</v>
      </c>
      <c r="K45" s="101" t="s">
        <v>281</v>
      </c>
      <c r="L45" s="101" t="s">
        <v>399</v>
      </c>
      <c r="M45" s="112" t="s">
        <v>733</v>
      </c>
      <c r="N45" s="101" t="s">
        <v>336</v>
      </c>
      <c r="O45" s="101" t="s">
        <v>1247</v>
      </c>
      <c r="P45" s="104">
        <v>33509</v>
      </c>
      <c r="Q45" s="104">
        <v>2.2717999999999998</v>
      </c>
      <c r="R45" s="104">
        <v>8556</v>
      </c>
      <c r="S45" s="104">
        <v>0</v>
      </c>
      <c r="T45" s="104">
        <v>6513.3188399999999</v>
      </c>
      <c r="U45" s="103">
        <v>6.0099999999999997E-4</v>
      </c>
      <c r="V45" s="103">
        <v>2.1895999999999999E-2</v>
      </c>
      <c r="W45" s="103">
        <v>1.6249999999999999E-3</v>
      </c>
    </row>
    <row r="46" spans="1:23" ht="13.5" customHeight="1">
      <c r="A46" s="101">
        <v>274</v>
      </c>
      <c r="B46" s="101">
        <v>274</v>
      </c>
      <c r="C46" s="101" t="s">
        <v>1667</v>
      </c>
      <c r="D46" s="101" t="s">
        <v>1668</v>
      </c>
      <c r="E46" s="101" t="s">
        <v>312</v>
      </c>
      <c r="F46" s="101" t="s">
        <v>1722</v>
      </c>
      <c r="G46" s="101" t="s">
        <v>1723</v>
      </c>
      <c r="H46" s="101" t="s">
        <v>319</v>
      </c>
      <c r="I46" s="101" t="s">
        <v>980</v>
      </c>
      <c r="J46" s="101" t="s">
        <v>203</v>
      </c>
      <c r="K46" s="101" t="s">
        <v>302</v>
      </c>
      <c r="L46" s="101" t="s">
        <v>365</v>
      </c>
      <c r="M46" s="112" t="s">
        <v>733</v>
      </c>
      <c r="N46" s="101" t="s">
        <v>336</v>
      </c>
      <c r="O46" s="101" t="s">
        <v>1234</v>
      </c>
      <c r="P46" s="104">
        <v>71683</v>
      </c>
      <c r="Q46" s="104">
        <v>3.6360000000000001</v>
      </c>
      <c r="R46" s="104">
        <v>10730</v>
      </c>
      <c r="S46" s="104">
        <v>0</v>
      </c>
      <c r="T46" s="104">
        <v>27966.606329999999</v>
      </c>
      <c r="U46" s="103">
        <v>1.0989999999999999E-3</v>
      </c>
      <c r="V46" s="103">
        <v>9.4017000000000003E-2</v>
      </c>
      <c r="W46" s="103">
        <v>6.9800000000000001E-3</v>
      </c>
    </row>
    <row r="47" spans="1:23" ht="13.5" customHeight="1">
      <c r="A47" s="101">
        <v>274</v>
      </c>
      <c r="B47" s="101">
        <v>274</v>
      </c>
      <c r="C47" s="101" t="s">
        <v>1667</v>
      </c>
      <c r="D47" s="101" t="s">
        <v>1668</v>
      </c>
      <c r="E47" s="101" t="s">
        <v>312</v>
      </c>
      <c r="F47" s="101" t="s">
        <v>1724</v>
      </c>
      <c r="G47" s="101" t="s">
        <v>1725</v>
      </c>
      <c r="H47" s="101" t="s">
        <v>319</v>
      </c>
      <c r="I47" s="101" t="s">
        <v>980</v>
      </c>
      <c r="J47" s="101" t="s">
        <v>203</v>
      </c>
      <c r="K47" s="101" t="s">
        <v>223</v>
      </c>
      <c r="L47" s="101" t="s">
        <v>377</v>
      </c>
      <c r="M47" s="112" t="s">
        <v>733</v>
      </c>
      <c r="N47" s="101" t="s">
        <v>336</v>
      </c>
      <c r="O47" s="101" t="s">
        <v>1249</v>
      </c>
      <c r="P47" s="104">
        <v>24861</v>
      </c>
      <c r="Q47" s="104">
        <v>3.165</v>
      </c>
      <c r="R47" s="104">
        <v>19215</v>
      </c>
      <c r="S47" s="104">
        <v>0</v>
      </c>
      <c r="T47" s="104">
        <v>15119.33524</v>
      </c>
      <c r="U47" s="103">
        <v>1.1069999999999999E-3</v>
      </c>
      <c r="V47" s="103">
        <v>5.0826999999999997E-2</v>
      </c>
      <c r="W47" s="103">
        <v>3.7729999999999999E-3</v>
      </c>
    </row>
    <row r="48" spans="1:23" ht="13.5" customHeight="1">
      <c r="A48" s="101">
        <v>274</v>
      </c>
      <c r="B48" s="101">
        <v>274</v>
      </c>
      <c r="C48" s="101" t="s">
        <v>1667</v>
      </c>
      <c r="D48" s="101" t="s">
        <v>1668</v>
      </c>
      <c r="E48" s="101" t="s">
        <v>312</v>
      </c>
      <c r="F48" s="101" t="s">
        <v>1726</v>
      </c>
      <c r="G48" s="101" t="s">
        <v>1727</v>
      </c>
      <c r="H48" s="101" t="s">
        <v>319</v>
      </c>
      <c r="I48" s="101" t="s">
        <v>980</v>
      </c>
      <c r="J48" s="101" t="s">
        <v>203</v>
      </c>
      <c r="K48" s="101" t="s">
        <v>223</v>
      </c>
      <c r="L48" s="101" t="s">
        <v>377</v>
      </c>
      <c r="M48" s="112" t="s">
        <v>733</v>
      </c>
      <c r="N48" s="101" t="s">
        <v>336</v>
      </c>
      <c r="O48" s="101" t="s">
        <v>1249</v>
      </c>
      <c r="P48" s="104">
        <v>51267</v>
      </c>
      <c r="Q48" s="104">
        <v>3.165</v>
      </c>
      <c r="R48" s="104">
        <v>18937</v>
      </c>
      <c r="S48" s="104">
        <v>0</v>
      </c>
      <c r="T48" s="104">
        <v>30727.18662</v>
      </c>
      <c r="U48" s="103">
        <v>9.3099999999999997E-4</v>
      </c>
      <c r="V48" s="103">
        <v>0.103297</v>
      </c>
      <c r="W48" s="103">
        <v>7.6689999999999996E-3</v>
      </c>
    </row>
    <row r="49" spans="1:23" ht="13.5" customHeight="1">
      <c r="A49" s="101">
        <v>274</v>
      </c>
      <c r="B49" s="101">
        <v>274</v>
      </c>
      <c r="C49" s="101" t="s">
        <v>1634</v>
      </c>
      <c r="D49" s="101" t="s">
        <v>1635</v>
      </c>
      <c r="E49" s="101" t="s">
        <v>312</v>
      </c>
      <c r="F49" s="101" t="s">
        <v>1728</v>
      </c>
      <c r="G49" s="101" t="s">
        <v>1729</v>
      </c>
      <c r="H49" s="101" t="s">
        <v>319</v>
      </c>
      <c r="I49" s="101" t="s">
        <v>980</v>
      </c>
      <c r="J49" s="101" t="s">
        <v>203</v>
      </c>
      <c r="K49" s="101" t="s">
        <v>223</v>
      </c>
      <c r="L49" s="101" t="s">
        <v>341</v>
      </c>
      <c r="M49" s="112" t="s">
        <v>733</v>
      </c>
      <c r="N49" s="101" t="s">
        <v>336</v>
      </c>
      <c r="O49" s="101" t="s">
        <v>1249</v>
      </c>
      <c r="P49" s="104">
        <v>3523</v>
      </c>
      <c r="Q49" s="104">
        <v>3.165</v>
      </c>
      <c r="R49" s="104">
        <v>5571</v>
      </c>
      <c r="S49" s="104">
        <v>0</v>
      </c>
      <c r="T49" s="104">
        <v>621.18293000000006</v>
      </c>
      <c r="U49" s="103">
        <v>1.2999999999999999E-4</v>
      </c>
      <c r="V49" s="103">
        <v>2.088E-3</v>
      </c>
      <c r="W49" s="103">
        <v>1.55E-4</v>
      </c>
    </row>
    <row r="50" spans="1:23" ht="13.5" customHeight="1"/>
    <row r="51" spans="1:23" ht="13.5" customHeight="1"/>
    <row r="52" spans="1:23" ht="13.5" customHeight="1"/>
    <row r="53" spans="1:23" ht="13.5" customHeight="1"/>
    <row r="54" spans="1:23" ht="13.5" customHeight="1"/>
    <row r="55" spans="1:23" ht="13.5" customHeight="1"/>
    <row r="56" spans="1:23" ht="13.5" customHeight="1"/>
    <row r="57" spans="1:23" ht="13.5" customHeight="1"/>
    <row r="58" spans="1:23" ht="13.5" customHeight="1"/>
    <row r="59" spans="1:23" ht="13.5" customHeight="1"/>
    <row r="60" spans="1:23" ht="13.5" customHeight="1"/>
    <row r="61" spans="1:23" ht="13.5" customHeight="1"/>
    <row r="62" spans="1:23" ht="13.5" customHeight="1"/>
    <row r="63" spans="1:23" ht="13.5" customHeight="1"/>
    <row r="64" spans="1:2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3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1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1730</v>
      </c>
      <c r="D2" s="101" t="s">
        <v>1664</v>
      </c>
      <c r="E2" s="101" t="s">
        <v>312</v>
      </c>
      <c r="F2" s="101" t="s">
        <v>1731</v>
      </c>
      <c r="G2" s="101" t="s">
        <v>1732</v>
      </c>
      <c r="H2" s="101" t="s">
        <v>319</v>
      </c>
      <c r="I2" s="101" t="s">
        <v>984</v>
      </c>
      <c r="J2" s="101" t="s">
        <v>203</v>
      </c>
      <c r="K2" s="101" t="s">
        <v>223</v>
      </c>
      <c r="L2" s="101" t="s">
        <v>322</v>
      </c>
      <c r="M2" s="101" t="s">
        <v>313</v>
      </c>
      <c r="N2" s="112" t="s">
        <v>676</v>
      </c>
      <c r="O2" s="101" t="s">
        <v>336</v>
      </c>
      <c r="P2" s="101" t="s">
        <v>1249</v>
      </c>
      <c r="Q2" s="104">
        <v>800</v>
      </c>
      <c r="R2" s="104">
        <v>3.165</v>
      </c>
      <c r="S2" s="104">
        <v>43341.49</v>
      </c>
      <c r="T2" s="104">
        <v>1097.40653</v>
      </c>
      <c r="U2" s="103">
        <v>8.5000000000000006E-5</v>
      </c>
      <c r="V2" s="103">
        <v>5.0626999999999998E-2</v>
      </c>
      <c r="W2" s="103">
        <v>2.7300000000000002E-4</v>
      </c>
    </row>
    <row r="3" spans="1:26" ht="13.5" customHeight="1">
      <c r="A3" s="101">
        <v>274</v>
      </c>
      <c r="B3" s="101">
        <v>274</v>
      </c>
      <c r="C3" s="101" t="s">
        <v>1733</v>
      </c>
      <c r="D3" s="101" t="s">
        <v>1734</v>
      </c>
      <c r="E3" s="101" t="s">
        <v>312</v>
      </c>
      <c r="F3" s="101" t="s">
        <v>1735</v>
      </c>
      <c r="G3" s="101" t="s">
        <v>1736</v>
      </c>
      <c r="H3" s="101" t="s">
        <v>319</v>
      </c>
      <c r="I3" s="101" t="s">
        <v>925</v>
      </c>
      <c r="J3" s="101" t="s">
        <v>203</v>
      </c>
      <c r="K3" s="101" t="s">
        <v>250</v>
      </c>
      <c r="L3" s="101" t="s">
        <v>322</v>
      </c>
      <c r="M3" s="101" t="s">
        <v>313</v>
      </c>
      <c r="N3" s="112" t="s">
        <v>733</v>
      </c>
      <c r="O3" s="101" t="s">
        <v>336</v>
      </c>
      <c r="P3" s="101" t="s">
        <v>1246</v>
      </c>
      <c r="Q3" s="104">
        <v>2439</v>
      </c>
      <c r="R3" s="104">
        <v>1.9858000000000001E-2</v>
      </c>
      <c r="S3" s="104">
        <v>2379900</v>
      </c>
      <c r="T3" s="104">
        <v>1152.67272</v>
      </c>
      <c r="U3" s="103">
        <v>4.4299999999999998E-4</v>
      </c>
      <c r="V3" s="103">
        <v>5.3176000000000001E-2</v>
      </c>
      <c r="W3" s="103">
        <v>2.8699999999999998E-4</v>
      </c>
    </row>
    <row r="4" spans="1:26" ht="13.5" customHeight="1">
      <c r="A4" s="101">
        <v>274</v>
      </c>
      <c r="B4" s="101">
        <v>274</v>
      </c>
      <c r="C4" s="101" t="s">
        <v>1737</v>
      </c>
      <c r="D4" s="101" t="s">
        <v>1738</v>
      </c>
      <c r="E4" s="101" t="s">
        <v>312</v>
      </c>
      <c r="F4" s="101" t="s">
        <v>1739</v>
      </c>
      <c r="G4" s="101" t="s">
        <v>1740</v>
      </c>
      <c r="H4" s="101" t="s">
        <v>319</v>
      </c>
      <c r="I4" s="101" t="s">
        <v>925</v>
      </c>
      <c r="J4" s="101" t="s">
        <v>203</v>
      </c>
      <c r="K4" s="101" t="s">
        <v>292</v>
      </c>
      <c r="L4" s="101" t="s">
        <v>322</v>
      </c>
      <c r="M4" s="101" t="s">
        <v>313</v>
      </c>
      <c r="N4" s="112" t="s">
        <v>733</v>
      </c>
      <c r="O4" s="101" t="s">
        <v>336</v>
      </c>
      <c r="P4" s="101" t="s">
        <v>1248</v>
      </c>
      <c r="Q4" s="104">
        <v>391485</v>
      </c>
      <c r="R4" s="104">
        <v>4.1872999999999996</v>
      </c>
      <c r="S4" s="104">
        <v>163.63999999999999</v>
      </c>
      <c r="T4" s="104">
        <v>2682.5644200000002</v>
      </c>
      <c r="U4" s="103">
        <v>2.5599999999999999E-4</v>
      </c>
      <c r="V4" s="103">
        <v>0.123756</v>
      </c>
      <c r="W4" s="103">
        <v>6.69E-4</v>
      </c>
    </row>
    <row r="5" spans="1:26" ht="13.5" customHeight="1">
      <c r="A5" s="101">
        <v>274</v>
      </c>
      <c r="B5" s="101">
        <v>274</v>
      </c>
      <c r="C5" s="101" t="s">
        <v>1741</v>
      </c>
      <c r="D5" s="101" t="s">
        <v>1742</v>
      </c>
      <c r="E5" s="101" t="s">
        <v>312</v>
      </c>
      <c r="F5" s="101" t="s">
        <v>1743</v>
      </c>
      <c r="G5" s="101" t="s">
        <v>1744</v>
      </c>
      <c r="H5" s="101" t="s">
        <v>319</v>
      </c>
      <c r="I5" s="101" t="s">
        <v>984</v>
      </c>
      <c r="J5" s="101" t="s">
        <v>203</v>
      </c>
      <c r="K5" s="101" t="s">
        <v>223</v>
      </c>
      <c r="L5" s="101" t="s">
        <v>322</v>
      </c>
      <c r="M5" s="101" t="s">
        <v>371</v>
      </c>
      <c r="N5" s="112" t="s">
        <v>676</v>
      </c>
      <c r="O5" s="101" t="s">
        <v>336</v>
      </c>
      <c r="P5" s="101" t="s">
        <v>1249</v>
      </c>
      <c r="Q5" s="104">
        <v>262.3</v>
      </c>
      <c r="R5" s="104">
        <v>3.165</v>
      </c>
      <c r="S5" s="104">
        <v>12635</v>
      </c>
      <c r="T5" s="104">
        <v>104.89318</v>
      </c>
      <c r="U5" s="103">
        <v>2.2499999999999999E-4</v>
      </c>
      <c r="V5" s="103">
        <v>4.8390000000000004E-3</v>
      </c>
      <c r="W5" s="103">
        <v>2.5999999999999998E-5</v>
      </c>
    </row>
    <row r="6" spans="1:26" ht="13.5" customHeight="1">
      <c r="A6" s="101">
        <v>274</v>
      </c>
      <c r="B6" s="101">
        <v>274</v>
      </c>
      <c r="C6" s="101" t="s">
        <v>1745</v>
      </c>
      <c r="D6" s="101" t="s">
        <v>1746</v>
      </c>
      <c r="E6" s="101" t="s">
        <v>312</v>
      </c>
      <c r="F6" s="101" t="s">
        <v>1747</v>
      </c>
      <c r="G6" s="101" t="s">
        <v>1748</v>
      </c>
      <c r="H6" s="101" t="s">
        <v>319</v>
      </c>
      <c r="I6" s="101" t="s">
        <v>925</v>
      </c>
      <c r="J6" s="101" t="s">
        <v>203</v>
      </c>
      <c r="K6" s="101" t="s">
        <v>250</v>
      </c>
      <c r="L6" s="101" t="s">
        <v>322</v>
      </c>
      <c r="M6" s="101" t="s">
        <v>313</v>
      </c>
      <c r="N6" s="112" t="s">
        <v>733</v>
      </c>
      <c r="O6" s="101" t="s">
        <v>336</v>
      </c>
      <c r="P6" s="101" t="s">
        <v>1246</v>
      </c>
      <c r="Q6" s="104">
        <v>3326</v>
      </c>
      <c r="R6" s="104">
        <v>1.9858000000000001E-2</v>
      </c>
      <c r="S6" s="104">
        <v>1768193.7</v>
      </c>
      <c r="T6" s="104">
        <v>1167.85141</v>
      </c>
      <c r="U6" s="103">
        <v>2.0000000000000001E-4</v>
      </c>
      <c r="V6" s="103">
        <v>5.3877000000000001E-2</v>
      </c>
      <c r="W6" s="103">
        <v>2.9100000000000003E-4</v>
      </c>
    </row>
    <row r="7" spans="1:26" ht="13.5" customHeight="1">
      <c r="A7" s="101">
        <v>274</v>
      </c>
      <c r="B7" s="101">
        <v>274</v>
      </c>
      <c r="C7" s="101" t="s">
        <v>1749</v>
      </c>
      <c r="D7" s="101" t="s">
        <v>1750</v>
      </c>
      <c r="E7" s="101" t="s">
        <v>312</v>
      </c>
      <c r="F7" s="101" t="s">
        <v>1751</v>
      </c>
      <c r="G7" s="101" t="s">
        <v>1752</v>
      </c>
      <c r="H7" s="101" t="s">
        <v>319</v>
      </c>
      <c r="I7" s="101" t="s">
        <v>984</v>
      </c>
      <c r="J7" s="101" t="s">
        <v>203</v>
      </c>
      <c r="K7" s="101" t="s">
        <v>295</v>
      </c>
      <c r="L7" s="101" t="s">
        <v>322</v>
      </c>
      <c r="M7" s="101" t="s">
        <v>313</v>
      </c>
      <c r="N7" s="112" t="s">
        <v>676</v>
      </c>
      <c r="O7" s="101" t="s">
        <v>336</v>
      </c>
      <c r="P7" s="101" t="s">
        <v>1249</v>
      </c>
      <c r="Q7" s="104">
        <v>321</v>
      </c>
      <c r="R7" s="104">
        <v>3.165</v>
      </c>
      <c r="S7" s="104">
        <v>2971</v>
      </c>
      <c r="T7" s="104">
        <v>30.18432</v>
      </c>
      <c r="U7" s="103">
        <v>2.0000000000000002E-5</v>
      </c>
      <c r="V7" s="103">
        <v>1.392E-3</v>
      </c>
      <c r="W7" s="103">
        <v>6.9999999999999999E-6</v>
      </c>
    </row>
    <row r="8" spans="1:26" ht="13.5" customHeight="1">
      <c r="A8" s="101">
        <v>274</v>
      </c>
      <c r="B8" s="101">
        <v>274</v>
      </c>
      <c r="C8" s="101" t="s">
        <v>1753</v>
      </c>
      <c r="D8" s="101" t="s">
        <v>1754</v>
      </c>
      <c r="E8" s="101" t="s">
        <v>312</v>
      </c>
      <c r="F8" s="101" t="s">
        <v>1755</v>
      </c>
      <c r="G8" s="101" t="s">
        <v>1756</v>
      </c>
      <c r="H8" s="101" t="s">
        <v>319</v>
      </c>
      <c r="I8" s="101" t="s">
        <v>925</v>
      </c>
      <c r="J8" s="101" t="s">
        <v>203</v>
      </c>
      <c r="K8" s="101" t="s">
        <v>295</v>
      </c>
      <c r="L8" s="101" t="s">
        <v>322</v>
      </c>
      <c r="M8" s="101" t="s">
        <v>313</v>
      </c>
      <c r="N8" s="112" t="s">
        <v>733</v>
      </c>
      <c r="O8" s="101" t="s">
        <v>336</v>
      </c>
      <c r="P8" s="101" t="s">
        <v>1249</v>
      </c>
      <c r="Q8" s="104">
        <v>398</v>
      </c>
      <c r="R8" s="104">
        <v>3.165</v>
      </c>
      <c r="S8" s="104">
        <v>21495</v>
      </c>
      <c r="T8" s="104">
        <v>270.76607000000001</v>
      </c>
      <c r="U8" s="103">
        <v>5.3999999999999998E-5</v>
      </c>
      <c r="V8" s="103">
        <v>1.2491E-2</v>
      </c>
      <c r="W8" s="103">
        <v>6.7000000000000002E-5</v>
      </c>
    </row>
    <row r="9" spans="1:26" ht="13.5" customHeight="1">
      <c r="A9" s="101">
        <v>274</v>
      </c>
      <c r="B9" s="101">
        <v>274</v>
      </c>
      <c r="C9" s="101" t="s">
        <v>1757</v>
      </c>
      <c r="D9" s="101" t="s">
        <v>1758</v>
      </c>
      <c r="E9" s="101" t="s">
        <v>312</v>
      </c>
      <c r="F9" s="101" t="s">
        <v>1759</v>
      </c>
      <c r="G9" s="101" t="s">
        <v>1760</v>
      </c>
      <c r="H9" s="101" t="s">
        <v>319</v>
      </c>
      <c r="I9" s="101" t="s">
        <v>925</v>
      </c>
      <c r="J9" s="101" t="s">
        <v>203</v>
      </c>
      <c r="K9" s="101" t="s">
        <v>295</v>
      </c>
      <c r="L9" s="101" t="s">
        <v>322</v>
      </c>
      <c r="M9" s="101" t="s">
        <v>313</v>
      </c>
      <c r="N9" s="112" t="s">
        <v>733</v>
      </c>
      <c r="O9" s="101" t="s">
        <v>336</v>
      </c>
      <c r="P9" s="101" t="s">
        <v>1249</v>
      </c>
      <c r="Q9" s="104">
        <v>2258</v>
      </c>
      <c r="R9" s="104">
        <v>3.165</v>
      </c>
      <c r="S9" s="104">
        <v>14968</v>
      </c>
      <c r="T9" s="104">
        <v>1069.6985999999999</v>
      </c>
      <c r="U9" s="103">
        <v>3.1199999999999999E-4</v>
      </c>
      <c r="V9" s="103">
        <v>4.9348000000000003E-2</v>
      </c>
      <c r="W9" s="103">
        <v>2.6600000000000001E-4</v>
      </c>
    </row>
    <row r="10" spans="1:26" ht="13.5" customHeight="1">
      <c r="A10" s="101">
        <v>274</v>
      </c>
      <c r="B10" s="101">
        <v>274</v>
      </c>
      <c r="C10" s="101" t="s">
        <v>1761</v>
      </c>
      <c r="D10" s="101" t="s">
        <v>1762</v>
      </c>
      <c r="E10" s="101" t="s">
        <v>312</v>
      </c>
      <c r="F10" s="101" t="s">
        <v>1763</v>
      </c>
      <c r="G10" s="101" t="s">
        <v>1764</v>
      </c>
      <c r="H10" s="101" t="s">
        <v>319</v>
      </c>
      <c r="I10" s="101" t="s">
        <v>925</v>
      </c>
      <c r="J10" s="101" t="s">
        <v>203</v>
      </c>
      <c r="K10" s="101" t="s">
        <v>292</v>
      </c>
      <c r="L10" s="101" t="s">
        <v>322</v>
      </c>
      <c r="M10" s="101" t="s">
        <v>313</v>
      </c>
      <c r="N10" s="112" t="s">
        <v>733</v>
      </c>
      <c r="O10" s="101" t="s">
        <v>336</v>
      </c>
      <c r="P10" s="101" t="s">
        <v>1248</v>
      </c>
      <c r="Q10" s="104">
        <v>10275</v>
      </c>
      <c r="R10" s="104">
        <v>4.1872999999999996</v>
      </c>
      <c r="S10" s="104">
        <v>887.99</v>
      </c>
      <c r="T10" s="104">
        <v>382.05331999999999</v>
      </c>
      <c r="U10" s="103">
        <v>1.2300000000000001E-4</v>
      </c>
      <c r="V10" s="103">
        <v>1.7624999999999998E-2</v>
      </c>
      <c r="W10" s="103">
        <v>9.5000000000000005E-5</v>
      </c>
    </row>
    <row r="11" spans="1:26" ht="13.5" customHeight="1">
      <c r="A11" s="101">
        <v>274</v>
      </c>
      <c r="B11" s="101">
        <v>274</v>
      </c>
      <c r="C11" s="101" t="s">
        <v>1765</v>
      </c>
      <c r="D11" s="101" t="s">
        <v>1766</v>
      </c>
      <c r="E11" s="101" t="s">
        <v>312</v>
      </c>
      <c r="F11" s="101" t="s">
        <v>1767</v>
      </c>
      <c r="G11" s="101" t="s">
        <v>1768</v>
      </c>
      <c r="H11" s="101" t="s">
        <v>319</v>
      </c>
      <c r="I11" s="101" t="s">
        <v>984</v>
      </c>
      <c r="J11" s="101" t="s">
        <v>203</v>
      </c>
      <c r="K11" s="101" t="s">
        <v>223</v>
      </c>
      <c r="L11" s="101" t="s">
        <v>322</v>
      </c>
      <c r="M11" s="101" t="s">
        <v>313</v>
      </c>
      <c r="N11" s="112" t="s">
        <v>676</v>
      </c>
      <c r="O11" s="101" t="s">
        <v>336</v>
      </c>
      <c r="P11" s="101" t="s">
        <v>1249</v>
      </c>
      <c r="Q11" s="104">
        <v>24390.44</v>
      </c>
      <c r="R11" s="104">
        <v>3.165</v>
      </c>
      <c r="S11" s="104">
        <v>1454.66</v>
      </c>
      <c r="T11" s="104">
        <v>1122.93559</v>
      </c>
      <c r="U11" s="103">
        <v>5.862E-3</v>
      </c>
      <c r="V11" s="103">
        <v>5.1804000000000003E-2</v>
      </c>
      <c r="W11" s="103">
        <v>2.7999999999999998E-4</v>
      </c>
    </row>
    <row r="12" spans="1:26" ht="13.5" customHeight="1">
      <c r="A12" s="101">
        <v>274</v>
      </c>
      <c r="B12" s="101">
        <v>274</v>
      </c>
      <c r="C12" s="101" t="s">
        <v>1769</v>
      </c>
      <c r="D12" s="101" t="s">
        <v>1770</v>
      </c>
      <c r="E12" s="101" t="s">
        <v>312</v>
      </c>
      <c r="F12" s="101" t="s">
        <v>1771</v>
      </c>
      <c r="G12" s="101" t="s">
        <v>1772</v>
      </c>
      <c r="H12" s="101" t="s">
        <v>319</v>
      </c>
      <c r="I12" s="101" t="s">
        <v>984</v>
      </c>
      <c r="J12" s="101" t="s">
        <v>203</v>
      </c>
      <c r="K12" s="101" t="s">
        <v>295</v>
      </c>
      <c r="L12" s="101" t="s">
        <v>322</v>
      </c>
      <c r="M12" s="101" t="s">
        <v>313</v>
      </c>
      <c r="N12" s="112" t="s">
        <v>676</v>
      </c>
      <c r="O12" s="101" t="s">
        <v>336</v>
      </c>
      <c r="P12" s="101" t="s">
        <v>1249</v>
      </c>
      <c r="Q12" s="104">
        <v>5400</v>
      </c>
      <c r="R12" s="104">
        <v>3.165</v>
      </c>
      <c r="S12" s="104">
        <v>1740.3</v>
      </c>
      <c r="T12" s="104">
        <v>297.43466999999998</v>
      </c>
      <c r="U12" s="103">
        <v>9.2900000000000003E-4</v>
      </c>
      <c r="V12" s="103">
        <v>1.3721000000000001E-2</v>
      </c>
      <c r="W12" s="103">
        <v>7.3999999999999996E-5</v>
      </c>
    </row>
    <row r="13" spans="1:26" ht="13.5" customHeight="1">
      <c r="A13" s="101">
        <v>274</v>
      </c>
      <c r="B13" s="101">
        <v>274</v>
      </c>
      <c r="C13" s="101" t="s">
        <v>1769</v>
      </c>
      <c r="D13" s="101" t="s">
        <v>1770</v>
      </c>
      <c r="E13" s="101" t="s">
        <v>312</v>
      </c>
      <c r="F13" s="101" t="s">
        <v>1773</v>
      </c>
      <c r="G13" s="101" t="s">
        <v>1774</v>
      </c>
      <c r="H13" s="101" t="s">
        <v>319</v>
      </c>
      <c r="I13" s="101" t="s">
        <v>984</v>
      </c>
      <c r="J13" s="101" t="s">
        <v>203</v>
      </c>
      <c r="K13" s="101" t="s">
        <v>295</v>
      </c>
      <c r="L13" s="101" t="s">
        <v>322</v>
      </c>
      <c r="M13" s="101" t="s">
        <v>313</v>
      </c>
      <c r="N13" s="112" t="s">
        <v>676</v>
      </c>
      <c r="O13" s="101" t="s">
        <v>336</v>
      </c>
      <c r="P13" s="101" t="s">
        <v>1249</v>
      </c>
      <c r="Q13" s="104">
        <v>12120</v>
      </c>
      <c r="R13" s="104">
        <v>3.165</v>
      </c>
      <c r="S13" s="104">
        <v>1102</v>
      </c>
      <c r="T13" s="104">
        <v>422.72500000000002</v>
      </c>
      <c r="U13" s="103">
        <v>5.0199999999999995E-4</v>
      </c>
      <c r="V13" s="103">
        <v>1.9501000000000001E-2</v>
      </c>
      <c r="W13" s="103">
        <v>1.05E-4</v>
      </c>
    </row>
    <row r="14" spans="1:26" ht="13.5" customHeight="1">
      <c r="A14" s="101">
        <v>274</v>
      </c>
      <c r="B14" s="101">
        <v>274</v>
      </c>
      <c r="C14" s="101" t="s">
        <v>1775</v>
      </c>
      <c r="D14" s="101" t="s">
        <v>1776</v>
      </c>
      <c r="E14" s="101" t="s">
        <v>312</v>
      </c>
      <c r="F14" s="101" t="s">
        <v>1777</v>
      </c>
      <c r="G14" s="101" t="s">
        <v>1778</v>
      </c>
      <c r="H14" s="101" t="s">
        <v>319</v>
      </c>
      <c r="I14" s="101" t="s">
        <v>925</v>
      </c>
      <c r="J14" s="101" t="s">
        <v>203</v>
      </c>
      <c r="K14" s="101" t="s">
        <v>250</v>
      </c>
      <c r="L14" s="101" t="s">
        <v>322</v>
      </c>
      <c r="M14" s="101" t="s">
        <v>313</v>
      </c>
      <c r="N14" s="112" t="s">
        <v>733</v>
      </c>
      <c r="O14" s="101" t="s">
        <v>336</v>
      </c>
      <c r="P14" s="101" t="s">
        <v>1246</v>
      </c>
      <c r="Q14" s="104">
        <v>13548</v>
      </c>
      <c r="R14" s="104">
        <v>1.9858000000000001E-2</v>
      </c>
      <c r="S14" s="104">
        <v>303100</v>
      </c>
      <c r="T14" s="104">
        <v>815.44866999999999</v>
      </c>
      <c r="U14" s="103">
        <v>7.7999999999999999E-5</v>
      </c>
      <c r="V14" s="103">
        <v>3.7619E-2</v>
      </c>
      <c r="W14" s="103">
        <v>2.03E-4</v>
      </c>
    </row>
    <row r="15" spans="1:26" ht="13.5" customHeight="1">
      <c r="A15" s="101">
        <v>274</v>
      </c>
      <c r="B15" s="101">
        <v>274</v>
      </c>
      <c r="C15" s="101" t="s">
        <v>1779</v>
      </c>
      <c r="D15" s="101" t="s">
        <v>1780</v>
      </c>
      <c r="E15" s="101" t="s">
        <v>312</v>
      </c>
      <c r="F15" s="101" t="s">
        <v>1781</v>
      </c>
      <c r="G15" s="101" t="s">
        <v>1782</v>
      </c>
      <c r="H15" s="101" t="s">
        <v>319</v>
      </c>
      <c r="I15" s="101" t="s">
        <v>984</v>
      </c>
      <c r="J15" s="101" t="s">
        <v>203</v>
      </c>
      <c r="K15" s="101" t="s">
        <v>292</v>
      </c>
      <c r="L15" s="101" t="s">
        <v>322</v>
      </c>
      <c r="M15" s="101" t="s">
        <v>313</v>
      </c>
      <c r="N15" s="112" t="s">
        <v>676</v>
      </c>
      <c r="O15" s="101" t="s">
        <v>336</v>
      </c>
      <c r="P15" s="101" t="s">
        <v>1249</v>
      </c>
      <c r="Q15" s="104">
        <v>2400</v>
      </c>
      <c r="R15" s="104">
        <v>3.165</v>
      </c>
      <c r="S15" s="104">
        <v>11043.38</v>
      </c>
      <c r="T15" s="104">
        <v>838.85514000000001</v>
      </c>
      <c r="U15" s="103">
        <v>8.6000000000000003E-5</v>
      </c>
      <c r="V15" s="103">
        <v>3.8698999999999997E-2</v>
      </c>
      <c r="W15" s="103">
        <v>2.0900000000000001E-4</v>
      </c>
    </row>
    <row r="16" spans="1:26" ht="13.5" customHeight="1">
      <c r="A16" s="101">
        <v>274</v>
      </c>
      <c r="B16" s="101">
        <v>274</v>
      </c>
      <c r="C16" s="101" t="s">
        <v>1783</v>
      </c>
      <c r="D16" s="101" t="s">
        <v>1784</v>
      </c>
      <c r="E16" s="101" t="s">
        <v>312</v>
      </c>
      <c r="F16" s="101" t="s">
        <v>1785</v>
      </c>
      <c r="G16" s="101" t="s">
        <v>1786</v>
      </c>
      <c r="H16" s="101" t="s">
        <v>319</v>
      </c>
      <c r="I16" s="101" t="s">
        <v>925</v>
      </c>
      <c r="J16" s="101" t="s">
        <v>203</v>
      </c>
      <c r="K16" s="101" t="s">
        <v>250</v>
      </c>
      <c r="L16" s="101" t="s">
        <v>322</v>
      </c>
      <c r="M16" s="101" t="s">
        <v>313</v>
      </c>
      <c r="N16" s="112" t="s">
        <v>733</v>
      </c>
      <c r="O16" s="101" t="s">
        <v>336</v>
      </c>
      <c r="P16" s="101" t="s">
        <v>1249</v>
      </c>
      <c r="Q16" s="104">
        <v>46850</v>
      </c>
      <c r="R16" s="104">
        <v>3.165</v>
      </c>
      <c r="S16" s="104">
        <v>1752.53</v>
      </c>
      <c r="T16" s="104">
        <v>2598.65587</v>
      </c>
      <c r="U16" s="103">
        <v>4.9799999999999996E-4</v>
      </c>
      <c r="V16" s="103">
        <v>0.11988500000000001</v>
      </c>
      <c r="W16" s="103">
        <v>6.4800000000000003E-4</v>
      </c>
    </row>
    <row r="17" spans="1:23" ht="13.5" customHeight="1">
      <c r="A17" s="101">
        <v>274</v>
      </c>
      <c r="B17" s="101">
        <v>274</v>
      </c>
      <c r="C17" s="101" t="s">
        <v>1787</v>
      </c>
      <c r="D17" s="101" t="s">
        <v>1788</v>
      </c>
      <c r="E17" s="101" t="s">
        <v>312</v>
      </c>
      <c r="F17" s="101" t="s">
        <v>1789</v>
      </c>
      <c r="G17" s="101" t="s">
        <v>1790</v>
      </c>
      <c r="H17" s="101" t="s">
        <v>319</v>
      </c>
      <c r="I17" s="101" t="s">
        <v>984</v>
      </c>
      <c r="J17" s="101" t="s">
        <v>203</v>
      </c>
      <c r="K17" s="101" t="s">
        <v>295</v>
      </c>
      <c r="L17" s="101" t="s">
        <v>323</v>
      </c>
      <c r="M17" s="101" t="s">
        <v>313</v>
      </c>
      <c r="N17" s="112" t="s">
        <v>676</v>
      </c>
      <c r="O17" s="101" t="s">
        <v>336</v>
      </c>
      <c r="P17" s="101" t="s">
        <v>1249</v>
      </c>
      <c r="Q17" s="104">
        <v>5638.69</v>
      </c>
      <c r="R17" s="104">
        <v>3.165</v>
      </c>
      <c r="S17" s="104">
        <v>1659.67</v>
      </c>
      <c r="T17" s="104">
        <v>296.19224000000003</v>
      </c>
      <c r="U17" s="103">
        <v>9.1E-4</v>
      </c>
      <c r="V17" s="103">
        <v>1.3664000000000001E-2</v>
      </c>
      <c r="W17" s="103">
        <v>7.2999999999999999E-5</v>
      </c>
    </row>
    <row r="18" spans="1:23" ht="13.5" customHeight="1">
      <c r="A18" s="101">
        <v>274</v>
      </c>
      <c r="B18" s="101">
        <v>274</v>
      </c>
      <c r="C18" s="101" t="s">
        <v>1791</v>
      </c>
      <c r="D18" s="101" t="s">
        <v>1792</v>
      </c>
      <c r="E18" s="101" t="s">
        <v>312</v>
      </c>
      <c r="F18" s="101" t="s">
        <v>1793</v>
      </c>
      <c r="G18" s="101" t="s">
        <v>1794</v>
      </c>
      <c r="H18" s="101" t="s">
        <v>319</v>
      </c>
      <c r="I18" s="101" t="s">
        <v>925</v>
      </c>
      <c r="J18" s="101" t="s">
        <v>203</v>
      </c>
      <c r="K18" s="101" t="s">
        <v>303</v>
      </c>
      <c r="L18" s="101" t="s">
        <v>322</v>
      </c>
      <c r="M18" s="101" t="s">
        <v>313</v>
      </c>
      <c r="N18" s="112" t="s">
        <v>733</v>
      </c>
      <c r="O18" s="101" t="s">
        <v>336</v>
      </c>
      <c r="P18" s="101" t="s">
        <v>1249</v>
      </c>
      <c r="Q18" s="104">
        <v>1968</v>
      </c>
      <c r="R18" s="104">
        <v>3.165</v>
      </c>
      <c r="S18" s="104">
        <v>67201</v>
      </c>
      <c r="T18" s="104">
        <v>4185.7621300000001</v>
      </c>
      <c r="U18" s="103">
        <v>7.1549999999999999E-3</v>
      </c>
      <c r="V18" s="103">
        <v>0.193103</v>
      </c>
      <c r="W18" s="103">
        <v>1.044E-3</v>
      </c>
    </row>
    <row r="19" spans="1:23" ht="13.5" customHeight="1">
      <c r="A19" s="101">
        <v>274</v>
      </c>
      <c r="B19" s="101">
        <v>274</v>
      </c>
      <c r="C19" s="101" t="s">
        <v>1795</v>
      </c>
      <c r="D19" s="101" t="s">
        <v>1796</v>
      </c>
      <c r="E19" s="101" t="s">
        <v>312</v>
      </c>
      <c r="F19" s="101" t="s">
        <v>1797</v>
      </c>
      <c r="G19" s="101" t="s">
        <v>1798</v>
      </c>
      <c r="H19" s="101" t="s">
        <v>319</v>
      </c>
      <c r="I19" s="101" t="s">
        <v>984</v>
      </c>
      <c r="J19" s="101" t="s">
        <v>203</v>
      </c>
      <c r="K19" s="101" t="s">
        <v>295</v>
      </c>
      <c r="L19" s="101" t="s">
        <v>322</v>
      </c>
      <c r="M19" s="101" t="s">
        <v>313</v>
      </c>
      <c r="N19" s="112" t="s">
        <v>676</v>
      </c>
      <c r="O19" s="101" t="s">
        <v>336</v>
      </c>
      <c r="P19" s="101" t="s">
        <v>1249</v>
      </c>
      <c r="Q19" s="104">
        <v>4004</v>
      </c>
      <c r="R19" s="104">
        <v>3.165</v>
      </c>
      <c r="S19" s="104">
        <v>15594.8</v>
      </c>
      <c r="T19" s="104">
        <v>1976.2759799999999</v>
      </c>
      <c r="U19" s="103">
        <v>1.26E-4</v>
      </c>
      <c r="V19" s="103">
        <v>9.1172000000000003E-2</v>
      </c>
      <c r="W19" s="103">
        <v>4.9299999999999995E-4</v>
      </c>
    </row>
    <row r="20" spans="1:23" ht="13.5" customHeight="1">
      <c r="A20" s="101">
        <v>274</v>
      </c>
      <c r="B20" s="101">
        <v>274</v>
      </c>
      <c r="C20" s="101" t="s">
        <v>1761</v>
      </c>
      <c r="D20" s="101" t="s">
        <v>1762</v>
      </c>
      <c r="E20" s="101" t="s">
        <v>312</v>
      </c>
      <c r="F20" s="101" t="s">
        <v>1799</v>
      </c>
      <c r="G20" s="101" t="s">
        <v>1800</v>
      </c>
      <c r="H20" s="101" t="s">
        <v>319</v>
      </c>
      <c r="I20" s="101" t="s">
        <v>925</v>
      </c>
      <c r="J20" s="101" t="s">
        <v>203</v>
      </c>
      <c r="K20" s="101" t="s">
        <v>295</v>
      </c>
      <c r="L20" s="101" t="s">
        <v>322</v>
      </c>
      <c r="M20" s="101" t="s">
        <v>313</v>
      </c>
      <c r="N20" s="112" t="s">
        <v>733</v>
      </c>
      <c r="O20" s="101" t="s">
        <v>336</v>
      </c>
      <c r="P20" s="101" t="s">
        <v>1249</v>
      </c>
      <c r="Q20" s="104">
        <v>179624</v>
      </c>
      <c r="R20" s="104">
        <v>3.165</v>
      </c>
      <c r="S20" s="104">
        <v>204.72</v>
      </c>
      <c r="T20" s="104">
        <v>1163.8535899999999</v>
      </c>
      <c r="U20" s="103">
        <v>3.5100000000000002E-4</v>
      </c>
      <c r="V20" s="103">
        <v>5.3691999999999997E-2</v>
      </c>
      <c r="W20" s="103">
        <v>2.9E-4</v>
      </c>
    </row>
    <row r="21" spans="1:23" ht="13.5" customHeight="1"/>
    <row r="22" spans="1:23" ht="13.5" customHeight="1"/>
    <row r="23" spans="1:23" ht="13.5" customHeight="1"/>
    <row r="24" spans="1:23" ht="13.5" customHeight="1"/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21" t="s">
        <v>91</v>
      </c>
      <c r="P1" s="21" t="s">
        <v>57</v>
      </c>
      <c r="Q1" s="21" t="s">
        <v>60</v>
      </c>
      <c r="R1" s="21" t="s">
        <v>92</v>
      </c>
      <c r="S1" s="21" t="s">
        <v>93</v>
      </c>
      <c r="T1" s="21" t="s">
        <v>76</v>
      </c>
      <c r="U1" s="21" t="s">
        <v>62</v>
      </c>
      <c r="V1" s="21" t="s">
        <v>77</v>
      </c>
      <c r="W1" s="21" t="s">
        <v>16</v>
      </c>
      <c r="X1" s="21" t="s">
        <v>64</v>
      </c>
      <c r="Y1" s="21" t="s">
        <v>65</v>
      </c>
      <c r="Z1" s="9"/>
    </row>
    <row r="2" spans="1:26" ht="13.5" customHeight="1">
      <c r="A2" s="101">
        <v>274</v>
      </c>
      <c r="B2" s="101">
        <v>274</v>
      </c>
      <c r="C2" s="101" t="s">
        <v>1801</v>
      </c>
      <c r="D2" s="101">
        <v>516537560</v>
      </c>
      <c r="E2" s="101" t="s">
        <v>308</v>
      </c>
      <c r="F2" s="101" t="s">
        <v>1802</v>
      </c>
      <c r="G2" s="101" t="s">
        <v>1803</v>
      </c>
      <c r="H2" s="101" t="s">
        <v>319</v>
      </c>
      <c r="I2" s="101" t="s">
        <v>202</v>
      </c>
      <c r="J2" s="101" t="s">
        <v>202</v>
      </c>
      <c r="K2" s="101" t="s">
        <v>322</v>
      </c>
      <c r="L2" s="101" t="s">
        <v>337</v>
      </c>
      <c r="M2" s="101" t="s">
        <v>1804</v>
      </c>
      <c r="N2" s="101" t="s">
        <v>439</v>
      </c>
      <c r="O2" s="107">
        <v>46203</v>
      </c>
      <c r="P2" s="101" t="s">
        <v>336</v>
      </c>
      <c r="Q2" s="101" t="s">
        <v>1241</v>
      </c>
      <c r="R2" s="104">
        <v>1650</v>
      </c>
      <c r="S2" s="104">
        <v>1</v>
      </c>
      <c r="T2" s="104">
        <v>5659</v>
      </c>
      <c r="U2" s="104">
        <v>1</v>
      </c>
      <c r="V2" s="104">
        <v>1346</v>
      </c>
      <c r="W2" s="104">
        <v>76.170140000000004</v>
      </c>
      <c r="X2" s="103">
        <v>1</v>
      </c>
      <c r="Y2" s="103">
        <v>1.9000000000000001E-5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>
        <v>274</v>
      </c>
      <c r="B2">
        <v>274</v>
      </c>
      <c r="O2" s="106"/>
      <c r="P2" s="106"/>
      <c r="Q2" s="106"/>
      <c r="R2" s="106"/>
      <c r="S2" s="110"/>
      <c r="T2" s="11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1001</v>
      </c>
      <c r="D2" s="101" t="s">
        <v>1805</v>
      </c>
      <c r="E2" s="101">
        <v>8288748</v>
      </c>
      <c r="F2" s="107">
        <v>43586</v>
      </c>
      <c r="G2" s="104">
        <v>6.83</v>
      </c>
      <c r="H2" s="101" t="s">
        <v>751</v>
      </c>
      <c r="I2" s="107">
        <v>49065</v>
      </c>
      <c r="J2" s="103">
        <v>4.8000000000000001E-2</v>
      </c>
      <c r="K2" s="103">
        <v>2.0199999999999999E-2</v>
      </c>
      <c r="L2" s="104">
        <v>3351000</v>
      </c>
      <c r="M2" s="104">
        <v>143.88290000000001</v>
      </c>
      <c r="N2" s="104">
        <v>4821.5162700000001</v>
      </c>
      <c r="O2" s="104"/>
      <c r="P2" s="101"/>
      <c r="Q2" s="103">
        <v>5.9849999999999999E-3</v>
      </c>
      <c r="R2" s="103">
        <v>1.2030000000000001E-3</v>
      </c>
    </row>
    <row r="3" spans="1:26" ht="13.5" customHeight="1">
      <c r="A3" s="101">
        <v>274</v>
      </c>
      <c r="B3" s="101">
        <v>274</v>
      </c>
      <c r="C3" s="101" t="s">
        <v>1001</v>
      </c>
      <c r="D3" s="101" t="s">
        <v>1806</v>
      </c>
      <c r="E3" s="101">
        <v>8288060</v>
      </c>
      <c r="F3" s="107">
        <v>41518</v>
      </c>
      <c r="G3" s="104">
        <v>2.31</v>
      </c>
      <c r="H3" s="101" t="s">
        <v>751</v>
      </c>
      <c r="I3" s="107">
        <v>46999</v>
      </c>
      <c r="J3" s="103">
        <v>4.8000000000000001E-2</v>
      </c>
      <c r="K3" s="103">
        <v>1.9E-2</v>
      </c>
      <c r="L3" s="104">
        <v>1115000</v>
      </c>
      <c r="M3" s="104">
        <v>126.325</v>
      </c>
      <c r="N3" s="104">
        <v>1408.52331</v>
      </c>
      <c r="O3" s="102"/>
      <c r="P3" s="101"/>
      <c r="Q3" s="103">
        <v>1.748E-3</v>
      </c>
      <c r="R3" s="103">
        <v>3.5100000000000002E-4</v>
      </c>
    </row>
    <row r="4" spans="1:26" ht="13.5" customHeight="1">
      <c r="A4" s="101">
        <v>274</v>
      </c>
      <c r="B4" s="101">
        <v>274</v>
      </c>
      <c r="C4" s="101" t="s">
        <v>1001</v>
      </c>
      <c r="D4" s="101" t="s">
        <v>1807</v>
      </c>
      <c r="E4" s="101">
        <v>8288342</v>
      </c>
      <c r="F4" s="107">
        <v>42370</v>
      </c>
      <c r="G4" s="104">
        <v>4.3</v>
      </c>
      <c r="H4" s="101" t="s">
        <v>751</v>
      </c>
      <c r="I4" s="107">
        <v>47849</v>
      </c>
      <c r="J4" s="103">
        <v>4.8000000000000001E-2</v>
      </c>
      <c r="K4" s="103">
        <v>1.9300000000000001E-2</v>
      </c>
      <c r="L4" s="104">
        <v>2301000</v>
      </c>
      <c r="M4" s="104">
        <v>135.78049999999999</v>
      </c>
      <c r="N4" s="104">
        <v>3124.3101200000001</v>
      </c>
      <c r="O4" s="102"/>
      <c r="P4" s="101"/>
      <c r="Q4" s="103">
        <v>3.8779999999999999E-3</v>
      </c>
      <c r="R4" s="103">
        <v>7.7899999999999996E-4</v>
      </c>
    </row>
    <row r="5" spans="1:26" ht="13.5" customHeight="1">
      <c r="A5" s="101">
        <v>274</v>
      </c>
      <c r="B5" s="101">
        <v>274</v>
      </c>
      <c r="C5" s="101" t="s">
        <v>1001</v>
      </c>
      <c r="D5" s="101" t="s">
        <v>1808</v>
      </c>
      <c r="E5" s="101">
        <v>8288094</v>
      </c>
      <c r="F5" s="107">
        <v>41609</v>
      </c>
      <c r="G5" s="104">
        <v>2.5099999999999998</v>
      </c>
      <c r="H5" s="101" t="s">
        <v>751</v>
      </c>
      <c r="I5" s="107">
        <v>47088</v>
      </c>
      <c r="J5" s="103">
        <v>4.8000000000000001E-2</v>
      </c>
      <c r="K5" s="103">
        <v>1.9E-2</v>
      </c>
      <c r="L5" s="104">
        <v>6804000</v>
      </c>
      <c r="M5" s="104">
        <v>127.9329</v>
      </c>
      <c r="N5" s="104">
        <v>8704.5567900000005</v>
      </c>
      <c r="O5" s="102"/>
      <c r="P5" s="101"/>
      <c r="Q5" s="103">
        <v>1.0805E-2</v>
      </c>
      <c r="R5" s="103">
        <v>2.1719999999999999E-3</v>
      </c>
    </row>
    <row r="6" spans="1:26" ht="13.5" customHeight="1">
      <c r="A6" s="101">
        <v>274</v>
      </c>
      <c r="B6" s="101">
        <v>274</v>
      </c>
      <c r="C6" s="101" t="s">
        <v>1001</v>
      </c>
      <c r="D6" s="101" t="s">
        <v>1809</v>
      </c>
      <c r="E6" s="101">
        <v>8288250</v>
      </c>
      <c r="F6" s="107">
        <v>42095</v>
      </c>
      <c r="G6" s="104">
        <v>3.63</v>
      </c>
      <c r="H6" s="101" t="s">
        <v>751</v>
      </c>
      <c r="I6" s="107">
        <v>47574</v>
      </c>
      <c r="J6" s="103">
        <v>4.8000000000000001E-2</v>
      </c>
      <c r="K6" s="103">
        <v>1.9099999999999999E-2</v>
      </c>
      <c r="L6" s="104">
        <v>20343000</v>
      </c>
      <c r="M6" s="104">
        <v>135.904</v>
      </c>
      <c r="N6" s="104">
        <v>27646.950250000002</v>
      </c>
      <c r="O6" s="102"/>
      <c r="P6" s="101"/>
      <c r="Q6" s="103">
        <v>3.4318000000000001E-2</v>
      </c>
      <c r="R6" s="103">
        <v>6.8999999999999999E-3</v>
      </c>
    </row>
    <row r="7" spans="1:26" ht="13.5" customHeight="1">
      <c r="A7" s="101">
        <v>274</v>
      </c>
      <c r="B7" s="101">
        <v>274</v>
      </c>
      <c r="C7" s="101" t="s">
        <v>1001</v>
      </c>
      <c r="D7" s="101" t="s">
        <v>1810</v>
      </c>
      <c r="E7" s="101">
        <v>8288276</v>
      </c>
      <c r="F7" s="107">
        <v>42156</v>
      </c>
      <c r="G7" s="104">
        <v>3.8</v>
      </c>
      <c r="H7" s="101" t="s">
        <v>751</v>
      </c>
      <c r="I7" s="107">
        <v>47636</v>
      </c>
      <c r="J7" s="103">
        <v>4.8000000000000001E-2</v>
      </c>
      <c r="K7" s="103">
        <v>1.9199999999999998E-2</v>
      </c>
      <c r="L7" s="104">
        <v>3983000</v>
      </c>
      <c r="M7" s="104">
        <v>134.23220000000001</v>
      </c>
      <c r="N7" s="104">
        <v>5346.4692500000001</v>
      </c>
      <c r="O7" s="102"/>
      <c r="P7" s="101"/>
      <c r="Q7" s="103">
        <v>6.6360000000000004E-3</v>
      </c>
      <c r="R7" s="103">
        <v>1.3339999999999999E-3</v>
      </c>
    </row>
    <row r="8" spans="1:26" ht="13.5" customHeight="1">
      <c r="A8" s="101">
        <v>274</v>
      </c>
      <c r="B8" s="101">
        <v>274</v>
      </c>
      <c r="C8" s="101" t="s">
        <v>1001</v>
      </c>
      <c r="D8" s="101" t="s">
        <v>1811</v>
      </c>
      <c r="E8" s="101">
        <v>8288466</v>
      </c>
      <c r="F8" s="107">
        <v>42736</v>
      </c>
      <c r="G8" s="104">
        <v>5.0999999999999996</v>
      </c>
      <c r="H8" s="101" t="s">
        <v>751</v>
      </c>
      <c r="I8" s="107">
        <v>48214</v>
      </c>
      <c r="J8" s="103">
        <v>4.8000000000000001E-2</v>
      </c>
      <c r="K8" s="103">
        <v>1.95E-2</v>
      </c>
      <c r="L8" s="104">
        <v>888000</v>
      </c>
      <c r="M8" s="104">
        <v>139.09950000000001</v>
      </c>
      <c r="N8" s="104">
        <v>1235.2037</v>
      </c>
      <c r="O8" s="102"/>
      <c r="P8" s="101"/>
      <c r="Q8" s="103">
        <v>1.5330000000000001E-3</v>
      </c>
      <c r="R8" s="103">
        <v>3.0800000000000001E-4</v>
      </c>
    </row>
    <row r="9" spans="1:26" ht="13.5" customHeight="1">
      <c r="A9" s="101">
        <v>274</v>
      </c>
      <c r="B9" s="101">
        <v>274</v>
      </c>
      <c r="C9" s="101" t="s">
        <v>1001</v>
      </c>
      <c r="D9" s="101" t="s">
        <v>1812</v>
      </c>
      <c r="E9" s="101">
        <v>8288953</v>
      </c>
      <c r="F9" s="107">
        <v>44256</v>
      </c>
      <c r="G9" s="104">
        <v>8.2200000000000006</v>
      </c>
      <c r="H9" s="101" t="s">
        <v>751</v>
      </c>
      <c r="I9" s="107">
        <v>49735</v>
      </c>
      <c r="J9" s="103">
        <v>4.8000000000000001E-2</v>
      </c>
      <c r="K9" s="103">
        <v>2.07E-2</v>
      </c>
      <c r="L9" s="104">
        <v>4753000</v>
      </c>
      <c r="M9" s="104">
        <v>147.38589999999999</v>
      </c>
      <c r="N9" s="104">
        <v>7005.2541600000004</v>
      </c>
      <c r="O9" s="102"/>
      <c r="P9" s="101"/>
      <c r="Q9" s="103">
        <v>8.6949999999999996E-3</v>
      </c>
      <c r="R9" s="103">
        <v>1.748E-3</v>
      </c>
    </row>
    <row r="10" spans="1:26" ht="13.5" customHeight="1">
      <c r="A10" s="101">
        <v>274</v>
      </c>
      <c r="B10" s="101">
        <v>274</v>
      </c>
      <c r="C10" s="101" t="s">
        <v>1001</v>
      </c>
      <c r="D10" s="101" t="s">
        <v>1813</v>
      </c>
      <c r="E10" s="101">
        <v>8288029</v>
      </c>
      <c r="F10" s="107">
        <v>41395</v>
      </c>
      <c r="G10" s="104">
        <v>1.98</v>
      </c>
      <c r="H10" s="101" t="s">
        <v>751</v>
      </c>
      <c r="I10" s="107">
        <v>46874</v>
      </c>
      <c r="J10" s="103">
        <v>4.8000000000000001E-2</v>
      </c>
      <c r="K10" s="103">
        <v>1.9199999999999998E-2</v>
      </c>
      <c r="L10" s="104">
        <v>7882000</v>
      </c>
      <c r="M10" s="104">
        <v>129.11959999999999</v>
      </c>
      <c r="N10" s="104">
        <v>10177.20629</v>
      </c>
      <c r="O10" s="102"/>
      <c r="P10" s="101"/>
      <c r="Q10" s="103">
        <v>1.2633E-2</v>
      </c>
      <c r="R10" s="103">
        <v>2.5400000000000002E-3</v>
      </c>
    </row>
    <row r="11" spans="1:26" ht="13.5" customHeight="1">
      <c r="A11" s="101">
        <v>274</v>
      </c>
      <c r="B11" s="101">
        <v>274</v>
      </c>
      <c r="C11" s="101" t="s">
        <v>1001</v>
      </c>
      <c r="D11" s="101" t="s">
        <v>1814</v>
      </c>
      <c r="E11" s="101">
        <v>8288219</v>
      </c>
      <c r="F11" s="107">
        <v>41974</v>
      </c>
      <c r="G11" s="104">
        <v>3.38</v>
      </c>
      <c r="H11" s="101" t="s">
        <v>751</v>
      </c>
      <c r="I11" s="107">
        <v>47454</v>
      </c>
      <c r="J11" s="103">
        <v>4.8000000000000001E-2</v>
      </c>
      <c r="K11" s="103">
        <v>1.9099999999999999E-2</v>
      </c>
      <c r="L11" s="104">
        <v>8816000</v>
      </c>
      <c r="M11" s="104">
        <v>131.5</v>
      </c>
      <c r="N11" s="104">
        <v>11593.041859999999</v>
      </c>
      <c r="O11" s="102"/>
      <c r="P11" s="101"/>
      <c r="Q11" s="103">
        <v>1.439E-2</v>
      </c>
      <c r="R11" s="103">
        <v>2.8930000000000002E-3</v>
      </c>
    </row>
    <row r="12" spans="1:26" ht="13.5" customHeight="1">
      <c r="A12" s="101">
        <v>274</v>
      </c>
      <c r="B12" s="101">
        <v>274</v>
      </c>
      <c r="C12" s="101" t="s">
        <v>1001</v>
      </c>
      <c r="D12" s="101" t="s">
        <v>1815</v>
      </c>
      <c r="E12" s="101">
        <v>8288193</v>
      </c>
      <c r="F12" s="107">
        <v>41913</v>
      </c>
      <c r="G12" s="104">
        <v>3.22</v>
      </c>
      <c r="H12" s="101" t="s">
        <v>751</v>
      </c>
      <c r="I12" s="107">
        <v>47393</v>
      </c>
      <c r="J12" s="103">
        <v>4.8000000000000001E-2</v>
      </c>
      <c r="K12" s="103">
        <v>1.9E-2</v>
      </c>
      <c r="L12" s="104">
        <v>18501000</v>
      </c>
      <c r="M12" s="104">
        <v>131.9136</v>
      </c>
      <c r="N12" s="104">
        <v>24405.326300000001</v>
      </c>
      <c r="O12" s="102"/>
      <c r="P12" s="101"/>
      <c r="Q12" s="103">
        <v>3.0294000000000001E-2</v>
      </c>
      <c r="R12" s="103">
        <v>6.0910000000000001E-3</v>
      </c>
    </row>
    <row r="13" spans="1:26" ht="13.5" customHeight="1">
      <c r="A13" s="101">
        <v>274</v>
      </c>
      <c r="B13" s="101">
        <v>274</v>
      </c>
      <c r="C13" s="101" t="s">
        <v>1001</v>
      </c>
      <c r="D13" s="101" t="s">
        <v>1816</v>
      </c>
      <c r="E13" s="101">
        <v>8288672</v>
      </c>
      <c r="F13" s="107">
        <v>43375</v>
      </c>
      <c r="G13" s="104">
        <v>6.39</v>
      </c>
      <c r="H13" s="101" t="s">
        <v>751</v>
      </c>
      <c r="I13" s="107">
        <v>48856</v>
      </c>
      <c r="J13" s="103">
        <v>4.8000000000000001E-2</v>
      </c>
      <c r="K13" s="103">
        <v>0.02</v>
      </c>
      <c r="L13" s="104">
        <v>1792000</v>
      </c>
      <c r="M13" s="104">
        <v>143.29040000000001</v>
      </c>
      <c r="N13" s="104">
        <v>2567.76442</v>
      </c>
      <c r="O13" s="102"/>
      <c r="P13" s="101"/>
      <c r="Q13" s="103">
        <v>3.1870000000000002E-3</v>
      </c>
      <c r="R13" s="103">
        <v>6.4000000000000005E-4</v>
      </c>
    </row>
    <row r="14" spans="1:26" ht="13.5" customHeight="1">
      <c r="A14" s="101">
        <v>274</v>
      </c>
      <c r="B14" s="101">
        <v>274</v>
      </c>
      <c r="C14" s="101" t="s">
        <v>1001</v>
      </c>
      <c r="D14" s="101" t="s">
        <v>1817</v>
      </c>
      <c r="E14" s="101">
        <v>8288813</v>
      </c>
      <c r="F14" s="107">
        <v>43800</v>
      </c>
      <c r="G14" s="104">
        <v>7.27</v>
      </c>
      <c r="H14" s="101" t="s">
        <v>751</v>
      </c>
      <c r="I14" s="107">
        <v>49279</v>
      </c>
      <c r="J14" s="103">
        <v>4.8000000000000001E-2</v>
      </c>
      <c r="K14" s="103">
        <v>2.0400000000000001E-2</v>
      </c>
      <c r="L14" s="104">
        <v>5079000</v>
      </c>
      <c r="M14" s="104">
        <v>144.07839999999999</v>
      </c>
      <c r="N14" s="104">
        <v>7317.7425899999998</v>
      </c>
      <c r="O14" s="102"/>
      <c r="P14" s="101"/>
      <c r="Q14" s="103">
        <v>9.0830000000000008E-3</v>
      </c>
      <c r="R14" s="103">
        <v>1.8259999999999999E-3</v>
      </c>
    </row>
    <row r="15" spans="1:26" ht="13.5" customHeight="1">
      <c r="A15" s="101">
        <v>274</v>
      </c>
      <c r="B15" s="101">
        <v>274</v>
      </c>
      <c r="C15" s="101" t="s">
        <v>1001</v>
      </c>
      <c r="D15" s="101" t="s">
        <v>1818</v>
      </c>
      <c r="E15" s="101">
        <v>8288391</v>
      </c>
      <c r="F15" s="107">
        <v>42522</v>
      </c>
      <c r="G15" s="104">
        <v>4.62</v>
      </c>
      <c r="H15" s="101" t="s">
        <v>751</v>
      </c>
      <c r="I15" s="107">
        <v>48000</v>
      </c>
      <c r="J15" s="103">
        <v>4.8000000000000001E-2</v>
      </c>
      <c r="K15" s="103">
        <v>1.9400000000000001E-2</v>
      </c>
      <c r="L15" s="104">
        <v>5581000</v>
      </c>
      <c r="M15" s="104">
        <v>138.45230000000001</v>
      </c>
      <c r="N15" s="104">
        <v>7727.02088</v>
      </c>
      <c r="O15" s="102"/>
      <c r="P15" s="101"/>
      <c r="Q15" s="103">
        <v>9.5910000000000006E-3</v>
      </c>
      <c r="R15" s="103">
        <v>1.928E-3</v>
      </c>
    </row>
    <row r="16" spans="1:26" ht="13.5" customHeight="1">
      <c r="A16" s="101">
        <v>274</v>
      </c>
      <c r="B16" s="101">
        <v>274</v>
      </c>
      <c r="C16" s="101" t="s">
        <v>1001</v>
      </c>
      <c r="D16" s="101" t="s">
        <v>1819</v>
      </c>
      <c r="E16" s="101">
        <v>8287963</v>
      </c>
      <c r="F16" s="107">
        <v>41214</v>
      </c>
      <c r="G16" s="104">
        <v>1.52</v>
      </c>
      <c r="H16" s="101" t="s">
        <v>751</v>
      </c>
      <c r="I16" s="107">
        <v>46692</v>
      </c>
      <c r="J16" s="103">
        <v>4.8000000000000001E-2</v>
      </c>
      <c r="K16" s="103">
        <v>1.9400000000000001E-2</v>
      </c>
      <c r="L16" s="104">
        <v>10874000</v>
      </c>
      <c r="M16" s="104">
        <v>126.8338</v>
      </c>
      <c r="N16" s="104">
        <v>13791.90403</v>
      </c>
      <c r="O16" s="102"/>
      <c r="P16" s="101"/>
      <c r="Q16" s="103">
        <v>1.712E-2</v>
      </c>
      <c r="R16" s="103">
        <v>3.4420000000000002E-3</v>
      </c>
    </row>
    <row r="17" spans="1:18" ht="13.5" customHeight="1">
      <c r="A17" s="101">
        <v>274</v>
      </c>
      <c r="B17" s="101">
        <v>274</v>
      </c>
      <c r="C17" s="101" t="s">
        <v>1001</v>
      </c>
      <c r="D17" s="101" t="s">
        <v>1820</v>
      </c>
      <c r="E17" s="101">
        <v>8288490</v>
      </c>
      <c r="F17" s="107">
        <v>42827</v>
      </c>
      <c r="G17" s="104">
        <v>5.25</v>
      </c>
      <c r="H17" s="101" t="s">
        <v>751</v>
      </c>
      <c r="I17" s="107">
        <v>48306</v>
      </c>
      <c r="J17" s="103">
        <v>4.8000000000000001E-2</v>
      </c>
      <c r="K17" s="103">
        <v>1.9599999999999999E-2</v>
      </c>
      <c r="L17" s="104">
        <v>2030000</v>
      </c>
      <c r="M17" s="104">
        <v>141.5172</v>
      </c>
      <c r="N17" s="104">
        <v>2872.79981</v>
      </c>
      <c r="O17" s="102"/>
      <c r="P17" s="101"/>
      <c r="Q17" s="103">
        <v>3.5660000000000002E-3</v>
      </c>
      <c r="R17" s="103">
        <v>7.1699999999999997E-4</v>
      </c>
    </row>
    <row r="18" spans="1:18" ht="13.5" customHeight="1">
      <c r="A18" s="101">
        <v>274</v>
      </c>
      <c r="B18" s="101">
        <v>274</v>
      </c>
      <c r="C18" s="101" t="s">
        <v>1001</v>
      </c>
      <c r="D18" s="101" t="s">
        <v>1821</v>
      </c>
      <c r="E18" s="101">
        <v>8288722</v>
      </c>
      <c r="F18" s="107">
        <v>43525</v>
      </c>
      <c r="G18" s="104">
        <v>6.79</v>
      </c>
      <c r="H18" s="101" t="s">
        <v>751</v>
      </c>
      <c r="I18" s="107">
        <v>49004</v>
      </c>
      <c r="J18" s="103">
        <v>4.8000000000000001E-2</v>
      </c>
      <c r="K18" s="103">
        <v>2.0199999999999999E-2</v>
      </c>
      <c r="L18" s="104">
        <v>156000</v>
      </c>
      <c r="M18" s="104">
        <v>142.392</v>
      </c>
      <c r="N18" s="104">
        <v>222.13157000000001</v>
      </c>
      <c r="O18" s="102"/>
      <c r="P18" s="101"/>
      <c r="Q18" s="103">
        <v>2.7500000000000002E-4</v>
      </c>
      <c r="R18" s="103">
        <v>5.5000000000000002E-5</v>
      </c>
    </row>
    <row r="19" spans="1:18" ht="13.5" customHeight="1">
      <c r="A19" s="101">
        <v>274</v>
      </c>
      <c r="B19" s="101">
        <v>274</v>
      </c>
      <c r="C19" s="101" t="s">
        <v>1001</v>
      </c>
      <c r="D19" s="101" t="s">
        <v>1822</v>
      </c>
      <c r="E19" s="101">
        <v>8288177</v>
      </c>
      <c r="F19" s="107">
        <v>41852</v>
      </c>
      <c r="G19" s="104">
        <v>3.12</v>
      </c>
      <c r="H19" s="101" t="s">
        <v>751</v>
      </c>
      <c r="I19" s="107">
        <v>47331</v>
      </c>
      <c r="J19" s="103">
        <v>4.8000000000000001E-2</v>
      </c>
      <c r="K19" s="103">
        <v>1.9E-2</v>
      </c>
      <c r="L19" s="104">
        <v>6149000</v>
      </c>
      <c r="M19" s="104">
        <v>129.51230000000001</v>
      </c>
      <c r="N19" s="104">
        <v>7963.7099699999999</v>
      </c>
      <c r="O19" s="102"/>
      <c r="P19" s="101"/>
      <c r="Q19" s="103">
        <v>9.8849999999999997E-3</v>
      </c>
      <c r="R19" s="103">
        <v>1.9870000000000001E-3</v>
      </c>
    </row>
    <row r="20" spans="1:18" ht="13.5" customHeight="1">
      <c r="A20" s="101">
        <v>274</v>
      </c>
      <c r="B20" s="101">
        <v>274</v>
      </c>
      <c r="C20" s="101" t="s">
        <v>1001</v>
      </c>
      <c r="D20" s="101" t="s">
        <v>1823</v>
      </c>
      <c r="E20" s="101">
        <v>8288524</v>
      </c>
      <c r="F20" s="107">
        <v>42918</v>
      </c>
      <c r="G20" s="104">
        <v>5.5</v>
      </c>
      <c r="H20" s="101" t="s">
        <v>751</v>
      </c>
      <c r="I20" s="107">
        <v>48397</v>
      </c>
      <c r="J20" s="103">
        <v>4.8000000000000001E-2</v>
      </c>
      <c r="K20" s="103">
        <v>1.9699999999999999E-2</v>
      </c>
      <c r="L20" s="104">
        <v>1298000</v>
      </c>
      <c r="M20" s="104">
        <v>139.51769999999999</v>
      </c>
      <c r="N20" s="104">
        <v>1810.9399000000001</v>
      </c>
      <c r="O20" s="102"/>
      <c r="P20" s="101"/>
      <c r="Q20" s="103">
        <v>2.2469999999999999E-3</v>
      </c>
      <c r="R20" s="103">
        <v>4.5100000000000001E-4</v>
      </c>
    </row>
    <row r="21" spans="1:18" ht="13.5" customHeight="1">
      <c r="A21" s="101">
        <v>274</v>
      </c>
      <c r="B21" s="101">
        <v>274</v>
      </c>
      <c r="C21" s="101" t="s">
        <v>1001</v>
      </c>
      <c r="D21" s="101" t="s">
        <v>1824</v>
      </c>
      <c r="E21" s="101">
        <v>8287989</v>
      </c>
      <c r="F21" s="107">
        <v>41275</v>
      </c>
      <c r="G21" s="104">
        <v>1.69</v>
      </c>
      <c r="H21" s="101" t="s">
        <v>751</v>
      </c>
      <c r="I21" s="107">
        <v>46754</v>
      </c>
      <c r="J21" s="103">
        <v>4.8000000000000001E-2</v>
      </c>
      <c r="K21" s="103">
        <v>1.9300000000000001E-2</v>
      </c>
      <c r="L21" s="104">
        <v>8201000</v>
      </c>
      <c r="M21" s="104">
        <v>127.3079</v>
      </c>
      <c r="N21" s="104">
        <v>10440.51778</v>
      </c>
      <c r="O21" s="102"/>
      <c r="P21" s="101"/>
      <c r="Q21" s="103">
        <v>1.2959999999999999E-2</v>
      </c>
      <c r="R21" s="103">
        <v>2.6050000000000001E-3</v>
      </c>
    </row>
    <row r="22" spans="1:18" ht="13.5" customHeight="1">
      <c r="A22" s="101">
        <v>274</v>
      </c>
      <c r="B22" s="101">
        <v>274</v>
      </c>
      <c r="C22" s="101" t="s">
        <v>1001</v>
      </c>
      <c r="D22" s="101" t="s">
        <v>1825</v>
      </c>
      <c r="E22" s="101">
        <v>8288037</v>
      </c>
      <c r="F22" s="107">
        <v>41427</v>
      </c>
      <c r="G22" s="104">
        <v>2.0699999999999998</v>
      </c>
      <c r="H22" s="101" t="s">
        <v>751</v>
      </c>
      <c r="I22" s="107">
        <v>46906</v>
      </c>
      <c r="J22" s="103">
        <v>4.8000000000000001E-2</v>
      </c>
      <c r="K22" s="103">
        <v>1.9099999999999999E-2</v>
      </c>
      <c r="L22" s="104">
        <v>7189000</v>
      </c>
      <c r="M22" s="104">
        <v>128.41560000000001</v>
      </c>
      <c r="N22" s="104">
        <v>9231.7986899999996</v>
      </c>
      <c r="O22" s="102"/>
      <c r="P22" s="101"/>
      <c r="Q22" s="103">
        <v>1.1459E-2</v>
      </c>
      <c r="R22" s="103">
        <v>2.3040000000000001E-3</v>
      </c>
    </row>
    <row r="23" spans="1:18" ht="13.5" customHeight="1">
      <c r="A23" s="101">
        <v>274</v>
      </c>
      <c r="B23" s="101">
        <v>274</v>
      </c>
      <c r="C23" s="101" t="s">
        <v>1001</v>
      </c>
      <c r="D23" s="101" t="s">
        <v>1826</v>
      </c>
      <c r="E23" s="101">
        <v>8288409</v>
      </c>
      <c r="F23" s="107">
        <v>42552</v>
      </c>
      <c r="G23" s="104">
        <v>4.7</v>
      </c>
      <c r="H23" s="101" t="s">
        <v>751</v>
      </c>
      <c r="I23" s="107">
        <v>48030</v>
      </c>
      <c r="J23" s="103">
        <v>4.8000000000000001E-2</v>
      </c>
      <c r="K23" s="103">
        <v>1.9400000000000001E-2</v>
      </c>
      <c r="L23" s="104">
        <v>5245000</v>
      </c>
      <c r="M23" s="104">
        <v>137.81290000000001</v>
      </c>
      <c r="N23" s="104">
        <v>7228.2891499999996</v>
      </c>
      <c r="O23" s="102"/>
      <c r="P23" s="101"/>
      <c r="Q23" s="103">
        <v>8.9720000000000008E-3</v>
      </c>
      <c r="R23" s="103">
        <v>1.804E-3</v>
      </c>
    </row>
    <row r="24" spans="1:18" ht="13.5" customHeight="1">
      <c r="A24" s="101">
        <v>274</v>
      </c>
      <c r="B24" s="101">
        <v>274</v>
      </c>
      <c r="C24" s="101" t="s">
        <v>1001</v>
      </c>
      <c r="D24" s="101" t="s">
        <v>1827</v>
      </c>
      <c r="E24" s="101">
        <v>8288359</v>
      </c>
      <c r="F24" s="107">
        <v>42401</v>
      </c>
      <c r="G24" s="104">
        <v>4.3899999999999997</v>
      </c>
      <c r="H24" s="101" t="s">
        <v>751</v>
      </c>
      <c r="I24" s="107">
        <v>47880</v>
      </c>
      <c r="J24" s="103">
        <v>4.8000000000000001E-2</v>
      </c>
      <c r="K24" s="103">
        <v>1.9300000000000001E-2</v>
      </c>
      <c r="L24" s="104">
        <v>2413000</v>
      </c>
      <c r="M24" s="104">
        <v>135.7062</v>
      </c>
      <c r="N24" s="104">
        <v>3274.5908199999999</v>
      </c>
      <c r="O24" s="102"/>
      <c r="P24" s="101"/>
      <c r="Q24" s="103">
        <v>4.0639999999999999E-3</v>
      </c>
      <c r="R24" s="103">
        <v>8.1700000000000002E-4</v>
      </c>
    </row>
    <row r="25" spans="1:18" ht="13.5" customHeight="1">
      <c r="A25" s="101">
        <v>274</v>
      </c>
      <c r="B25" s="101">
        <v>274</v>
      </c>
      <c r="C25" s="101" t="s">
        <v>1001</v>
      </c>
      <c r="D25" s="101" t="s">
        <v>1828</v>
      </c>
      <c r="E25" s="101">
        <v>8288607</v>
      </c>
      <c r="F25" s="107">
        <v>43161</v>
      </c>
      <c r="G25" s="104">
        <v>6.05</v>
      </c>
      <c r="H25" s="101" t="s">
        <v>751</v>
      </c>
      <c r="I25" s="107">
        <v>48640</v>
      </c>
      <c r="J25" s="103">
        <v>4.8000000000000001E-2</v>
      </c>
      <c r="K25" s="103">
        <v>1.9900000000000001E-2</v>
      </c>
      <c r="L25" s="104">
        <v>7534000</v>
      </c>
      <c r="M25" s="104">
        <v>141.47970000000001</v>
      </c>
      <c r="N25" s="104">
        <v>10659.081109999999</v>
      </c>
      <c r="O25" s="102"/>
      <c r="P25" s="101"/>
      <c r="Q25" s="103">
        <v>1.3231E-2</v>
      </c>
      <c r="R25" s="103">
        <v>2.66E-3</v>
      </c>
    </row>
    <row r="26" spans="1:18" ht="13.5" customHeight="1">
      <c r="A26" s="101">
        <v>274</v>
      </c>
      <c r="B26" s="101">
        <v>274</v>
      </c>
      <c r="C26" s="101" t="s">
        <v>1001</v>
      </c>
      <c r="D26" s="101" t="s">
        <v>1829</v>
      </c>
      <c r="E26" s="101">
        <v>8288680</v>
      </c>
      <c r="F26" s="107">
        <v>43405</v>
      </c>
      <c r="G26" s="104">
        <v>6.46</v>
      </c>
      <c r="H26" s="101" t="s">
        <v>751</v>
      </c>
      <c r="I26" s="107">
        <v>48884</v>
      </c>
      <c r="J26" s="103">
        <v>4.8000000000000001E-2</v>
      </c>
      <c r="K26" s="103">
        <v>0.02</v>
      </c>
      <c r="L26" s="104">
        <v>533000</v>
      </c>
      <c r="M26" s="104">
        <v>142.9006</v>
      </c>
      <c r="N26" s="104">
        <v>761.66007000000002</v>
      </c>
      <c r="O26" s="102"/>
      <c r="P26" s="101"/>
      <c r="Q26" s="103">
        <v>9.4499999999999998E-4</v>
      </c>
      <c r="R26" s="103">
        <v>1.9000000000000001E-4</v>
      </c>
    </row>
    <row r="27" spans="1:18" ht="13.5" customHeight="1">
      <c r="A27" s="101">
        <v>274</v>
      </c>
      <c r="B27" s="101">
        <v>274</v>
      </c>
      <c r="C27" s="101" t="s">
        <v>1001</v>
      </c>
      <c r="D27" s="101" t="s">
        <v>1830</v>
      </c>
      <c r="E27" s="101">
        <v>8288151</v>
      </c>
      <c r="F27" s="107">
        <v>41791</v>
      </c>
      <c r="G27" s="104">
        <v>2.95</v>
      </c>
      <c r="H27" s="101" t="s">
        <v>751</v>
      </c>
      <c r="I27" s="107">
        <v>47270</v>
      </c>
      <c r="J27" s="103">
        <v>4.8000000000000001E-2</v>
      </c>
      <c r="K27" s="103">
        <v>1.9E-2</v>
      </c>
      <c r="L27" s="104">
        <v>2205000</v>
      </c>
      <c r="M27" s="104">
        <v>130.43180000000001</v>
      </c>
      <c r="N27" s="104">
        <v>2876.0205299999998</v>
      </c>
      <c r="O27" s="102"/>
      <c r="P27" s="101"/>
      <c r="Q27" s="103">
        <v>3.5699999999999998E-3</v>
      </c>
      <c r="R27" s="103">
        <v>7.1699999999999997E-4</v>
      </c>
    </row>
    <row r="28" spans="1:18" ht="13.5" customHeight="1">
      <c r="A28" s="101">
        <v>274</v>
      </c>
      <c r="B28" s="101">
        <v>274</v>
      </c>
      <c r="C28" s="101" t="s">
        <v>1001</v>
      </c>
      <c r="D28" s="101" t="s">
        <v>1831</v>
      </c>
      <c r="E28" s="101">
        <v>8287971</v>
      </c>
      <c r="F28" s="107">
        <v>41245</v>
      </c>
      <c r="G28" s="104">
        <v>1.61</v>
      </c>
      <c r="H28" s="101" t="s">
        <v>751</v>
      </c>
      <c r="I28" s="107">
        <v>46723</v>
      </c>
      <c r="J28" s="103">
        <v>4.8000000000000001E-2</v>
      </c>
      <c r="K28" s="103">
        <v>1.9300000000000001E-2</v>
      </c>
      <c r="L28" s="104">
        <v>11253000</v>
      </c>
      <c r="M28" s="104">
        <v>126.8963</v>
      </c>
      <c r="N28" s="104">
        <v>14279.63709</v>
      </c>
      <c r="O28" s="102"/>
      <c r="P28" s="101"/>
      <c r="Q28" s="103">
        <v>1.7725000000000001E-2</v>
      </c>
      <c r="R28" s="103">
        <v>3.5639999999999999E-3</v>
      </c>
    </row>
    <row r="29" spans="1:18" ht="13.5" customHeight="1">
      <c r="A29" s="101">
        <v>274</v>
      </c>
      <c r="B29" s="101">
        <v>274</v>
      </c>
      <c r="C29" s="101" t="s">
        <v>1001</v>
      </c>
      <c r="D29" s="101" t="s">
        <v>1832</v>
      </c>
      <c r="E29" s="101">
        <v>8288169</v>
      </c>
      <c r="F29" s="107">
        <v>41821</v>
      </c>
      <c r="G29" s="104">
        <v>3.03</v>
      </c>
      <c r="H29" s="101" t="s">
        <v>751</v>
      </c>
      <c r="I29" s="107">
        <v>47300</v>
      </c>
      <c r="J29" s="103">
        <v>4.8000000000000001E-2</v>
      </c>
      <c r="K29" s="103">
        <v>1.9E-2</v>
      </c>
      <c r="L29" s="104">
        <v>10396000</v>
      </c>
      <c r="M29" s="104">
        <v>130.10149999999999</v>
      </c>
      <c r="N29" s="104">
        <v>13525.35513</v>
      </c>
      <c r="O29" s="102"/>
      <c r="P29" s="101"/>
      <c r="Q29" s="103">
        <v>1.6788999999999998E-2</v>
      </c>
      <c r="R29" s="103">
        <v>3.375E-3</v>
      </c>
    </row>
    <row r="30" spans="1:18" ht="13.5" customHeight="1">
      <c r="A30" s="101">
        <v>274</v>
      </c>
      <c r="B30" s="101">
        <v>274</v>
      </c>
      <c r="C30" s="101" t="s">
        <v>1001</v>
      </c>
      <c r="D30" s="101" t="s">
        <v>1833</v>
      </c>
      <c r="E30" s="101">
        <v>8288631</v>
      </c>
      <c r="F30" s="107">
        <v>43252</v>
      </c>
      <c r="G30" s="104">
        <v>6.17</v>
      </c>
      <c r="H30" s="101" t="s">
        <v>751</v>
      </c>
      <c r="I30" s="107">
        <v>48731</v>
      </c>
      <c r="J30" s="103">
        <v>4.8000000000000001E-2</v>
      </c>
      <c r="K30" s="103">
        <v>0.02</v>
      </c>
      <c r="L30" s="104">
        <v>796000</v>
      </c>
      <c r="M30" s="104">
        <v>142.4375</v>
      </c>
      <c r="N30" s="104">
        <v>1133.80243</v>
      </c>
      <c r="O30" s="102"/>
      <c r="P30" s="101"/>
      <c r="Q30" s="103">
        <v>1.407E-3</v>
      </c>
      <c r="R30" s="103">
        <v>2.8200000000000002E-4</v>
      </c>
    </row>
    <row r="31" spans="1:18" ht="13.5" customHeight="1">
      <c r="A31" s="101">
        <v>274</v>
      </c>
      <c r="B31" s="101">
        <v>274</v>
      </c>
      <c r="C31" s="101" t="s">
        <v>1001</v>
      </c>
      <c r="D31" s="101" t="s">
        <v>1834</v>
      </c>
      <c r="E31" s="101">
        <v>8288334</v>
      </c>
      <c r="F31" s="107">
        <v>42339</v>
      </c>
      <c r="G31" s="104">
        <v>4.21</v>
      </c>
      <c r="H31" s="101" t="s">
        <v>751</v>
      </c>
      <c r="I31" s="107">
        <v>47818</v>
      </c>
      <c r="J31" s="103">
        <v>4.8000000000000001E-2</v>
      </c>
      <c r="K31" s="103">
        <v>1.9300000000000001E-2</v>
      </c>
      <c r="L31" s="104">
        <v>7278000</v>
      </c>
      <c r="M31" s="104">
        <v>135.4545</v>
      </c>
      <c r="N31" s="104">
        <v>9858.3768099999998</v>
      </c>
      <c r="O31" s="102"/>
      <c r="P31" s="101"/>
      <c r="Q31" s="103">
        <v>1.2237E-2</v>
      </c>
      <c r="R31" s="103">
        <v>2.4599999999999999E-3</v>
      </c>
    </row>
    <row r="32" spans="1:18" ht="13.5" customHeight="1">
      <c r="A32" s="101">
        <v>274</v>
      </c>
      <c r="B32" s="101">
        <v>274</v>
      </c>
      <c r="C32" s="101" t="s">
        <v>1001</v>
      </c>
      <c r="D32" s="101" t="s">
        <v>1835</v>
      </c>
      <c r="E32" s="101">
        <v>8289027</v>
      </c>
      <c r="F32" s="107">
        <v>44470</v>
      </c>
      <c r="G32" s="104">
        <v>8.49</v>
      </c>
      <c r="H32" s="101" t="s">
        <v>751</v>
      </c>
      <c r="I32" s="107">
        <v>49949</v>
      </c>
      <c r="J32" s="103">
        <v>4.8000000000000001E-2</v>
      </c>
      <c r="K32" s="103">
        <v>2.0799999999999999E-2</v>
      </c>
      <c r="L32" s="104">
        <v>3054000</v>
      </c>
      <c r="M32" s="104">
        <v>147.55930000000001</v>
      </c>
      <c r="N32" s="104">
        <v>4506.4618099999998</v>
      </c>
      <c r="O32" s="102"/>
      <c r="P32" s="101"/>
      <c r="Q32" s="103">
        <v>5.5929999999999999E-3</v>
      </c>
      <c r="R32" s="103">
        <v>1.124E-3</v>
      </c>
    </row>
    <row r="33" spans="1:18" ht="13.5" customHeight="1">
      <c r="A33" s="101">
        <v>274</v>
      </c>
      <c r="B33" s="101">
        <v>274</v>
      </c>
      <c r="C33" s="101" t="s">
        <v>1001</v>
      </c>
      <c r="D33" s="101" t="s">
        <v>1836</v>
      </c>
      <c r="E33" s="101">
        <v>8288110</v>
      </c>
      <c r="F33" s="107">
        <v>41672</v>
      </c>
      <c r="G33" s="104">
        <v>2.68</v>
      </c>
      <c r="H33" s="101" t="s">
        <v>751</v>
      </c>
      <c r="I33" s="107">
        <v>47151</v>
      </c>
      <c r="J33" s="103">
        <v>4.8000000000000001E-2</v>
      </c>
      <c r="K33" s="103">
        <v>1.9E-2</v>
      </c>
      <c r="L33" s="104">
        <v>12251000</v>
      </c>
      <c r="M33" s="104">
        <v>127.8907</v>
      </c>
      <c r="N33" s="104">
        <v>15667.884040000001</v>
      </c>
      <c r="O33" s="102"/>
      <c r="P33" s="101"/>
      <c r="Q33" s="103">
        <v>1.9448E-2</v>
      </c>
      <c r="R33" s="103">
        <v>3.9100000000000003E-3</v>
      </c>
    </row>
    <row r="34" spans="1:18" ht="13.5" customHeight="1">
      <c r="A34" s="101">
        <v>274</v>
      </c>
      <c r="B34" s="101">
        <v>274</v>
      </c>
      <c r="C34" s="101" t="s">
        <v>1001</v>
      </c>
      <c r="D34" s="101" t="s">
        <v>1837</v>
      </c>
      <c r="E34" s="101">
        <v>8288086</v>
      </c>
      <c r="F34" s="107">
        <v>41579</v>
      </c>
      <c r="G34" s="104">
        <v>2.4300000000000002</v>
      </c>
      <c r="H34" s="101" t="s">
        <v>751</v>
      </c>
      <c r="I34" s="107">
        <v>47058</v>
      </c>
      <c r="J34" s="103">
        <v>4.8000000000000001E-2</v>
      </c>
      <c r="K34" s="103">
        <v>1.9E-2</v>
      </c>
      <c r="L34" s="104">
        <v>17560000</v>
      </c>
      <c r="M34" s="104">
        <v>128.49799999999999</v>
      </c>
      <c r="N34" s="104">
        <v>22564.249210000002</v>
      </c>
      <c r="O34" s="102"/>
      <c r="P34" s="101"/>
      <c r="Q34" s="103">
        <v>2.8008999999999999E-2</v>
      </c>
      <c r="R34" s="103">
        <v>5.6309999999999997E-3</v>
      </c>
    </row>
    <row r="35" spans="1:18" ht="13.5" customHeight="1">
      <c r="A35" s="101">
        <v>274</v>
      </c>
      <c r="B35" s="101">
        <v>274</v>
      </c>
      <c r="C35" s="101" t="s">
        <v>1001</v>
      </c>
      <c r="D35" s="101" t="s">
        <v>1838</v>
      </c>
      <c r="E35" s="101">
        <v>8288011</v>
      </c>
      <c r="F35" s="107">
        <v>41366</v>
      </c>
      <c r="G35" s="104">
        <v>1.9</v>
      </c>
      <c r="H35" s="101" t="s">
        <v>751</v>
      </c>
      <c r="I35" s="107">
        <v>46845</v>
      </c>
      <c r="J35" s="103">
        <v>4.8000000000000001E-2</v>
      </c>
      <c r="K35" s="103">
        <v>1.9199999999999998E-2</v>
      </c>
      <c r="L35" s="104">
        <v>4900000</v>
      </c>
      <c r="M35" s="104">
        <v>129.57419999999999</v>
      </c>
      <c r="N35" s="104">
        <v>6349.1355000000003</v>
      </c>
      <c r="O35" s="102"/>
      <c r="P35" s="101"/>
      <c r="Q35" s="103">
        <v>7.8810000000000009E-3</v>
      </c>
      <c r="R35" s="103">
        <v>1.5839999999999999E-3</v>
      </c>
    </row>
    <row r="36" spans="1:18" ht="13.5" customHeight="1">
      <c r="A36" s="101">
        <v>274</v>
      </c>
      <c r="B36" s="101">
        <v>274</v>
      </c>
      <c r="C36" s="101" t="s">
        <v>1001</v>
      </c>
      <c r="D36" s="101" t="s">
        <v>1839</v>
      </c>
      <c r="E36" s="101">
        <v>8288516</v>
      </c>
      <c r="F36" s="107">
        <v>42887</v>
      </c>
      <c r="G36" s="104">
        <v>5.41</v>
      </c>
      <c r="H36" s="101" t="s">
        <v>751</v>
      </c>
      <c r="I36" s="107">
        <v>48366</v>
      </c>
      <c r="J36" s="103">
        <v>4.8000000000000001E-2</v>
      </c>
      <c r="K36" s="103">
        <v>1.9699999999999999E-2</v>
      </c>
      <c r="L36" s="104">
        <v>4204000</v>
      </c>
      <c r="M36" s="104">
        <v>140.30699999999999</v>
      </c>
      <c r="N36" s="104">
        <v>5898.5067200000003</v>
      </c>
      <c r="O36" s="102"/>
      <c r="P36" s="101"/>
      <c r="Q36" s="103">
        <v>7.3210000000000003E-3</v>
      </c>
      <c r="R36" s="103">
        <v>1.472E-3</v>
      </c>
    </row>
    <row r="37" spans="1:18" ht="13.5" customHeight="1">
      <c r="A37" s="101">
        <v>274</v>
      </c>
      <c r="B37" s="101">
        <v>274</v>
      </c>
      <c r="C37" s="101" t="s">
        <v>1001</v>
      </c>
      <c r="D37" s="101" t="s">
        <v>1840</v>
      </c>
      <c r="E37" s="101">
        <v>8288425</v>
      </c>
      <c r="F37" s="107">
        <v>42614</v>
      </c>
      <c r="G37" s="104">
        <v>4.87</v>
      </c>
      <c r="H37" s="101" t="s">
        <v>751</v>
      </c>
      <c r="I37" s="107">
        <v>48092</v>
      </c>
      <c r="J37" s="103">
        <v>4.8000000000000001E-2</v>
      </c>
      <c r="K37" s="103">
        <v>1.95E-2</v>
      </c>
      <c r="L37" s="104">
        <v>7691000</v>
      </c>
      <c r="M37" s="104">
        <v>136.3552</v>
      </c>
      <c r="N37" s="104">
        <v>10487.07697</v>
      </c>
      <c r="O37" s="102"/>
      <c r="P37" s="101"/>
      <c r="Q37" s="103">
        <v>1.3017000000000001E-2</v>
      </c>
      <c r="R37" s="103">
        <v>2.617E-3</v>
      </c>
    </row>
    <row r="38" spans="1:18" ht="13.5" customHeight="1">
      <c r="A38" s="101">
        <v>274</v>
      </c>
      <c r="B38" s="101">
        <v>274</v>
      </c>
      <c r="C38" s="101" t="s">
        <v>1001</v>
      </c>
      <c r="D38" s="101" t="s">
        <v>1841</v>
      </c>
      <c r="E38" s="101">
        <v>8288268</v>
      </c>
      <c r="F38" s="107">
        <v>42125</v>
      </c>
      <c r="G38" s="104">
        <v>3.72</v>
      </c>
      <c r="H38" s="101" t="s">
        <v>751</v>
      </c>
      <c r="I38" s="107">
        <v>47604</v>
      </c>
      <c r="J38" s="103">
        <v>4.8000000000000001E-2</v>
      </c>
      <c r="K38" s="103">
        <v>1.9099999999999999E-2</v>
      </c>
      <c r="L38" s="104">
        <v>1531000</v>
      </c>
      <c r="M38" s="104">
        <v>135.27889999999999</v>
      </c>
      <c r="N38" s="104">
        <v>2071.1197299999999</v>
      </c>
      <c r="O38" s="102"/>
      <c r="P38" s="101"/>
      <c r="Q38" s="103">
        <v>2.5699999999999998E-3</v>
      </c>
      <c r="R38" s="103">
        <v>5.1599999999999997E-4</v>
      </c>
    </row>
    <row r="39" spans="1:18" ht="13.5" customHeight="1">
      <c r="A39" s="101">
        <v>274</v>
      </c>
      <c r="B39" s="101">
        <v>274</v>
      </c>
      <c r="C39" s="101" t="s">
        <v>1001</v>
      </c>
      <c r="D39" s="101" t="s">
        <v>1842</v>
      </c>
      <c r="E39" s="101">
        <v>8288839</v>
      </c>
      <c r="F39" s="107">
        <v>43863</v>
      </c>
      <c r="G39" s="104">
        <v>7.44</v>
      </c>
      <c r="H39" s="101" t="s">
        <v>751</v>
      </c>
      <c r="I39" s="107">
        <v>49342</v>
      </c>
      <c r="J39" s="103">
        <v>4.8000000000000001E-2</v>
      </c>
      <c r="K39" s="103">
        <v>2.0400000000000001E-2</v>
      </c>
      <c r="L39" s="104">
        <v>60632000</v>
      </c>
      <c r="M39" s="104">
        <v>144.1515</v>
      </c>
      <c r="N39" s="104">
        <v>87401.960189999998</v>
      </c>
      <c r="O39" s="102"/>
      <c r="P39" s="101"/>
      <c r="Q39" s="103">
        <v>0.10849300000000001</v>
      </c>
      <c r="R39" s="103">
        <v>2.1814E-2</v>
      </c>
    </row>
    <row r="40" spans="1:18" ht="13.5" customHeight="1">
      <c r="A40" s="101">
        <v>274</v>
      </c>
      <c r="B40" s="101">
        <v>274</v>
      </c>
      <c r="C40" s="101" t="s">
        <v>1001</v>
      </c>
      <c r="D40" s="101" t="s">
        <v>1843</v>
      </c>
      <c r="E40" s="101">
        <v>8288540</v>
      </c>
      <c r="F40" s="107">
        <v>42979</v>
      </c>
      <c r="G40" s="104">
        <v>5.66</v>
      </c>
      <c r="H40" s="101" t="s">
        <v>751</v>
      </c>
      <c r="I40" s="107">
        <v>48458</v>
      </c>
      <c r="J40" s="103">
        <v>4.8000000000000001E-2</v>
      </c>
      <c r="K40" s="103">
        <v>1.9800000000000002E-2</v>
      </c>
      <c r="L40" s="104">
        <v>8559000</v>
      </c>
      <c r="M40" s="104">
        <v>140.12299999999999</v>
      </c>
      <c r="N40" s="104">
        <v>11993.1265</v>
      </c>
      <c r="O40" s="102"/>
      <c r="P40" s="101"/>
      <c r="Q40" s="103">
        <v>1.4886999999999999E-2</v>
      </c>
      <c r="R40" s="103">
        <v>2.993E-3</v>
      </c>
    </row>
    <row r="41" spans="1:18" ht="13.5" customHeight="1">
      <c r="A41" s="101">
        <v>274</v>
      </c>
      <c r="B41" s="101">
        <v>274</v>
      </c>
      <c r="C41" s="101" t="s">
        <v>1001</v>
      </c>
      <c r="D41" s="101" t="s">
        <v>1844</v>
      </c>
      <c r="E41" s="101">
        <v>8288235</v>
      </c>
      <c r="F41" s="107">
        <v>42036</v>
      </c>
      <c r="G41" s="104">
        <v>3.55</v>
      </c>
      <c r="H41" s="101" t="s">
        <v>751</v>
      </c>
      <c r="I41" s="107">
        <v>47515</v>
      </c>
      <c r="J41" s="103">
        <v>4.8000000000000001E-2</v>
      </c>
      <c r="K41" s="103">
        <v>1.9099999999999999E-2</v>
      </c>
      <c r="L41" s="104">
        <v>3947000</v>
      </c>
      <c r="M41" s="104">
        <v>131.3263</v>
      </c>
      <c r="N41" s="104">
        <v>5183.4475499999999</v>
      </c>
      <c r="O41" s="102"/>
      <c r="P41" s="101"/>
      <c r="Q41" s="103">
        <v>6.4339999999999996E-3</v>
      </c>
      <c r="R41" s="103">
        <v>1.2930000000000001E-3</v>
      </c>
    </row>
    <row r="42" spans="1:18" ht="13.5" customHeight="1">
      <c r="A42" s="101">
        <v>274</v>
      </c>
      <c r="B42" s="101">
        <v>274</v>
      </c>
      <c r="C42" s="101" t="s">
        <v>1001</v>
      </c>
      <c r="D42" s="101" t="s">
        <v>1845</v>
      </c>
      <c r="E42" s="101">
        <v>8287997</v>
      </c>
      <c r="F42" s="107">
        <v>41306</v>
      </c>
      <c r="G42" s="104">
        <v>1.77</v>
      </c>
      <c r="H42" s="101" t="s">
        <v>751</v>
      </c>
      <c r="I42" s="107">
        <v>46784</v>
      </c>
      <c r="J42" s="103">
        <v>4.8000000000000001E-2</v>
      </c>
      <c r="K42" s="103">
        <v>1.9300000000000001E-2</v>
      </c>
      <c r="L42" s="104">
        <v>41288000</v>
      </c>
      <c r="M42" s="104">
        <v>126.8506</v>
      </c>
      <c r="N42" s="104">
        <v>52374.060210000003</v>
      </c>
      <c r="O42" s="102"/>
      <c r="P42" s="101"/>
      <c r="Q42" s="103">
        <v>6.5013000000000001E-2</v>
      </c>
      <c r="R42" s="103">
        <v>1.3070999999999999E-2</v>
      </c>
    </row>
    <row r="43" spans="1:18" ht="13.5" customHeight="1">
      <c r="A43" s="101">
        <v>274</v>
      </c>
      <c r="B43" s="101">
        <v>274</v>
      </c>
      <c r="C43" s="101" t="s">
        <v>1001</v>
      </c>
      <c r="D43" s="101" t="s">
        <v>1846</v>
      </c>
      <c r="E43" s="101">
        <v>8288474</v>
      </c>
      <c r="F43" s="107">
        <v>42767</v>
      </c>
      <c r="G43" s="104">
        <v>5.19</v>
      </c>
      <c r="H43" s="101" t="s">
        <v>751</v>
      </c>
      <c r="I43" s="107">
        <v>48245</v>
      </c>
      <c r="J43" s="103">
        <v>4.8000000000000001E-2</v>
      </c>
      <c r="K43" s="103">
        <v>1.95E-2</v>
      </c>
      <c r="L43" s="104">
        <v>19656000</v>
      </c>
      <c r="M43" s="104">
        <v>138.8716</v>
      </c>
      <c r="N43" s="104">
        <v>27296.608179999999</v>
      </c>
      <c r="O43" s="102"/>
      <c r="P43" s="101"/>
      <c r="Q43" s="103">
        <v>3.3883000000000003E-2</v>
      </c>
      <c r="R43" s="103">
        <v>6.8120000000000003E-3</v>
      </c>
    </row>
    <row r="44" spans="1:18" ht="13.5" customHeight="1">
      <c r="A44" s="101">
        <v>274</v>
      </c>
      <c r="B44" s="101">
        <v>274</v>
      </c>
      <c r="C44" s="101" t="s">
        <v>1001</v>
      </c>
      <c r="D44" s="101" t="s">
        <v>1847</v>
      </c>
      <c r="E44" s="101">
        <v>8287948</v>
      </c>
      <c r="F44" s="107">
        <v>41154</v>
      </c>
      <c r="G44" s="104">
        <v>1.39</v>
      </c>
      <c r="H44" s="101" t="s">
        <v>751</v>
      </c>
      <c r="I44" s="107">
        <v>46632</v>
      </c>
      <c r="J44" s="103">
        <v>4.8000000000000001E-2</v>
      </c>
      <c r="K44" s="103">
        <v>1.9400000000000001E-2</v>
      </c>
      <c r="L44" s="104">
        <v>10809000</v>
      </c>
      <c r="M44" s="104">
        <v>125.6735</v>
      </c>
      <c r="N44" s="104">
        <v>13584.048870000001</v>
      </c>
      <c r="O44" s="102"/>
      <c r="P44" s="101"/>
      <c r="Q44" s="103">
        <v>1.6861999999999999E-2</v>
      </c>
      <c r="R44" s="103">
        <v>3.3899999999999998E-3</v>
      </c>
    </row>
    <row r="45" spans="1:18" ht="13.5" customHeight="1">
      <c r="A45" s="101">
        <v>274</v>
      </c>
      <c r="B45" s="101">
        <v>274</v>
      </c>
      <c r="C45" s="101" t="s">
        <v>1001</v>
      </c>
      <c r="D45" s="101" t="s">
        <v>1848</v>
      </c>
      <c r="E45" s="101">
        <v>8288557</v>
      </c>
      <c r="F45" s="107">
        <v>43009</v>
      </c>
      <c r="G45" s="104">
        <v>5.63</v>
      </c>
      <c r="H45" s="101" t="s">
        <v>751</v>
      </c>
      <c r="I45" s="107">
        <v>48488</v>
      </c>
      <c r="J45" s="103">
        <v>4.8000000000000001E-2</v>
      </c>
      <c r="K45" s="103">
        <v>1.9800000000000002E-2</v>
      </c>
      <c r="L45" s="104">
        <v>4726000</v>
      </c>
      <c r="M45" s="104">
        <v>142.3347</v>
      </c>
      <c r="N45" s="104">
        <v>6726.7359500000002</v>
      </c>
      <c r="O45" s="102"/>
      <c r="P45" s="101"/>
      <c r="Q45" s="103">
        <v>8.3499999999999998E-3</v>
      </c>
      <c r="R45" s="103">
        <v>1.678E-3</v>
      </c>
    </row>
    <row r="46" spans="1:18" ht="13.5" customHeight="1">
      <c r="A46" s="101">
        <v>274</v>
      </c>
      <c r="B46" s="101">
        <v>274</v>
      </c>
      <c r="C46" s="101" t="s">
        <v>1001</v>
      </c>
      <c r="D46" s="101" t="s">
        <v>1849</v>
      </c>
      <c r="E46" s="101">
        <v>8288599</v>
      </c>
      <c r="F46" s="107">
        <v>43132</v>
      </c>
      <c r="G46" s="104">
        <v>5.97</v>
      </c>
      <c r="H46" s="101" t="s">
        <v>751</v>
      </c>
      <c r="I46" s="107">
        <v>48611</v>
      </c>
      <c r="J46" s="103">
        <v>4.8000000000000001E-2</v>
      </c>
      <c r="K46" s="103">
        <v>1.9800000000000002E-2</v>
      </c>
      <c r="L46" s="104">
        <v>58866000</v>
      </c>
      <c r="M46" s="104">
        <v>141.05879999999999</v>
      </c>
      <c r="N46" s="104">
        <v>83035.676030000002</v>
      </c>
      <c r="O46" s="102"/>
      <c r="P46" s="101"/>
      <c r="Q46" s="103">
        <v>0.103073</v>
      </c>
      <c r="R46" s="103">
        <v>2.0723999999999999E-2</v>
      </c>
    </row>
    <row r="47" spans="1:18" ht="13.5" customHeight="1">
      <c r="A47" s="101">
        <v>274</v>
      </c>
      <c r="B47" s="101">
        <v>274</v>
      </c>
      <c r="C47" s="101" t="s">
        <v>1001</v>
      </c>
      <c r="D47" s="101" t="s">
        <v>1850</v>
      </c>
      <c r="E47" s="101">
        <v>8288441</v>
      </c>
      <c r="F47" s="107">
        <v>42675</v>
      </c>
      <c r="G47" s="104">
        <v>4.9400000000000004</v>
      </c>
      <c r="H47" s="101" t="s">
        <v>751</v>
      </c>
      <c r="I47" s="107">
        <v>48154</v>
      </c>
      <c r="J47" s="103">
        <v>4.8000000000000001E-2</v>
      </c>
      <c r="K47" s="103">
        <v>1.95E-2</v>
      </c>
      <c r="L47" s="104">
        <v>831000</v>
      </c>
      <c r="M47" s="104">
        <v>139.3246</v>
      </c>
      <c r="N47" s="104">
        <v>1157.7873500000001</v>
      </c>
      <c r="O47" s="102"/>
      <c r="P47" s="101"/>
      <c r="Q47" s="103">
        <v>1.4369999999999999E-3</v>
      </c>
      <c r="R47" s="103">
        <v>2.8800000000000001E-4</v>
      </c>
    </row>
    <row r="48" spans="1:18" ht="13.5" customHeight="1">
      <c r="A48" s="101">
        <v>274</v>
      </c>
      <c r="B48" s="101">
        <v>274</v>
      </c>
      <c r="C48" s="101" t="s">
        <v>1001</v>
      </c>
      <c r="D48" s="101" t="s">
        <v>1851</v>
      </c>
      <c r="E48" s="101">
        <v>8288938</v>
      </c>
      <c r="F48" s="107">
        <v>44197</v>
      </c>
      <c r="G48" s="104">
        <v>8.06</v>
      </c>
      <c r="H48" s="101" t="s">
        <v>751</v>
      </c>
      <c r="I48" s="107">
        <v>49675</v>
      </c>
      <c r="J48" s="103">
        <v>4.8000000000000001E-2</v>
      </c>
      <c r="K48" s="103">
        <v>2.07E-2</v>
      </c>
      <c r="L48" s="104">
        <v>9087000</v>
      </c>
      <c r="M48" s="104">
        <v>147.65710000000001</v>
      </c>
      <c r="N48" s="104">
        <v>13417.60009</v>
      </c>
      <c r="O48" s="102"/>
      <c r="P48" s="101"/>
      <c r="Q48" s="103">
        <v>1.6655E-2</v>
      </c>
      <c r="R48" s="103">
        <v>3.3479999999999998E-3</v>
      </c>
    </row>
    <row r="49" spans="1:18" ht="13.5" customHeight="1">
      <c r="A49" s="101">
        <v>274</v>
      </c>
      <c r="B49" s="101">
        <v>274</v>
      </c>
      <c r="C49" s="101" t="s">
        <v>1001</v>
      </c>
      <c r="D49" s="101" t="s">
        <v>1852</v>
      </c>
      <c r="E49" s="101">
        <v>8288003</v>
      </c>
      <c r="F49" s="107">
        <v>41334</v>
      </c>
      <c r="G49" s="104">
        <v>1.85</v>
      </c>
      <c r="H49" s="101" t="s">
        <v>751</v>
      </c>
      <c r="I49" s="107">
        <v>46813</v>
      </c>
      <c r="J49" s="103">
        <v>4.8000000000000001E-2</v>
      </c>
      <c r="K49" s="103">
        <v>1.9199999999999998E-2</v>
      </c>
      <c r="L49" s="104">
        <v>8265000</v>
      </c>
      <c r="M49" s="104">
        <v>126.90600000000001</v>
      </c>
      <c r="N49" s="104">
        <v>10488.781789999999</v>
      </c>
      <c r="O49" s="102"/>
      <c r="P49" s="101"/>
      <c r="Q49" s="103">
        <v>1.3018999999999999E-2</v>
      </c>
      <c r="R49" s="103">
        <v>2.617E-3</v>
      </c>
    </row>
    <row r="50" spans="1:18" ht="13.5" customHeight="1">
      <c r="A50" s="101">
        <v>274</v>
      </c>
      <c r="B50" s="101">
        <v>274</v>
      </c>
      <c r="C50" s="101" t="s">
        <v>1001</v>
      </c>
      <c r="D50" s="101" t="s">
        <v>1853</v>
      </c>
      <c r="E50" s="101">
        <v>8288805</v>
      </c>
      <c r="F50" s="107">
        <v>43770</v>
      </c>
      <c r="G50" s="104">
        <v>7.19</v>
      </c>
      <c r="H50" s="101" t="s">
        <v>751</v>
      </c>
      <c r="I50" s="107">
        <v>49249</v>
      </c>
      <c r="J50" s="103">
        <v>4.8000000000000001E-2</v>
      </c>
      <c r="K50" s="103">
        <v>2.0299999999999999E-2</v>
      </c>
      <c r="L50" s="104">
        <v>2830000</v>
      </c>
      <c r="M50" s="104">
        <v>144.9649</v>
      </c>
      <c r="N50" s="104">
        <v>4102.50659</v>
      </c>
      <c r="O50" s="102"/>
      <c r="P50" s="101"/>
      <c r="Q50" s="103">
        <v>5.0920000000000002E-3</v>
      </c>
      <c r="R50" s="103">
        <v>1.023E-3</v>
      </c>
    </row>
    <row r="51" spans="1:18" ht="13.5" customHeight="1">
      <c r="A51" s="101">
        <v>274</v>
      </c>
      <c r="B51" s="101">
        <v>274</v>
      </c>
      <c r="C51" s="101" t="s">
        <v>1001</v>
      </c>
      <c r="D51" s="101" t="s">
        <v>1854</v>
      </c>
      <c r="E51" s="101">
        <v>8288573</v>
      </c>
      <c r="F51" s="107">
        <v>43070</v>
      </c>
      <c r="G51" s="104">
        <v>5.8</v>
      </c>
      <c r="H51" s="101" t="s">
        <v>751</v>
      </c>
      <c r="I51" s="107">
        <v>48549</v>
      </c>
      <c r="J51" s="103">
        <v>4.8000000000000001E-2</v>
      </c>
      <c r="K51" s="103">
        <v>1.9800000000000002E-2</v>
      </c>
      <c r="L51" s="104">
        <v>3172000</v>
      </c>
      <c r="M51" s="104">
        <v>141.24639999999999</v>
      </c>
      <c r="N51" s="104">
        <v>4480.3353200000001</v>
      </c>
      <c r="O51" s="102"/>
      <c r="P51" s="101"/>
      <c r="Q51" s="103">
        <v>5.561E-3</v>
      </c>
      <c r="R51" s="103">
        <v>1.1180000000000001E-3</v>
      </c>
    </row>
    <row r="52" spans="1:18" ht="13.5" customHeight="1">
      <c r="A52" s="101">
        <v>274</v>
      </c>
      <c r="B52" s="101">
        <v>274</v>
      </c>
      <c r="C52" s="101" t="s">
        <v>1001</v>
      </c>
      <c r="D52" s="101" t="s">
        <v>1855</v>
      </c>
      <c r="E52" s="101">
        <v>8288656</v>
      </c>
      <c r="F52" s="107">
        <v>43313</v>
      </c>
      <c r="G52" s="104">
        <v>6.34</v>
      </c>
      <c r="H52" s="101" t="s">
        <v>751</v>
      </c>
      <c r="I52" s="107">
        <v>48792</v>
      </c>
      <c r="J52" s="103">
        <v>4.8000000000000001E-2</v>
      </c>
      <c r="K52" s="103">
        <v>0.02</v>
      </c>
      <c r="L52" s="104">
        <v>22000</v>
      </c>
      <c r="M52" s="104">
        <v>141.1275</v>
      </c>
      <c r="N52" s="104">
        <v>31.04804</v>
      </c>
      <c r="O52" s="102"/>
      <c r="P52" s="101"/>
      <c r="Q52" s="103">
        <v>3.8000000000000002E-5</v>
      </c>
      <c r="R52" s="103">
        <v>6.9999999999999999E-6</v>
      </c>
    </row>
    <row r="53" spans="1:18" ht="13.5" customHeight="1">
      <c r="A53" s="101">
        <v>274</v>
      </c>
      <c r="B53" s="101">
        <v>274</v>
      </c>
      <c r="C53" s="101" t="s">
        <v>1001</v>
      </c>
      <c r="D53" s="101" t="s">
        <v>1856</v>
      </c>
      <c r="E53" s="101">
        <v>8288730</v>
      </c>
      <c r="F53" s="107">
        <v>43556</v>
      </c>
      <c r="G53" s="104">
        <v>6.75</v>
      </c>
      <c r="H53" s="101" t="s">
        <v>751</v>
      </c>
      <c r="I53" s="107">
        <v>49035</v>
      </c>
      <c r="J53" s="103">
        <v>4.8000000000000001E-2</v>
      </c>
      <c r="K53" s="103">
        <v>2.0199999999999999E-2</v>
      </c>
      <c r="L53" s="104">
        <v>5515000</v>
      </c>
      <c r="M53" s="104">
        <v>144.8476</v>
      </c>
      <c r="N53" s="104">
        <v>7988.3434800000005</v>
      </c>
      <c r="O53" s="102"/>
      <c r="P53" s="101"/>
      <c r="Q53" s="103">
        <v>9.9159999999999995E-3</v>
      </c>
      <c r="R53" s="103">
        <v>1.993E-3</v>
      </c>
    </row>
    <row r="54" spans="1:18" ht="13.5" customHeight="1">
      <c r="A54" s="101">
        <v>274</v>
      </c>
      <c r="B54" s="101">
        <v>274</v>
      </c>
      <c r="C54" s="101" t="s">
        <v>1001</v>
      </c>
      <c r="D54" s="101" t="s">
        <v>1857</v>
      </c>
      <c r="E54" s="101">
        <v>8288755</v>
      </c>
      <c r="F54" s="107">
        <v>43618</v>
      </c>
      <c r="G54" s="104">
        <v>6.91</v>
      </c>
      <c r="H54" s="101" t="s">
        <v>751</v>
      </c>
      <c r="I54" s="107">
        <v>49097</v>
      </c>
      <c r="J54" s="103">
        <v>4.8000000000000001E-2</v>
      </c>
      <c r="K54" s="103">
        <v>2.0299999999999999E-2</v>
      </c>
      <c r="L54" s="104">
        <v>4144000</v>
      </c>
      <c r="M54" s="104">
        <v>143.13399999999999</v>
      </c>
      <c r="N54" s="104">
        <v>5931.4713300000003</v>
      </c>
      <c r="O54" s="102"/>
      <c r="P54" s="101"/>
      <c r="Q54" s="103">
        <v>7.3619999999999996E-3</v>
      </c>
      <c r="R54" s="103">
        <v>1.48E-3</v>
      </c>
    </row>
    <row r="55" spans="1:18" ht="13.5" customHeight="1">
      <c r="A55" s="101">
        <v>274</v>
      </c>
      <c r="B55" s="101">
        <v>274</v>
      </c>
      <c r="C55" s="101" t="s">
        <v>1001</v>
      </c>
      <c r="D55" s="101" t="s">
        <v>1858</v>
      </c>
      <c r="E55" s="101">
        <v>8288458</v>
      </c>
      <c r="F55" s="107">
        <v>42705</v>
      </c>
      <c r="G55" s="104">
        <v>5.0199999999999996</v>
      </c>
      <c r="H55" s="101" t="s">
        <v>751</v>
      </c>
      <c r="I55" s="107">
        <v>48183</v>
      </c>
      <c r="J55" s="103">
        <v>4.8000000000000001E-2</v>
      </c>
      <c r="K55" s="103">
        <v>1.95E-2</v>
      </c>
      <c r="L55" s="104">
        <v>1059000</v>
      </c>
      <c r="M55" s="104">
        <v>138.7664</v>
      </c>
      <c r="N55" s="104">
        <v>1469.5362500000001</v>
      </c>
      <c r="O55" s="102"/>
      <c r="P55" s="101"/>
      <c r="Q55" s="103">
        <v>1.8240000000000001E-3</v>
      </c>
      <c r="R55" s="103">
        <v>3.6600000000000001E-4</v>
      </c>
    </row>
    <row r="56" spans="1:18" ht="13.5" customHeight="1">
      <c r="A56" s="101">
        <v>274</v>
      </c>
      <c r="B56" s="101">
        <v>274</v>
      </c>
      <c r="C56" s="101" t="s">
        <v>1001</v>
      </c>
      <c r="D56" s="101" t="s">
        <v>1859</v>
      </c>
      <c r="E56" s="101">
        <v>8288243</v>
      </c>
      <c r="F56" s="107">
        <v>42064</v>
      </c>
      <c r="G56" s="104">
        <v>3.63</v>
      </c>
      <c r="H56" s="101" t="s">
        <v>751</v>
      </c>
      <c r="I56" s="107">
        <v>47543</v>
      </c>
      <c r="J56" s="103">
        <v>4.8000000000000001E-2</v>
      </c>
      <c r="K56" s="103">
        <v>1.9099999999999999E-2</v>
      </c>
      <c r="L56" s="104">
        <v>6812000</v>
      </c>
      <c r="M56" s="104">
        <v>132.3038</v>
      </c>
      <c r="N56" s="104">
        <v>9012.5341399999998</v>
      </c>
      <c r="O56" s="102"/>
      <c r="P56" s="101"/>
      <c r="Q56" s="103">
        <v>1.1187000000000001E-2</v>
      </c>
      <c r="R56" s="103">
        <v>2.2490000000000001E-3</v>
      </c>
    </row>
    <row r="57" spans="1:18" ht="13.5" customHeight="1">
      <c r="A57" s="101">
        <v>274</v>
      </c>
      <c r="B57" s="101">
        <v>274</v>
      </c>
      <c r="C57" s="101" t="s">
        <v>1001</v>
      </c>
      <c r="D57" s="101" t="s">
        <v>1860</v>
      </c>
      <c r="E57" s="101">
        <v>8288128</v>
      </c>
      <c r="F57" s="107">
        <v>41700</v>
      </c>
      <c r="G57" s="104">
        <v>2.76</v>
      </c>
      <c r="H57" s="101" t="s">
        <v>751</v>
      </c>
      <c r="I57" s="107">
        <v>47179</v>
      </c>
      <c r="J57" s="103">
        <v>4.8000000000000001E-2</v>
      </c>
      <c r="K57" s="103">
        <v>1.9E-2</v>
      </c>
      <c r="L57" s="104">
        <v>1492000</v>
      </c>
      <c r="M57" s="104">
        <v>128.46299999999999</v>
      </c>
      <c r="N57" s="104">
        <v>1916.66824</v>
      </c>
      <c r="O57" s="102"/>
      <c r="P57" s="101"/>
      <c r="Q57" s="103">
        <v>2.379E-3</v>
      </c>
      <c r="R57" s="103">
        <v>4.7800000000000002E-4</v>
      </c>
    </row>
    <row r="58" spans="1:18" ht="13.5" customHeight="1">
      <c r="A58" s="101">
        <v>274</v>
      </c>
      <c r="B58" s="101">
        <v>274</v>
      </c>
      <c r="C58" s="101" t="s">
        <v>1001</v>
      </c>
      <c r="D58" s="101" t="s">
        <v>1861</v>
      </c>
      <c r="E58" s="101">
        <v>8288045</v>
      </c>
      <c r="F58" s="107">
        <v>41456</v>
      </c>
      <c r="G58" s="104">
        <v>2.15</v>
      </c>
      <c r="H58" s="101" t="s">
        <v>751</v>
      </c>
      <c r="I58" s="107">
        <v>46936</v>
      </c>
      <c r="J58" s="103">
        <v>4.8000000000000001E-2</v>
      </c>
      <c r="K58" s="103">
        <v>1.9099999999999999E-2</v>
      </c>
      <c r="L58" s="104">
        <v>3583000</v>
      </c>
      <c r="M58" s="104">
        <v>128.1045</v>
      </c>
      <c r="N58" s="104">
        <v>4589.9839499999998</v>
      </c>
      <c r="O58" s="102"/>
      <c r="P58" s="101"/>
      <c r="Q58" s="103">
        <v>5.6969999999999998E-3</v>
      </c>
      <c r="R58" s="103">
        <v>1.145E-3</v>
      </c>
    </row>
    <row r="59" spans="1:18" ht="13.5" customHeight="1">
      <c r="A59" s="101">
        <v>274</v>
      </c>
      <c r="B59" s="101">
        <v>274</v>
      </c>
      <c r="C59" s="101" t="s">
        <v>1001</v>
      </c>
      <c r="D59" s="101" t="s">
        <v>1862</v>
      </c>
      <c r="E59" s="101">
        <v>8287955</v>
      </c>
      <c r="F59" s="107">
        <v>41184</v>
      </c>
      <c r="G59" s="104">
        <v>1.44</v>
      </c>
      <c r="H59" s="101" t="s">
        <v>751</v>
      </c>
      <c r="I59" s="107">
        <v>46664</v>
      </c>
      <c r="J59" s="103">
        <v>4.8000000000000001E-2</v>
      </c>
      <c r="K59" s="103">
        <v>1.9400000000000001E-2</v>
      </c>
      <c r="L59" s="104">
        <v>7486000</v>
      </c>
      <c r="M59" s="104">
        <v>127.054</v>
      </c>
      <c r="N59" s="104">
        <v>9511.2616600000001</v>
      </c>
      <c r="O59" s="102"/>
      <c r="P59" s="101"/>
      <c r="Q59" s="103">
        <v>1.1806000000000001E-2</v>
      </c>
      <c r="R59" s="103">
        <v>2.3730000000000001E-3</v>
      </c>
    </row>
    <row r="60" spans="1:18" ht="13.5" customHeight="1">
      <c r="A60" s="101">
        <v>274</v>
      </c>
      <c r="B60" s="101">
        <v>274</v>
      </c>
      <c r="C60" s="101" t="s">
        <v>1001</v>
      </c>
      <c r="D60" s="101" t="s">
        <v>1863</v>
      </c>
      <c r="E60" s="101">
        <v>8288136</v>
      </c>
      <c r="F60" s="107">
        <v>41730</v>
      </c>
      <c r="G60" s="104">
        <v>2.78</v>
      </c>
      <c r="H60" s="101" t="s">
        <v>751</v>
      </c>
      <c r="I60" s="107">
        <v>47209</v>
      </c>
      <c r="J60" s="103">
        <v>4.8000000000000001E-2</v>
      </c>
      <c r="K60" s="103">
        <v>1.9E-2</v>
      </c>
      <c r="L60" s="104">
        <v>13232000</v>
      </c>
      <c r="M60" s="104">
        <v>131.34569999999999</v>
      </c>
      <c r="N60" s="104">
        <v>17379.656930000001</v>
      </c>
      <c r="O60" s="102"/>
      <c r="P60" s="101"/>
      <c r="Q60" s="103">
        <v>2.1572999999999998E-2</v>
      </c>
      <c r="R60" s="103">
        <v>4.3369999999999997E-3</v>
      </c>
    </row>
    <row r="61" spans="1:18" ht="13.5" customHeight="1">
      <c r="A61" s="101">
        <v>274</v>
      </c>
      <c r="B61" s="101">
        <v>274</v>
      </c>
      <c r="C61" s="101" t="s">
        <v>1001</v>
      </c>
      <c r="D61" s="101" t="s">
        <v>1864</v>
      </c>
      <c r="E61" s="101">
        <v>8288565</v>
      </c>
      <c r="F61" s="107">
        <v>43040</v>
      </c>
      <c r="G61" s="104">
        <v>5.71</v>
      </c>
      <c r="H61" s="101" t="s">
        <v>751</v>
      </c>
      <c r="I61" s="107">
        <v>48519</v>
      </c>
      <c r="J61" s="103">
        <v>4.8000000000000001E-2</v>
      </c>
      <c r="K61" s="103">
        <v>1.9800000000000002E-2</v>
      </c>
      <c r="L61" s="104">
        <v>1162000</v>
      </c>
      <c r="M61" s="104">
        <v>141.95769999999999</v>
      </c>
      <c r="N61" s="104">
        <v>1649.54882</v>
      </c>
      <c r="O61" s="102"/>
      <c r="P61" s="101"/>
      <c r="Q61" s="103">
        <v>2.0470000000000002E-3</v>
      </c>
      <c r="R61" s="103">
        <v>4.1100000000000002E-4</v>
      </c>
    </row>
    <row r="62" spans="1:18" ht="13.5" customHeight="1">
      <c r="A62" s="101">
        <v>274</v>
      </c>
      <c r="B62" s="101">
        <v>274</v>
      </c>
      <c r="C62" s="101" t="s">
        <v>1001</v>
      </c>
      <c r="D62" s="101" t="s">
        <v>1865</v>
      </c>
      <c r="E62" s="101">
        <v>8288201</v>
      </c>
      <c r="F62" s="107">
        <v>41945</v>
      </c>
      <c r="G62" s="104">
        <v>3.3</v>
      </c>
      <c r="H62" s="101" t="s">
        <v>751</v>
      </c>
      <c r="I62" s="107">
        <v>47424</v>
      </c>
      <c r="J62" s="103">
        <v>4.8000000000000001E-2</v>
      </c>
      <c r="K62" s="103">
        <v>1.9E-2</v>
      </c>
      <c r="L62" s="104">
        <v>6036000</v>
      </c>
      <c r="M62" s="104">
        <v>132.08940000000001</v>
      </c>
      <c r="N62" s="104">
        <v>7972.9191899999996</v>
      </c>
      <c r="O62" s="102"/>
      <c r="P62" s="101"/>
      <c r="Q62" s="103">
        <v>9.8960000000000003E-3</v>
      </c>
      <c r="R62" s="103">
        <v>1.9889999999999999E-3</v>
      </c>
    </row>
    <row r="63" spans="1:18" ht="13.5" customHeight="1">
      <c r="A63" s="101">
        <v>274</v>
      </c>
      <c r="B63" s="101">
        <v>274</v>
      </c>
      <c r="C63" s="101" t="s">
        <v>1001</v>
      </c>
      <c r="D63" s="101" t="s">
        <v>1866</v>
      </c>
      <c r="E63" s="101">
        <v>8288581</v>
      </c>
      <c r="F63" s="107">
        <v>43101</v>
      </c>
      <c r="G63" s="104">
        <v>5.88</v>
      </c>
      <c r="H63" s="101" t="s">
        <v>751</v>
      </c>
      <c r="I63" s="107">
        <v>48580</v>
      </c>
      <c r="J63" s="103">
        <v>4.8000000000000001E-2</v>
      </c>
      <c r="K63" s="103">
        <v>1.9800000000000002E-2</v>
      </c>
      <c r="L63" s="104">
        <v>2004000</v>
      </c>
      <c r="M63" s="104">
        <v>141.4425</v>
      </c>
      <c r="N63" s="104">
        <v>2834.50848</v>
      </c>
      <c r="O63" s="102"/>
      <c r="P63" s="101"/>
      <c r="Q63" s="103">
        <v>3.5179999999999999E-3</v>
      </c>
      <c r="R63" s="103">
        <v>7.0699999999999995E-4</v>
      </c>
    </row>
    <row r="64" spans="1:18" ht="13.5" customHeight="1">
      <c r="A64" s="101">
        <v>274</v>
      </c>
      <c r="B64" s="101">
        <v>274</v>
      </c>
      <c r="C64" s="101" t="s">
        <v>1001</v>
      </c>
      <c r="D64" s="101" t="s">
        <v>1867</v>
      </c>
      <c r="E64" s="101">
        <v>8288144</v>
      </c>
      <c r="F64" s="107">
        <v>41760</v>
      </c>
      <c r="G64" s="104">
        <v>2.86</v>
      </c>
      <c r="H64" s="101" t="s">
        <v>751</v>
      </c>
      <c r="I64" s="107">
        <v>47239</v>
      </c>
      <c r="J64" s="103">
        <v>4.8000000000000001E-2</v>
      </c>
      <c r="K64" s="103">
        <v>1.9E-2</v>
      </c>
      <c r="L64" s="104">
        <v>2542000</v>
      </c>
      <c r="M64" s="104">
        <v>130.7705</v>
      </c>
      <c r="N64" s="104">
        <v>3324.1849699999998</v>
      </c>
      <c r="O64" s="102"/>
      <c r="P64" s="101"/>
      <c r="Q64" s="103">
        <v>4.1260000000000003E-3</v>
      </c>
      <c r="R64" s="103">
        <v>8.2899999999999998E-4</v>
      </c>
    </row>
    <row r="65" spans="1:18" ht="13.5" customHeight="1">
      <c r="A65" s="101">
        <v>274</v>
      </c>
      <c r="B65" s="101">
        <v>274</v>
      </c>
      <c r="C65" s="101" t="s">
        <v>1001</v>
      </c>
      <c r="D65" s="101" t="s">
        <v>1868</v>
      </c>
      <c r="E65" s="101">
        <v>8288102</v>
      </c>
      <c r="F65" s="107">
        <v>41640</v>
      </c>
      <c r="G65" s="104">
        <v>2.6</v>
      </c>
      <c r="H65" s="101" t="s">
        <v>751</v>
      </c>
      <c r="I65" s="107">
        <v>47119</v>
      </c>
      <c r="J65" s="103">
        <v>4.8000000000000001E-2</v>
      </c>
      <c r="K65" s="103">
        <v>1.9E-2</v>
      </c>
      <c r="L65" s="104">
        <v>9964000</v>
      </c>
      <c r="M65" s="104">
        <v>128.2285</v>
      </c>
      <c r="N65" s="104">
        <v>12776.6829</v>
      </c>
      <c r="O65" s="102"/>
      <c r="P65" s="101"/>
      <c r="Q65" s="103">
        <v>1.5859000000000002E-2</v>
      </c>
      <c r="R65" s="103">
        <v>3.1879999999999999E-3</v>
      </c>
    </row>
    <row r="66" spans="1:18" ht="13.5" customHeight="1">
      <c r="A66" s="101">
        <v>274</v>
      </c>
      <c r="B66" s="101">
        <v>274</v>
      </c>
      <c r="C66" s="101" t="s">
        <v>1001</v>
      </c>
      <c r="D66" s="101" t="s">
        <v>1869</v>
      </c>
      <c r="E66" s="101">
        <v>8288946</v>
      </c>
      <c r="F66" s="107">
        <v>44228</v>
      </c>
      <c r="G66" s="104">
        <v>8.14</v>
      </c>
      <c r="H66" s="101" t="s">
        <v>751</v>
      </c>
      <c r="I66" s="107">
        <v>49706</v>
      </c>
      <c r="J66" s="103">
        <v>4.8000000000000001E-2</v>
      </c>
      <c r="K66" s="103">
        <v>2.07E-2</v>
      </c>
      <c r="L66" s="104">
        <v>9736000</v>
      </c>
      <c r="M66" s="104">
        <v>147.55029999999999</v>
      </c>
      <c r="N66" s="104">
        <v>14365.50201</v>
      </c>
      <c r="O66" s="102"/>
      <c r="P66" s="101"/>
      <c r="Q66" s="103">
        <v>1.7832000000000001E-2</v>
      </c>
      <c r="R66" s="103">
        <v>3.5850000000000001E-3</v>
      </c>
    </row>
    <row r="67" spans="1:18" ht="13.5" customHeight="1">
      <c r="A67" s="101">
        <v>274</v>
      </c>
      <c r="B67" s="101">
        <v>274</v>
      </c>
      <c r="C67" s="101" t="s">
        <v>1001</v>
      </c>
      <c r="D67" s="101" t="s">
        <v>1870</v>
      </c>
      <c r="E67" s="101">
        <v>8288482</v>
      </c>
      <c r="F67" s="107">
        <v>42795</v>
      </c>
      <c r="G67" s="104">
        <v>5.27</v>
      </c>
      <c r="H67" s="101" t="s">
        <v>751</v>
      </c>
      <c r="I67" s="107">
        <v>48274</v>
      </c>
      <c r="J67" s="103">
        <v>4.8000000000000001E-2</v>
      </c>
      <c r="K67" s="103">
        <v>1.9599999999999999E-2</v>
      </c>
      <c r="L67" s="104">
        <v>1644000</v>
      </c>
      <c r="M67" s="104">
        <v>138.8843</v>
      </c>
      <c r="N67" s="104">
        <v>2283.2582699999998</v>
      </c>
      <c r="O67" s="102"/>
      <c r="P67" s="101"/>
      <c r="Q67" s="103">
        <v>2.8340000000000001E-3</v>
      </c>
      <c r="R67" s="103">
        <v>5.6899999999999995E-4</v>
      </c>
    </row>
    <row r="68" spans="1:18" ht="13.5" customHeight="1">
      <c r="A68" s="101">
        <v>274</v>
      </c>
      <c r="B68" s="101">
        <v>274</v>
      </c>
      <c r="C68" s="101" t="s">
        <v>1001</v>
      </c>
      <c r="D68" s="101" t="s">
        <v>1871</v>
      </c>
      <c r="E68" s="101">
        <v>8288664</v>
      </c>
      <c r="F68" s="107">
        <v>43345</v>
      </c>
      <c r="G68" s="104">
        <v>6.43</v>
      </c>
      <c r="H68" s="101" t="s">
        <v>751</v>
      </c>
      <c r="I68" s="107">
        <v>48824</v>
      </c>
      <c r="J68" s="103">
        <v>4.8000000000000001E-2</v>
      </c>
      <c r="K68" s="103">
        <v>0.02</v>
      </c>
      <c r="L68" s="104">
        <v>6557000</v>
      </c>
      <c r="M68" s="104">
        <v>140.8194</v>
      </c>
      <c r="N68" s="104">
        <v>9233.5296600000001</v>
      </c>
      <c r="O68" s="102"/>
      <c r="P68" s="101"/>
      <c r="Q68" s="103">
        <v>1.1461000000000001E-2</v>
      </c>
      <c r="R68" s="103">
        <v>2.3040000000000001E-3</v>
      </c>
    </row>
    <row r="69" spans="1:18" ht="13.5" customHeight="1">
      <c r="A69" s="101">
        <v>274</v>
      </c>
      <c r="B69" s="101">
        <v>274</v>
      </c>
      <c r="C69" s="101" t="s">
        <v>1001</v>
      </c>
      <c r="D69" s="101" t="s">
        <v>1872</v>
      </c>
      <c r="E69" s="101">
        <v>8288227</v>
      </c>
      <c r="F69" s="107">
        <v>42005</v>
      </c>
      <c r="G69" s="104">
        <v>3.46</v>
      </c>
      <c r="H69" s="101" t="s">
        <v>751</v>
      </c>
      <c r="I69" s="107">
        <v>47484</v>
      </c>
      <c r="J69" s="103">
        <v>4.8000000000000001E-2</v>
      </c>
      <c r="K69" s="103">
        <v>1.9099999999999999E-2</v>
      </c>
      <c r="L69" s="104">
        <v>10497000</v>
      </c>
      <c r="M69" s="104">
        <v>131.53749999999999</v>
      </c>
      <c r="N69" s="104">
        <v>13807.48726</v>
      </c>
      <c r="O69" s="102"/>
      <c r="P69" s="101"/>
      <c r="Q69" s="103">
        <v>1.7139000000000001E-2</v>
      </c>
      <c r="R69" s="103">
        <v>3.4459999999999998E-3</v>
      </c>
    </row>
    <row r="70" spans="1:18" ht="13.5" customHeight="1">
      <c r="A70" s="101">
        <v>274</v>
      </c>
      <c r="B70" s="101">
        <v>274</v>
      </c>
      <c r="C70" s="101" t="s">
        <v>1001</v>
      </c>
      <c r="D70" s="101" t="s">
        <v>1873</v>
      </c>
      <c r="E70" s="101">
        <v>8288383</v>
      </c>
      <c r="F70" s="107">
        <v>42491</v>
      </c>
      <c r="G70" s="104">
        <v>4.54</v>
      </c>
      <c r="H70" s="101" t="s">
        <v>751</v>
      </c>
      <c r="I70" s="107">
        <v>47969</v>
      </c>
      <c r="J70" s="103">
        <v>4.8000000000000001E-2</v>
      </c>
      <c r="K70" s="103">
        <v>1.9300000000000001E-2</v>
      </c>
      <c r="L70" s="104">
        <v>5807000</v>
      </c>
      <c r="M70" s="104">
        <v>139.28399999999999</v>
      </c>
      <c r="N70" s="104">
        <v>8088.2213400000001</v>
      </c>
      <c r="O70" s="102"/>
      <c r="P70" s="101"/>
      <c r="Q70" s="103">
        <v>1.004E-2</v>
      </c>
      <c r="R70" s="103">
        <v>2.0179999999999998E-3</v>
      </c>
    </row>
    <row r="71" spans="1:18" ht="13.5" customHeight="1">
      <c r="A71" s="101">
        <v>274</v>
      </c>
      <c r="B71" s="101">
        <v>274</v>
      </c>
      <c r="C71" s="101" t="s">
        <v>1001</v>
      </c>
      <c r="D71" s="101" t="s">
        <v>1874</v>
      </c>
      <c r="E71" s="101">
        <v>8288078</v>
      </c>
      <c r="F71" s="107">
        <v>41548</v>
      </c>
      <c r="G71" s="104">
        <v>2.34</v>
      </c>
      <c r="H71" s="101" t="s">
        <v>751</v>
      </c>
      <c r="I71" s="107">
        <v>47027</v>
      </c>
      <c r="J71" s="103">
        <v>4.8000000000000001E-2</v>
      </c>
      <c r="K71" s="103">
        <v>1.9E-2</v>
      </c>
      <c r="L71" s="104">
        <v>157000</v>
      </c>
      <c r="M71" s="104">
        <v>128.7045</v>
      </c>
      <c r="N71" s="104">
        <v>202.06599</v>
      </c>
      <c r="O71" s="102"/>
      <c r="P71" s="101"/>
      <c r="Q71" s="103">
        <v>2.5000000000000001E-4</v>
      </c>
      <c r="R71" s="103">
        <v>5.0000000000000002E-5</v>
      </c>
    </row>
    <row r="72" spans="1:18" ht="13.5" customHeight="1">
      <c r="A72" s="101">
        <v>274</v>
      </c>
      <c r="B72" s="101">
        <v>274</v>
      </c>
      <c r="C72" s="101" t="s">
        <v>1001</v>
      </c>
      <c r="D72" s="101" t="s">
        <v>1875</v>
      </c>
      <c r="E72" s="101">
        <v>8288995</v>
      </c>
      <c r="F72" s="107">
        <v>44378</v>
      </c>
      <c r="G72" s="104">
        <v>8.4</v>
      </c>
      <c r="H72" s="101" t="s">
        <v>751</v>
      </c>
      <c r="I72" s="107">
        <v>49857</v>
      </c>
      <c r="J72" s="103">
        <v>4.8000000000000001E-2</v>
      </c>
      <c r="K72" s="103">
        <v>2.0799999999999999E-2</v>
      </c>
      <c r="L72" s="104">
        <v>94000</v>
      </c>
      <c r="M72" s="104">
        <v>146.76070000000001</v>
      </c>
      <c r="N72" s="104">
        <v>137.95502999999999</v>
      </c>
      <c r="O72" s="102"/>
      <c r="P72" s="101"/>
      <c r="Q72" s="103">
        <v>1.7100000000000001E-4</v>
      </c>
      <c r="R72" s="103">
        <v>3.4E-5</v>
      </c>
    </row>
    <row r="73" spans="1:18" ht="13.5" customHeight="1">
      <c r="A73" s="101">
        <v>274</v>
      </c>
      <c r="B73" s="101">
        <v>274</v>
      </c>
      <c r="C73" s="101" t="s">
        <v>1001</v>
      </c>
      <c r="D73" s="101" t="s">
        <v>1876</v>
      </c>
      <c r="E73" s="101">
        <v>8288961</v>
      </c>
      <c r="F73" s="107">
        <v>44287</v>
      </c>
      <c r="G73" s="104">
        <v>8.15</v>
      </c>
      <c r="H73" s="101" t="s">
        <v>751</v>
      </c>
      <c r="I73" s="107">
        <v>49766</v>
      </c>
      <c r="J73" s="103">
        <v>4.8000000000000001E-2</v>
      </c>
      <c r="K73" s="103">
        <v>2.07E-2</v>
      </c>
      <c r="L73" s="104">
        <v>1557000</v>
      </c>
      <c r="M73" s="104">
        <v>149.5104</v>
      </c>
      <c r="N73" s="104">
        <v>2327.8773700000002</v>
      </c>
      <c r="O73" s="102"/>
      <c r="P73" s="101"/>
      <c r="Q73" s="103">
        <v>2.8890000000000001E-3</v>
      </c>
      <c r="R73" s="103">
        <v>5.8100000000000003E-4</v>
      </c>
    </row>
    <row r="74" spans="1:18" ht="13.5" customHeight="1">
      <c r="A74" s="101">
        <v>274</v>
      </c>
      <c r="B74" s="101">
        <v>274</v>
      </c>
      <c r="C74" s="101" t="s">
        <v>1001</v>
      </c>
      <c r="D74" s="101" t="s">
        <v>1877</v>
      </c>
      <c r="E74" s="101">
        <v>8288433</v>
      </c>
      <c r="F74" s="107">
        <v>42645</v>
      </c>
      <c r="G74" s="104">
        <v>4.8600000000000003</v>
      </c>
      <c r="H74" s="101" t="s">
        <v>751</v>
      </c>
      <c r="I74" s="107">
        <v>48123</v>
      </c>
      <c r="J74" s="103">
        <v>4.8000000000000001E-2</v>
      </c>
      <c r="K74" s="103">
        <v>1.95E-2</v>
      </c>
      <c r="L74" s="104">
        <v>1052000</v>
      </c>
      <c r="M74" s="104">
        <v>139.40520000000001</v>
      </c>
      <c r="N74" s="104">
        <v>1466.5428199999999</v>
      </c>
      <c r="O74" s="102"/>
      <c r="P74" s="101"/>
      <c r="Q74" s="103">
        <v>1.82E-3</v>
      </c>
      <c r="R74" s="103">
        <v>3.6600000000000001E-4</v>
      </c>
    </row>
    <row r="75" spans="1:18" ht="13.5" customHeight="1">
      <c r="A75" s="101">
        <v>274</v>
      </c>
      <c r="B75" s="101">
        <v>274</v>
      </c>
      <c r="C75" s="101" t="s">
        <v>1001</v>
      </c>
      <c r="D75" s="101" t="s">
        <v>1878</v>
      </c>
      <c r="E75" s="101">
        <v>8288979</v>
      </c>
      <c r="F75" s="107">
        <v>44318</v>
      </c>
      <c r="G75" s="104">
        <v>8.23</v>
      </c>
      <c r="H75" s="101" t="s">
        <v>751</v>
      </c>
      <c r="I75" s="107">
        <v>49797</v>
      </c>
      <c r="J75" s="103">
        <v>4.8000000000000001E-2</v>
      </c>
      <c r="K75" s="103">
        <v>2.07E-2</v>
      </c>
      <c r="L75" s="104">
        <v>18604000</v>
      </c>
      <c r="M75" s="104">
        <v>148.3604</v>
      </c>
      <c r="N75" s="104">
        <v>27600.959760000002</v>
      </c>
      <c r="O75" s="102"/>
      <c r="P75" s="101"/>
      <c r="Q75" s="103">
        <v>3.4261E-2</v>
      </c>
      <c r="R75" s="103">
        <v>6.888E-3</v>
      </c>
    </row>
    <row r="76" spans="1:18" ht="13.5" customHeight="1">
      <c r="A76" s="101">
        <v>274</v>
      </c>
      <c r="B76" s="101">
        <v>274</v>
      </c>
      <c r="C76" s="101" t="s">
        <v>1001</v>
      </c>
      <c r="D76" s="101" t="s">
        <v>1879</v>
      </c>
      <c r="E76" s="101">
        <v>8288284</v>
      </c>
      <c r="F76" s="107">
        <v>42186</v>
      </c>
      <c r="G76" s="104">
        <v>3.88</v>
      </c>
      <c r="H76" s="101" t="s">
        <v>751</v>
      </c>
      <c r="I76" s="107">
        <v>47665</v>
      </c>
      <c r="J76" s="103">
        <v>4.8000000000000001E-2</v>
      </c>
      <c r="K76" s="103">
        <v>1.9199999999999998E-2</v>
      </c>
      <c r="L76" s="104">
        <v>11403000</v>
      </c>
      <c r="M76" s="104">
        <v>133.7439</v>
      </c>
      <c r="N76" s="104">
        <v>15250.8217</v>
      </c>
      <c r="O76" s="102"/>
      <c r="P76" s="101"/>
      <c r="Q76" s="103">
        <v>1.8931E-2</v>
      </c>
      <c r="R76" s="103">
        <v>3.8059999999999999E-3</v>
      </c>
    </row>
    <row r="77" spans="1:18" ht="13.5" customHeight="1">
      <c r="A77" s="101">
        <v>274</v>
      </c>
      <c r="B77" s="101">
        <v>274</v>
      </c>
      <c r="C77" s="101" t="s">
        <v>1001</v>
      </c>
      <c r="D77" s="101" t="s">
        <v>1880</v>
      </c>
      <c r="E77" s="101">
        <v>8288508</v>
      </c>
      <c r="F77" s="107">
        <v>42856</v>
      </c>
      <c r="G77" s="104">
        <v>5.33</v>
      </c>
      <c r="H77" s="101" t="s">
        <v>751</v>
      </c>
      <c r="I77" s="107">
        <v>48336</v>
      </c>
      <c r="J77" s="103">
        <v>4.8000000000000001E-2</v>
      </c>
      <c r="K77" s="103">
        <v>1.9599999999999999E-2</v>
      </c>
      <c r="L77" s="104">
        <v>1405000</v>
      </c>
      <c r="M77" s="104">
        <v>140.88210000000001</v>
      </c>
      <c r="N77" s="104">
        <v>1979.3933999999999</v>
      </c>
      <c r="O77" s="102"/>
      <c r="P77" s="101"/>
      <c r="Q77" s="103">
        <v>2.457E-3</v>
      </c>
      <c r="R77" s="103">
        <v>4.9399999999999997E-4</v>
      </c>
    </row>
    <row r="78" spans="1:18" ht="13.5" customHeight="1">
      <c r="A78" s="101">
        <v>274</v>
      </c>
      <c r="B78" s="101">
        <v>274</v>
      </c>
      <c r="C78" s="101" t="s">
        <v>1001</v>
      </c>
      <c r="D78" s="101" t="s">
        <v>1881</v>
      </c>
      <c r="E78" s="101">
        <v>8288821</v>
      </c>
      <c r="F78" s="107">
        <v>43831</v>
      </c>
      <c r="G78" s="104">
        <v>7.35</v>
      </c>
      <c r="H78" s="101" t="s">
        <v>751</v>
      </c>
      <c r="I78" s="107">
        <v>49310</v>
      </c>
      <c r="J78" s="103">
        <v>4.8000000000000001E-2</v>
      </c>
      <c r="K78" s="103">
        <v>2.0400000000000001E-2</v>
      </c>
      <c r="L78" s="104">
        <v>459000</v>
      </c>
      <c r="M78" s="104">
        <v>144.4057</v>
      </c>
      <c r="N78" s="104">
        <v>662.82227</v>
      </c>
      <c r="O78" s="102"/>
      <c r="P78" s="101"/>
      <c r="Q78" s="103">
        <v>8.2200000000000003E-4</v>
      </c>
      <c r="R78" s="103">
        <v>1.65E-4</v>
      </c>
    </row>
    <row r="79" spans="1:18" ht="13.5" customHeight="1"/>
    <row r="80" spans="1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105" t="s">
        <v>100</v>
      </c>
      <c r="G1" s="109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/>
      <c r="D2" s="107"/>
      <c r="E2" s="107"/>
      <c r="F2" s="104"/>
      <c r="G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274</v>
      </c>
      <c r="B2" s="101">
        <v>274</v>
      </c>
      <c r="C2" s="101" t="s">
        <v>1307</v>
      </c>
      <c r="D2" s="101">
        <v>520010869</v>
      </c>
      <c r="E2" s="101" t="s">
        <v>308</v>
      </c>
      <c r="F2" s="101" t="s">
        <v>1882</v>
      </c>
      <c r="G2" s="101" t="s">
        <v>1883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323</v>
      </c>
      <c r="M2" s="101" t="s">
        <v>475</v>
      </c>
      <c r="N2" s="101" t="s">
        <v>336</v>
      </c>
      <c r="O2" s="107">
        <v>39076</v>
      </c>
      <c r="P2" s="101" t="s">
        <v>1233</v>
      </c>
      <c r="Q2" s="101" t="s">
        <v>411</v>
      </c>
      <c r="R2" s="101" t="s">
        <v>404</v>
      </c>
      <c r="S2" s="101" t="s">
        <v>1241</v>
      </c>
      <c r="T2" s="104">
        <v>5.1100000000000003</v>
      </c>
      <c r="U2" s="107">
        <v>50034</v>
      </c>
      <c r="V2" s="103">
        <v>2.5999999999999999E-2</v>
      </c>
      <c r="W2" s="103">
        <v>4.9000000000000002E-2</v>
      </c>
      <c r="X2" s="101" t="s">
        <v>410</v>
      </c>
      <c r="Y2" s="101"/>
      <c r="Z2" s="101" t="s">
        <v>890</v>
      </c>
      <c r="AA2" s="101" t="s">
        <v>893</v>
      </c>
      <c r="AB2" s="107">
        <v>46112</v>
      </c>
      <c r="AC2" s="107"/>
      <c r="AD2" s="104">
        <v>1008894.78</v>
      </c>
      <c r="AE2" s="104">
        <v>1</v>
      </c>
      <c r="AF2" s="104">
        <v>161.0599997355522</v>
      </c>
      <c r="AG2" s="104">
        <v>1624.9259300000001</v>
      </c>
      <c r="AH2" s="104"/>
      <c r="AI2" s="104"/>
      <c r="AJ2" s="101"/>
      <c r="AK2" s="103">
        <v>0.121208</v>
      </c>
      <c r="AL2" s="103">
        <v>4.0499999999999998E-4</v>
      </c>
    </row>
    <row r="3" spans="1:38" ht="13.5" customHeight="1">
      <c r="A3" s="101">
        <v>274</v>
      </c>
      <c r="B3" s="101">
        <v>274</v>
      </c>
      <c r="C3" s="101" t="s">
        <v>1360</v>
      </c>
      <c r="D3" s="101">
        <v>513436394</v>
      </c>
      <c r="E3" s="101" t="s">
        <v>308</v>
      </c>
      <c r="F3" s="101" t="s">
        <v>1884</v>
      </c>
      <c r="G3" s="101" t="s">
        <v>1885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475</v>
      </c>
      <c r="N3" s="101" t="s">
        <v>336</v>
      </c>
      <c r="O3" s="107">
        <v>39084</v>
      </c>
      <c r="P3" s="101" t="s">
        <v>1233</v>
      </c>
      <c r="Q3" s="101" t="s">
        <v>411</v>
      </c>
      <c r="R3" s="101" t="s">
        <v>404</v>
      </c>
      <c r="S3" s="101" t="s">
        <v>1241</v>
      </c>
      <c r="T3" s="104">
        <v>0.32</v>
      </c>
      <c r="U3" s="107">
        <v>46385</v>
      </c>
      <c r="V3" s="103">
        <v>3.0099999999999998E-2</v>
      </c>
      <c r="W3" s="103">
        <v>5.6000000000000001E-2</v>
      </c>
      <c r="X3" s="101" t="s">
        <v>410</v>
      </c>
      <c r="Y3" s="101"/>
      <c r="Z3" s="101" t="s">
        <v>890</v>
      </c>
      <c r="AA3" s="101" t="s">
        <v>893</v>
      </c>
      <c r="AB3" s="107">
        <v>46112</v>
      </c>
      <c r="AC3" s="107"/>
      <c r="AD3" s="104">
        <v>160906.45000000001</v>
      </c>
      <c r="AE3" s="104">
        <v>1</v>
      </c>
      <c r="AF3" s="104">
        <v>145.56000085764117</v>
      </c>
      <c r="AG3" s="104">
        <v>234.21543</v>
      </c>
      <c r="AH3" s="102"/>
      <c r="AI3" s="102"/>
      <c r="AJ3" s="101"/>
      <c r="AK3" s="103">
        <v>1.7469999999999999E-2</v>
      </c>
      <c r="AL3" s="103">
        <v>5.8E-5</v>
      </c>
    </row>
    <row r="4" spans="1:38" ht="13.5" customHeight="1">
      <c r="A4" s="101">
        <v>274</v>
      </c>
      <c r="B4" s="101">
        <v>274</v>
      </c>
      <c r="C4" s="101" t="s">
        <v>1307</v>
      </c>
      <c r="D4" s="101">
        <v>520010869</v>
      </c>
      <c r="E4" s="101" t="s">
        <v>308</v>
      </c>
      <c r="F4" s="101" t="s">
        <v>1886</v>
      </c>
      <c r="G4" s="101" t="s">
        <v>1887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475</v>
      </c>
      <c r="N4" s="101" t="s">
        <v>336</v>
      </c>
      <c r="O4" s="107">
        <v>40738</v>
      </c>
      <c r="P4" s="101" t="s">
        <v>1233</v>
      </c>
      <c r="Q4" s="101" t="s">
        <v>411</v>
      </c>
      <c r="R4" s="101" t="s">
        <v>404</v>
      </c>
      <c r="S4" s="101" t="s">
        <v>1241</v>
      </c>
      <c r="T4" s="104">
        <v>8.9</v>
      </c>
      <c r="U4" s="107">
        <v>54253</v>
      </c>
      <c r="V4" s="103">
        <v>2.9100000000000001E-2</v>
      </c>
      <c r="W4" s="103">
        <v>4.1000000000000002E-2</v>
      </c>
      <c r="X4" s="101" t="s">
        <v>410</v>
      </c>
      <c r="Y4" s="101"/>
      <c r="Z4" s="101" t="s">
        <v>890</v>
      </c>
      <c r="AA4" s="101" t="s">
        <v>893</v>
      </c>
      <c r="AB4" s="107">
        <v>46112</v>
      </c>
      <c r="AC4" s="107"/>
      <c r="AD4" s="104">
        <v>4454014.7300000004</v>
      </c>
      <c r="AE4" s="104">
        <v>1</v>
      </c>
      <c r="AF4" s="104">
        <v>138.87000009988739</v>
      </c>
      <c r="AG4" s="104">
        <v>6185.2902599999998</v>
      </c>
      <c r="AH4" s="102"/>
      <c r="AI4" s="102"/>
      <c r="AJ4" s="101"/>
      <c r="AK4" s="103">
        <v>0.46138200000000001</v>
      </c>
      <c r="AL4" s="103">
        <v>1.5430000000000001E-3</v>
      </c>
    </row>
    <row r="5" spans="1:38" ht="13.5" customHeight="1">
      <c r="A5" s="101">
        <v>274</v>
      </c>
      <c r="B5" s="101">
        <v>274</v>
      </c>
      <c r="C5" s="101" t="s">
        <v>1360</v>
      </c>
      <c r="D5" s="101">
        <v>513436394</v>
      </c>
      <c r="E5" s="101" t="s">
        <v>308</v>
      </c>
      <c r="F5" s="101" t="s">
        <v>1888</v>
      </c>
      <c r="G5" s="101" t="s">
        <v>1889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323</v>
      </c>
      <c r="M5" s="101" t="s">
        <v>475</v>
      </c>
      <c r="N5" s="101" t="s">
        <v>336</v>
      </c>
      <c r="O5" s="107">
        <v>40910</v>
      </c>
      <c r="P5" s="101" t="s">
        <v>1233</v>
      </c>
      <c r="Q5" s="101" t="s">
        <v>411</v>
      </c>
      <c r="R5" s="101" t="s">
        <v>404</v>
      </c>
      <c r="S5" s="101" t="s">
        <v>1241</v>
      </c>
      <c r="T5" s="104">
        <v>2.66</v>
      </c>
      <c r="U5" s="107">
        <v>48213</v>
      </c>
      <c r="V5" s="103">
        <v>2.7099999999999999E-2</v>
      </c>
      <c r="W5" s="103">
        <v>4.8000000000000001E-2</v>
      </c>
      <c r="X5" s="101" t="s">
        <v>410</v>
      </c>
      <c r="Y5" s="101"/>
      <c r="Z5" s="101" t="s">
        <v>890</v>
      </c>
      <c r="AA5" s="101" t="s">
        <v>893</v>
      </c>
      <c r="AB5" s="107">
        <v>46112</v>
      </c>
      <c r="AC5" s="107"/>
      <c r="AD5" s="104">
        <v>2497722.52</v>
      </c>
      <c r="AE5" s="104">
        <v>1</v>
      </c>
      <c r="AF5" s="104">
        <v>130.00000016014587</v>
      </c>
      <c r="AG5" s="104">
        <v>3247.03928</v>
      </c>
      <c r="AH5" s="102"/>
      <c r="AI5" s="102"/>
      <c r="AJ5" s="101"/>
      <c r="AK5" s="103">
        <v>0.24220800000000001</v>
      </c>
      <c r="AL5" s="103">
        <v>8.0999999999999996E-4</v>
      </c>
    </row>
    <row r="6" spans="1:38" ht="13.5" customHeight="1">
      <c r="A6" s="101">
        <v>274</v>
      </c>
      <c r="B6" s="101">
        <v>274</v>
      </c>
      <c r="C6" s="101" t="s">
        <v>1890</v>
      </c>
      <c r="D6" s="101">
        <v>510687403</v>
      </c>
      <c r="E6" s="101" t="s">
        <v>308</v>
      </c>
      <c r="F6" s="101" t="s">
        <v>1891</v>
      </c>
      <c r="G6" s="101" t="s">
        <v>1892</v>
      </c>
      <c r="H6" s="101" t="s">
        <v>319</v>
      </c>
      <c r="I6" s="101" t="s">
        <v>961</v>
      </c>
      <c r="J6" s="101" t="s">
        <v>202</v>
      </c>
      <c r="K6" s="101" t="s">
        <v>202</v>
      </c>
      <c r="L6" s="101" t="s">
        <v>323</v>
      </c>
      <c r="M6" s="101" t="s">
        <v>462</v>
      </c>
      <c r="N6" s="101" t="s">
        <v>336</v>
      </c>
      <c r="O6" s="107">
        <v>42598</v>
      </c>
      <c r="P6" s="101" t="s">
        <v>1893</v>
      </c>
      <c r="Q6" s="101" t="s">
        <v>411</v>
      </c>
      <c r="R6" s="101" t="s">
        <v>404</v>
      </c>
      <c r="S6" s="101" t="s">
        <v>1241</v>
      </c>
      <c r="T6" s="104">
        <v>0.74</v>
      </c>
      <c r="U6" s="107">
        <v>46568</v>
      </c>
      <c r="V6" s="103">
        <v>4.5199999999999997E-2</v>
      </c>
      <c r="W6" s="103">
        <v>3.1E-2</v>
      </c>
      <c r="X6" s="101" t="s">
        <v>410</v>
      </c>
      <c r="Y6" s="101"/>
      <c r="Z6" s="101" t="s">
        <v>890</v>
      </c>
      <c r="AA6" s="101" t="s">
        <v>893</v>
      </c>
      <c r="AB6" s="107">
        <v>46112</v>
      </c>
      <c r="AC6" s="107"/>
      <c r="AD6" s="104">
        <v>448000.13</v>
      </c>
      <c r="AE6" s="104">
        <v>1</v>
      </c>
      <c r="AF6" s="104">
        <v>99.020000284374916</v>
      </c>
      <c r="AG6" s="104">
        <v>443.60973000000001</v>
      </c>
      <c r="AH6" s="102"/>
      <c r="AI6" s="102"/>
      <c r="AJ6" s="101"/>
      <c r="AK6" s="103">
        <v>3.3090000000000001E-2</v>
      </c>
      <c r="AL6" s="103">
        <v>1.1E-4</v>
      </c>
    </row>
    <row r="7" spans="1:38" ht="13.5" customHeight="1">
      <c r="A7" s="101">
        <v>274</v>
      </c>
      <c r="B7" s="101">
        <v>274</v>
      </c>
      <c r="C7" s="101" t="s">
        <v>1500</v>
      </c>
      <c r="D7" s="101">
        <v>880326081</v>
      </c>
      <c r="E7" s="101" t="s">
        <v>308</v>
      </c>
      <c r="F7" s="101" t="s">
        <v>1894</v>
      </c>
      <c r="G7" s="101" t="s">
        <v>1895</v>
      </c>
      <c r="H7" s="101" t="s">
        <v>319</v>
      </c>
      <c r="I7" s="101" t="s">
        <v>961</v>
      </c>
      <c r="J7" s="101" t="s">
        <v>202</v>
      </c>
      <c r="K7" s="101" t="s">
        <v>202</v>
      </c>
      <c r="L7" s="101" t="s">
        <v>323</v>
      </c>
      <c r="M7" s="101" t="s">
        <v>439</v>
      </c>
      <c r="N7" s="101" t="s">
        <v>336</v>
      </c>
      <c r="O7" s="107">
        <v>44014</v>
      </c>
      <c r="P7" s="101" t="s">
        <v>1896</v>
      </c>
      <c r="Q7" s="101" t="s">
        <v>311</v>
      </c>
      <c r="R7" s="101" t="s">
        <v>404</v>
      </c>
      <c r="S7" s="101" t="s">
        <v>1241</v>
      </c>
      <c r="T7" s="104">
        <v>2.5</v>
      </c>
      <c r="U7" s="107">
        <v>48014</v>
      </c>
      <c r="V7" s="103">
        <v>4.9299999999999997E-2</v>
      </c>
      <c r="W7" s="103">
        <v>3.3500000000000002E-2</v>
      </c>
      <c r="X7" s="101" t="s">
        <v>410</v>
      </c>
      <c r="Y7" s="101"/>
      <c r="Z7" s="101" t="s">
        <v>890</v>
      </c>
      <c r="AA7" s="101" t="s">
        <v>893</v>
      </c>
      <c r="AB7" s="107">
        <v>46112</v>
      </c>
      <c r="AC7" s="107"/>
      <c r="AD7" s="104">
        <v>213678.6</v>
      </c>
      <c r="AE7" s="104">
        <v>1</v>
      </c>
      <c r="AF7" s="104">
        <v>97.239999700484745</v>
      </c>
      <c r="AG7" s="104">
        <v>207.78107</v>
      </c>
      <c r="AH7" s="102"/>
      <c r="AI7" s="102"/>
      <c r="AJ7" s="101"/>
      <c r="AK7" s="103">
        <v>1.5499000000000001E-2</v>
      </c>
      <c r="AL7" s="103">
        <v>5.1E-5</v>
      </c>
    </row>
    <row r="8" spans="1:38" ht="13.5" customHeight="1">
      <c r="A8" s="101">
        <v>274</v>
      </c>
      <c r="B8" s="101">
        <v>274</v>
      </c>
      <c r="C8" s="101" t="s">
        <v>1897</v>
      </c>
      <c r="D8" s="101">
        <v>500102868</v>
      </c>
      <c r="E8" s="101" t="s">
        <v>308</v>
      </c>
      <c r="F8" s="101" t="s">
        <v>1898</v>
      </c>
      <c r="G8" s="101" t="s">
        <v>1899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323</v>
      </c>
      <c r="M8" s="101" t="s">
        <v>475</v>
      </c>
      <c r="N8" s="101" t="s">
        <v>336</v>
      </c>
      <c r="O8" s="107">
        <v>44740</v>
      </c>
      <c r="P8" s="101" t="s">
        <v>1900</v>
      </c>
      <c r="Q8" s="101" t="s">
        <v>311</v>
      </c>
      <c r="R8" s="101" t="s">
        <v>404</v>
      </c>
      <c r="S8" s="101" t="s">
        <v>1241</v>
      </c>
      <c r="T8" s="104">
        <v>3.2</v>
      </c>
      <c r="U8" s="107">
        <v>48213</v>
      </c>
      <c r="V8" s="103">
        <v>2.7099999999999999E-2</v>
      </c>
      <c r="W8" s="103">
        <v>1.55E-2</v>
      </c>
      <c r="X8" s="101" t="s">
        <v>410</v>
      </c>
      <c r="Y8" s="101"/>
      <c r="Z8" s="101" t="s">
        <v>890</v>
      </c>
      <c r="AA8" s="101" t="s">
        <v>893</v>
      </c>
      <c r="AB8" s="107">
        <v>46112</v>
      </c>
      <c r="AC8" s="107"/>
      <c r="AD8" s="104">
        <v>697500</v>
      </c>
      <c r="AE8" s="104">
        <v>1</v>
      </c>
      <c r="AF8" s="104">
        <v>108.02000000000001</v>
      </c>
      <c r="AG8" s="104">
        <v>753.43949999999995</v>
      </c>
      <c r="AH8" s="102"/>
      <c r="AI8" s="102"/>
      <c r="AJ8" s="101"/>
      <c r="AK8" s="103">
        <v>5.6201000000000001E-2</v>
      </c>
      <c r="AL8" s="103">
        <v>1.8799999999999999E-4</v>
      </c>
    </row>
    <row r="9" spans="1:38" ht="13.5" customHeight="1">
      <c r="A9" s="101">
        <v>274</v>
      </c>
      <c r="B9" s="101">
        <v>274</v>
      </c>
      <c r="C9" s="101" t="s">
        <v>1897</v>
      </c>
      <c r="D9" s="101">
        <v>500102868</v>
      </c>
      <c r="E9" s="101" t="s">
        <v>308</v>
      </c>
      <c r="F9" s="101" t="s">
        <v>1901</v>
      </c>
      <c r="G9" s="101" t="s">
        <v>1902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323</v>
      </c>
      <c r="M9" s="101" t="s">
        <v>475</v>
      </c>
      <c r="N9" s="101" t="s">
        <v>336</v>
      </c>
      <c r="O9" s="107">
        <v>44740</v>
      </c>
      <c r="P9" s="101" t="s">
        <v>1900</v>
      </c>
      <c r="Q9" s="101" t="s">
        <v>311</v>
      </c>
      <c r="R9" s="101" t="s">
        <v>404</v>
      </c>
      <c r="S9" s="101" t="s">
        <v>1241</v>
      </c>
      <c r="T9" s="104">
        <v>6.11</v>
      </c>
      <c r="U9" s="107">
        <v>50040</v>
      </c>
      <c r="V9" s="103">
        <v>2.7699999999999999E-2</v>
      </c>
      <c r="W9" s="103">
        <v>1.7500000000000002E-2</v>
      </c>
      <c r="X9" s="101" t="s">
        <v>410</v>
      </c>
      <c r="Y9" s="101"/>
      <c r="Z9" s="101" t="s">
        <v>890</v>
      </c>
      <c r="AA9" s="101" t="s">
        <v>893</v>
      </c>
      <c r="AB9" s="107">
        <v>46112</v>
      </c>
      <c r="AC9" s="107"/>
      <c r="AD9" s="104">
        <v>673200</v>
      </c>
      <c r="AE9" s="104">
        <v>1</v>
      </c>
      <c r="AF9" s="104">
        <v>105.42</v>
      </c>
      <c r="AG9" s="104">
        <v>709.68744000000004</v>
      </c>
      <c r="AH9" s="102"/>
      <c r="AI9" s="102"/>
      <c r="AJ9" s="101"/>
      <c r="AK9" s="103">
        <v>5.2937999999999999E-2</v>
      </c>
      <c r="AL9" s="103">
        <v>1.7699999999999999E-4</v>
      </c>
    </row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8" t="s">
        <v>95</v>
      </c>
      <c r="P1" s="21" t="s">
        <v>60</v>
      </c>
      <c r="Q1" s="21" t="s">
        <v>101</v>
      </c>
      <c r="R1" s="21" t="s">
        <v>102</v>
      </c>
      <c r="S1" s="108" t="s">
        <v>104</v>
      </c>
      <c r="T1" s="108" t="s">
        <v>105</v>
      </c>
      <c r="U1" s="105" t="s">
        <v>76</v>
      </c>
      <c r="V1" s="105" t="s">
        <v>62</v>
      </c>
      <c r="W1" s="105" t="s">
        <v>77</v>
      </c>
      <c r="X1" s="105" t="s">
        <v>16</v>
      </c>
      <c r="Y1" s="109" t="s">
        <v>64</v>
      </c>
      <c r="Z1" s="109" t="s">
        <v>65</v>
      </c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1"/>
      <c r="S2" s="107"/>
      <c r="T2" s="107"/>
      <c r="U2" s="104"/>
      <c r="V2" s="104"/>
      <c r="W2" s="104"/>
      <c r="X2" s="104"/>
      <c r="Y2" s="103"/>
      <c r="Z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274</v>
      </c>
      <c r="B2" s="101">
        <v>274</v>
      </c>
      <c r="C2" s="101" t="s">
        <v>1903</v>
      </c>
      <c r="D2" s="101"/>
      <c r="E2" s="101"/>
      <c r="F2" s="101" t="s">
        <v>1904</v>
      </c>
      <c r="G2" s="101">
        <v>6254</v>
      </c>
      <c r="H2" s="101" t="s">
        <v>311</v>
      </c>
      <c r="I2" s="101" t="s">
        <v>1023</v>
      </c>
      <c r="J2" s="101"/>
      <c r="K2" s="101" t="s">
        <v>202</v>
      </c>
      <c r="L2" s="101"/>
      <c r="M2" s="101"/>
      <c r="N2" s="101" t="s">
        <v>202</v>
      </c>
      <c r="O2" s="101" t="s">
        <v>336</v>
      </c>
      <c r="P2" s="107">
        <v>40542</v>
      </c>
      <c r="Q2" s="101" t="s">
        <v>1241</v>
      </c>
      <c r="R2" s="101" t="s">
        <v>889</v>
      </c>
      <c r="S2" s="101" t="s">
        <v>893</v>
      </c>
      <c r="T2" s="107">
        <v>46112</v>
      </c>
      <c r="U2" s="104">
        <v>1</v>
      </c>
      <c r="V2" s="102">
        <v>2480.2810599999998</v>
      </c>
      <c r="W2" s="104">
        <v>2480.2810599999998</v>
      </c>
      <c r="X2" s="103">
        <v>1.8E-5</v>
      </c>
      <c r="Y2" s="103">
        <v>1</v>
      </c>
      <c r="Z2" s="103">
        <v>6.1899999999999998E-4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7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4.12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6" bestFit="1" customWidth="1"/>
    <col min="14" max="14" width="14.125" bestFit="1" customWidth="1"/>
    <col min="15" max="15" width="10.625" customWidth="1"/>
    <col min="16" max="16" width="9.75" bestFit="1" customWidth="1"/>
    <col min="17" max="17" width="9.625" bestFit="1" customWidth="1"/>
    <col min="18" max="18" width="10.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7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1.75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43" width="10.625" hidden="1" customWidth="1"/>
    <col min="44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5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1">
        <v>274</v>
      </c>
      <c r="B2" s="101">
        <v>274</v>
      </c>
      <c r="C2" s="101" t="s">
        <v>1039</v>
      </c>
      <c r="D2" s="101">
        <v>76021601</v>
      </c>
      <c r="E2" s="101" t="s">
        <v>1249</v>
      </c>
      <c r="F2" s="104">
        <v>3.165</v>
      </c>
      <c r="G2" s="104">
        <v>-30000</v>
      </c>
      <c r="H2" s="104">
        <v>-30</v>
      </c>
      <c r="I2" s="103">
        <v>-1.093717969193241E-3</v>
      </c>
      <c r="J2" s="103">
        <v>-2.369834675347155E-5</v>
      </c>
      <c r="K2" s="101">
        <v>760216010</v>
      </c>
      <c r="L2" s="101" t="s">
        <v>1241</v>
      </c>
      <c r="M2" s="104">
        <v>1</v>
      </c>
      <c r="N2" s="104">
        <v>30000</v>
      </c>
      <c r="O2" s="104">
        <v>95.400689999999997</v>
      </c>
      <c r="P2" s="103">
        <v>2.3810833408535499E-5</v>
      </c>
      <c r="Q2" s="103">
        <v>-6.5035215741394503E-3</v>
      </c>
      <c r="R2" s="104">
        <v>0.45068999999999998</v>
      </c>
      <c r="S2" s="101" t="s">
        <v>202</v>
      </c>
      <c r="T2" s="101" t="s">
        <v>202</v>
      </c>
      <c r="U2" s="101" t="s">
        <v>744</v>
      </c>
      <c r="V2" s="101" t="s">
        <v>313</v>
      </c>
      <c r="W2" s="101" t="s">
        <v>934</v>
      </c>
      <c r="X2" s="101" t="s">
        <v>1910</v>
      </c>
      <c r="Y2" s="101" t="s">
        <v>336</v>
      </c>
      <c r="Z2" s="107">
        <v>46029</v>
      </c>
      <c r="AA2" s="107">
        <v>46398</v>
      </c>
      <c r="AB2" s="101" t="s">
        <v>903</v>
      </c>
      <c r="AC2" s="101" t="s">
        <v>904</v>
      </c>
      <c r="AD2" s="101" t="s">
        <v>917</v>
      </c>
      <c r="AE2" s="101" t="s">
        <v>920</v>
      </c>
      <c r="AF2" s="101" t="s">
        <v>903</v>
      </c>
      <c r="AG2" s="101" t="s">
        <v>903</v>
      </c>
      <c r="AH2" s="103"/>
      <c r="AI2" s="104">
        <v>3.1749999999999998</v>
      </c>
      <c r="AJ2" s="104"/>
      <c r="AK2" s="101"/>
      <c r="AL2" s="103"/>
      <c r="AM2" s="101" t="s">
        <v>1905</v>
      </c>
      <c r="AN2" s="103">
        <v>-4.1716906090965373E-4</v>
      </c>
      <c r="AO2" s="103">
        <v>1.1248665506395042E-7</v>
      </c>
    </row>
    <row r="3" spans="1:41" ht="13.5" customHeight="1">
      <c r="A3" s="101">
        <v>274</v>
      </c>
      <c r="B3" s="101">
        <v>274</v>
      </c>
      <c r="C3" s="101" t="s">
        <v>1037</v>
      </c>
      <c r="D3" s="101">
        <v>31011190</v>
      </c>
      <c r="E3" s="101" t="s">
        <v>1241</v>
      </c>
      <c r="F3" s="104">
        <v>1</v>
      </c>
      <c r="G3" s="104">
        <v>900000</v>
      </c>
      <c r="H3" s="104">
        <v>1125.58653</v>
      </c>
      <c r="I3" s="103">
        <v>4.1035807124762236E-2</v>
      </c>
      <c r="J3" s="103">
        <v>2.8093248961534291E-4</v>
      </c>
      <c r="K3" s="101">
        <v>310111900</v>
      </c>
      <c r="L3" s="101" t="s">
        <v>1241</v>
      </c>
      <c r="M3" s="104">
        <v>1</v>
      </c>
      <c r="N3" s="104">
        <v>-900000</v>
      </c>
      <c r="O3" s="104">
        <v>-1165.635</v>
      </c>
      <c r="P3" s="103">
        <v>-2.9092809286975049E-4</v>
      </c>
      <c r="Q3" s="103">
        <v>7.9462028734509554E-2</v>
      </c>
      <c r="R3" s="104">
        <v>-40.048470000000002</v>
      </c>
      <c r="S3" s="101" t="s">
        <v>202</v>
      </c>
      <c r="T3" s="101" t="s">
        <v>202</v>
      </c>
      <c r="U3" s="101" t="s">
        <v>742</v>
      </c>
      <c r="V3" s="101" t="s">
        <v>313</v>
      </c>
      <c r="W3" s="101" t="s">
        <v>932</v>
      </c>
      <c r="X3" s="101" t="s">
        <v>1917</v>
      </c>
      <c r="Y3" s="101" t="s">
        <v>336</v>
      </c>
      <c r="Z3" s="107">
        <v>44648</v>
      </c>
      <c r="AA3" s="107">
        <v>48652</v>
      </c>
      <c r="AB3" s="101" t="s">
        <v>903</v>
      </c>
      <c r="AC3" s="101" t="s">
        <v>905</v>
      </c>
      <c r="AD3" s="101" t="s">
        <v>917</v>
      </c>
      <c r="AE3" s="101" t="s">
        <v>920</v>
      </c>
      <c r="AF3" s="101" t="s">
        <v>903</v>
      </c>
      <c r="AG3" s="101" t="s">
        <v>903</v>
      </c>
      <c r="AH3" s="103"/>
      <c r="AI3" s="104">
        <v>1</v>
      </c>
      <c r="AJ3" s="104"/>
      <c r="AK3" s="101"/>
      <c r="AL3" s="103"/>
      <c r="AM3" s="101" t="s">
        <v>1906</v>
      </c>
      <c r="AN3" s="103">
        <v>3.7069787705004416E-2</v>
      </c>
      <c r="AO3" s="103">
        <v>-9.9956032544076124E-6</v>
      </c>
    </row>
    <row r="4" spans="1:41" ht="13.5" customHeight="1">
      <c r="A4" s="101">
        <v>274</v>
      </c>
      <c r="B4" s="101">
        <v>274</v>
      </c>
      <c r="C4" s="101" t="s">
        <v>1037</v>
      </c>
      <c r="D4" s="101">
        <v>31010411</v>
      </c>
      <c r="E4" s="101" t="s">
        <v>1241</v>
      </c>
      <c r="F4" s="104">
        <v>1</v>
      </c>
      <c r="G4" s="104">
        <v>1082000</v>
      </c>
      <c r="H4" s="104">
        <v>1342.9852699999999</v>
      </c>
      <c r="I4" s="103">
        <v>4.8961570738694546E-2</v>
      </c>
      <c r="J4" s="103">
        <v>3.3519252883901641E-4</v>
      </c>
      <c r="K4" s="101">
        <v>310104110</v>
      </c>
      <c r="L4" s="101" t="s">
        <v>1241</v>
      </c>
      <c r="M4" s="104">
        <v>1</v>
      </c>
      <c r="N4" s="104">
        <v>-1082000</v>
      </c>
      <c r="O4" s="104">
        <v>-1376.9649999999999</v>
      </c>
      <c r="P4" s="103">
        <v>-3.4367344957760872E-4</v>
      </c>
      <c r="Q4" s="103">
        <v>9.3868520073963069E-2</v>
      </c>
      <c r="R4" s="104">
        <v>-33.979730000000004</v>
      </c>
      <c r="S4" s="101" t="s">
        <v>202</v>
      </c>
      <c r="T4" s="101" t="s">
        <v>202</v>
      </c>
      <c r="U4" s="101" t="s">
        <v>742</v>
      </c>
      <c r="V4" s="101" t="s">
        <v>313</v>
      </c>
      <c r="W4" s="101" t="s">
        <v>932</v>
      </c>
      <c r="X4" s="101" t="s">
        <v>1917</v>
      </c>
      <c r="Y4" s="101" t="s">
        <v>336</v>
      </c>
      <c r="Z4" s="107">
        <v>45628</v>
      </c>
      <c r="AA4" s="107">
        <v>49023</v>
      </c>
      <c r="AB4" s="101" t="s">
        <v>903</v>
      </c>
      <c r="AC4" s="101" t="s">
        <v>905</v>
      </c>
      <c r="AD4" s="101" t="s">
        <v>917</v>
      </c>
      <c r="AE4" s="101" t="s">
        <v>920</v>
      </c>
      <c r="AF4" s="101" t="s">
        <v>903</v>
      </c>
      <c r="AG4" s="101" t="s">
        <v>903</v>
      </c>
      <c r="AH4" s="103"/>
      <c r="AI4" s="104">
        <v>1</v>
      </c>
      <c r="AJ4" s="104"/>
      <c r="AK4" s="101"/>
      <c r="AL4" s="103"/>
      <c r="AM4" s="101" t="s">
        <v>1907</v>
      </c>
      <c r="AN4" s="103">
        <v>3.1452421962021769E-2</v>
      </c>
      <c r="AO4" s="103">
        <v>-8.4809207385923098E-6</v>
      </c>
    </row>
    <row r="5" spans="1:41" ht="13.5" customHeight="1">
      <c r="A5" s="101">
        <v>274</v>
      </c>
      <c r="B5" s="101">
        <v>274</v>
      </c>
      <c r="C5" s="101" t="s">
        <v>1043</v>
      </c>
      <c r="D5" s="101">
        <v>31011198</v>
      </c>
      <c r="E5" s="101" t="s">
        <v>1249</v>
      </c>
      <c r="F5" s="104">
        <v>3.165</v>
      </c>
      <c r="G5" s="104">
        <v>347</v>
      </c>
      <c r="H5" s="104">
        <v>-161.97162</v>
      </c>
      <c r="I5" s="103">
        <v>-5.9050423764446447E-3</v>
      </c>
      <c r="J5" s="103">
        <v>-1.2794865383271758E-4</v>
      </c>
      <c r="K5" s="101">
        <v>31011199</v>
      </c>
      <c r="L5" s="101" t="s">
        <v>1249</v>
      </c>
      <c r="M5" s="104">
        <v>3.165</v>
      </c>
      <c r="N5" s="104">
        <v>-347</v>
      </c>
      <c r="O5" s="104">
        <v>-83.895030000000006</v>
      </c>
      <c r="P5" s="103">
        <v>-6.6272450394429941E-5</v>
      </c>
      <c r="Q5" s="103">
        <v>5.7191739133970257E-3</v>
      </c>
      <c r="R5" s="104">
        <v>-778.16794725</v>
      </c>
      <c r="S5" s="101" t="s">
        <v>202</v>
      </c>
      <c r="T5" s="101" t="s">
        <v>288</v>
      </c>
      <c r="U5" s="101" t="s">
        <v>745</v>
      </c>
      <c r="V5" s="101" t="s">
        <v>313</v>
      </c>
      <c r="W5" s="101" t="s">
        <v>932</v>
      </c>
      <c r="X5" s="101" t="s">
        <v>1908</v>
      </c>
      <c r="Y5" s="101" t="s">
        <v>336</v>
      </c>
      <c r="Z5" s="107">
        <v>45958</v>
      </c>
      <c r="AA5" s="107">
        <v>46322</v>
      </c>
      <c r="AB5" s="101" t="s">
        <v>903</v>
      </c>
      <c r="AC5" s="101" t="s">
        <v>905</v>
      </c>
      <c r="AD5" s="101" t="s">
        <v>917</v>
      </c>
      <c r="AE5" s="101" t="s">
        <v>920</v>
      </c>
      <c r="AF5" s="101" t="s">
        <v>903</v>
      </c>
      <c r="AG5" s="101" t="s">
        <v>903</v>
      </c>
      <c r="AH5" s="103"/>
      <c r="AI5" s="104">
        <v>14164.966</v>
      </c>
      <c r="AJ5" s="104"/>
      <c r="AK5" s="101"/>
      <c r="AL5" s="103"/>
      <c r="AM5" s="101" t="s">
        <v>1907</v>
      </c>
      <c r="AN5" s="103">
        <v>0.72029020343090699</v>
      </c>
      <c r="AO5" s="103">
        <v>-1.9422110422714751E-4</v>
      </c>
    </row>
    <row r="6" spans="1:41" ht="13.5" customHeight="1">
      <c r="A6" s="101">
        <v>274</v>
      </c>
      <c r="B6" s="101">
        <v>274</v>
      </c>
      <c r="C6" s="101" t="s">
        <v>1037</v>
      </c>
      <c r="D6" s="101">
        <v>31011130</v>
      </c>
      <c r="E6" s="101" t="s">
        <v>1241</v>
      </c>
      <c r="F6" s="104">
        <v>1</v>
      </c>
      <c r="G6" s="104">
        <v>1900000</v>
      </c>
      <c r="H6" s="104">
        <v>2434.5066099999999</v>
      </c>
      <c r="I6" s="103">
        <v>8.8755454182557383E-2</v>
      </c>
      <c r="J6" s="103">
        <v>6.0762276795575069E-4</v>
      </c>
      <c r="K6" s="101">
        <v>310111300</v>
      </c>
      <c r="L6" s="101" t="s">
        <v>1241</v>
      </c>
      <c r="M6" s="104">
        <v>1</v>
      </c>
      <c r="N6" s="104">
        <v>-1900000</v>
      </c>
      <c r="O6" s="104">
        <v>-2386.2840000000001</v>
      </c>
      <c r="P6" s="103">
        <v>-5.9558700036083307E-4</v>
      </c>
      <c r="Q6" s="103">
        <v>0.16267439445169407</v>
      </c>
      <c r="R6" s="104">
        <v>48.222610000000003</v>
      </c>
      <c r="S6" s="101" t="s">
        <v>202</v>
      </c>
      <c r="T6" s="101" t="s">
        <v>202</v>
      </c>
      <c r="U6" s="101" t="s">
        <v>742</v>
      </c>
      <c r="V6" s="101" t="s">
        <v>313</v>
      </c>
      <c r="W6" s="101" t="s">
        <v>932</v>
      </c>
      <c r="X6" s="101" t="s">
        <v>1917</v>
      </c>
      <c r="Y6" s="101" t="s">
        <v>336</v>
      </c>
      <c r="Z6" s="107">
        <v>44718</v>
      </c>
      <c r="AA6" s="107">
        <v>48219</v>
      </c>
      <c r="AB6" s="101" t="s">
        <v>903</v>
      </c>
      <c r="AC6" s="101" t="s">
        <v>905</v>
      </c>
      <c r="AD6" s="101" t="s">
        <v>917</v>
      </c>
      <c r="AE6" s="101" t="s">
        <v>920</v>
      </c>
      <c r="AF6" s="101" t="s">
        <v>903</v>
      </c>
      <c r="AG6" s="101" t="s">
        <v>903</v>
      </c>
      <c r="AH6" s="103"/>
      <c r="AI6" s="104">
        <v>1</v>
      </c>
      <c r="AJ6" s="104"/>
      <c r="AK6" s="101"/>
      <c r="AL6" s="103"/>
      <c r="AM6" s="101" t="s">
        <v>1907</v>
      </c>
      <c r="AN6" s="103">
        <v>-4.4635960257188932E-2</v>
      </c>
      <c r="AO6" s="103">
        <v>1.2035767594917586E-5</v>
      </c>
    </row>
    <row r="7" spans="1:41" ht="13.5" customHeight="1">
      <c r="A7" s="101">
        <v>274</v>
      </c>
      <c r="B7" s="101">
        <v>274</v>
      </c>
      <c r="C7" s="101" t="s">
        <v>1037</v>
      </c>
      <c r="D7" s="101">
        <v>31011197</v>
      </c>
      <c r="E7" s="101" t="s">
        <v>1241</v>
      </c>
      <c r="F7" s="104">
        <v>1</v>
      </c>
      <c r="G7" s="104">
        <v>1200000</v>
      </c>
      <c r="H7" s="104">
        <v>-1517.5887319042181</v>
      </c>
      <c r="I7" s="103">
        <v>-5.5327135530960914E-2</v>
      </c>
      <c r="J7" s="103">
        <v>-3.7877139544841845E-4</v>
      </c>
      <c r="K7" s="101">
        <v>310111970</v>
      </c>
      <c r="L7" s="101" t="s">
        <v>1241</v>
      </c>
      <c r="M7" s="104">
        <v>1</v>
      </c>
      <c r="N7" s="104">
        <v>-1200000</v>
      </c>
      <c r="O7" s="104">
        <v>1491.7299319042181</v>
      </c>
      <c r="P7" s="103">
        <v>3.7231735849182373E-4</v>
      </c>
      <c r="Q7" s="103">
        <v>-0.10169211349444807</v>
      </c>
      <c r="R7" s="104">
        <v>-25.858799999999999</v>
      </c>
      <c r="S7" s="101" t="s">
        <v>202</v>
      </c>
      <c r="T7" s="101" t="s">
        <v>202</v>
      </c>
      <c r="U7" s="101" t="s">
        <v>742</v>
      </c>
      <c r="V7" s="101" t="s">
        <v>313</v>
      </c>
      <c r="W7" s="101" t="s">
        <v>932</v>
      </c>
      <c r="X7" s="101" t="s">
        <v>1917</v>
      </c>
      <c r="Y7" s="101" t="s">
        <v>336</v>
      </c>
      <c r="Z7" s="107">
        <v>45768</v>
      </c>
      <c r="AA7" s="107">
        <v>49420</v>
      </c>
      <c r="AB7" s="101" t="s">
        <v>903</v>
      </c>
      <c r="AC7" s="101" t="s">
        <v>905</v>
      </c>
      <c r="AD7" s="101" t="s">
        <v>917</v>
      </c>
      <c r="AE7" s="101" t="s">
        <v>920</v>
      </c>
      <c r="AF7" s="101" t="s">
        <v>903</v>
      </c>
      <c r="AG7" s="101" t="s">
        <v>903</v>
      </c>
      <c r="AH7" s="103"/>
      <c r="AI7" s="104">
        <v>1</v>
      </c>
      <c r="AJ7" s="104"/>
      <c r="AK7" s="101"/>
      <c r="AL7" s="103"/>
      <c r="AM7" s="101" t="s">
        <v>1907</v>
      </c>
      <c r="AN7" s="103">
        <v>2.39355018133319E-2</v>
      </c>
      <c r="AO7" s="103">
        <v>-6.454036956594735E-6</v>
      </c>
    </row>
    <row r="8" spans="1:41" ht="13.5" customHeight="1">
      <c r="A8" s="101">
        <v>274</v>
      </c>
      <c r="B8" s="101">
        <v>274</v>
      </c>
      <c r="C8" s="101" t="s">
        <v>1037</v>
      </c>
      <c r="D8" s="101">
        <v>31011170</v>
      </c>
      <c r="E8" s="101" t="s">
        <v>1241</v>
      </c>
      <c r="F8" s="104">
        <v>1</v>
      </c>
      <c r="G8" s="104">
        <v>2500000</v>
      </c>
      <c r="H8" s="104">
        <v>3272.2654981905998</v>
      </c>
      <c r="I8" s="103">
        <v>0.1192978525114044</v>
      </c>
      <c r="J8" s="103">
        <v>8.1671703470818501E-4</v>
      </c>
      <c r="K8" s="101">
        <v>310111700</v>
      </c>
      <c r="L8" s="101" t="s">
        <v>1241</v>
      </c>
      <c r="M8" s="104">
        <v>1</v>
      </c>
      <c r="N8" s="104">
        <v>-2500000</v>
      </c>
      <c r="O8" s="104">
        <v>-3156.7688381906</v>
      </c>
      <c r="P8" s="103">
        <v>-7.8789049550283686E-4</v>
      </c>
      <c r="Q8" s="103">
        <v>0.21519880247976925</v>
      </c>
      <c r="R8" s="104">
        <v>115.49666000000001</v>
      </c>
      <c r="S8" s="101" t="s">
        <v>202</v>
      </c>
      <c r="T8" s="101" t="s">
        <v>202</v>
      </c>
      <c r="U8" s="101" t="s">
        <v>742</v>
      </c>
      <c r="V8" s="101" t="s">
        <v>313</v>
      </c>
      <c r="W8" s="101" t="s">
        <v>932</v>
      </c>
      <c r="X8" s="101" t="s">
        <v>1917</v>
      </c>
      <c r="Y8" s="101" t="s">
        <v>336</v>
      </c>
      <c r="Z8" s="107">
        <v>45152</v>
      </c>
      <c r="AA8" s="107">
        <v>46425</v>
      </c>
      <c r="AB8" s="101" t="s">
        <v>903</v>
      </c>
      <c r="AC8" s="101" t="s">
        <v>905</v>
      </c>
      <c r="AD8" s="101" t="s">
        <v>917</v>
      </c>
      <c r="AE8" s="101" t="s">
        <v>920</v>
      </c>
      <c r="AF8" s="101" t="s">
        <v>903</v>
      </c>
      <c r="AG8" s="101" t="s">
        <v>903</v>
      </c>
      <c r="AH8" s="103"/>
      <c r="AI8" s="104">
        <v>1</v>
      </c>
      <c r="AJ8" s="104"/>
      <c r="AK8" s="101"/>
      <c r="AL8" s="103"/>
      <c r="AM8" s="101" t="s">
        <v>1905</v>
      </c>
      <c r="AN8" s="103">
        <v>-0.10690637287359731</v>
      </c>
      <c r="AO8" s="103">
        <v>2.8826539205348155E-5</v>
      </c>
    </row>
    <row r="9" spans="1:41" ht="13.5" customHeight="1">
      <c r="A9" s="101">
        <v>274</v>
      </c>
      <c r="B9" s="101">
        <v>274</v>
      </c>
      <c r="C9" s="101" t="s">
        <v>1039</v>
      </c>
      <c r="D9" s="101">
        <v>76021620</v>
      </c>
      <c r="E9" s="101" t="s">
        <v>1249</v>
      </c>
      <c r="F9" s="104">
        <v>3.165</v>
      </c>
      <c r="G9" s="104">
        <v>-100000</v>
      </c>
      <c r="H9" s="104">
        <v>-100</v>
      </c>
      <c r="I9" s="103">
        <v>-3.6457265639774699E-3</v>
      </c>
      <c r="J9" s="103">
        <v>-7.8994489178238494E-5</v>
      </c>
      <c r="K9" s="101">
        <v>760216200</v>
      </c>
      <c r="L9" s="101" t="s">
        <v>1241</v>
      </c>
      <c r="M9" s="104">
        <v>1</v>
      </c>
      <c r="N9" s="104">
        <v>100000</v>
      </c>
      <c r="O9" s="104">
        <v>310.88373000000001</v>
      </c>
      <c r="P9" s="103">
        <v>7.759273758349264E-5</v>
      </c>
      <c r="Q9" s="103">
        <v>-2.1193128111588543E-2</v>
      </c>
      <c r="R9" s="104">
        <v>-5.6162700000000001</v>
      </c>
      <c r="S9" s="101" t="s">
        <v>202</v>
      </c>
      <c r="T9" s="101" t="s">
        <v>202</v>
      </c>
      <c r="U9" s="101" t="s">
        <v>744</v>
      </c>
      <c r="V9" s="101" t="s">
        <v>313</v>
      </c>
      <c r="W9" s="101" t="s">
        <v>934</v>
      </c>
      <c r="X9" s="101" t="s">
        <v>1910</v>
      </c>
      <c r="Y9" s="101" t="s">
        <v>336</v>
      </c>
      <c r="Z9" s="107">
        <v>46062</v>
      </c>
      <c r="AA9" s="107">
        <v>46342</v>
      </c>
      <c r="AB9" s="101" t="s">
        <v>903</v>
      </c>
      <c r="AC9" s="101" t="s">
        <v>904</v>
      </c>
      <c r="AD9" s="101" t="s">
        <v>917</v>
      </c>
      <c r="AE9" s="101" t="s">
        <v>920</v>
      </c>
      <c r="AF9" s="101" t="s">
        <v>903</v>
      </c>
      <c r="AG9" s="101" t="s">
        <v>903</v>
      </c>
      <c r="AH9" s="103"/>
      <c r="AI9" s="104">
        <v>3.1059999999999999</v>
      </c>
      <c r="AJ9" s="104"/>
      <c r="AK9" s="101"/>
      <c r="AL9" s="103"/>
      <c r="AM9" s="101" t="s">
        <v>1905</v>
      </c>
      <c r="AN9" s="103">
        <v>5.1985490730104087E-3</v>
      </c>
      <c r="AO9" s="103">
        <v>-1.4017515947458627E-6</v>
      </c>
    </row>
    <row r="10" spans="1:41" ht="13.5" customHeight="1">
      <c r="A10" s="101">
        <v>274</v>
      </c>
      <c r="B10" s="101">
        <v>274</v>
      </c>
      <c r="C10" s="101" t="s">
        <v>1039</v>
      </c>
      <c r="D10" s="101">
        <v>76021624</v>
      </c>
      <c r="E10" s="101" t="s">
        <v>1249</v>
      </c>
      <c r="F10" s="104">
        <v>3.165</v>
      </c>
      <c r="G10" s="104">
        <v>-1000000</v>
      </c>
      <c r="H10" s="104">
        <v>-1000</v>
      </c>
      <c r="I10" s="103">
        <v>-3.6457265639774701E-2</v>
      </c>
      <c r="J10" s="103">
        <v>-7.8994489178238491E-4</v>
      </c>
      <c r="K10" s="101">
        <v>760216240</v>
      </c>
      <c r="L10" s="101" t="s">
        <v>1241</v>
      </c>
      <c r="M10" s="104">
        <v>1</v>
      </c>
      <c r="N10" s="104">
        <v>1000000</v>
      </c>
      <c r="O10" s="104">
        <v>3147.1875700000001</v>
      </c>
      <c r="P10" s="103">
        <v>7.8549912935308602E-4</v>
      </c>
      <c r="Q10" s="103">
        <v>-0.21454564174911642</v>
      </c>
      <c r="R10" s="104">
        <v>-17.812429999999999</v>
      </c>
      <c r="S10" s="101" t="s">
        <v>202</v>
      </c>
      <c r="T10" s="101" t="s">
        <v>202</v>
      </c>
      <c r="U10" s="101" t="s">
        <v>744</v>
      </c>
      <c r="V10" s="101" t="s">
        <v>313</v>
      </c>
      <c r="W10" s="101" t="s">
        <v>934</v>
      </c>
      <c r="X10" s="101" t="s">
        <v>1910</v>
      </c>
      <c r="Y10" s="101" t="s">
        <v>336</v>
      </c>
      <c r="Z10" s="107">
        <v>46072</v>
      </c>
      <c r="AA10" s="107">
        <v>46196</v>
      </c>
      <c r="AB10" s="101" t="s">
        <v>903</v>
      </c>
      <c r="AC10" s="101" t="s">
        <v>904</v>
      </c>
      <c r="AD10" s="101" t="s">
        <v>917</v>
      </c>
      <c r="AE10" s="101" t="s">
        <v>920</v>
      </c>
      <c r="AF10" s="101" t="s">
        <v>903</v>
      </c>
      <c r="AG10" s="101" t="s">
        <v>903</v>
      </c>
      <c r="AH10" s="103"/>
      <c r="AI10" s="104">
        <v>3.1360000000000001</v>
      </c>
      <c r="AJ10" s="104"/>
      <c r="AK10" s="101"/>
      <c r="AL10" s="103"/>
      <c r="AM10" s="101" t="s">
        <v>1907</v>
      </c>
      <c r="AN10" s="103">
        <v>1.6487596120657089E-2</v>
      </c>
      <c r="AO10" s="103">
        <v>-4.4457624292989915E-6</v>
      </c>
    </row>
    <row r="11" spans="1:41" ht="13.5" customHeight="1">
      <c r="A11" s="101">
        <v>274</v>
      </c>
      <c r="B11" s="101">
        <v>274</v>
      </c>
      <c r="C11" s="101" t="s">
        <v>1037</v>
      </c>
      <c r="D11" s="101">
        <v>31011191</v>
      </c>
      <c r="E11" s="101" t="s">
        <v>1241</v>
      </c>
      <c r="F11" s="104">
        <v>1</v>
      </c>
      <c r="G11" s="104">
        <v>1600000</v>
      </c>
      <c r="H11" s="104">
        <v>1992.7375099999999</v>
      </c>
      <c r="I11" s="103">
        <v>7.2649760752413195E-2</v>
      </c>
      <c r="J11" s="103">
        <v>4.9736265930099498E-4</v>
      </c>
      <c r="K11" s="101">
        <v>310111910</v>
      </c>
      <c r="L11" s="101" t="s">
        <v>1241</v>
      </c>
      <c r="M11" s="104">
        <v>1</v>
      </c>
      <c r="N11" s="104">
        <v>-1600000</v>
      </c>
      <c r="O11" s="104">
        <v>-2054.1379999999999</v>
      </c>
      <c r="P11" s="103">
        <v>-5.1268746291187512E-4</v>
      </c>
      <c r="Q11" s="103">
        <v>0.14003180479365152</v>
      </c>
      <c r="R11" s="104">
        <v>-61.400489999999998</v>
      </c>
      <c r="S11" s="101" t="s">
        <v>202</v>
      </c>
      <c r="T11" s="101" t="s">
        <v>202</v>
      </c>
      <c r="U11" s="101" t="s">
        <v>742</v>
      </c>
      <c r="V11" s="101" t="s">
        <v>313</v>
      </c>
      <c r="W11" s="101" t="s">
        <v>932</v>
      </c>
      <c r="X11" s="101" t="s">
        <v>1917</v>
      </c>
      <c r="Y11" s="101" t="s">
        <v>336</v>
      </c>
      <c r="Z11" s="107">
        <v>44718</v>
      </c>
      <c r="AA11" s="107">
        <v>48715</v>
      </c>
      <c r="AB11" s="101" t="s">
        <v>903</v>
      </c>
      <c r="AC11" s="101" t="s">
        <v>905</v>
      </c>
      <c r="AD11" s="101" t="s">
        <v>917</v>
      </c>
      <c r="AE11" s="101" t="s">
        <v>920</v>
      </c>
      <c r="AF11" s="101" t="s">
        <v>903</v>
      </c>
      <c r="AG11" s="101" t="s">
        <v>903</v>
      </c>
      <c r="AH11" s="103"/>
      <c r="AI11" s="104">
        <v>1</v>
      </c>
      <c r="AJ11" s="104"/>
      <c r="AK11" s="101"/>
      <c r="AL11" s="103"/>
      <c r="AM11" s="101" t="s">
        <v>1906</v>
      </c>
      <c r="AN11" s="103">
        <v>5.6833709984008045E-2</v>
      </c>
      <c r="AO11" s="103">
        <v>-1.5324803610880064E-5</v>
      </c>
    </row>
    <row r="12" spans="1:41" ht="13.5" customHeight="1">
      <c r="A12" s="101">
        <v>274</v>
      </c>
      <c r="B12" s="101">
        <v>274</v>
      </c>
      <c r="C12" s="101" t="s">
        <v>1039</v>
      </c>
      <c r="D12" s="101">
        <v>76021616</v>
      </c>
      <c r="E12" s="101" t="s">
        <v>1249</v>
      </c>
      <c r="F12" s="104">
        <v>3.165</v>
      </c>
      <c r="G12" s="104">
        <v>-300000</v>
      </c>
      <c r="H12" s="104">
        <v>-300</v>
      </c>
      <c r="I12" s="103">
        <v>-1.0937179691932411E-2</v>
      </c>
      <c r="J12" s="103">
        <v>-2.369834675347155E-4</v>
      </c>
      <c r="K12" s="101">
        <v>760216160</v>
      </c>
      <c r="L12" s="101" t="s">
        <v>1241</v>
      </c>
      <c r="M12" s="104">
        <v>1</v>
      </c>
      <c r="N12" s="104">
        <v>300000</v>
      </c>
      <c r="O12" s="104">
        <v>926.76417000000004</v>
      </c>
      <c r="P12" s="103">
        <v>2.3130888530124545E-4</v>
      </c>
      <c r="Q12" s="103">
        <v>-6.3178062692570064E-2</v>
      </c>
      <c r="R12" s="104">
        <v>-22.73583</v>
      </c>
      <c r="S12" s="101" t="s">
        <v>202</v>
      </c>
      <c r="T12" s="101" t="s">
        <v>202</v>
      </c>
      <c r="U12" s="101" t="s">
        <v>744</v>
      </c>
      <c r="V12" s="101" t="s">
        <v>313</v>
      </c>
      <c r="W12" s="101" t="s">
        <v>934</v>
      </c>
      <c r="X12" s="101" t="s">
        <v>1910</v>
      </c>
      <c r="Y12" s="101" t="s">
        <v>336</v>
      </c>
      <c r="Z12" s="107">
        <v>46051</v>
      </c>
      <c r="AA12" s="107">
        <v>46174</v>
      </c>
      <c r="AB12" s="101" t="s">
        <v>903</v>
      </c>
      <c r="AC12" s="101" t="s">
        <v>904</v>
      </c>
      <c r="AD12" s="101" t="s">
        <v>917</v>
      </c>
      <c r="AE12" s="101" t="s">
        <v>920</v>
      </c>
      <c r="AF12" s="101" t="s">
        <v>903</v>
      </c>
      <c r="AG12" s="101" t="s">
        <v>903</v>
      </c>
      <c r="AH12" s="103"/>
      <c r="AI12" s="104">
        <v>3.0859999999999999</v>
      </c>
      <c r="AJ12" s="104"/>
      <c r="AK12" s="101"/>
      <c r="AL12" s="103"/>
      <c r="AM12" s="101" t="s">
        <v>1905</v>
      </c>
      <c r="AN12" s="103">
        <v>2.1044808737938566E-2</v>
      </c>
      <c r="AO12" s="103">
        <v>-5.6745822334700475E-6</v>
      </c>
    </row>
    <row r="13" spans="1:41" ht="13.5" customHeight="1">
      <c r="A13" s="101">
        <v>274</v>
      </c>
      <c r="B13" s="101">
        <v>274</v>
      </c>
      <c r="C13" s="101" t="s">
        <v>1039</v>
      </c>
      <c r="D13" s="101">
        <v>76021600</v>
      </c>
      <c r="E13" s="101" t="s">
        <v>1249</v>
      </c>
      <c r="F13" s="104">
        <v>3.165</v>
      </c>
      <c r="G13" s="104">
        <v>-270000</v>
      </c>
      <c r="H13" s="104">
        <v>-270</v>
      </c>
      <c r="I13" s="103">
        <v>-9.8434617227391684E-3</v>
      </c>
      <c r="J13" s="103">
        <v>-2.1328512078124394E-4</v>
      </c>
      <c r="K13" s="101">
        <v>760216000</v>
      </c>
      <c r="L13" s="101" t="s">
        <v>1241</v>
      </c>
      <c r="M13" s="104">
        <v>1</v>
      </c>
      <c r="N13" s="104">
        <v>270000</v>
      </c>
      <c r="O13" s="104">
        <v>858.60620999999992</v>
      </c>
      <c r="P13" s="103">
        <v>2.1429750067681946E-4</v>
      </c>
      <c r="Q13" s="103">
        <v>-5.8531694167255052E-2</v>
      </c>
      <c r="R13" s="104">
        <v>4.0562100000000001</v>
      </c>
      <c r="S13" s="101" t="s">
        <v>202</v>
      </c>
      <c r="T13" s="101" t="s">
        <v>202</v>
      </c>
      <c r="U13" s="101" t="s">
        <v>744</v>
      </c>
      <c r="V13" s="101" t="s">
        <v>313</v>
      </c>
      <c r="W13" s="101" t="s">
        <v>934</v>
      </c>
      <c r="X13" s="101" t="s">
        <v>1910</v>
      </c>
      <c r="Y13" s="101" t="s">
        <v>336</v>
      </c>
      <c r="Z13" s="107">
        <v>46029</v>
      </c>
      <c r="AA13" s="107">
        <v>46398</v>
      </c>
      <c r="AB13" s="101" t="s">
        <v>903</v>
      </c>
      <c r="AC13" s="101" t="s">
        <v>905</v>
      </c>
      <c r="AD13" s="101" t="s">
        <v>917</v>
      </c>
      <c r="AE13" s="101" t="s">
        <v>920</v>
      </c>
      <c r="AF13" s="101" t="s">
        <v>903</v>
      </c>
      <c r="AG13" s="101" t="s">
        <v>903</v>
      </c>
      <c r="AH13" s="103"/>
      <c r="AI13" s="104">
        <v>1</v>
      </c>
      <c r="AJ13" s="104"/>
      <c r="AK13" s="101"/>
      <c r="AL13" s="103"/>
      <c r="AM13" s="101" t="s">
        <v>1905</v>
      </c>
      <c r="AN13" s="103">
        <v>-3.7545215481868837E-3</v>
      </c>
      <c r="AO13" s="103">
        <v>1.0123798955755539E-6</v>
      </c>
    </row>
    <row r="14" spans="1:41" ht="13.5" customHeight="1">
      <c r="A14" s="101">
        <v>274</v>
      </c>
      <c r="B14" s="101">
        <v>274</v>
      </c>
      <c r="C14" s="101" t="s">
        <v>1039</v>
      </c>
      <c r="D14" s="101">
        <v>76021614</v>
      </c>
      <c r="E14" s="101" t="s">
        <v>1249</v>
      </c>
      <c r="F14" s="104">
        <v>3.165</v>
      </c>
      <c r="G14" s="104">
        <v>-100000</v>
      </c>
      <c r="H14" s="104">
        <v>-100</v>
      </c>
      <c r="I14" s="103">
        <v>-3.6457265639774699E-3</v>
      </c>
      <c r="J14" s="103">
        <v>-7.8994489178238494E-5</v>
      </c>
      <c r="K14" s="101">
        <v>760216140</v>
      </c>
      <c r="L14" s="101" t="s">
        <v>1241</v>
      </c>
      <c r="M14" s="104">
        <v>1</v>
      </c>
      <c r="N14" s="104">
        <v>100000</v>
      </c>
      <c r="O14" s="104">
        <v>309.97107999999997</v>
      </c>
      <c r="P14" s="103">
        <v>7.7364951420622109E-5</v>
      </c>
      <c r="Q14" s="103">
        <v>-2.1130912220229281E-2</v>
      </c>
      <c r="R14" s="104">
        <v>-6.5289200000000003</v>
      </c>
      <c r="S14" s="101" t="s">
        <v>202</v>
      </c>
      <c r="T14" s="101" t="s">
        <v>202</v>
      </c>
      <c r="U14" s="101" t="s">
        <v>744</v>
      </c>
      <c r="V14" s="101" t="s">
        <v>313</v>
      </c>
      <c r="W14" s="101" t="s">
        <v>934</v>
      </c>
      <c r="X14" s="101" t="s">
        <v>1910</v>
      </c>
      <c r="Y14" s="101" t="s">
        <v>336</v>
      </c>
      <c r="Z14" s="107">
        <v>46050</v>
      </c>
      <c r="AA14" s="107">
        <v>46237</v>
      </c>
      <c r="AB14" s="101" t="s">
        <v>903</v>
      </c>
      <c r="AC14" s="101" t="s">
        <v>904</v>
      </c>
      <c r="AD14" s="101" t="s">
        <v>919</v>
      </c>
      <c r="AE14" s="101" t="s">
        <v>920</v>
      </c>
      <c r="AF14" s="101" t="s">
        <v>903</v>
      </c>
      <c r="AG14" s="101" t="s">
        <v>903</v>
      </c>
      <c r="AH14" s="103"/>
      <c r="AI14" s="104">
        <v>3.0910000000000002</v>
      </c>
      <c r="AJ14" s="104"/>
      <c r="AK14" s="101"/>
      <c r="AL14" s="103"/>
      <c r="AM14" s="101" t="s">
        <v>1909</v>
      </c>
      <c r="AN14" s="103">
        <v>6.0433189668158971E-3</v>
      </c>
      <c r="AO14" s="103">
        <v>-1.6295377576163819E-6</v>
      </c>
    </row>
    <row r="15" spans="1:41" ht="13.5" customHeight="1">
      <c r="A15" s="101">
        <v>274</v>
      </c>
      <c r="B15" s="101">
        <v>274</v>
      </c>
      <c r="C15" s="101" t="s">
        <v>1037</v>
      </c>
      <c r="D15" s="101">
        <v>31028202</v>
      </c>
      <c r="E15" s="101" t="s">
        <v>1249</v>
      </c>
      <c r="F15" s="104">
        <v>3.165</v>
      </c>
      <c r="G15" s="104">
        <v>-359000</v>
      </c>
      <c r="H15" s="104">
        <v>-349.46604000000002</v>
      </c>
      <c r="I15" s="103">
        <v>-1.2740576252360133E-2</v>
      </c>
      <c r="J15" s="103">
        <v>-2.7605891314941863E-4</v>
      </c>
      <c r="K15" s="101">
        <v>31028201</v>
      </c>
      <c r="L15" s="101" t="s">
        <v>1241</v>
      </c>
      <c r="M15" s="104">
        <v>1</v>
      </c>
      <c r="N15" s="104">
        <v>1284502</v>
      </c>
      <c r="O15" s="104">
        <v>1262.2679800000001</v>
      </c>
      <c r="P15" s="103">
        <v>3.1504649063553543E-4</v>
      </c>
      <c r="Q15" s="103">
        <v>-8.6049556248234946E-2</v>
      </c>
      <c r="R15" s="104">
        <v>156.20796999999999</v>
      </c>
      <c r="S15" s="101" t="s">
        <v>203</v>
      </c>
      <c r="T15" s="101" t="s">
        <v>223</v>
      </c>
      <c r="U15" s="101" t="s">
        <v>744</v>
      </c>
      <c r="V15" s="101" t="s">
        <v>313</v>
      </c>
      <c r="W15" s="101" t="s">
        <v>934</v>
      </c>
      <c r="X15" s="101" t="s">
        <v>1910</v>
      </c>
      <c r="Y15" s="101" t="s">
        <v>336</v>
      </c>
      <c r="Z15" s="107">
        <v>43924</v>
      </c>
      <c r="AA15" s="107">
        <v>47667</v>
      </c>
      <c r="AB15" s="101" t="s">
        <v>903</v>
      </c>
      <c r="AC15" s="101" t="s">
        <v>905</v>
      </c>
      <c r="AD15" s="101" t="s">
        <v>917</v>
      </c>
      <c r="AE15" s="101" t="s">
        <v>920</v>
      </c>
      <c r="AF15" s="101" t="s">
        <v>903</v>
      </c>
      <c r="AG15" s="101" t="s">
        <v>903</v>
      </c>
      <c r="AH15" s="103"/>
      <c r="AI15" s="104">
        <v>3.6360000000000001</v>
      </c>
      <c r="AJ15" s="104"/>
      <c r="AK15" s="101"/>
      <c r="AL15" s="103"/>
      <c r="AM15" s="101" t="s">
        <v>1905</v>
      </c>
      <c r="AN15" s="103">
        <v>-0.14458970057357243</v>
      </c>
      <c r="AO15" s="103">
        <v>3.898757913339527E-5</v>
      </c>
    </row>
    <row r="16" spans="1:41" ht="13.5" customHeight="1">
      <c r="A16" s="101">
        <v>274</v>
      </c>
      <c r="B16" s="101">
        <v>274</v>
      </c>
      <c r="C16" s="101" t="s">
        <v>1039</v>
      </c>
      <c r="D16" s="101">
        <v>76009030</v>
      </c>
      <c r="E16" s="101" t="s">
        <v>1249</v>
      </c>
      <c r="F16" s="104">
        <v>3.165</v>
      </c>
      <c r="G16" s="104">
        <v>-129000</v>
      </c>
      <c r="H16" s="104">
        <v>-129</v>
      </c>
      <c r="I16" s="103">
        <v>-4.7029872675309363E-3</v>
      </c>
      <c r="J16" s="103">
        <v>-1.0190289103992766E-4</v>
      </c>
      <c r="K16" s="101">
        <v>760090300</v>
      </c>
      <c r="L16" s="101" t="s">
        <v>1241</v>
      </c>
      <c r="M16" s="104">
        <v>1</v>
      </c>
      <c r="N16" s="104">
        <v>129000</v>
      </c>
      <c r="O16" s="104">
        <v>406.13686000000001</v>
      </c>
      <c r="P16" s="103">
        <v>1.0136674183934839E-4</v>
      </c>
      <c r="Q16" s="103">
        <v>-2.7686590433080242E-2</v>
      </c>
      <c r="R16" s="104">
        <v>-2.1481400000000002</v>
      </c>
      <c r="S16" s="101" t="s">
        <v>203</v>
      </c>
      <c r="T16" s="101" t="s">
        <v>202</v>
      </c>
      <c r="U16" s="101" t="s">
        <v>744</v>
      </c>
      <c r="V16" s="101" t="s">
        <v>313</v>
      </c>
      <c r="W16" s="101" t="s">
        <v>934</v>
      </c>
      <c r="X16" s="101" t="s">
        <v>1910</v>
      </c>
      <c r="Y16" s="101" t="s">
        <v>336</v>
      </c>
      <c r="Z16" s="107">
        <v>44279</v>
      </c>
      <c r="AA16" s="107">
        <v>46661</v>
      </c>
      <c r="AB16" s="101" t="s">
        <v>903</v>
      </c>
      <c r="AC16" s="101" t="s">
        <v>904</v>
      </c>
      <c r="AD16" s="101" t="s">
        <v>917</v>
      </c>
      <c r="AE16" s="101" t="s">
        <v>920</v>
      </c>
      <c r="AF16" s="101" t="s">
        <v>903</v>
      </c>
      <c r="AG16" s="101" t="s">
        <v>903</v>
      </c>
      <c r="AH16" s="103"/>
      <c r="AI16" s="104">
        <v>3.2949999999999999</v>
      </c>
      <c r="AJ16" s="104"/>
      <c r="AK16" s="101"/>
      <c r="AL16" s="103"/>
      <c r="AM16" s="101" t="s">
        <v>1911</v>
      </c>
      <c r="AN16" s="103">
        <v>1.9883679391654212E-3</v>
      </c>
      <c r="AO16" s="103">
        <v>-5.3614920057927726E-7</v>
      </c>
    </row>
    <row r="17" spans="1:41" ht="13.5" customHeight="1">
      <c r="A17" s="101">
        <v>274</v>
      </c>
      <c r="B17" s="101">
        <v>274</v>
      </c>
      <c r="C17" s="101" t="s">
        <v>1043</v>
      </c>
      <c r="D17" s="101">
        <v>31011201</v>
      </c>
      <c r="E17" s="101" t="s">
        <v>1249</v>
      </c>
      <c r="F17" s="104">
        <v>3.165</v>
      </c>
      <c r="G17" s="104">
        <v>357</v>
      </c>
      <c r="H17" s="104">
        <v>22.12829</v>
      </c>
      <c r="I17" s="103">
        <v>8.067369466839701E-4</v>
      </c>
      <c r="J17" s="103">
        <v>1.748012964937923E-5</v>
      </c>
      <c r="K17" s="101">
        <v>31011202</v>
      </c>
      <c r="L17" s="101" t="s">
        <v>1249</v>
      </c>
      <c r="M17" s="104">
        <v>3.165</v>
      </c>
      <c r="N17" s="104">
        <v>-357</v>
      </c>
      <c r="O17" s="104">
        <v>-72.827179999999998</v>
      </c>
      <c r="P17" s="103">
        <v>-5.752945882391627E-5</v>
      </c>
      <c r="Q17" s="103">
        <v>4.9646720198117762E-3</v>
      </c>
      <c r="R17" s="104">
        <v>-160.46198685000002</v>
      </c>
      <c r="S17" s="101" t="s">
        <v>203</v>
      </c>
      <c r="T17" s="101" t="s">
        <v>288</v>
      </c>
      <c r="U17" s="101" t="s">
        <v>745</v>
      </c>
      <c r="V17" s="101" t="s">
        <v>313</v>
      </c>
      <c r="W17" s="101" t="s">
        <v>932</v>
      </c>
      <c r="X17" s="101" t="s">
        <v>1908</v>
      </c>
      <c r="Y17" s="101" t="s">
        <v>336</v>
      </c>
      <c r="Z17" s="107">
        <v>45979</v>
      </c>
      <c r="AA17" s="107">
        <v>46343</v>
      </c>
      <c r="AB17" s="101" t="s">
        <v>903</v>
      </c>
      <c r="AC17" s="101" t="s">
        <v>905</v>
      </c>
      <c r="AD17" s="101" t="s">
        <v>917</v>
      </c>
      <c r="AE17" s="101" t="s">
        <v>920</v>
      </c>
      <c r="AF17" s="101" t="s">
        <v>903</v>
      </c>
      <c r="AG17" s="101" t="s">
        <v>903</v>
      </c>
      <c r="AH17" s="103"/>
      <c r="AI17" s="104">
        <v>13636.205</v>
      </c>
      <c r="AJ17" s="104"/>
      <c r="AK17" s="101"/>
      <c r="AL17" s="103"/>
      <c r="AM17" s="101" t="s">
        <v>1912</v>
      </c>
      <c r="AN17" s="103">
        <v>0.14852731670530012</v>
      </c>
      <c r="AO17" s="103">
        <v>-4.0049329174537043E-5</v>
      </c>
    </row>
    <row r="18" spans="1:41" ht="13.5" customHeight="1">
      <c r="A18" s="101">
        <v>274</v>
      </c>
      <c r="B18" s="101">
        <v>274</v>
      </c>
      <c r="C18" s="101" t="s">
        <v>1037</v>
      </c>
      <c r="D18" s="101">
        <v>31010402</v>
      </c>
      <c r="E18" s="101" t="s">
        <v>1241</v>
      </c>
      <c r="F18" s="104">
        <v>1</v>
      </c>
      <c r="G18" s="104">
        <v>6100000</v>
      </c>
      <c r="H18" s="104">
        <v>7765.6075099999998</v>
      </c>
      <c r="I18" s="103">
        <v>0.28311281584629938</v>
      </c>
      <c r="J18" s="103">
        <v>1.9381996790241473E-3</v>
      </c>
      <c r="K18" s="101">
        <v>310104020</v>
      </c>
      <c r="L18" s="101" t="s">
        <v>1241</v>
      </c>
      <c r="M18" s="104">
        <v>1</v>
      </c>
      <c r="N18" s="104">
        <v>-6100000</v>
      </c>
      <c r="O18" s="104">
        <v>-7702.5159999999996</v>
      </c>
      <c r="P18" s="103">
        <v>-1.9224528177162997E-3</v>
      </c>
      <c r="Q18" s="103">
        <v>0.52508508042399171</v>
      </c>
      <c r="R18" s="104">
        <v>63.09151</v>
      </c>
      <c r="S18" s="101" t="s">
        <v>203</v>
      </c>
      <c r="T18" s="101" t="s">
        <v>202</v>
      </c>
      <c r="U18" s="101" t="s">
        <v>742</v>
      </c>
      <c r="V18" s="101" t="s">
        <v>313</v>
      </c>
      <c r="W18" s="101" t="s">
        <v>932</v>
      </c>
      <c r="X18" s="101" t="s">
        <v>1917</v>
      </c>
      <c r="Y18" s="101" t="s">
        <v>336</v>
      </c>
      <c r="Z18" s="107">
        <v>44636</v>
      </c>
      <c r="AA18" s="107">
        <v>48289</v>
      </c>
      <c r="AB18" s="101" t="s">
        <v>903</v>
      </c>
      <c r="AC18" s="101" t="s">
        <v>905</v>
      </c>
      <c r="AD18" s="101" t="s">
        <v>917</v>
      </c>
      <c r="AE18" s="101" t="s">
        <v>920</v>
      </c>
      <c r="AF18" s="101" t="s">
        <v>903</v>
      </c>
      <c r="AG18" s="101" t="s">
        <v>903</v>
      </c>
      <c r="AH18" s="103"/>
      <c r="AI18" s="104">
        <v>1</v>
      </c>
      <c r="AJ18" s="104"/>
      <c r="AK18" s="101"/>
      <c r="AL18" s="103"/>
      <c r="AM18" s="101" t="s">
        <v>1913</v>
      </c>
      <c r="AN18" s="103">
        <v>-5.8398957105930967E-2</v>
      </c>
      <c r="AO18" s="103">
        <v>1.5746861307847474E-5</v>
      </c>
    </row>
    <row r="19" spans="1:41" ht="13.5" customHeight="1">
      <c r="A19" s="101">
        <v>274</v>
      </c>
      <c r="B19" s="101">
        <v>274</v>
      </c>
      <c r="C19" s="101" t="s">
        <v>1039</v>
      </c>
      <c r="D19" s="101">
        <v>76021528</v>
      </c>
      <c r="E19" s="101" t="s">
        <v>1249</v>
      </c>
      <c r="F19" s="104">
        <v>3.165</v>
      </c>
      <c r="G19" s="104">
        <v>-700000</v>
      </c>
      <c r="H19" s="104">
        <v>-700</v>
      </c>
      <c r="I19" s="103">
        <v>-2.5520085947842292E-2</v>
      </c>
      <c r="J19" s="103">
        <v>-5.5296142424766947E-4</v>
      </c>
      <c r="K19" s="101">
        <v>760215280</v>
      </c>
      <c r="L19" s="101" t="s">
        <v>1241</v>
      </c>
      <c r="M19" s="104">
        <v>1</v>
      </c>
      <c r="N19" s="104">
        <v>700000</v>
      </c>
      <c r="O19" s="104">
        <v>2324.4673499999999</v>
      </c>
      <c r="P19" s="103">
        <v>5.8015832835622025E-4</v>
      </c>
      <c r="Q19" s="103">
        <v>-0.15846031678709827</v>
      </c>
      <c r="R19" s="104">
        <v>108.96735</v>
      </c>
      <c r="S19" s="101" t="s">
        <v>203</v>
      </c>
      <c r="T19" s="101" t="s">
        <v>223</v>
      </c>
      <c r="U19" s="101" t="s">
        <v>744</v>
      </c>
      <c r="V19" s="101" t="s">
        <v>313</v>
      </c>
      <c r="W19" s="101" t="s">
        <v>934</v>
      </c>
      <c r="X19" s="101" t="s">
        <v>1910</v>
      </c>
      <c r="Y19" s="101" t="s">
        <v>336</v>
      </c>
      <c r="Z19" s="107">
        <v>45908</v>
      </c>
      <c r="AA19" s="107">
        <v>46212</v>
      </c>
      <c r="AB19" s="101" t="s">
        <v>903</v>
      </c>
      <c r="AC19" s="101" t="s">
        <v>904</v>
      </c>
      <c r="AD19" s="101" t="s">
        <v>917</v>
      </c>
      <c r="AE19" s="101" t="s">
        <v>920</v>
      </c>
      <c r="AF19" s="101" t="s">
        <v>903</v>
      </c>
      <c r="AG19" s="101" t="s">
        <v>903</v>
      </c>
      <c r="AH19" s="103"/>
      <c r="AI19" s="104">
        <v>3.3239999999999998</v>
      </c>
      <c r="AJ19" s="104"/>
      <c r="AK19" s="101"/>
      <c r="AL19" s="103"/>
      <c r="AM19" s="101" t="s">
        <v>1912</v>
      </c>
      <c r="AN19" s="103">
        <v>-0.10086269291378454</v>
      </c>
      <c r="AO19" s="103">
        <v>2.7196904108550794E-5</v>
      </c>
    </row>
    <row r="20" spans="1:41" ht="13.5" customHeight="1">
      <c r="A20" s="101">
        <v>274</v>
      </c>
      <c r="B20" s="101">
        <v>274</v>
      </c>
      <c r="C20" s="101" t="s">
        <v>1037</v>
      </c>
      <c r="D20" s="101">
        <v>31009600</v>
      </c>
      <c r="E20" s="101" t="s">
        <v>1241</v>
      </c>
      <c r="F20" s="104">
        <v>1</v>
      </c>
      <c r="G20" s="104">
        <v>1100000</v>
      </c>
      <c r="H20" s="104">
        <v>1362.7792999999999</v>
      </c>
      <c r="I20" s="103">
        <v>4.9683206948486214E-2</v>
      </c>
      <c r="J20" s="103">
        <v>3.4013287414274071E-4</v>
      </c>
      <c r="K20" s="101">
        <v>310096000</v>
      </c>
      <c r="L20" s="101" t="s">
        <v>1241</v>
      </c>
      <c r="M20" s="104">
        <v>1</v>
      </c>
      <c r="N20" s="104">
        <v>-1100000</v>
      </c>
      <c r="O20" s="104">
        <v>-1489.73929</v>
      </c>
      <c r="P20" s="103">
        <v>-3.7182051886983157E-4</v>
      </c>
      <c r="Q20" s="103">
        <v>0.10155641025613324</v>
      </c>
      <c r="R20" s="104">
        <v>-126.95999</v>
      </c>
      <c r="S20" s="101" t="s">
        <v>203</v>
      </c>
      <c r="T20" s="101" t="s">
        <v>202</v>
      </c>
      <c r="U20" s="101" t="s">
        <v>742</v>
      </c>
      <c r="V20" s="101" t="s">
        <v>313</v>
      </c>
      <c r="W20" s="101" t="s">
        <v>932</v>
      </c>
      <c r="X20" s="101" t="s">
        <v>1917</v>
      </c>
      <c r="Y20" s="101" t="s">
        <v>336</v>
      </c>
      <c r="Z20" s="107">
        <v>41816</v>
      </c>
      <c r="AA20" s="107">
        <v>46913</v>
      </c>
      <c r="AB20" s="101" t="s">
        <v>903</v>
      </c>
      <c r="AC20" s="101" t="s">
        <v>905</v>
      </c>
      <c r="AD20" s="101" t="s">
        <v>917</v>
      </c>
      <c r="AE20" s="101" t="s">
        <v>920</v>
      </c>
      <c r="AF20" s="101" t="s">
        <v>903</v>
      </c>
      <c r="AG20" s="101" t="s">
        <v>903</v>
      </c>
      <c r="AH20" s="103"/>
      <c r="AI20" s="104">
        <v>1</v>
      </c>
      <c r="AJ20" s="104"/>
      <c r="AK20" s="101"/>
      <c r="AL20" s="103"/>
      <c r="AM20" s="101" t="s">
        <v>1915</v>
      </c>
      <c r="AN20" s="103">
        <v>0.11751709556768296</v>
      </c>
      <c r="AO20" s="103">
        <v>-3.1687644727090892E-5</v>
      </c>
    </row>
    <row r="21" spans="1:41" ht="13.5" customHeight="1">
      <c r="A21" s="101">
        <v>274</v>
      </c>
      <c r="B21" s="101">
        <v>274</v>
      </c>
      <c r="C21" s="101" t="s">
        <v>1043</v>
      </c>
      <c r="D21" s="101">
        <v>31011203</v>
      </c>
      <c r="E21" s="101" t="s">
        <v>1249</v>
      </c>
      <c r="F21" s="104">
        <v>3.165</v>
      </c>
      <c r="G21" s="104">
        <v>1511</v>
      </c>
      <c r="H21" s="104">
        <v>-17.856089999999998</v>
      </c>
      <c r="I21" s="103">
        <v>-6.5098421641772463E-4</v>
      </c>
      <c r="J21" s="103">
        <v>-1.4105327082706525E-5</v>
      </c>
      <c r="K21" s="101">
        <v>31011204</v>
      </c>
      <c r="L21" s="101" t="s">
        <v>1249</v>
      </c>
      <c r="M21" s="104">
        <v>3.165</v>
      </c>
      <c r="N21" s="104">
        <v>-1511</v>
      </c>
      <c r="O21" s="104">
        <v>-2.0539999999999999E-2</v>
      </c>
      <c r="P21" s="103">
        <v>-1.6225468077210188E-8</v>
      </c>
      <c r="Q21" s="103">
        <v>1.4002239725186926E-6</v>
      </c>
      <c r="R21" s="104">
        <v>-56.579533949999991</v>
      </c>
      <c r="S21" s="101" t="s">
        <v>203</v>
      </c>
      <c r="T21" s="101" t="s">
        <v>250</v>
      </c>
      <c r="U21" s="101" t="s">
        <v>745</v>
      </c>
      <c r="V21" s="101" t="s">
        <v>313</v>
      </c>
      <c r="W21" s="101" t="s">
        <v>932</v>
      </c>
      <c r="X21" s="101" t="s">
        <v>1914</v>
      </c>
      <c r="Y21" s="101" t="s">
        <v>336</v>
      </c>
      <c r="Z21" s="107">
        <v>46107</v>
      </c>
      <c r="AA21" s="107">
        <v>46472</v>
      </c>
      <c r="AB21" s="101" t="s">
        <v>903</v>
      </c>
      <c r="AC21" s="101" t="s">
        <v>905</v>
      </c>
      <c r="AD21" s="101" t="s">
        <v>917</v>
      </c>
      <c r="AE21" s="101" t="s">
        <v>920</v>
      </c>
      <c r="AF21" s="101" t="s">
        <v>903</v>
      </c>
      <c r="AG21" s="101" t="s">
        <v>903</v>
      </c>
      <c r="AH21" s="103"/>
      <c r="AI21" s="104">
        <v>3.4584000000000001</v>
      </c>
      <c r="AJ21" s="104"/>
      <c r="AK21" s="101"/>
      <c r="AL21" s="103"/>
      <c r="AM21" s="101" t="s">
        <v>1912</v>
      </c>
      <c r="AN21" s="103">
        <v>5.2371321850112867E-2</v>
      </c>
      <c r="AO21" s="103">
        <v>-1.4121552550783734E-5</v>
      </c>
    </row>
    <row r="22" spans="1:41" ht="13.5" customHeight="1">
      <c r="A22" s="101">
        <v>274</v>
      </c>
      <c r="B22" s="101">
        <v>274</v>
      </c>
      <c r="C22" s="101" t="s">
        <v>1039</v>
      </c>
      <c r="D22" s="101">
        <v>76021618</v>
      </c>
      <c r="E22" s="101" t="s">
        <v>1249</v>
      </c>
      <c r="F22" s="104">
        <v>3.165</v>
      </c>
      <c r="G22" s="104">
        <v>-1600000</v>
      </c>
      <c r="H22" s="104">
        <v>-1600</v>
      </c>
      <c r="I22" s="103">
        <v>-5.8331625023639519E-2</v>
      </c>
      <c r="J22" s="103">
        <v>-1.2639118268518159E-3</v>
      </c>
      <c r="K22" s="101">
        <v>760216180</v>
      </c>
      <c r="L22" s="101" t="s">
        <v>1241</v>
      </c>
      <c r="M22" s="104">
        <v>1</v>
      </c>
      <c r="N22" s="104">
        <v>1600000</v>
      </c>
      <c r="O22" s="104">
        <v>4989.9145900000003</v>
      </c>
      <c r="P22" s="103">
        <v>1.2454210239497296E-3</v>
      </c>
      <c r="Q22" s="103">
        <v>-0.34016543474872368</v>
      </c>
      <c r="R22" s="104">
        <v>-74.085409999999996</v>
      </c>
      <c r="S22" s="101" t="s">
        <v>203</v>
      </c>
      <c r="T22" s="101" t="s">
        <v>223</v>
      </c>
      <c r="U22" s="101" t="s">
        <v>744</v>
      </c>
      <c r="V22" s="101" t="s">
        <v>313</v>
      </c>
      <c r="W22" s="101" t="s">
        <v>934</v>
      </c>
      <c r="X22" s="101" t="s">
        <v>1910</v>
      </c>
      <c r="Y22" s="101" t="s">
        <v>336</v>
      </c>
      <c r="Z22" s="107">
        <v>46058</v>
      </c>
      <c r="AA22" s="107">
        <v>46335</v>
      </c>
      <c r="AB22" s="101" t="s">
        <v>903</v>
      </c>
      <c r="AC22" s="101" t="s">
        <v>904</v>
      </c>
      <c r="AD22" s="101" t="s">
        <v>917</v>
      </c>
      <c r="AE22" s="101" t="s">
        <v>920</v>
      </c>
      <c r="AF22" s="101" t="s">
        <v>903</v>
      </c>
      <c r="AG22" s="101" t="s">
        <v>903</v>
      </c>
      <c r="AH22" s="103"/>
      <c r="AI22" s="104">
        <v>3.117</v>
      </c>
      <c r="AJ22" s="104"/>
      <c r="AK22" s="101"/>
      <c r="AL22" s="103"/>
      <c r="AM22" s="101" t="s">
        <v>1913</v>
      </c>
      <c r="AN22" s="103">
        <v>6.8575164562796304E-2</v>
      </c>
      <c r="AO22" s="103">
        <v>-1.8490802902086451E-5</v>
      </c>
    </row>
    <row r="23" spans="1:41" ht="13.5" customHeight="1">
      <c r="A23" s="101">
        <v>274</v>
      </c>
      <c r="B23" s="101">
        <v>274</v>
      </c>
      <c r="C23" s="101" t="s">
        <v>1037</v>
      </c>
      <c r="D23" s="101">
        <v>31010401</v>
      </c>
      <c r="E23" s="101" t="s">
        <v>1241</v>
      </c>
      <c r="F23" s="104">
        <v>1</v>
      </c>
      <c r="G23" s="104">
        <v>3250000</v>
      </c>
      <c r="H23" s="104">
        <v>3955.7296200000001</v>
      </c>
      <c r="I23" s="103">
        <v>0.14421508555546503</v>
      </c>
      <c r="J23" s="103">
        <v>9.8730123431003936E-4</v>
      </c>
      <c r="K23" s="101">
        <v>310104010</v>
      </c>
      <c r="L23" s="101" t="s">
        <v>1241</v>
      </c>
      <c r="M23" s="104">
        <v>1</v>
      </c>
      <c r="N23" s="104">
        <v>-3250000</v>
      </c>
      <c r="O23" s="104">
        <v>-3657.0430000000001</v>
      </c>
      <c r="P23" s="103">
        <v>-9.127527446693613E-4</v>
      </c>
      <c r="Q23" s="103">
        <v>0.24930278856532023</v>
      </c>
      <c r="R23" s="104">
        <v>298.68662</v>
      </c>
      <c r="S23" s="101" t="s">
        <v>203</v>
      </c>
      <c r="T23" s="101" t="s">
        <v>202</v>
      </c>
      <c r="U23" s="101" t="s">
        <v>742</v>
      </c>
      <c r="V23" s="101" t="s">
        <v>313</v>
      </c>
      <c r="W23" s="101" t="s">
        <v>932</v>
      </c>
      <c r="X23" s="101" t="s">
        <v>1917</v>
      </c>
      <c r="Y23" s="101" t="s">
        <v>336</v>
      </c>
      <c r="Z23" s="107">
        <v>44384</v>
      </c>
      <c r="AA23" s="107">
        <v>46941</v>
      </c>
      <c r="AB23" s="101" t="s">
        <v>903</v>
      </c>
      <c r="AC23" s="101" t="s">
        <v>905</v>
      </c>
      <c r="AD23" s="101" t="s">
        <v>917</v>
      </c>
      <c r="AE23" s="101" t="s">
        <v>920</v>
      </c>
      <c r="AF23" s="101" t="s">
        <v>903</v>
      </c>
      <c r="AG23" s="101" t="s">
        <v>903</v>
      </c>
      <c r="AH23" s="103"/>
      <c r="AI23" s="104">
        <v>1</v>
      </c>
      <c r="AJ23" s="104"/>
      <c r="AK23" s="101"/>
      <c r="AL23" s="103"/>
      <c r="AM23" s="101" t="s">
        <v>1913</v>
      </c>
      <c r="AN23" s="103">
        <v>-0.27647122583522732</v>
      </c>
      <c r="AO23" s="103">
        <v>7.4548489640678147E-5</v>
      </c>
    </row>
    <row r="24" spans="1:41" ht="13.5" customHeight="1">
      <c r="A24" s="101">
        <v>274</v>
      </c>
      <c r="B24" s="101">
        <v>274</v>
      </c>
      <c r="C24" s="101" t="s">
        <v>1037</v>
      </c>
      <c r="D24" s="101">
        <v>31010403</v>
      </c>
      <c r="E24" s="101" t="s">
        <v>1241</v>
      </c>
      <c r="F24" s="104">
        <v>1</v>
      </c>
      <c r="G24" s="104">
        <v>2250000</v>
      </c>
      <c r="H24" s="104">
        <v>2800.7954399999999</v>
      </c>
      <c r="I24" s="103">
        <v>0.10210934335874966</v>
      </c>
      <c r="J24" s="103">
        <v>6.9904393388796121E-4</v>
      </c>
      <c r="K24" s="101">
        <v>310104030</v>
      </c>
      <c r="L24" s="101" t="s">
        <v>1241</v>
      </c>
      <c r="M24" s="104">
        <v>1</v>
      </c>
      <c r="N24" s="104">
        <v>-2250000</v>
      </c>
      <c r="O24" s="104">
        <v>-2875.9780000000001</v>
      </c>
      <c r="P24" s="103">
        <v>-7.1780857187315008E-4</v>
      </c>
      <c r="Q24" s="103">
        <v>0.19605712463662925</v>
      </c>
      <c r="R24" s="104">
        <v>-75.182559999999995</v>
      </c>
      <c r="S24" s="101" t="s">
        <v>203</v>
      </c>
      <c r="T24" s="101" t="s">
        <v>202</v>
      </c>
      <c r="U24" s="101" t="s">
        <v>742</v>
      </c>
      <c r="V24" s="101" t="s">
        <v>313</v>
      </c>
      <c r="W24" s="101" t="s">
        <v>932</v>
      </c>
      <c r="X24" s="101" t="s">
        <v>1917</v>
      </c>
      <c r="Y24" s="101" t="s">
        <v>336</v>
      </c>
      <c r="Z24" s="107">
        <v>45036</v>
      </c>
      <c r="AA24" s="107">
        <v>48689</v>
      </c>
      <c r="AB24" s="101" t="s">
        <v>903</v>
      </c>
      <c r="AC24" s="101" t="s">
        <v>905</v>
      </c>
      <c r="AD24" s="101" t="s">
        <v>917</v>
      </c>
      <c r="AE24" s="101" t="s">
        <v>920</v>
      </c>
      <c r="AF24" s="101" t="s">
        <v>903</v>
      </c>
      <c r="AG24" s="101" t="s">
        <v>903</v>
      </c>
      <c r="AH24" s="103"/>
      <c r="AI24" s="104">
        <v>1</v>
      </c>
      <c r="AJ24" s="104"/>
      <c r="AK24" s="101"/>
      <c r="AL24" s="103"/>
      <c r="AM24" s="101" t="s">
        <v>1913</v>
      </c>
      <c r="AN24" s="103">
        <v>6.9590711912808564E-2</v>
      </c>
      <c r="AO24" s="103">
        <v>-1.8764637985188833E-5</v>
      </c>
    </row>
    <row r="25" spans="1:41" ht="13.5" customHeight="1">
      <c r="A25" s="101">
        <v>274</v>
      </c>
      <c r="B25" s="101">
        <v>274</v>
      </c>
      <c r="C25" s="101" t="s">
        <v>1039</v>
      </c>
      <c r="D25" s="101">
        <v>76021612</v>
      </c>
      <c r="E25" s="101" t="s">
        <v>1249</v>
      </c>
      <c r="F25" s="104">
        <v>3.165</v>
      </c>
      <c r="G25" s="104">
        <v>-1500000</v>
      </c>
      <c r="H25" s="104">
        <v>-1500</v>
      </c>
      <c r="I25" s="103">
        <v>-5.4685898459662048E-2</v>
      </c>
      <c r="J25" s="103">
        <v>-1.1849173376735774E-3</v>
      </c>
      <c r="K25" s="101">
        <v>760216120</v>
      </c>
      <c r="L25" s="101" t="s">
        <v>1241</v>
      </c>
      <c r="M25" s="104">
        <v>1</v>
      </c>
      <c r="N25" s="104">
        <v>1500000</v>
      </c>
      <c r="O25" s="104">
        <v>4722.4359100000001</v>
      </c>
      <c r="P25" s="103">
        <v>1.1786616505131749E-3</v>
      </c>
      <c r="Q25" s="103">
        <v>-0.32193125461855537</v>
      </c>
      <c r="R25" s="104">
        <v>-25.06409</v>
      </c>
      <c r="S25" s="101" t="s">
        <v>203</v>
      </c>
      <c r="T25" s="101" t="s">
        <v>237</v>
      </c>
      <c r="U25" s="101" t="s">
        <v>744</v>
      </c>
      <c r="V25" s="101" t="s">
        <v>313</v>
      </c>
      <c r="W25" s="101" t="s">
        <v>934</v>
      </c>
      <c r="X25" s="101" t="s">
        <v>1910</v>
      </c>
      <c r="Y25" s="101" t="s">
        <v>336</v>
      </c>
      <c r="Z25" s="107">
        <v>46044</v>
      </c>
      <c r="AA25" s="107">
        <v>46321</v>
      </c>
      <c r="AB25" s="101" t="s">
        <v>903</v>
      </c>
      <c r="AC25" s="101" t="s">
        <v>904</v>
      </c>
      <c r="AD25" s="101" t="s">
        <v>917</v>
      </c>
      <c r="AE25" s="101" t="s">
        <v>920</v>
      </c>
      <c r="AF25" s="101" t="s">
        <v>903</v>
      </c>
      <c r="AG25" s="101" t="s">
        <v>903</v>
      </c>
      <c r="AH25" s="103"/>
      <c r="AI25" s="104">
        <v>3.141</v>
      </c>
      <c r="AJ25" s="104"/>
      <c r="AK25" s="101"/>
      <c r="AL25" s="103"/>
      <c r="AM25" s="101" t="s">
        <v>1916</v>
      </c>
      <c r="AN25" s="103">
        <v>2.3199899904269107E-2</v>
      </c>
      <c r="AO25" s="103">
        <v>-6.2556871604025144E-6</v>
      </c>
    </row>
    <row r="26" spans="1:41" ht="13.5" customHeight="1">
      <c r="A26" s="101">
        <v>274</v>
      </c>
      <c r="B26" s="101">
        <v>274</v>
      </c>
      <c r="C26" s="101" t="s">
        <v>1037</v>
      </c>
      <c r="D26" s="101">
        <v>31010404</v>
      </c>
      <c r="E26" s="101" t="s">
        <v>1241</v>
      </c>
      <c r="F26" s="104">
        <v>1</v>
      </c>
      <c r="G26" s="104">
        <v>1600000</v>
      </c>
      <c r="H26" s="104">
        <v>1988.0873999999999</v>
      </c>
      <c r="I26" s="103">
        <v>7.2480230456889019E-2</v>
      </c>
      <c r="J26" s="103">
        <v>4.9620204930392515E-4</v>
      </c>
      <c r="K26" s="101">
        <v>310104040</v>
      </c>
      <c r="L26" s="101" t="s">
        <v>1241</v>
      </c>
      <c r="M26" s="104">
        <v>1</v>
      </c>
      <c r="N26" s="104">
        <v>-1600000</v>
      </c>
      <c r="O26" s="104">
        <v>-2053.136</v>
      </c>
      <c r="P26" s="103">
        <v>-5.1243737609305484E-4</v>
      </c>
      <c r="Q26" s="103">
        <v>0.13996349785984122</v>
      </c>
      <c r="R26" s="104">
        <v>-65.048599999999993</v>
      </c>
      <c r="S26" s="101" t="s">
        <v>203</v>
      </c>
      <c r="T26" s="101" t="s">
        <v>202</v>
      </c>
      <c r="U26" s="101" t="s">
        <v>742</v>
      </c>
      <c r="V26" s="101" t="s">
        <v>313</v>
      </c>
      <c r="W26" s="101" t="s">
        <v>932</v>
      </c>
      <c r="X26" s="101" t="s">
        <v>1917</v>
      </c>
      <c r="Y26" s="101" t="s">
        <v>336</v>
      </c>
      <c r="Z26" s="107">
        <v>45036</v>
      </c>
      <c r="AA26" s="107">
        <v>48715</v>
      </c>
      <c r="AB26" s="101" t="s">
        <v>903</v>
      </c>
      <c r="AC26" s="101" t="s">
        <v>905</v>
      </c>
      <c r="AD26" s="101" t="s">
        <v>917</v>
      </c>
      <c r="AE26" s="101" t="s">
        <v>920</v>
      </c>
      <c r="AF26" s="101" t="s">
        <v>903</v>
      </c>
      <c r="AG26" s="101" t="s">
        <v>903</v>
      </c>
      <c r="AH26" s="103"/>
      <c r="AI26" s="104">
        <v>1</v>
      </c>
      <c r="AJ26" s="104"/>
      <c r="AK26" s="101"/>
      <c r="AL26" s="103"/>
      <c r="AM26" s="101" t="s">
        <v>1913</v>
      </c>
      <c r="AN26" s="103">
        <v>6.02104847577885E-2</v>
      </c>
      <c r="AO26" s="103">
        <v>-1.6235326789129746E-5</v>
      </c>
    </row>
    <row r="27" spans="1:41" ht="13.5" customHeight="1">
      <c r="A27" s="101">
        <v>274</v>
      </c>
      <c r="B27" s="101">
        <v>274</v>
      </c>
      <c r="C27" s="101" t="s">
        <v>1037</v>
      </c>
      <c r="D27" s="101">
        <v>31010405</v>
      </c>
      <c r="E27" s="101" t="s">
        <v>1241</v>
      </c>
      <c r="F27" s="104">
        <v>1</v>
      </c>
      <c r="G27" s="104">
        <v>3000000</v>
      </c>
      <c r="H27" s="104">
        <v>3732.0969600000003</v>
      </c>
      <c r="I27" s="103">
        <v>0.13606205026411564</v>
      </c>
      <c r="J27" s="103">
        <v>9.3148528568359182E-4</v>
      </c>
      <c r="K27" s="101">
        <v>310104050</v>
      </c>
      <c r="L27" s="101" t="s">
        <v>1241</v>
      </c>
      <c r="M27" s="104">
        <v>1</v>
      </c>
      <c r="N27" s="104">
        <v>-3000000</v>
      </c>
      <c r="O27" s="104">
        <v>-3874.1060000000002</v>
      </c>
      <c r="P27" s="103">
        <v>-9.6692898733759507E-4</v>
      </c>
      <c r="Q27" s="103">
        <v>0.26410010191229322</v>
      </c>
      <c r="R27" s="104">
        <v>-142.00904</v>
      </c>
      <c r="S27" s="101" t="s">
        <v>203</v>
      </c>
      <c r="T27" s="101" t="s">
        <v>202</v>
      </c>
      <c r="U27" s="101" t="s">
        <v>742</v>
      </c>
      <c r="V27" s="101" t="s">
        <v>313</v>
      </c>
      <c r="W27" s="101" t="s">
        <v>932</v>
      </c>
      <c r="X27" s="101" t="s">
        <v>1917</v>
      </c>
      <c r="Y27" s="101" t="s">
        <v>336</v>
      </c>
      <c r="Z27" s="107">
        <v>45062</v>
      </c>
      <c r="AA27" s="107">
        <v>48730</v>
      </c>
      <c r="AB27" s="101" t="s">
        <v>903</v>
      </c>
      <c r="AC27" s="101" t="s">
        <v>905</v>
      </c>
      <c r="AD27" s="101" t="s">
        <v>917</v>
      </c>
      <c r="AE27" s="101" t="s">
        <v>920</v>
      </c>
      <c r="AF27" s="101" t="s">
        <v>903</v>
      </c>
      <c r="AG27" s="101" t="s">
        <v>903</v>
      </c>
      <c r="AH27" s="103"/>
      <c r="AI27" s="104">
        <v>1</v>
      </c>
      <c r="AJ27" s="104"/>
      <c r="AK27" s="101"/>
      <c r="AL27" s="103"/>
      <c r="AM27" s="101" t="s">
        <v>1913</v>
      </c>
      <c r="AN27" s="103">
        <v>0.13144684341228219</v>
      </c>
      <c r="AO27" s="103">
        <v>-3.5443701654003277E-5</v>
      </c>
    </row>
    <row r="28" spans="1:41" ht="13.5" customHeight="1">
      <c r="A28" s="101">
        <v>274</v>
      </c>
      <c r="B28" s="101">
        <v>274</v>
      </c>
      <c r="C28" s="101" t="s">
        <v>1037</v>
      </c>
      <c r="D28" s="101">
        <v>31010410</v>
      </c>
      <c r="E28" s="101" t="s">
        <v>1241</v>
      </c>
      <c r="F28" s="104">
        <v>1</v>
      </c>
      <c r="G28" s="104">
        <v>1500000</v>
      </c>
      <c r="H28" s="104">
        <v>1855.58995</v>
      </c>
      <c r="I28" s="103">
        <v>6.7649735725646254E-2</v>
      </c>
      <c r="J28" s="103">
        <v>4.6313232298427523E-4</v>
      </c>
      <c r="K28" s="101">
        <v>310104100</v>
      </c>
      <c r="L28" s="101" t="s">
        <v>1241</v>
      </c>
      <c r="M28" s="104">
        <v>1</v>
      </c>
      <c r="N28" s="104">
        <v>-1500000</v>
      </c>
      <c r="O28" s="104">
        <v>-1938.942</v>
      </c>
      <c r="P28" s="103">
        <v>-4.8393596472743163E-4</v>
      </c>
      <c r="Q28" s="103">
        <v>0.13217882520561533</v>
      </c>
      <c r="R28" s="104">
        <v>-83.352050000000006</v>
      </c>
      <c r="S28" s="101" t="s">
        <v>203</v>
      </c>
      <c r="T28" s="101" t="s">
        <v>202</v>
      </c>
      <c r="U28" s="101" t="s">
        <v>742</v>
      </c>
      <c r="V28" s="101" t="s">
        <v>313</v>
      </c>
      <c r="W28" s="101" t="s">
        <v>932</v>
      </c>
      <c r="X28" s="101" t="s">
        <v>1917</v>
      </c>
      <c r="Y28" s="101" t="s">
        <v>336</v>
      </c>
      <c r="Z28" s="107">
        <v>45066</v>
      </c>
      <c r="AA28" s="107">
        <v>48731</v>
      </c>
      <c r="AB28" s="101" t="s">
        <v>903</v>
      </c>
      <c r="AC28" s="101" t="s">
        <v>905</v>
      </c>
      <c r="AD28" s="101" t="s">
        <v>917</v>
      </c>
      <c r="AE28" s="101" t="s">
        <v>920</v>
      </c>
      <c r="AF28" s="101" t="s">
        <v>903</v>
      </c>
      <c r="AG28" s="101" t="s">
        <v>903</v>
      </c>
      <c r="AH28" s="103"/>
      <c r="AI28" s="104">
        <v>1</v>
      </c>
      <c r="AJ28" s="104"/>
      <c r="AK28" s="101"/>
      <c r="AL28" s="103"/>
      <c r="AM28" s="101" t="s">
        <v>1915</v>
      </c>
      <c r="AN28" s="103">
        <v>7.7152580317722833E-2</v>
      </c>
      <c r="AO28" s="103">
        <v>-2.0803641743156381E-5</v>
      </c>
    </row>
    <row r="29" spans="1:41" ht="13.5" customHeight="1">
      <c r="A29" s="101">
        <v>274</v>
      </c>
      <c r="B29" s="101">
        <v>274</v>
      </c>
      <c r="C29" s="101" t="s">
        <v>1037</v>
      </c>
      <c r="D29" s="101">
        <v>31010400</v>
      </c>
      <c r="E29" s="101" t="s">
        <v>1241</v>
      </c>
      <c r="F29" s="104">
        <v>1</v>
      </c>
      <c r="G29" s="104">
        <v>1250000</v>
      </c>
      <c r="H29" s="104">
        <v>1554.3613</v>
      </c>
      <c r="I29" s="103">
        <v>5.6667762814285538E-2</v>
      </c>
      <c r="J29" s="103">
        <v>3.8794937406610655E-4</v>
      </c>
      <c r="K29" s="101">
        <v>310104000</v>
      </c>
      <c r="L29" s="101" t="s">
        <v>1241</v>
      </c>
      <c r="M29" s="104">
        <v>1</v>
      </c>
      <c r="N29" s="104">
        <v>-1250000</v>
      </c>
      <c r="O29" s="104">
        <v>-1626.854</v>
      </c>
      <c r="P29" s="103">
        <v>-4.0604265623246134E-4</v>
      </c>
      <c r="Q29" s="103">
        <v>0.11090360129444622</v>
      </c>
      <c r="R29" s="104">
        <v>-72.492699999999999</v>
      </c>
      <c r="S29" s="101" t="s">
        <v>203</v>
      </c>
      <c r="T29" s="101" t="s">
        <v>202</v>
      </c>
      <c r="U29" s="101" t="s">
        <v>742</v>
      </c>
      <c r="V29" s="101" t="s">
        <v>313</v>
      </c>
      <c r="W29" s="101" t="s">
        <v>932</v>
      </c>
      <c r="X29" s="101" t="s">
        <v>1917</v>
      </c>
      <c r="Y29" s="101" t="s">
        <v>336</v>
      </c>
      <c r="Z29" s="107">
        <v>41934</v>
      </c>
      <c r="AA29" s="107">
        <v>47048</v>
      </c>
      <c r="AB29" s="101" t="s">
        <v>903</v>
      </c>
      <c r="AC29" s="101" t="s">
        <v>905</v>
      </c>
      <c r="AD29" s="101" t="s">
        <v>917</v>
      </c>
      <c r="AE29" s="101" t="s">
        <v>920</v>
      </c>
      <c r="AF29" s="101" t="s">
        <v>903</v>
      </c>
      <c r="AG29" s="101" t="s">
        <v>903</v>
      </c>
      <c r="AH29" s="103"/>
      <c r="AI29" s="104">
        <v>1</v>
      </c>
      <c r="AJ29" s="104"/>
      <c r="AK29" s="101"/>
      <c r="AL29" s="103"/>
      <c r="AM29" s="101" t="s">
        <v>1915</v>
      </c>
      <c r="AN29" s="103">
        <v>6.7100915444774131E-2</v>
      </c>
      <c r="AO29" s="103">
        <v>-1.8093282166354786E-5</v>
      </c>
    </row>
    <row r="30" spans="1:41" ht="13.5" customHeight="1"/>
    <row r="31" spans="1:41" ht="13.5" customHeight="1"/>
    <row r="32" spans="1:41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6.37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108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8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1">
        <v>274</v>
      </c>
      <c r="B2" s="101">
        <v>274</v>
      </c>
      <c r="C2" s="101"/>
      <c r="D2" s="101"/>
      <c r="E2" s="101"/>
      <c r="F2" s="101">
        <v>34777</v>
      </c>
      <c r="G2" s="101" t="s">
        <v>1034</v>
      </c>
      <c r="H2" s="101" t="s">
        <v>810</v>
      </c>
      <c r="I2" s="101" t="s">
        <v>202</v>
      </c>
      <c r="J2" s="101"/>
      <c r="K2" s="101" t="s">
        <v>438</v>
      </c>
      <c r="L2" s="101" t="s">
        <v>336</v>
      </c>
      <c r="M2" s="101" t="s">
        <v>334</v>
      </c>
      <c r="N2" s="101"/>
      <c r="O2" s="107">
        <v>41281</v>
      </c>
      <c r="P2" s="101" t="s">
        <v>1918</v>
      </c>
      <c r="Q2" s="101" t="s">
        <v>413</v>
      </c>
      <c r="R2" s="101" t="s">
        <v>406</v>
      </c>
      <c r="S2" s="101" t="s">
        <v>1241</v>
      </c>
      <c r="T2" s="104">
        <v>3.35</v>
      </c>
      <c r="U2" s="101" t="s">
        <v>1919</v>
      </c>
      <c r="V2" s="103">
        <v>5.3499999999999999E-2</v>
      </c>
      <c r="W2" s="101"/>
      <c r="X2" s="101"/>
      <c r="Y2" s="103"/>
      <c r="Z2" s="103">
        <v>2.4299999999999999E-2</v>
      </c>
      <c r="AA2" s="107">
        <v>48479</v>
      </c>
      <c r="AB2" s="101" t="s">
        <v>410</v>
      </c>
      <c r="AC2" s="101"/>
      <c r="AD2" s="104"/>
      <c r="AE2" s="103"/>
      <c r="AF2" s="107"/>
      <c r="AG2" s="101"/>
      <c r="AH2" s="101"/>
      <c r="AI2" s="101"/>
      <c r="AJ2" s="101" t="s">
        <v>334</v>
      </c>
      <c r="AK2" s="101" t="s">
        <v>890</v>
      </c>
      <c r="AL2" s="101"/>
      <c r="AM2" s="101" t="s">
        <v>893</v>
      </c>
      <c r="AN2" s="107">
        <v>46112</v>
      </c>
      <c r="AO2" s="107"/>
      <c r="AP2" s="103"/>
      <c r="AQ2" s="104">
        <v>94426.37</v>
      </c>
      <c r="AR2" s="104">
        <v>0.13200000000000001</v>
      </c>
      <c r="AS2" s="104">
        <v>1</v>
      </c>
      <c r="AT2" s="104">
        <v>124.70891</v>
      </c>
      <c r="AU2" s="104">
        <v>124.70891</v>
      </c>
      <c r="AV2" s="104"/>
      <c r="AW2" s="104"/>
      <c r="AX2" s="101"/>
      <c r="AY2" s="101"/>
      <c r="AZ2" s="103">
        <v>9.4120000000000002E-3</v>
      </c>
      <c r="BA2" s="103">
        <v>3.1000000000000001E-5</v>
      </c>
    </row>
    <row r="3" spans="1:53" ht="13.5" customHeight="1">
      <c r="A3" s="101">
        <v>274</v>
      </c>
      <c r="B3" s="101">
        <v>274</v>
      </c>
      <c r="C3" s="101"/>
      <c r="D3" s="101"/>
      <c r="E3" s="101"/>
      <c r="F3" s="101">
        <v>8070112</v>
      </c>
      <c r="G3" s="101" t="s">
        <v>1034</v>
      </c>
      <c r="H3" s="101" t="s">
        <v>810</v>
      </c>
      <c r="I3" s="101" t="s">
        <v>202</v>
      </c>
      <c r="J3" s="101"/>
      <c r="K3" s="101" t="s">
        <v>483</v>
      </c>
      <c r="L3" s="101" t="s">
        <v>336</v>
      </c>
      <c r="M3" s="101" t="s">
        <v>334</v>
      </c>
      <c r="N3" s="101"/>
      <c r="O3" s="107">
        <v>38258</v>
      </c>
      <c r="P3" s="101" t="s">
        <v>1237</v>
      </c>
      <c r="Q3" s="101" t="s">
        <v>413</v>
      </c>
      <c r="R3" s="101" t="s">
        <v>406</v>
      </c>
      <c r="S3" s="101" t="s">
        <v>1241</v>
      </c>
      <c r="T3" s="104">
        <v>0.74</v>
      </c>
      <c r="U3" s="101" t="s">
        <v>1919</v>
      </c>
      <c r="V3" s="103">
        <v>5.1694999999999998E-2</v>
      </c>
      <c r="W3" s="101"/>
      <c r="X3" s="101"/>
      <c r="Y3" s="103"/>
      <c r="Z3" s="103">
        <v>2.4500000000000001E-2</v>
      </c>
      <c r="AA3" s="107">
        <v>46568</v>
      </c>
      <c r="AB3" s="101" t="s">
        <v>410</v>
      </c>
      <c r="AC3" s="101"/>
      <c r="AD3" s="104"/>
      <c r="AE3" s="103"/>
      <c r="AF3" s="107"/>
      <c r="AG3" s="101"/>
      <c r="AH3" s="101"/>
      <c r="AI3" s="101"/>
      <c r="AJ3" s="101" t="s">
        <v>334</v>
      </c>
      <c r="AK3" s="101" t="s">
        <v>890</v>
      </c>
      <c r="AL3" s="101"/>
      <c r="AM3" s="101" t="s">
        <v>893</v>
      </c>
      <c r="AN3" s="107">
        <v>46112</v>
      </c>
      <c r="AO3" s="107"/>
      <c r="AP3" s="103"/>
      <c r="AQ3" s="104">
        <v>80161.539999999994</v>
      </c>
      <c r="AR3" s="104">
        <v>0.15609999999999999</v>
      </c>
      <c r="AS3" s="104">
        <v>1</v>
      </c>
      <c r="AT3" s="104">
        <v>125.1482</v>
      </c>
      <c r="AU3" s="104">
        <v>125.1482</v>
      </c>
      <c r="AV3" s="102"/>
      <c r="AW3" s="102"/>
      <c r="AX3" s="101"/>
      <c r="AY3" s="101"/>
      <c r="AZ3" s="103">
        <v>9.4459999999999995E-3</v>
      </c>
      <c r="BA3" s="103">
        <v>3.1000000000000001E-5</v>
      </c>
    </row>
    <row r="4" spans="1:53" ht="13.5" customHeight="1">
      <c r="A4" s="101">
        <v>274</v>
      </c>
      <c r="B4" s="101">
        <v>274</v>
      </c>
      <c r="C4" s="101"/>
      <c r="D4" s="101"/>
      <c r="E4" s="101"/>
      <c r="F4" s="101">
        <v>72002019</v>
      </c>
      <c r="G4" s="101" t="s">
        <v>1034</v>
      </c>
      <c r="H4" s="101" t="s">
        <v>810</v>
      </c>
      <c r="I4" s="101" t="s">
        <v>202</v>
      </c>
      <c r="J4" s="101"/>
      <c r="K4" s="101" t="s">
        <v>453</v>
      </c>
      <c r="L4" s="101" t="s">
        <v>336</v>
      </c>
      <c r="M4" s="101" t="s">
        <v>334</v>
      </c>
      <c r="N4" s="101"/>
      <c r="O4" s="107">
        <v>46050</v>
      </c>
      <c r="P4" s="101" t="s">
        <v>1918</v>
      </c>
      <c r="Q4" s="101" t="s">
        <v>413</v>
      </c>
      <c r="R4" s="101" t="s">
        <v>406</v>
      </c>
      <c r="S4" s="101" t="s">
        <v>1241</v>
      </c>
      <c r="T4" s="104">
        <v>4.25</v>
      </c>
      <c r="U4" s="101" t="s">
        <v>1919</v>
      </c>
      <c r="V4" s="103">
        <v>4.0557000000000003E-2</v>
      </c>
      <c r="W4" s="101"/>
      <c r="X4" s="101"/>
      <c r="Y4" s="103"/>
      <c r="Z4" s="103">
        <v>4.3999999999999997E-2</v>
      </c>
      <c r="AA4" s="107">
        <v>48844</v>
      </c>
      <c r="AB4" s="101" t="s">
        <v>410</v>
      </c>
      <c r="AC4" s="101"/>
      <c r="AD4" s="104"/>
      <c r="AE4" s="103"/>
      <c r="AF4" s="107"/>
      <c r="AG4" s="101"/>
      <c r="AH4" s="101"/>
      <c r="AI4" s="101"/>
      <c r="AJ4" s="101" t="s">
        <v>334</v>
      </c>
      <c r="AK4" s="101" t="s">
        <v>890</v>
      </c>
      <c r="AL4" s="101"/>
      <c r="AM4" s="101" t="s">
        <v>893</v>
      </c>
      <c r="AN4" s="107">
        <v>46112</v>
      </c>
      <c r="AO4" s="107"/>
      <c r="AP4" s="103"/>
      <c r="AQ4" s="104">
        <v>6592</v>
      </c>
      <c r="AR4" s="104">
        <v>9.8799999999999999E-2</v>
      </c>
      <c r="AS4" s="104">
        <v>1</v>
      </c>
      <c r="AT4" s="104">
        <v>6.5168499999999998</v>
      </c>
      <c r="AU4" s="104">
        <v>6.5168499999999998</v>
      </c>
      <c r="AV4" s="102"/>
      <c r="AW4" s="102"/>
      <c r="AX4" s="101"/>
      <c r="AY4" s="101"/>
      <c r="AZ4" s="103">
        <v>4.9100000000000001E-4</v>
      </c>
      <c r="BA4" s="103">
        <v>9.9999999999999995E-7</v>
      </c>
    </row>
    <row r="5" spans="1:53" ht="13.5" customHeight="1">
      <c r="A5" s="101">
        <v>274</v>
      </c>
      <c r="B5" s="101">
        <v>274</v>
      </c>
      <c r="C5" s="101"/>
      <c r="D5" s="101"/>
      <c r="E5" s="101"/>
      <c r="F5" s="101">
        <v>8070120</v>
      </c>
      <c r="G5" s="101" t="s">
        <v>1034</v>
      </c>
      <c r="H5" s="101" t="s">
        <v>810</v>
      </c>
      <c r="I5" s="101" t="s">
        <v>202</v>
      </c>
      <c r="J5" s="101"/>
      <c r="K5" s="101" t="s">
        <v>483</v>
      </c>
      <c r="L5" s="101" t="s">
        <v>336</v>
      </c>
      <c r="M5" s="101" t="s">
        <v>334</v>
      </c>
      <c r="N5" s="101"/>
      <c r="O5" s="107">
        <v>38258</v>
      </c>
      <c r="P5" s="101" t="s">
        <v>1237</v>
      </c>
      <c r="Q5" s="101" t="s">
        <v>413</v>
      </c>
      <c r="R5" s="101" t="s">
        <v>406</v>
      </c>
      <c r="S5" s="101" t="s">
        <v>1241</v>
      </c>
      <c r="T5" s="104">
        <v>0.74</v>
      </c>
      <c r="U5" s="101" t="s">
        <v>1919</v>
      </c>
      <c r="V5" s="103">
        <v>5.1694999999999998E-2</v>
      </c>
      <c r="W5" s="101"/>
      <c r="X5" s="101"/>
      <c r="Y5" s="103"/>
      <c r="Z5" s="103">
        <v>2.4500000000000001E-2</v>
      </c>
      <c r="AA5" s="107">
        <v>46568</v>
      </c>
      <c r="AB5" s="101" t="s">
        <v>410</v>
      </c>
      <c r="AC5" s="101"/>
      <c r="AD5" s="104"/>
      <c r="AE5" s="103"/>
      <c r="AF5" s="107"/>
      <c r="AG5" s="101"/>
      <c r="AH5" s="101"/>
      <c r="AI5" s="101"/>
      <c r="AJ5" s="101" t="s">
        <v>334</v>
      </c>
      <c r="AK5" s="101" t="s">
        <v>890</v>
      </c>
      <c r="AL5" s="101"/>
      <c r="AM5" s="101" t="s">
        <v>893</v>
      </c>
      <c r="AN5" s="107">
        <v>46112</v>
      </c>
      <c r="AO5" s="107"/>
      <c r="AP5" s="103"/>
      <c r="AQ5" s="104">
        <v>62376.52</v>
      </c>
      <c r="AR5" s="104">
        <v>0.1515</v>
      </c>
      <c r="AS5" s="104">
        <v>1</v>
      </c>
      <c r="AT5" s="104">
        <v>94.550330000000002</v>
      </c>
      <c r="AU5" s="104">
        <v>94.550330000000002</v>
      </c>
      <c r="AV5" s="102"/>
      <c r="AW5" s="102"/>
      <c r="AX5" s="101"/>
      <c r="AY5" s="101"/>
      <c r="AZ5" s="103">
        <v>7.136E-3</v>
      </c>
      <c r="BA5" s="103">
        <v>2.3E-5</v>
      </c>
    </row>
    <row r="6" spans="1:53" ht="13.5" customHeight="1">
      <c r="A6" s="101">
        <v>274</v>
      </c>
      <c r="B6" s="101">
        <v>274</v>
      </c>
      <c r="C6" s="101"/>
      <c r="D6" s="101"/>
      <c r="E6" s="101"/>
      <c r="F6" s="101">
        <v>72002018</v>
      </c>
      <c r="G6" s="101" t="s">
        <v>1034</v>
      </c>
      <c r="H6" s="101" t="s">
        <v>810</v>
      </c>
      <c r="I6" s="101" t="s">
        <v>202</v>
      </c>
      <c r="J6" s="101"/>
      <c r="K6" s="101" t="s">
        <v>453</v>
      </c>
      <c r="L6" s="101" t="s">
        <v>336</v>
      </c>
      <c r="M6" s="101" t="s">
        <v>334</v>
      </c>
      <c r="N6" s="101"/>
      <c r="O6" s="107">
        <v>46020</v>
      </c>
      <c r="P6" s="101" t="s">
        <v>1918</v>
      </c>
      <c r="Q6" s="101" t="s">
        <v>413</v>
      </c>
      <c r="R6" s="101" t="s">
        <v>406</v>
      </c>
      <c r="S6" s="101" t="s">
        <v>1241</v>
      </c>
      <c r="T6" s="104">
        <v>4.3600000000000003</v>
      </c>
      <c r="U6" s="101" t="s">
        <v>1919</v>
      </c>
      <c r="V6" s="103">
        <v>4.0701000000000001E-2</v>
      </c>
      <c r="W6" s="101"/>
      <c r="X6" s="101"/>
      <c r="Y6" s="103"/>
      <c r="Z6" s="103">
        <v>4.2299999999999997E-2</v>
      </c>
      <c r="AA6" s="107">
        <v>48844</v>
      </c>
      <c r="AB6" s="101" t="s">
        <v>410</v>
      </c>
      <c r="AC6" s="101"/>
      <c r="AD6" s="104"/>
      <c r="AE6" s="103"/>
      <c r="AF6" s="107"/>
      <c r="AG6" s="101"/>
      <c r="AH6" s="101"/>
      <c r="AI6" s="101"/>
      <c r="AJ6" s="101" t="s">
        <v>334</v>
      </c>
      <c r="AK6" s="101" t="s">
        <v>890</v>
      </c>
      <c r="AL6" s="101"/>
      <c r="AM6" s="101" t="s">
        <v>893</v>
      </c>
      <c r="AN6" s="107">
        <v>46112</v>
      </c>
      <c r="AO6" s="107"/>
      <c r="AP6" s="103"/>
      <c r="AQ6" s="104">
        <v>498</v>
      </c>
      <c r="AR6" s="104">
        <v>9.9599999999999994E-2</v>
      </c>
      <c r="AS6" s="104">
        <v>1</v>
      </c>
      <c r="AT6" s="104">
        <v>0.49606</v>
      </c>
      <c r="AU6" s="104">
        <v>0.49606</v>
      </c>
      <c r="AV6" s="102"/>
      <c r="AW6" s="102"/>
      <c r="AX6" s="101"/>
      <c r="AY6" s="101"/>
      <c r="AZ6" s="103">
        <v>3.6999999999999998E-5</v>
      </c>
      <c r="BA6" s="103">
        <v>0</v>
      </c>
    </row>
    <row r="7" spans="1:53" ht="13.5" customHeight="1">
      <c r="A7" s="101">
        <v>274</v>
      </c>
      <c r="B7" s="101">
        <v>274</v>
      </c>
      <c r="C7" s="101"/>
      <c r="D7" s="101"/>
      <c r="E7" s="101"/>
      <c r="F7" s="101">
        <v>8070138</v>
      </c>
      <c r="G7" s="101" t="s">
        <v>1034</v>
      </c>
      <c r="H7" s="101" t="s">
        <v>810</v>
      </c>
      <c r="I7" s="101" t="s">
        <v>202</v>
      </c>
      <c r="J7" s="101"/>
      <c r="K7" s="101" t="s">
        <v>483</v>
      </c>
      <c r="L7" s="101" t="s">
        <v>336</v>
      </c>
      <c r="M7" s="101" t="s">
        <v>334</v>
      </c>
      <c r="N7" s="101"/>
      <c r="O7" s="107">
        <v>38258</v>
      </c>
      <c r="P7" s="101" t="s">
        <v>1237</v>
      </c>
      <c r="Q7" s="101" t="s">
        <v>413</v>
      </c>
      <c r="R7" s="101" t="s">
        <v>406</v>
      </c>
      <c r="S7" s="101" t="s">
        <v>1241</v>
      </c>
      <c r="T7" s="104">
        <v>0.74</v>
      </c>
      <c r="U7" s="101" t="s">
        <v>1919</v>
      </c>
      <c r="V7" s="103">
        <v>5.1694999999999998E-2</v>
      </c>
      <c r="W7" s="101"/>
      <c r="X7" s="101"/>
      <c r="Y7" s="103"/>
      <c r="Z7" s="103">
        <v>2.4500000000000001E-2</v>
      </c>
      <c r="AA7" s="107">
        <v>46568</v>
      </c>
      <c r="AB7" s="101" t="s">
        <v>410</v>
      </c>
      <c r="AC7" s="101"/>
      <c r="AD7" s="104"/>
      <c r="AE7" s="103"/>
      <c r="AF7" s="107"/>
      <c r="AG7" s="101"/>
      <c r="AH7" s="101"/>
      <c r="AI7" s="101"/>
      <c r="AJ7" s="101" t="s">
        <v>334</v>
      </c>
      <c r="AK7" s="101" t="s">
        <v>890</v>
      </c>
      <c r="AL7" s="101"/>
      <c r="AM7" s="101" t="s">
        <v>893</v>
      </c>
      <c r="AN7" s="107">
        <v>46112</v>
      </c>
      <c r="AO7" s="107"/>
      <c r="AP7" s="103"/>
      <c r="AQ7" s="104">
        <v>77603.75</v>
      </c>
      <c r="AR7" s="104">
        <v>0.1492</v>
      </c>
      <c r="AS7" s="104">
        <v>1</v>
      </c>
      <c r="AT7" s="104">
        <v>115.7848</v>
      </c>
      <c r="AU7" s="104">
        <v>115.7848</v>
      </c>
      <c r="AV7" s="102"/>
      <c r="AW7" s="102"/>
      <c r="AX7" s="101"/>
      <c r="AY7" s="101"/>
      <c r="AZ7" s="103">
        <v>8.7390000000000002E-3</v>
      </c>
      <c r="BA7" s="103">
        <v>2.8E-5</v>
      </c>
    </row>
    <row r="8" spans="1:53" ht="13.5" customHeight="1">
      <c r="A8" s="101">
        <v>274</v>
      </c>
      <c r="B8" s="101">
        <v>274</v>
      </c>
      <c r="C8" s="101"/>
      <c r="D8" s="101"/>
      <c r="E8" s="101"/>
      <c r="F8" s="101">
        <v>72002017</v>
      </c>
      <c r="G8" s="101" t="s">
        <v>1034</v>
      </c>
      <c r="H8" s="101" t="s">
        <v>810</v>
      </c>
      <c r="I8" s="101" t="s">
        <v>202</v>
      </c>
      <c r="J8" s="101"/>
      <c r="K8" s="101" t="s">
        <v>453</v>
      </c>
      <c r="L8" s="101" t="s">
        <v>336</v>
      </c>
      <c r="M8" s="101" t="s">
        <v>334</v>
      </c>
      <c r="N8" s="101"/>
      <c r="O8" s="107">
        <v>46020</v>
      </c>
      <c r="P8" s="101" t="s">
        <v>1918</v>
      </c>
      <c r="Q8" s="101" t="s">
        <v>413</v>
      </c>
      <c r="R8" s="101" t="s">
        <v>406</v>
      </c>
      <c r="S8" s="101" t="s">
        <v>1241</v>
      </c>
      <c r="T8" s="104">
        <v>4.55</v>
      </c>
      <c r="U8" s="101" t="s">
        <v>1919</v>
      </c>
      <c r="V8" s="103">
        <v>4.0327000000000002E-2</v>
      </c>
      <c r="W8" s="101"/>
      <c r="X8" s="101"/>
      <c r="Y8" s="103"/>
      <c r="Z8" s="103">
        <v>4.4200000000000003E-2</v>
      </c>
      <c r="AA8" s="107">
        <v>48844</v>
      </c>
      <c r="AB8" s="101" t="s">
        <v>410</v>
      </c>
      <c r="AC8" s="101"/>
      <c r="AD8" s="104"/>
      <c r="AE8" s="103"/>
      <c r="AF8" s="107"/>
      <c r="AG8" s="101"/>
      <c r="AH8" s="101"/>
      <c r="AI8" s="101"/>
      <c r="AJ8" s="101" t="s">
        <v>334</v>
      </c>
      <c r="AK8" s="101" t="s">
        <v>890</v>
      </c>
      <c r="AL8" s="101"/>
      <c r="AM8" s="101" t="s">
        <v>893</v>
      </c>
      <c r="AN8" s="107">
        <v>46112</v>
      </c>
      <c r="AO8" s="107"/>
      <c r="AP8" s="103"/>
      <c r="AQ8" s="104">
        <v>9502</v>
      </c>
      <c r="AR8" s="104">
        <v>9.8500000000000004E-2</v>
      </c>
      <c r="AS8" s="104">
        <v>1</v>
      </c>
      <c r="AT8" s="104">
        <v>9.3680199999999996</v>
      </c>
      <c r="AU8" s="104">
        <v>9.3680199999999996</v>
      </c>
      <c r="AV8" s="102"/>
      <c r="AW8" s="102"/>
      <c r="AX8" s="101"/>
      <c r="AY8" s="101"/>
      <c r="AZ8" s="103">
        <v>7.0699999999999995E-4</v>
      </c>
      <c r="BA8" s="103">
        <v>1.9999999999999999E-6</v>
      </c>
    </row>
    <row r="9" spans="1:53" ht="13.5" customHeight="1">
      <c r="A9" s="101">
        <v>274</v>
      </c>
      <c r="B9" s="101">
        <v>274</v>
      </c>
      <c r="C9" s="101"/>
      <c r="D9" s="101"/>
      <c r="E9" s="101"/>
      <c r="F9" s="101">
        <v>8070146</v>
      </c>
      <c r="G9" s="101" t="s">
        <v>1034</v>
      </c>
      <c r="H9" s="101" t="s">
        <v>810</v>
      </c>
      <c r="I9" s="101" t="s">
        <v>202</v>
      </c>
      <c r="J9" s="101"/>
      <c r="K9" s="101" t="s">
        <v>483</v>
      </c>
      <c r="L9" s="101" t="s">
        <v>336</v>
      </c>
      <c r="M9" s="101" t="s">
        <v>334</v>
      </c>
      <c r="N9" s="101"/>
      <c r="O9" s="107">
        <v>38258</v>
      </c>
      <c r="P9" s="101" t="s">
        <v>1237</v>
      </c>
      <c r="Q9" s="101" t="s">
        <v>413</v>
      </c>
      <c r="R9" s="101" t="s">
        <v>406</v>
      </c>
      <c r="S9" s="101" t="s">
        <v>1241</v>
      </c>
      <c r="T9" s="104">
        <v>0.74</v>
      </c>
      <c r="U9" s="101" t="s">
        <v>1919</v>
      </c>
      <c r="V9" s="103">
        <v>5.1694999999999998E-2</v>
      </c>
      <c r="W9" s="101"/>
      <c r="X9" s="101"/>
      <c r="Y9" s="103"/>
      <c r="Z9" s="103">
        <v>2.4500000000000001E-2</v>
      </c>
      <c r="AA9" s="107">
        <v>46568</v>
      </c>
      <c r="AB9" s="101" t="s">
        <v>410</v>
      </c>
      <c r="AC9" s="101"/>
      <c r="AD9" s="104"/>
      <c r="AE9" s="103"/>
      <c r="AF9" s="107"/>
      <c r="AG9" s="101"/>
      <c r="AH9" s="101"/>
      <c r="AI9" s="101"/>
      <c r="AJ9" s="101" t="s">
        <v>334</v>
      </c>
      <c r="AK9" s="101" t="s">
        <v>890</v>
      </c>
      <c r="AL9" s="101"/>
      <c r="AM9" s="101" t="s">
        <v>893</v>
      </c>
      <c r="AN9" s="107">
        <v>46112</v>
      </c>
      <c r="AO9" s="107"/>
      <c r="AP9" s="103"/>
      <c r="AQ9" s="104">
        <v>74730.81</v>
      </c>
      <c r="AR9" s="104">
        <v>0.1489</v>
      </c>
      <c r="AS9" s="104">
        <v>1</v>
      </c>
      <c r="AT9" s="104">
        <v>111.2966</v>
      </c>
      <c r="AU9" s="104">
        <v>111.2966</v>
      </c>
      <c r="AV9" s="102"/>
      <c r="AW9" s="102"/>
      <c r="AX9" s="101"/>
      <c r="AY9" s="101"/>
      <c r="AZ9" s="103">
        <v>8.3999999999999995E-3</v>
      </c>
      <c r="BA9" s="103">
        <v>2.6999999999999999E-5</v>
      </c>
    </row>
    <row r="10" spans="1:53" ht="13.5" customHeight="1">
      <c r="A10" s="101">
        <v>274</v>
      </c>
      <c r="B10" s="101">
        <v>274</v>
      </c>
      <c r="C10" s="101"/>
      <c r="D10" s="101"/>
      <c r="E10" s="101"/>
      <c r="F10" s="101">
        <v>72002016</v>
      </c>
      <c r="G10" s="101" t="s">
        <v>1034</v>
      </c>
      <c r="H10" s="101" t="s">
        <v>810</v>
      </c>
      <c r="I10" s="101" t="s">
        <v>202</v>
      </c>
      <c r="J10" s="101"/>
      <c r="K10" s="101" t="s">
        <v>453</v>
      </c>
      <c r="L10" s="101" t="s">
        <v>336</v>
      </c>
      <c r="M10" s="101" t="s">
        <v>334</v>
      </c>
      <c r="N10" s="101"/>
      <c r="O10" s="107">
        <v>46020</v>
      </c>
      <c r="P10" s="101" t="s">
        <v>1918</v>
      </c>
      <c r="Q10" s="101" t="s">
        <v>413</v>
      </c>
      <c r="R10" s="101" t="s">
        <v>406</v>
      </c>
      <c r="S10" s="101" t="s">
        <v>1241</v>
      </c>
      <c r="T10" s="104">
        <v>4.18</v>
      </c>
      <c r="U10" s="101" t="s">
        <v>1919</v>
      </c>
      <c r="V10" s="103">
        <v>4.0691999999999999E-2</v>
      </c>
      <c r="W10" s="101"/>
      <c r="X10" s="101"/>
      <c r="Y10" s="103"/>
      <c r="Z10" s="103">
        <v>4.4699999999999997E-2</v>
      </c>
      <c r="AA10" s="107">
        <v>48844</v>
      </c>
      <c r="AB10" s="101" t="s">
        <v>410</v>
      </c>
      <c r="AC10" s="101"/>
      <c r="AD10" s="104"/>
      <c r="AE10" s="103"/>
      <c r="AF10" s="107"/>
      <c r="AG10" s="101"/>
      <c r="AH10" s="101"/>
      <c r="AI10" s="101"/>
      <c r="AJ10" s="101" t="s">
        <v>334</v>
      </c>
      <c r="AK10" s="101" t="s">
        <v>890</v>
      </c>
      <c r="AL10" s="101"/>
      <c r="AM10" s="101" t="s">
        <v>893</v>
      </c>
      <c r="AN10" s="107">
        <v>46112</v>
      </c>
      <c r="AO10" s="107"/>
      <c r="AP10" s="103"/>
      <c r="AQ10" s="104">
        <v>10986</v>
      </c>
      <c r="AR10" s="104">
        <v>9.8599999999999993E-2</v>
      </c>
      <c r="AS10" s="104">
        <v>1</v>
      </c>
      <c r="AT10" s="104">
        <v>10.838789999999999</v>
      </c>
      <c r="AU10" s="104">
        <v>10.838789999999999</v>
      </c>
      <c r="AV10" s="102"/>
      <c r="AW10" s="102"/>
      <c r="AX10" s="101"/>
      <c r="AY10" s="101"/>
      <c r="AZ10" s="103">
        <v>8.1800000000000004E-4</v>
      </c>
      <c r="BA10" s="103">
        <v>1.9999999999999999E-6</v>
      </c>
    </row>
    <row r="11" spans="1:53" ht="13.5" customHeight="1">
      <c r="A11" s="101">
        <v>274</v>
      </c>
      <c r="B11" s="101">
        <v>274</v>
      </c>
      <c r="C11" s="101"/>
      <c r="D11" s="101"/>
      <c r="E11" s="101"/>
      <c r="F11" s="101">
        <v>8070153</v>
      </c>
      <c r="G11" s="101" t="s">
        <v>1034</v>
      </c>
      <c r="H11" s="101" t="s">
        <v>810</v>
      </c>
      <c r="I11" s="101" t="s">
        <v>202</v>
      </c>
      <c r="J11" s="101"/>
      <c r="K11" s="101" t="s">
        <v>483</v>
      </c>
      <c r="L11" s="101" t="s">
        <v>336</v>
      </c>
      <c r="M11" s="101" t="s">
        <v>334</v>
      </c>
      <c r="N11" s="101"/>
      <c r="O11" s="107">
        <v>38258</v>
      </c>
      <c r="P11" s="101" t="s">
        <v>1237</v>
      </c>
      <c r="Q11" s="101" t="s">
        <v>413</v>
      </c>
      <c r="R11" s="101" t="s">
        <v>406</v>
      </c>
      <c r="S11" s="101" t="s">
        <v>1241</v>
      </c>
      <c r="T11" s="104">
        <v>0.74</v>
      </c>
      <c r="U11" s="101" t="s">
        <v>1919</v>
      </c>
      <c r="V11" s="103">
        <v>5.1694999999999998E-2</v>
      </c>
      <c r="W11" s="101"/>
      <c r="X11" s="101"/>
      <c r="Y11" s="103"/>
      <c r="Z11" s="103">
        <v>2.4500000000000001E-2</v>
      </c>
      <c r="AA11" s="107">
        <v>46568</v>
      </c>
      <c r="AB11" s="101" t="s">
        <v>410</v>
      </c>
      <c r="AC11" s="101"/>
      <c r="AD11" s="104"/>
      <c r="AE11" s="103"/>
      <c r="AF11" s="107"/>
      <c r="AG11" s="101"/>
      <c r="AH11" s="101"/>
      <c r="AI11" s="101"/>
      <c r="AJ11" s="101" t="s">
        <v>334</v>
      </c>
      <c r="AK11" s="101" t="s">
        <v>890</v>
      </c>
      <c r="AL11" s="101"/>
      <c r="AM11" s="101" t="s">
        <v>893</v>
      </c>
      <c r="AN11" s="107">
        <v>46112</v>
      </c>
      <c r="AO11" s="107"/>
      <c r="AP11" s="103"/>
      <c r="AQ11" s="104">
        <v>65843.759999999995</v>
      </c>
      <c r="AR11" s="104">
        <v>0.1484</v>
      </c>
      <c r="AS11" s="104">
        <v>1</v>
      </c>
      <c r="AT11" s="104">
        <v>97.764809999999997</v>
      </c>
      <c r="AU11" s="104">
        <v>97.764809999999997</v>
      </c>
      <c r="AV11" s="102"/>
      <c r="AW11" s="102"/>
      <c r="AX11" s="101"/>
      <c r="AY11" s="101"/>
      <c r="AZ11" s="103">
        <v>7.3790000000000001E-3</v>
      </c>
      <c r="BA11" s="103">
        <v>2.4000000000000001E-5</v>
      </c>
    </row>
    <row r="12" spans="1:53" ht="13.5" customHeight="1">
      <c r="A12" s="101">
        <v>274</v>
      </c>
      <c r="B12" s="101">
        <v>274</v>
      </c>
      <c r="C12" s="101"/>
      <c r="D12" s="101"/>
      <c r="E12" s="101"/>
      <c r="F12" s="101">
        <v>72002015</v>
      </c>
      <c r="G12" s="101" t="s">
        <v>1034</v>
      </c>
      <c r="H12" s="101" t="s">
        <v>810</v>
      </c>
      <c r="I12" s="101" t="s">
        <v>202</v>
      </c>
      <c r="J12" s="101"/>
      <c r="K12" s="101" t="s">
        <v>453</v>
      </c>
      <c r="L12" s="101" t="s">
        <v>336</v>
      </c>
      <c r="M12" s="101" t="s">
        <v>334</v>
      </c>
      <c r="N12" s="101"/>
      <c r="O12" s="107">
        <v>46020</v>
      </c>
      <c r="P12" s="101" t="s">
        <v>1918</v>
      </c>
      <c r="Q12" s="101" t="s">
        <v>413</v>
      </c>
      <c r="R12" s="101" t="s">
        <v>406</v>
      </c>
      <c r="S12" s="101" t="s">
        <v>1241</v>
      </c>
      <c r="T12" s="104">
        <v>4.25</v>
      </c>
      <c r="U12" s="101" t="s">
        <v>1919</v>
      </c>
      <c r="V12" s="103">
        <v>4.0738999999999997E-2</v>
      </c>
      <c r="W12" s="101"/>
      <c r="X12" s="101"/>
      <c r="Y12" s="103"/>
      <c r="Z12" s="103">
        <v>4.48E-2</v>
      </c>
      <c r="AA12" s="107">
        <v>48844</v>
      </c>
      <c r="AB12" s="101" t="s">
        <v>410</v>
      </c>
      <c r="AC12" s="101"/>
      <c r="AD12" s="104"/>
      <c r="AE12" s="103"/>
      <c r="AF12" s="107"/>
      <c r="AG12" s="101"/>
      <c r="AH12" s="101"/>
      <c r="AI12" s="101"/>
      <c r="AJ12" s="101" t="s">
        <v>334</v>
      </c>
      <c r="AK12" s="101" t="s">
        <v>890</v>
      </c>
      <c r="AL12" s="101"/>
      <c r="AM12" s="101" t="s">
        <v>893</v>
      </c>
      <c r="AN12" s="107">
        <v>46112</v>
      </c>
      <c r="AO12" s="107"/>
      <c r="AP12" s="103"/>
      <c r="AQ12" s="104">
        <v>544</v>
      </c>
      <c r="AR12" s="104">
        <v>9.8599999999999993E-2</v>
      </c>
      <c r="AS12" s="104">
        <v>1</v>
      </c>
      <c r="AT12" s="104">
        <v>0.53644000000000003</v>
      </c>
      <c r="AU12" s="104">
        <v>0.53644000000000003</v>
      </c>
      <c r="AV12" s="102"/>
      <c r="AW12" s="102"/>
      <c r="AX12" s="101"/>
      <c r="AY12" s="101"/>
      <c r="AZ12" s="103">
        <v>4.0000000000000003E-5</v>
      </c>
      <c r="BA12" s="103">
        <v>0</v>
      </c>
    </row>
    <row r="13" spans="1:53" ht="13.5" customHeight="1">
      <c r="A13" s="101">
        <v>274</v>
      </c>
      <c r="B13" s="101">
        <v>274</v>
      </c>
      <c r="C13" s="101"/>
      <c r="D13" s="101"/>
      <c r="E13" s="101"/>
      <c r="F13" s="101">
        <v>8070161</v>
      </c>
      <c r="G13" s="101" t="s">
        <v>1034</v>
      </c>
      <c r="H13" s="101" t="s">
        <v>810</v>
      </c>
      <c r="I13" s="101" t="s">
        <v>202</v>
      </c>
      <c r="J13" s="101"/>
      <c r="K13" s="101" t="s">
        <v>483</v>
      </c>
      <c r="L13" s="101" t="s">
        <v>336</v>
      </c>
      <c r="M13" s="101" t="s">
        <v>334</v>
      </c>
      <c r="N13" s="101"/>
      <c r="O13" s="107">
        <v>38258</v>
      </c>
      <c r="P13" s="101" t="s">
        <v>1237</v>
      </c>
      <c r="Q13" s="101" t="s">
        <v>413</v>
      </c>
      <c r="R13" s="101" t="s">
        <v>406</v>
      </c>
      <c r="S13" s="101" t="s">
        <v>1241</v>
      </c>
      <c r="T13" s="104">
        <v>0.74</v>
      </c>
      <c r="U13" s="101" t="s">
        <v>1919</v>
      </c>
      <c r="V13" s="103">
        <v>5.1694999999999998E-2</v>
      </c>
      <c r="W13" s="101"/>
      <c r="X13" s="101"/>
      <c r="Y13" s="103"/>
      <c r="Z13" s="103">
        <v>2.4500000000000001E-2</v>
      </c>
      <c r="AA13" s="107">
        <v>46568</v>
      </c>
      <c r="AB13" s="101" t="s">
        <v>410</v>
      </c>
      <c r="AC13" s="101"/>
      <c r="AD13" s="104"/>
      <c r="AE13" s="103"/>
      <c r="AF13" s="107"/>
      <c r="AG13" s="101"/>
      <c r="AH13" s="101"/>
      <c r="AI13" s="101"/>
      <c r="AJ13" s="101" t="s">
        <v>334</v>
      </c>
      <c r="AK13" s="101" t="s">
        <v>890</v>
      </c>
      <c r="AL13" s="101"/>
      <c r="AM13" s="101" t="s">
        <v>893</v>
      </c>
      <c r="AN13" s="107">
        <v>46112</v>
      </c>
      <c r="AO13" s="107"/>
      <c r="AP13" s="103"/>
      <c r="AQ13" s="104">
        <v>68263.820000000007</v>
      </c>
      <c r="AR13" s="104">
        <v>0.1492</v>
      </c>
      <c r="AS13" s="104">
        <v>1</v>
      </c>
      <c r="AT13" s="104">
        <v>101.85645</v>
      </c>
      <c r="AU13" s="104">
        <v>101.85645</v>
      </c>
      <c r="AV13" s="102"/>
      <c r="AW13" s="102"/>
      <c r="AX13" s="101"/>
      <c r="AY13" s="101"/>
      <c r="AZ13" s="103">
        <v>7.6880000000000004E-3</v>
      </c>
      <c r="BA13" s="103">
        <v>2.5000000000000001E-5</v>
      </c>
    </row>
    <row r="14" spans="1:53" ht="13.5" customHeight="1">
      <c r="A14" s="101">
        <v>274</v>
      </c>
      <c r="B14" s="101">
        <v>274</v>
      </c>
      <c r="C14" s="101"/>
      <c r="D14" s="101"/>
      <c r="E14" s="101"/>
      <c r="F14" s="101">
        <v>72002014</v>
      </c>
      <c r="G14" s="101" t="s">
        <v>1034</v>
      </c>
      <c r="H14" s="101" t="s">
        <v>810</v>
      </c>
      <c r="I14" s="101" t="s">
        <v>202</v>
      </c>
      <c r="J14" s="101"/>
      <c r="K14" s="101" t="s">
        <v>453</v>
      </c>
      <c r="L14" s="101" t="s">
        <v>336</v>
      </c>
      <c r="M14" s="101" t="s">
        <v>334</v>
      </c>
      <c r="N14" s="101"/>
      <c r="O14" s="107">
        <v>46020</v>
      </c>
      <c r="P14" s="101" t="s">
        <v>1918</v>
      </c>
      <c r="Q14" s="101" t="s">
        <v>413</v>
      </c>
      <c r="R14" s="101" t="s">
        <v>406</v>
      </c>
      <c r="S14" s="101" t="s">
        <v>1241</v>
      </c>
      <c r="T14" s="104">
        <v>4.1500000000000004</v>
      </c>
      <c r="U14" s="101" t="s">
        <v>1919</v>
      </c>
      <c r="V14" s="103">
        <v>4.0659000000000001E-2</v>
      </c>
      <c r="W14" s="101"/>
      <c r="X14" s="101"/>
      <c r="Y14" s="103"/>
      <c r="Z14" s="103">
        <v>4.4699999999999997E-2</v>
      </c>
      <c r="AA14" s="107">
        <v>48844</v>
      </c>
      <c r="AB14" s="101" t="s">
        <v>410</v>
      </c>
      <c r="AC14" s="101"/>
      <c r="AD14" s="104"/>
      <c r="AE14" s="103"/>
      <c r="AF14" s="107"/>
      <c r="AG14" s="101"/>
      <c r="AH14" s="101"/>
      <c r="AI14" s="101"/>
      <c r="AJ14" s="101" t="s">
        <v>334</v>
      </c>
      <c r="AK14" s="101" t="s">
        <v>890</v>
      </c>
      <c r="AL14" s="101"/>
      <c r="AM14" s="101" t="s">
        <v>893</v>
      </c>
      <c r="AN14" s="107">
        <v>46112</v>
      </c>
      <c r="AO14" s="107"/>
      <c r="AP14" s="103"/>
      <c r="AQ14" s="104">
        <v>2336</v>
      </c>
      <c r="AR14" s="104">
        <v>9.8599999999999993E-2</v>
      </c>
      <c r="AS14" s="104">
        <v>1</v>
      </c>
      <c r="AT14" s="104">
        <v>2.3044600000000002</v>
      </c>
      <c r="AU14" s="104">
        <v>2.3044600000000002</v>
      </c>
      <c r="AV14" s="102"/>
      <c r="AW14" s="102"/>
      <c r="AX14" s="101"/>
      <c r="AY14" s="101"/>
      <c r="AZ14" s="103">
        <v>1.73E-4</v>
      </c>
      <c r="BA14" s="103">
        <v>0</v>
      </c>
    </row>
    <row r="15" spans="1:53" ht="13.5" customHeight="1">
      <c r="A15" s="101">
        <v>274</v>
      </c>
      <c r="B15" s="101">
        <v>274</v>
      </c>
      <c r="C15" s="101"/>
      <c r="D15" s="101"/>
      <c r="E15" s="101"/>
      <c r="F15" s="101">
        <v>8070179</v>
      </c>
      <c r="G15" s="101" t="s">
        <v>1034</v>
      </c>
      <c r="H15" s="101" t="s">
        <v>810</v>
      </c>
      <c r="I15" s="101" t="s">
        <v>202</v>
      </c>
      <c r="J15" s="101"/>
      <c r="K15" s="101" t="s">
        <v>483</v>
      </c>
      <c r="L15" s="101" t="s">
        <v>336</v>
      </c>
      <c r="M15" s="101" t="s">
        <v>334</v>
      </c>
      <c r="N15" s="101"/>
      <c r="O15" s="107">
        <v>38258</v>
      </c>
      <c r="P15" s="101" t="s">
        <v>1237</v>
      </c>
      <c r="Q15" s="101" t="s">
        <v>413</v>
      </c>
      <c r="R15" s="101" t="s">
        <v>406</v>
      </c>
      <c r="S15" s="101" t="s">
        <v>1241</v>
      </c>
      <c r="T15" s="104">
        <v>0.74</v>
      </c>
      <c r="U15" s="101" t="s">
        <v>1919</v>
      </c>
      <c r="V15" s="103">
        <v>5.1694999999999998E-2</v>
      </c>
      <c r="W15" s="101"/>
      <c r="X15" s="101"/>
      <c r="Y15" s="103"/>
      <c r="Z15" s="103">
        <v>2.4500000000000001E-2</v>
      </c>
      <c r="AA15" s="107">
        <v>46568</v>
      </c>
      <c r="AB15" s="101" t="s">
        <v>410</v>
      </c>
      <c r="AC15" s="101"/>
      <c r="AD15" s="104"/>
      <c r="AE15" s="103"/>
      <c r="AF15" s="107"/>
      <c r="AG15" s="101"/>
      <c r="AH15" s="101"/>
      <c r="AI15" s="101"/>
      <c r="AJ15" s="101" t="s">
        <v>334</v>
      </c>
      <c r="AK15" s="101" t="s">
        <v>890</v>
      </c>
      <c r="AL15" s="101"/>
      <c r="AM15" s="101" t="s">
        <v>893</v>
      </c>
      <c r="AN15" s="107">
        <v>46112</v>
      </c>
      <c r="AO15" s="107"/>
      <c r="AP15" s="103"/>
      <c r="AQ15" s="104">
        <v>48423.46</v>
      </c>
      <c r="AR15" s="104">
        <v>0.15079999999999999</v>
      </c>
      <c r="AS15" s="104">
        <v>1</v>
      </c>
      <c r="AT15" s="104">
        <v>73.046790000000001</v>
      </c>
      <c r="AU15" s="104">
        <v>73.046790000000001</v>
      </c>
      <c r="AV15" s="102"/>
      <c r="AW15" s="102"/>
      <c r="AX15" s="101"/>
      <c r="AY15" s="101"/>
      <c r="AZ15" s="103">
        <v>5.5129999999999997E-3</v>
      </c>
      <c r="BA15" s="103">
        <v>1.8E-5</v>
      </c>
    </row>
    <row r="16" spans="1:53" ht="13.5" customHeight="1">
      <c r="A16" s="101">
        <v>274</v>
      </c>
      <c r="B16" s="101">
        <v>274</v>
      </c>
      <c r="C16" s="101"/>
      <c r="D16" s="101"/>
      <c r="E16" s="101"/>
      <c r="F16" s="101">
        <v>72002013</v>
      </c>
      <c r="G16" s="101" t="s">
        <v>1034</v>
      </c>
      <c r="H16" s="101" t="s">
        <v>810</v>
      </c>
      <c r="I16" s="101" t="s">
        <v>202</v>
      </c>
      <c r="J16" s="101"/>
      <c r="K16" s="101" t="s">
        <v>453</v>
      </c>
      <c r="L16" s="101" t="s">
        <v>336</v>
      </c>
      <c r="M16" s="101" t="s">
        <v>334</v>
      </c>
      <c r="N16" s="101"/>
      <c r="O16" s="107">
        <v>46006</v>
      </c>
      <c r="P16" s="101" t="s">
        <v>1918</v>
      </c>
      <c r="Q16" s="101" t="s">
        <v>413</v>
      </c>
      <c r="R16" s="101" t="s">
        <v>406</v>
      </c>
      <c r="S16" s="101" t="s">
        <v>1241</v>
      </c>
      <c r="T16" s="104">
        <v>4.3499999999999996</v>
      </c>
      <c r="U16" s="101" t="s">
        <v>1919</v>
      </c>
      <c r="V16" s="103">
        <v>4.2464000000000002E-2</v>
      </c>
      <c r="W16" s="101"/>
      <c r="X16" s="101"/>
      <c r="Y16" s="103"/>
      <c r="Z16" s="103">
        <v>4.19E-2</v>
      </c>
      <c r="AA16" s="107">
        <v>48844</v>
      </c>
      <c r="AB16" s="101" t="s">
        <v>410</v>
      </c>
      <c r="AC16" s="101"/>
      <c r="AD16" s="104"/>
      <c r="AE16" s="103"/>
      <c r="AF16" s="107"/>
      <c r="AG16" s="101"/>
      <c r="AH16" s="101"/>
      <c r="AI16" s="101"/>
      <c r="AJ16" s="101" t="s">
        <v>334</v>
      </c>
      <c r="AK16" s="101" t="s">
        <v>890</v>
      </c>
      <c r="AL16" s="101"/>
      <c r="AM16" s="101" t="s">
        <v>893</v>
      </c>
      <c r="AN16" s="107">
        <v>46112</v>
      </c>
      <c r="AO16" s="107"/>
      <c r="AP16" s="103"/>
      <c r="AQ16" s="104">
        <v>16710</v>
      </c>
      <c r="AR16" s="104">
        <v>0.10050000000000001</v>
      </c>
      <c r="AS16" s="104">
        <v>1</v>
      </c>
      <c r="AT16" s="104">
        <v>16.798559999999998</v>
      </c>
      <c r="AU16" s="104">
        <v>16.798559999999998</v>
      </c>
      <c r="AV16" s="102"/>
      <c r="AW16" s="102"/>
      <c r="AX16" s="101"/>
      <c r="AY16" s="101"/>
      <c r="AZ16" s="103">
        <v>1.2669999999999999E-3</v>
      </c>
      <c r="BA16" s="103">
        <v>3.9999999999999998E-6</v>
      </c>
    </row>
    <row r="17" spans="1:53" ht="13.5" customHeight="1">
      <c r="A17" s="101">
        <v>274</v>
      </c>
      <c r="B17" s="101">
        <v>274</v>
      </c>
      <c r="C17" s="101"/>
      <c r="D17" s="101"/>
      <c r="E17" s="101"/>
      <c r="F17" s="101">
        <v>8070187</v>
      </c>
      <c r="G17" s="101" t="s">
        <v>1034</v>
      </c>
      <c r="H17" s="101" t="s">
        <v>810</v>
      </c>
      <c r="I17" s="101" t="s">
        <v>202</v>
      </c>
      <c r="J17" s="101"/>
      <c r="K17" s="101" t="s">
        <v>483</v>
      </c>
      <c r="L17" s="101" t="s">
        <v>336</v>
      </c>
      <c r="M17" s="101" t="s">
        <v>334</v>
      </c>
      <c r="N17" s="101"/>
      <c r="O17" s="107">
        <v>38258</v>
      </c>
      <c r="P17" s="101" t="s">
        <v>1237</v>
      </c>
      <c r="Q17" s="101" t="s">
        <v>413</v>
      </c>
      <c r="R17" s="101" t="s">
        <v>406</v>
      </c>
      <c r="S17" s="101" t="s">
        <v>1241</v>
      </c>
      <c r="T17" s="104">
        <v>0.74</v>
      </c>
      <c r="U17" s="101" t="s">
        <v>1919</v>
      </c>
      <c r="V17" s="103">
        <v>5.1694999999999998E-2</v>
      </c>
      <c r="W17" s="101"/>
      <c r="X17" s="101"/>
      <c r="Y17" s="103"/>
      <c r="Z17" s="103">
        <v>2.4500000000000001E-2</v>
      </c>
      <c r="AA17" s="107">
        <v>46568</v>
      </c>
      <c r="AB17" s="101" t="s">
        <v>410</v>
      </c>
      <c r="AC17" s="101"/>
      <c r="AD17" s="104"/>
      <c r="AE17" s="103"/>
      <c r="AF17" s="107"/>
      <c r="AG17" s="101"/>
      <c r="AH17" s="101"/>
      <c r="AI17" s="101"/>
      <c r="AJ17" s="101" t="s">
        <v>334</v>
      </c>
      <c r="AK17" s="101" t="s">
        <v>890</v>
      </c>
      <c r="AL17" s="101"/>
      <c r="AM17" s="101" t="s">
        <v>893</v>
      </c>
      <c r="AN17" s="107">
        <v>46112</v>
      </c>
      <c r="AO17" s="107"/>
      <c r="AP17" s="103"/>
      <c r="AQ17" s="104">
        <v>29182.66</v>
      </c>
      <c r="AR17" s="104">
        <v>0.15190000000000001</v>
      </c>
      <c r="AS17" s="104">
        <v>1</v>
      </c>
      <c r="AT17" s="104">
        <v>44.331380000000003</v>
      </c>
      <c r="AU17" s="104">
        <v>44.331380000000003</v>
      </c>
      <c r="AV17" s="102"/>
      <c r="AW17" s="102"/>
      <c r="AX17" s="101"/>
      <c r="AY17" s="101"/>
      <c r="AZ17" s="103">
        <v>3.346E-3</v>
      </c>
      <c r="BA17" s="103">
        <v>1.1E-5</v>
      </c>
    </row>
    <row r="18" spans="1:53" ht="13.5" customHeight="1">
      <c r="A18" s="101">
        <v>274</v>
      </c>
      <c r="B18" s="101">
        <v>274</v>
      </c>
      <c r="C18" s="101"/>
      <c r="D18" s="101"/>
      <c r="E18" s="101"/>
      <c r="F18" s="101">
        <v>72002012</v>
      </c>
      <c r="G18" s="101" t="s">
        <v>1034</v>
      </c>
      <c r="H18" s="101" t="s">
        <v>810</v>
      </c>
      <c r="I18" s="101" t="s">
        <v>202</v>
      </c>
      <c r="J18" s="101"/>
      <c r="K18" s="101" t="s">
        <v>453</v>
      </c>
      <c r="L18" s="101" t="s">
        <v>336</v>
      </c>
      <c r="M18" s="101" t="s">
        <v>334</v>
      </c>
      <c r="N18" s="101"/>
      <c r="O18" s="107">
        <v>45973</v>
      </c>
      <c r="P18" s="101" t="s">
        <v>1918</v>
      </c>
      <c r="Q18" s="101" t="s">
        <v>413</v>
      </c>
      <c r="R18" s="101" t="s">
        <v>406</v>
      </c>
      <c r="S18" s="101" t="s">
        <v>1241</v>
      </c>
      <c r="T18" s="104">
        <v>4.55</v>
      </c>
      <c r="U18" s="101" t="s">
        <v>1919</v>
      </c>
      <c r="V18" s="103">
        <v>3.9477999999999999E-2</v>
      </c>
      <c r="W18" s="101"/>
      <c r="X18" s="101"/>
      <c r="Y18" s="103"/>
      <c r="Z18" s="103">
        <v>4.48E-2</v>
      </c>
      <c r="AA18" s="107">
        <v>48844</v>
      </c>
      <c r="AB18" s="101" t="s">
        <v>410</v>
      </c>
      <c r="AC18" s="101"/>
      <c r="AD18" s="104"/>
      <c r="AE18" s="103"/>
      <c r="AF18" s="107"/>
      <c r="AG18" s="101"/>
      <c r="AH18" s="101"/>
      <c r="AI18" s="101"/>
      <c r="AJ18" s="101" t="s">
        <v>334</v>
      </c>
      <c r="AK18" s="101" t="s">
        <v>890</v>
      </c>
      <c r="AL18" s="101"/>
      <c r="AM18" s="101" t="s">
        <v>893</v>
      </c>
      <c r="AN18" s="107">
        <v>46112</v>
      </c>
      <c r="AO18" s="107"/>
      <c r="AP18" s="103"/>
      <c r="AQ18" s="104">
        <v>2516</v>
      </c>
      <c r="AR18" s="104">
        <v>9.7900000000000001E-2</v>
      </c>
      <c r="AS18" s="104">
        <v>1</v>
      </c>
      <c r="AT18" s="104">
        <v>2.4646699999999999</v>
      </c>
      <c r="AU18" s="104">
        <v>2.4646699999999999</v>
      </c>
      <c r="AV18" s="102"/>
      <c r="AW18" s="102"/>
      <c r="AX18" s="101"/>
      <c r="AY18" s="101"/>
      <c r="AZ18" s="103">
        <v>1.8599999999999999E-4</v>
      </c>
      <c r="BA18" s="103">
        <v>0</v>
      </c>
    </row>
    <row r="19" spans="1:53" ht="13.5" customHeight="1">
      <c r="A19" s="101">
        <v>274</v>
      </c>
      <c r="B19" s="101">
        <v>274</v>
      </c>
      <c r="C19" s="101"/>
      <c r="D19" s="101"/>
      <c r="E19" s="101"/>
      <c r="F19" s="101">
        <v>8070195</v>
      </c>
      <c r="G19" s="101" t="s">
        <v>1034</v>
      </c>
      <c r="H19" s="101" t="s">
        <v>810</v>
      </c>
      <c r="I19" s="101" t="s">
        <v>202</v>
      </c>
      <c r="J19" s="101"/>
      <c r="K19" s="101" t="s">
        <v>483</v>
      </c>
      <c r="L19" s="101" t="s">
        <v>336</v>
      </c>
      <c r="M19" s="101" t="s">
        <v>334</v>
      </c>
      <c r="N19" s="101"/>
      <c r="O19" s="107">
        <v>38258</v>
      </c>
      <c r="P19" s="101" t="s">
        <v>1237</v>
      </c>
      <c r="Q19" s="101" t="s">
        <v>413</v>
      </c>
      <c r="R19" s="101" t="s">
        <v>406</v>
      </c>
      <c r="S19" s="101" t="s">
        <v>1241</v>
      </c>
      <c r="T19" s="104">
        <v>0.74</v>
      </c>
      <c r="U19" s="101" t="s">
        <v>1919</v>
      </c>
      <c r="V19" s="103">
        <v>5.1694999999999998E-2</v>
      </c>
      <c r="W19" s="101"/>
      <c r="X19" s="101"/>
      <c r="Y19" s="103"/>
      <c r="Z19" s="103">
        <v>2.46E-2</v>
      </c>
      <c r="AA19" s="107">
        <v>46568</v>
      </c>
      <c r="AB19" s="101" t="s">
        <v>410</v>
      </c>
      <c r="AC19" s="101"/>
      <c r="AD19" s="104"/>
      <c r="AE19" s="103"/>
      <c r="AF19" s="107"/>
      <c r="AG19" s="101"/>
      <c r="AH19" s="101"/>
      <c r="AI19" s="101"/>
      <c r="AJ19" s="101" t="s">
        <v>334</v>
      </c>
      <c r="AK19" s="101" t="s">
        <v>890</v>
      </c>
      <c r="AL19" s="101"/>
      <c r="AM19" s="101" t="s">
        <v>893</v>
      </c>
      <c r="AN19" s="107">
        <v>46112</v>
      </c>
      <c r="AO19" s="107"/>
      <c r="AP19" s="103"/>
      <c r="AQ19" s="104">
        <v>29344.65</v>
      </c>
      <c r="AR19" s="104">
        <v>0.15229999999999999</v>
      </c>
      <c r="AS19" s="104">
        <v>1</v>
      </c>
      <c r="AT19" s="104">
        <v>44.709510000000002</v>
      </c>
      <c r="AU19" s="104">
        <v>44.709510000000002</v>
      </c>
      <c r="AV19" s="102"/>
      <c r="AW19" s="102"/>
      <c r="AX19" s="101"/>
      <c r="AY19" s="101"/>
      <c r="AZ19" s="103">
        <v>3.3739999999999998E-3</v>
      </c>
      <c r="BA19" s="103">
        <v>1.1E-5</v>
      </c>
    </row>
    <row r="20" spans="1:53" ht="13.5" customHeight="1">
      <c r="A20" s="101">
        <v>274</v>
      </c>
      <c r="B20" s="101">
        <v>274</v>
      </c>
      <c r="C20" s="101"/>
      <c r="D20" s="101"/>
      <c r="E20" s="101"/>
      <c r="F20" s="101">
        <v>72002011</v>
      </c>
      <c r="G20" s="101" t="s">
        <v>1034</v>
      </c>
      <c r="H20" s="101" t="s">
        <v>810</v>
      </c>
      <c r="I20" s="101" t="s">
        <v>202</v>
      </c>
      <c r="J20" s="101"/>
      <c r="K20" s="101" t="s">
        <v>453</v>
      </c>
      <c r="L20" s="101" t="s">
        <v>336</v>
      </c>
      <c r="M20" s="101" t="s">
        <v>334</v>
      </c>
      <c r="N20" s="101"/>
      <c r="O20" s="107">
        <v>45973</v>
      </c>
      <c r="P20" s="101" t="s">
        <v>1918</v>
      </c>
      <c r="Q20" s="101" t="s">
        <v>413</v>
      </c>
      <c r="R20" s="101" t="s">
        <v>406</v>
      </c>
      <c r="S20" s="101" t="s">
        <v>1241</v>
      </c>
      <c r="T20" s="104">
        <v>4.17</v>
      </c>
      <c r="U20" s="101" t="s">
        <v>1919</v>
      </c>
      <c r="V20" s="103">
        <v>4.0497999999999999E-2</v>
      </c>
      <c r="W20" s="101"/>
      <c r="X20" s="101"/>
      <c r="Y20" s="103"/>
      <c r="Z20" s="103">
        <v>4.6199999999999998E-2</v>
      </c>
      <c r="AA20" s="107">
        <v>48844</v>
      </c>
      <c r="AB20" s="101" t="s">
        <v>410</v>
      </c>
      <c r="AC20" s="101"/>
      <c r="AD20" s="104"/>
      <c r="AE20" s="103"/>
      <c r="AF20" s="107"/>
      <c r="AG20" s="101"/>
      <c r="AH20" s="101"/>
      <c r="AI20" s="101"/>
      <c r="AJ20" s="101" t="s">
        <v>334</v>
      </c>
      <c r="AK20" s="101" t="s">
        <v>890</v>
      </c>
      <c r="AL20" s="101"/>
      <c r="AM20" s="101" t="s">
        <v>893</v>
      </c>
      <c r="AN20" s="107">
        <v>46112</v>
      </c>
      <c r="AO20" s="107"/>
      <c r="AP20" s="103"/>
      <c r="AQ20" s="104">
        <v>3393</v>
      </c>
      <c r="AR20" s="104">
        <v>9.7900000000000001E-2</v>
      </c>
      <c r="AS20" s="104">
        <v>1</v>
      </c>
      <c r="AT20" s="104">
        <v>3.3241200000000002</v>
      </c>
      <c r="AU20" s="104">
        <v>3.3241200000000002</v>
      </c>
      <c r="AV20" s="102"/>
      <c r="AW20" s="102"/>
      <c r="AX20" s="101"/>
      <c r="AY20" s="101"/>
      <c r="AZ20" s="103">
        <v>2.5000000000000001E-4</v>
      </c>
      <c r="BA20" s="103">
        <v>0</v>
      </c>
    </row>
    <row r="21" spans="1:53" ht="13.5" customHeight="1">
      <c r="A21" s="101">
        <v>274</v>
      </c>
      <c r="B21" s="101">
        <v>274</v>
      </c>
      <c r="C21" s="101"/>
      <c r="D21" s="101"/>
      <c r="E21" s="101"/>
      <c r="F21" s="101">
        <v>72002020</v>
      </c>
      <c r="G21" s="101" t="s">
        <v>1034</v>
      </c>
      <c r="H21" s="101" t="s">
        <v>810</v>
      </c>
      <c r="I21" s="101" t="s">
        <v>202</v>
      </c>
      <c r="J21" s="101"/>
      <c r="K21" s="101" t="s">
        <v>453</v>
      </c>
      <c r="L21" s="101" t="s">
        <v>336</v>
      </c>
      <c r="M21" s="101" t="s">
        <v>334</v>
      </c>
      <c r="N21" s="101"/>
      <c r="O21" s="107">
        <v>46050</v>
      </c>
      <c r="P21" s="101" t="s">
        <v>1918</v>
      </c>
      <c r="Q21" s="101" t="s">
        <v>413</v>
      </c>
      <c r="R21" s="101" t="s">
        <v>406</v>
      </c>
      <c r="S21" s="101" t="s">
        <v>1241</v>
      </c>
      <c r="T21" s="104">
        <v>4.18</v>
      </c>
      <c r="U21" s="101" t="s">
        <v>1919</v>
      </c>
      <c r="V21" s="103">
        <v>4.0485E-2</v>
      </c>
      <c r="W21" s="101"/>
      <c r="X21" s="101"/>
      <c r="Y21" s="103"/>
      <c r="Z21" s="103">
        <v>4.3900000000000002E-2</v>
      </c>
      <c r="AA21" s="107">
        <v>48844</v>
      </c>
      <c r="AB21" s="101" t="s">
        <v>410</v>
      </c>
      <c r="AC21" s="101"/>
      <c r="AD21" s="104"/>
      <c r="AE21" s="103"/>
      <c r="AF21" s="107"/>
      <c r="AG21" s="101"/>
      <c r="AH21" s="101"/>
      <c r="AI21" s="101"/>
      <c r="AJ21" s="101" t="s">
        <v>334</v>
      </c>
      <c r="AK21" s="101" t="s">
        <v>890</v>
      </c>
      <c r="AL21" s="101"/>
      <c r="AM21" s="101" t="s">
        <v>893</v>
      </c>
      <c r="AN21" s="107">
        <v>46112</v>
      </c>
      <c r="AO21" s="107"/>
      <c r="AP21" s="103"/>
      <c r="AQ21" s="104">
        <v>10986</v>
      </c>
      <c r="AR21" s="104">
        <v>9.8799999999999999E-2</v>
      </c>
      <c r="AS21" s="104">
        <v>1</v>
      </c>
      <c r="AT21" s="104">
        <v>10.862959999999999</v>
      </c>
      <c r="AU21" s="104">
        <v>10.862959999999999</v>
      </c>
      <c r="AV21" s="102"/>
      <c r="AW21" s="102"/>
      <c r="AX21" s="101"/>
      <c r="AY21" s="101"/>
      <c r="AZ21" s="103">
        <v>8.1899999999999996E-4</v>
      </c>
      <c r="BA21" s="103">
        <v>1.9999999999999999E-6</v>
      </c>
    </row>
    <row r="22" spans="1:53" ht="13.5" customHeight="1">
      <c r="A22" s="101">
        <v>274</v>
      </c>
      <c r="B22" s="101">
        <v>274</v>
      </c>
      <c r="C22" s="101"/>
      <c r="D22" s="101"/>
      <c r="E22" s="101"/>
      <c r="F22" s="101">
        <v>72002021</v>
      </c>
      <c r="G22" s="101" t="s">
        <v>1034</v>
      </c>
      <c r="H22" s="101" t="s">
        <v>810</v>
      </c>
      <c r="I22" s="101" t="s">
        <v>202</v>
      </c>
      <c r="J22" s="101"/>
      <c r="K22" s="101" t="s">
        <v>453</v>
      </c>
      <c r="L22" s="101" t="s">
        <v>336</v>
      </c>
      <c r="M22" s="101" t="s">
        <v>334</v>
      </c>
      <c r="N22" s="101"/>
      <c r="O22" s="107">
        <v>46050</v>
      </c>
      <c r="P22" s="101" t="s">
        <v>1918</v>
      </c>
      <c r="Q22" s="101" t="s">
        <v>413</v>
      </c>
      <c r="R22" s="101" t="s">
        <v>406</v>
      </c>
      <c r="S22" s="101" t="s">
        <v>1241</v>
      </c>
      <c r="T22" s="104">
        <v>4.55</v>
      </c>
      <c r="U22" s="101" t="s">
        <v>1919</v>
      </c>
      <c r="V22" s="103">
        <v>4.0327000000000002E-2</v>
      </c>
      <c r="W22" s="101"/>
      <c r="X22" s="101"/>
      <c r="Y22" s="103"/>
      <c r="Z22" s="103">
        <v>4.3700000000000003E-2</v>
      </c>
      <c r="AA22" s="107">
        <v>48844</v>
      </c>
      <c r="AB22" s="101" t="s">
        <v>410</v>
      </c>
      <c r="AC22" s="101"/>
      <c r="AD22" s="104"/>
      <c r="AE22" s="103"/>
      <c r="AF22" s="107"/>
      <c r="AG22" s="101"/>
      <c r="AH22" s="101"/>
      <c r="AI22" s="101"/>
      <c r="AJ22" s="101" t="s">
        <v>334</v>
      </c>
      <c r="AK22" s="101" t="s">
        <v>890</v>
      </c>
      <c r="AL22" s="101"/>
      <c r="AM22" s="101" t="s">
        <v>893</v>
      </c>
      <c r="AN22" s="107">
        <v>46112</v>
      </c>
      <c r="AO22" s="107"/>
      <c r="AP22" s="103"/>
      <c r="AQ22" s="104">
        <v>2934</v>
      </c>
      <c r="AR22" s="104">
        <v>9.8699999999999996E-2</v>
      </c>
      <c r="AS22" s="104">
        <v>1</v>
      </c>
      <c r="AT22" s="104">
        <v>2.8982100000000002</v>
      </c>
      <c r="AU22" s="104">
        <v>2.8982100000000002</v>
      </c>
      <c r="AV22" s="102"/>
      <c r="AW22" s="102"/>
      <c r="AX22" s="101"/>
      <c r="AY22" s="101"/>
      <c r="AZ22" s="103">
        <v>2.1800000000000001E-4</v>
      </c>
      <c r="BA22" s="103">
        <v>0</v>
      </c>
    </row>
    <row r="23" spans="1:53" ht="13.5" customHeight="1">
      <c r="A23" s="101">
        <v>274</v>
      </c>
      <c r="B23" s="101">
        <v>274</v>
      </c>
      <c r="C23" s="101"/>
      <c r="D23" s="101"/>
      <c r="E23" s="101"/>
      <c r="F23" s="101">
        <v>72002022</v>
      </c>
      <c r="G23" s="101" t="s">
        <v>1034</v>
      </c>
      <c r="H23" s="101" t="s">
        <v>810</v>
      </c>
      <c r="I23" s="101" t="s">
        <v>202</v>
      </c>
      <c r="J23" s="101"/>
      <c r="K23" s="101" t="s">
        <v>453</v>
      </c>
      <c r="L23" s="101" t="s">
        <v>336</v>
      </c>
      <c r="M23" s="101" t="s">
        <v>334</v>
      </c>
      <c r="N23" s="101"/>
      <c r="O23" s="107">
        <v>46107</v>
      </c>
      <c r="P23" s="101" t="s">
        <v>1918</v>
      </c>
      <c r="Q23" s="101" t="s">
        <v>413</v>
      </c>
      <c r="R23" s="101" t="s">
        <v>406</v>
      </c>
      <c r="S23" s="101" t="s">
        <v>1241</v>
      </c>
      <c r="T23" s="104">
        <v>4.1900000000000004</v>
      </c>
      <c r="U23" s="101" t="s">
        <v>1919</v>
      </c>
      <c r="V23" s="103">
        <v>4.0758999999999997E-2</v>
      </c>
      <c r="W23" s="101"/>
      <c r="X23" s="101"/>
      <c r="Y23" s="103"/>
      <c r="Z23" s="103">
        <v>4.2200000000000001E-2</v>
      </c>
      <c r="AA23" s="107">
        <v>48844</v>
      </c>
      <c r="AB23" s="101" t="s">
        <v>410</v>
      </c>
      <c r="AC23" s="101"/>
      <c r="AD23" s="104"/>
      <c r="AE23" s="103"/>
      <c r="AF23" s="107"/>
      <c r="AG23" s="101"/>
      <c r="AH23" s="101"/>
      <c r="AI23" s="101"/>
      <c r="AJ23" s="101" t="s">
        <v>334</v>
      </c>
      <c r="AK23" s="101" t="s">
        <v>890</v>
      </c>
      <c r="AL23" s="101"/>
      <c r="AM23" s="101" t="s">
        <v>893</v>
      </c>
      <c r="AN23" s="107">
        <v>46112</v>
      </c>
      <c r="AO23" s="107"/>
      <c r="AP23" s="103"/>
      <c r="AQ23" s="104">
        <v>1544</v>
      </c>
      <c r="AR23" s="104">
        <v>9.9599999999999994E-2</v>
      </c>
      <c r="AS23" s="104">
        <v>1</v>
      </c>
      <c r="AT23" s="104">
        <v>1.5386</v>
      </c>
      <c r="AU23" s="104">
        <v>1.5386</v>
      </c>
      <c r="AV23" s="102"/>
      <c r="AW23" s="102"/>
      <c r="AX23" s="101"/>
      <c r="AY23" s="101"/>
      <c r="AZ23" s="103">
        <v>1.16E-4</v>
      </c>
      <c r="BA23" s="103">
        <v>0</v>
      </c>
    </row>
    <row r="24" spans="1:53" ht="13.5" customHeight="1">
      <c r="A24" s="101">
        <v>274</v>
      </c>
      <c r="B24" s="101">
        <v>274</v>
      </c>
      <c r="C24" s="101"/>
      <c r="D24" s="101"/>
      <c r="E24" s="101"/>
      <c r="F24" s="101">
        <v>72002023</v>
      </c>
      <c r="G24" s="101" t="s">
        <v>1034</v>
      </c>
      <c r="H24" s="101" t="s">
        <v>810</v>
      </c>
      <c r="I24" s="101" t="s">
        <v>202</v>
      </c>
      <c r="J24" s="101"/>
      <c r="K24" s="101" t="s">
        <v>453</v>
      </c>
      <c r="L24" s="101" t="s">
        <v>336</v>
      </c>
      <c r="M24" s="101" t="s">
        <v>334</v>
      </c>
      <c r="N24" s="101"/>
      <c r="O24" s="107">
        <v>46107</v>
      </c>
      <c r="P24" s="101" t="s">
        <v>1918</v>
      </c>
      <c r="Q24" s="101" t="s">
        <v>413</v>
      </c>
      <c r="R24" s="101" t="s">
        <v>406</v>
      </c>
      <c r="S24" s="101" t="s">
        <v>1241</v>
      </c>
      <c r="T24" s="104">
        <v>4.17</v>
      </c>
      <c r="U24" s="101" t="s">
        <v>1919</v>
      </c>
      <c r="V24" s="103">
        <v>4.0698999999999999E-2</v>
      </c>
      <c r="W24" s="101"/>
      <c r="X24" s="101"/>
      <c r="Y24" s="103"/>
      <c r="Z24" s="103">
        <v>4.2099999999999999E-2</v>
      </c>
      <c r="AA24" s="107">
        <v>48844</v>
      </c>
      <c r="AB24" s="101" t="s">
        <v>410</v>
      </c>
      <c r="AC24" s="101"/>
      <c r="AD24" s="104"/>
      <c r="AE24" s="103"/>
      <c r="AF24" s="107"/>
      <c r="AG24" s="101"/>
      <c r="AH24" s="101"/>
      <c r="AI24" s="101"/>
      <c r="AJ24" s="101" t="s">
        <v>334</v>
      </c>
      <c r="AK24" s="101" t="s">
        <v>890</v>
      </c>
      <c r="AL24" s="101"/>
      <c r="AM24" s="101" t="s">
        <v>893</v>
      </c>
      <c r="AN24" s="107">
        <v>46112</v>
      </c>
      <c r="AO24" s="107"/>
      <c r="AP24" s="103"/>
      <c r="AQ24" s="104">
        <v>12621</v>
      </c>
      <c r="AR24" s="104">
        <v>9.9599999999999994E-2</v>
      </c>
      <c r="AS24" s="104">
        <v>1</v>
      </c>
      <c r="AT24" s="104">
        <v>12.576829999999999</v>
      </c>
      <c r="AU24" s="104">
        <v>12.576829999999999</v>
      </c>
      <c r="AV24" s="102"/>
      <c r="AW24" s="102"/>
      <c r="AX24" s="101"/>
      <c r="AY24" s="101"/>
      <c r="AZ24" s="103">
        <v>9.4899999999999997E-4</v>
      </c>
      <c r="BA24" s="103">
        <v>3.0000000000000001E-6</v>
      </c>
    </row>
    <row r="25" spans="1:53" ht="13.5" customHeight="1">
      <c r="A25" s="101">
        <v>274</v>
      </c>
      <c r="B25" s="101">
        <v>274</v>
      </c>
      <c r="C25" s="101"/>
      <c r="D25" s="101"/>
      <c r="E25" s="101"/>
      <c r="F25" s="101">
        <v>8070088</v>
      </c>
      <c r="G25" s="101" t="s">
        <v>1034</v>
      </c>
      <c r="H25" s="101" t="s">
        <v>810</v>
      </c>
      <c r="I25" s="101" t="s">
        <v>202</v>
      </c>
      <c r="J25" s="101"/>
      <c r="K25" s="101" t="s">
        <v>483</v>
      </c>
      <c r="L25" s="101" t="s">
        <v>336</v>
      </c>
      <c r="M25" s="101" t="s">
        <v>334</v>
      </c>
      <c r="N25" s="101"/>
      <c r="O25" s="107">
        <v>38258</v>
      </c>
      <c r="P25" s="101" t="s">
        <v>1237</v>
      </c>
      <c r="Q25" s="101" t="s">
        <v>413</v>
      </c>
      <c r="R25" s="101" t="s">
        <v>406</v>
      </c>
      <c r="S25" s="101" t="s">
        <v>1241</v>
      </c>
      <c r="T25" s="104">
        <v>0.74</v>
      </c>
      <c r="U25" s="101" t="s">
        <v>1919</v>
      </c>
      <c r="V25" s="103">
        <v>5.1694999999999998E-2</v>
      </c>
      <c r="W25" s="101"/>
      <c r="X25" s="101"/>
      <c r="Y25" s="103"/>
      <c r="Z25" s="103">
        <v>2.4500000000000001E-2</v>
      </c>
      <c r="AA25" s="107">
        <v>46568</v>
      </c>
      <c r="AB25" s="101" t="s">
        <v>410</v>
      </c>
      <c r="AC25" s="101"/>
      <c r="AD25" s="104"/>
      <c r="AE25" s="103"/>
      <c r="AF25" s="107"/>
      <c r="AG25" s="101"/>
      <c r="AH25" s="101"/>
      <c r="AI25" s="101"/>
      <c r="AJ25" s="101" t="s">
        <v>334</v>
      </c>
      <c r="AK25" s="101" t="s">
        <v>890</v>
      </c>
      <c r="AL25" s="101"/>
      <c r="AM25" s="101" t="s">
        <v>893</v>
      </c>
      <c r="AN25" s="107">
        <v>46112</v>
      </c>
      <c r="AO25" s="107"/>
      <c r="AP25" s="103"/>
      <c r="AQ25" s="104">
        <v>12559.56</v>
      </c>
      <c r="AR25" s="104">
        <v>0.15989999999999999</v>
      </c>
      <c r="AS25" s="104">
        <v>1</v>
      </c>
      <c r="AT25" s="104">
        <v>20.09404</v>
      </c>
      <c r="AU25" s="104">
        <v>20.09404</v>
      </c>
      <c r="AV25" s="102"/>
      <c r="AW25" s="102"/>
      <c r="AX25" s="101"/>
      <c r="AY25" s="101"/>
      <c r="AZ25" s="103">
        <v>1.516E-3</v>
      </c>
      <c r="BA25" s="103">
        <v>5.0000000000000004E-6</v>
      </c>
    </row>
    <row r="26" spans="1:53" ht="13.5" customHeight="1">
      <c r="A26" s="101">
        <v>274</v>
      </c>
      <c r="B26" s="101">
        <v>274</v>
      </c>
      <c r="C26" s="101"/>
      <c r="D26" s="101"/>
      <c r="E26" s="101"/>
      <c r="F26" s="101">
        <v>8070070</v>
      </c>
      <c r="G26" s="101" t="s">
        <v>1034</v>
      </c>
      <c r="H26" s="101" t="s">
        <v>810</v>
      </c>
      <c r="I26" s="101" t="s">
        <v>202</v>
      </c>
      <c r="J26" s="101"/>
      <c r="K26" s="101" t="s">
        <v>483</v>
      </c>
      <c r="L26" s="101" t="s">
        <v>336</v>
      </c>
      <c r="M26" s="101" t="s">
        <v>334</v>
      </c>
      <c r="N26" s="101"/>
      <c r="O26" s="107">
        <v>38258</v>
      </c>
      <c r="P26" s="101" t="s">
        <v>1237</v>
      </c>
      <c r="Q26" s="101" t="s">
        <v>413</v>
      </c>
      <c r="R26" s="101" t="s">
        <v>406</v>
      </c>
      <c r="S26" s="101" t="s">
        <v>1241</v>
      </c>
      <c r="T26" s="104">
        <v>0.74</v>
      </c>
      <c r="U26" s="101" t="s">
        <v>1919</v>
      </c>
      <c r="V26" s="103">
        <v>5.1694999999999998E-2</v>
      </c>
      <c r="W26" s="101"/>
      <c r="X26" s="101"/>
      <c r="Y26" s="103"/>
      <c r="Z26" s="103">
        <v>2.4500000000000001E-2</v>
      </c>
      <c r="AA26" s="107">
        <v>46568</v>
      </c>
      <c r="AB26" s="101" t="s">
        <v>410</v>
      </c>
      <c r="AC26" s="101"/>
      <c r="AD26" s="104"/>
      <c r="AE26" s="103"/>
      <c r="AF26" s="107"/>
      <c r="AG26" s="101"/>
      <c r="AH26" s="101"/>
      <c r="AI26" s="101"/>
      <c r="AJ26" s="101" t="s">
        <v>334</v>
      </c>
      <c r="AK26" s="101" t="s">
        <v>890</v>
      </c>
      <c r="AL26" s="101"/>
      <c r="AM26" s="101" t="s">
        <v>893</v>
      </c>
      <c r="AN26" s="107">
        <v>46112</v>
      </c>
      <c r="AO26" s="107"/>
      <c r="AP26" s="103"/>
      <c r="AQ26" s="104">
        <v>49452.69</v>
      </c>
      <c r="AR26" s="104">
        <v>0.16239999999999999</v>
      </c>
      <c r="AS26" s="104">
        <v>1</v>
      </c>
      <c r="AT26" s="104">
        <v>80.311170000000004</v>
      </c>
      <c r="AU26" s="104">
        <v>80.311170000000004</v>
      </c>
      <c r="AV26" s="102"/>
      <c r="AW26" s="102"/>
      <c r="AX26" s="101"/>
      <c r="AY26" s="101"/>
      <c r="AZ26" s="103">
        <v>6.0610000000000004E-3</v>
      </c>
      <c r="BA26" s="103">
        <v>2.0000000000000002E-5</v>
      </c>
    </row>
    <row r="27" spans="1:53" ht="13.5" customHeight="1">
      <c r="A27" s="101">
        <v>274</v>
      </c>
      <c r="B27" s="101">
        <v>274</v>
      </c>
      <c r="C27" s="101"/>
      <c r="D27" s="101"/>
      <c r="E27" s="101"/>
      <c r="F27" s="101">
        <v>8070062</v>
      </c>
      <c r="G27" s="101" t="s">
        <v>1034</v>
      </c>
      <c r="H27" s="101" t="s">
        <v>810</v>
      </c>
      <c r="I27" s="101" t="s">
        <v>202</v>
      </c>
      <c r="J27" s="101"/>
      <c r="K27" s="101" t="s">
        <v>483</v>
      </c>
      <c r="L27" s="101" t="s">
        <v>336</v>
      </c>
      <c r="M27" s="101" t="s">
        <v>334</v>
      </c>
      <c r="N27" s="101"/>
      <c r="O27" s="107">
        <v>38258</v>
      </c>
      <c r="P27" s="101" t="s">
        <v>1237</v>
      </c>
      <c r="Q27" s="101" t="s">
        <v>413</v>
      </c>
      <c r="R27" s="101" t="s">
        <v>406</v>
      </c>
      <c r="S27" s="101" t="s">
        <v>1241</v>
      </c>
      <c r="T27" s="104">
        <v>0.74</v>
      </c>
      <c r="U27" s="101" t="s">
        <v>1919</v>
      </c>
      <c r="V27" s="103">
        <v>5.1694999999999998E-2</v>
      </c>
      <c r="W27" s="101"/>
      <c r="X27" s="101"/>
      <c r="Y27" s="103"/>
      <c r="Z27" s="103">
        <v>2.4400000000000002E-2</v>
      </c>
      <c r="AA27" s="107">
        <v>46568</v>
      </c>
      <c r="AB27" s="101" t="s">
        <v>410</v>
      </c>
      <c r="AC27" s="101"/>
      <c r="AD27" s="104"/>
      <c r="AE27" s="103"/>
      <c r="AF27" s="107"/>
      <c r="AG27" s="101"/>
      <c r="AH27" s="101"/>
      <c r="AI27" s="101"/>
      <c r="AJ27" s="101" t="s">
        <v>334</v>
      </c>
      <c r="AK27" s="101" t="s">
        <v>890</v>
      </c>
      <c r="AL27" s="101"/>
      <c r="AM27" s="101" t="s">
        <v>893</v>
      </c>
      <c r="AN27" s="107">
        <v>46112</v>
      </c>
      <c r="AO27" s="107"/>
      <c r="AP27" s="103"/>
      <c r="AQ27" s="104">
        <v>52653.51</v>
      </c>
      <c r="AR27" s="104">
        <v>0.16109999999999999</v>
      </c>
      <c r="AS27" s="104">
        <v>1</v>
      </c>
      <c r="AT27" s="104">
        <v>84.845870000000005</v>
      </c>
      <c r="AU27" s="104">
        <v>84.845870000000005</v>
      </c>
      <c r="AV27" s="102"/>
      <c r="AW27" s="102"/>
      <c r="AX27" s="101"/>
      <c r="AY27" s="101"/>
      <c r="AZ27" s="103">
        <v>6.404E-3</v>
      </c>
      <c r="BA27" s="103">
        <v>2.0999999999999999E-5</v>
      </c>
    </row>
    <row r="28" spans="1:53" ht="13.5" customHeight="1">
      <c r="A28" s="101">
        <v>274</v>
      </c>
      <c r="B28" s="101">
        <v>274</v>
      </c>
      <c r="C28" s="101"/>
      <c r="D28" s="101"/>
      <c r="E28" s="101"/>
      <c r="F28" s="101">
        <v>8070054</v>
      </c>
      <c r="G28" s="101" t="s">
        <v>1034</v>
      </c>
      <c r="H28" s="101" t="s">
        <v>810</v>
      </c>
      <c r="I28" s="101" t="s">
        <v>202</v>
      </c>
      <c r="J28" s="101"/>
      <c r="K28" s="101" t="s">
        <v>483</v>
      </c>
      <c r="L28" s="101" t="s">
        <v>336</v>
      </c>
      <c r="M28" s="101" t="s">
        <v>334</v>
      </c>
      <c r="N28" s="101"/>
      <c r="O28" s="107">
        <v>38258</v>
      </c>
      <c r="P28" s="101" t="s">
        <v>1237</v>
      </c>
      <c r="Q28" s="101" t="s">
        <v>413</v>
      </c>
      <c r="R28" s="101" t="s">
        <v>406</v>
      </c>
      <c r="S28" s="101" t="s">
        <v>1241</v>
      </c>
      <c r="T28" s="104">
        <v>0.74</v>
      </c>
      <c r="U28" s="101" t="s">
        <v>1919</v>
      </c>
      <c r="V28" s="103">
        <v>5.1694999999999998E-2</v>
      </c>
      <c r="W28" s="101"/>
      <c r="X28" s="101"/>
      <c r="Y28" s="103"/>
      <c r="Z28" s="103">
        <v>2.4400000000000002E-2</v>
      </c>
      <c r="AA28" s="107">
        <v>46568</v>
      </c>
      <c r="AB28" s="101" t="s">
        <v>410</v>
      </c>
      <c r="AC28" s="101"/>
      <c r="AD28" s="104"/>
      <c r="AE28" s="103"/>
      <c r="AF28" s="107"/>
      <c r="AG28" s="101"/>
      <c r="AH28" s="101"/>
      <c r="AI28" s="101"/>
      <c r="AJ28" s="101" t="s">
        <v>334</v>
      </c>
      <c r="AK28" s="101" t="s">
        <v>890</v>
      </c>
      <c r="AL28" s="101"/>
      <c r="AM28" s="101" t="s">
        <v>893</v>
      </c>
      <c r="AN28" s="107">
        <v>46112</v>
      </c>
      <c r="AO28" s="107"/>
      <c r="AP28" s="103"/>
      <c r="AQ28" s="104">
        <v>51937.63</v>
      </c>
      <c r="AR28" s="104">
        <v>0.16109999999999999</v>
      </c>
      <c r="AS28" s="104">
        <v>1</v>
      </c>
      <c r="AT28" s="104">
        <v>83.692300000000003</v>
      </c>
      <c r="AU28" s="104">
        <v>83.692300000000003</v>
      </c>
      <c r="AV28" s="102"/>
      <c r="AW28" s="102"/>
      <c r="AX28" s="101"/>
      <c r="AY28" s="101"/>
      <c r="AZ28" s="103">
        <v>6.3169999999999997E-3</v>
      </c>
      <c r="BA28" s="103">
        <v>2.0000000000000002E-5</v>
      </c>
    </row>
    <row r="29" spans="1:53" ht="13.5" customHeight="1">
      <c r="A29" s="101">
        <v>274</v>
      </c>
      <c r="B29" s="101">
        <v>274</v>
      </c>
      <c r="C29" s="101"/>
      <c r="D29" s="101"/>
      <c r="E29" s="101"/>
      <c r="F29" s="101">
        <v>72002010</v>
      </c>
      <c r="G29" s="101" t="s">
        <v>1034</v>
      </c>
      <c r="H29" s="101" t="s">
        <v>810</v>
      </c>
      <c r="I29" s="101" t="s">
        <v>202</v>
      </c>
      <c r="J29" s="101"/>
      <c r="K29" s="101" t="s">
        <v>453</v>
      </c>
      <c r="L29" s="101" t="s">
        <v>336</v>
      </c>
      <c r="M29" s="101" t="s">
        <v>334</v>
      </c>
      <c r="N29" s="101"/>
      <c r="O29" s="107">
        <v>45973</v>
      </c>
      <c r="P29" s="101" t="s">
        <v>1918</v>
      </c>
      <c r="Q29" s="101" t="s">
        <v>413</v>
      </c>
      <c r="R29" s="101" t="s">
        <v>406</v>
      </c>
      <c r="S29" s="101" t="s">
        <v>1241</v>
      </c>
      <c r="T29" s="104">
        <v>4.24</v>
      </c>
      <c r="U29" s="101" t="s">
        <v>1919</v>
      </c>
      <c r="V29" s="103">
        <v>4.0530999999999998E-2</v>
      </c>
      <c r="W29" s="101"/>
      <c r="X29" s="101"/>
      <c r="Y29" s="103"/>
      <c r="Z29" s="103">
        <v>4.6300000000000001E-2</v>
      </c>
      <c r="AA29" s="107">
        <v>48844</v>
      </c>
      <c r="AB29" s="101" t="s">
        <v>410</v>
      </c>
      <c r="AC29" s="101"/>
      <c r="AD29" s="104"/>
      <c r="AE29" s="103"/>
      <c r="AF29" s="107"/>
      <c r="AG29" s="101"/>
      <c r="AH29" s="101"/>
      <c r="AI29" s="101"/>
      <c r="AJ29" s="101" t="s">
        <v>334</v>
      </c>
      <c r="AK29" s="101" t="s">
        <v>890</v>
      </c>
      <c r="AL29" s="101"/>
      <c r="AM29" s="101" t="s">
        <v>893</v>
      </c>
      <c r="AN29" s="107">
        <v>46112</v>
      </c>
      <c r="AO29" s="107"/>
      <c r="AP29" s="103"/>
      <c r="AQ29" s="104">
        <v>4537</v>
      </c>
      <c r="AR29" s="104">
        <v>9.7900000000000001E-2</v>
      </c>
      <c r="AS29" s="104">
        <v>1</v>
      </c>
      <c r="AT29" s="104">
        <v>4.4430800000000001</v>
      </c>
      <c r="AU29" s="104">
        <v>4.4430800000000001</v>
      </c>
      <c r="AV29" s="102"/>
      <c r="AW29" s="102"/>
      <c r="AX29" s="101"/>
      <c r="AY29" s="101"/>
      <c r="AZ29" s="103">
        <v>3.3500000000000001E-4</v>
      </c>
      <c r="BA29" s="103">
        <v>9.9999999999999995E-7</v>
      </c>
    </row>
    <row r="30" spans="1:53" ht="13.5" customHeight="1">
      <c r="A30" s="101">
        <v>274</v>
      </c>
      <c r="B30" s="101">
        <v>274</v>
      </c>
      <c r="C30" s="101"/>
      <c r="D30" s="101"/>
      <c r="E30" s="101"/>
      <c r="F30" s="101">
        <v>8070047</v>
      </c>
      <c r="G30" s="101" t="s">
        <v>1034</v>
      </c>
      <c r="H30" s="101" t="s">
        <v>810</v>
      </c>
      <c r="I30" s="101" t="s">
        <v>202</v>
      </c>
      <c r="J30" s="101"/>
      <c r="K30" s="101" t="s">
        <v>483</v>
      </c>
      <c r="L30" s="101" t="s">
        <v>336</v>
      </c>
      <c r="M30" s="101" t="s">
        <v>334</v>
      </c>
      <c r="N30" s="101"/>
      <c r="O30" s="107">
        <v>38258</v>
      </c>
      <c r="P30" s="101" t="s">
        <v>1237</v>
      </c>
      <c r="Q30" s="101" t="s">
        <v>413</v>
      </c>
      <c r="R30" s="101" t="s">
        <v>406</v>
      </c>
      <c r="S30" s="101" t="s">
        <v>1241</v>
      </c>
      <c r="T30" s="104">
        <v>0.74</v>
      </c>
      <c r="U30" s="101" t="s">
        <v>1919</v>
      </c>
      <c r="V30" s="103">
        <v>5.1694999999999998E-2</v>
      </c>
      <c r="W30" s="101"/>
      <c r="X30" s="101"/>
      <c r="Y30" s="103"/>
      <c r="Z30" s="103">
        <v>2.4400000000000002E-2</v>
      </c>
      <c r="AA30" s="107">
        <v>46568</v>
      </c>
      <c r="AB30" s="101" t="s">
        <v>410</v>
      </c>
      <c r="AC30" s="101"/>
      <c r="AD30" s="104"/>
      <c r="AE30" s="103"/>
      <c r="AF30" s="107"/>
      <c r="AG30" s="101"/>
      <c r="AH30" s="101"/>
      <c r="AI30" s="101"/>
      <c r="AJ30" s="101" t="s">
        <v>334</v>
      </c>
      <c r="AK30" s="101" t="s">
        <v>890</v>
      </c>
      <c r="AL30" s="101"/>
      <c r="AM30" s="101" t="s">
        <v>893</v>
      </c>
      <c r="AN30" s="107">
        <v>46112</v>
      </c>
      <c r="AO30" s="107"/>
      <c r="AP30" s="103"/>
      <c r="AQ30" s="104">
        <v>44504.21</v>
      </c>
      <c r="AR30" s="104">
        <v>0.16109999999999999</v>
      </c>
      <c r="AS30" s="104">
        <v>1</v>
      </c>
      <c r="AT30" s="104">
        <v>71.714079999999996</v>
      </c>
      <c r="AU30" s="104">
        <v>71.714079999999996</v>
      </c>
      <c r="AV30" s="102"/>
      <c r="AW30" s="102"/>
      <c r="AX30" s="101"/>
      <c r="AY30" s="101"/>
      <c r="AZ30" s="103">
        <v>5.4120000000000001E-3</v>
      </c>
      <c r="BA30" s="103">
        <v>1.7E-5</v>
      </c>
    </row>
    <row r="31" spans="1:53" ht="13.5" customHeight="1">
      <c r="A31" s="101">
        <v>274</v>
      </c>
      <c r="B31" s="101">
        <v>274</v>
      </c>
      <c r="C31" s="101"/>
      <c r="D31" s="101"/>
      <c r="E31" s="101"/>
      <c r="F31" s="101">
        <v>8070021</v>
      </c>
      <c r="G31" s="101" t="s">
        <v>1034</v>
      </c>
      <c r="H31" s="101" t="s">
        <v>810</v>
      </c>
      <c r="I31" s="101" t="s">
        <v>202</v>
      </c>
      <c r="J31" s="101"/>
      <c r="K31" s="101" t="s">
        <v>483</v>
      </c>
      <c r="L31" s="101" t="s">
        <v>336</v>
      </c>
      <c r="M31" s="101" t="s">
        <v>334</v>
      </c>
      <c r="N31" s="101"/>
      <c r="O31" s="107">
        <v>38258</v>
      </c>
      <c r="P31" s="101" t="s">
        <v>1237</v>
      </c>
      <c r="Q31" s="101" t="s">
        <v>413</v>
      </c>
      <c r="R31" s="101" t="s">
        <v>406</v>
      </c>
      <c r="S31" s="101" t="s">
        <v>1241</v>
      </c>
      <c r="T31" s="104">
        <v>0.74</v>
      </c>
      <c r="U31" s="101" t="s">
        <v>1919</v>
      </c>
      <c r="V31" s="103">
        <v>5.1694999999999998E-2</v>
      </c>
      <c r="W31" s="101"/>
      <c r="X31" s="101"/>
      <c r="Y31" s="103"/>
      <c r="Z31" s="103">
        <v>2.4500000000000001E-2</v>
      </c>
      <c r="AA31" s="107">
        <v>46568</v>
      </c>
      <c r="AB31" s="101" t="s">
        <v>410</v>
      </c>
      <c r="AC31" s="101"/>
      <c r="AD31" s="104"/>
      <c r="AE31" s="103"/>
      <c r="AF31" s="107"/>
      <c r="AG31" s="101"/>
      <c r="AH31" s="101"/>
      <c r="AI31" s="101"/>
      <c r="AJ31" s="101" t="s">
        <v>334</v>
      </c>
      <c r="AK31" s="101" t="s">
        <v>890</v>
      </c>
      <c r="AL31" s="101"/>
      <c r="AM31" s="101" t="s">
        <v>893</v>
      </c>
      <c r="AN31" s="107">
        <v>46112</v>
      </c>
      <c r="AO31" s="107"/>
      <c r="AP31" s="103"/>
      <c r="AQ31" s="104">
        <v>3451.17</v>
      </c>
      <c r="AR31" s="104">
        <v>0.16120000000000001</v>
      </c>
      <c r="AS31" s="104">
        <v>1</v>
      </c>
      <c r="AT31" s="104">
        <v>5.5663900000000002</v>
      </c>
      <c r="AU31" s="104">
        <v>5.5663900000000002</v>
      </c>
      <c r="AV31" s="102"/>
      <c r="AW31" s="102"/>
      <c r="AX31" s="101"/>
      <c r="AY31" s="101"/>
      <c r="AZ31" s="103">
        <v>4.2000000000000002E-4</v>
      </c>
      <c r="BA31" s="103">
        <v>9.9999999999999995E-7</v>
      </c>
    </row>
    <row r="32" spans="1:53" ht="13.5" customHeight="1">
      <c r="A32" s="101">
        <v>274</v>
      </c>
      <c r="B32" s="101">
        <v>274</v>
      </c>
      <c r="C32" s="101"/>
      <c r="D32" s="101"/>
      <c r="E32" s="101"/>
      <c r="F32" s="101">
        <v>8070013</v>
      </c>
      <c r="G32" s="101" t="s">
        <v>1034</v>
      </c>
      <c r="H32" s="101" t="s">
        <v>810</v>
      </c>
      <c r="I32" s="101" t="s">
        <v>202</v>
      </c>
      <c r="J32" s="101"/>
      <c r="K32" s="101" t="s">
        <v>483</v>
      </c>
      <c r="L32" s="101" t="s">
        <v>336</v>
      </c>
      <c r="M32" s="101" t="s">
        <v>334</v>
      </c>
      <c r="N32" s="101"/>
      <c r="O32" s="107">
        <v>38258</v>
      </c>
      <c r="P32" s="101" t="s">
        <v>1237</v>
      </c>
      <c r="Q32" s="101" t="s">
        <v>413</v>
      </c>
      <c r="R32" s="101" t="s">
        <v>406</v>
      </c>
      <c r="S32" s="101" t="s">
        <v>1241</v>
      </c>
      <c r="T32" s="104">
        <v>0.74</v>
      </c>
      <c r="U32" s="101" t="s">
        <v>1919</v>
      </c>
      <c r="V32" s="103">
        <v>5.1694999999999998E-2</v>
      </c>
      <c r="W32" s="101"/>
      <c r="X32" s="101"/>
      <c r="Y32" s="103"/>
      <c r="Z32" s="103">
        <v>2.4500000000000001E-2</v>
      </c>
      <c r="AA32" s="107">
        <v>46568</v>
      </c>
      <c r="AB32" s="101" t="s">
        <v>410</v>
      </c>
      <c r="AC32" s="101"/>
      <c r="AD32" s="104"/>
      <c r="AE32" s="103"/>
      <c r="AF32" s="107"/>
      <c r="AG32" s="101"/>
      <c r="AH32" s="101"/>
      <c r="AI32" s="101"/>
      <c r="AJ32" s="101" t="s">
        <v>334</v>
      </c>
      <c r="AK32" s="101" t="s">
        <v>890</v>
      </c>
      <c r="AL32" s="101"/>
      <c r="AM32" s="101" t="s">
        <v>893</v>
      </c>
      <c r="AN32" s="107">
        <v>46112</v>
      </c>
      <c r="AO32" s="107"/>
      <c r="AP32" s="103"/>
      <c r="AQ32" s="104">
        <v>89702.76</v>
      </c>
      <c r="AR32" s="104">
        <v>0.16200000000000001</v>
      </c>
      <c r="AS32" s="104">
        <v>1</v>
      </c>
      <c r="AT32" s="104">
        <v>145.36331999999999</v>
      </c>
      <c r="AU32" s="104">
        <v>145.36331999999999</v>
      </c>
      <c r="AV32" s="102"/>
      <c r="AW32" s="102"/>
      <c r="AX32" s="101"/>
      <c r="AY32" s="101"/>
      <c r="AZ32" s="103">
        <v>1.0971E-2</v>
      </c>
      <c r="BA32" s="103">
        <v>3.6000000000000001E-5</v>
      </c>
    </row>
    <row r="33" spans="1:53" ht="13.5" customHeight="1">
      <c r="A33" s="101">
        <v>274</v>
      </c>
      <c r="B33" s="101">
        <v>274</v>
      </c>
      <c r="C33" s="101"/>
      <c r="D33" s="101"/>
      <c r="E33" s="101"/>
      <c r="F33" s="101">
        <v>72002025</v>
      </c>
      <c r="G33" s="101" t="s">
        <v>1034</v>
      </c>
      <c r="H33" s="101" t="s">
        <v>810</v>
      </c>
      <c r="I33" s="101" t="s">
        <v>202</v>
      </c>
      <c r="J33" s="101"/>
      <c r="K33" s="101" t="s">
        <v>453</v>
      </c>
      <c r="L33" s="101" t="s">
        <v>336</v>
      </c>
      <c r="M33" s="101" t="s">
        <v>334</v>
      </c>
      <c r="N33" s="101"/>
      <c r="O33" s="107">
        <v>46107</v>
      </c>
      <c r="P33" s="101" t="s">
        <v>1918</v>
      </c>
      <c r="Q33" s="101" t="s">
        <v>413</v>
      </c>
      <c r="R33" s="101" t="s">
        <v>406</v>
      </c>
      <c r="S33" s="101" t="s">
        <v>1241</v>
      </c>
      <c r="T33" s="104">
        <v>4.26</v>
      </c>
      <c r="U33" s="101" t="s">
        <v>1919</v>
      </c>
      <c r="V33" s="103">
        <v>4.0847000000000001E-2</v>
      </c>
      <c r="W33" s="101"/>
      <c r="X33" s="101"/>
      <c r="Y33" s="103"/>
      <c r="Z33" s="103">
        <v>4.2299999999999997E-2</v>
      </c>
      <c r="AA33" s="107">
        <v>48844</v>
      </c>
      <c r="AB33" s="101" t="s">
        <v>410</v>
      </c>
      <c r="AC33" s="101"/>
      <c r="AD33" s="104"/>
      <c r="AE33" s="103"/>
      <c r="AF33" s="107"/>
      <c r="AG33" s="101"/>
      <c r="AH33" s="101"/>
      <c r="AI33" s="101"/>
      <c r="AJ33" s="101" t="s">
        <v>334</v>
      </c>
      <c r="AK33" s="101" t="s">
        <v>890</v>
      </c>
      <c r="AL33" s="101"/>
      <c r="AM33" s="101" t="s">
        <v>893</v>
      </c>
      <c r="AN33" s="107">
        <v>46112</v>
      </c>
      <c r="AO33" s="107"/>
      <c r="AP33" s="103"/>
      <c r="AQ33" s="104">
        <v>9849</v>
      </c>
      <c r="AR33" s="104">
        <v>9.9599999999999994E-2</v>
      </c>
      <c r="AS33" s="104">
        <v>1</v>
      </c>
      <c r="AT33" s="104">
        <v>9.8135399999999997</v>
      </c>
      <c r="AU33" s="104">
        <v>9.8135399999999997</v>
      </c>
      <c r="AV33" s="102"/>
      <c r="AW33" s="102"/>
      <c r="AX33" s="101"/>
      <c r="AY33" s="101"/>
      <c r="AZ33" s="103">
        <v>7.3999999999999999E-4</v>
      </c>
      <c r="BA33" s="103">
        <v>1.9999999999999999E-6</v>
      </c>
    </row>
    <row r="34" spans="1:53" ht="13.5" customHeight="1">
      <c r="A34" s="101">
        <v>274</v>
      </c>
      <c r="B34" s="101">
        <v>274</v>
      </c>
      <c r="C34" s="101"/>
      <c r="D34" s="101"/>
      <c r="E34" s="101"/>
      <c r="F34" s="101">
        <v>72002024</v>
      </c>
      <c r="G34" s="101" t="s">
        <v>1034</v>
      </c>
      <c r="H34" s="101" t="s">
        <v>810</v>
      </c>
      <c r="I34" s="101" t="s">
        <v>202</v>
      </c>
      <c r="J34" s="101"/>
      <c r="K34" s="101" t="s">
        <v>453</v>
      </c>
      <c r="L34" s="101" t="s">
        <v>336</v>
      </c>
      <c r="M34" s="101" t="s">
        <v>334</v>
      </c>
      <c r="N34" s="101"/>
      <c r="O34" s="107">
        <v>46107</v>
      </c>
      <c r="P34" s="101" t="s">
        <v>1918</v>
      </c>
      <c r="Q34" s="101" t="s">
        <v>413</v>
      </c>
      <c r="R34" s="101" t="s">
        <v>406</v>
      </c>
      <c r="S34" s="101" t="s">
        <v>1241</v>
      </c>
      <c r="T34" s="104">
        <v>4.3600000000000003</v>
      </c>
      <c r="U34" s="101" t="s">
        <v>1919</v>
      </c>
      <c r="V34" s="103">
        <v>4.0835999999999997E-2</v>
      </c>
      <c r="W34" s="101"/>
      <c r="X34" s="101"/>
      <c r="Y34" s="103"/>
      <c r="Z34" s="103">
        <v>4.2200000000000001E-2</v>
      </c>
      <c r="AA34" s="107">
        <v>48844</v>
      </c>
      <c r="AB34" s="101" t="s">
        <v>410</v>
      </c>
      <c r="AC34" s="101"/>
      <c r="AD34" s="104"/>
      <c r="AE34" s="103"/>
      <c r="AF34" s="107"/>
      <c r="AG34" s="101"/>
      <c r="AH34" s="101"/>
      <c r="AI34" s="101"/>
      <c r="AJ34" s="101" t="s">
        <v>334</v>
      </c>
      <c r="AK34" s="101" t="s">
        <v>890</v>
      </c>
      <c r="AL34" s="101"/>
      <c r="AM34" s="101" t="s">
        <v>893</v>
      </c>
      <c r="AN34" s="107">
        <v>46112</v>
      </c>
      <c r="AO34" s="107"/>
      <c r="AP34" s="103"/>
      <c r="AQ34" s="104">
        <v>7868</v>
      </c>
      <c r="AR34" s="104">
        <v>9.9599999999999994E-2</v>
      </c>
      <c r="AS34" s="104">
        <v>1</v>
      </c>
      <c r="AT34" s="104">
        <v>7.8388900000000001</v>
      </c>
      <c r="AU34" s="104">
        <v>7.8388900000000001</v>
      </c>
      <c r="AV34" s="102"/>
      <c r="AW34" s="102"/>
      <c r="AX34" s="101"/>
      <c r="AY34" s="101"/>
      <c r="AZ34" s="103">
        <v>5.9100000000000005E-4</v>
      </c>
      <c r="BA34" s="103">
        <v>9.9999999999999995E-7</v>
      </c>
    </row>
    <row r="35" spans="1:53" ht="13.5" customHeight="1">
      <c r="A35" s="101">
        <v>274</v>
      </c>
      <c r="B35" s="101">
        <v>274</v>
      </c>
      <c r="C35" s="101"/>
      <c r="D35" s="101"/>
      <c r="E35" s="101"/>
      <c r="F35" s="101">
        <v>8070039</v>
      </c>
      <c r="G35" s="101" t="s">
        <v>1034</v>
      </c>
      <c r="H35" s="101" t="s">
        <v>810</v>
      </c>
      <c r="I35" s="101" t="s">
        <v>202</v>
      </c>
      <c r="J35" s="101"/>
      <c r="K35" s="101" t="s">
        <v>483</v>
      </c>
      <c r="L35" s="101" t="s">
        <v>336</v>
      </c>
      <c r="M35" s="101" t="s">
        <v>334</v>
      </c>
      <c r="N35" s="101"/>
      <c r="O35" s="107">
        <v>38258</v>
      </c>
      <c r="P35" s="101" t="s">
        <v>1237</v>
      </c>
      <c r="Q35" s="101" t="s">
        <v>413</v>
      </c>
      <c r="R35" s="101" t="s">
        <v>406</v>
      </c>
      <c r="S35" s="101" t="s">
        <v>1241</v>
      </c>
      <c r="T35" s="104">
        <v>0.74</v>
      </c>
      <c r="U35" s="101" t="s">
        <v>1919</v>
      </c>
      <c r="V35" s="103">
        <v>5.1694999999999998E-2</v>
      </c>
      <c r="W35" s="101"/>
      <c r="X35" s="101"/>
      <c r="Y35" s="103"/>
      <c r="Z35" s="103">
        <v>2.4400000000000002E-2</v>
      </c>
      <c r="AA35" s="107">
        <v>46568</v>
      </c>
      <c r="AB35" s="101" t="s">
        <v>410</v>
      </c>
      <c r="AC35" s="101"/>
      <c r="AD35" s="104"/>
      <c r="AE35" s="103"/>
      <c r="AF35" s="107"/>
      <c r="AG35" s="101"/>
      <c r="AH35" s="101"/>
      <c r="AI35" s="101"/>
      <c r="AJ35" s="101" t="s">
        <v>334</v>
      </c>
      <c r="AK35" s="101" t="s">
        <v>890</v>
      </c>
      <c r="AL35" s="101"/>
      <c r="AM35" s="101" t="s">
        <v>893</v>
      </c>
      <c r="AN35" s="107">
        <v>46112</v>
      </c>
      <c r="AO35" s="107"/>
      <c r="AP35" s="103"/>
      <c r="AQ35" s="104">
        <v>38835.57</v>
      </c>
      <c r="AR35" s="104">
        <v>0.1628</v>
      </c>
      <c r="AS35" s="104">
        <v>1</v>
      </c>
      <c r="AT35" s="104">
        <v>63.232080000000003</v>
      </c>
      <c r="AU35" s="104">
        <v>63.232080000000003</v>
      </c>
      <c r="AV35" s="102"/>
      <c r="AW35" s="102"/>
      <c r="AX35" s="101"/>
      <c r="AY35" s="101"/>
      <c r="AZ35" s="103">
        <v>4.7720000000000002E-3</v>
      </c>
      <c r="BA35" s="103">
        <v>1.5E-5</v>
      </c>
    </row>
    <row r="36" spans="1:53" ht="13.5" customHeight="1">
      <c r="A36" s="101">
        <v>274</v>
      </c>
      <c r="B36" s="101">
        <v>274</v>
      </c>
      <c r="C36" s="101"/>
      <c r="D36" s="101"/>
      <c r="E36" s="101"/>
      <c r="F36" s="101">
        <v>8070096</v>
      </c>
      <c r="G36" s="101" t="s">
        <v>1034</v>
      </c>
      <c r="H36" s="101" t="s">
        <v>810</v>
      </c>
      <c r="I36" s="101" t="s">
        <v>202</v>
      </c>
      <c r="J36" s="101"/>
      <c r="K36" s="101" t="s">
        <v>483</v>
      </c>
      <c r="L36" s="101" t="s">
        <v>336</v>
      </c>
      <c r="M36" s="101" t="s">
        <v>334</v>
      </c>
      <c r="N36" s="101"/>
      <c r="O36" s="107">
        <v>38258</v>
      </c>
      <c r="P36" s="101" t="s">
        <v>1237</v>
      </c>
      <c r="Q36" s="101" t="s">
        <v>413</v>
      </c>
      <c r="R36" s="101" t="s">
        <v>406</v>
      </c>
      <c r="S36" s="101" t="s">
        <v>1241</v>
      </c>
      <c r="T36" s="104">
        <v>0.74</v>
      </c>
      <c r="U36" s="101" t="s">
        <v>1919</v>
      </c>
      <c r="V36" s="103">
        <v>5.1694999999999998E-2</v>
      </c>
      <c r="W36" s="101"/>
      <c r="X36" s="101"/>
      <c r="Y36" s="103"/>
      <c r="Z36" s="103">
        <v>2.4500000000000001E-2</v>
      </c>
      <c r="AA36" s="107">
        <v>46568</v>
      </c>
      <c r="AB36" s="101" t="s">
        <v>410</v>
      </c>
      <c r="AC36" s="101"/>
      <c r="AD36" s="104"/>
      <c r="AE36" s="103"/>
      <c r="AF36" s="107"/>
      <c r="AG36" s="101"/>
      <c r="AH36" s="101"/>
      <c r="AI36" s="101"/>
      <c r="AJ36" s="101" t="s">
        <v>334</v>
      </c>
      <c r="AK36" s="101" t="s">
        <v>890</v>
      </c>
      <c r="AL36" s="101"/>
      <c r="AM36" s="101" t="s">
        <v>893</v>
      </c>
      <c r="AN36" s="107">
        <v>46112</v>
      </c>
      <c r="AO36" s="107"/>
      <c r="AP36" s="103"/>
      <c r="AQ36" s="104">
        <v>162781.74</v>
      </c>
      <c r="AR36" s="104">
        <v>0.15840000000000001</v>
      </c>
      <c r="AS36" s="104">
        <v>1</v>
      </c>
      <c r="AT36" s="104">
        <v>257.87882999999999</v>
      </c>
      <c r="AU36" s="104">
        <v>257.87882999999999</v>
      </c>
      <c r="AV36" s="102"/>
      <c r="AW36" s="102"/>
      <c r="AX36" s="101"/>
      <c r="AY36" s="101"/>
      <c r="AZ36" s="103">
        <v>1.9463999999999999E-2</v>
      </c>
      <c r="BA36" s="103">
        <v>6.3999999999999997E-5</v>
      </c>
    </row>
    <row r="37" spans="1:53" ht="13.5" customHeight="1">
      <c r="A37" s="101">
        <v>274</v>
      </c>
      <c r="B37" s="101">
        <v>274</v>
      </c>
      <c r="C37" s="101"/>
      <c r="D37" s="101"/>
      <c r="E37" s="101"/>
      <c r="F37" s="101">
        <v>72002009</v>
      </c>
      <c r="G37" s="101" t="s">
        <v>1034</v>
      </c>
      <c r="H37" s="101" t="s">
        <v>810</v>
      </c>
      <c r="I37" s="101" t="s">
        <v>202</v>
      </c>
      <c r="J37" s="101"/>
      <c r="K37" s="101" t="s">
        <v>453</v>
      </c>
      <c r="L37" s="101" t="s">
        <v>336</v>
      </c>
      <c r="M37" s="101" t="s">
        <v>334</v>
      </c>
      <c r="N37" s="101"/>
      <c r="O37" s="107">
        <v>45973</v>
      </c>
      <c r="P37" s="101" t="s">
        <v>1918</v>
      </c>
      <c r="Q37" s="101" t="s">
        <v>413</v>
      </c>
      <c r="R37" s="101" t="s">
        <v>406</v>
      </c>
      <c r="S37" s="101" t="s">
        <v>1241</v>
      </c>
      <c r="T37" s="104">
        <v>4.1500000000000004</v>
      </c>
      <c r="U37" s="101" t="s">
        <v>1919</v>
      </c>
      <c r="V37" s="103">
        <v>4.0475999999999998E-2</v>
      </c>
      <c r="W37" s="101"/>
      <c r="X37" s="101"/>
      <c r="Y37" s="103"/>
      <c r="Z37" s="103">
        <v>4.6199999999999998E-2</v>
      </c>
      <c r="AA37" s="107">
        <v>48844</v>
      </c>
      <c r="AB37" s="101" t="s">
        <v>410</v>
      </c>
      <c r="AC37" s="101"/>
      <c r="AD37" s="104"/>
      <c r="AE37" s="103"/>
      <c r="AF37" s="107"/>
      <c r="AG37" s="101"/>
      <c r="AH37" s="101"/>
      <c r="AI37" s="101"/>
      <c r="AJ37" s="101" t="s">
        <v>334</v>
      </c>
      <c r="AK37" s="101" t="s">
        <v>890</v>
      </c>
      <c r="AL37" s="101"/>
      <c r="AM37" s="101" t="s">
        <v>893</v>
      </c>
      <c r="AN37" s="107">
        <v>46112</v>
      </c>
      <c r="AO37" s="107"/>
      <c r="AP37" s="103"/>
      <c r="AQ37" s="104">
        <v>3886</v>
      </c>
      <c r="AR37" s="104">
        <v>9.7900000000000001E-2</v>
      </c>
      <c r="AS37" s="104">
        <v>1</v>
      </c>
      <c r="AT37" s="104">
        <v>3.80789</v>
      </c>
      <c r="AU37" s="104">
        <v>3.80789</v>
      </c>
      <c r="AV37" s="102"/>
      <c r="AW37" s="102"/>
      <c r="AX37" s="101"/>
      <c r="AY37" s="101"/>
      <c r="AZ37" s="103">
        <v>2.8699999999999998E-4</v>
      </c>
      <c r="BA37" s="103">
        <v>0</v>
      </c>
    </row>
    <row r="38" spans="1:53" ht="13.5" customHeight="1">
      <c r="A38" s="101">
        <v>274</v>
      </c>
      <c r="B38" s="101">
        <v>274</v>
      </c>
      <c r="C38" s="101"/>
      <c r="D38" s="101"/>
      <c r="E38" s="101"/>
      <c r="F38" s="101">
        <v>72002003</v>
      </c>
      <c r="G38" s="101" t="s">
        <v>1034</v>
      </c>
      <c r="H38" s="101" t="s">
        <v>810</v>
      </c>
      <c r="I38" s="101" t="s">
        <v>202</v>
      </c>
      <c r="J38" s="101"/>
      <c r="K38" s="101" t="s">
        <v>453</v>
      </c>
      <c r="L38" s="101" t="s">
        <v>336</v>
      </c>
      <c r="M38" s="101" t="s">
        <v>334</v>
      </c>
      <c r="N38" s="101"/>
      <c r="O38" s="107">
        <v>45930</v>
      </c>
      <c r="P38" s="101" t="s">
        <v>1918</v>
      </c>
      <c r="Q38" s="101" t="s">
        <v>413</v>
      </c>
      <c r="R38" s="101" t="s">
        <v>406</v>
      </c>
      <c r="S38" s="101" t="s">
        <v>1241</v>
      </c>
      <c r="T38" s="104">
        <v>4.17</v>
      </c>
      <c r="U38" s="101" t="s">
        <v>1919</v>
      </c>
      <c r="V38" s="103">
        <v>4.2995999999999999E-2</v>
      </c>
      <c r="W38" s="101"/>
      <c r="X38" s="101"/>
      <c r="Y38" s="103"/>
      <c r="Z38" s="103">
        <v>4.48E-2</v>
      </c>
      <c r="AA38" s="107">
        <v>48844</v>
      </c>
      <c r="AB38" s="101" t="s">
        <v>410</v>
      </c>
      <c r="AC38" s="101"/>
      <c r="AD38" s="104"/>
      <c r="AE38" s="103"/>
      <c r="AF38" s="107"/>
      <c r="AG38" s="101"/>
      <c r="AH38" s="101"/>
      <c r="AI38" s="101"/>
      <c r="AJ38" s="101" t="s">
        <v>334</v>
      </c>
      <c r="AK38" s="101" t="s">
        <v>890</v>
      </c>
      <c r="AL38" s="101"/>
      <c r="AM38" s="101" t="s">
        <v>893</v>
      </c>
      <c r="AN38" s="107">
        <v>46112</v>
      </c>
      <c r="AO38" s="107"/>
      <c r="AP38" s="103"/>
      <c r="AQ38" s="104">
        <v>15567</v>
      </c>
      <c r="AR38" s="104">
        <v>9.9500000000000005E-2</v>
      </c>
      <c r="AS38" s="104">
        <v>1</v>
      </c>
      <c r="AT38" s="104">
        <v>15.50006</v>
      </c>
      <c r="AU38" s="104">
        <v>15.50006</v>
      </c>
      <c r="AV38" s="102"/>
      <c r="AW38" s="102"/>
      <c r="AX38" s="101"/>
      <c r="AY38" s="101"/>
      <c r="AZ38" s="103">
        <v>1.1689999999999999E-3</v>
      </c>
      <c r="BA38" s="103">
        <v>3.0000000000000001E-6</v>
      </c>
    </row>
    <row r="39" spans="1:53" ht="13.5" customHeight="1">
      <c r="A39" s="101">
        <v>274</v>
      </c>
      <c r="B39" s="101">
        <v>274</v>
      </c>
      <c r="C39" s="101"/>
      <c r="D39" s="101"/>
      <c r="E39" s="101"/>
      <c r="F39" s="101">
        <v>44123</v>
      </c>
      <c r="G39" s="101" t="s">
        <v>1034</v>
      </c>
      <c r="H39" s="101" t="s">
        <v>810</v>
      </c>
      <c r="I39" s="101" t="s">
        <v>202</v>
      </c>
      <c r="J39" s="101"/>
      <c r="K39" s="101" t="s">
        <v>438</v>
      </c>
      <c r="L39" s="101" t="s">
        <v>336</v>
      </c>
      <c r="M39" s="101" t="s">
        <v>334</v>
      </c>
      <c r="N39" s="101"/>
      <c r="O39" s="107">
        <v>41269</v>
      </c>
      <c r="P39" s="101" t="s">
        <v>1918</v>
      </c>
      <c r="Q39" s="101" t="s">
        <v>413</v>
      </c>
      <c r="R39" s="101" t="s">
        <v>406</v>
      </c>
      <c r="S39" s="101" t="s">
        <v>1241</v>
      </c>
      <c r="T39" s="104">
        <v>3.35</v>
      </c>
      <c r="U39" s="101" t="s">
        <v>1919</v>
      </c>
      <c r="V39" s="103">
        <v>5.3499999999999999E-2</v>
      </c>
      <c r="W39" s="101"/>
      <c r="X39" s="101"/>
      <c r="Y39" s="103"/>
      <c r="Z39" s="103">
        <v>2.4199999999999999E-2</v>
      </c>
      <c r="AA39" s="107">
        <v>48479</v>
      </c>
      <c r="AB39" s="101" t="s">
        <v>410</v>
      </c>
      <c r="AC39" s="101"/>
      <c r="AD39" s="104"/>
      <c r="AE39" s="103"/>
      <c r="AF39" s="107"/>
      <c r="AG39" s="101"/>
      <c r="AH39" s="101"/>
      <c r="AI39" s="101"/>
      <c r="AJ39" s="101" t="s">
        <v>334</v>
      </c>
      <c r="AK39" s="101" t="s">
        <v>890</v>
      </c>
      <c r="AL39" s="101"/>
      <c r="AM39" s="101" t="s">
        <v>893</v>
      </c>
      <c r="AN39" s="107">
        <v>46112</v>
      </c>
      <c r="AO39" s="107"/>
      <c r="AP39" s="103"/>
      <c r="AQ39" s="104">
        <v>70541.22</v>
      </c>
      <c r="AR39" s="104">
        <v>0.13200000000000001</v>
      </c>
      <c r="AS39" s="104">
        <v>1</v>
      </c>
      <c r="AT39" s="104">
        <v>93.177899999999994</v>
      </c>
      <c r="AU39" s="104">
        <v>93.177899999999994</v>
      </c>
      <c r="AV39" s="102"/>
      <c r="AW39" s="102"/>
      <c r="AX39" s="101"/>
      <c r="AY39" s="101"/>
      <c r="AZ39" s="103">
        <v>7.0330000000000002E-3</v>
      </c>
      <c r="BA39" s="103">
        <v>2.3E-5</v>
      </c>
    </row>
    <row r="40" spans="1:53" ht="13.5" customHeight="1">
      <c r="A40" s="101">
        <v>274</v>
      </c>
      <c r="B40" s="101">
        <v>274</v>
      </c>
      <c r="C40" s="101"/>
      <c r="D40" s="101"/>
      <c r="E40" s="101"/>
      <c r="F40" s="101">
        <v>44115</v>
      </c>
      <c r="G40" s="101" t="s">
        <v>1034</v>
      </c>
      <c r="H40" s="101" t="s">
        <v>810</v>
      </c>
      <c r="I40" s="101" t="s">
        <v>202</v>
      </c>
      <c r="J40" s="101"/>
      <c r="K40" s="101" t="s">
        <v>438</v>
      </c>
      <c r="L40" s="101" t="s">
        <v>336</v>
      </c>
      <c r="M40" s="101" t="s">
        <v>334</v>
      </c>
      <c r="N40" s="101"/>
      <c r="O40" s="107">
        <v>41269</v>
      </c>
      <c r="P40" s="101" t="s">
        <v>1918</v>
      </c>
      <c r="Q40" s="101" t="s">
        <v>413</v>
      </c>
      <c r="R40" s="101" t="s">
        <v>406</v>
      </c>
      <c r="S40" s="101" t="s">
        <v>1241</v>
      </c>
      <c r="T40" s="104">
        <v>3.35</v>
      </c>
      <c r="U40" s="101" t="s">
        <v>1919</v>
      </c>
      <c r="V40" s="103">
        <v>5.3499999999999999E-2</v>
      </c>
      <c r="W40" s="101"/>
      <c r="X40" s="101"/>
      <c r="Y40" s="103"/>
      <c r="Z40" s="103">
        <v>2.4199999999999999E-2</v>
      </c>
      <c r="AA40" s="107">
        <v>48479</v>
      </c>
      <c r="AB40" s="101" t="s">
        <v>410</v>
      </c>
      <c r="AC40" s="101"/>
      <c r="AD40" s="104"/>
      <c r="AE40" s="103"/>
      <c r="AF40" s="107"/>
      <c r="AG40" s="101"/>
      <c r="AH40" s="101"/>
      <c r="AI40" s="101"/>
      <c r="AJ40" s="101" t="s">
        <v>334</v>
      </c>
      <c r="AK40" s="101" t="s">
        <v>890</v>
      </c>
      <c r="AL40" s="101"/>
      <c r="AM40" s="101" t="s">
        <v>893</v>
      </c>
      <c r="AN40" s="107">
        <v>46112</v>
      </c>
      <c r="AO40" s="107"/>
      <c r="AP40" s="103"/>
      <c r="AQ40" s="104">
        <v>74950.13</v>
      </c>
      <c r="AR40" s="104">
        <v>0.13200000000000001</v>
      </c>
      <c r="AS40" s="104">
        <v>1</v>
      </c>
      <c r="AT40" s="104">
        <v>99.001630000000006</v>
      </c>
      <c r="AU40" s="104">
        <v>99.001630000000006</v>
      </c>
      <c r="AV40" s="102"/>
      <c r="AW40" s="102"/>
      <c r="AX40" s="101"/>
      <c r="AY40" s="101"/>
      <c r="AZ40" s="103">
        <v>7.4720000000000003E-3</v>
      </c>
      <c r="BA40" s="103">
        <v>2.4000000000000001E-5</v>
      </c>
    </row>
    <row r="41" spans="1:53" ht="13.5" customHeight="1">
      <c r="A41" s="101">
        <v>274</v>
      </c>
      <c r="B41" s="101">
        <v>274</v>
      </c>
      <c r="C41" s="101"/>
      <c r="D41" s="101"/>
      <c r="E41" s="101"/>
      <c r="F41" s="101">
        <v>36640</v>
      </c>
      <c r="G41" s="101" t="s">
        <v>1034</v>
      </c>
      <c r="H41" s="101" t="s">
        <v>810</v>
      </c>
      <c r="I41" s="101" t="s">
        <v>202</v>
      </c>
      <c r="J41" s="101"/>
      <c r="K41" s="101" t="s">
        <v>438</v>
      </c>
      <c r="L41" s="101" t="s">
        <v>336</v>
      </c>
      <c r="M41" s="101" t="s">
        <v>334</v>
      </c>
      <c r="N41" s="101"/>
      <c r="O41" s="107">
        <v>41767</v>
      </c>
      <c r="P41" s="101" t="s">
        <v>1918</v>
      </c>
      <c r="Q41" s="101" t="s">
        <v>413</v>
      </c>
      <c r="R41" s="101" t="s">
        <v>406</v>
      </c>
      <c r="S41" s="101" t="s">
        <v>1241</v>
      </c>
      <c r="T41" s="104">
        <v>3.34</v>
      </c>
      <c r="U41" s="101" t="s">
        <v>1919</v>
      </c>
      <c r="V41" s="103">
        <v>5.3499999999999999E-2</v>
      </c>
      <c r="W41" s="101"/>
      <c r="X41" s="101"/>
      <c r="Y41" s="103"/>
      <c r="Z41" s="103">
        <v>2.6700000000000002E-2</v>
      </c>
      <c r="AA41" s="107">
        <v>48479</v>
      </c>
      <c r="AB41" s="101" t="s">
        <v>410</v>
      </c>
      <c r="AC41" s="101"/>
      <c r="AD41" s="104"/>
      <c r="AE41" s="103"/>
      <c r="AF41" s="107"/>
      <c r="AG41" s="101"/>
      <c r="AH41" s="101"/>
      <c r="AI41" s="101"/>
      <c r="AJ41" s="101" t="s">
        <v>334</v>
      </c>
      <c r="AK41" s="101" t="s">
        <v>890</v>
      </c>
      <c r="AL41" s="101"/>
      <c r="AM41" s="101" t="s">
        <v>893</v>
      </c>
      <c r="AN41" s="107">
        <v>46112</v>
      </c>
      <c r="AO41" s="107"/>
      <c r="AP41" s="103"/>
      <c r="AQ41" s="104">
        <v>13585.58</v>
      </c>
      <c r="AR41" s="104">
        <v>0.129</v>
      </c>
      <c r="AS41" s="104">
        <v>1</v>
      </c>
      <c r="AT41" s="104">
        <v>17.536269999999998</v>
      </c>
      <c r="AU41" s="104">
        <v>17.536269999999998</v>
      </c>
      <c r="AV41" s="102"/>
      <c r="AW41" s="102"/>
      <c r="AX41" s="101"/>
      <c r="AY41" s="101"/>
      <c r="AZ41" s="103">
        <v>1.323E-3</v>
      </c>
      <c r="BA41" s="103">
        <v>3.9999999999999998E-6</v>
      </c>
    </row>
    <row r="42" spans="1:53" ht="13.5" customHeight="1">
      <c r="A42" s="101">
        <v>274</v>
      </c>
      <c r="B42" s="101">
        <v>274</v>
      </c>
      <c r="C42" s="101"/>
      <c r="D42" s="101"/>
      <c r="E42" s="101"/>
      <c r="F42" s="101">
        <v>36632</v>
      </c>
      <c r="G42" s="101" t="s">
        <v>1034</v>
      </c>
      <c r="H42" s="101" t="s">
        <v>810</v>
      </c>
      <c r="I42" s="101" t="s">
        <v>202</v>
      </c>
      <c r="J42" s="101"/>
      <c r="K42" s="101" t="s">
        <v>438</v>
      </c>
      <c r="L42" s="101" t="s">
        <v>336</v>
      </c>
      <c r="M42" s="101" t="s">
        <v>334</v>
      </c>
      <c r="N42" s="101"/>
      <c r="O42" s="107">
        <v>41767</v>
      </c>
      <c r="P42" s="101" t="s">
        <v>1918</v>
      </c>
      <c r="Q42" s="101" t="s">
        <v>413</v>
      </c>
      <c r="R42" s="101" t="s">
        <v>406</v>
      </c>
      <c r="S42" s="101" t="s">
        <v>1241</v>
      </c>
      <c r="T42" s="104">
        <v>3.34</v>
      </c>
      <c r="U42" s="101" t="s">
        <v>1919</v>
      </c>
      <c r="V42" s="103">
        <v>5.3499999999999999E-2</v>
      </c>
      <c r="W42" s="101"/>
      <c r="X42" s="101"/>
      <c r="Y42" s="103"/>
      <c r="Z42" s="103">
        <v>2.6700000000000002E-2</v>
      </c>
      <c r="AA42" s="107">
        <v>48479</v>
      </c>
      <c r="AB42" s="101" t="s">
        <v>410</v>
      </c>
      <c r="AC42" s="101"/>
      <c r="AD42" s="104"/>
      <c r="AE42" s="103"/>
      <c r="AF42" s="107"/>
      <c r="AG42" s="101"/>
      <c r="AH42" s="101"/>
      <c r="AI42" s="101"/>
      <c r="AJ42" s="101" t="s">
        <v>334</v>
      </c>
      <c r="AK42" s="101" t="s">
        <v>890</v>
      </c>
      <c r="AL42" s="101"/>
      <c r="AM42" s="101" t="s">
        <v>893</v>
      </c>
      <c r="AN42" s="107">
        <v>46112</v>
      </c>
      <c r="AO42" s="107"/>
      <c r="AP42" s="103"/>
      <c r="AQ42" s="104">
        <v>16673.23</v>
      </c>
      <c r="AR42" s="104">
        <v>0.129</v>
      </c>
      <c r="AS42" s="104">
        <v>1</v>
      </c>
      <c r="AT42" s="104">
        <v>21.521809999999999</v>
      </c>
      <c r="AU42" s="104">
        <v>21.521809999999999</v>
      </c>
      <c r="AV42" s="102"/>
      <c r="AW42" s="102"/>
      <c r="AX42" s="101"/>
      <c r="AY42" s="101"/>
      <c r="AZ42" s="103">
        <v>1.624E-3</v>
      </c>
      <c r="BA42" s="103">
        <v>5.0000000000000004E-6</v>
      </c>
    </row>
    <row r="43" spans="1:53" ht="13.5" customHeight="1">
      <c r="A43" s="101">
        <v>274</v>
      </c>
      <c r="B43" s="101">
        <v>274</v>
      </c>
      <c r="C43" s="101"/>
      <c r="D43" s="101"/>
      <c r="E43" s="101"/>
      <c r="F43" s="101">
        <v>36624</v>
      </c>
      <c r="G43" s="101" t="s">
        <v>1034</v>
      </c>
      <c r="H43" s="101" t="s">
        <v>810</v>
      </c>
      <c r="I43" s="101" t="s">
        <v>202</v>
      </c>
      <c r="J43" s="101"/>
      <c r="K43" s="101" t="s">
        <v>438</v>
      </c>
      <c r="L43" s="101" t="s">
        <v>336</v>
      </c>
      <c r="M43" s="101" t="s">
        <v>334</v>
      </c>
      <c r="N43" s="101"/>
      <c r="O43" s="107">
        <v>41767</v>
      </c>
      <c r="P43" s="101" t="s">
        <v>1918</v>
      </c>
      <c r="Q43" s="101" t="s">
        <v>413</v>
      </c>
      <c r="R43" s="101" t="s">
        <v>406</v>
      </c>
      <c r="S43" s="101" t="s">
        <v>1241</v>
      </c>
      <c r="T43" s="104">
        <v>3.34</v>
      </c>
      <c r="U43" s="101" t="s">
        <v>1919</v>
      </c>
      <c r="V43" s="103">
        <v>5.3499999999999999E-2</v>
      </c>
      <c r="W43" s="101"/>
      <c r="X43" s="101"/>
      <c r="Y43" s="103"/>
      <c r="Z43" s="103">
        <v>2.6700000000000002E-2</v>
      </c>
      <c r="AA43" s="107">
        <v>48479</v>
      </c>
      <c r="AB43" s="101" t="s">
        <v>410</v>
      </c>
      <c r="AC43" s="101"/>
      <c r="AD43" s="104"/>
      <c r="AE43" s="103"/>
      <c r="AF43" s="107"/>
      <c r="AG43" s="101"/>
      <c r="AH43" s="101"/>
      <c r="AI43" s="101"/>
      <c r="AJ43" s="101" t="s">
        <v>334</v>
      </c>
      <c r="AK43" s="101" t="s">
        <v>890</v>
      </c>
      <c r="AL43" s="101"/>
      <c r="AM43" s="101" t="s">
        <v>893</v>
      </c>
      <c r="AN43" s="107">
        <v>46112</v>
      </c>
      <c r="AO43" s="107"/>
      <c r="AP43" s="103"/>
      <c r="AQ43" s="104">
        <v>11115.47</v>
      </c>
      <c r="AR43" s="104">
        <v>0.129</v>
      </c>
      <c r="AS43" s="104">
        <v>1</v>
      </c>
      <c r="AT43" s="104">
        <v>14.347849999999999</v>
      </c>
      <c r="AU43" s="104">
        <v>14.347849999999999</v>
      </c>
      <c r="AV43" s="102"/>
      <c r="AW43" s="102"/>
      <c r="AX43" s="101"/>
      <c r="AY43" s="101"/>
      <c r="AZ43" s="103">
        <v>1.0820000000000001E-3</v>
      </c>
      <c r="BA43" s="103">
        <v>3.0000000000000001E-6</v>
      </c>
    </row>
    <row r="44" spans="1:53" ht="13.5" customHeight="1">
      <c r="A44" s="101">
        <v>274</v>
      </c>
      <c r="B44" s="101">
        <v>274</v>
      </c>
      <c r="C44" s="101"/>
      <c r="D44" s="101"/>
      <c r="E44" s="101"/>
      <c r="F44" s="101">
        <v>36616</v>
      </c>
      <c r="G44" s="101" t="s">
        <v>1034</v>
      </c>
      <c r="H44" s="101" t="s">
        <v>810</v>
      </c>
      <c r="I44" s="101" t="s">
        <v>202</v>
      </c>
      <c r="J44" s="101"/>
      <c r="K44" s="101" t="s">
        <v>438</v>
      </c>
      <c r="L44" s="101" t="s">
        <v>336</v>
      </c>
      <c r="M44" s="101" t="s">
        <v>334</v>
      </c>
      <c r="N44" s="101"/>
      <c r="O44" s="107">
        <v>41767</v>
      </c>
      <c r="P44" s="101" t="s">
        <v>1918</v>
      </c>
      <c r="Q44" s="101" t="s">
        <v>413</v>
      </c>
      <c r="R44" s="101" t="s">
        <v>406</v>
      </c>
      <c r="S44" s="101" t="s">
        <v>1241</v>
      </c>
      <c r="T44" s="104">
        <v>3.34</v>
      </c>
      <c r="U44" s="101" t="s">
        <v>1919</v>
      </c>
      <c r="V44" s="103">
        <v>5.3499999999999999E-2</v>
      </c>
      <c r="W44" s="101"/>
      <c r="X44" s="101"/>
      <c r="Y44" s="103"/>
      <c r="Z44" s="103">
        <v>2.6700000000000002E-2</v>
      </c>
      <c r="AA44" s="107">
        <v>48479</v>
      </c>
      <c r="AB44" s="101" t="s">
        <v>410</v>
      </c>
      <c r="AC44" s="101"/>
      <c r="AD44" s="104"/>
      <c r="AE44" s="103"/>
      <c r="AF44" s="107"/>
      <c r="AG44" s="101"/>
      <c r="AH44" s="101"/>
      <c r="AI44" s="101"/>
      <c r="AJ44" s="101" t="s">
        <v>334</v>
      </c>
      <c r="AK44" s="101" t="s">
        <v>890</v>
      </c>
      <c r="AL44" s="101"/>
      <c r="AM44" s="101" t="s">
        <v>893</v>
      </c>
      <c r="AN44" s="107">
        <v>46112</v>
      </c>
      <c r="AO44" s="107"/>
      <c r="AP44" s="103"/>
      <c r="AQ44" s="104">
        <v>14203.12</v>
      </c>
      <c r="AR44" s="104">
        <v>0.129</v>
      </c>
      <c r="AS44" s="104">
        <v>1</v>
      </c>
      <c r="AT44" s="104">
        <v>18.333390000000001</v>
      </c>
      <c r="AU44" s="104">
        <v>18.333390000000001</v>
      </c>
      <c r="AV44" s="102"/>
      <c r="AW44" s="102"/>
      <c r="AX44" s="101"/>
      <c r="AY44" s="101"/>
      <c r="AZ44" s="103">
        <v>1.3829999999999999E-3</v>
      </c>
      <c r="BA44" s="103">
        <v>3.9999999999999998E-6</v>
      </c>
    </row>
    <row r="45" spans="1:53" ht="13.5" customHeight="1">
      <c r="A45" s="101">
        <v>274</v>
      </c>
      <c r="B45" s="101">
        <v>274</v>
      </c>
      <c r="C45" s="101"/>
      <c r="D45" s="101"/>
      <c r="E45" s="101"/>
      <c r="F45" s="101">
        <v>36608</v>
      </c>
      <c r="G45" s="101" t="s">
        <v>1034</v>
      </c>
      <c r="H45" s="101" t="s">
        <v>810</v>
      </c>
      <c r="I45" s="101" t="s">
        <v>202</v>
      </c>
      <c r="J45" s="101"/>
      <c r="K45" s="101" t="s">
        <v>438</v>
      </c>
      <c r="L45" s="101" t="s">
        <v>336</v>
      </c>
      <c r="M45" s="101" t="s">
        <v>334</v>
      </c>
      <c r="N45" s="101"/>
      <c r="O45" s="107">
        <v>41767</v>
      </c>
      <c r="P45" s="101" t="s">
        <v>1918</v>
      </c>
      <c r="Q45" s="101" t="s">
        <v>413</v>
      </c>
      <c r="R45" s="101" t="s">
        <v>406</v>
      </c>
      <c r="S45" s="101" t="s">
        <v>1241</v>
      </c>
      <c r="T45" s="104">
        <v>3.34</v>
      </c>
      <c r="U45" s="101" t="s">
        <v>1919</v>
      </c>
      <c r="V45" s="103">
        <v>5.3499999999999999E-2</v>
      </c>
      <c r="W45" s="101"/>
      <c r="X45" s="101"/>
      <c r="Y45" s="103"/>
      <c r="Z45" s="103">
        <v>2.6700000000000002E-2</v>
      </c>
      <c r="AA45" s="107">
        <v>48479</v>
      </c>
      <c r="AB45" s="101" t="s">
        <v>410</v>
      </c>
      <c r="AC45" s="101"/>
      <c r="AD45" s="104"/>
      <c r="AE45" s="103"/>
      <c r="AF45" s="107"/>
      <c r="AG45" s="101"/>
      <c r="AH45" s="101"/>
      <c r="AI45" s="101"/>
      <c r="AJ45" s="101" t="s">
        <v>334</v>
      </c>
      <c r="AK45" s="101" t="s">
        <v>890</v>
      </c>
      <c r="AL45" s="101"/>
      <c r="AM45" s="101" t="s">
        <v>893</v>
      </c>
      <c r="AN45" s="107">
        <v>46112</v>
      </c>
      <c r="AO45" s="107"/>
      <c r="AP45" s="103"/>
      <c r="AQ45" s="104">
        <v>14203.12</v>
      </c>
      <c r="AR45" s="104">
        <v>0.129</v>
      </c>
      <c r="AS45" s="104">
        <v>1</v>
      </c>
      <c r="AT45" s="104">
        <v>18.333390000000001</v>
      </c>
      <c r="AU45" s="104">
        <v>18.333390000000001</v>
      </c>
      <c r="AV45" s="102"/>
      <c r="AW45" s="102"/>
      <c r="AX45" s="101"/>
      <c r="AY45" s="101"/>
      <c r="AZ45" s="103">
        <v>1.3829999999999999E-3</v>
      </c>
      <c r="BA45" s="103">
        <v>3.9999999999999998E-6</v>
      </c>
    </row>
    <row r="46" spans="1:53" ht="13.5" customHeight="1">
      <c r="A46" s="101">
        <v>274</v>
      </c>
      <c r="B46" s="101">
        <v>274</v>
      </c>
      <c r="C46" s="101"/>
      <c r="D46" s="101"/>
      <c r="E46" s="101"/>
      <c r="F46" s="101">
        <v>34918</v>
      </c>
      <c r="G46" s="101" t="s">
        <v>1034</v>
      </c>
      <c r="H46" s="101" t="s">
        <v>810</v>
      </c>
      <c r="I46" s="101" t="s">
        <v>202</v>
      </c>
      <c r="J46" s="101"/>
      <c r="K46" s="101" t="s">
        <v>438</v>
      </c>
      <c r="L46" s="101" t="s">
        <v>336</v>
      </c>
      <c r="M46" s="101" t="s">
        <v>334</v>
      </c>
      <c r="N46" s="101"/>
      <c r="O46" s="107">
        <v>41281</v>
      </c>
      <c r="P46" s="101" t="s">
        <v>1918</v>
      </c>
      <c r="Q46" s="101" t="s">
        <v>413</v>
      </c>
      <c r="R46" s="101" t="s">
        <v>406</v>
      </c>
      <c r="S46" s="101" t="s">
        <v>1241</v>
      </c>
      <c r="T46" s="104">
        <v>3.35</v>
      </c>
      <c r="U46" s="101" t="s">
        <v>1919</v>
      </c>
      <c r="V46" s="103">
        <v>5.3499999999999999E-2</v>
      </c>
      <c r="W46" s="101"/>
      <c r="X46" s="101"/>
      <c r="Y46" s="103"/>
      <c r="Z46" s="103">
        <v>2.4299999999999999E-2</v>
      </c>
      <c r="AA46" s="107">
        <v>48479</v>
      </c>
      <c r="AB46" s="101" t="s">
        <v>410</v>
      </c>
      <c r="AC46" s="101"/>
      <c r="AD46" s="104"/>
      <c r="AE46" s="103"/>
      <c r="AF46" s="107"/>
      <c r="AG46" s="101"/>
      <c r="AH46" s="101"/>
      <c r="AI46" s="101"/>
      <c r="AJ46" s="101" t="s">
        <v>334</v>
      </c>
      <c r="AK46" s="101" t="s">
        <v>890</v>
      </c>
      <c r="AL46" s="101"/>
      <c r="AM46" s="101" t="s">
        <v>893</v>
      </c>
      <c r="AN46" s="107">
        <v>46112</v>
      </c>
      <c r="AO46" s="107"/>
      <c r="AP46" s="103"/>
      <c r="AQ46" s="104">
        <v>68018.990000000005</v>
      </c>
      <c r="AR46" s="104">
        <v>0.13200000000000001</v>
      </c>
      <c r="AS46" s="104">
        <v>1</v>
      </c>
      <c r="AT46" s="104">
        <v>89.832679999999996</v>
      </c>
      <c r="AU46" s="104">
        <v>89.832679999999996</v>
      </c>
      <c r="AV46" s="102"/>
      <c r="AW46" s="102"/>
      <c r="AX46" s="101"/>
      <c r="AY46" s="101"/>
      <c r="AZ46" s="103">
        <v>6.7799999999999996E-3</v>
      </c>
      <c r="BA46" s="103">
        <v>2.1999999999999999E-5</v>
      </c>
    </row>
    <row r="47" spans="1:53" ht="13.5" customHeight="1">
      <c r="A47" s="101">
        <v>274</v>
      </c>
      <c r="B47" s="101">
        <v>274</v>
      </c>
      <c r="C47" s="101"/>
      <c r="D47" s="101"/>
      <c r="E47" s="101"/>
      <c r="F47" s="101">
        <v>34900</v>
      </c>
      <c r="G47" s="101" t="s">
        <v>1034</v>
      </c>
      <c r="H47" s="101" t="s">
        <v>810</v>
      </c>
      <c r="I47" s="101" t="s">
        <v>202</v>
      </c>
      <c r="J47" s="101"/>
      <c r="K47" s="101" t="s">
        <v>438</v>
      </c>
      <c r="L47" s="101" t="s">
        <v>336</v>
      </c>
      <c r="M47" s="101" t="s">
        <v>334</v>
      </c>
      <c r="N47" s="101"/>
      <c r="O47" s="107">
        <v>41281</v>
      </c>
      <c r="P47" s="101" t="s">
        <v>1918</v>
      </c>
      <c r="Q47" s="101" t="s">
        <v>413</v>
      </c>
      <c r="R47" s="101" t="s">
        <v>406</v>
      </c>
      <c r="S47" s="101" t="s">
        <v>1241</v>
      </c>
      <c r="T47" s="104">
        <v>3.35</v>
      </c>
      <c r="U47" s="101" t="s">
        <v>1919</v>
      </c>
      <c r="V47" s="103">
        <v>5.3499999999999999E-2</v>
      </c>
      <c r="W47" s="101"/>
      <c r="X47" s="101"/>
      <c r="Y47" s="103"/>
      <c r="Z47" s="103">
        <v>2.4299999999999999E-2</v>
      </c>
      <c r="AA47" s="107">
        <v>48479</v>
      </c>
      <c r="AB47" s="101" t="s">
        <v>410</v>
      </c>
      <c r="AC47" s="101"/>
      <c r="AD47" s="104"/>
      <c r="AE47" s="103"/>
      <c r="AF47" s="107"/>
      <c r="AG47" s="101"/>
      <c r="AH47" s="101"/>
      <c r="AI47" s="101"/>
      <c r="AJ47" s="101" t="s">
        <v>334</v>
      </c>
      <c r="AK47" s="101" t="s">
        <v>890</v>
      </c>
      <c r="AL47" s="101"/>
      <c r="AM47" s="101" t="s">
        <v>893</v>
      </c>
      <c r="AN47" s="107">
        <v>46112</v>
      </c>
      <c r="AO47" s="107"/>
      <c r="AP47" s="103"/>
      <c r="AQ47" s="104">
        <v>81689.48</v>
      </c>
      <c r="AR47" s="104">
        <v>0.13200000000000001</v>
      </c>
      <c r="AS47" s="104">
        <v>1</v>
      </c>
      <c r="AT47" s="104">
        <v>107.8873</v>
      </c>
      <c r="AU47" s="104">
        <v>107.8873</v>
      </c>
      <c r="AV47" s="102"/>
      <c r="AW47" s="102"/>
      <c r="AX47" s="101"/>
      <c r="AY47" s="101"/>
      <c r="AZ47" s="103">
        <v>8.1429999999999992E-3</v>
      </c>
      <c r="BA47" s="103">
        <v>2.5999999999999998E-5</v>
      </c>
    </row>
    <row r="48" spans="1:53" ht="13.5" customHeight="1">
      <c r="A48" s="101">
        <v>274</v>
      </c>
      <c r="B48" s="101">
        <v>274</v>
      </c>
      <c r="C48" s="101"/>
      <c r="D48" s="101"/>
      <c r="E48" s="101"/>
      <c r="F48" s="101">
        <v>50000324</v>
      </c>
      <c r="G48" s="101" t="s">
        <v>1034</v>
      </c>
      <c r="H48" s="101" t="s">
        <v>810</v>
      </c>
      <c r="I48" s="101" t="s">
        <v>202</v>
      </c>
      <c r="J48" s="101"/>
      <c r="K48" s="101" t="s">
        <v>445</v>
      </c>
      <c r="L48" s="101" t="s">
        <v>336</v>
      </c>
      <c r="M48" s="101" t="s">
        <v>334</v>
      </c>
      <c r="N48" s="101"/>
      <c r="O48" s="107">
        <v>43675</v>
      </c>
      <c r="P48" s="101" t="s">
        <v>1353</v>
      </c>
      <c r="Q48" s="101" t="s">
        <v>413</v>
      </c>
      <c r="R48" s="101" t="s">
        <v>406</v>
      </c>
      <c r="S48" s="101" t="s">
        <v>1241</v>
      </c>
      <c r="T48" s="104">
        <v>1.53</v>
      </c>
      <c r="U48" s="101" t="s">
        <v>1919</v>
      </c>
      <c r="V48" s="103">
        <v>2.1111000000000001E-2</v>
      </c>
      <c r="W48" s="101"/>
      <c r="X48" s="101"/>
      <c r="Y48" s="103"/>
      <c r="Z48" s="103">
        <v>3.2000000000000001E-2</v>
      </c>
      <c r="AA48" s="107">
        <v>47118</v>
      </c>
      <c r="AB48" s="101" t="s">
        <v>410</v>
      </c>
      <c r="AC48" s="101"/>
      <c r="AD48" s="104"/>
      <c r="AE48" s="103"/>
      <c r="AF48" s="107"/>
      <c r="AG48" s="101"/>
      <c r="AH48" s="101"/>
      <c r="AI48" s="101"/>
      <c r="AJ48" s="101" t="s">
        <v>334</v>
      </c>
      <c r="AK48" s="101" t="s">
        <v>890</v>
      </c>
      <c r="AL48" s="101"/>
      <c r="AM48" s="101" t="s">
        <v>893</v>
      </c>
      <c r="AN48" s="107">
        <v>46112</v>
      </c>
      <c r="AO48" s="107"/>
      <c r="AP48" s="103"/>
      <c r="AQ48" s="104">
        <v>182065.09</v>
      </c>
      <c r="AR48" s="104">
        <v>0.1149</v>
      </c>
      <c r="AS48" s="104">
        <v>1</v>
      </c>
      <c r="AT48" s="104">
        <v>209.24741</v>
      </c>
      <c r="AU48" s="104">
        <v>209.24741</v>
      </c>
      <c r="AV48" s="102"/>
      <c r="AW48" s="102"/>
      <c r="AX48" s="101"/>
      <c r="AY48" s="101"/>
      <c r="AZ48" s="103">
        <v>1.5793000000000001E-2</v>
      </c>
      <c r="BA48" s="103">
        <v>5.1999999999999997E-5</v>
      </c>
    </row>
    <row r="49" spans="1:53" ht="13.5" customHeight="1">
      <c r="A49" s="101">
        <v>274</v>
      </c>
      <c r="B49" s="101">
        <v>274</v>
      </c>
      <c r="C49" s="101"/>
      <c r="D49" s="101"/>
      <c r="E49" s="101"/>
      <c r="F49" s="101">
        <v>50000327</v>
      </c>
      <c r="G49" s="101" t="s">
        <v>1034</v>
      </c>
      <c r="H49" s="101" t="s">
        <v>810</v>
      </c>
      <c r="I49" s="101" t="s">
        <v>202</v>
      </c>
      <c r="J49" s="101"/>
      <c r="K49" s="101" t="s">
        <v>445</v>
      </c>
      <c r="L49" s="101" t="s">
        <v>336</v>
      </c>
      <c r="M49" s="101" t="s">
        <v>334</v>
      </c>
      <c r="N49" s="101"/>
      <c r="O49" s="107">
        <v>43675</v>
      </c>
      <c r="P49" s="101" t="s">
        <v>1918</v>
      </c>
      <c r="Q49" s="101" t="s">
        <v>413</v>
      </c>
      <c r="R49" s="101" t="s">
        <v>406</v>
      </c>
      <c r="S49" s="101" t="s">
        <v>1241</v>
      </c>
      <c r="T49" s="104">
        <v>6.63</v>
      </c>
      <c r="U49" s="101" t="s">
        <v>1919</v>
      </c>
      <c r="V49" s="103">
        <v>2.9756999999999999E-2</v>
      </c>
      <c r="W49" s="101"/>
      <c r="X49" s="101"/>
      <c r="Y49" s="103"/>
      <c r="Z49" s="103">
        <v>2.9600000000000001E-2</v>
      </c>
      <c r="AA49" s="107">
        <v>50770</v>
      </c>
      <c r="AB49" s="101" t="s">
        <v>410</v>
      </c>
      <c r="AC49" s="101"/>
      <c r="AD49" s="104"/>
      <c r="AE49" s="103"/>
      <c r="AF49" s="107"/>
      <c r="AG49" s="101"/>
      <c r="AH49" s="101"/>
      <c r="AI49" s="101"/>
      <c r="AJ49" s="101" t="s">
        <v>334</v>
      </c>
      <c r="AK49" s="101" t="s">
        <v>890</v>
      </c>
      <c r="AL49" s="101"/>
      <c r="AM49" s="101" t="s">
        <v>893</v>
      </c>
      <c r="AN49" s="107">
        <v>46112</v>
      </c>
      <c r="AO49" s="107"/>
      <c r="AP49" s="103"/>
      <c r="AQ49" s="104">
        <v>2390356.25</v>
      </c>
      <c r="AR49" s="104">
        <v>0.1171</v>
      </c>
      <c r="AS49" s="104">
        <v>1</v>
      </c>
      <c r="AT49" s="104">
        <v>2800.3023499999999</v>
      </c>
      <c r="AU49" s="104">
        <v>2800.3023499999999</v>
      </c>
      <c r="AV49" s="102"/>
      <c r="AW49" s="102"/>
      <c r="AX49" s="101"/>
      <c r="AY49" s="101"/>
      <c r="AZ49" s="103">
        <v>0.211365</v>
      </c>
      <c r="BA49" s="103">
        <v>6.9800000000000005E-4</v>
      </c>
    </row>
    <row r="50" spans="1:53" ht="13.5" customHeight="1">
      <c r="A50" s="101">
        <v>274</v>
      </c>
      <c r="B50" s="101">
        <v>274</v>
      </c>
      <c r="C50" s="101"/>
      <c r="D50" s="101"/>
      <c r="E50" s="101"/>
      <c r="F50" s="101">
        <v>6189</v>
      </c>
      <c r="G50" s="101" t="s">
        <v>1034</v>
      </c>
      <c r="H50" s="101" t="s">
        <v>810</v>
      </c>
      <c r="I50" s="101" t="s">
        <v>202</v>
      </c>
      <c r="J50" s="101"/>
      <c r="K50" s="101" t="s">
        <v>483</v>
      </c>
      <c r="L50" s="101" t="s">
        <v>336</v>
      </c>
      <c r="M50" s="101" t="s">
        <v>334</v>
      </c>
      <c r="N50" s="101"/>
      <c r="O50" s="107">
        <v>39261</v>
      </c>
      <c r="P50" s="101" t="s">
        <v>1319</v>
      </c>
      <c r="Q50" s="101" t="s">
        <v>413</v>
      </c>
      <c r="R50" s="101" t="s">
        <v>406</v>
      </c>
      <c r="S50" s="101" t="s">
        <v>1241</v>
      </c>
      <c r="T50" s="104">
        <v>0.75</v>
      </c>
      <c r="U50" s="101" t="s">
        <v>1919</v>
      </c>
      <c r="V50" s="103">
        <v>4.7039999999999998E-2</v>
      </c>
      <c r="W50" s="101"/>
      <c r="X50" s="101"/>
      <c r="Y50" s="103"/>
      <c r="Z50" s="103">
        <v>3.7900000000000003E-2</v>
      </c>
      <c r="AA50" s="107">
        <v>46568</v>
      </c>
      <c r="AB50" s="101" t="s">
        <v>410</v>
      </c>
      <c r="AC50" s="101"/>
      <c r="AD50" s="104"/>
      <c r="AE50" s="103"/>
      <c r="AF50" s="107"/>
      <c r="AG50" s="101"/>
      <c r="AH50" s="101"/>
      <c r="AI50" s="101"/>
      <c r="AJ50" s="101" t="s">
        <v>334</v>
      </c>
      <c r="AK50" s="101" t="s">
        <v>890</v>
      </c>
      <c r="AL50" s="101"/>
      <c r="AM50" s="101" t="s">
        <v>893</v>
      </c>
      <c r="AN50" s="107">
        <v>46112</v>
      </c>
      <c r="AO50" s="107"/>
      <c r="AP50" s="103"/>
      <c r="AQ50" s="104">
        <v>90059.12</v>
      </c>
      <c r="AR50" s="104">
        <v>0.14460000000000001</v>
      </c>
      <c r="AS50" s="104">
        <v>1</v>
      </c>
      <c r="AT50" s="104">
        <v>130.23448999999999</v>
      </c>
      <c r="AU50" s="104">
        <v>130.23448999999999</v>
      </c>
      <c r="AV50" s="102"/>
      <c r="AW50" s="102"/>
      <c r="AX50" s="101"/>
      <c r="AY50" s="101"/>
      <c r="AZ50" s="103">
        <v>9.8300000000000002E-3</v>
      </c>
      <c r="BA50" s="103">
        <v>3.1999999999999999E-5</v>
      </c>
    </row>
    <row r="51" spans="1:53" ht="13.5" customHeight="1">
      <c r="A51" s="101">
        <v>274</v>
      </c>
      <c r="B51" s="101">
        <v>274</v>
      </c>
      <c r="C51" s="101"/>
      <c r="D51" s="101"/>
      <c r="E51" s="101"/>
      <c r="F51" s="101">
        <v>6205</v>
      </c>
      <c r="G51" s="101" t="s">
        <v>1034</v>
      </c>
      <c r="H51" s="101" t="s">
        <v>810</v>
      </c>
      <c r="I51" s="101" t="s">
        <v>202</v>
      </c>
      <c r="J51" s="101"/>
      <c r="K51" s="101" t="s">
        <v>483</v>
      </c>
      <c r="L51" s="101" t="s">
        <v>336</v>
      </c>
      <c r="M51" s="101" t="s">
        <v>334</v>
      </c>
      <c r="N51" s="101"/>
      <c r="O51" s="107">
        <v>39922</v>
      </c>
      <c r="P51" s="101" t="s">
        <v>1893</v>
      </c>
      <c r="Q51" s="101" t="s">
        <v>411</v>
      </c>
      <c r="R51" s="101" t="s">
        <v>406</v>
      </c>
      <c r="S51" s="101" t="s">
        <v>1241</v>
      </c>
      <c r="T51" s="104">
        <v>2.1800000000000002</v>
      </c>
      <c r="U51" s="101" t="s">
        <v>1919</v>
      </c>
      <c r="V51" s="103">
        <v>4.2700000000000002E-2</v>
      </c>
      <c r="W51" s="101"/>
      <c r="X51" s="101"/>
      <c r="Y51" s="103"/>
      <c r="Z51" s="103">
        <v>3.2000000000000001E-2</v>
      </c>
      <c r="AA51" s="107">
        <v>47762</v>
      </c>
      <c r="AB51" s="101" t="s">
        <v>410</v>
      </c>
      <c r="AC51" s="101"/>
      <c r="AD51" s="104"/>
      <c r="AE51" s="103"/>
      <c r="AF51" s="107"/>
      <c r="AG51" s="101"/>
      <c r="AH51" s="101"/>
      <c r="AI51" s="101"/>
      <c r="AJ51" s="101" t="s">
        <v>334</v>
      </c>
      <c r="AK51" s="101" t="s">
        <v>890</v>
      </c>
      <c r="AL51" s="101"/>
      <c r="AM51" s="101" t="s">
        <v>893</v>
      </c>
      <c r="AN51" s="107">
        <v>46112</v>
      </c>
      <c r="AO51" s="107"/>
      <c r="AP51" s="103"/>
      <c r="AQ51" s="104">
        <v>2372856.3199999998</v>
      </c>
      <c r="AR51" s="104">
        <v>0.1414</v>
      </c>
      <c r="AS51" s="104">
        <v>1</v>
      </c>
      <c r="AT51" s="104">
        <v>3357.5916900000002</v>
      </c>
      <c r="AU51" s="104">
        <v>3357.5916900000002</v>
      </c>
      <c r="AV51" s="102"/>
      <c r="AW51" s="102"/>
      <c r="AX51" s="101"/>
      <c r="AY51" s="101"/>
      <c r="AZ51" s="103">
        <v>0.25342900000000002</v>
      </c>
      <c r="BA51" s="103">
        <v>8.3799999999999999E-4</v>
      </c>
    </row>
    <row r="52" spans="1:53" ht="13.5" customHeight="1">
      <c r="A52" s="101">
        <v>274</v>
      </c>
      <c r="B52" s="101">
        <v>274</v>
      </c>
      <c r="C52" s="101"/>
      <c r="D52" s="101"/>
      <c r="E52" s="101"/>
      <c r="F52" s="101">
        <v>72002002</v>
      </c>
      <c r="G52" s="101" t="s">
        <v>1034</v>
      </c>
      <c r="H52" s="101" t="s">
        <v>810</v>
      </c>
      <c r="I52" s="101" t="s">
        <v>202</v>
      </c>
      <c r="J52" s="101"/>
      <c r="K52" s="101" t="s">
        <v>453</v>
      </c>
      <c r="L52" s="101" t="s">
        <v>336</v>
      </c>
      <c r="M52" s="101" t="s">
        <v>334</v>
      </c>
      <c r="N52" s="101"/>
      <c r="O52" s="107">
        <v>45930</v>
      </c>
      <c r="P52" s="101" t="s">
        <v>1918</v>
      </c>
      <c r="Q52" s="101" t="s">
        <v>413</v>
      </c>
      <c r="R52" s="101" t="s">
        <v>406</v>
      </c>
      <c r="S52" s="101" t="s">
        <v>1241</v>
      </c>
      <c r="T52" s="104">
        <v>4.24</v>
      </c>
      <c r="U52" s="101" t="s">
        <v>1919</v>
      </c>
      <c r="V52" s="103">
        <v>4.3048000000000003E-2</v>
      </c>
      <c r="W52" s="101"/>
      <c r="X52" s="101"/>
      <c r="Y52" s="103"/>
      <c r="Z52" s="103">
        <v>4.48E-2</v>
      </c>
      <c r="AA52" s="107">
        <v>48844</v>
      </c>
      <c r="AB52" s="101" t="s">
        <v>410</v>
      </c>
      <c r="AC52" s="101"/>
      <c r="AD52" s="104"/>
      <c r="AE52" s="103"/>
      <c r="AF52" s="107"/>
      <c r="AG52" s="101"/>
      <c r="AH52" s="101"/>
      <c r="AI52" s="101"/>
      <c r="AJ52" s="101" t="s">
        <v>334</v>
      </c>
      <c r="AK52" s="101" t="s">
        <v>890</v>
      </c>
      <c r="AL52" s="101"/>
      <c r="AM52" s="101" t="s">
        <v>893</v>
      </c>
      <c r="AN52" s="107">
        <v>46112</v>
      </c>
      <c r="AO52" s="107"/>
      <c r="AP52" s="103"/>
      <c r="AQ52" s="104">
        <v>13824</v>
      </c>
      <c r="AR52" s="104">
        <v>9.9500000000000005E-2</v>
      </c>
      <c r="AS52" s="104">
        <v>1</v>
      </c>
      <c r="AT52" s="104">
        <v>13.763170000000001</v>
      </c>
      <c r="AU52" s="104">
        <v>13.763170000000001</v>
      </c>
      <c r="AV52" s="102"/>
      <c r="AW52" s="102"/>
      <c r="AX52" s="101"/>
      <c r="AY52" s="101"/>
      <c r="AZ52" s="103">
        <v>1.0380000000000001E-3</v>
      </c>
      <c r="BA52" s="103">
        <v>3.0000000000000001E-6</v>
      </c>
    </row>
    <row r="53" spans="1:53" ht="13.5" customHeight="1">
      <c r="A53" s="101">
        <v>274</v>
      </c>
      <c r="B53" s="101">
        <v>274</v>
      </c>
      <c r="C53" s="101"/>
      <c r="D53" s="101"/>
      <c r="E53" s="101"/>
      <c r="F53" s="101">
        <v>72002001</v>
      </c>
      <c r="G53" s="101" t="s">
        <v>1034</v>
      </c>
      <c r="H53" s="101" t="s">
        <v>810</v>
      </c>
      <c r="I53" s="101" t="s">
        <v>202</v>
      </c>
      <c r="J53" s="101"/>
      <c r="K53" s="101" t="s">
        <v>453</v>
      </c>
      <c r="L53" s="101" t="s">
        <v>336</v>
      </c>
      <c r="M53" s="101" t="s">
        <v>334</v>
      </c>
      <c r="N53" s="101"/>
      <c r="O53" s="107">
        <v>45930</v>
      </c>
      <c r="P53" s="101" t="s">
        <v>1918</v>
      </c>
      <c r="Q53" s="101" t="s">
        <v>413</v>
      </c>
      <c r="R53" s="101" t="s">
        <v>406</v>
      </c>
      <c r="S53" s="101" t="s">
        <v>1241</v>
      </c>
      <c r="T53" s="104">
        <v>4.1399999999999997</v>
      </c>
      <c r="U53" s="101" t="s">
        <v>1919</v>
      </c>
      <c r="V53" s="103">
        <v>4.2960999999999999E-2</v>
      </c>
      <c r="W53" s="101"/>
      <c r="X53" s="101"/>
      <c r="Y53" s="103"/>
      <c r="Z53" s="103">
        <v>4.4699999999999997E-2</v>
      </c>
      <c r="AA53" s="107">
        <v>48844</v>
      </c>
      <c r="AB53" s="101" t="s">
        <v>410</v>
      </c>
      <c r="AC53" s="101"/>
      <c r="AD53" s="104"/>
      <c r="AE53" s="103"/>
      <c r="AF53" s="107"/>
      <c r="AG53" s="101"/>
      <c r="AH53" s="101"/>
      <c r="AI53" s="101"/>
      <c r="AJ53" s="101" t="s">
        <v>334</v>
      </c>
      <c r="AK53" s="101" t="s">
        <v>890</v>
      </c>
      <c r="AL53" s="101"/>
      <c r="AM53" s="101" t="s">
        <v>893</v>
      </c>
      <c r="AN53" s="107">
        <v>46112</v>
      </c>
      <c r="AO53" s="107"/>
      <c r="AP53" s="103"/>
      <c r="AQ53" s="104">
        <v>12125</v>
      </c>
      <c r="AR53" s="104">
        <v>9.9599999999999994E-2</v>
      </c>
      <c r="AS53" s="104">
        <v>1</v>
      </c>
      <c r="AT53" s="104">
        <v>12.076499999999999</v>
      </c>
      <c r="AU53" s="104">
        <v>12.076499999999999</v>
      </c>
      <c r="AV53" s="102"/>
      <c r="AW53" s="102"/>
      <c r="AX53" s="101"/>
      <c r="AY53" s="101"/>
      <c r="AZ53" s="103">
        <v>9.1100000000000003E-4</v>
      </c>
      <c r="BA53" s="103">
        <v>3.0000000000000001E-6</v>
      </c>
    </row>
    <row r="54" spans="1:53" ht="13.5" customHeight="1">
      <c r="A54" s="101">
        <v>274</v>
      </c>
      <c r="B54" s="101">
        <v>274</v>
      </c>
      <c r="C54" s="101"/>
      <c r="D54" s="101"/>
      <c r="E54" s="101"/>
      <c r="F54" s="101">
        <v>71000209</v>
      </c>
      <c r="G54" s="101" t="s">
        <v>1034</v>
      </c>
      <c r="H54" s="101" t="s">
        <v>810</v>
      </c>
      <c r="I54" s="101" t="s">
        <v>202</v>
      </c>
      <c r="J54" s="101"/>
      <c r="K54" s="101" t="s">
        <v>453</v>
      </c>
      <c r="L54" s="101" t="s">
        <v>336</v>
      </c>
      <c r="M54" s="101" t="s">
        <v>334</v>
      </c>
      <c r="N54" s="101"/>
      <c r="O54" s="107">
        <v>44858</v>
      </c>
      <c r="P54" s="101" t="s">
        <v>1920</v>
      </c>
      <c r="Q54" s="101" t="s">
        <v>413</v>
      </c>
      <c r="R54" s="101" t="s">
        <v>406</v>
      </c>
      <c r="S54" s="101" t="s">
        <v>1241</v>
      </c>
      <c r="T54" s="104">
        <v>4.57</v>
      </c>
      <c r="U54" s="101" t="s">
        <v>1919</v>
      </c>
      <c r="V54" s="103">
        <v>3.49E-2</v>
      </c>
      <c r="W54" s="101"/>
      <c r="X54" s="101"/>
      <c r="Y54" s="103"/>
      <c r="Z54" s="103">
        <v>3.2099999999999997E-2</v>
      </c>
      <c r="AA54" s="107">
        <v>48667</v>
      </c>
      <c r="AB54" s="101" t="s">
        <v>410</v>
      </c>
      <c r="AC54" s="101"/>
      <c r="AD54" s="104"/>
      <c r="AE54" s="103"/>
      <c r="AF54" s="107"/>
      <c r="AG54" s="101"/>
      <c r="AH54" s="101"/>
      <c r="AI54" s="101"/>
      <c r="AJ54" s="101" t="s">
        <v>334</v>
      </c>
      <c r="AK54" s="101" t="s">
        <v>890</v>
      </c>
      <c r="AL54" s="101"/>
      <c r="AM54" s="101" t="s">
        <v>893</v>
      </c>
      <c r="AN54" s="107">
        <v>46112</v>
      </c>
      <c r="AO54" s="107"/>
      <c r="AP54" s="103"/>
      <c r="AQ54" s="104">
        <v>38230.75</v>
      </c>
      <c r="AR54" s="104">
        <v>0.1116</v>
      </c>
      <c r="AS54" s="104">
        <v>1</v>
      </c>
      <c r="AT54" s="104">
        <v>42.673160000000003</v>
      </c>
      <c r="AU54" s="104">
        <v>42.673160000000003</v>
      </c>
      <c r="AV54" s="102"/>
      <c r="AW54" s="102"/>
      <c r="AX54" s="101"/>
      <c r="AY54" s="101"/>
      <c r="AZ54" s="103">
        <v>3.2200000000000002E-3</v>
      </c>
      <c r="BA54" s="103">
        <v>1.0000000000000001E-5</v>
      </c>
    </row>
    <row r="55" spans="1:53" ht="13.5" customHeight="1">
      <c r="A55" s="101">
        <v>274</v>
      </c>
      <c r="B55" s="101">
        <v>274</v>
      </c>
      <c r="C55" s="101"/>
      <c r="D55" s="101"/>
      <c r="E55" s="101"/>
      <c r="F55" s="101">
        <v>71000208</v>
      </c>
      <c r="G55" s="101" t="s">
        <v>1034</v>
      </c>
      <c r="H55" s="101" t="s">
        <v>810</v>
      </c>
      <c r="I55" s="101" t="s">
        <v>202</v>
      </c>
      <c r="J55" s="101"/>
      <c r="K55" s="101" t="s">
        <v>453</v>
      </c>
      <c r="L55" s="101" t="s">
        <v>336</v>
      </c>
      <c r="M55" s="101" t="s">
        <v>334</v>
      </c>
      <c r="N55" s="101"/>
      <c r="O55" s="107">
        <v>44858</v>
      </c>
      <c r="P55" s="101" t="s">
        <v>1920</v>
      </c>
      <c r="Q55" s="101" t="s">
        <v>413</v>
      </c>
      <c r="R55" s="101" t="s">
        <v>406</v>
      </c>
      <c r="S55" s="101" t="s">
        <v>1241</v>
      </c>
      <c r="T55" s="104">
        <v>4.66</v>
      </c>
      <c r="U55" s="101" t="s">
        <v>1919</v>
      </c>
      <c r="V55" s="103">
        <v>3.49E-2</v>
      </c>
      <c r="W55" s="101"/>
      <c r="X55" s="101"/>
      <c r="Y55" s="103"/>
      <c r="Z55" s="103">
        <v>3.2000000000000001E-2</v>
      </c>
      <c r="AA55" s="107">
        <v>48667</v>
      </c>
      <c r="AB55" s="101" t="s">
        <v>410</v>
      </c>
      <c r="AC55" s="101"/>
      <c r="AD55" s="104"/>
      <c r="AE55" s="103"/>
      <c r="AF55" s="107"/>
      <c r="AG55" s="101"/>
      <c r="AH55" s="101"/>
      <c r="AI55" s="101"/>
      <c r="AJ55" s="101" t="s">
        <v>334</v>
      </c>
      <c r="AK55" s="101" t="s">
        <v>890</v>
      </c>
      <c r="AL55" s="101"/>
      <c r="AM55" s="101" t="s">
        <v>893</v>
      </c>
      <c r="AN55" s="107">
        <v>46112</v>
      </c>
      <c r="AO55" s="107"/>
      <c r="AP55" s="103"/>
      <c r="AQ55" s="104">
        <v>34781.64</v>
      </c>
      <c r="AR55" s="104">
        <v>0.11169999999999999</v>
      </c>
      <c r="AS55" s="104">
        <v>1</v>
      </c>
      <c r="AT55" s="104">
        <v>38.854570000000002</v>
      </c>
      <c r="AU55" s="104">
        <v>38.854570000000002</v>
      </c>
      <c r="AV55" s="102"/>
      <c r="AW55" s="102"/>
      <c r="AX55" s="101"/>
      <c r="AY55" s="101"/>
      <c r="AZ55" s="103">
        <v>2.9320000000000001E-3</v>
      </c>
      <c r="BA55" s="103">
        <v>9.0000000000000002E-6</v>
      </c>
    </row>
    <row r="56" spans="1:53" ht="13.5" customHeight="1">
      <c r="A56" s="101">
        <v>274</v>
      </c>
      <c r="B56" s="101">
        <v>274</v>
      </c>
      <c r="C56" s="101"/>
      <c r="D56" s="101"/>
      <c r="E56" s="101"/>
      <c r="F56" s="101">
        <v>72002004</v>
      </c>
      <c r="G56" s="101" t="s">
        <v>1034</v>
      </c>
      <c r="H56" s="101" t="s">
        <v>810</v>
      </c>
      <c r="I56" s="101" t="s">
        <v>202</v>
      </c>
      <c r="J56" s="101"/>
      <c r="K56" s="101" t="s">
        <v>453</v>
      </c>
      <c r="L56" s="101" t="s">
        <v>336</v>
      </c>
      <c r="M56" s="101" t="s">
        <v>334</v>
      </c>
      <c r="N56" s="101"/>
      <c r="O56" s="107">
        <v>45930</v>
      </c>
      <c r="P56" s="101" t="s">
        <v>1918</v>
      </c>
      <c r="Q56" s="101" t="s">
        <v>413</v>
      </c>
      <c r="R56" s="101" t="s">
        <v>406</v>
      </c>
      <c r="S56" s="101" t="s">
        <v>1241</v>
      </c>
      <c r="T56" s="104">
        <v>4.55</v>
      </c>
      <c r="U56" s="101" t="s">
        <v>1919</v>
      </c>
      <c r="V56" s="103">
        <v>4.1918999999999998E-2</v>
      </c>
      <c r="W56" s="101"/>
      <c r="X56" s="101"/>
      <c r="Y56" s="103"/>
      <c r="Z56" s="103">
        <v>4.2700000000000002E-2</v>
      </c>
      <c r="AA56" s="107">
        <v>48844</v>
      </c>
      <c r="AB56" s="101" t="s">
        <v>410</v>
      </c>
      <c r="AC56" s="101"/>
      <c r="AD56" s="104"/>
      <c r="AE56" s="103"/>
      <c r="AF56" s="107"/>
      <c r="AG56" s="101"/>
      <c r="AH56" s="101"/>
      <c r="AI56" s="101"/>
      <c r="AJ56" s="101" t="s">
        <v>334</v>
      </c>
      <c r="AK56" s="101" t="s">
        <v>890</v>
      </c>
      <c r="AL56" s="101"/>
      <c r="AM56" s="101" t="s">
        <v>893</v>
      </c>
      <c r="AN56" s="107">
        <v>46112</v>
      </c>
      <c r="AO56" s="107"/>
      <c r="AP56" s="103"/>
      <c r="AQ56" s="104">
        <v>13751</v>
      </c>
      <c r="AR56" s="104">
        <v>9.9900000000000003E-2</v>
      </c>
      <c r="AS56" s="104">
        <v>1</v>
      </c>
      <c r="AT56" s="104">
        <v>13.7455</v>
      </c>
      <c r="AU56" s="104">
        <v>13.7455</v>
      </c>
      <c r="AV56" s="102"/>
      <c r="AW56" s="102"/>
      <c r="AX56" s="101"/>
      <c r="AY56" s="101"/>
      <c r="AZ56" s="103">
        <v>1.0369999999999999E-3</v>
      </c>
      <c r="BA56" s="103">
        <v>3.0000000000000001E-6</v>
      </c>
    </row>
    <row r="57" spans="1:53" ht="13.5" customHeight="1">
      <c r="A57" s="101">
        <v>274</v>
      </c>
      <c r="B57" s="101">
        <v>274</v>
      </c>
      <c r="C57" s="101"/>
      <c r="D57" s="101"/>
      <c r="E57" s="101"/>
      <c r="F57" s="101">
        <v>71000207</v>
      </c>
      <c r="G57" s="101" t="s">
        <v>1034</v>
      </c>
      <c r="H57" s="101" t="s">
        <v>810</v>
      </c>
      <c r="I57" s="101" t="s">
        <v>202</v>
      </c>
      <c r="J57" s="101"/>
      <c r="K57" s="101" t="s">
        <v>453</v>
      </c>
      <c r="L57" s="101" t="s">
        <v>336</v>
      </c>
      <c r="M57" s="101" t="s">
        <v>334</v>
      </c>
      <c r="N57" s="101"/>
      <c r="O57" s="107">
        <v>44858</v>
      </c>
      <c r="P57" s="101" t="s">
        <v>1920</v>
      </c>
      <c r="Q57" s="101" t="s">
        <v>413</v>
      </c>
      <c r="R57" s="101" t="s">
        <v>406</v>
      </c>
      <c r="S57" s="101" t="s">
        <v>1241</v>
      </c>
      <c r="T57" s="104">
        <v>4.4800000000000004</v>
      </c>
      <c r="U57" s="101" t="s">
        <v>1919</v>
      </c>
      <c r="V57" s="103">
        <v>3.49E-2</v>
      </c>
      <c r="W57" s="101"/>
      <c r="X57" s="101"/>
      <c r="Y57" s="103"/>
      <c r="Z57" s="103">
        <v>3.2199999999999999E-2</v>
      </c>
      <c r="AA57" s="107">
        <v>48667</v>
      </c>
      <c r="AB57" s="101" t="s">
        <v>410</v>
      </c>
      <c r="AC57" s="101"/>
      <c r="AD57" s="104"/>
      <c r="AE57" s="103"/>
      <c r="AF57" s="107"/>
      <c r="AG57" s="101"/>
      <c r="AH57" s="101"/>
      <c r="AI57" s="101"/>
      <c r="AJ57" s="101" t="s">
        <v>334</v>
      </c>
      <c r="AK57" s="101" t="s">
        <v>890</v>
      </c>
      <c r="AL57" s="101"/>
      <c r="AM57" s="101" t="s">
        <v>893</v>
      </c>
      <c r="AN57" s="107">
        <v>46112</v>
      </c>
      <c r="AO57" s="107"/>
      <c r="AP57" s="103"/>
      <c r="AQ57" s="104">
        <v>58034.79</v>
      </c>
      <c r="AR57" s="104">
        <v>0.1115</v>
      </c>
      <c r="AS57" s="104">
        <v>1</v>
      </c>
      <c r="AT57" s="104">
        <v>64.737809999999996</v>
      </c>
      <c r="AU57" s="104">
        <v>64.737809999999996</v>
      </c>
      <c r="AV57" s="102"/>
      <c r="AW57" s="102"/>
      <c r="AX57" s="101"/>
      <c r="AY57" s="101"/>
      <c r="AZ57" s="103">
        <v>4.8859999999999997E-3</v>
      </c>
      <c r="BA57" s="103">
        <v>1.5999999999999999E-5</v>
      </c>
    </row>
    <row r="58" spans="1:53" ht="13.5" customHeight="1">
      <c r="A58" s="101">
        <v>274</v>
      </c>
      <c r="B58" s="101">
        <v>274</v>
      </c>
      <c r="C58" s="101"/>
      <c r="D58" s="101"/>
      <c r="E58" s="101"/>
      <c r="F58" s="101">
        <v>71000205</v>
      </c>
      <c r="G58" s="101" t="s">
        <v>1034</v>
      </c>
      <c r="H58" s="101" t="s">
        <v>810</v>
      </c>
      <c r="I58" s="101" t="s">
        <v>202</v>
      </c>
      <c r="J58" s="101"/>
      <c r="K58" s="101" t="s">
        <v>453</v>
      </c>
      <c r="L58" s="101" t="s">
        <v>336</v>
      </c>
      <c r="M58" s="101" t="s">
        <v>334</v>
      </c>
      <c r="N58" s="101"/>
      <c r="O58" s="107">
        <v>44858</v>
      </c>
      <c r="P58" s="101" t="s">
        <v>1920</v>
      </c>
      <c r="Q58" s="101" t="s">
        <v>413</v>
      </c>
      <c r="R58" s="101" t="s">
        <v>406</v>
      </c>
      <c r="S58" s="101" t="s">
        <v>1241</v>
      </c>
      <c r="T58" s="104">
        <v>4.47</v>
      </c>
      <c r="U58" s="101" t="s">
        <v>1919</v>
      </c>
      <c r="V58" s="103">
        <v>3.49E-2</v>
      </c>
      <c r="W58" s="101"/>
      <c r="X58" s="101"/>
      <c r="Y58" s="103"/>
      <c r="Z58" s="103">
        <v>3.2199999999999999E-2</v>
      </c>
      <c r="AA58" s="107">
        <v>48667</v>
      </c>
      <c r="AB58" s="101" t="s">
        <v>410</v>
      </c>
      <c r="AC58" s="101"/>
      <c r="AD58" s="104"/>
      <c r="AE58" s="103"/>
      <c r="AF58" s="107"/>
      <c r="AG58" s="101"/>
      <c r="AH58" s="101"/>
      <c r="AI58" s="101"/>
      <c r="AJ58" s="101" t="s">
        <v>334</v>
      </c>
      <c r="AK58" s="101" t="s">
        <v>890</v>
      </c>
      <c r="AL58" s="101"/>
      <c r="AM58" s="101" t="s">
        <v>893</v>
      </c>
      <c r="AN58" s="107">
        <v>46112</v>
      </c>
      <c r="AO58" s="107"/>
      <c r="AP58" s="103"/>
      <c r="AQ58" s="104">
        <v>47396.89</v>
      </c>
      <c r="AR58" s="104">
        <v>0.1115</v>
      </c>
      <c r="AS58" s="104">
        <v>1</v>
      </c>
      <c r="AT58" s="104">
        <v>52.857010000000002</v>
      </c>
      <c r="AU58" s="104">
        <v>52.857010000000002</v>
      </c>
      <c r="AV58" s="102"/>
      <c r="AW58" s="102"/>
      <c r="AX58" s="101"/>
      <c r="AY58" s="101"/>
      <c r="AZ58" s="103">
        <v>3.9890000000000004E-3</v>
      </c>
      <c r="BA58" s="103">
        <v>1.2999999999999999E-5</v>
      </c>
    </row>
    <row r="59" spans="1:53" ht="13.5" customHeight="1">
      <c r="A59" s="101">
        <v>274</v>
      </c>
      <c r="B59" s="101">
        <v>274</v>
      </c>
      <c r="C59" s="101"/>
      <c r="D59" s="101"/>
      <c r="E59" s="101"/>
      <c r="F59" s="101">
        <v>63941</v>
      </c>
      <c r="G59" s="101" t="s">
        <v>1034</v>
      </c>
      <c r="H59" s="101" t="s">
        <v>810</v>
      </c>
      <c r="I59" s="101" t="s">
        <v>202</v>
      </c>
      <c r="J59" s="101"/>
      <c r="K59" s="101" t="s">
        <v>445</v>
      </c>
      <c r="L59" s="101" t="s">
        <v>336</v>
      </c>
      <c r="M59" s="101" t="s">
        <v>334</v>
      </c>
      <c r="N59" s="101"/>
      <c r="O59" s="107">
        <v>43222</v>
      </c>
      <c r="P59" s="101" t="s">
        <v>1921</v>
      </c>
      <c r="Q59" s="101" t="s">
        <v>411</v>
      </c>
      <c r="R59" s="101" t="s">
        <v>406</v>
      </c>
      <c r="S59" s="101" t="s">
        <v>1241</v>
      </c>
      <c r="T59" s="104">
        <v>5.01</v>
      </c>
      <c r="U59" s="101" t="s">
        <v>1919</v>
      </c>
      <c r="V59" s="103">
        <v>3.3099999999999997E-2</v>
      </c>
      <c r="W59" s="101"/>
      <c r="X59" s="101"/>
      <c r="Y59" s="103"/>
      <c r="Z59" s="103">
        <v>3.7199999999999997E-2</v>
      </c>
      <c r="AA59" s="107">
        <v>50040</v>
      </c>
      <c r="AB59" s="101" t="s">
        <v>410</v>
      </c>
      <c r="AC59" s="101"/>
      <c r="AD59" s="104"/>
      <c r="AE59" s="103"/>
      <c r="AF59" s="107"/>
      <c r="AG59" s="101"/>
      <c r="AH59" s="101"/>
      <c r="AI59" s="101"/>
      <c r="AJ59" s="101" t="s">
        <v>334</v>
      </c>
      <c r="AK59" s="101" t="s">
        <v>890</v>
      </c>
      <c r="AL59" s="101"/>
      <c r="AM59" s="101" t="s">
        <v>893</v>
      </c>
      <c r="AN59" s="107">
        <v>46112</v>
      </c>
      <c r="AO59" s="107"/>
      <c r="AP59" s="103"/>
      <c r="AQ59" s="104">
        <v>31673.45</v>
      </c>
      <c r="AR59" s="104">
        <v>0.1171</v>
      </c>
      <c r="AS59" s="104">
        <v>1</v>
      </c>
      <c r="AT59" s="104">
        <v>37.092779999999998</v>
      </c>
      <c r="AU59" s="104">
        <v>37.092779999999998</v>
      </c>
      <c r="AV59" s="102"/>
      <c r="AW59" s="102"/>
      <c r="AX59" s="101"/>
      <c r="AY59" s="101"/>
      <c r="AZ59" s="103">
        <v>2.7989999999999998E-3</v>
      </c>
      <c r="BA59" s="103">
        <v>9.0000000000000002E-6</v>
      </c>
    </row>
    <row r="60" spans="1:53" ht="13.5" customHeight="1">
      <c r="A60" s="101">
        <v>274</v>
      </c>
      <c r="B60" s="101">
        <v>274</v>
      </c>
      <c r="C60" s="101"/>
      <c r="D60" s="101"/>
      <c r="E60" s="101"/>
      <c r="F60" s="101">
        <v>63883</v>
      </c>
      <c r="G60" s="101" t="s">
        <v>1034</v>
      </c>
      <c r="H60" s="101" t="s">
        <v>810</v>
      </c>
      <c r="I60" s="101" t="s">
        <v>202</v>
      </c>
      <c r="J60" s="101"/>
      <c r="K60" s="101" t="s">
        <v>445</v>
      </c>
      <c r="L60" s="101" t="s">
        <v>336</v>
      </c>
      <c r="M60" s="101" t="s">
        <v>334</v>
      </c>
      <c r="N60" s="101"/>
      <c r="O60" s="107">
        <v>42942</v>
      </c>
      <c r="P60" s="101" t="s">
        <v>1921</v>
      </c>
      <c r="Q60" s="101" t="s">
        <v>411</v>
      </c>
      <c r="R60" s="101" t="s">
        <v>406</v>
      </c>
      <c r="S60" s="101" t="s">
        <v>1241</v>
      </c>
      <c r="T60" s="104">
        <v>5.05</v>
      </c>
      <c r="U60" s="101" t="s">
        <v>1919</v>
      </c>
      <c r="V60" s="103">
        <v>3.4099999999999998E-2</v>
      </c>
      <c r="W60" s="101"/>
      <c r="X60" s="101"/>
      <c r="Y60" s="103"/>
      <c r="Z60" s="103">
        <v>3.2500000000000001E-2</v>
      </c>
      <c r="AA60" s="107">
        <v>50040</v>
      </c>
      <c r="AB60" s="101" t="s">
        <v>410</v>
      </c>
      <c r="AC60" s="101"/>
      <c r="AD60" s="104"/>
      <c r="AE60" s="103"/>
      <c r="AF60" s="107"/>
      <c r="AG60" s="101"/>
      <c r="AH60" s="101"/>
      <c r="AI60" s="101"/>
      <c r="AJ60" s="101" t="s">
        <v>334</v>
      </c>
      <c r="AK60" s="101" t="s">
        <v>890</v>
      </c>
      <c r="AL60" s="101"/>
      <c r="AM60" s="101" t="s">
        <v>893</v>
      </c>
      <c r="AN60" s="107">
        <v>46112</v>
      </c>
      <c r="AO60" s="107"/>
      <c r="AP60" s="103"/>
      <c r="AQ60" s="104">
        <v>3124702.49</v>
      </c>
      <c r="AR60" s="104">
        <v>0.1201</v>
      </c>
      <c r="AS60" s="104">
        <v>1</v>
      </c>
      <c r="AT60" s="104">
        <v>3754.95498</v>
      </c>
      <c r="AU60" s="104">
        <v>3754.95498</v>
      </c>
      <c r="AV60" s="102"/>
      <c r="AW60" s="102"/>
      <c r="AX60" s="101"/>
      <c r="AY60" s="101"/>
      <c r="AZ60" s="103">
        <v>0.28342200000000001</v>
      </c>
      <c r="BA60" s="103">
        <v>9.3700000000000001E-4</v>
      </c>
    </row>
    <row r="61" spans="1:53" ht="13.5" customHeight="1">
      <c r="A61" s="101">
        <v>274</v>
      </c>
      <c r="B61" s="101">
        <v>274</v>
      </c>
      <c r="C61" s="101"/>
      <c r="D61" s="101"/>
      <c r="E61" s="101"/>
      <c r="F61" s="101">
        <v>63289</v>
      </c>
      <c r="G61" s="101" t="s">
        <v>1034</v>
      </c>
      <c r="H61" s="101" t="s">
        <v>810</v>
      </c>
      <c r="I61" s="101" t="s">
        <v>202</v>
      </c>
      <c r="J61" s="101"/>
      <c r="K61" s="101" t="s">
        <v>445</v>
      </c>
      <c r="L61" s="101" t="s">
        <v>336</v>
      </c>
      <c r="M61" s="101" t="s">
        <v>334</v>
      </c>
      <c r="N61" s="101"/>
      <c r="O61" s="107">
        <v>43067</v>
      </c>
      <c r="P61" s="101" t="s">
        <v>1921</v>
      </c>
      <c r="Q61" s="101" t="s">
        <v>411</v>
      </c>
      <c r="R61" s="101" t="s">
        <v>406</v>
      </c>
      <c r="S61" s="101" t="s">
        <v>1241</v>
      </c>
      <c r="T61" s="104">
        <v>5</v>
      </c>
      <c r="U61" s="101" t="s">
        <v>1919</v>
      </c>
      <c r="V61" s="103">
        <v>3.3099999999999997E-2</v>
      </c>
      <c r="W61" s="101"/>
      <c r="X61" s="101"/>
      <c r="Y61" s="103"/>
      <c r="Z61" s="103">
        <v>3.7199999999999997E-2</v>
      </c>
      <c r="AA61" s="107">
        <v>50040</v>
      </c>
      <c r="AB61" s="101" t="s">
        <v>410</v>
      </c>
      <c r="AC61" s="101"/>
      <c r="AD61" s="104"/>
      <c r="AE61" s="103"/>
      <c r="AF61" s="107"/>
      <c r="AG61" s="101"/>
      <c r="AH61" s="101"/>
      <c r="AI61" s="101"/>
      <c r="AJ61" s="101" t="s">
        <v>334</v>
      </c>
      <c r="AK61" s="101" t="s">
        <v>890</v>
      </c>
      <c r="AL61" s="101"/>
      <c r="AM61" s="101" t="s">
        <v>893</v>
      </c>
      <c r="AN61" s="107">
        <v>46112</v>
      </c>
      <c r="AO61" s="107"/>
      <c r="AP61" s="103"/>
      <c r="AQ61" s="104">
        <v>128039.45</v>
      </c>
      <c r="AR61" s="104">
        <v>0.1167</v>
      </c>
      <c r="AS61" s="104">
        <v>1</v>
      </c>
      <c r="AT61" s="104">
        <v>149.51167000000001</v>
      </c>
      <c r="AU61" s="104">
        <v>149.51167000000001</v>
      </c>
      <c r="AV61" s="102"/>
      <c r="AW61" s="102"/>
      <c r="AX61" s="101"/>
      <c r="AY61" s="101"/>
      <c r="AZ61" s="103">
        <v>1.1285E-2</v>
      </c>
      <c r="BA61" s="103">
        <v>3.6999999999999998E-5</v>
      </c>
    </row>
    <row r="62" spans="1:53" ht="13.5" customHeight="1">
      <c r="A62" s="101">
        <v>274</v>
      </c>
      <c r="B62" s="101">
        <v>274</v>
      </c>
      <c r="C62" s="101"/>
      <c r="D62" s="101"/>
      <c r="E62" s="101"/>
      <c r="F62" s="101">
        <v>71000206</v>
      </c>
      <c r="G62" s="101" t="s">
        <v>1034</v>
      </c>
      <c r="H62" s="101" t="s">
        <v>810</v>
      </c>
      <c r="I62" s="101" t="s">
        <v>202</v>
      </c>
      <c r="J62" s="101"/>
      <c r="K62" s="101" t="s">
        <v>453</v>
      </c>
      <c r="L62" s="101" t="s">
        <v>336</v>
      </c>
      <c r="M62" s="101" t="s">
        <v>334</v>
      </c>
      <c r="N62" s="101"/>
      <c r="O62" s="107">
        <v>44858</v>
      </c>
      <c r="P62" s="101" t="s">
        <v>1920</v>
      </c>
      <c r="Q62" s="101" t="s">
        <v>413</v>
      </c>
      <c r="R62" s="101" t="s">
        <v>406</v>
      </c>
      <c r="S62" s="101" t="s">
        <v>1241</v>
      </c>
      <c r="T62" s="104">
        <v>4.6100000000000003</v>
      </c>
      <c r="U62" s="101" t="s">
        <v>1919</v>
      </c>
      <c r="V62" s="103">
        <v>3.49E-2</v>
      </c>
      <c r="W62" s="101"/>
      <c r="X62" s="101"/>
      <c r="Y62" s="103"/>
      <c r="Z62" s="103">
        <v>3.2099999999999997E-2</v>
      </c>
      <c r="AA62" s="107">
        <v>48844</v>
      </c>
      <c r="AB62" s="101" t="s">
        <v>410</v>
      </c>
      <c r="AC62" s="101"/>
      <c r="AD62" s="104"/>
      <c r="AE62" s="103"/>
      <c r="AF62" s="107"/>
      <c r="AG62" s="101"/>
      <c r="AH62" s="101"/>
      <c r="AI62" s="101"/>
      <c r="AJ62" s="101" t="s">
        <v>334</v>
      </c>
      <c r="AK62" s="101" t="s">
        <v>890</v>
      </c>
      <c r="AL62" s="101"/>
      <c r="AM62" s="101" t="s">
        <v>893</v>
      </c>
      <c r="AN62" s="107">
        <v>46112</v>
      </c>
      <c r="AO62" s="107"/>
      <c r="AP62" s="103"/>
      <c r="AQ62" s="104">
        <v>46022.35</v>
      </c>
      <c r="AR62" s="104">
        <v>0.1116</v>
      </c>
      <c r="AS62" s="104">
        <v>1</v>
      </c>
      <c r="AT62" s="104">
        <v>51.379350000000002</v>
      </c>
      <c r="AU62" s="104">
        <v>51.379350000000002</v>
      </c>
      <c r="AV62" s="102"/>
      <c r="AW62" s="102"/>
      <c r="AX62" s="101"/>
      <c r="AY62" s="101"/>
      <c r="AZ62" s="103">
        <v>3.8779999999999999E-3</v>
      </c>
      <c r="BA62" s="103">
        <v>1.2E-5</v>
      </c>
    </row>
    <row r="63" spans="1:53" ht="13.5" customHeight="1">
      <c r="A63" s="101">
        <v>274</v>
      </c>
      <c r="B63" s="101">
        <v>274</v>
      </c>
      <c r="C63" s="101"/>
      <c r="D63" s="101"/>
      <c r="E63" s="101"/>
      <c r="F63" s="101">
        <v>8070104</v>
      </c>
      <c r="G63" s="101" t="s">
        <v>1034</v>
      </c>
      <c r="H63" s="101" t="s">
        <v>810</v>
      </c>
      <c r="I63" s="101" t="s">
        <v>202</v>
      </c>
      <c r="J63" s="101"/>
      <c r="K63" s="101" t="s">
        <v>483</v>
      </c>
      <c r="L63" s="101" t="s">
        <v>336</v>
      </c>
      <c r="M63" s="101" t="s">
        <v>334</v>
      </c>
      <c r="N63" s="101"/>
      <c r="O63" s="107">
        <v>38258</v>
      </c>
      <c r="P63" s="101" t="s">
        <v>1237</v>
      </c>
      <c r="Q63" s="101" t="s">
        <v>413</v>
      </c>
      <c r="R63" s="101" t="s">
        <v>406</v>
      </c>
      <c r="S63" s="101" t="s">
        <v>1241</v>
      </c>
      <c r="T63" s="104">
        <v>0.74</v>
      </c>
      <c r="U63" s="101" t="s">
        <v>1919</v>
      </c>
      <c r="V63" s="103">
        <v>5.1694999999999998E-2</v>
      </c>
      <c r="W63" s="101"/>
      <c r="X63" s="101"/>
      <c r="Y63" s="103"/>
      <c r="Z63" s="103">
        <v>2.4500000000000001E-2</v>
      </c>
      <c r="AA63" s="107">
        <v>46568</v>
      </c>
      <c r="AB63" s="101" t="s">
        <v>410</v>
      </c>
      <c r="AC63" s="101"/>
      <c r="AD63" s="104"/>
      <c r="AE63" s="103"/>
      <c r="AF63" s="107"/>
      <c r="AG63" s="101"/>
      <c r="AH63" s="101"/>
      <c r="AI63" s="101"/>
      <c r="AJ63" s="101" t="s">
        <v>334</v>
      </c>
      <c r="AK63" s="101" t="s">
        <v>890</v>
      </c>
      <c r="AL63" s="101"/>
      <c r="AM63" s="101" t="s">
        <v>893</v>
      </c>
      <c r="AN63" s="107">
        <v>46112</v>
      </c>
      <c r="AO63" s="107"/>
      <c r="AP63" s="103"/>
      <c r="AQ63" s="104">
        <v>108117.31</v>
      </c>
      <c r="AR63" s="104">
        <v>0.1588</v>
      </c>
      <c r="AS63" s="104">
        <v>1</v>
      </c>
      <c r="AT63" s="104">
        <v>171.78758999999999</v>
      </c>
      <c r="AU63" s="104">
        <v>171.78758999999999</v>
      </c>
      <c r="AV63" s="102"/>
      <c r="AW63" s="102"/>
      <c r="AX63" s="101"/>
      <c r="AY63" s="101"/>
      <c r="AZ63" s="103">
        <v>1.2966E-2</v>
      </c>
      <c r="BA63" s="103">
        <v>4.1999999999999998E-5</v>
      </c>
    </row>
    <row r="64" spans="1:5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375" bestFit="1" customWidth="1"/>
    <col min="4" max="4" width="10.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1244</v>
      </c>
      <c r="D2" s="114" t="s">
        <v>1245</v>
      </c>
      <c r="E2" s="101" t="s">
        <v>314</v>
      </c>
      <c r="F2" s="101" t="s">
        <v>961</v>
      </c>
      <c r="G2" s="107">
        <v>46345</v>
      </c>
      <c r="H2" s="101" t="s">
        <v>202</v>
      </c>
      <c r="I2" s="101" t="s">
        <v>202</v>
      </c>
      <c r="J2" s="101" t="s">
        <v>336</v>
      </c>
      <c r="K2" s="101" t="s">
        <v>1237</v>
      </c>
      <c r="L2" s="101" t="s">
        <v>413</v>
      </c>
      <c r="M2" s="101" t="s">
        <v>1241</v>
      </c>
      <c r="N2" s="104">
        <v>0.64</v>
      </c>
      <c r="O2" s="103"/>
      <c r="P2" s="103">
        <v>4.7E-2</v>
      </c>
      <c r="Q2" s="104">
        <v>14726.2</v>
      </c>
      <c r="R2" s="104">
        <v>1</v>
      </c>
      <c r="S2" s="104">
        <v>101.56</v>
      </c>
      <c r="T2" s="104">
        <v>14726.2</v>
      </c>
      <c r="U2" s="103">
        <v>0.45694400000000002</v>
      </c>
      <c r="V2" s="103">
        <v>3.6749999999999999E-3</v>
      </c>
    </row>
    <row r="3" spans="1:26" ht="13.5" customHeight="1">
      <c r="A3" s="101">
        <v>274</v>
      </c>
      <c r="B3" s="101">
        <v>274</v>
      </c>
      <c r="C3" s="101" t="s">
        <v>1231</v>
      </c>
      <c r="D3" s="114" t="s">
        <v>1232</v>
      </c>
      <c r="E3" s="101" t="s">
        <v>314</v>
      </c>
      <c r="F3" s="101" t="s">
        <v>1050</v>
      </c>
      <c r="G3" s="107"/>
      <c r="H3" s="101" t="s">
        <v>202</v>
      </c>
      <c r="I3" s="101" t="s">
        <v>232</v>
      </c>
      <c r="J3" s="101" t="s">
        <v>336</v>
      </c>
      <c r="K3" s="101" t="s">
        <v>1290</v>
      </c>
      <c r="L3" s="101" t="s">
        <v>429</v>
      </c>
      <c r="M3" s="101" t="s">
        <v>1249</v>
      </c>
      <c r="N3" s="104"/>
      <c r="O3" s="103"/>
      <c r="P3" s="103">
        <v>0</v>
      </c>
      <c r="Q3" s="104">
        <v>-3.0200000000000001E-3</v>
      </c>
      <c r="R3" s="104">
        <v>3.165</v>
      </c>
      <c r="S3" s="104">
        <v>100</v>
      </c>
      <c r="T3" s="104">
        <v>-9.5600000000000008E-3</v>
      </c>
      <c r="U3" s="103">
        <v>0</v>
      </c>
      <c r="V3" s="103">
        <v>0</v>
      </c>
    </row>
    <row r="4" spans="1:26" ht="13.5" customHeight="1">
      <c r="A4" s="101">
        <v>274</v>
      </c>
      <c r="B4" s="101">
        <v>274</v>
      </c>
      <c r="C4" s="101" t="s">
        <v>1244</v>
      </c>
      <c r="D4" s="114" t="s">
        <v>1245</v>
      </c>
      <c r="E4" s="101" t="s">
        <v>314</v>
      </c>
      <c r="F4" s="101" t="s">
        <v>751</v>
      </c>
      <c r="G4" s="107">
        <v>50895</v>
      </c>
      <c r="H4" s="101" t="s">
        <v>202</v>
      </c>
      <c r="I4" s="101" t="s">
        <v>202</v>
      </c>
      <c r="J4" s="101" t="s">
        <v>336</v>
      </c>
      <c r="K4" s="101" t="s">
        <v>1237</v>
      </c>
      <c r="L4" s="101" t="s">
        <v>413</v>
      </c>
      <c r="M4" s="101" t="s">
        <v>1241</v>
      </c>
      <c r="N4" s="104">
        <v>13.1</v>
      </c>
      <c r="O4" s="103"/>
      <c r="P4" s="103">
        <v>3.09E-2</v>
      </c>
      <c r="Q4" s="104">
        <v>2833.52423</v>
      </c>
      <c r="R4" s="104">
        <v>1</v>
      </c>
      <c r="S4" s="104">
        <v>105.84</v>
      </c>
      <c r="T4" s="104">
        <v>2833.52423</v>
      </c>
      <c r="U4" s="103">
        <v>8.7922E-2</v>
      </c>
      <c r="V4" s="103">
        <v>7.0699999999999995E-4</v>
      </c>
    </row>
    <row r="5" spans="1:26" ht="13.5" customHeight="1">
      <c r="A5" s="101">
        <v>274</v>
      </c>
      <c r="B5" s="101">
        <v>274</v>
      </c>
      <c r="C5" s="101" t="s">
        <v>1244</v>
      </c>
      <c r="D5" s="114" t="s">
        <v>1245</v>
      </c>
      <c r="E5" s="101" t="s">
        <v>314</v>
      </c>
      <c r="F5" s="101" t="s">
        <v>961</v>
      </c>
      <c r="G5" s="107">
        <v>46323</v>
      </c>
      <c r="H5" s="101" t="s">
        <v>202</v>
      </c>
      <c r="I5" s="101" t="s">
        <v>202</v>
      </c>
      <c r="J5" s="101" t="s">
        <v>336</v>
      </c>
      <c r="K5" s="101" t="s">
        <v>1237</v>
      </c>
      <c r="L5" s="101" t="s">
        <v>413</v>
      </c>
      <c r="M5" s="101" t="s">
        <v>1241</v>
      </c>
      <c r="N5" s="104">
        <v>0.57999999999999996</v>
      </c>
      <c r="O5" s="103"/>
      <c r="P5" s="103">
        <v>4.65E-2</v>
      </c>
      <c r="Q5" s="104">
        <v>14667.84</v>
      </c>
      <c r="R5" s="104">
        <v>1</v>
      </c>
      <c r="S5" s="104">
        <v>101.86</v>
      </c>
      <c r="T5" s="104">
        <v>14667.84</v>
      </c>
      <c r="U5" s="103">
        <v>0.45513300000000001</v>
      </c>
      <c r="V5" s="103">
        <v>3.6600000000000001E-3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8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8" t="s">
        <v>104</v>
      </c>
      <c r="Q1" s="21" t="s">
        <v>60</v>
      </c>
      <c r="R1" s="105" t="s">
        <v>171</v>
      </c>
      <c r="S1" s="105" t="s">
        <v>16</v>
      </c>
      <c r="T1" s="105" t="s">
        <v>17</v>
      </c>
      <c r="U1" s="105" t="s">
        <v>87</v>
      </c>
      <c r="V1" s="21" t="s">
        <v>18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7"/>
      <c r="H2" s="101"/>
      <c r="I2" s="101"/>
      <c r="J2" s="101"/>
      <c r="K2" s="103"/>
      <c r="L2" s="101"/>
      <c r="M2" s="101"/>
      <c r="N2" s="101"/>
      <c r="O2" s="101"/>
      <c r="P2" s="107"/>
      <c r="Q2" s="101"/>
      <c r="R2" s="104"/>
      <c r="S2" s="104"/>
      <c r="T2" s="104"/>
      <c r="U2" s="104"/>
      <c r="V2" s="101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8" t="s">
        <v>104</v>
      </c>
      <c r="R1" s="108" t="s">
        <v>105</v>
      </c>
      <c r="S1" s="109" t="s">
        <v>181</v>
      </c>
      <c r="T1" s="105" t="s">
        <v>182</v>
      </c>
      <c r="U1" s="105" t="s">
        <v>16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7"/>
      <c r="R2" s="107"/>
      <c r="S2" s="103"/>
      <c r="T2" s="104"/>
      <c r="U2" s="104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274</v>
      </c>
      <c r="B2" s="101">
        <v>274</v>
      </c>
      <c r="C2" s="101" t="s">
        <v>1922</v>
      </c>
      <c r="D2" s="101">
        <v>7893896</v>
      </c>
      <c r="E2" s="101" t="s">
        <v>1055</v>
      </c>
      <c r="F2" s="101" t="s">
        <v>202</v>
      </c>
      <c r="G2" s="101" t="s">
        <v>202</v>
      </c>
      <c r="H2" s="101" t="s">
        <v>336</v>
      </c>
      <c r="I2" s="107">
        <v>37668</v>
      </c>
      <c r="J2" s="101" t="s">
        <v>1241</v>
      </c>
      <c r="K2" s="107">
        <v>46112</v>
      </c>
      <c r="L2" s="104">
        <v>2023529.58806</v>
      </c>
      <c r="M2" s="104">
        <v>1</v>
      </c>
      <c r="N2" s="104">
        <v>2023529.58806</v>
      </c>
      <c r="O2" s="104"/>
      <c r="P2" s="101"/>
      <c r="Q2" s="103">
        <v>0.96656299999999995</v>
      </c>
      <c r="R2" s="103">
        <v>0.50504700000000002</v>
      </c>
    </row>
    <row r="3" spans="1:26" ht="13.5" customHeight="1">
      <c r="A3" s="101">
        <v>274</v>
      </c>
      <c r="B3" s="101">
        <v>274</v>
      </c>
      <c r="C3" s="101" t="s">
        <v>1923</v>
      </c>
      <c r="D3" s="101">
        <v>7900000</v>
      </c>
      <c r="E3" s="101" t="s">
        <v>1054</v>
      </c>
      <c r="F3" s="101" t="s">
        <v>202</v>
      </c>
      <c r="G3" s="101" t="s">
        <v>202</v>
      </c>
      <c r="H3" s="101" t="s">
        <v>336</v>
      </c>
      <c r="I3" s="107">
        <v>39658</v>
      </c>
      <c r="J3" s="101" t="s">
        <v>1241</v>
      </c>
      <c r="K3" s="107">
        <v>46112</v>
      </c>
      <c r="L3" s="104">
        <v>70000</v>
      </c>
      <c r="M3" s="104">
        <v>1</v>
      </c>
      <c r="N3" s="104">
        <v>70000</v>
      </c>
      <c r="O3" s="102"/>
      <c r="P3" s="101"/>
      <c r="Q3" s="103">
        <v>3.3436E-2</v>
      </c>
      <c r="R3" s="103">
        <v>1.7471E-2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875" customWidth="1"/>
    <col min="4" max="4" width="17.25" customWidth="1"/>
    <col min="5" max="5" width="34.87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9.25" customWidth="1"/>
    <col min="12" max="12" width="16.1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>
        <v>274</v>
      </c>
      <c r="B2">
        <v>274</v>
      </c>
      <c r="C2" s="115"/>
      <c r="E2" s="116"/>
      <c r="F2">
        <v>72002000</v>
      </c>
      <c r="G2" s="117">
        <v>45918</v>
      </c>
      <c r="H2" t="s">
        <v>202</v>
      </c>
      <c r="J2" t="s">
        <v>336</v>
      </c>
      <c r="K2" s="118" t="s">
        <v>1918</v>
      </c>
      <c r="L2" t="s">
        <v>413</v>
      </c>
      <c r="M2" t="s">
        <v>407</v>
      </c>
      <c r="N2" t="s">
        <v>1241</v>
      </c>
      <c r="O2" s="106">
        <v>1</v>
      </c>
      <c r="P2" s="110">
        <v>8.9999999999999993E-3</v>
      </c>
      <c r="Q2" t="s">
        <v>1919</v>
      </c>
      <c r="R2" s="119">
        <v>45.024999999999999</v>
      </c>
      <c r="S2" s="119">
        <v>45.024999999999999</v>
      </c>
      <c r="T2" s="110">
        <v>0.31220433092726263</v>
      </c>
    </row>
    <row r="3" spans="1:20" ht="13.5" customHeight="1">
      <c r="A3">
        <v>274</v>
      </c>
      <c r="B3">
        <v>274</v>
      </c>
      <c r="C3" s="115"/>
      <c r="E3" s="116"/>
      <c r="F3">
        <v>72002005</v>
      </c>
      <c r="G3" s="117">
        <v>45918</v>
      </c>
      <c r="H3" t="s">
        <v>202</v>
      </c>
      <c r="J3" t="s">
        <v>336</v>
      </c>
      <c r="K3" s="118" t="s">
        <v>1918</v>
      </c>
      <c r="L3" t="s">
        <v>413</v>
      </c>
      <c r="M3" t="s">
        <v>407</v>
      </c>
      <c r="N3" t="s">
        <v>1241</v>
      </c>
      <c r="O3" s="106">
        <v>1</v>
      </c>
      <c r="P3" s="110">
        <v>8.9999999999999993E-3</v>
      </c>
      <c r="Q3" t="s">
        <v>1919</v>
      </c>
      <c r="R3" s="119">
        <v>50.372</v>
      </c>
      <c r="S3" s="119">
        <v>50.372</v>
      </c>
      <c r="T3" s="110">
        <v>0.29830064321448424</v>
      </c>
    </row>
    <row r="4" spans="1:20" ht="13.5" customHeight="1">
      <c r="A4">
        <v>274</v>
      </c>
      <c r="B4">
        <v>274</v>
      </c>
      <c r="C4" s="115"/>
      <c r="E4" s="116"/>
      <c r="F4">
        <v>72002006</v>
      </c>
      <c r="G4" s="117">
        <v>45918</v>
      </c>
      <c r="H4" t="s">
        <v>202</v>
      </c>
      <c r="J4" t="s">
        <v>336</v>
      </c>
      <c r="K4" s="118" t="s">
        <v>1918</v>
      </c>
      <c r="L4" t="s">
        <v>413</v>
      </c>
      <c r="M4" t="s">
        <v>407</v>
      </c>
      <c r="N4" t="s">
        <v>1241</v>
      </c>
      <c r="O4" s="106">
        <v>1</v>
      </c>
      <c r="P4" s="110">
        <v>8.9999999999999993E-3</v>
      </c>
      <c r="Q4" t="s">
        <v>1919</v>
      </c>
      <c r="R4" s="119">
        <v>42.493000000000002</v>
      </c>
      <c r="S4" s="119">
        <v>42.493000000000002</v>
      </c>
      <c r="T4" s="110">
        <v>4.0006589320593983E-4</v>
      </c>
    </row>
    <row r="5" spans="1:20" ht="13.5" customHeight="1">
      <c r="A5">
        <v>274</v>
      </c>
      <c r="B5">
        <v>274</v>
      </c>
      <c r="C5" s="115"/>
      <c r="E5" s="116"/>
      <c r="F5">
        <v>72002007</v>
      </c>
      <c r="G5" s="117">
        <v>45918</v>
      </c>
      <c r="H5" t="s">
        <v>202</v>
      </c>
      <c r="J5" t="s">
        <v>336</v>
      </c>
      <c r="K5" s="118" t="s">
        <v>1918</v>
      </c>
      <c r="L5" t="s">
        <v>413</v>
      </c>
      <c r="M5" t="s">
        <v>407</v>
      </c>
      <c r="N5" t="s">
        <v>1241</v>
      </c>
      <c r="O5" s="106">
        <v>1</v>
      </c>
      <c r="P5" s="110">
        <v>8.9999999999999993E-3</v>
      </c>
      <c r="Q5" t="s">
        <v>1919</v>
      </c>
      <c r="R5" s="119">
        <v>28.704000000000001</v>
      </c>
      <c r="S5" s="119">
        <v>28.704000000000001</v>
      </c>
      <c r="T5" s="110">
        <v>3.4838350055741359E-5</v>
      </c>
    </row>
    <row r="6" spans="1:20" ht="13.5" customHeight="1">
      <c r="A6">
        <v>274</v>
      </c>
      <c r="B6">
        <v>274</v>
      </c>
      <c r="C6" s="115"/>
      <c r="E6" s="116"/>
      <c r="F6">
        <v>72002008</v>
      </c>
      <c r="G6" s="117">
        <v>45918</v>
      </c>
      <c r="H6" t="s">
        <v>202</v>
      </c>
      <c r="J6" t="s">
        <v>336</v>
      </c>
      <c r="K6" s="118" t="s">
        <v>1918</v>
      </c>
      <c r="L6" t="s">
        <v>413</v>
      </c>
      <c r="M6" t="s">
        <v>407</v>
      </c>
      <c r="N6" t="s">
        <v>1241</v>
      </c>
      <c r="O6" s="106">
        <v>1</v>
      </c>
      <c r="P6" s="110">
        <v>8.9999999999999993E-3</v>
      </c>
      <c r="Q6" t="s">
        <v>1919</v>
      </c>
      <c r="R6" s="119">
        <v>40.804000000000002</v>
      </c>
      <c r="S6" s="119">
        <v>40.804000000000002</v>
      </c>
      <c r="T6" s="110">
        <v>0.38545240662680125</v>
      </c>
    </row>
    <row r="7" spans="1:20" ht="13.5" customHeight="1">
      <c r="A7">
        <v>274</v>
      </c>
      <c r="B7">
        <v>274</v>
      </c>
      <c r="C7" s="115"/>
      <c r="E7" s="116"/>
      <c r="F7">
        <v>71000200</v>
      </c>
      <c r="G7" s="117">
        <v>44858</v>
      </c>
      <c r="H7" t="s">
        <v>202</v>
      </c>
      <c r="J7" t="s">
        <v>336</v>
      </c>
      <c r="K7" s="118" t="s">
        <v>1918</v>
      </c>
      <c r="L7" t="s">
        <v>413</v>
      </c>
      <c r="M7" t="s">
        <v>407</v>
      </c>
      <c r="N7" t="s">
        <v>1241</v>
      </c>
      <c r="O7" s="106">
        <v>1</v>
      </c>
      <c r="P7" s="110">
        <v>8.9999999999999993E-3</v>
      </c>
      <c r="Q7" t="s">
        <v>1919</v>
      </c>
      <c r="R7" s="119">
        <v>3.5967259999999999</v>
      </c>
      <c r="S7" s="119">
        <v>3.5967259999999999</v>
      </c>
      <c r="T7" s="110">
        <v>1</v>
      </c>
    </row>
    <row r="8" spans="1:20" ht="13.5" customHeight="1">
      <c r="A8">
        <v>274</v>
      </c>
      <c r="B8">
        <v>274</v>
      </c>
      <c r="C8" s="115"/>
      <c r="E8" s="116"/>
      <c r="F8">
        <v>71000201</v>
      </c>
      <c r="G8" s="117">
        <v>44858</v>
      </c>
      <c r="H8" t="s">
        <v>202</v>
      </c>
      <c r="J8" t="s">
        <v>336</v>
      </c>
      <c r="K8" s="118" t="s">
        <v>1918</v>
      </c>
      <c r="L8" t="s">
        <v>413</v>
      </c>
      <c r="M8" t="s">
        <v>407</v>
      </c>
      <c r="N8" t="s">
        <v>1241</v>
      </c>
      <c r="O8" s="106">
        <v>1</v>
      </c>
      <c r="P8" s="110">
        <v>8.9999999999999993E-3</v>
      </c>
      <c r="Q8" t="s">
        <v>1919</v>
      </c>
      <c r="R8" s="119">
        <v>3.2902659999999995</v>
      </c>
      <c r="S8" s="119">
        <v>3.2902659999999995</v>
      </c>
      <c r="T8" s="110">
        <v>1</v>
      </c>
    </row>
    <row r="9" spans="1:20" ht="13.5" customHeight="1">
      <c r="A9">
        <v>274</v>
      </c>
      <c r="B9">
        <v>274</v>
      </c>
      <c r="C9" s="115"/>
      <c r="E9" s="116"/>
      <c r="F9">
        <v>71000202</v>
      </c>
      <c r="G9" s="117">
        <v>44858</v>
      </c>
      <c r="H9" t="s">
        <v>202</v>
      </c>
      <c r="J9" t="s">
        <v>336</v>
      </c>
      <c r="K9" s="118" t="s">
        <v>1918</v>
      </c>
      <c r="L9" t="s">
        <v>413</v>
      </c>
      <c r="M9" t="s">
        <v>407</v>
      </c>
      <c r="N9" t="s">
        <v>1241</v>
      </c>
      <c r="O9" s="106">
        <v>1</v>
      </c>
      <c r="P9" s="110">
        <v>8.9999999999999993E-3</v>
      </c>
      <c r="Q9" t="s">
        <v>1919</v>
      </c>
      <c r="R9" s="119">
        <v>4.5272500000000004</v>
      </c>
      <c r="S9" s="119">
        <v>4.5272500000000004</v>
      </c>
      <c r="T9" s="110">
        <v>1</v>
      </c>
    </row>
    <row r="10" spans="1:20" ht="13.5" customHeight="1">
      <c r="A10">
        <v>274</v>
      </c>
      <c r="B10">
        <v>274</v>
      </c>
      <c r="C10" s="115"/>
      <c r="E10" s="116"/>
      <c r="F10">
        <v>71000203</v>
      </c>
      <c r="G10" s="117">
        <v>44858</v>
      </c>
      <c r="H10" t="s">
        <v>202</v>
      </c>
      <c r="J10" t="s">
        <v>336</v>
      </c>
      <c r="K10" s="118" t="s">
        <v>1918</v>
      </c>
      <c r="L10" t="s">
        <v>413</v>
      </c>
      <c r="M10" t="s">
        <v>407</v>
      </c>
      <c r="N10" t="s">
        <v>1241</v>
      </c>
      <c r="O10" s="106">
        <v>1</v>
      </c>
      <c r="P10" s="110">
        <v>8.9999999999999993E-3</v>
      </c>
      <c r="Q10" t="s">
        <v>1919</v>
      </c>
      <c r="R10" s="119">
        <v>2.5185440000000003</v>
      </c>
      <c r="S10" s="119">
        <v>2.5185440000000003</v>
      </c>
      <c r="T10" s="110">
        <v>1</v>
      </c>
    </row>
    <row r="11" spans="1:20" ht="13.5" customHeight="1">
      <c r="A11">
        <v>274</v>
      </c>
      <c r="B11">
        <v>274</v>
      </c>
      <c r="C11" s="115"/>
      <c r="E11" s="116"/>
      <c r="F11">
        <v>71000204</v>
      </c>
      <c r="G11" s="117">
        <v>44858</v>
      </c>
      <c r="H11" t="s">
        <v>202</v>
      </c>
      <c r="J11" t="s">
        <v>336</v>
      </c>
      <c r="K11" s="118" t="s">
        <v>1918</v>
      </c>
      <c r="L11" t="s">
        <v>413</v>
      </c>
      <c r="M11" t="s">
        <v>407</v>
      </c>
      <c r="N11" t="s">
        <v>1241</v>
      </c>
      <c r="O11" s="106">
        <v>1</v>
      </c>
      <c r="P11" s="110">
        <v>8.9999999999999993E-3</v>
      </c>
      <c r="Q11" t="s">
        <v>1919</v>
      </c>
      <c r="R11" s="119">
        <v>2.8222179999999999</v>
      </c>
      <c r="S11" s="119">
        <v>2.8222179999999999</v>
      </c>
      <c r="T11" s="110">
        <v>1</v>
      </c>
    </row>
    <row r="12" spans="1:20" ht="13.5" customHeight="1">
      <c r="A12">
        <v>274</v>
      </c>
      <c r="B12">
        <v>274</v>
      </c>
      <c r="C12" s="115"/>
      <c r="E12" s="116"/>
      <c r="F12">
        <v>72003000</v>
      </c>
      <c r="G12" s="117">
        <v>45918</v>
      </c>
      <c r="H12" t="s">
        <v>202</v>
      </c>
      <c r="J12" t="s">
        <v>336</v>
      </c>
      <c r="K12" s="118" t="s">
        <v>1918</v>
      </c>
      <c r="L12" t="s">
        <v>413</v>
      </c>
      <c r="M12" t="s">
        <v>407</v>
      </c>
      <c r="N12" t="s">
        <v>1241</v>
      </c>
      <c r="O12" s="106">
        <v>1</v>
      </c>
      <c r="P12" s="110">
        <v>8.9999999999999993E-3</v>
      </c>
      <c r="Q12" t="s">
        <v>1919</v>
      </c>
      <c r="R12" s="119">
        <v>15.132999999999999</v>
      </c>
      <c r="S12" s="119">
        <v>15.132999999999999</v>
      </c>
      <c r="T12" s="110">
        <v>1</v>
      </c>
    </row>
    <row r="13" spans="1:20" ht="13.5" customHeight="1">
      <c r="A13">
        <v>274</v>
      </c>
      <c r="B13">
        <v>274</v>
      </c>
      <c r="C13" s="115"/>
      <c r="E13" s="116"/>
      <c r="F13">
        <v>72003001</v>
      </c>
      <c r="G13" s="117">
        <v>45918</v>
      </c>
      <c r="H13" t="s">
        <v>202</v>
      </c>
      <c r="J13" t="s">
        <v>336</v>
      </c>
      <c r="K13" s="118" t="s">
        <v>1918</v>
      </c>
      <c r="L13" t="s">
        <v>413</v>
      </c>
      <c r="M13" t="s">
        <v>407</v>
      </c>
      <c r="N13" t="s">
        <v>1241</v>
      </c>
      <c r="O13" s="106">
        <v>1</v>
      </c>
      <c r="P13" s="110">
        <v>8.9999999999999993E-3</v>
      </c>
      <c r="Q13" t="s">
        <v>1919</v>
      </c>
      <c r="R13" s="119">
        <v>16.228000000000002</v>
      </c>
      <c r="S13" s="119">
        <v>16.228000000000002</v>
      </c>
      <c r="T13" s="110">
        <v>1</v>
      </c>
    </row>
    <row r="14" spans="1:20" ht="13.5" customHeight="1">
      <c r="A14">
        <v>274</v>
      </c>
      <c r="B14">
        <v>274</v>
      </c>
      <c r="C14" s="115"/>
      <c r="E14" s="116"/>
      <c r="F14">
        <v>72003002</v>
      </c>
      <c r="G14" s="117">
        <v>45918</v>
      </c>
      <c r="H14" t="s">
        <v>202</v>
      </c>
      <c r="J14" t="s">
        <v>336</v>
      </c>
      <c r="K14" s="118" t="s">
        <v>1918</v>
      </c>
      <c r="L14" t="s">
        <v>413</v>
      </c>
      <c r="M14" t="s">
        <v>407</v>
      </c>
      <c r="N14" t="s">
        <v>1241</v>
      </c>
      <c r="O14" s="106">
        <v>1</v>
      </c>
      <c r="P14" s="110">
        <v>8.9999999999999993E-3</v>
      </c>
      <c r="Q14" t="s">
        <v>1919</v>
      </c>
      <c r="R14" s="119">
        <v>18.135000000000002</v>
      </c>
      <c r="S14" s="119">
        <v>18.135000000000002</v>
      </c>
      <c r="T14" s="110">
        <v>1</v>
      </c>
    </row>
    <row r="15" spans="1:20" ht="13.5" customHeight="1">
      <c r="A15">
        <v>274</v>
      </c>
      <c r="B15">
        <v>274</v>
      </c>
      <c r="C15" s="115"/>
      <c r="E15" s="116"/>
      <c r="F15">
        <v>72003003</v>
      </c>
      <c r="G15" s="117">
        <v>45918</v>
      </c>
      <c r="H15" t="s">
        <v>202</v>
      </c>
      <c r="J15" t="s">
        <v>336</v>
      </c>
      <c r="K15" s="118" t="s">
        <v>1918</v>
      </c>
      <c r="L15" t="s">
        <v>413</v>
      </c>
      <c r="M15" t="s">
        <v>407</v>
      </c>
      <c r="N15" t="s">
        <v>1241</v>
      </c>
      <c r="O15" s="106">
        <v>1</v>
      </c>
      <c r="P15" s="110">
        <v>8.9999999999999993E-3</v>
      </c>
      <c r="Q15" t="s">
        <v>1919</v>
      </c>
      <c r="R15" s="119">
        <v>12.695</v>
      </c>
      <c r="S15" s="119">
        <v>12.695</v>
      </c>
      <c r="T15" s="110">
        <v>1</v>
      </c>
    </row>
    <row r="16" spans="1:20" ht="13.5" customHeight="1">
      <c r="A16">
        <v>274</v>
      </c>
      <c r="B16">
        <v>274</v>
      </c>
      <c r="C16" s="115"/>
      <c r="E16" s="116"/>
      <c r="F16">
        <v>72003004</v>
      </c>
      <c r="G16" s="117">
        <v>45918</v>
      </c>
      <c r="H16" t="s">
        <v>202</v>
      </c>
      <c r="J16" t="s">
        <v>336</v>
      </c>
      <c r="K16" s="118" t="s">
        <v>1918</v>
      </c>
      <c r="L16" t="s">
        <v>413</v>
      </c>
      <c r="M16" t="s">
        <v>407</v>
      </c>
      <c r="N16" t="s">
        <v>1241</v>
      </c>
      <c r="O16" s="106">
        <v>1</v>
      </c>
      <c r="P16" s="110">
        <v>8.9999999999999993E-3</v>
      </c>
      <c r="Q16" t="s">
        <v>1919</v>
      </c>
      <c r="R16" s="119">
        <v>14.391</v>
      </c>
      <c r="S16" s="119">
        <v>14.391</v>
      </c>
      <c r="T16" s="110">
        <v>1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allowBlank="1" showInputMessage="1" showErrorMessage="1" sqref="E2:E16" xr:uid="{472AA944-8894-44AD-89E2-F8FBE9B3F072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101">
        <v>274</v>
      </c>
      <c r="B2" s="101">
        <v>274</v>
      </c>
      <c r="C2" s="101"/>
      <c r="D2" s="101"/>
      <c r="E2" s="101"/>
      <c r="F2" s="101"/>
      <c r="G2" s="101"/>
      <c r="H2" s="101"/>
      <c r="I2" s="101"/>
      <c r="J2" s="101"/>
      <c r="K2" s="107"/>
      <c r="L2" s="104"/>
      <c r="M2" s="104"/>
      <c r="N2" s="104"/>
      <c r="O2" s="104"/>
      <c r="P2" s="103"/>
      <c r="Q2" s="107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2026-05-13T10:08:14Z</dcterms:modified>
</cp:coreProperties>
</file>