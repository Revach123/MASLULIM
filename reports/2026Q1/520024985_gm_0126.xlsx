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J:\Pr Source2\חשבות\רשימת נכסים ברמת הנכס הבודד חדש\בדיקת עדכון גרסה דנאל\קבצים לאינטרנט מעוכן\"/>
    </mc:Choice>
  </mc:AlternateContent>
  <bookViews>
    <workbookView xWindow="-120" yWindow="-120" windowWidth="29040" windowHeight="15720" tabRatio="840" firstSheet="1" activeTab="2"/>
  </bookViews>
  <sheets>
    <sheet name="מקרא" sheetId="61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UPDATE" sheetId="59" r:id="rId35"/>
    <sheet name="File Name Info" sheetId="41" state="hidden" r:id="rId36"/>
  </sheets>
  <definedNames>
    <definedName name="_xlnm._FilterDatabase" localSheetId="33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2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2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2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2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3" hidden="1">'מזומנים ושווי מזומנים'!$A$2:$N$2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62913" forceFullCalc="1"/>
  <customWorkbookViews>
    <customWorkbookView name="נירית שימרון - Personal View" guid="{AE318230-F718-49FC-82EB-7CAC3DCD05F1}" mergeInterval="0" personalView="1" maximized="1" yWindow="-8" windowWidth="1696" windowHeight="1026" tabRatio="894" activeSheetId="3"/>
  </customWorkbookViews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D946" i="49"/>
  <c r="D937" i="49"/>
  <c r="D934" i="49"/>
  <c r="D928" i="49"/>
  <c r="D914" i="49"/>
  <c r="D908" i="49"/>
  <c r="D31" i="2"/>
  <c r="C31" i="2"/>
  <c r="E956" i="49"/>
</calcChain>
</file>

<file path=xl/sharedStrings.xml><?xml version="1.0" encoding="utf-8"?>
<sst xmlns="http://schemas.openxmlformats.org/spreadsheetml/2006/main" count="18643" uniqueCount="2555">
  <si>
    <t>מספר מסלול</t>
  </si>
  <si>
    <t>מאפיין עיקרי</t>
  </si>
  <si>
    <t>מספר מנפיק</t>
  </si>
  <si>
    <t xml:space="preserve">שם נייר ערך 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</si>
  <si>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</si>
  <si>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</si>
  <si>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</si>
  <si>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</si>
  <si>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</si>
  <si>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</si>
  <si>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</si>
  <si>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</si>
  <si>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</si>
  <si>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</si>
  <si>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</si>
  <si>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</si>
  <si>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</si>
  <si>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</si>
  <si>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</si>
  <si>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</si>
  <si>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</si>
  <si>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</si>
  <si>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</si>
  <si>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</si>
  <si>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</si>
  <si>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</si>
  <si>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</si>
  <si>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</si>
  <si>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</si>
  <si>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</si>
  <si>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</si>
  <si>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</si>
  <si>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</si>
  <si>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</si>
  <si>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</si>
  <si>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</si>
  <si>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</si>
  <si>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</si>
  <si>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</si>
  <si>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</si>
  <si>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</si>
  <si>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</si>
  <si>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</si>
  <si>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</si>
  <si>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</si>
  <si>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</si>
  <si>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</si>
  <si>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</si>
  <si>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</si>
  <si>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</si>
  <si>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</si>
  <si>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</si>
  <si>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</si>
  <si>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</si>
  <si>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</si>
  <si>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</si>
  <si>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</si>
  <si>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</si>
  <si>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</si>
  <si>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</si>
  <si>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</si>
  <si>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</si>
  <si>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</si>
  <si>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</si>
  <si>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</si>
  <si>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</si>
  <si>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</si>
  <si>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</si>
  <si>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</si>
  <si>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</si>
  <si>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</si>
  <si>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</si>
  <si>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</si>
  <si>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</si>
  <si>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</si>
  <si>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</si>
  <si>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</si>
  <si>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</si>
  <si>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</si>
  <si>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</si>
  <si>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</si>
  <si>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</si>
  <si>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</si>
  <si>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</si>
  <si>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</si>
  <si>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</si>
  <si>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</si>
  <si>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</si>
  <si>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</si>
  <si>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</si>
  <si>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</si>
  <si>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</si>
  <si>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</si>
  <si>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</si>
  <si>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</si>
  <si>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</si>
  <si>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</si>
  <si>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</si>
  <si>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</si>
  <si>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</si>
  <si>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</si>
  <si>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</si>
  <si>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</si>
  <si>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</si>
  <si>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</si>
  <si>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</si>
  <si>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</si>
  <si>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</si>
  <si>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</si>
  <si>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</si>
  <si>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</si>
  <si>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</si>
  <si>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</si>
  <si>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</si>
  <si>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</si>
  <si>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</si>
  <si>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</si>
  <si>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</si>
  <si>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</si>
  <si>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</si>
  <si>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</si>
  <si>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</si>
  <si>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</si>
  <si>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</si>
  <si>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</si>
  <si>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</si>
  <si>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</si>
  <si>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</si>
  <si>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</si>
  <si>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</si>
  <si>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</si>
  <si>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</si>
  <si>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</si>
  <si>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</si>
  <si>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</si>
  <si>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</si>
  <si>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</si>
  <si>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</si>
  <si>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</si>
  <si>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</si>
  <si>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</si>
  <si>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</si>
  <si>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</si>
  <si>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</si>
  <si>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</si>
  <si>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</si>
  <si>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</si>
  <si>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</si>
  <si>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</si>
  <si>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</si>
  <si>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</si>
  <si>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</si>
  <si>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</si>
  <si>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</si>
  <si>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</si>
  <si>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</si>
  <si>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</si>
  <si>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</si>
  <si>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</si>
  <si>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</si>
  <si>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</si>
  <si>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</si>
  <si>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</si>
  <si>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</si>
  <si>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</si>
  <si>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</si>
  <si>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</si>
  <si>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</si>
  <si>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</si>
  <si>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</si>
  <si>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</si>
  <si>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</si>
  <si>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</si>
  <si>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</si>
  <si>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</si>
  <si>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</si>
  <si>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</si>
  <si>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</si>
  <si>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</si>
  <si>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</si>
  <si>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</si>
  <si>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</si>
  <si>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</si>
  <si>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</si>
  <si>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</si>
  <si>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</si>
  <si>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</si>
  <si>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</si>
  <si>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</si>
  <si>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</si>
  <si>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</si>
  <si>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</si>
  <si>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</si>
  <si>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</si>
  <si>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</si>
  <si>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</si>
  <si>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</si>
  <si>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</si>
  <si>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</si>
  <si>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</si>
  <si>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</si>
  <si>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</si>
  <si>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</si>
  <si>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</si>
  <si>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</si>
  <si>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</si>
  <si>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</si>
  <si>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</si>
  <si>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</si>
  <si>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</si>
  <si>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</si>
  <si>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</si>
  <si>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</si>
  <si>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</si>
  <si>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</si>
  <si>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</si>
  <si>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</si>
  <si>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</si>
  <si>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</si>
  <si>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</si>
  <si>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</si>
  <si>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</si>
  <si>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</si>
  <si>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</si>
  <si>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</si>
  <si>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</si>
  <si>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</si>
  <si>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</si>
  <si>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</si>
  <si>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</si>
  <si>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</si>
  <si>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</si>
  <si>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</si>
  <si>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</si>
  <si>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</si>
  <si>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</si>
  <si>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</si>
  <si>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</si>
  <si>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</si>
  <si>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</si>
  <si>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</si>
  <si>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</si>
  <si>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</si>
  <si>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</si>
  <si>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</si>
  <si>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</si>
  <si>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</si>
  <si>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</si>
  <si>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תוכנה ואינטרנט</t>
  </si>
  <si>
    <t>מוליכים למחצה</t>
  </si>
  <si>
    <t>קלינטק</t>
  </si>
  <si>
    <t>בנקים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</si>
  <si>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</si>
  <si>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</si>
  <si>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</si>
  <si>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</si>
  <si>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</si>
  <si>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</si>
  <si>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</si>
  <si>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</si>
  <si>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</si>
  <si>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</si>
  <si>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</si>
  <si>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</si>
  <si>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</si>
  <si>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</si>
  <si>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</si>
  <si>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</si>
  <si>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</si>
  <si>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</si>
  <si>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</si>
  <si>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</si>
  <si>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</si>
  <si>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</si>
  <si>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</si>
  <si>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</si>
  <si>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</si>
  <si>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</si>
  <si>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</si>
  <si>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</si>
  <si>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</si>
  <si>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</si>
  <si>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</si>
  <si>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</si>
  <si>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</si>
  <si>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</si>
  <si>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</si>
  <si>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</si>
  <si>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</si>
  <si>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</si>
  <si>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</si>
  <si>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</si>
  <si>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</si>
  <si>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</si>
  <si>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</si>
  <si>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</si>
  <si>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</si>
  <si>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</si>
  <si>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</si>
  <si>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</si>
  <si>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</si>
  <si>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</si>
  <si>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</si>
  <si>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</si>
  <si>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</si>
  <si>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</si>
  <si>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</si>
  <si>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</si>
  <si>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</si>
  <si>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</si>
  <si>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</si>
  <si>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</si>
  <si>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</si>
  <si>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</si>
  <si>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</si>
  <si>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</si>
  <si>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</si>
  <si>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</si>
  <si>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</si>
  <si>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</si>
  <si>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</si>
  <si>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</si>
  <si>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</si>
  <si>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</si>
  <si>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</si>
  <si>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</si>
  <si>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</si>
  <si>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</si>
  <si>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</si>
  <si>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</si>
  <si>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</si>
  <si>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</si>
  <si>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</si>
  <si>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</si>
  <si>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</si>
  <si>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</si>
  <si>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</si>
  <si>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</si>
  <si>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</si>
  <si>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</si>
  <si>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</si>
  <si>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</si>
  <si>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</si>
  <si>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</si>
  <si>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</si>
  <si>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</si>
  <si>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</si>
  <si>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</si>
  <si>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</si>
  <si>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</si>
  <si>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</si>
  <si>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</si>
  <si>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</si>
  <si>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</si>
  <si>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</si>
  <si>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</si>
  <si>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</si>
  <si>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</si>
  <si>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</si>
  <si>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</si>
  <si>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</si>
  <si>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</si>
  <si>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</si>
  <si>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</si>
  <si>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</si>
  <si>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</si>
  <si>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</si>
  <si>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</si>
  <si>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</si>
  <si>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</si>
  <si>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</si>
  <si>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</si>
  <si>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</si>
  <si>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</si>
  <si>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</si>
  <si>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</si>
  <si>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</si>
  <si>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</si>
  <si>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</si>
  <si>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</si>
  <si>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</si>
  <si>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</si>
  <si>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</si>
  <si>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</si>
  <si>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</si>
  <si>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</si>
  <si>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</si>
  <si>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</si>
  <si>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</si>
  <si>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</si>
  <si>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</si>
  <si>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</si>
  <si>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</si>
  <si>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</si>
  <si>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</si>
  <si>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</si>
  <si>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</si>
  <si>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</si>
  <si>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</si>
  <si>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</si>
  <si>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</si>
  <si>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</si>
  <si>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</si>
  <si>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</si>
  <si>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</si>
  <si>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</si>
  <si>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</si>
  <si>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</si>
  <si>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</si>
  <si>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</si>
  <si>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</si>
  <si>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</si>
  <si>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</si>
  <si>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</si>
  <si>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</si>
  <si>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</si>
  <si>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</si>
  <si>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</si>
  <si>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</si>
  <si>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</si>
  <si>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</si>
  <si>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</si>
  <si>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</si>
  <si>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</si>
  <si>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</si>
  <si>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</si>
  <si>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</si>
  <si>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</si>
  <si>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</si>
  <si>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</si>
  <si>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</si>
  <si>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</si>
  <si>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</si>
  <si>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</si>
  <si>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</si>
  <si>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</si>
  <si>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</si>
  <si>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</si>
  <si>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</si>
  <si>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</si>
  <si>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</si>
  <si>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>Discounted Cash Flows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</si>
  <si>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</si>
  <si>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</si>
  <si>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</si>
  <si>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</si>
  <si>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</si>
  <si>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</si>
  <si>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יחידות השתתפות</t>
  </si>
  <si>
    <t>לא סחיר נגזרים אחרים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</si>
  <si>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</si>
  <si>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</si>
  <si>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</si>
  <si>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</si>
  <si>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</si>
  <si>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</si>
  <si>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</si>
  <si>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</si>
  <si>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</si>
  <si>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</si>
  <si>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</si>
  <si>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</si>
  <si>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</si>
  <si>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</si>
  <si>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</si>
  <si>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</si>
  <si>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</si>
  <si>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</si>
  <si>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</si>
  <si>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</si>
  <si>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</si>
  <si>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</si>
  <si>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</si>
  <si>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</si>
  <si>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</si>
  <si>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</si>
  <si>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</si>
  <si>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</si>
  <si>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</si>
  <si>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</si>
  <si>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</si>
  <si>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</si>
  <si>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</si>
  <si>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</si>
  <si>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</si>
  <si>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</si>
  <si>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</si>
  <si>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</si>
  <si>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</si>
  <si>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</si>
  <si>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</si>
  <si>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</si>
  <si>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</si>
  <si>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</si>
  <si>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</si>
  <si>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</si>
  <si>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</si>
  <si>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</si>
  <si>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</si>
  <si>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</si>
  <si>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</si>
  <si>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</si>
  <si>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</si>
  <si>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</si>
  <si>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</si>
  <si>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</si>
  <si>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</si>
  <si>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</si>
  <si>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</si>
  <si>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</si>
  <si>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</si>
  <si>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</si>
  <si>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</si>
  <si>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</si>
  <si>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</si>
  <si>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</si>
  <si>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</si>
  <si>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</si>
  <si>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</si>
  <si>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</si>
  <si>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</si>
  <si>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</si>
  <si>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</si>
  <si>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</si>
  <si>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</si>
  <si>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</si>
  <si>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</si>
  <si>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</si>
  <si>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</si>
  <si>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</si>
  <si>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</si>
  <si>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</si>
  <si>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</si>
  <si>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</si>
  <si>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</si>
  <si>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</si>
  <si>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</si>
  <si>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</si>
  <si>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</si>
  <si>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</si>
  <si>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</si>
  <si>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</si>
  <si>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</si>
  <si>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</si>
  <si>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</si>
  <si>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</si>
  <si>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</si>
  <si>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</si>
  <si>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</si>
  <si>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</si>
  <si>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</si>
  <si>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</si>
  <si>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</si>
  <si>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</si>
  <si>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</si>
  <si>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</si>
  <si>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</si>
  <si>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</si>
  <si>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</si>
  <si>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</si>
  <si>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</si>
  <si>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</si>
  <si>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</si>
  <si>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</si>
  <si>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</si>
  <si>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</si>
  <si>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</si>
  <si>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</si>
  <si>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</si>
  <si>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</si>
  <si>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</si>
  <si>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</si>
  <si>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</si>
  <si>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</si>
  <si>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</si>
  <si>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</si>
  <si>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</si>
  <si>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</si>
  <si>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</si>
  <si>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</si>
  <si>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</si>
  <si>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</si>
  <si>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</si>
  <si>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</si>
  <si>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</si>
  <si>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</si>
  <si>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</si>
  <si>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</si>
  <si>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</si>
  <si>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</si>
  <si>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</si>
  <si>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</si>
  <si>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</si>
  <si>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</si>
  <si>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</si>
  <si>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</si>
  <si>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</si>
  <si>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</si>
  <si>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</si>
  <si>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</si>
  <si>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</si>
  <si>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</si>
  <si>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</si>
  <si>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</si>
  <si>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</si>
  <si>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</si>
  <si>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</si>
  <si>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</si>
  <si>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</si>
  <si>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</si>
  <si>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Private Equity in Public Equity</t>
  </si>
  <si>
    <t>תאריך פקיעת פיקדון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</si>
  <si>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</si>
  <si>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</si>
  <si>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</si>
  <si>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</si>
  <si>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</si>
  <si>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</si>
  <si>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</si>
  <si>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</si>
  <si>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</si>
  <si>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</si>
  <si>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</si>
  <si>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</si>
  <si>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</si>
  <si>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</si>
  <si>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</si>
  <si>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</si>
  <si>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</si>
  <si>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</si>
  <si>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</si>
  <si>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</si>
  <si>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</si>
  <si>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</si>
  <si>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</si>
  <si>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</si>
  <si>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</si>
  <si>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</si>
  <si>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</si>
  <si>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</si>
  <si>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</si>
  <si>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</si>
  <si>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</si>
  <si>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</si>
  <si>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</si>
  <si>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</si>
  <si>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</si>
  <si>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</si>
  <si>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</si>
  <si>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</si>
  <si>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</si>
  <si>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</si>
  <si>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</si>
  <si>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</si>
  <si>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</si>
  <si>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</si>
  <si>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</si>
  <si>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</si>
  <si>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</si>
  <si>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</si>
  <si>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</si>
  <si>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</si>
  <si>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</si>
  <si>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</si>
  <si>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</si>
  <si>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</si>
  <si>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</si>
  <si>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</si>
  <si>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</si>
  <si>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</si>
  <si>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</si>
  <si>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</si>
  <si>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</si>
  <si>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</si>
  <si>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</si>
  <si>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</si>
  <si>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</si>
  <si>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</si>
  <si>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</si>
  <si>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</si>
  <si>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</si>
  <si>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</si>
  <si>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</si>
  <si>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</si>
  <si>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</si>
  <si>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</si>
  <si>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</si>
  <si>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</si>
  <si>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</si>
  <si>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</si>
  <si>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</si>
  <si>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</si>
  <si>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</si>
  <si>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</si>
  <si>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</si>
  <si>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</si>
  <si>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</si>
  <si>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</si>
  <si>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</si>
  <si>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</si>
  <si>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</si>
  <si>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</si>
  <si>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</si>
  <si>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</si>
  <si>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</si>
  <si>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</si>
  <si>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</si>
  <si>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</si>
  <si>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</si>
  <si>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</si>
  <si>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</si>
  <si>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</si>
  <si>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</si>
  <si>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</si>
  <si>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</si>
  <si>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</si>
  <si>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</si>
  <si>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</si>
  <si>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</si>
  <si>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</si>
  <si>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</si>
  <si>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</si>
  <si>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</si>
  <si>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</si>
  <si>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</si>
  <si>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</si>
  <si>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</si>
  <si>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</si>
  <si>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</si>
  <si>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</si>
  <si>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</si>
  <si>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מיקום משרד השותף הכללי</t>
  </si>
  <si>
    <t>מסגרות אשראי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</si>
  <si>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</si>
  <si>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</si>
  <si>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</si>
  <si>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</si>
  <si>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</si>
  <si>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</si>
  <si>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</si>
  <si>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</si>
  <si>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</si>
  <si>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</si>
  <si>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</si>
  <si>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</si>
  <si>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לא סחיר שנרכש בין 04/11/2008 ועד 31/03/2015 ונמדד לפי עלות מופחתת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</si>
  <si>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</si>
  <si>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</si>
  <si>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</si>
  <si>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</si>
  <si>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</si>
  <si>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</si>
  <si>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</si>
  <si>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</si>
  <si>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</si>
  <si>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</si>
  <si>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</si>
  <si>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</si>
  <si>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</si>
  <si>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</si>
  <si>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</si>
  <si>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</si>
  <si>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</si>
  <si>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</si>
  <si>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</si>
  <si>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</si>
  <si>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</si>
  <si>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</si>
  <si>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</si>
  <si>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</si>
  <si>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</si>
  <si>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</si>
  <si>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</si>
  <si>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</si>
  <si>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</si>
  <si>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</si>
  <si>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</si>
  <si>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</si>
  <si>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</si>
  <si>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</si>
  <si>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</si>
  <si>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</si>
  <si>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</si>
  <si>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</si>
  <si>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</si>
  <si>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</si>
  <si>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נדל"ן מניב - משרדים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</si>
  <si>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</si>
  <si>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</si>
  <si>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</si>
  <si>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</si>
  <si>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</si>
  <si>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</si>
  <si>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</si>
  <si>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</si>
  <si>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</si>
  <si>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</si>
  <si>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</si>
  <si>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</si>
  <si>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</si>
  <si>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</si>
  <si>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</si>
  <si>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</si>
  <si>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</si>
  <si>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</si>
  <si>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</si>
  <si>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</si>
  <si>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</si>
  <si>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</si>
  <si>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</si>
  <si>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</si>
  <si>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</si>
  <si>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</si>
  <si>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</si>
  <si>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</si>
  <si>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</si>
  <si>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</si>
  <si>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</si>
  <si>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</si>
  <si>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</si>
  <si>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</si>
  <si>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</si>
  <si>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</si>
  <si>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</si>
  <si>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</si>
  <si>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</si>
  <si>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</si>
  <si>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</si>
  <si>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</si>
  <si>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</si>
  <si>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</si>
  <si>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</si>
  <si>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</si>
  <si>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</si>
  <si>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</si>
  <si>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</si>
  <si>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</si>
  <si>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</si>
  <si>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</si>
  <si>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</si>
  <si>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</si>
  <si>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</si>
  <si>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</si>
  <si>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</si>
  <si>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</si>
  <si>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</si>
  <si>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</si>
  <si>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</si>
  <si>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</si>
  <si>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</si>
  <si>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</si>
  <si>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</si>
  <si>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</si>
  <si>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</si>
  <si>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</si>
  <si>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</si>
  <si>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</si>
  <si>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</si>
  <si>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</si>
  <si>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</si>
  <si>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</si>
  <si>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</si>
  <si>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</si>
  <si>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</si>
  <si>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</si>
  <si>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</si>
  <si>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</si>
  <si>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</si>
  <si>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</si>
  <si>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</si>
  <si>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</si>
  <si>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</si>
  <si>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</si>
  <si>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</si>
  <si>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</si>
  <si>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</si>
  <si>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</si>
  <si>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</si>
  <si>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</si>
  <si>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</si>
  <si>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</si>
  <si>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</si>
  <si>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</si>
  <si>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</si>
  <si>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</si>
  <si>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</si>
  <si>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</si>
  <si>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</si>
  <si>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</si>
  <si>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</si>
  <si>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</si>
  <si>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</si>
  <si>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</si>
  <si>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>ü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</si>
  <si>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</si>
  <si>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</si>
  <si>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</si>
  <si>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</si>
  <si>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</si>
  <si>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</si>
  <si>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</si>
  <si>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</si>
  <si>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</si>
  <si>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</si>
  <si>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</si>
  <si>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</si>
  <si>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</si>
  <si>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</si>
  <si>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</si>
  <si>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</si>
  <si>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</si>
  <si>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</si>
  <si>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</si>
  <si>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</si>
  <si>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</si>
  <si>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</si>
  <si>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</si>
  <si>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</si>
  <si>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</si>
  <si>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</si>
  <si>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</si>
  <si>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</si>
  <si>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</si>
  <si>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</si>
  <si>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</si>
  <si>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</si>
  <si>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</si>
  <si>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</si>
  <si>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</si>
  <si>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</si>
  <si>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</si>
  <si>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</si>
  <si>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</si>
  <si>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</si>
  <si>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</si>
  <si>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</si>
  <si>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</si>
  <si>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</si>
  <si>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</si>
  <si>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</si>
  <si>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</si>
  <si>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</si>
  <si>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</si>
  <si>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</si>
  <si>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</si>
  <si>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</si>
  <si>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</si>
  <si>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</si>
  <si>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</si>
  <si>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</si>
  <si>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</si>
  <si>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</si>
  <si>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</si>
  <si>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</si>
  <si>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</si>
  <si>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</si>
  <si>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</si>
  <si>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</si>
  <si>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</si>
  <si>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</si>
  <si>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</si>
  <si>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</si>
  <si>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</si>
  <si>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</si>
  <si>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</si>
  <si>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</si>
  <si>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</si>
  <si>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</si>
  <si>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</si>
  <si>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</si>
  <si>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</si>
  <si>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</si>
  <si>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</si>
  <si>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</si>
  <si>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</si>
  <si>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</si>
  <si>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</si>
  <si>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</si>
  <si>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</si>
  <si>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</si>
  <si>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</si>
  <si>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</si>
  <si>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</si>
  <si>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</si>
  <si>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</si>
  <si>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</si>
  <si>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</si>
  <si>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</si>
  <si>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</si>
  <si>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</si>
  <si>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</si>
  <si>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</si>
  <si>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</si>
  <si>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</si>
  <si>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</si>
  <si>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</si>
  <si>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</si>
  <si>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</si>
  <si>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</si>
  <si>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</si>
  <si>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</si>
  <si>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</si>
  <si>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</si>
  <si>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</si>
  <si>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</si>
  <si>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</si>
  <si>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</si>
  <si>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</si>
  <si>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</si>
  <si>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</si>
  <si>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</si>
  <si>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</si>
  <si>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</si>
  <si>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</si>
  <si>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</si>
  <si>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</si>
  <si>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</si>
  <si>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</si>
  <si>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</si>
  <si>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</si>
  <si>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</si>
  <si>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</si>
  <si>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</si>
  <si>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</si>
  <si>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</si>
  <si>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</si>
  <si>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</si>
  <si>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</si>
  <si>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</si>
  <si>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</si>
  <si>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</si>
  <si>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</si>
  <si>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</si>
  <si>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</si>
  <si>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</si>
  <si>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</si>
  <si>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</si>
  <si>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</si>
  <si>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</si>
  <si>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</si>
  <si>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</si>
  <si>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</si>
  <si>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</si>
  <si>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</si>
  <si>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</si>
  <si>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</si>
  <si>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</si>
  <si>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</si>
  <si>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</si>
  <si>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</si>
  <si>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</si>
  <si>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</si>
  <si>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</si>
  <si>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</si>
  <si>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</si>
  <si>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</si>
  <si>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</si>
  <si>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</si>
  <si>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</si>
  <si>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</si>
  <si>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</si>
  <si>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</si>
  <si>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</si>
  <si>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</si>
  <si>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</si>
  <si>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</si>
  <si>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</si>
  <si>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</si>
  <si>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</si>
  <si>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</si>
  <si>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</si>
  <si>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</si>
  <si>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</si>
  <si>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</si>
  <si>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</si>
  <si>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</si>
  <si>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</si>
  <si>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</si>
  <si>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</si>
  <si>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</si>
  <si>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</si>
  <si>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</si>
  <si>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</si>
  <si>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</si>
  <si>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</si>
  <si>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</si>
  <si>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</si>
  <si>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</si>
  <si>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</si>
  <si>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</si>
  <si>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</si>
  <si>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</si>
  <si>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</si>
  <si>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</si>
  <si>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</si>
  <si>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</si>
  <si>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</si>
  <si>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</si>
  <si>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</si>
  <si>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</si>
  <si>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</si>
  <si>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</si>
  <si>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</si>
  <si>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</si>
  <si>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</si>
  <si>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</si>
  <si>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</si>
  <si>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</si>
  <si>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</si>
  <si>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</si>
  <si>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</si>
  <si>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</si>
  <si>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</si>
  <si>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</si>
  <si>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</si>
  <si>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</si>
  <si>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</si>
  <si>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</si>
  <si>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</si>
  <si>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</si>
  <si>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Asia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</si>
  <si>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</si>
  <si>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</si>
  <si>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</si>
  <si>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</si>
  <si>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</si>
  <si>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</si>
  <si>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</si>
  <si>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</si>
  <si>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</si>
  <si>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</si>
  <si>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</si>
  <si>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</si>
  <si>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</si>
  <si>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</si>
  <si>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</si>
  <si>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</si>
  <si>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</si>
  <si>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</si>
  <si>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</si>
  <si>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</si>
  <si>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</si>
  <si>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</si>
  <si>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</si>
  <si>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</si>
  <si>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</si>
  <si>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</si>
  <si>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</si>
  <si>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</si>
  <si>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</si>
  <si>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</si>
  <si>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</si>
  <si>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</si>
  <si>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</si>
  <si>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</si>
  <si>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</si>
  <si>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</si>
  <si>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</si>
  <si>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</si>
  <si>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</si>
  <si>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שם רשימה</t>
  </si>
  <si>
    <t>מדינה לפי חשיפה כלכלית, מדינת התאגדות קרן השקעה, מיקום משרד השותף הכללי, מדינת מיקום נדל"ן</t>
  </si>
  <si>
    <t>מניות מבכ ויהש</t>
  </si>
  <si>
    <t>לא סחיר מניות מבכ ויהש</t>
  </si>
  <si>
    <t>מדינות</t>
  </si>
  <si>
    <t>כן/לא</t>
  </si>
  <si>
    <t>מי דורג</t>
  </si>
  <si>
    <t>ענפי מסחר</t>
  </si>
  <si>
    <t>תדירויות</t>
  </si>
  <si>
    <t>מאפיין עיקרי איגרות חוב ממשלתיות</t>
  </si>
  <si>
    <t>מאפיין עיקרי מזומנים ושווי מזומנים</t>
  </si>
  <si>
    <t>מאפיין עיקרי ניירות ערך מסחריים</t>
  </si>
  <si>
    <t>מאפיין עיקרי איגרות חוב</t>
  </si>
  <si>
    <t>מאפיין עיקרי מניות מבכ ויהש</t>
  </si>
  <si>
    <t>מאפיין עיקרי קרנות סל</t>
  </si>
  <si>
    <t>מאפיין עיקרי קרנות נאמנות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</si>
  <si>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</si>
  <si>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</si>
  <si>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</si>
  <si>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</si>
  <si>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</si>
  <si>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</si>
  <si>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</si>
  <si>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מזה: בליווי פיננסי סגור</t>
  </si>
  <si>
    <t>נש"ר לא צמוד למדד המחירים לצרכן</t>
  </si>
  <si>
    <t>נש"ר צמוד למדד המחירים לצרכן</t>
  </si>
  <si>
    <t>נש"ר צמוד למט"ח</t>
  </si>
  <si>
    <t>נש"ר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</si>
  <si>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</si>
  <si>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</si>
  <si>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Shekel Overnight Risk Free Rate</t>
  </si>
  <si>
    <t>אשראי אחר בענף הנדל"ן (לרבות אשראי לכל מטרה) - אחר/לא מסווג</t>
  </si>
  <si>
    <t>שיטה השוואתית</t>
  </si>
  <si>
    <t>היוון תזרים</t>
  </si>
  <si>
    <t>In liquidation/administration</t>
  </si>
  <si>
    <t>נכס או התחייבות בגין השלמת המדינה לתשואת היעד</t>
  </si>
  <si>
    <t>חייבים בגין עסקה עתידית</t>
  </si>
  <si>
    <t>חייבים בגין תקבולים</t>
  </si>
  <si>
    <t>חייבים בנאמנות</t>
  </si>
  <si>
    <t>נש"ר נקוב במט"ח</t>
  </si>
  <si>
    <t>אג"ח להמרה נקוב במט"ח</t>
  </si>
  <si>
    <t>נקוב במט"ח בריבית קבועה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</si>
  <si>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</si>
  <si>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</si>
  <si>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</si>
  <si>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</si>
  <si>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</si>
  <si>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</si>
  <si>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השקעות בהייטק</t>
  </si>
  <si>
    <t>קרנות הייטק</t>
  </si>
  <si>
    <t>שרותי מידע</t>
  </si>
  <si>
    <t>שרותים</t>
  </si>
  <si>
    <t>שרותים פיננסיים</t>
  </si>
  <si>
    <t>שער חליפין (רגל 1)</t>
  </si>
  <si>
    <t>שער חליפין (רגל 2)</t>
  </si>
  <si>
    <t>Emerging Markets - Europe, Middle East &amp; Africa</t>
  </si>
  <si>
    <t>Frontier Markets - Europe</t>
  </si>
  <si>
    <t>אשראי אחר בענף הנדל"ן (לרבות אשראי לכל מטרה) - אשראי לפעילות הונית</t>
  </si>
  <si>
    <t>מדד אחר</t>
  </si>
  <si>
    <t>מדד מניות</t>
  </si>
  <si>
    <t>דירוג נייר הערך/המנפיק, דירוג הלוואה/המנפיק</t>
  </si>
  <si>
    <t>נכס בסיס, נכס בסיס (כתב אופציה), סוג הנכס</t>
  </si>
  <si>
    <t>עודכנו כותרות השורות והעמודות בהתאמה לשמות הגליונות.</t>
  </si>
  <si>
    <t>עדכון כותרות</t>
  </si>
  <si>
    <t>סכום נכסים</t>
  </si>
  <si>
    <t>תוקן השם "שווי הוגן (באלפי ש"ח)" ולא בש"ח.</t>
  </si>
  <si>
    <t>הוסרו רווח מיותר בשם העמודה "שווי הוגן (נטו באלפי ש"ח)".</t>
  </si>
  <si>
    <t>הוסרו רווח מיותר בשם העמודה "שם נייר ערך".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</si>
  <si>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</si>
  <si>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רשימה</t>
  </si>
  <si>
    <t>אפשרויות בחירה</t>
  </si>
  <si>
    <t>תיקוני טעות סופר</t>
  </si>
  <si>
    <t>A891, A963, B114, B132, B551, B693.</t>
  </si>
  <si>
    <t>תיקונים קלים בשמות עמודות/גליונות</t>
  </si>
  <si>
    <t>B4, B182, B497.</t>
  </si>
  <si>
    <t>דיוק הפרדת כותרות עמודות שונות בפסיק</t>
  </si>
  <si>
    <t>B2, B146, B512, B647, C552:C557, C561, C588:C589, C648:C649, C895, C936, C1027:C1029.</t>
  </si>
  <si>
    <t>מחיקת רווחים ומעברי שורה</t>
  </si>
  <si>
    <t>סוגי מדדים: המונח הכללי "מדד" שונה ל-"מדד מניות", ונוספה האפשרות "מדד אחר".</t>
  </si>
  <si>
    <t>הוספת אפשרויות</t>
  </si>
  <si>
    <t>מטבע והצמדה: נוספה האפשרות "נקוב במט"ח", ודויק הפירוט של אג"ח להמרה ונש"ר.</t>
  </si>
  <si>
    <t>רשימת המדינות/פקטור נוסף: דנמרק, דרום אפריקה.</t>
  </si>
  <si>
    <t>ריבית עוגן: Shekel Overnight Risk Free Rate.</t>
  </si>
  <si>
    <t>אסטרטגיית קרן השקעה: CLO Debt, CLO Equity, Long Biased Hedge Fund, Long/Short Hedge Fund, Macro Hedge Fund, Real Estate Sale and Leaseback.</t>
  </si>
  <si>
    <t>עדכון</t>
  </si>
  <si>
    <t>סוג עדכון</t>
  </si>
  <si>
    <t>גיליון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</si>
  <si>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</si>
  <si>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שיעור מנכסי אפיק ההשקעה (רגל 2)</t>
  </si>
  <si>
    <t>שיעור מסך נכסי ההשקעה (רגל 2)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</si>
  <si>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</si>
  <si>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282</t>
  </si>
  <si>
    <t>הבנק הבינלאומי</t>
  </si>
  <si>
    <t>31-46</t>
  </si>
  <si>
    <t>Aaa.il</t>
  </si>
  <si>
    <t>ILS</t>
  </si>
  <si>
    <t>USD</t>
  </si>
  <si>
    <t>GBP</t>
  </si>
  <si>
    <t>EUR</t>
  </si>
  <si>
    <t>JPY</t>
  </si>
  <si>
    <t>CAD</t>
  </si>
  <si>
    <t>MXN</t>
  </si>
  <si>
    <t>8382</t>
  </si>
  <si>
    <t>8395</t>
  </si>
  <si>
    <t>482</t>
  </si>
  <si>
    <t>8339</t>
  </si>
  <si>
    <t>8394</t>
  </si>
  <si>
    <t>ממשל שקלית שחר</t>
  </si>
  <si>
    <t>ממשל שקלית 0347</t>
  </si>
  <si>
    <t>IL0011401937</t>
  </si>
  <si>
    <t>RF</t>
  </si>
  <si>
    <t>31/03/2047</t>
  </si>
  <si>
    <t>ממשל שקלית 0335</t>
  </si>
  <si>
    <t>IL0012023326</t>
  </si>
  <si>
    <t>30/03/2035</t>
  </si>
  <si>
    <t>מדינת ישראל</t>
  </si>
  <si>
    <t>ממשל צמודה 1131</t>
  </si>
  <si>
    <t>IL0011722209</t>
  </si>
  <si>
    <t>30/11/2031</t>
  </si>
  <si>
    <t>ממשל שקלית 0142</t>
  </si>
  <si>
    <t>IL0011254005</t>
  </si>
  <si>
    <t>31/01/2042</t>
  </si>
  <si>
    <t>ממשל צמודה גליל</t>
  </si>
  <si>
    <t>ממשלתי צמודה 0841</t>
  </si>
  <si>
    <t>IL0011205833</t>
  </si>
  <si>
    <t>30/08/2041</t>
  </si>
  <si>
    <t>ממשל צמודה 1033</t>
  </si>
  <si>
    <t>IL0012043795</t>
  </si>
  <si>
    <t>31/10/2033</t>
  </si>
  <si>
    <t>ממשל שקלית 1152</t>
  </si>
  <si>
    <t>IL0011840761</t>
  </si>
  <si>
    <t>29/11/2052</t>
  </si>
  <si>
    <t>ממשל צמודה 0529</t>
  </si>
  <si>
    <t>IL0011570236</t>
  </si>
  <si>
    <t>31/05/2029</t>
  </si>
  <si>
    <t>ממשל שקלית 1026</t>
  </si>
  <si>
    <t>IL0010994569</t>
  </si>
  <si>
    <t>30/10/2026</t>
  </si>
  <si>
    <t>STATE OF ISRAEL</t>
  </si>
  <si>
    <t>ISRAEL 5 01/13/36</t>
  </si>
  <si>
    <t>US46515CJZ86</t>
  </si>
  <si>
    <t>Baa1</t>
  </si>
  <si>
    <t>13/01/2036</t>
  </si>
  <si>
    <t>US TREASURY N/B</t>
  </si>
  <si>
    <t>T 3 7/8 08/15/33</t>
  </si>
  <si>
    <t>US91282CHT18</t>
  </si>
  <si>
    <t>Aa1</t>
  </si>
  <si>
    <t>15/08/2033</t>
  </si>
  <si>
    <t>ISRAEL 5 1/2 03/12/34</t>
  </si>
  <si>
    <t>US46514BRL35</t>
  </si>
  <si>
    <t>12/03/2034</t>
  </si>
  <si>
    <t>T 4 5/8 02/15/35</t>
  </si>
  <si>
    <t>US91282CMM00</t>
  </si>
  <si>
    <t>15/02/2035</t>
  </si>
  <si>
    <t>T 3 7/8 08/15/34</t>
  </si>
  <si>
    <t>US91282CLF67</t>
  </si>
  <si>
    <t>15/08/2034</t>
  </si>
  <si>
    <t>ממשל צמודה 1028</t>
  </si>
  <si>
    <t>IL0011973265</t>
  </si>
  <si>
    <t>31/10/2028</t>
  </si>
  <si>
    <t>ממשל שקלית 0330</t>
  </si>
  <si>
    <t>IL0011609851</t>
  </si>
  <si>
    <t>31/03/2030</t>
  </si>
  <si>
    <t>ממשל שקלית 0432</t>
  </si>
  <si>
    <t>IL0011806606</t>
  </si>
  <si>
    <t>30/04/2032</t>
  </si>
  <si>
    <t>ממשל צמודה 0527</t>
  </si>
  <si>
    <t>IL0011408478</t>
  </si>
  <si>
    <t>31/05/2027</t>
  </si>
  <si>
    <t>ממשל שקלית 0537</t>
  </si>
  <si>
    <t>IL0011661803</t>
  </si>
  <si>
    <t>31/05/2037</t>
  </si>
  <si>
    <t>ממשל שקלית 0928</t>
  </si>
  <si>
    <t>IL0011508798</t>
  </si>
  <si>
    <t>28/09/2028</t>
  </si>
  <si>
    <t>ISRAEL 7 1/4 12/15/28</t>
  </si>
  <si>
    <t>US465138ZR91</t>
  </si>
  <si>
    <t>15/12/2028</t>
  </si>
  <si>
    <t>בנק ישראל- מק"מ</t>
  </si>
  <si>
    <t>מ.ק.מ.      916</t>
  </si>
  <si>
    <t>IL0082609111</t>
  </si>
  <si>
    <t>02/09/2026</t>
  </si>
  <si>
    <t>0.000%</t>
  </si>
  <si>
    <t>מ.ק.מ.      816</t>
  </si>
  <si>
    <t>IL0082608121</t>
  </si>
  <si>
    <t>05/08/2026</t>
  </si>
  <si>
    <t>מ.ק.מ.      726</t>
  </si>
  <si>
    <t>IL0082607214</t>
  </si>
  <si>
    <t>08/07/2026</t>
  </si>
  <si>
    <t>ממשל שקלית0327</t>
  </si>
  <si>
    <t>IL0011393449</t>
  </si>
  <si>
    <t>31/03/2027</t>
  </si>
  <si>
    <t>T 3 1/2 01/31/28</t>
  </si>
  <si>
    <t>US91282CGH88</t>
  </si>
  <si>
    <t>31/01/2028</t>
  </si>
  <si>
    <t>קרסו נדל"ן בע"מ</t>
  </si>
  <si>
    <t>510488190</t>
  </si>
  <si>
    <t>קרסו נדלן אגח ב</t>
  </si>
  <si>
    <t>IL0012162330</t>
  </si>
  <si>
    <t>ilA</t>
  </si>
  <si>
    <t>31/12/2032</t>
  </si>
  <si>
    <t>אלוני-חץ נכסים והשקעות בע"מ</t>
  </si>
  <si>
    <t>520038506</t>
  </si>
  <si>
    <t>אלוני חץ אגח יב</t>
  </si>
  <si>
    <t>IL0039004952</t>
  </si>
  <si>
    <t>Aa3.il</t>
  </si>
  <si>
    <t>28/02/2031</t>
  </si>
  <si>
    <t>בנק לאומי לישראל בע"מ</t>
  </si>
  <si>
    <t>520018078</t>
  </si>
  <si>
    <t>לאומי התח נד406</t>
  </si>
  <si>
    <t>IL0012164237</t>
  </si>
  <si>
    <t>ilAA-</t>
  </si>
  <si>
    <t>אלוני חץ אגח יג</t>
  </si>
  <si>
    <t>IL0011894065</t>
  </si>
  <si>
    <t>28/02/2037</t>
  </si>
  <si>
    <t>אנלייט אנרגיה מתחדשת בע"מ</t>
  </si>
  <si>
    <t>520041146</t>
  </si>
  <si>
    <t>אנלייט אנ אגח ד</t>
  </si>
  <si>
    <t>IL0072002566</t>
  </si>
  <si>
    <t>01/09/2029</t>
  </si>
  <si>
    <t>מליסרון בע"מ</t>
  </si>
  <si>
    <t>520037789</t>
  </si>
  <si>
    <t>מליסרון אגח כא</t>
  </si>
  <si>
    <t>IL0011946386</t>
  </si>
  <si>
    <t>ilAA</t>
  </si>
  <si>
    <t>01/01/2037</t>
  </si>
  <si>
    <t>שיכון ובינוי אנרגיה בע"מ</t>
  </si>
  <si>
    <t>510459928</t>
  </si>
  <si>
    <t>שוב אנרגיה אגחא</t>
  </si>
  <si>
    <t>IL0011985715</t>
  </si>
  <si>
    <t>A3.il</t>
  </si>
  <si>
    <t>30/06/2034</t>
  </si>
  <si>
    <t>קבוצת עזריאלי בע"מ</t>
  </si>
  <si>
    <t>510960719</t>
  </si>
  <si>
    <t>עזריאלי אגח ז</t>
  </si>
  <si>
    <t>IL0011786725</t>
  </si>
  <si>
    <t>ilAA+</t>
  </si>
  <si>
    <t>02/07/2036</t>
  </si>
  <si>
    <t>ש.שלמה החזקות בע"מ</t>
  </si>
  <si>
    <t>520034372</t>
  </si>
  <si>
    <t>שלמה החז אגח  כ</t>
  </si>
  <si>
    <t>IL0011927493</t>
  </si>
  <si>
    <t>20/12/2031</t>
  </si>
  <si>
    <t>מימון ישיר קבוצת ישיר (2006) בע"מ</t>
  </si>
  <si>
    <t>513893123</t>
  </si>
  <si>
    <t>מימון ישיר אגחה</t>
  </si>
  <si>
    <t>IL0011828311</t>
  </si>
  <si>
    <t>A1.il</t>
  </si>
  <si>
    <t>31/07/2031</t>
  </si>
  <si>
    <t>לאומי אגח 187</t>
  </si>
  <si>
    <t>IL0012286592</t>
  </si>
  <si>
    <t>01/05/2034</t>
  </si>
  <si>
    <t>לאומי אגח 188</t>
  </si>
  <si>
    <t>IL0012286675</t>
  </si>
  <si>
    <t>01/08/2036</t>
  </si>
  <si>
    <t>בנק הפועלים בע"מ</t>
  </si>
  <si>
    <t>520000118</t>
  </si>
  <si>
    <t>פועלים  אגח 204</t>
  </si>
  <si>
    <t>IL0012274531</t>
  </si>
  <si>
    <t>ilAAA</t>
  </si>
  <si>
    <t>21/08/2035</t>
  </si>
  <si>
    <t>פועלים הת נד יב</t>
  </si>
  <si>
    <t>IL0012141219</t>
  </si>
  <si>
    <t>28/11/2032</t>
  </si>
  <si>
    <t>ריט 1 בע"מ</t>
  </si>
  <si>
    <t>513821488</t>
  </si>
  <si>
    <t>ריט 1 אגח ו</t>
  </si>
  <si>
    <t>IL0011385445</t>
  </si>
  <si>
    <t>20/09/2031</t>
  </si>
  <si>
    <t>הראל ביטוח מימון והנפקות בע"מ</t>
  </si>
  <si>
    <t>513834200</t>
  </si>
  <si>
    <t>הראל הנפ אגח יט</t>
  </si>
  <si>
    <t>IL0011927725</t>
  </si>
  <si>
    <t>31/12/2029</t>
  </si>
  <si>
    <t>לאומי התח נד407</t>
  </si>
  <si>
    <t>IL0012381955</t>
  </si>
  <si>
    <t>Aa2.il</t>
  </si>
  <si>
    <t>31/03/2032</t>
  </si>
  <si>
    <t>מגדל ביטוח גיוס הון בע"מ</t>
  </si>
  <si>
    <t>513230029</t>
  </si>
  <si>
    <t>מגדל הון אגח י</t>
  </si>
  <si>
    <t>IL0011920795</t>
  </si>
  <si>
    <t>30/11/2029</t>
  </si>
  <si>
    <t>לאומי אגח 186</t>
  </si>
  <si>
    <t>IL0012018391</t>
  </si>
  <si>
    <t>30/11/2033</t>
  </si>
  <si>
    <t>דליה חברות אנרגיה בע"מ (חברה לא בורסאית)</t>
  </si>
  <si>
    <t>513708818</t>
  </si>
  <si>
    <t>דליה אגח א</t>
  </si>
  <si>
    <t>IL0011849515</t>
  </si>
  <si>
    <t>30/09/2031</t>
  </si>
  <si>
    <t>מליסרון אגח כ</t>
  </si>
  <si>
    <t>IL0032304227</t>
  </si>
  <si>
    <t>01/07/2030</t>
  </si>
  <si>
    <t>י.ח.דמרי בניה ופיתוח בע"מ</t>
  </si>
  <si>
    <t>511399388</t>
  </si>
  <si>
    <t>דמרי אגח י</t>
  </si>
  <si>
    <t>IL0011861627</t>
  </si>
  <si>
    <t>30/06/2030</t>
  </si>
  <si>
    <t>חברת החשמל לישראל בע"מ</t>
  </si>
  <si>
    <t>520000472</t>
  </si>
  <si>
    <t>חשמל אגח 33</t>
  </si>
  <si>
    <t>IL0060003923</t>
  </si>
  <si>
    <t>30/05/2036</t>
  </si>
  <si>
    <t>אנרג'יקס-אנרגיות מתחדשות בע"מ</t>
  </si>
  <si>
    <t>513901371</t>
  </si>
  <si>
    <t>אנרג'יקס אגח א</t>
  </si>
  <si>
    <t>IL0011617516</t>
  </si>
  <si>
    <t>01/08/2030</t>
  </si>
  <si>
    <t>בתי זקוק לנפט בע"מ</t>
  </si>
  <si>
    <t>520036658</t>
  </si>
  <si>
    <t>בזן אגח י</t>
  </si>
  <si>
    <t>IL0025905113</t>
  </si>
  <si>
    <t>ilA+</t>
  </si>
  <si>
    <t>25/09/2031</t>
  </si>
  <si>
    <t>כללביט מימון בע"מ</t>
  </si>
  <si>
    <t>513754069</t>
  </si>
  <si>
    <t>כללביט אגח יב</t>
  </si>
  <si>
    <t>IL0011799280</t>
  </si>
  <si>
    <t>מזרחי טפחות חברה להנפקות בע"מ</t>
  </si>
  <si>
    <t>520032046</t>
  </si>
  <si>
    <t>מז טפ הנ אגח 68</t>
  </si>
  <si>
    <t>IL0012021429</t>
  </si>
  <si>
    <t>25/12/2033</t>
  </si>
  <si>
    <t>LUMIIT 7.129 07/18/33</t>
  </si>
  <si>
    <t>IL0060406795</t>
  </si>
  <si>
    <t>BBB-</t>
  </si>
  <si>
    <t>18/07/2033</t>
  </si>
  <si>
    <t>לאומי התח נד405 COCO</t>
  </si>
  <si>
    <t>IL0060406209</t>
  </si>
  <si>
    <t>27/03/2028</t>
  </si>
  <si>
    <t>HAPOAL 3.255 01/21/32</t>
  </si>
  <si>
    <t>IL0066204707</t>
  </si>
  <si>
    <t>21/01/2032</t>
  </si>
  <si>
    <t>דיסקונט מנפיקים בע"מ</t>
  </si>
  <si>
    <t>520029935</t>
  </si>
  <si>
    <t>דיסק מנ אגח יז</t>
  </si>
  <si>
    <t>IL0012159534</t>
  </si>
  <si>
    <t>20/03/2035</t>
  </si>
  <si>
    <t>אדגר השקעות ופיתוח בע"מ</t>
  </si>
  <si>
    <t>520035171</t>
  </si>
  <si>
    <t>אדגר אגח יא</t>
  </si>
  <si>
    <t>IL0018202817</t>
  </si>
  <si>
    <t>A2.il</t>
  </si>
  <si>
    <t>פז חברת הנפט בע"מ</t>
  </si>
  <si>
    <t>510216054</t>
  </si>
  <si>
    <t>פז נפט אגח ז</t>
  </si>
  <si>
    <t>IL0011425951</t>
  </si>
  <si>
    <t>30/11/2030</t>
  </si>
  <si>
    <t>דיסק מנ אגח טז</t>
  </si>
  <si>
    <t>IL0012031576</t>
  </si>
  <si>
    <t>דיסקונט מנ נד ט COCO</t>
  </si>
  <si>
    <t>IL0011912461</t>
  </si>
  <si>
    <t>30/11/2028</t>
  </si>
  <si>
    <t>מליסרון אגח יז</t>
  </si>
  <si>
    <t>IL0032302734</t>
  </si>
  <si>
    <t>01/01/2032</t>
  </si>
  <si>
    <t>מליסרון  אגח כב</t>
  </si>
  <si>
    <t>IL0012332388</t>
  </si>
  <si>
    <t>10/07/2040</t>
  </si>
  <si>
    <t>מנורה מבטחים גיוס הון בע"מ</t>
  </si>
  <si>
    <t>513937714</t>
  </si>
  <si>
    <t>מנורה הון התח י</t>
  </si>
  <si>
    <t>IL0012290040</t>
  </si>
  <si>
    <t>30/11/2035</t>
  </si>
  <si>
    <t>פז בית זיקוק לנפט-אשדוד בע"מ</t>
  </si>
  <si>
    <t>513775163</t>
  </si>
  <si>
    <t>בית זיקוק אגח 2</t>
  </si>
  <si>
    <t>IL0011994881</t>
  </si>
  <si>
    <t>Baa1.il</t>
  </si>
  <si>
    <t>30/04/2029</t>
  </si>
  <si>
    <t>מבני תעשיה בע"מ</t>
  </si>
  <si>
    <t>520024126</t>
  </si>
  <si>
    <t>מבני תעש אגח כג</t>
  </si>
  <si>
    <t>IL0022605450</t>
  </si>
  <si>
    <t>30/09/2026</t>
  </si>
  <si>
    <t>ג'י סיטי בע"מ</t>
  </si>
  <si>
    <t>520033234</t>
  </si>
  <si>
    <t>גי סיטי אגח יב</t>
  </si>
  <si>
    <t>IL0012606039</t>
  </si>
  <si>
    <t>30/06/2027</t>
  </si>
  <si>
    <t>פז נפט אגח ח</t>
  </si>
  <si>
    <t>IL0011628174</t>
  </si>
  <si>
    <t>אמות השקעות בע"מ</t>
  </si>
  <si>
    <t>520026683</t>
  </si>
  <si>
    <t>אמות אגח ו</t>
  </si>
  <si>
    <t>IL0011586091</t>
  </si>
  <si>
    <t>03/10/2029</t>
  </si>
  <si>
    <t>מימון ישיר אגחו</t>
  </si>
  <si>
    <t>IL0011916595</t>
  </si>
  <si>
    <t>מז טפ הנ אגח 62</t>
  </si>
  <si>
    <t>IL0023104982</t>
  </si>
  <si>
    <t>21/10/2028</t>
  </si>
  <si>
    <t>בנק מזרחי טפחות בע"מ</t>
  </si>
  <si>
    <t>520000522</t>
  </si>
  <si>
    <t>MZRHIT 3.077 04/07/31</t>
  </si>
  <si>
    <t>IL0069508369</t>
  </si>
  <si>
    <t>07/04/2031</t>
  </si>
  <si>
    <t>ביג מרכזי קניות בע"מ</t>
  </si>
  <si>
    <t>513623314</t>
  </si>
  <si>
    <t>ביג אגח כ</t>
  </si>
  <si>
    <t>IL0011861882</t>
  </si>
  <si>
    <t>30/04/2033</t>
  </si>
  <si>
    <t>סלע קפיטל נדל"ן בע"מ</t>
  </si>
  <si>
    <t>513992529</t>
  </si>
  <si>
    <t>סלע קפיטל נדל"ן ג</t>
  </si>
  <si>
    <t>IL0011389736</t>
  </si>
  <si>
    <t>13/04/2029</t>
  </si>
  <si>
    <t>מז טפ הנ אגח 66</t>
  </si>
  <si>
    <t>IL0011916678</t>
  </si>
  <si>
    <t>08/12/2031</t>
  </si>
  <si>
    <t>תמר פטרוליום בע"מ</t>
  </si>
  <si>
    <t>515334662</t>
  </si>
  <si>
    <t>תמר פטרול א</t>
  </si>
  <si>
    <t>IL0011413320</t>
  </si>
  <si>
    <t>30/08/2028</t>
  </si>
  <si>
    <t>עזריאלי קבוצה ד</t>
  </si>
  <si>
    <t>IL0011386500</t>
  </si>
  <si>
    <t>Aa1.il</t>
  </si>
  <si>
    <t>05/07/2030</t>
  </si>
  <si>
    <t>מליסרון אגח יח</t>
  </si>
  <si>
    <t>IL0032303724</t>
  </si>
  <si>
    <t>01/07/2028</t>
  </si>
  <si>
    <t>הראל השקעות בביטוח ושרותים פיננסים בע"מ</t>
  </si>
  <si>
    <t>520033986</t>
  </si>
  <si>
    <t>הראל השק אגח א</t>
  </si>
  <si>
    <t>IL0058501102</t>
  </si>
  <si>
    <t>31/12/2035</t>
  </si>
  <si>
    <t>מז טפ הנ אגח 70</t>
  </si>
  <si>
    <t>IL0012138835</t>
  </si>
  <si>
    <t>28/11/2036</t>
  </si>
  <si>
    <t>דמרי אגח ט</t>
  </si>
  <si>
    <t>IL0011683682</t>
  </si>
  <si>
    <t>31/12/2027</t>
  </si>
  <si>
    <t>מגדל הון אגח יז</t>
  </si>
  <si>
    <t>IL0012331133</t>
  </si>
  <si>
    <t>מגדל הון אגח יח</t>
  </si>
  <si>
    <t>IL0012331398</t>
  </si>
  <si>
    <t>30/06/2035</t>
  </si>
  <si>
    <t>כלל הון  אגח טו</t>
  </si>
  <si>
    <t>IL0012303090</t>
  </si>
  <si>
    <t>31/10/2036</t>
  </si>
  <si>
    <t>מבני תעשיה יז</t>
  </si>
  <si>
    <t>IL0022604461</t>
  </si>
  <si>
    <t>30/06/2028</t>
  </si>
  <si>
    <t>דיסקנט מנ נד יט</t>
  </si>
  <si>
    <t>IL0012344268</t>
  </si>
  <si>
    <t>04/02/2032</t>
  </si>
  <si>
    <t>איי.די.איי הנפקות (2010) בע"מ</t>
  </si>
  <si>
    <t>514486042</t>
  </si>
  <si>
    <t>איידיאייהנ הת ז</t>
  </si>
  <si>
    <t>IL0012293507</t>
  </si>
  <si>
    <t>22/09/2032</t>
  </si>
  <si>
    <t>ישראמקו נגב 2 שותפות מוגבלת</t>
  </si>
  <si>
    <t>550010003</t>
  </si>
  <si>
    <t>ישראמקו אגח ג</t>
  </si>
  <si>
    <t>IL0023202323</t>
  </si>
  <si>
    <t>10/10/2030</t>
  </si>
  <si>
    <t>אלקטרה בע"מ</t>
  </si>
  <si>
    <t>520028911</t>
  </si>
  <si>
    <t>אלקטרה אגח ה</t>
  </si>
  <si>
    <t>IL0073902228</t>
  </si>
  <si>
    <t>10/01/2031</t>
  </si>
  <si>
    <t>ריט 1     ה</t>
  </si>
  <si>
    <t>IL0011367534</t>
  </si>
  <si>
    <t>20/09/2028</t>
  </si>
  <si>
    <t>אלוני חץ אגח טו</t>
  </si>
  <si>
    <t>IL0011894149</t>
  </si>
  <si>
    <t>סלקום ישראל בע"מ</t>
  </si>
  <si>
    <t>511930125</t>
  </si>
  <si>
    <t>סלקום אגח יב</t>
  </si>
  <si>
    <t>IL0011430803</t>
  </si>
  <si>
    <t>05/01/2028</t>
  </si>
  <si>
    <t>איירפורט סיטי בע"מ</t>
  </si>
  <si>
    <t>511659401</t>
  </si>
  <si>
    <t>איירפורט אגח 5</t>
  </si>
  <si>
    <t>IL0011334872</t>
  </si>
  <si>
    <t>28/02/2029</t>
  </si>
  <si>
    <t>ISRAEL 8.1 15/12/96</t>
  </si>
  <si>
    <t>USM60170AC79</t>
  </si>
  <si>
    <t>Baa2</t>
  </si>
  <si>
    <t>15/12/2096</t>
  </si>
  <si>
    <t>או.פי.סי אנרגיה בע"מ</t>
  </si>
  <si>
    <t>514401702</t>
  </si>
  <si>
    <t>או.פי.סי אגח ג</t>
  </si>
  <si>
    <t>IL0011803553</t>
  </si>
  <si>
    <t>31/08/2030</t>
  </si>
  <si>
    <t>קרסו מוטורס בע"מ</t>
  </si>
  <si>
    <t>514065283</t>
  </si>
  <si>
    <t>קרסו אגח ד</t>
  </si>
  <si>
    <t>IL0011735664</t>
  </si>
  <si>
    <t>01/10/2028</t>
  </si>
  <si>
    <t>חברת גב-ים לקרקעות בע"מ</t>
  </si>
  <si>
    <t>520001736</t>
  </si>
  <si>
    <t>גב ים אגח ט</t>
  </si>
  <si>
    <t>IL0075902192</t>
  </si>
  <si>
    <t>30/06/2033</t>
  </si>
  <si>
    <t>חשמל      31</t>
  </si>
  <si>
    <t>IL0060002859</t>
  </si>
  <si>
    <t>ויתניה בע"מ</t>
  </si>
  <si>
    <t>512096793</t>
  </si>
  <si>
    <t>ויתניה אגח ה</t>
  </si>
  <si>
    <t>IL0011509036</t>
  </si>
  <si>
    <t>פועלים אגח 201</t>
  </si>
  <si>
    <t>IL0011913451</t>
  </si>
  <si>
    <t>29/11/2032</t>
  </si>
  <si>
    <t>אמות ד</t>
  </si>
  <si>
    <t>IL0011331498</t>
  </si>
  <si>
    <t>02/07/2028</t>
  </si>
  <si>
    <t>הפניקס גיוסי הון (2009)בע"מ</t>
  </si>
  <si>
    <t>514290345</t>
  </si>
  <si>
    <t>פניקס הון אגחיא</t>
  </si>
  <si>
    <t>IL0011593592</t>
  </si>
  <si>
    <t>חברת הכשרת הישוב בישראל בע"מ</t>
  </si>
  <si>
    <t>520020116</t>
  </si>
  <si>
    <t>הכשרת ישוב אג21</t>
  </si>
  <si>
    <t>IL0061202243</t>
  </si>
  <si>
    <t>מז טפ הנפ הת 65 COCO</t>
  </si>
  <si>
    <t>IL0011916751</t>
  </si>
  <si>
    <t>08/06/2028</t>
  </si>
  <si>
    <t>פז נפט ו</t>
  </si>
  <si>
    <t>IL0011395428</t>
  </si>
  <si>
    <t>גי סיטי אגח יג</t>
  </si>
  <si>
    <t>IL0012606526</t>
  </si>
  <si>
    <t>ישראמקו אגח ב</t>
  </si>
  <si>
    <t>IL0023202240</t>
  </si>
  <si>
    <t>רבוע כחול נדל"ן בע"מ</t>
  </si>
  <si>
    <t>513765859</t>
  </si>
  <si>
    <t>רבוע נדלן אגח ו</t>
  </si>
  <si>
    <t>IL0011406076</t>
  </si>
  <si>
    <t>30/11/2026</t>
  </si>
  <si>
    <t>אפריקה ישראל מגורים בע"מ</t>
  </si>
  <si>
    <t>520034760</t>
  </si>
  <si>
    <t>אפריקה מג אגח ה</t>
  </si>
  <si>
    <t>IL0011628257</t>
  </si>
  <si>
    <t>אלבר שירותי מימונית בע"מ</t>
  </si>
  <si>
    <t>512025891</t>
  </si>
  <si>
    <t>אלבר אגח יט</t>
  </si>
  <si>
    <t>IL0011918245</t>
  </si>
  <si>
    <t>15/05/2028</t>
  </si>
  <si>
    <t>תומר תמלוגי אנרגיה (2012) בע"מ</t>
  </si>
  <si>
    <t>514837111</t>
  </si>
  <si>
    <t>תומר אנרגיה אגח א</t>
  </si>
  <si>
    <t>IL0011474793</t>
  </si>
  <si>
    <t>מבני תעשיה טז</t>
  </si>
  <si>
    <t>IL0022604388</t>
  </si>
  <si>
    <t>חשמל 27</t>
  </si>
  <si>
    <t>IL0060002107</t>
  </si>
  <si>
    <t>12/04/2029</t>
  </si>
  <si>
    <t>דיסק מנ אגח טו</t>
  </si>
  <si>
    <t>IL0074803045</t>
  </si>
  <si>
    <t>15/08/2032</t>
  </si>
  <si>
    <t>גב ים אגח י</t>
  </si>
  <si>
    <t>IL0075902846</t>
  </si>
  <si>
    <t>יוניברסל מוטורס ישראל בע"מ</t>
  </si>
  <si>
    <t>511809071</t>
  </si>
  <si>
    <t>יוניברסל אגח ד</t>
  </si>
  <si>
    <t>IL0011722530</t>
  </si>
  <si>
    <t>10/02/2029</t>
  </si>
  <si>
    <t>מגה אור החזקות בע"מ</t>
  </si>
  <si>
    <t>513257873</t>
  </si>
  <si>
    <t>מגה אור אגח ז</t>
  </si>
  <si>
    <t>IL0011416968</t>
  </si>
  <si>
    <t>30/08/2027</t>
  </si>
  <si>
    <t>אלון רבוע כחול ישראל בע"מ</t>
  </si>
  <si>
    <t>520042847</t>
  </si>
  <si>
    <t>אלון רבוע אגח ו</t>
  </si>
  <si>
    <t>IL0011691271</t>
  </si>
  <si>
    <t>קבוצת אשטרום בע"מ</t>
  </si>
  <si>
    <t>510381601</t>
  </si>
  <si>
    <t>אשטרום קבוצה אגח ג</t>
  </si>
  <si>
    <t>IL0011401028</t>
  </si>
  <si>
    <t>15/01/2029</t>
  </si>
  <si>
    <t>אשטרום נכסים בע"מ</t>
  </si>
  <si>
    <t>520036617</t>
  </si>
  <si>
    <t>אשטרום נכס10</t>
  </si>
  <si>
    <t>IL0025102042</t>
  </si>
  <si>
    <t>01/01/2028</t>
  </si>
  <si>
    <t>הפניקס אחזקות בע"מ</t>
  </si>
  <si>
    <t>520017450</t>
  </si>
  <si>
    <t>הפניקס אגח 4</t>
  </si>
  <si>
    <t>IL0076702500</t>
  </si>
  <si>
    <t>31/07/2028</t>
  </si>
  <si>
    <t>שלמה החז אגח יט</t>
  </si>
  <si>
    <t>IL0011927311</t>
  </si>
  <si>
    <t>ATHENE GLOBAL FUNDING</t>
  </si>
  <si>
    <t>549300LM1QSI4MSIL320</t>
  </si>
  <si>
    <t>ATH 1.985 08/19/28</t>
  </si>
  <si>
    <t>US04685A3C32</t>
  </si>
  <si>
    <t>A+</t>
  </si>
  <si>
    <t>19/08/2028</t>
  </si>
  <si>
    <t>פועלים</t>
  </si>
  <si>
    <t>IL0006625771</t>
  </si>
  <si>
    <t>לאומי</t>
  </si>
  <si>
    <t>IL0006046119</t>
  </si>
  <si>
    <t>אנלייט אנרגיה</t>
  </si>
  <si>
    <t>IL0007200111</t>
  </si>
  <si>
    <t>טבע תעשיות פרמצבטיות בע"מ</t>
  </si>
  <si>
    <t>520013954</t>
  </si>
  <si>
    <t>טבע</t>
  </si>
  <si>
    <t>IL0006290147</t>
  </si>
  <si>
    <t>בנק דיסקונט לישראל בע"מ</t>
  </si>
  <si>
    <t>520007030</t>
  </si>
  <si>
    <t>דיסקונט א</t>
  </si>
  <si>
    <t>IL0006912120</t>
  </si>
  <si>
    <t>אלביט מערכות בע"מ</t>
  </si>
  <si>
    <t>520043027</t>
  </si>
  <si>
    <t>אלביט מערכות</t>
  </si>
  <si>
    <t>IL0010811243</t>
  </si>
  <si>
    <t>נאוויטס פטרוליום, שותפות מוגבלת</t>
  </si>
  <si>
    <t>550263107</t>
  </si>
  <si>
    <t>נאוויטס מ"ר</t>
  </si>
  <si>
    <t>IL0011419699</t>
  </si>
  <si>
    <t>נקסט ויז'ן מערכות מיוצבות בע"מ</t>
  </si>
  <si>
    <t>514259019</t>
  </si>
  <si>
    <t>נקסט ויז'ן</t>
  </si>
  <si>
    <t>IL0011765935</t>
  </si>
  <si>
    <t>כלל החזקות עסקי ביטוח בע"מ</t>
  </si>
  <si>
    <t>520036120</t>
  </si>
  <si>
    <t>כלל עסקי ביטוח</t>
  </si>
  <si>
    <t>IL0002240146</t>
  </si>
  <si>
    <t>מזרחי טפחות</t>
  </si>
  <si>
    <t>IL0006954379</t>
  </si>
  <si>
    <t>בזק החברה הישראלית לתקשורת בע"מ</t>
  </si>
  <si>
    <t>520031931</t>
  </si>
  <si>
    <t>בזק</t>
  </si>
  <si>
    <t>IL0002300114</t>
  </si>
  <si>
    <t>פניקס 1</t>
  </si>
  <si>
    <t>IL0007670123</t>
  </si>
  <si>
    <t>נובה מכשירי מדידה בע"מ</t>
  </si>
  <si>
    <t>511812463</t>
  </si>
  <si>
    <t>נובה</t>
  </si>
  <si>
    <t>IL0010845571</t>
  </si>
  <si>
    <t>מליסרון</t>
  </si>
  <si>
    <t>IL0003230146</t>
  </si>
  <si>
    <t>קמטק בע"מ</t>
  </si>
  <si>
    <t>511235434</t>
  </si>
  <si>
    <t>קמטק</t>
  </si>
  <si>
    <t>IL0010952641</t>
  </si>
  <si>
    <t>טאואר סמיקונדקטור בע"מ</t>
  </si>
  <si>
    <t>520041997</t>
  </si>
  <si>
    <t>טאואר</t>
  </si>
  <si>
    <t>IL0010823792</t>
  </si>
  <si>
    <t>חברת פרטנר תקשורת בע"מ</t>
  </si>
  <si>
    <t>520044314</t>
  </si>
  <si>
    <t>פרטנר</t>
  </si>
  <si>
    <t>IL0010834849</t>
  </si>
  <si>
    <t>אנרג'יקס</t>
  </si>
  <si>
    <t>IL0011233553</t>
  </si>
  <si>
    <t>עזריאלי קבוצה</t>
  </si>
  <si>
    <t>IL0011194789</t>
  </si>
  <si>
    <t>אמות</t>
  </si>
  <si>
    <t>IL0010972789</t>
  </si>
  <si>
    <t>מגה אור</t>
  </si>
  <si>
    <t>IL0011044885</t>
  </si>
  <si>
    <t>דמרי</t>
  </si>
  <si>
    <t>IL0010903156</t>
  </si>
  <si>
    <t>אלוני חץ</t>
  </si>
  <si>
    <t>IL0003900136</t>
  </si>
  <si>
    <t>מניבים קרן הריט החדשה בע"מ</t>
  </si>
  <si>
    <t>515327120</t>
  </si>
  <si>
    <t>מניבים ריט</t>
  </si>
  <si>
    <t>IL0011405730</t>
  </si>
  <si>
    <t>דלק קידוחים - שותפות מוגבלת</t>
  </si>
  <si>
    <t>550013098</t>
  </si>
  <si>
    <t>ניו-מד אנרג יהש</t>
  </si>
  <si>
    <t>IL0004750209</t>
  </si>
  <si>
    <t>קבוצת אקרשטיין בע"מ</t>
  </si>
  <si>
    <t>512714494</t>
  </si>
  <si>
    <t>קבוצת אקרשטיין</t>
  </si>
  <si>
    <t>IL0011762056</t>
  </si>
  <si>
    <t>ישראל קנדה (ט.ר) בע"מ</t>
  </si>
  <si>
    <t>520039298</t>
  </si>
  <si>
    <t>ישראל קנדה</t>
  </si>
  <si>
    <t>IL0004340191</t>
  </si>
  <si>
    <t>מפעלי פ.מ.ס. מיגון בע"מ</t>
  </si>
  <si>
    <t>520037284</t>
  </si>
  <si>
    <t>פמס</t>
  </si>
  <si>
    <t>IL0003150104</t>
  </si>
  <si>
    <t>נייס בע"מ</t>
  </si>
  <si>
    <t>520036872</t>
  </si>
  <si>
    <t>נייס</t>
  </si>
  <si>
    <t>IL0002730112</t>
  </si>
  <si>
    <t>CHKP צ'ק פוינט</t>
  </si>
  <si>
    <t>520042821</t>
  </si>
  <si>
    <t>Check Point Software Technolog</t>
  </si>
  <si>
    <t>IL0010824113</t>
  </si>
  <si>
    <t>ביג</t>
  </si>
  <si>
    <t>IL0010972607</t>
  </si>
  <si>
    <t>הבורסה לניירות ערך בתל אביב בע"מ</t>
  </si>
  <si>
    <t>520020033</t>
  </si>
  <si>
    <t>הבורסה לניע בתא</t>
  </si>
  <si>
    <t>IL0011590291</t>
  </si>
  <si>
    <t>מנורה מבטחים החזקות בע"מ</t>
  </si>
  <si>
    <t>520007469</t>
  </si>
  <si>
    <t>מנורה מב החז</t>
  </si>
  <si>
    <t>IL0005660183</t>
  </si>
  <si>
    <t>י.ד. מור השקעות בע"מ</t>
  </si>
  <si>
    <t>513834606</t>
  </si>
  <si>
    <t>מור השקעות</t>
  </si>
  <si>
    <t>IL0011414641</t>
  </si>
  <si>
    <t>גב ים</t>
  </si>
  <si>
    <t>IL0007590198</t>
  </si>
  <si>
    <t>מטריקס אי.טי בע"מ</t>
  </si>
  <si>
    <t>520039413</t>
  </si>
  <si>
    <t>מטריקס</t>
  </si>
  <si>
    <t>IL0004450156</t>
  </si>
  <si>
    <t>בית וגג יזמות ונדל"ן בע"מ</t>
  </si>
  <si>
    <t>516501640</t>
  </si>
  <si>
    <t>בית וגג</t>
  </si>
  <si>
    <t>IL0011853624</t>
  </si>
  <si>
    <t>JFROG LTD</t>
  </si>
  <si>
    <t>514130491</t>
  </si>
  <si>
    <t>IL0011684185</t>
  </si>
  <si>
    <t>מאנדיי בע"מ</t>
  </si>
  <si>
    <t>514025428</t>
  </si>
  <si>
    <t>MONDAY.COM LTD</t>
  </si>
  <si>
    <t>IL0011762130</t>
  </si>
  <si>
    <t>אורמת טכנולוגיות, אינק</t>
  </si>
  <si>
    <t>880326081</t>
  </si>
  <si>
    <t>אורמת טכנו</t>
  </si>
  <si>
    <t>ASML HOLDING NV</t>
  </si>
  <si>
    <t>724500Y6DUVHQD60XN27</t>
  </si>
  <si>
    <t>ASML HOLDING NV - NY REG SHS</t>
  </si>
  <si>
    <t>USN070592100</t>
  </si>
  <si>
    <t>semiconductor</t>
  </si>
  <si>
    <t>549300KB6NK5SBD14S87</t>
  </si>
  <si>
    <t>Taiwan Semiconductor Manufactu</t>
  </si>
  <si>
    <t>US8740391003</t>
  </si>
  <si>
    <t>Microsoft Corp</t>
  </si>
  <si>
    <t>INR2E1N1ERAN0W5ZP974</t>
  </si>
  <si>
    <t>US5949181045</t>
  </si>
  <si>
    <t>אורמת תעשיות בע"מ</t>
  </si>
  <si>
    <t>520036716</t>
  </si>
  <si>
    <t>אורמת ORA</t>
  </si>
  <si>
    <t>US6866881021</t>
  </si>
  <si>
    <t>NVIDIA CORP</t>
  </si>
  <si>
    <t>549300S4KLFTL07GSQ80</t>
  </si>
  <si>
    <t>US67066G1040</t>
  </si>
  <si>
    <t>Google Inc</t>
  </si>
  <si>
    <t>5493006MHB84DD0ZWV18</t>
  </si>
  <si>
    <t>ALPHABET</t>
  </si>
  <si>
    <t>US02079K3059</t>
  </si>
  <si>
    <t>MASTERCARD INC</t>
  </si>
  <si>
    <t>AR5L20DV9HN37376R084</t>
  </si>
  <si>
    <t>MASTERCARDINC CLASS</t>
  </si>
  <si>
    <t>US57636Q1040</t>
  </si>
  <si>
    <t>Avago Technologies Ltd</t>
  </si>
  <si>
    <t>549300WV6GIDOZJTV909</t>
  </si>
  <si>
    <t>SG9999006241</t>
  </si>
  <si>
    <t>Amazon.com Inc</t>
  </si>
  <si>
    <t>ZXTILKJKG63JEL0EG630</t>
  </si>
  <si>
    <t>US0231351067</t>
  </si>
  <si>
    <t>RHEINMETALL AG</t>
  </si>
  <si>
    <t>52990010U9CSE2906S05</t>
  </si>
  <si>
    <t>DE0007030009</t>
  </si>
  <si>
    <t>ADVANCED MICRO DEVICES</t>
  </si>
  <si>
    <t>R2I72C950H0YXII45366</t>
  </si>
  <si>
    <t>US0079031078</t>
  </si>
  <si>
    <t>COSTCO WHOLESALE CORP</t>
  </si>
  <si>
    <t>29DX7H14B9S603FD6V18</t>
  </si>
  <si>
    <t>US22160K1051</t>
  </si>
  <si>
    <t>FACEBOOK</t>
  </si>
  <si>
    <t>BQ4BKCS1HXDV9HN80Z93</t>
  </si>
  <si>
    <t>US30303M1027</t>
  </si>
  <si>
    <t>PALO ALTO NETWORKS INC</t>
  </si>
  <si>
    <t>549300QXR2YVZV231H43</t>
  </si>
  <si>
    <t>US6974351057</t>
  </si>
  <si>
    <t>TELSA MOTORS IN</t>
  </si>
  <si>
    <t>54930043XZGB27CT0V49</t>
  </si>
  <si>
    <t>US88160R1014</t>
  </si>
  <si>
    <t>JD.COM INC-ADR</t>
  </si>
  <si>
    <t>549300HVTWB0G3Z16V92</t>
  </si>
  <si>
    <t>JD.COM INC - CL A</t>
  </si>
  <si>
    <t>KYG8208B1014</t>
  </si>
  <si>
    <t>HKD</t>
  </si>
  <si>
    <t>UDEMY INC</t>
  </si>
  <si>
    <t>2549000T304QU9SAM180</t>
  </si>
  <si>
    <t>US9026851066</t>
  </si>
  <si>
    <t>מגדל קרנות נאמנות בע"מ</t>
  </si>
  <si>
    <t>511303661</t>
  </si>
  <si>
    <t>MTF סל תא 125</t>
  </si>
  <si>
    <t>IL0011502833</t>
  </si>
  <si>
    <t>MTF סל‏ תא 90</t>
  </si>
  <si>
    <t>IL0011502593</t>
  </si>
  <si>
    <t>מיטב תכלית קרנות נאמנות בע"מ</t>
  </si>
  <si>
    <t>513534974</t>
  </si>
  <si>
    <t>תכלית סל (40) תא 125</t>
  </si>
  <si>
    <t>IL0011437188</t>
  </si>
  <si>
    <t>קסם קרנות נאמנות בע"מ</t>
  </si>
  <si>
    <t>510938608</t>
  </si>
  <si>
    <t>קסם S&amp;P 500</t>
  </si>
  <si>
    <t>IL0011464711</t>
  </si>
  <si>
    <t>תכלית סל (40) תא 90</t>
  </si>
  <si>
    <t>IL0011437832</t>
  </si>
  <si>
    <t>מור ניהול קרנות נאמנות (2013) בע"מ</t>
  </si>
  <si>
    <t>514884485</t>
  </si>
  <si>
    <t>מור סל S&amp;P500</t>
  </si>
  <si>
    <t>IL0011658106</t>
  </si>
  <si>
    <t>מור סל תא 125</t>
  </si>
  <si>
    <t>IL0011961534</t>
  </si>
  <si>
    <t>קסם ETF תל בונד שקלי</t>
  </si>
  <si>
    <t>IL0011464141</t>
  </si>
  <si>
    <t>MTF סל (S&amp;P 500 (4A מנוטרלת מט"ח</t>
  </si>
  <si>
    <t>IL0011505729</t>
  </si>
  <si>
    <t>הראל קרנות נאמנות בע"מ</t>
  </si>
  <si>
    <t>511776783</t>
  </si>
  <si>
    <t>הרל.תא 90</t>
  </si>
  <si>
    <t>IL0011489312</t>
  </si>
  <si>
    <t>קסם.תלבונד ש 50</t>
  </si>
  <si>
    <t>IL0011507626</t>
  </si>
  <si>
    <t>קסם.תא נדלן</t>
  </si>
  <si>
    <t>IL0011465478</t>
  </si>
  <si>
    <t>MTF סל (00) תל בונד שקלי</t>
  </si>
  <si>
    <t>IL0011500027</t>
  </si>
  <si>
    <t>SPDR PORTFOLIO S&amp;P 500 ETF</t>
  </si>
  <si>
    <t>5493004K4F0RL72RIJ47</t>
  </si>
  <si>
    <t>US78464A8541</t>
  </si>
  <si>
    <t>SOURCE S&amp;P 500 UCITS ETF</t>
  </si>
  <si>
    <t>ECPGFXUBA2SHKVVGJI15</t>
  </si>
  <si>
    <t>IE00B3YCGJ38</t>
  </si>
  <si>
    <t>LYXOR ETF S&amp;P 500</t>
  </si>
  <si>
    <t>549300JWBW5ZYYL06033</t>
  </si>
  <si>
    <t>LYXOR S&amp;P 500</t>
  </si>
  <si>
    <t>LU1135865084</t>
  </si>
  <si>
    <t>iShares Core EURO STOXX 50 UCI</t>
  </si>
  <si>
    <t>5493004JFXP6VX6VU903</t>
  </si>
  <si>
    <t>iShares DJ EURO STOXX 50 DE</t>
  </si>
  <si>
    <t>DE0005933956</t>
  </si>
  <si>
    <t>ISHARES CORP S&amp;P 500 ETF</t>
  </si>
  <si>
    <t>5493007M4YMN8XL48C14</t>
  </si>
  <si>
    <t>US4642872000</t>
  </si>
  <si>
    <t>VANGUARD S&amp;P 500 ETF</t>
  </si>
  <si>
    <t>5493002789CX3L0CJP65</t>
  </si>
  <si>
    <t>US9229083632</t>
  </si>
  <si>
    <t>LYXOR DAX DR</t>
  </si>
  <si>
    <t>5493006067FBYGRB0H32</t>
  </si>
  <si>
    <t>LU0252633754</t>
  </si>
  <si>
    <t>SPDR S&amp;P 500 UCITS ETF ACC</t>
  </si>
  <si>
    <t>549300F1T0DG0V4WQV40</t>
  </si>
  <si>
    <t>IE000XZSV718</t>
  </si>
  <si>
    <t>SPDR S&amp;P 500 US TECH SELECT</t>
  </si>
  <si>
    <t>549300Z4W5AWP64X0Q67</t>
  </si>
  <si>
    <t>BBG119HXV1W7</t>
  </si>
  <si>
    <t>UBS LUX FUND SOLUTIONS - BLOOM</t>
  </si>
  <si>
    <t>549300OGO758UJI7H842</t>
  </si>
  <si>
    <t>LU1048315086</t>
  </si>
  <si>
    <t>WISDOMTREE JAPAN USD HGD ACC</t>
  </si>
  <si>
    <t>549300RMMYLGSFFMT454</t>
  </si>
  <si>
    <t>IE00BYQCZD50</t>
  </si>
  <si>
    <t>SPDR S&amp;P US HEALTH SELECT</t>
  </si>
  <si>
    <t>30461</t>
  </si>
  <si>
    <t>IE00BWBXM617</t>
  </si>
  <si>
    <t>LYX ETF EURSTX BANKS</t>
  </si>
  <si>
    <t>30210</t>
  </si>
  <si>
    <t>FR0011645647</t>
  </si>
  <si>
    <t>ISHARES S&amp;P US BANKS UCITS</t>
  </si>
  <si>
    <t>529900VBK42Y5HHRMD23</t>
  </si>
  <si>
    <t>IE00BD3V0B10</t>
  </si>
  <si>
    <t>NOMURA ETF - TOPIX</t>
  </si>
  <si>
    <t>549300B3CEAHYG7K8164</t>
  </si>
  <si>
    <t>JP3027630007</t>
  </si>
  <si>
    <t>FIRST TRST NASD CL EDG SGIIF</t>
  </si>
  <si>
    <t>549300IM04B4W5RWYH14</t>
  </si>
  <si>
    <t>US33737A1088</t>
  </si>
  <si>
    <t>AMUNDI S&amp;P 500 UCITS ETF</t>
  </si>
  <si>
    <t>5493007YUEI1FG9SC192</t>
  </si>
  <si>
    <t>LU1681049018</t>
  </si>
  <si>
    <t>SPDR EMERGING MARKETS</t>
  </si>
  <si>
    <t>549300ZFEEJ2IP5VME73</t>
  </si>
  <si>
    <t>IE00B469F816</t>
  </si>
  <si>
    <t>WisdomTree Japan Hedged Equity</t>
  </si>
  <si>
    <t>549300MCUICL7FEQ7B68</t>
  </si>
  <si>
    <t>WISDOM TREE JAPAN DIVIDEND FUND</t>
  </si>
  <si>
    <t>US97717W8516</t>
  </si>
  <si>
    <t>ISHARES NORTH AMERICAN TE</t>
  </si>
  <si>
    <t>54930072GM1ADLZJ5373</t>
  </si>
  <si>
    <t>iShares Expanded Tech-Software Sector ETF</t>
  </si>
  <si>
    <t>US4642875151</t>
  </si>
  <si>
    <t>SPDR S&amp;P US ENERGY SELECT</t>
  </si>
  <si>
    <t>549300M0AUGU3NFNF319</t>
  </si>
  <si>
    <t>IE00BWBXM492</t>
  </si>
  <si>
    <t>ISHARES U.S. BROKER-DEALERS</t>
  </si>
  <si>
    <t>549300LRIF3NWCU26A80</t>
  </si>
  <si>
    <t>US4642887941</t>
  </si>
  <si>
    <t>ISHARES NASDAQ 100 USD ACC</t>
  </si>
  <si>
    <t>549300KGSK42L101CD76</t>
  </si>
  <si>
    <t>IE00B53SZB19</t>
  </si>
  <si>
    <t>KRANESHARES CSI CHINA INTERN</t>
  </si>
  <si>
    <t>549300URDNVSGEWBN526</t>
  </si>
  <si>
    <t>US5007673065</t>
  </si>
  <si>
    <t>SPDR BLOOMBERG SASB U.S. HIG</t>
  </si>
  <si>
    <t>IE0004TYCC17</t>
  </si>
  <si>
    <t>הראל סל תל בונד שקלי 50</t>
  </si>
  <si>
    <t>IL0011507139</t>
  </si>
  <si>
    <t>הראל סל תל בונד 60</t>
  </si>
  <si>
    <t>IL0011504730</t>
  </si>
  <si>
    <t>תכלית אינדקס תל בונד 60</t>
  </si>
  <si>
    <t>IL0011451015</t>
  </si>
  <si>
    <t>MTF תל בונד 60</t>
  </si>
  <si>
    <t>IL0011499964</t>
  </si>
  <si>
    <t>קסם תל בונד 60</t>
  </si>
  <si>
    <t>IL0011462327</t>
  </si>
  <si>
    <t>תכלית סל תל בונד שקלי</t>
  </si>
  <si>
    <t>IL0011451841</t>
  </si>
  <si>
    <t>Vanguard USD Corporate Bond UC</t>
  </si>
  <si>
    <t>549300Q89FEWH9Z00V25</t>
  </si>
  <si>
    <t>VANG USDCPBD USDA</t>
  </si>
  <si>
    <t>IE00BGYWFK87</t>
  </si>
  <si>
    <t>SPDR BLOOMBERG SASB US CORP</t>
  </si>
  <si>
    <t>549300D9O5F5P2DTYB19</t>
  </si>
  <si>
    <t>IE00BLF7VX27</t>
  </si>
  <si>
    <t>ISHARES USD SHORT DUR USD A</t>
  </si>
  <si>
    <t>US161175AY09</t>
  </si>
  <si>
    <t>הראל סל (4D) ‏MSCI AC World</t>
  </si>
  <si>
    <t>IL0011493355</t>
  </si>
  <si>
    <t>הראל סל S&amp;P 500 מנוטרלת מטבע</t>
  </si>
  <si>
    <t>IL0011491375</t>
  </si>
  <si>
    <t>הראל סל נאסדק 100</t>
  </si>
  <si>
    <t>IL0011490385</t>
  </si>
  <si>
    <t>הראל סל ת"א 125</t>
  </si>
  <si>
    <t>IL0011488991</t>
  </si>
  <si>
    <t>קסם ETF S&amp;P 500 מנוטרלות מט"ח</t>
  </si>
  <si>
    <t>IL0011466047</t>
  </si>
  <si>
    <t>איביאי (5D) TECH FUND-טכנולוגיה עילית</t>
  </si>
  <si>
    <t>510791031</t>
  </si>
  <si>
    <t>אי בי אי טכ עילית</t>
  </si>
  <si>
    <t>IL0011425381</t>
  </si>
  <si>
    <t>ARTEMIS SMGARP EUR EQY-I GBP</t>
  </si>
  <si>
    <t>2JE75BUE3T1BLCYYGK54</t>
  </si>
  <si>
    <t>GB00B2PLJD73</t>
  </si>
  <si>
    <t>ARTEMIS LUX-SG GL EM E-IAUSD</t>
  </si>
  <si>
    <t>5493000897ZC5H7CY412</t>
  </si>
  <si>
    <t>LU1846577242</t>
  </si>
  <si>
    <t>INVESCO US SENIOR LOAN-G</t>
  </si>
  <si>
    <t>549300HQ8IBAX0TXDL49</t>
  </si>
  <si>
    <t>LU0564079282</t>
  </si>
  <si>
    <t>KOTAK FUNDS - INDIA MIDCAP JA USA</t>
  </si>
  <si>
    <t>549300P1V22EKK1UCL34</t>
  </si>
  <si>
    <t>LU0675383409</t>
  </si>
  <si>
    <t>ASHOKA INDIA OPPORT FD-D USD</t>
  </si>
  <si>
    <t>213800M3HXZ3RG189568</t>
  </si>
  <si>
    <t>IE00BH3N4915</t>
  </si>
  <si>
    <t>VERITAS ASIAN FUND-C USD</t>
  </si>
  <si>
    <t>549300T059X5MBWUM68</t>
  </si>
  <si>
    <t>IE00BD065N65</t>
  </si>
  <si>
    <t>BAILLIE GIFFORD ASIA EX JAPAN</t>
  </si>
  <si>
    <t>549300UYMK70HLNJU654</t>
  </si>
  <si>
    <t>IE00BZ00WK81</t>
  </si>
  <si>
    <t>NOMURA US HIGH YIELD BOND FUND</t>
  </si>
  <si>
    <t>IE00B3RW8498</t>
  </si>
  <si>
    <t>FIDELITY-US HIGH YD-I ACC</t>
  </si>
  <si>
    <t>5493009BXY0CIRTXRS63</t>
  </si>
  <si>
    <t>LU0891474172</t>
  </si>
  <si>
    <t>הראל מחקה Hang Seng</t>
  </si>
  <si>
    <t>IL0051370885</t>
  </si>
  <si>
    <t>ביג        אפ 7</t>
  </si>
  <si>
    <t>IL0012143454</t>
  </si>
  <si>
    <t>01/06/2026</t>
  </si>
  <si>
    <t>C 4300 APR</t>
  </si>
  <si>
    <t>IL0862712937</t>
  </si>
  <si>
    <t>26/04/2026</t>
  </si>
  <si>
    <t>P 4300 APR</t>
  </si>
  <si>
    <t>IL0862724817</t>
  </si>
  <si>
    <t>הבנק הבינלאומי הראשון לישראל בע"מ</t>
  </si>
  <si>
    <t>520029083</t>
  </si>
  <si>
    <t>MSCI WORLD INDE התחייבות</t>
  </si>
  <si>
    <t>730834531</t>
  </si>
  <si>
    <t>MSCI WORLD INDEX</t>
  </si>
  <si>
    <t>29535</t>
  </si>
  <si>
    <t>MSCI World Index  Jun26</t>
  </si>
  <si>
    <t>73083453</t>
  </si>
  <si>
    <t>אלה פקדונות בע"מ</t>
  </si>
  <si>
    <t>515666881</t>
  </si>
  <si>
    <t>אלה פקדון אגח ד</t>
  </si>
  <si>
    <t>IL0011623043</t>
  </si>
  <si>
    <t>מקס איט פיננסים בע"מ</t>
  </si>
  <si>
    <t>512905423</t>
  </si>
  <si>
    <t>מקס איט הת ד-רמ קוקו</t>
  </si>
  <si>
    <t>IL0011979536</t>
  </si>
  <si>
    <t>17/07/2023</t>
  </si>
  <si>
    <t>16/10/2028</t>
  </si>
  <si>
    <t>פועלים אגח 1-רמ</t>
  </si>
  <si>
    <t>IL0012117474</t>
  </si>
  <si>
    <t>24/09/2024</t>
  </si>
  <si>
    <t>30/09/2027</t>
  </si>
  <si>
    <t>רשות שדות התעופה בישראל.</t>
  </si>
  <si>
    <t>500102868</t>
  </si>
  <si>
    <t>רשת אגח ב-רמ</t>
  </si>
  <si>
    <t>IL0011873432</t>
  </si>
  <si>
    <t>13/11/2025</t>
  </si>
  <si>
    <t>31/12/2036</t>
  </si>
  <si>
    <t>מקורות חברת מים בע"מ</t>
  </si>
  <si>
    <t>520010869</t>
  </si>
  <si>
    <t>מקורות אג"ח 8</t>
  </si>
  <si>
    <t>IL0011243461</t>
  </si>
  <si>
    <t>02/02/2023</t>
  </si>
  <si>
    <t>14/07/2048</t>
  </si>
  <si>
    <t>רפאל מערכות לחימה מתקדמות בע"מ</t>
  </si>
  <si>
    <t>520042185</t>
  </si>
  <si>
    <t>רפאל ד</t>
  </si>
  <si>
    <t>IL0011402844</t>
  </si>
  <si>
    <t>04/05/2021</t>
  </si>
  <si>
    <t>15/09/2034</t>
  </si>
  <si>
    <t>אורמת אגח 4 -רמ</t>
  </si>
  <si>
    <t>IL0011672123</t>
  </si>
  <si>
    <t>01/07/2020</t>
  </si>
  <si>
    <t>15/06/2031</t>
  </si>
  <si>
    <t>כלל תעשיות והשקעות בע"מ</t>
  </si>
  <si>
    <t>520021874</t>
  </si>
  <si>
    <t>כלל תעשאג טז-רמ</t>
  </si>
  <si>
    <t>IL0060802381</t>
  </si>
  <si>
    <t>29/12/2019</t>
  </si>
  <si>
    <t>מימון ישיר הנפקות (סדרה 7)</t>
  </si>
  <si>
    <t>515828820</t>
  </si>
  <si>
    <t>מימוןמשכ אגא-רמ</t>
  </si>
  <si>
    <t>IL0012088188</t>
  </si>
  <si>
    <t>15/07/2024</t>
  </si>
  <si>
    <t>31/12/2031</t>
  </si>
  <si>
    <t>רפאל אגח ג-רמ</t>
  </si>
  <si>
    <t>IL0011402760</t>
  </si>
  <si>
    <t>לידר החזקות והשקעות בע"מ</t>
  </si>
  <si>
    <t>520037664</t>
  </si>
  <si>
    <t>לידר אגח ח- רמ</t>
  </si>
  <si>
    <t>IL0031803617</t>
  </si>
  <si>
    <t>28/02/2021</t>
  </si>
  <si>
    <t>15/02/2028</t>
  </si>
  <si>
    <t>לאומי אגח 1 ר-מ</t>
  </si>
  <si>
    <t>IL0011986390</t>
  </si>
  <si>
    <t>08/08/2023</t>
  </si>
  <si>
    <t>24/12/2026</t>
  </si>
  <si>
    <t>אלון חברת הדלק לישראל בע"מ</t>
  </si>
  <si>
    <t>520041690</t>
  </si>
  <si>
    <t>אלון דלק אג"ח א- רמ</t>
  </si>
  <si>
    <t>IL0011015679</t>
  </si>
  <si>
    <t>31/08/2016</t>
  </si>
  <si>
    <t>30/06/2026</t>
  </si>
  <si>
    <t>ויולה גנריישן קפיטל</t>
  </si>
  <si>
    <t>30229</t>
  </si>
  <si>
    <t>ויולה גנריישן ניהול IBI</t>
  </si>
  <si>
    <t>40200818</t>
  </si>
  <si>
    <t>20/08/2018</t>
  </si>
  <si>
    <t>קרן מניבים</t>
  </si>
  <si>
    <t>29761</t>
  </si>
  <si>
    <t>קרן מניבים ניהול</t>
  </si>
  <si>
    <t>400171115</t>
  </si>
  <si>
    <t>03/11/2015</t>
  </si>
  <si>
    <t>פויכטונגר השקעות 1984 בע"מ</t>
  </si>
  <si>
    <t>511015448</t>
  </si>
  <si>
    <t>אפקון פרוייקטים</t>
  </si>
  <si>
    <t>1085323</t>
  </si>
  <si>
    <t>31/12/2001</t>
  </si>
  <si>
    <t>ברוש</t>
  </si>
  <si>
    <t>קרן ברוש</t>
  </si>
  <si>
    <t>40290517</t>
  </si>
  <si>
    <t>הראל</t>
  </si>
  <si>
    <t>Harel Alternative Credit Co-In</t>
  </si>
  <si>
    <t>400270423</t>
  </si>
  <si>
    <t>Klirmark</t>
  </si>
  <si>
    <t>Klirmark Fund IV</t>
  </si>
  <si>
    <t>40180423</t>
  </si>
  <si>
    <t>יסודות נדלן</t>
  </si>
  <si>
    <t>יסודות ג' נדלן ופיתוח שותפות מוגבלת</t>
  </si>
  <si>
    <t>400021219</t>
  </si>
  <si>
    <t>גיזה זינגר אבן מזנין</t>
  </si>
  <si>
    <t>גיזה מזנין</t>
  </si>
  <si>
    <t>400160222</t>
  </si>
  <si>
    <t>קדמה</t>
  </si>
  <si>
    <t>קדמה 3</t>
  </si>
  <si>
    <t>400170419</t>
  </si>
  <si>
    <t>טנא הון III</t>
  </si>
  <si>
    <t>קרן טנא (ארגון המורים)</t>
  </si>
  <si>
    <t>40241213</t>
  </si>
  <si>
    <t>ס.ה. סקיי 4 ניהול שותפות מוגבלת</t>
  </si>
  <si>
    <t>SKY 4 LIMITED</t>
  </si>
  <si>
    <t>400031022</t>
  </si>
  <si>
    <t>קאי קפיטל</t>
  </si>
  <si>
    <t>400161023</t>
  </si>
  <si>
    <t>AMI GP LP Inc</t>
  </si>
  <si>
    <t>אייפקס ארגון המורים</t>
  </si>
  <si>
    <t>400210715</t>
  </si>
  <si>
    <t>מונטה</t>
  </si>
  <si>
    <t>MONETA CAPITAL II</t>
  </si>
  <si>
    <t>400130223</t>
  </si>
  <si>
    <t>MONETA CAPITAL</t>
  </si>
  <si>
    <t>400220119</t>
  </si>
  <si>
    <t>קרן ברוש II</t>
  </si>
  <si>
    <t>400020620</t>
  </si>
  <si>
    <t>KLIRMARK III עגור</t>
  </si>
  <si>
    <t>400131119</t>
  </si>
  <si>
    <t>קדמה 4</t>
  </si>
  <si>
    <t>400301024</t>
  </si>
  <si>
    <t>ISF</t>
  </si>
  <si>
    <t>ISF II</t>
  </si>
  <si>
    <t>400010217</t>
  </si>
  <si>
    <t>Ami Opportunities II</t>
  </si>
  <si>
    <t>400071223</t>
  </si>
  <si>
    <t>אלפא</t>
  </si>
  <si>
    <t>קרן השקעה  alpha במניות יתר (עגור) 29/02/24</t>
  </si>
  <si>
    <t>400290224</t>
  </si>
  <si>
    <t>Somv</t>
  </si>
  <si>
    <t>קרן SOMV</t>
  </si>
  <si>
    <t>400310516</t>
  </si>
  <si>
    <t>Pantheon Access GP S.? r.l</t>
  </si>
  <si>
    <t>Pantheon Access SLP SICAV</t>
  </si>
  <si>
    <t>400280221</t>
  </si>
  <si>
    <t>CVC EUDL</t>
  </si>
  <si>
    <t>CVC EUDL III</t>
  </si>
  <si>
    <t>420270722</t>
  </si>
  <si>
    <t>Cerberus</t>
  </si>
  <si>
    <t>CIP VII Cerberus</t>
  </si>
  <si>
    <t>400081221</t>
  </si>
  <si>
    <t>Direct Lending</t>
  </si>
  <si>
    <t>Direct Lending IV</t>
  </si>
  <si>
    <t>400151222</t>
  </si>
  <si>
    <t>GIP</t>
  </si>
  <si>
    <t>GIP IV-C</t>
  </si>
  <si>
    <t>400171019</t>
  </si>
  <si>
    <t>Insight Associates XI, L.P.</t>
  </si>
  <si>
    <t>Insight Partners XII</t>
  </si>
  <si>
    <t>400150721</t>
  </si>
  <si>
    <t>Pantheon PGIF IV GP (Lux) S.? r.l</t>
  </si>
  <si>
    <t>PGCO V  פנתאון</t>
  </si>
  <si>
    <t>400071221</t>
  </si>
  <si>
    <t>MIP</t>
  </si>
  <si>
    <t>MACQUARIE INFRASTRUCTURE PARNERS IV</t>
  </si>
  <si>
    <t>400060219</t>
  </si>
  <si>
    <t>RPS</t>
  </si>
  <si>
    <t>400281221</t>
  </si>
  <si>
    <t>PGCO IV</t>
  </si>
  <si>
    <t>400021018</t>
  </si>
  <si>
    <t>Invesco Credit Partners</t>
  </si>
  <si>
    <t>Invesco Credit Partners I</t>
  </si>
  <si>
    <t>400130722</t>
  </si>
  <si>
    <t>LCP</t>
  </si>
  <si>
    <t>LCP IX  לקסינגטון</t>
  </si>
  <si>
    <t>403012193</t>
  </si>
  <si>
    <t>EQT IX (General Partner) S.?.r.l.</t>
  </si>
  <si>
    <t>EQT IX</t>
  </si>
  <si>
    <t>400080221</t>
  </si>
  <si>
    <t>EQT Infrastructure V (General Partner) S.? r.l.</t>
  </si>
  <si>
    <t>EQT Infrastructure V</t>
  </si>
  <si>
    <t>400130821</t>
  </si>
  <si>
    <t>NMC</t>
  </si>
  <si>
    <t>NMP VI</t>
  </si>
  <si>
    <t>400090321</t>
  </si>
  <si>
    <t>Ares Capital Europe</t>
  </si>
  <si>
    <t>Ares Capital Europe VI</t>
  </si>
  <si>
    <t>400071123</t>
  </si>
  <si>
    <t>Hamilton Lane Advisors, LLC</t>
  </si>
  <si>
    <t>Hamilton co invest IV</t>
  </si>
  <si>
    <t>400060818</t>
  </si>
  <si>
    <t>תשי</t>
  </si>
  <si>
    <t>תשתיות ישראל 4</t>
  </si>
  <si>
    <t>40141020</t>
  </si>
  <si>
    <t>CD&amp;R</t>
  </si>
  <si>
    <t>CD&amp;R XII של IBI</t>
  </si>
  <si>
    <t>400070224</t>
  </si>
  <si>
    <t>מור</t>
  </si>
  <si>
    <t>More Alternative Cr 2</t>
  </si>
  <si>
    <t>400291122</t>
  </si>
  <si>
    <t>CD&amp;R XI של IBI</t>
  </si>
  <si>
    <t>400170921</t>
  </si>
  <si>
    <t>HarbourVest</t>
  </si>
  <si>
    <t>HarbourVest Dover X</t>
  </si>
  <si>
    <t>400300120</t>
  </si>
  <si>
    <t>MV Subordinated GP S.? r.l.</t>
  </si>
  <si>
    <t>Clearlake Credit Europe Subordinated Debt V</t>
  </si>
  <si>
    <t>400230821</t>
  </si>
  <si>
    <t>פורטיסימו</t>
  </si>
  <si>
    <t>FORTTISSIMO VI IBI</t>
  </si>
  <si>
    <t>400231023</t>
  </si>
  <si>
    <t>קרן LCP X  לקסינגטון</t>
  </si>
  <si>
    <t>40190423</t>
  </si>
  <si>
    <t>400180124</t>
  </si>
  <si>
    <t>Electra</t>
  </si>
  <si>
    <t>Electra Multifamily III</t>
  </si>
  <si>
    <t>400130920</t>
  </si>
  <si>
    <t>FRG-X GP,LP</t>
  </si>
  <si>
    <t>Faro Point FIVF III (F-5</t>
  </si>
  <si>
    <t>400191022</t>
  </si>
  <si>
    <t>FORTTISSIMO V</t>
  </si>
  <si>
    <t>400160420</t>
  </si>
  <si>
    <t>EQT X Buyout</t>
  </si>
  <si>
    <t>400240523</t>
  </si>
  <si>
    <t>CVC EUDL IV</t>
  </si>
  <si>
    <t>40161224</t>
  </si>
  <si>
    <t>Insight Partners XI</t>
  </si>
  <si>
    <t>400230320</t>
  </si>
  <si>
    <t>BAIN</t>
  </si>
  <si>
    <t>Bain Capital DSS 2019</t>
  </si>
  <si>
    <t>400170620</t>
  </si>
  <si>
    <t>ויולה</t>
  </si>
  <si>
    <t>Viola Credit VI</t>
  </si>
  <si>
    <t>400171021</t>
  </si>
  <si>
    <t>Hamilton Strategic Opp VII</t>
  </si>
  <si>
    <t>400160622</t>
  </si>
  <si>
    <t>Eurazeo Private Debt VII GP S.?.r.l.</t>
  </si>
  <si>
    <t>Eurazeo Private Debt VII</t>
  </si>
  <si>
    <t>400280126</t>
  </si>
  <si>
    <t>Coller Investment Management Limited</t>
  </si>
  <si>
    <t>Coller IX-B</t>
  </si>
  <si>
    <t>400200624</t>
  </si>
  <si>
    <t>CVC IX</t>
  </si>
  <si>
    <t>CVC Capital Partners IX ארגון</t>
  </si>
  <si>
    <t>400041224</t>
  </si>
  <si>
    <t>Electra Capital PM II  Feeder 3</t>
  </si>
  <si>
    <t>400100523</t>
  </si>
  <si>
    <t>פאגאיה</t>
  </si>
  <si>
    <t>פאגאיה אופורטוניטי</t>
  </si>
  <si>
    <t>400290321</t>
  </si>
  <si>
    <t>פורמה</t>
  </si>
  <si>
    <t>פורמה II</t>
  </si>
  <si>
    <t>400271221</t>
  </si>
  <si>
    <t>Vintage Investments 11 (Access), L.P.</t>
  </si>
  <si>
    <t>VINTAGE VI ACCESS</t>
  </si>
  <si>
    <t>400220221</t>
  </si>
  <si>
    <t>Vestar</t>
  </si>
  <si>
    <t>VESTAR VII-A</t>
  </si>
  <si>
    <t>400051219</t>
  </si>
  <si>
    <t>מידאל</t>
  </si>
  <si>
    <t>קרן מידאל MIDEAL</t>
  </si>
  <si>
    <t>400090217</t>
  </si>
  <si>
    <t>NMP VII</t>
  </si>
  <si>
    <t>400210824</t>
  </si>
  <si>
    <t>Hamilton Strategic Opp 2020 VI</t>
  </si>
  <si>
    <t>400220321</t>
  </si>
  <si>
    <t>LLCP</t>
  </si>
  <si>
    <t>LLCP VI</t>
  </si>
  <si>
    <t>400250618</t>
  </si>
  <si>
    <t>Eighth Cinven Fund</t>
  </si>
  <si>
    <t>Eighth Cinven Fund I</t>
  </si>
  <si>
    <t>400190624</t>
  </si>
  <si>
    <t>GIP V-C</t>
  </si>
  <si>
    <t>400270923</t>
  </si>
  <si>
    <t>Coller</t>
  </si>
  <si>
    <t>CIP VIII</t>
  </si>
  <si>
    <t>400180121</t>
  </si>
  <si>
    <t>קרן פורמה - עגור</t>
  </si>
  <si>
    <t>40150617</t>
  </si>
  <si>
    <t>Alto</t>
  </si>
  <si>
    <t>ALTO III</t>
  </si>
  <si>
    <t>400901171</t>
  </si>
  <si>
    <t>PGCO VI</t>
  </si>
  <si>
    <t>400311024</t>
  </si>
  <si>
    <t>Invesco Direct Lending</t>
  </si>
  <si>
    <t>Invesco Direct Lending II</t>
  </si>
  <si>
    <t>400080424</t>
  </si>
  <si>
    <t>HarbourVest 2018</t>
  </si>
  <si>
    <t>400121218</t>
  </si>
  <si>
    <t>Tikehau Investment Management</t>
  </si>
  <si>
    <t>TDL VI (TIKEHAU)</t>
  </si>
  <si>
    <t>400130225</t>
  </si>
  <si>
    <t>Presidio Management Group XIII, L.P.</t>
  </si>
  <si>
    <t>GATEWOOD</t>
  </si>
  <si>
    <t>402802171</t>
  </si>
  <si>
    <t>Cheyne European</t>
  </si>
  <si>
    <t>Cheyne European Strategic</t>
  </si>
  <si>
    <t>40230821</t>
  </si>
  <si>
    <t>Brookfield Strategic Real Estate Partners V</t>
  </si>
  <si>
    <t>400180925</t>
  </si>
  <si>
    <t>MV Senior GP S.? r.l</t>
  </si>
  <si>
    <t>MV Credit Senior II</t>
  </si>
  <si>
    <t>400260121</t>
  </si>
  <si>
    <t>Blue Owl RE Fund</t>
  </si>
  <si>
    <t>Blue Owl Real Estate Fund VII</t>
  </si>
  <si>
    <t>400201025</t>
  </si>
  <si>
    <t>CIP Partners</t>
  </si>
  <si>
    <t>CIP VI - Lexington</t>
  </si>
  <si>
    <t>400140725</t>
  </si>
  <si>
    <t>IBI</t>
  </si>
  <si>
    <t>IBI SBL</t>
  </si>
  <si>
    <t>400180919</t>
  </si>
  <si>
    <t>CONSUMER CREDIT FUND</t>
  </si>
  <si>
    <t>400271219</t>
  </si>
  <si>
    <t>Alto II</t>
  </si>
  <si>
    <t>ALTO FUND II</t>
  </si>
  <si>
    <t>40290914</t>
  </si>
  <si>
    <t>Clearlake Credit Europe Direct Lending III</t>
  </si>
  <si>
    <t>400120225</t>
  </si>
  <si>
    <t>Hamilton lane co investment Feedr fund III LP</t>
  </si>
  <si>
    <t>400250115</t>
  </si>
  <si>
    <t>Hamilton lane Special Opportunities 2017</t>
  </si>
  <si>
    <t>400230417</t>
  </si>
  <si>
    <t>Colchis</t>
  </si>
  <si>
    <t>COLCHIS INCOME FUND</t>
  </si>
  <si>
    <t>400260919</t>
  </si>
  <si>
    <t>Triton Fund 6 GP SARL</t>
  </si>
  <si>
    <t>TRITON FUND 6</t>
  </si>
  <si>
    <t>400260326</t>
  </si>
  <si>
    <t>Veritas Capital Partners IX, LLC</t>
  </si>
  <si>
    <t>Veritas Capital Fund IX</t>
  </si>
  <si>
    <t>400130525</t>
  </si>
  <si>
    <t>המילטון 2016 קרן השקעה</t>
  </si>
  <si>
    <t>400200616</t>
  </si>
  <si>
    <t>נוקד אקוויטי השקעות בעמ</t>
  </si>
  <si>
    <t>קרן גידור נוקד מניות עגור</t>
  </si>
  <si>
    <t>402806163</t>
  </si>
  <si>
    <t>אלפא לונג ביאס ג'י פי בעמ</t>
  </si>
  <si>
    <t>אלפא הזדמנויות</t>
  </si>
  <si>
    <t>40010317</t>
  </si>
  <si>
    <t>ספרה</t>
  </si>
  <si>
    <t>קרן השקעה  sphera במניות יתר (עגור)</t>
  </si>
  <si>
    <t>400250225</t>
  </si>
  <si>
    <t>קרן ספרה 020613</t>
  </si>
  <si>
    <t>403110121</t>
  </si>
  <si>
    <t>Bennu Pharma Fund Ltd</t>
  </si>
  <si>
    <t>Bennu Pharma Fund</t>
  </si>
  <si>
    <t>400051125</t>
  </si>
  <si>
    <t>קרן השקעה  alpha במניות יתר (עגור)</t>
  </si>
  <si>
    <t>40010113</t>
  </si>
  <si>
    <t>קרן השקעה  alpha במניות יתר (עגור) 01/07/13</t>
  </si>
  <si>
    <t>400101131</t>
  </si>
  <si>
    <t>400311012</t>
  </si>
  <si>
    <t>הפניקס</t>
  </si>
  <si>
    <t>הפניקס חוב נדל"ן 3 KYC</t>
  </si>
  <si>
    <t>400231221</t>
  </si>
  <si>
    <t>570003342</t>
  </si>
  <si>
    <t>USDILS</t>
  </si>
  <si>
    <t>09/12/2025</t>
  </si>
  <si>
    <t>17/04/2026</t>
  </si>
  <si>
    <t>FIRBILITXXX</t>
  </si>
  <si>
    <t>570003412</t>
  </si>
  <si>
    <t>EURILS</t>
  </si>
  <si>
    <t>20/01/2026</t>
  </si>
  <si>
    <t>570003414</t>
  </si>
  <si>
    <t>570003521</t>
  </si>
  <si>
    <t>16/03/2026</t>
  </si>
  <si>
    <t>570003430</t>
  </si>
  <si>
    <t>27/01/2026</t>
  </si>
  <si>
    <t>570003540</t>
  </si>
  <si>
    <t>20/03/2026</t>
  </si>
  <si>
    <t>570003434</t>
  </si>
  <si>
    <t>28/01/2026</t>
  </si>
  <si>
    <t>91071001</t>
  </si>
  <si>
    <t>31/08/2012</t>
  </si>
  <si>
    <t>AA+</t>
  </si>
  <si>
    <t>31/12/2026</t>
  </si>
  <si>
    <t>90150520</t>
  </si>
  <si>
    <t>28/09/2004</t>
  </si>
  <si>
    <t>90150300</t>
  </si>
  <si>
    <t>28/06/2007</t>
  </si>
  <si>
    <t>91070003</t>
  </si>
  <si>
    <t>91701003</t>
  </si>
  <si>
    <t>11/09/2022</t>
  </si>
  <si>
    <t xml:space="preserve">שם גליון </t>
  </si>
  <si>
    <t>קישור לגליון</t>
  </si>
  <si>
    <t>עמוד פתיחה</t>
  </si>
  <si>
    <t>31/03/2026</t>
  </si>
  <si>
    <t>520024985_gm_p_0126.xlsx</t>
  </si>
  <si>
    <t>דיין תמיר</t>
  </si>
  <si>
    <t>03-5155476</t>
  </si>
  <si>
    <t>dayan.t@fibi.co.il</t>
  </si>
  <si>
    <t>C95, C100 (תוקן Europe ל-Europe), C889 (תוקן "ביון" ל-"בין").</t>
  </si>
  <si>
    <t>מעבר לגליון</t>
  </si>
  <si>
    <t>סעיף</t>
  </si>
  <si>
    <t>עמודה1</t>
  </si>
  <si>
    <t>עמודה2</t>
  </si>
  <si>
    <t>עמודה3</t>
  </si>
  <si>
    <t>עמודה4</t>
  </si>
  <si>
    <t>--סוף גליון--</t>
  </si>
  <si>
    <t>סוף טבלה</t>
  </si>
  <si>
    <t>סוף צידי טבלה</t>
  </si>
  <si>
    <t>שם גליון:עמוד פתיחה</t>
  </si>
  <si>
    <t>שם גליון:סכום נכסים</t>
  </si>
  <si>
    <t>שם גליון:מזומנים ושווי מזומנים</t>
  </si>
  <si>
    <t>שם גליון:איגרות חוב ממשלתיות</t>
  </si>
  <si>
    <t>שם גליון:ניירות ערך מסחריים</t>
  </si>
  <si>
    <t>שם גליון:איגרות חוב</t>
  </si>
  <si>
    <t>שם גליון:מניות מבכ ויהש</t>
  </si>
  <si>
    <t>שם גליון:קרנות סל</t>
  </si>
  <si>
    <t>שם גליון:קרנות נאמנות</t>
  </si>
  <si>
    <t>שם גליון:כתבי אופציה</t>
  </si>
  <si>
    <t>שם גליון:אופציות</t>
  </si>
  <si>
    <t>שם גליון:חוזים עתידיים</t>
  </si>
  <si>
    <t>שם גליון:מוצרים מובנים</t>
  </si>
  <si>
    <t>שם גליון:לא סחיר איגרות חוב ממשלתיות</t>
  </si>
  <si>
    <t>שם גליון:לא סחיר איגרות חוב מיועדות</t>
  </si>
  <si>
    <t>שם גליון:אפיק השקעה מובטח תשואה</t>
  </si>
  <si>
    <t>שם גליון:לא סחיר ניירות ערך מסחריים</t>
  </si>
  <si>
    <t>שם גליון:לא סחיר איגרות חוב</t>
  </si>
  <si>
    <t>שם גליון:לא סחיר מניות מבכ ויהש</t>
  </si>
  <si>
    <t>שם גליון:קרנות השקעה</t>
  </si>
  <si>
    <t>שם גליון:לא סחיר כתבי אופציה</t>
  </si>
  <si>
    <t>שם גליון:לא סחיר אופציות</t>
  </si>
  <si>
    <t>שם גליון:לא סחיר נגזרים אחרים</t>
  </si>
  <si>
    <t>שם גליון:הלוואות</t>
  </si>
  <si>
    <t>שם גליון:לא סחיר מוצרים מובנים</t>
  </si>
  <si>
    <t>שם גליון:פיקדונות מעל 3 חודשים</t>
  </si>
  <si>
    <t>שם גליון:זכויות מקרקעין</t>
  </si>
  <si>
    <t>שם גליון:השקעה בחברות מוחזקות</t>
  </si>
  <si>
    <t>שם גליון:נכסים אחרים</t>
  </si>
  <si>
    <t>שם גליון:מסגרות אשראי</t>
  </si>
  <si>
    <t>שם גליון:יתרות התחייבות להשקעה</t>
  </si>
  <si>
    <t>שם גליון:מקרא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</si>
</sst>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00"/>
    <numFmt numFmtId="165" formatCode="#,##0.000"/>
    <numFmt numFmtId="166" formatCode="#,##0.000%"/>
    <numFmt numFmtId="167" formatCode="0.000%"/>
    <numFmt numFmtId="168" formatCode="dd/mm/yyyy"/>
    <numFmt numFmtId="169" formatCode="0.000;\-0.000"/>
  </numFmts>
  <fonts count="3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61851863155"/>
      <name val="Open Sans"/>
      <family val="2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5422223578601"/>
      <name val="Wingdings"/>
      <family val="2"/>
      <charset val="2"/>
    </font>
    <font>
      <b/>
      <sz val="12"/>
      <color theme="9" tint="-0.49995422223578601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color theme="2" tint="-0.749992370372631"/>
      <name val="Open Sans"/>
      <family val="2"/>
    </font>
    <font>
      <u/>
      <sz val="11"/>
      <color theme="10"/>
      <name val="Arial"/>
      <family val="2"/>
      <charset val="177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35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88402966399123"/>
      </top>
      <bottom/>
      <diagonal/>
    </border>
    <border>
      <left style="thin">
        <color theme="2" tint="-0.24991607409894101"/>
      </left>
      <right style="thin">
        <color theme="2" tint="-0.24991607409894101"/>
      </right>
      <top style="thin">
        <color theme="2" tint="-0.24991607409894101"/>
      </top>
      <bottom style="thin">
        <color theme="2" tint="-0.2499160740989410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19" fillId="0" borderId="0"/>
    <xf numFmtId="0" fontId="19" fillId="0" borderId="0"/>
    <xf numFmtId="0" fontId="8" fillId="0" borderId="1" applyNumberFormat="0" applyFill="0" applyAlignment="0" applyProtection="0"/>
    <xf numFmtId="0" fontId="24" fillId="0" borderId="0" applyNumberFormat="0" applyFill="0" applyBorder="0" applyAlignment="0" applyProtection="0"/>
  </cellStyleXfs>
  <cellXfs count="179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vertical="center" wrapText="1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Font="1"/>
    <xf numFmtId="0" fontId="5" fillId="2" borderId="0" xfId="0" applyFont="1" applyFill="1"/>
    <xf numFmtId="0" fontId="6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/>
    <xf numFmtId="0" fontId="0" fillId="0" borderId="0" xfId="0" applyProtection="1">
      <protection locked="0"/>
    </xf>
    <xf numFmtId="0" fontId="2" fillId="2" borderId="0" xfId="0" applyFont="1" applyFill="1"/>
    <xf numFmtId="0" fontId="1" fillId="4" borderId="2" xfId="0" applyFont="1" applyFill="1" applyBorder="1" applyAlignment="1" applyProtection="1">
      <alignment horizontal="right"/>
    </xf>
    <xf numFmtId="0" fontId="1" fillId="0" borderId="2" xfId="0" applyFont="1" applyFill="1" applyBorder="1" applyAlignment="1" applyProtection="1">
      <alignment horizontal="right"/>
    </xf>
    <xf numFmtId="0" fontId="8" fillId="0" borderId="0" xfId="0" applyFont="1"/>
    <xf numFmtId="0" fontId="7" fillId="5" borderId="0" xfId="1" applyFont="1" applyFill="1" applyBorder="1" applyAlignment="1" applyProtection="1">
      <alignment horizontal="left" vertical="center" wrapText="1" indent="1"/>
      <protection locked="0"/>
    </xf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0" fontId="10" fillId="0" borderId="0" xfId="0" applyFont="1"/>
    <xf numFmtId="0" fontId="11" fillId="0" borderId="3" xfId="0" applyFont="1" applyBorder="1" applyAlignment="1">
      <alignment vertical="center" wrapText="1" readingOrder="2"/>
    </xf>
    <xf numFmtId="0" fontId="11" fillId="0" borderId="3" xfId="0" applyFont="1" applyBorder="1" applyAlignment="1">
      <alignment horizontal="right" vertical="center" wrapText="1" readingOrder="2"/>
    </xf>
    <xf numFmtId="2" fontId="11" fillId="0" borderId="3" xfId="0" applyNumberFormat="1" applyFont="1" applyBorder="1" applyAlignment="1">
      <alignment vertical="center" wrapText="1" readingOrder="2"/>
    </xf>
    <xf numFmtId="164" fontId="11" fillId="0" borderId="3" xfId="0" applyNumberFormat="1" applyFont="1" applyBorder="1" applyAlignment="1">
      <alignment vertical="center" wrapText="1" readingOrder="2"/>
    </xf>
    <xf numFmtId="0" fontId="11" fillId="0" borderId="3" xfId="0" applyFont="1" applyFill="1" applyBorder="1" applyAlignment="1">
      <alignment horizontal="right" vertical="center" wrapText="1" readingOrder="2"/>
    </xf>
    <xf numFmtId="0" fontId="12" fillId="0" borderId="3" xfId="0" applyFont="1" applyBorder="1" applyAlignment="1">
      <alignment vertical="center" wrapText="1" readingOrder="2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4" borderId="2" xfId="0" applyFont="1" applyFill="1" applyBorder="1" applyAlignment="1">
      <alignment horizontal="right"/>
    </xf>
    <xf numFmtId="0" fontId="0" fillId="0" borderId="2" xfId="0" applyFont="1" applyFill="1" applyBorder="1" applyAlignment="1"/>
    <xf numFmtId="0" fontId="0" fillId="0" borderId="2" xfId="0" applyFont="1" applyFill="1" applyBorder="1" applyAlignment="1">
      <alignment horizontal="right"/>
    </xf>
    <xf numFmtId="0" fontId="0" fillId="0" borderId="5" xfId="0" applyFont="1" applyFill="1" applyBorder="1" applyAlignment="1">
      <alignment horizontal="right"/>
    </xf>
    <xf numFmtId="0" fontId="0" fillId="4" borderId="5" xfId="0" applyFont="1" applyFill="1" applyBorder="1" applyAlignment="1">
      <alignment horizontal="right"/>
    </xf>
    <xf numFmtId="0" fontId="0" fillId="4" borderId="6" xfId="0" applyFont="1" applyFill="1" applyBorder="1" applyAlignment="1">
      <alignment horizontal="right"/>
    </xf>
    <xf numFmtId="0" fontId="14" fillId="0" borderId="0" xfId="0" applyFont="1"/>
    <xf numFmtId="0" fontId="0" fillId="0" borderId="6" xfId="0" applyFont="1" applyFill="1" applyBorder="1" applyAlignment="1">
      <alignment horizontal="right"/>
    </xf>
    <xf numFmtId="0" fontId="0" fillId="4" borderId="5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 vertical="top"/>
    </xf>
    <xf numFmtId="0" fontId="0" fillId="0" borderId="7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right" vertical="top"/>
    </xf>
    <xf numFmtId="0" fontId="0" fillId="0" borderId="7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horizontal="right" vertical="top"/>
    </xf>
    <xf numFmtId="0" fontId="0" fillId="0" borderId="7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vertical="top"/>
    </xf>
    <xf numFmtId="0" fontId="0" fillId="0" borderId="7" xfId="0" applyFont="1" applyFill="1" applyBorder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4" borderId="5" xfId="0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  <xf numFmtId="0" fontId="0" fillId="0" borderId="7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4" borderId="5" xfId="0" applyFont="1" applyFill="1" applyBorder="1" applyAlignment="1">
      <alignment horizontal="right" vertical="top"/>
    </xf>
    <xf numFmtId="0" fontId="0" fillId="4" borderId="7" xfId="0" applyFont="1" applyFill="1" applyBorder="1" applyAlignment="1">
      <alignment horizontal="right" vertical="top"/>
    </xf>
    <xf numFmtId="0" fontId="0" fillId="4" borderId="5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4" borderId="5" xfId="0" applyFont="1" applyFill="1" applyBorder="1" applyAlignment="1">
      <alignment vertical="center" wrapText="1"/>
    </xf>
    <xf numFmtId="0" fontId="0" fillId="4" borderId="6" xfId="0" applyFont="1" applyFill="1" applyBorder="1" applyAlignment="1">
      <alignment vertical="center" wrapText="1"/>
    </xf>
    <xf numFmtId="0" fontId="0" fillId="0" borderId="8" xfId="0" applyFont="1" applyFill="1" applyBorder="1" applyAlignment="1">
      <alignment horizontal="right" vertical="top"/>
    </xf>
    <xf numFmtId="0" fontId="0" fillId="4" borderId="5" xfId="0" applyFont="1" applyFill="1" applyBorder="1" applyAlignment="1">
      <alignment horizontal="right" vertical="top" wrapText="1"/>
    </xf>
    <xf numFmtId="0" fontId="0" fillId="4" borderId="7" xfId="0" applyFont="1" applyFill="1" applyBorder="1" applyAlignment="1">
      <alignment horizontal="right" vertical="top" wrapText="1"/>
    </xf>
    <xf numFmtId="0" fontId="0" fillId="4" borderId="5" xfId="0" applyFont="1" applyFill="1" applyBorder="1" applyAlignment="1">
      <alignment horizontal="right" vertical="top"/>
    </xf>
    <xf numFmtId="0" fontId="0" fillId="4" borderId="8" xfId="0" applyFont="1" applyFill="1" applyBorder="1" applyAlignment="1">
      <alignment horizontal="right" vertical="top"/>
    </xf>
    <xf numFmtId="0" fontId="0" fillId="4" borderId="7" xfId="0" applyFont="1" applyFill="1" applyBorder="1" applyAlignment="1">
      <alignment horizontal="right" vertical="top"/>
    </xf>
    <xf numFmtId="0" fontId="1" fillId="0" borderId="5" xfId="0" applyFont="1" applyFill="1" applyBorder="1" applyAlignment="1" applyProtection="1">
      <alignment horizontal="right" vertical="top"/>
    </xf>
    <xf numFmtId="0" fontId="1" fillId="0" borderId="6" xfId="0" applyFont="1" applyFill="1" applyBorder="1" applyAlignment="1" applyProtection="1">
      <alignment horizontal="right" vertical="top"/>
    </xf>
    <xf numFmtId="0" fontId="0" fillId="0" borderId="5" xfId="0" applyFont="1" applyFill="1" applyBorder="1" applyAlignment="1">
      <alignment horizontal="right" vertical="top" wrapText="1"/>
    </xf>
    <xf numFmtId="0" fontId="0" fillId="0" borderId="7" xfId="0" applyFont="1" applyFill="1" applyBorder="1" applyAlignment="1">
      <alignment horizontal="right" vertical="top" wrapText="1"/>
    </xf>
    <xf numFmtId="0" fontId="0" fillId="4" borderId="5" xfId="0" applyFont="1" applyFill="1" applyBorder="1" applyAlignment="1">
      <alignment vertical="top" wrapText="1"/>
    </xf>
    <xf numFmtId="0" fontId="0" fillId="4" borderId="7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0" fillId="0" borderId="7" xfId="0" applyFont="1" applyFill="1" applyBorder="1" applyAlignment="1">
      <alignment vertical="top" wrapText="1"/>
    </xf>
    <xf numFmtId="0" fontId="7" fillId="5" borderId="9" xfId="1" applyFont="1" applyFill="1" applyBorder="1" applyAlignment="1" applyProtection="1">
      <alignment horizontal="right" vertical="center" wrapText="1"/>
      <protection locked="0"/>
    </xf>
    <xf numFmtId="0" fontId="7" fillId="5" borderId="9" xfId="1" applyFont="1" applyFill="1" applyBorder="1" applyAlignment="1" applyProtection="1">
      <alignment horizontal="right" vertical="center" wrapText="1"/>
    </xf>
    <xf numFmtId="0" fontId="7" fillId="5" borderId="9" xfId="1" applyFont="1" applyFill="1" applyBorder="1" applyAlignment="1" applyProtection="1">
      <alignment horizontal="left" vertical="center" wrapText="1" indent="1"/>
      <protection locked="0"/>
    </xf>
    <xf numFmtId="0" fontId="7" fillId="5" borderId="9" xfId="1" applyFont="1" applyFill="1" applyBorder="1" applyAlignment="1" applyProtection="1">
      <alignment vertical="center" wrapText="1"/>
      <protection locked="0"/>
    </xf>
    <xf numFmtId="0" fontId="0" fillId="0" borderId="5" xfId="0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0" fontId="4" fillId="0" borderId="0" xfId="0" applyFont="1" applyFill="1"/>
    <xf numFmtId="0" fontId="12" fillId="0" borderId="11" xfId="0" applyFont="1" applyBorder="1"/>
    <xf numFmtId="0" fontId="12" fillId="0" borderId="12" xfId="0" applyFont="1" applyBorder="1"/>
    <xf numFmtId="0" fontId="12" fillId="0" borderId="13" xfId="0" applyFont="1" applyBorder="1" applyAlignment="1">
      <alignment horizontal="right"/>
    </xf>
    <xf numFmtId="0" fontId="15" fillId="0" borderId="3" xfId="0" applyFont="1" applyBorder="1" applyAlignment="1">
      <alignment horizontal="center" vertical="center" wrapText="1" readingOrder="2"/>
    </xf>
    <xf numFmtId="0" fontId="16" fillId="0" borderId="3" xfId="0" applyFont="1" applyBorder="1" applyAlignment="1">
      <alignment vertical="center" wrapText="1" readingOrder="2"/>
    </xf>
    <xf numFmtId="0" fontId="0" fillId="4" borderId="5" xfId="0" applyFont="1" applyFill="1" applyBorder="1" applyAlignment="1">
      <alignment horizontal="right"/>
    </xf>
    <xf numFmtId="0" fontId="1" fillId="0" borderId="14" xfId="0" applyFont="1" applyFill="1" applyBorder="1" applyAlignment="1" applyProtection="1">
      <alignment horizontal="right" vertical="top"/>
    </xf>
    <xf numFmtId="0" fontId="0" fillId="0" borderId="0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right"/>
    </xf>
    <xf numFmtId="0" fontId="0" fillId="4" borderId="7" xfId="0" applyFont="1" applyFill="1" applyBorder="1" applyAlignment="1">
      <alignment horizontal="right"/>
    </xf>
    <xf numFmtId="0" fontId="0" fillId="0" borderId="15" xfId="0" applyFont="1" applyFill="1" applyBorder="1" applyAlignment="1">
      <alignment horizontal="right" vertical="top"/>
    </xf>
    <xf numFmtId="0" fontId="0" fillId="0" borderId="16" xfId="0" applyFont="1" applyFill="1" applyBorder="1" applyAlignment="1">
      <alignment horizontal="right"/>
    </xf>
    <xf numFmtId="0" fontId="0" fillId="0" borderId="0" xfId="0" applyFont="1" applyFill="1" applyBorder="1" applyAlignment="1">
      <alignment vertical="top"/>
    </xf>
    <xf numFmtId="0" fontId="0" fillId="0" borderId="6" xfId="0" applyFont="1" applyFill="1" applyBorder="1" applyAlignment="1">
      <alignment horizontal="right" vertical="top" wrapText="1"/>
    </xf>
    <xf numFmtId="0" fontId="0" fillId="0" borderId="6" xfId="0" applyFont="1" applyFill="1" applyBorder="1" applyAlignment="1">
      <alignment vertical="top" wrapText="1"/>
    </xf>
    <xf numFmtId="0" fontId="8" fillId="4" borderId="2" xfId="0" applyFont="1" applyFill="1" applyBorder="1" applyAlignment="1">
      <alignment horizontal="right"/>
    </xf>
    <xf numFmtId="0" fontId="0" fillId="0" borderId="0" xfId="0" applyFont="1" applyFill="1"/>
    <xf numFmtId="0" fontId="0" fillId="4" borderId="2" xfId="0" applyFont="1" applyFill="1" applyBorder="1" applyAlignment="1">
      <alignment horizontal="right"/>
    </xf>
    <xf numFmtId="0" fontId="17" fillId="4" borderId="2" xfId="0" applyFont="1" applyFill="1" applyBorder="1" applyAlignment="1" applyProtection="1">
      <alignment horizontal="right"/>
    </xf>
    <xf numFmtId="0" fontId="0" fillId="0" borderId="2" xfId="0" applyFont="1" applyFill="1" applyBorder="1" applyAlignment="1">
      <alignment horizontal="right" readingOrder="1"/>
    </xf>
    <xf numFmtId="0" fontId="0" fillId="0" borderId="2" xfId="0" applyFont="1" applyFill="1" applyBorder="1" applyAlignment="1">
      <alignment readingOrder="1"/>
    </xf>
    <xf numFmtId="0" fontId="18" fillId="4" borderId="2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0" fillId="0" borderId="0" xfId="0" applyBorder="1"/>
    <xf numFmtId="0" fontId="0" fillId="0" borderId="0" xfId="0" applyNumberFormat="1" applyBorder="1" applyAlignment="1">
      <alignment horizontal="right"/>
    </xf>
    <xf numFmtId="0" fontId="0" fillId="0" borderId="0" xfId="0" applyNumberFormat="1" applyBorder="1"/>
    <xf numFmtId="0" fontId="4" fillId="0" borderId="17" xfId="0" applyFont="1" applyBorder="1" applyAlignment="1">
      <alignment horizontal="center" vertical="center" wrapText="1"/>
    </xf>
    <xf numFmtId="0" fontId="8" fillId="0" borderId="1" xfId="3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2" fillId="2" borderId="0" xfId="0" applyFont="1" applyFill="1" applyAlignment="1">
      <alignment horizontal="right" vertical="top"/>
    </xf>
    <xf numFmtId="0" fontId="0" fillId="0" borderId="2" xfId="0" applyFont="1" applyFill="1" applyBorder="1" applyAlignment="1">
      <alignment horizontal="right" wrapText="1"/>
    </xf>
    <xf numFmtId="0" fontId="18" fillId="0" borderId="2" xfId="0" applyFont="1" applyFill="1" applyBorder="1" applyAlignment="1">
      <alignment horizontal="right"/>
    </xf>
    <xf numFmtId="0" fontId="0" fillId="0" borderId="0" xfId="0" applyAlignment="1">
      <alignment horizontal="right" readingOrder="2"/>
    </xf>
    <xf numFmtId="165" fontId="0" fillId="0" borderId="0" xfId="0" applyNumberFormat="1" applyFont="1"/>
    <xf numFmtId="166" fontId="0" fillId="0" borderId="0" xfId="0" applyNumberFormat="1" applyFont="1"/>
    <xf numFmtId="0" fontId="21" fillId="6" borderId="18" xfId="0" applyFont="1" applyFill="1" applyBorder="1" applyAlignment="1">
      <alignment horizontal="right"/>
    </xf>
    <xf numFmtId="0" fontId="21" fillId="6" borderId="19" xfId="0" applyFont="1" applyFill="1" applyBorder="1" applyAlignment="1">
      <alignment horizontal="right"/>
    </xf>
    <xf numFmtId="0" fontId="0" fillId="0" borderId="18" xfId="0" applyFont="1" applyBorder="1" applyAlignment="1">
      <alignment horizontal="right"/>
    </xf>
    <xf numFmtId="0" fontId="23" fillId="5" borderId="18" xfId="1" applyNumberFormat="1" applyFont="1" applyFill="1" applyBorder="1" applyAlignment="1">
      <alignment horizontal="right" vertical="center" wrapText="1" indent="1"/>
    </xf>
    <xf numFmtId="0" fontId="0" fillId="0" borderId="18" xfId="0" applyFont="1" applyBorder="1" applyAlignment="1">
      <alignment horizontal="right" vertical="top"/>
    </xf>
    <xf numFmtId="0" fontId="0" fillId="0" borderId="21" xfId="0" applyFont="1" applyBorder="1" applyAlignment="1">
      <alignment horizontal="right"/>
    </xf>
    <xf numFmtId="165" fontId="0" fillId="0" borderId="0" xfId="0" applyNumberFormat="1"/>
    <xf numFmtId="167" fontId="0" fillId="0" borderId="0" xfId="0" applyNumberFormat="1"/>
    <xf numFmtId="0" fontId="7" fillId="5" borderId="9" xfId="1" quotePrefix="1" applyFont="1" applyFill="1" applyBorder="1" applyAlignment="1" applyProtection="1">
      <alignment horizontal="right" vertical="center" wrapText="1"/>
      <protection locked="0"/>
    </xf>
    <xf numFmtId="0" fontId="24" fillId="0" borderId="19" xfId="4" applyBorder="1" applyAlignment="1">
      <alignment horizontal="right"/>
    </xf>
    <xf numFmtId="0" fontId="24" fillId="0" borderId="22" xfId="4" applyBorder="1" applyAlignment="1">
      <alignment horizontal="right"/>
    </xf>
    <xf numFmtId="0" fontId="4" fillId="0" borderId="10" xfId="0" applyFont="1" applyBorder="1"/>
    <xf numFmtId="0" fontId="4" fillId="0" borderId="10" xfId="0" applyFont="1" applyFill="1" applyBorder="1"/>
    <xf numFmtId="0" fontId="3" fillId="3" borderId="10" xfId="0" applyFont="1" applyFill="1" applyBorder="1" applyAlignment="1">
      <alignment horizontal="right" vertical="center" wrapText="1"/>
    </xf>
    <xf numFmtId="0" fontId="4" fillId="0" borderId="25" xfId="0" applyFont="1" applyFill="1" applyBorder="1"/>
    <xf numFmtId="0" fontId="4" fillId="0" borderId="17" xfId="0" applyFont="1" applyFill="1" applyBorder="1" applyAlignment="1">
      <alignment horizontal="center" vertical="center" wrapText="1"/>
    </xf>
    <xf numFmtId="0" fontId="25" fillId="5" borderId="20" xfId="0" applyFont="1" applyFill="1" applyBorder="1" applyAlignment="1">
      <alignment vertical="center"/>
    </xf>
    <xf numFmtId="0" fontId="4" fillId="0" borderId="23" xfId="0" applyFont="1" applyBorder="1"/>
    <xf numFmtId="0" fontId="4" fillId="0" borderId="24" xfId="0" applyFont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27" fillId="5" borderId="20" xfId="0" applyFont="1" applyFill="1" applyBorder="1" applyAlignment="1">
      <alignment horizontal="center" vertical="center" wrapText="1"/>
    </xf>
    <xf numFmtId="0" fontId="27" fillId="5" borderId="20" xfId="0" applyFont="1" applyFill="1" applyBorder="1" applyAlignment="1">
      <alignment horizontal="right" vertical="center"/>
    </xf>
    <xf numFmtId="0" fontId="27" fillId="5" borderId="20" xfId="0" applyFont="1" applyFill="1" applyBorder="1" applyAlignment="1">
      <alignment horizontal="center" vertical="center"/>
    </xf>
    <xf numFmtId="0" fontId="27" fillId="5" borderId="29" xfId="0" applyFont="1" applyFill="1" applyBorder="1" applyAlignment="1">
      <alignment horizontal="center" vertical="center" wrapText="1"/>
    </xf>
    <xf numFmtId="0" fontId="27" fillId="5" borderId="30" xfId="0" applyFont="1" applyFill="1" applyBorder="1" applyAlignment="1">
      <alignment horizontal="center" vertical="center" wrapText="1"/>
    </xf>
    <xf numFmtId="0" fontId="27" fillId="5" borderId="31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20" xfId="0" applyBorder="1"/>
    <xf numFmtId="165" fontId="0" fillId="0" borderId="20" xfId="0" applyNumberFormat="1" applyFont="1" applyBorder="1"/>
    <xf numFmtId="166" fontId="0" fillId="0" borderId="20" xfId="0" applyNumberFormat="1" applyFont="1" applyBorder="1"/>
    <xf numFmtId="166" fontId="0" fillId="0" borderId="27" xfId="0" applyNumberFormat="1" applyFont="1" applyBorder="1"/>
    <xf numFmtId="0" fontId="0" fillId="0" borderId="32" xfId="0" applyBorder="1"/>
    <xf numFmtId="0" fontId="0" fillId="0" borderId="33" xfId="0" applyBorder="1"/>
    <xf numFmtId="165" fontId="0" fillId="0" borderId="33" xfId="0" applyNumberFormat="1" applyFont="1" applyBorder="1"/>
    <xf numFmtId="166" fontId="0" fillId="0" borderId="33" xfId="0" applyNumberFormat="1" applyFont="1" applyBorder="1"/>
    <xf numFmtId="166" fontId="0" fillId="0" borderId="26" xfId="0" applyNumberFormat="1" applyFont="1" applyBorder="1"/>
    <xf numFmtId="0" fontId="0" fillId="0" borderId="27" xfId="0" applyBorder="1"/>
    <xf numFmtId="0" fontId="0" fillId="0" borderId="26" xfId="0" applyBorder="1"/>
    <xf numFmtId="168" fontId="0" fillId="0" borderId="20" xfId="0" applyNumberFormat="1" applyBorder="1"/>
    <xf numFmtId="0" fontId="27" fillId="5" borderId="30" xfId="0" applyFont="1" applyFill="1" applyBorder="1" applyAlignment="1">
      <alignment horizontal="center" vertical="center" wrapText="1" readingOrder="2"/>
    </xf>
    <xf numFmtId="169" fontId="0" fillId="0" borderId="20" xfId="0" applyNumberFormat="1" applyFont="1" applyBorder="1"/>
    <xf numFmtId="166" fontId="0" fillId="0" borderId="20" xfId="0" applyNumberFormat="1" applyBorder="1"/>
    <xf numFmtId="165" fontId="0" fillId="0" borderId="20" xfId="0" applyNumberFormat="1" applyBorder="1"/>
    <xf numFmtId="167" fontId="0" fillId="0" borderId="20" xfId="0" applyNumberFormat="1" applyBorder="1"/>
    <xf numFmtId="166" fontId="0" fillId="0" borderId="33" xfId="0" applyNumberFormat="1" applyBorder="1"/>
    <xf numFmtId="165" fontId="0" fillId="0" borderId="33" xfId="0" applyNumberFormat="1" applyBorder="1"/>
    <xf numFmtId="167" fontId="0" fillId="0" borderId="33" xfId="0" applyNumberFormat="1" applyBorder="1"/>
    <xf numFmtId="168" fontId="0" fillId="0" borderId="27" xfId="0" applyNumberFormat="1" applyBorder="1"/>
    <xf numFmtId="0" fontId="4" fillId="0" borderId="0" xfId="0" applyFont="1" applyAlignment="1">
      <alignment horizontal="center"/>
    </xf>
    <xf numFmtId="0" fontId="28" fillId="0" borderId="0" xfId="0" applyFont="1"/>
    <xf numFmtId="0" fontId="22" fillId="0" borderId="0" xfId="0" applyFont="1"/>
    <xf numFmtId="0" fontId="22" fillId="0" borderId="0" xfId="0" applyFont="1" applyAlignment="1">
      <alignment vertical="center" wrapText="1"/>
    </xf>
    <xf numFmtId="0" fontId="29" fillId="0" borderId="0" xfId="0" applyFont="1"/>
    <xf numFmtId="0" fontId="4" fillId="0" borderId="24" xfId="0" applyFont="1" applyFill="1" applyBorder="1" applyAlignment="1">
      <alignment horizontal="center" vertical="center" wrapText="1"/>
    </xf>
    <xf numFmtId="166" fontId="8" fillId="0" borderId="34" xfId="0" applyNumberFormat="1" applyFont="1" applyBorder="1"/>
  </cellXfs>
  <cellStyles count="5">
    <cellStyle name="Normal" xfId="0" builtinId="0"/>
    <cellStyle name="Normal 3" xfId="1"/>
    <cellStyle name="Normal 9" xfId="2"/>
    <cellStyle name="היפר-קישור" xfId="4" builtinId="8"/>
    <cellStyle name="סה&quot;כ" xfId="3" builtinId="25"/>
  </cellStyles>
  <dxfs count="89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left style="hair">
          <color theme="1"/>
        </left>
        <top style="hair">
          <color theme="1"/>
        </top>
        <bottom style="hair">
          <color theme="1"/>
        </bottom>
      </border>
    </dxf>
    <dxf>
      <border outline="0">
        <bottom style="hair">
          <color theme="1"/>
        </bottom>
      </border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theme" Target="theme/theme1.xml" /><Relationship Id="rId40" Type="http://schemas.openxmlformats.org/officeDocument/2006/relationships/calcChain" Target="calcChain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worksheet" Target="worksheets/sheet36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/Relationships>
</file>

<file path=xl/tables/table1.xml><?xml version="1.0" encoding="utf-8"?>
<table xmlns="http://schemas.openxmlformats.org/spreadsheetml/2006/main" id="1" name="סכום נכסים" displayName="סכום_נכסים" ref="A2:E33" totalsRowShown="0" headerRowBorderDxfId="888" tableBorderDxfId="887">
  <autoFilter ref="A2:E33"/>
  <tableColumns count="5">
    <tableColumn id="1" name="עמודה1"/>
    <tableColumn id="2" name="עמודה2"/>
    <tableColumn id="3" name="ידווח בקבצי נכסי הנוסטרו בלבד"/>
    <tableColumn id="4" name="עמודה3"/>
    <tableColumn id="5" name="עמודה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מזומנים ושווי מזומנים" displayName="מזומנים_ושווי_מזומנים" ref="A2:Q27" totalsRowShown="0" headerRowDxfId="886" dataDxfId="884" headerRowBorderDxfId="885" tableBorderDxfId="883" totalsRowBorderDxfId="882">
  <autoFilter ref="A2:Q27"/>
  <tableColumns count="17">
    <tableColumn id="1" name="מספר קופה/קרן/ח.פ. עבור חברת ביטוח" dataDxfId="881"/>
    <tableColumn id="2" name="מספר מסלול" dataDxfId="880"/>
    <tableColumn id="3" name="שם הבנק" dataDxfId="879"/>
    <tableColumn id="4" name="מספר מזהה בנק" dataDxfId="878"/>
    <tableColumn id="5" name="סוג מספר מזהה בנק" dataDxfId="877"/>
    <tableColumn id="6" name="מאפיין עיקרי" dataDxfId="876"/>
    <tableColumn id="7" name="ישראל/חו&quot;ל" dataDxfId="875"/>
    <tableColumn id="8" name="בעל עניין/צד קשור" dataDxfId="874"/>
    <tableColumn id="9" name="דירוג הבנק" dataDxfId="873"/>
    <tableColumn id="10" name="שם מדרג" dataDxfId="872"/>
    <tableColumn id="11" name="מטבע פעילות" dataDxfId="871"/>
    <tableColumn id="12" name="שווי מטבעי" dataDxfId="870"/>
    <tableColumn id="13" name="שער חליפין" dataDxfId="869"/>
    <tableColumn id="14" name="שיעור ריבית" dataDxfId="868"/>
    <tableColumn id="15" name="שווי הוגן (באלפי ש&quot;ח)" dataDxfId="867"/>
    <tableColumn id="16" name="שיעור מנכסי אפיק ההשקעה" dataDxfId="866"/>
    <tableColumn id="17" name="שיעור מסך נכסי ההשקעה" dataDxfId="86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איגרות חוב ממשלתיות" displayName="איגרות_חוב_ממשלתיות" ref="A2:Z88" totalsRowShown="0" headerRowDxfId="864" dataDxfId="862" headerRowBorderDxfId="863" tableBorderDxfId="861" totalsRowBorderDxfId="860">
  <autoFilter ref="A2:Z88"/>
  <tableColumns count="26">
    <tableColumn id="1" name="מספר קופה/קרן/ח.פ. עבור חברת ביטוח" dataDxfId="859"/>
    <tableColumn id="2" name="מספר מסלול" dataDxfId="858"/>
    <tableColumn id="3" name="שם מנפיק" dataDxfId="857"/>
    <tableColumn id="4" name="שם נייר ערך" dataDxfId="856"/>
    <tableColumn id="5" name="מספר נייר ערך" dataDxfId="855"/>
    <tableColumn id="6" name="מאפיין עיקרי" dataDxfId="854"/>
    <tableColumn id="7" name="ישראל/חו&quot;ל" dataDxfId="853"/>
    <tableColumn id="8" name="מדינה לפי חשיפה כלכלית" dataDxfId="852"/>
    <tableColumn id="9" name="זירת מסחר" dataDxfId="851"/>
    <tableColumn id="10" name="דירוג" dataDxfId="850"/>
    <tableColumn id="11" name="שם מדרג" dataDxfId="849"/>
    <tableColumn id="12" name="מטבע פעילות" dataDxfId="848"/>
    <tableColumn id="13" name="מח&quot;מ" dataDxfId="847"/>
    <tableColumn id="14" name="מועד פדיון" dataDxfId="846"/>
    <tableColumn id="15" name="שיעור ריבית" dataDxfId="845"/>
    <tableColumn id="16" name="תשואה לפדיון" dataDxfId="844"/>
    <tableColumn id="17" name="סכום לקבל (במטבע הפעילות)" dataDxfId="843"/>
    <tableColumn id="18" name="ערך נקוב (יחידות)" dataDxfId="842"/>
    <tableColumn id="19" name="שער חליפין" dataDxfId="841"/>
    <tableColumn id="20" name="שער נייר הערך" dataDxfId="840"/>
    <tableColumn id="21" name="שווי הוגן (באלפי ש&quot;ח)" dataDxfId="839"/>
    <tableColumn id="22" name="עלות מופחתת (באלפי ש&quot;ח)" dataDxfId="838"/>
    <tableColumn id="23" name="השיטה שיושמה בדוח הכספי" dataDxfId="837"/>
    <tableColumn id="24" name="שיעור מערך נקוב מונפק" dataDxfId="836"/>
    <tableColumn id="25" name="שיעור מנכסי אפיק ההשקעה" dataDxfId="835"/>
    <tableColumn id="26" name="שיעור מסך נכסי ההשקעה" dataDxfId="83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ניירות ערך מסחריים" displayName="ניירות_ערך_מסחריים" ref="A2:AJ8" totalsRowShown="0" headerRowDxfId="833" headerRowBorderDxfId="832" tableBorderDxfId="831" totalsRowBorderDxfId="830">
  <autoFilter ref="A2:AJ8"/>
  <tableColumns count="36">
    <tableColumn id="1" name="מספר קופה/קרן/ח.פ. עבור חברת ביטוח" dataDxfId="829"/>
    <tableColumn id="2" name="מספר מסלול" dataDxfId="828"/>
    <tableColumn id="3" name="שם מנפיק" dataDxfId="827"/>
    <tableColumn id="4" name="מספר מנפיק" dataDxfId="826"/>
    <tableColumn id="5" name="סוג מספר מזהה מנפיק" dataDxfId="825"/>
    <tableColumn id="6" name="שם נייר ערך" dataDxfId="824"/>
    <tableColumn id="7" name="מספר נייר ערך" dataDxfId="823"/>
    <tableColumn id="8" name="סוג מספר נייר ערך" dataDxfId="822"/>
    <tableColumn id="9" name="מאפיין עיקרי" dataDxfId="821"/>
    <tableColumn id="10" name="ישראל/חו&quot;ל" dataDxfId="820"/>
    <tableColumn id="11" name="מדינה לפי חשיפה כלכלית" dataDxfId="819"/>
    <tableColumn id="12" name="זירת מסחר" dataDxfId="818"/>
    <tableColumn id="13" name="ענף מסחר" dataDxfId="817"/>
    <tableColumn id="14" name="בעל עניין/צד קשור" dataDxfId="816"/>
    <tableColumn id="15" name="דירוג" dataDxfId="815"/>
    <tableColumn id="16" name="שם מדרג" dataDxfId="814"/>
    <tableColumn id="17" name="דירוג נייר הערך/המנפיק" dataDxfId="813"/>
    <tableColumn id="18" name="מטבע פעילות" dataDxfId="812"/>
    <tableColumn id="19" name="מח&quot;מ" dataDxfId="811"/>
    <tableColumn id="20" name="ריבית עוגן" dataDxfId="810"/>
    <tableColumn id="21" name="מועד פדיון" dataDxfId="809"/>
    <tableColumn id="22" name="שיעור ריבית" dataDxfId="808"/>
    <tableColumn id="23" name="תשואה לפדיון" dataDxfId="807"/>
    <tableColumn id="24" name="נחיתות חוזית" dataDxfId="806"/>
    <tableColumn id="25" name="האם סווג כחוב בעייתי" dataDxfId="805"/>
    <tableColumn id="26" name="ערך נקוב (יחידות)" dataDxfId="804"/>
    <tableColumn id="27" name="שער חליפין" dataDxfId="803"/>
    <tableColumn id="28" name="שער נייר הערך" dataDxfId="802"/>
    <tableColumn id="29" name="סכום לקבל (במטבע הפעילות)" dataDxfId="801"/>
    <tableColumn id="30" name="שווי הוגן (באלפי ש&quot;ח)" dataDxfId="800"/>
    <tableColumn id="31" name="עלות מופחתת (באלפי ש&quot;ח)" dataDxfId="799"/>
    <tableColumn id="32" name="עלות מופחתת (במטבע הפעילות)" dataDxfId="798"/>
    <tableColumn id="33" name="השיטה שיושמה בדוח הכספי" dataDxfId="797"/>
    <tableColumn id="34" name="שיעור מערך נקוב מונפק" dataDxfId="796"/>
    <tableColumn id="35" name="שיעור מנכסי אפיק ההשקעה" dataDxfId="795"/>
    <tableColumn id="36" name="שיעור מסך נכסי ההשקעה" dataDxfId="79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איגרות חוב" displayName="איגרות_חוב" ref="A2:AJ188" totalsRowShown="0" headerRowDxfId="793" headerRowBorderDxfId="792" tableBorderDxfId="791" totalsRowBorderDxfId="790">
  <autoFilter ref="A2:AJ188"/>
  <tableColumns count="36">
    <tableColumn id="1" name="מספר קופה/קרן/ח.פ. עבור חברת ביטוח" dataDxfId="789"/>
    <tableColumn id="2" name="מספר מסלול" dataDxfId="788"/>
    <tableColumn id="3" name="שם מנפיק" dataDxfId="787"/>
    <tableColumn id="4" name="מספר מנפיק" dataDxfId="786"/>
    <tableColumn id="5" name="סוג מספר מזהה מנפיק" dataDxfId="785"/>
    <tableColumn id="6" name="שם נייר ערך" dataDxfId="784"/>
    <tableColumn id="7" name="מספר נייר ערך" dataDxfId="783"/>
    <tableColumn id="8" name="סוג מספר נייר ערך" dataDxfId="782"/>
    <tableColumn id="9" name="מאפיין עיקרי" dataDxfId="781"/>
    <tableColumn id="10" name="ישראל/חו&quot;ל" dataDxfId="780"/>
    <tableColumn id="11" name="מדינה לפי חשיפה כלכלית" dataDxfId="779"/>
    <tableColumn id="12" name="סטאטוס סחירות" dataDxfId="778"/>
    <tableColumn id="13" name="זירת מסחר" dataDxfId="777"/>
    <tableColumn id="14" name="ענף מסחר" dataDxfId="776"/>
    <tableColumn id="15" name="בעל עניין/צד קשור" dataDxfId="775"/>
    <tableColumn id="16" name="דירוג" dataDxfId="774"/>
    <tableColumn id="17" name="שם מדרג" dataDxfId="773"/>
    <tableColumn id="18" name="דירוג נייר הערך/המנפיק" dataDxfId="772"/>
    <tableColumn id="19" name="מטבע פעילות" dataDxfId="771"/>
    <tableColumn id="20" name="מח&quot;מ" dataDxfId="770"/>
    <tableColumn id="21" name="מועד פדיון" dataDxfId="769"/>
    <tableColumn id="22" name="שיעור ריבית" dataDxfId="768"/>
    <tableColumn id="23" name="תשואה לפדיון" dataDxfId="767"/>
    <tableColumn id="24" name="נחיתות חוזית" dataDxfId="766"/>
    <tableColumn id="25" name="האם סווג כחוב בעייתי" dataDxfId="765"/>
    <tableColumn id="26" name="ערך נקוב (יחידות)" dataDxfId="764"/>
    <tableColumn id="27" name="שער חליפין" dataDxfId="763"/>
    <tableColumn id="28" name="שער נייר הערך" dataDxfId="762"/>
    <tableColumn id="29" name="סכום לקבל (במטבע הפעילות)" dataDxfId="761"/>
    <tableColumn id="30" name="שווי הוגן (באלפי ש&quot;ח)" dataDxfId="760"/>
    <tableColumn id="31" name="עלות מופחתת (באלפי ש&quot;ח)" dataDxfId="759"/>
    <tableColumn id="32" name="עלות מופחתת (במטבע הפעילות)" dataDxfId="758"/>
    <tableColumn id="33" name="השיטה שיושמה בדוח הכספי" dataDxfId="757"/>
    <tableColumn id="34" name="שיעור מערך נקוב מונפק" dataDxfId="756"/>
    <tableColumn id="35" name="שיעור מנכסי אפיק ההשקעה" dataDxfId="755"/>
    <tableColumn id="36" name="שיעור מסך נכסי ההשקעה" dataDxfId="754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מניות מבכ ויהש" displayName="מניות_מבכ_ויהש" ref="A2:X122" totalsRowShown="0" headerRowDxfId="753" headerRowBorderDxfId="752" tableBorderDxfId="751" totalsRowBorderDxfId="750">
  <autoFilter ref="A2:X122"/>
  <tableColumns count="24">
    <tableColumn id="1" name="מספר קופה/קרן/ח.פ. עבור חברת ביטוח" dataDxfId="749"/>
    <tableColumn id="2" name="מספר מסלול" dataDxfId="748"/>
    <tableColumn id="3" name="שם מנפיק" dataDxfId="747"/>
    <tableColumn id="4" name="מספר מנפיק" dataDxfId="746"/>
    <tableColumn id="5" name="סוג מספר מזהה מנפיק" dataDxfId="745"/>
    <tableColumn id="6" name="שם נייר ערך" dataDxfId="744"/>
    <tableColumn id="7" name="מספר נייר ערך" dataDxfId="743"/>
    <tableColumn id="8" name="סוג מספר נייר ערך" dataDxfId="742"/>
    <tableColumn id="9" name="מאפיין עיקרי" dataDxfId="741"/>
    <tableColumn id="10" name="ישראל/חו&quot;ל" dataDxfId="740"/>
    <tableColumn id="11" name="מדינה לפי חשיפה כלכלית" dataDxfId="739"/>
    <tableColumn id="12" name="סטאטוס סחירות" dataDxfId="738"/>
    <tableColumn id="13" name="זירת מסחר" dataDxfId="737"/>
    <tableColumn id="14" name="ענף מסחר" dataDxfId="736"/>
    <tableColumn id="15" name="בעל עניין/צד קשור" dataDxfId="735"/>
    <tableColumn id="16" name="מטבע פעילות" dataDxfId="734"/>
    <tableColumn id="17" name="ערך נקוב (יחידות)" dataDxfId="733"/>
    <tableColumn id="18" name="שער חליפין" dataDxfId="732"/>
    <tableColumn id="19" name="שער נייר הערך" dataDxfId="731"/>
    <tableColumn id="20" name="סכום לקבל (במטבע הפעילות)" dataDxfId="730"/>
    <tableColumn id="21" name="שווי הוגן (באלפי ש&quot;ח)" dataDxfId="729"/>
    <tableColumn id="22" name="שיעור מערך נקוב מונפק" dataDxfId="728"/>
    <tableColumn id="23" name="שיעור מנכסי אפיק ההשקעה" dataDxfId="727"/>
    <tableColumn id="24" name="שיעור מסך נכסי ההשקעה" dataDxfId="726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קרנות סל" displayName="קרנות_סל" ref="A2:W109" totalsRowShown="0" headerRowDxfId="725" dataDxfId="723" headerRowBorderDxfId="724" tableBorderDxfId="722" totalsRowBorderDxfId="721">
  <autoFilter ref="A2:W109"/>
  <tableColumns count="23">
    <tableColumn id="1" name="מספר קופה/קרן/ח.פ. עבור חברת ביטוח" dataDxfId="720"/>
    <tableColumn id="2" name="מספר מסלול" dataDxfId="719"/>
    <tableColumn id="3" name="שם מנפיק" dataDxfId="718"/>
    <tableColumn id="4" name="מספר מנפיק" dataDxfId="717"/>
    <tableColumn id="5" name="סוג מספר מזהה מנפיק" dataDxfId="716"/>
    <tableColumn id="6" name="שם נייר ערך" dataDxfId="715"/>
    <tableColumn id="7" name="מספר נייר ערך" dataDxfId="714"/>
    <tableColumn id="8" name="סוג מספר נייר ערך" dataDxfId="713"/>
    <tableColumn id="9" name="מאפיין עיקרי" dataDxfId="712"/>
    <tableColumn id="10" name="ישראל/חו&quot;ל" dataDxfId="711"/>
    <tableColumn id="11" name="מדינה לפי חשיפה כלכלית" dataDxfId="710"/>
    <tableColumn id="12" name="זירת מסחר" dataDxfId="709"/>
    <tableColumn id="13" name="סיווג הקרן" dataDxfId="708"/>
    <tableColumn id="14" name="בעל עניין/צד קשור" dataDxfId="707"/>
    <tableColumn id="15" name="מטבע פעילות" dataDxfId="706"/>
    <tableColumn id="16" name="ערך נקוב (יחידות)" dataDxfId="705"/>
    <tableColumn id="17" name="שער חליפין" dataDxfId="704"/>
    <tableColumn id="18" name="שער נייר הערך" dataDxfId="703"/>
    <tableColumn id="19" name="סכום לקבל (במטבע הפעילות)" dataDxfId="702"/>
    <tableColumn id="20" name="שווי הוגן (באלפי ש&quot;ח)" dataDxfId="701"/>
    <tableColumn id="21" name="שיעור מערך נקוב מונפק" dataDxfId="700"/>
    <tableColumn id="22" name="שיעור מנכסי אפיק ההשקעה" dataDxfId="699"/>
    <tableColumn id="23" name="שיעור מסך נכסי ההשקעה" dataDxfId="698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קרנות נאמנות" displayName="קרנות_נאמנות" ref="A2:W26" totalsRowShown="0" headerRowDxfId="697" dataDxfId="695" headerRowBorderDxfId="696" tableBorderDxfId="694" totalsRowBorderDxfId="693">
  <autoFilter ref="A2:W26"/>
  <tableColumns count="23">
    <tableColumn id="1" name="מספר קופה/קרן/ח.פ. עבור חברת ביטוח" dataDxfId="692"/>
    <tableColumn id="2" name="מספר מסלול" dataDxfId="691"/>
    <tableColumn id="3" name="שם מנפיק" dataDxfId="690"/>
    <tableColumn id="4" name="מספר מנפיק" dataDxfId="689"/>
    <tableColumn id="5" name="סוג מספר מזהה מנפיק" dataDxfId="688"/>
    <tableColumn id="6" name="שם נייר ערך" dataDxfId="687"/>
    <tableColumn id="7" name="מספר נייר ערך" dataDxfId="686"/>
    <tableColumn id="8" name="סוג מספר נייר ערך" dataDxfId="685"/>
    <tableColumn id="9" name="מאפיין עיקרי" dataDxfId="684"/>
    <tableColumn id="10" name="ישראל/חו&quot;ל" dataDxfId="683"/>
    <tableColumn id="11" name="מדינה לפי חשיפה כלכלית" dataDxfId="682"/>
    <tableColumn id="12" name="סטאטוס סחירות" dataDxfId="681"/>
    <tableColumn id="13" name="זירת מסחר" dataDxfId="680"/>
    <tableColumn id="14" name="סיווג הקרן" dataDxfId="679"/>
    <tableColumn id="15" name="בעל עניין/צד קשור" dataDxfId="678"/>
    <tableColumn id="16" name="מטבע פעילות" dataDxfId="677"/>
    <tableColumn id="17" name="ערך נקוב (יחידות)" dataDxfId="676"/>
    <tableColumn id="18" name="שער חליפין" dataDxfId="675"/>
    <tableColumn id="19" name="שער נייר הערך" dataDxfId="674"/>
    <tableColumn id="20" name="שווי הוגן (באלפי ש&quot;ח)" dataDxfId="673"/>
    <tableColumn id="21" name="שיעור מערך נקוב מונפק" dataDxfId="672"/>
    <tableColumn id="22" name="שיעור מנכסי אפיק ההשקעה" dataDxfId="671"/>
    <tableColumn id="23" name="שיעור מסך נכסי ההשקעה" dataDxfId="670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כתבי אופציה" displayName="כתבי_אופציה" ref="A2:Y8" totalsRowShown="0" headerRowDxfId="669" headerRowBorderDxfId="668" tableBorderDxfId="667" totalsRowBorderDxfId="666">
  <autoFilter ref="A2:Y8"/>
  <tableColumns count="25">
    <tableColumn id="1" name="מספר קופה/קרן/ח.פ. עבור חברת ביטוח" dataDxfId="665"/>
    <tableColumn id="2" name="מספר מסלול" dataDxfId="664"/>
    <tableColumn id="3" name="שם מנפיק" dataDxfId="663"/>
    <tableColumn id="4" name="מספר מנפיק" dataDxfId="662"/>
    <tableColumn id="5" name="סוג מספר מזהה מנפיק" dataDxfId="661"/>
    <tableColumn id="6" name="שם נייר ערך" dataDxfId="660"/>
    <tableColumn id="7" name="מספר נייר ערך" dataDxfId="659"/>
    <tableColumn id="8" name="סוג מספר נייר ערך" dataDxfId="658"/>
    <tableColumn id="9" name="ישראל/חו&quot;ל" dataDxfId="657"/>
    <tableColumn id="10" name="מדינה לפי חשיפה כלכלית" dataDxfId="656"/>
    <tableColumn id="11" name="סטאטוס סחירות" dataDxfId="655"/>
    <tableColumn id="12" name="זירת מסחר" dataDxfId="654"/>
    <tableColumn id="13" name="נכס בסיס (כתב אופציה)" dataDxfId="653"/>
    <tableColumn id="14" name="ענף מסחר" dataDxfId="652"/>
    <tableColumn id="15" name="תאריך פקיעה" dataDxfId="651"/>
    <tableColumn id="16" name="בעל עניין/צד קשור" dataDxfId="650"/>
    <tableColumn id="17" name="מטבע פעילות" dataDxfId="649"/>
    <tableColumn id="18" name="שער מימוש" dataDxfId="648"/>
    <tableColumn id="19" name="יחס המרה" dataDxfId="647"/>
    <tableColumn id="20" name="ערך נקוב (יחידות)" dataDxfId="646"/>
    <tableColumn id="21" name="שער חליפין" dataDxfId="645"/>
    <tableColumn id="22" name="שער נייר הערך" dataDxfId="644"/>
    <tableColumn id="23" name="שווי הוגן (באלפי ש&quot;ח)" dataDxfId="643"/>
    <tableColumn id="24" name="שיעור מנכסי אפיק ההשקעה" dataDxfId="642"/>
    <tableColumn id="25" name="שיעור מסך נכסי ההשקעה" dataDxfId="641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אופציות" displayName="אופציות" ref="A2:X10" totalsRowShown="0" headerRowDxfId="640" headerRowBorderDxfId="639" tableBorderDxfId="638" totalsRowBorderDxfId="637">
  <autoFilter ref="A2:X10"/>
  <tableColumns count="24">
    <tableColumn id="1" name="מספר קופה/קרן/ח.פ. עבור חברת ביטוח" dataDxfId="636"/>
    <tableColumn id="2" name="מספר מסלול" dataDxfId="635"/>
    <tableColumn id="3" name="שם מנפיק" dataDxfId="634"/>
    <tableColumn id="4" name="מספר מנפיק" dataDxfId="633"/>
    <tableColumn id="5" name="סוג מספר מזהה מנפיק" dataDxfId="632"/>
    <tableColumn id="6" name="שם נייר ערך" dataDxfId="631"/>
    <tableColumn id="7" name="מספר נייר ערך" dataDxfId="630"/>
    <tableColumn id="8" name="סוג מספר נייר ערך" dataDxfId="629"/>
    <tableColumn id="9" name="מאפיין עיקרי" dataDxfId="628"/>
    <tableColumn id="10" name="ישראל/חו&quot;ל" dataDxfId="627"/>
    <tableColumn id="11" name="מדינה לפי חשיפה כלכלית" dataDxfId="626"/>
    <tableColumn id="12" name="זירת מסחר" dataDxfId="625"/>
    <tableColumn id="13" name="ענף מסחר" dataDxfId="624"/>
    <tableColumn id="14" name="נכס בסיס" dataDxfId="623"/>
    <tableColumn id="15" name="תאריך פקיעה" dataDxfId="622"/>
    <tableColumn id="16" name="בעל עניין/צד קשור" dataDxfId="621"/>
    <tableColumn id="17" name="מטבע פעילות" dataDxfId="620"/>
    <tableColumn id="18" name="שער מימוש" dataDxfId="619"/>
    <tableColumn id="19" name="ערך נקוב (יחידות)" dataDxfId="618"/>
    <tableColumn id="20" name="שער חליפין" dataDxfId="617"/>
    <tableColumn id="21" name="שער נייר הערך" dataDxfId="616"/>
    <tableColumn id="22" name="שווי הוגן (באלפי ש&quot;ח)" dataDxfId="615"/>
    <tableColumn id="23" name="שיעור מנכסי אפיק ההשקעה" dataDxfId="614"/>
    <tableColumn id="24" name="שיעור מסך נכסי ההשקעה" dataDxfId="613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חוזים עתידיים" displayName="חוזים_עתידיים" ref="A2:T10" totalsRowShown="0" headerRowDxfId="612" headerRowBorderDxfId="611" tableBorderDxfId="610" totalsRowBorderDxfId="609">
  <autoFilter ref="A2:T10"/>
  <tableColumns count="20">
    <tableColumn id="1" name="מספר קופה/קרן/ח.פ. עבור חברת ביטוח" dataDxfId="608"/>
    <tableColumn id="2" name="מספר מסלול" dataDxfId="607"/>
    <tableColumn id="3" name="שם מנפיק" dataDxfId="606"/>
    <tableColumn id="4" name="מספר מנפיק" dataDxfId="605"/>
    <tableColumn id="5" name="סוג מספר מזהה מנפיק" dataDxfId="604"/>
    <tableColumn id="6" name="שם נייר ערך" dataDxfId="603"/>
    <tableColumn id="7" name="מספר נייר ערך" dataDxfId="602"/>
    <tableColumn id="8" name="סוג מספר נייר ערך" dataDxfId="601"/>
    <tableColumn id="9" name="ישראל/חו&quot;ל" dataDxfId="600"/>
    <tableColumn id="10" name="מדינה לפי חשיפה כלכלית" dataDxfId="599"/>
    <tableColumn id="11" name="זירת מסחר" dataDxfId="598"/>
    <tableColumn id="12" name="נכס בסיס" dataDxfId="597"/>
    <tableColumn id="13" name="בעל עניין/צד קשור" dataDxfId="596"/>
    <tableColumn id="14" name="מטבע פעילות" dataDxfId="595"/>
    <tableColumn id="15" name="ערך נקוב (יחידות)" dataDxfId="594"/>
    <tableColumn id="16" name="שער חליפין" dataDxfId="593"/>
    <tableColumn id="17" name="שער נייר הערך" dataDxfId="592"/>
    <tableColumn id="18" name="שווי הוגן (באלפי ש&quot;ח)" dataDxfId="591"/>
    <tableColumn id="19" name="שיעור מנכסי אפיק ההשקעה" dataDxfId="590"/>
    <tableColumn id="20" name="שיעור מסך נכסי ההשקעה" dataDxfId="589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מוצרים מובנים" displayName="מוצרים_מובנים" ref="A2:AB8" totalsRowShown="0" headerRowDxfId="588" headerRowBorderDxfId="587" tableBorderDxfId="586" totalsRowBorderDxfId="585">
  <autoFilter ref="A2:AB8"/>
  <tableColumns count="28">
    <tableColumn id="1" name="מספר קופה/קרן/ח.פ. עבור חברת ביטוח" dataDxfId="584"/>
    <tableColumn id="2" name="מספר מסלול" dataDxfId="583"/>
    <tableColumn id="3" name="שם מנפיק" dataDxfId="582"/>
    <tableColumn id="4" name="מספר מנפיק" dataDxfId="581"/>
    <tableColumn id="5" name="סוג מספר מזהה מנפיק" dataDxfId="580"/>
    <tableColumn id="6" name="שם נייר ערך" dataDxfId="579"/>
    <tableColumn id="7" name="מספר נייר ערך" dataDxfId="578"/>
    <tableColumn id="8" name="סוג מספר נייר ערך" dataDxfId="577"/>
    <tableColumn id="9" name="מאפיין עיקרי" dataDxfId="576"/>
    <tableColumn id="10" name="ישראל/חו&quot;ל" dataDxfId="575"/>
    <tableColumn id="11" name="מדינה לפי חשיפה כלכלית" dataDxfId="574"/>
    <tableColumn id="12" name="סטאטוס סחירות" dataDxfId="573"/>
    <tableColumn id="13" name="זירת מסחר" dataDxfId="572"/>
    <tableColumn id="14" name="נכס בסיס" dataDxfId="571"/>
    <tableColumn id="15" name="בעל עניין/צד קשור" dataDxfId="570"/>
    <tableColumn id="16" name="מח&quot;מ" dataDxfId="569"/>
    <tableColumn id="17" name="שיעור ריבית" dataDxfId="568"/>
    <tableColumn id="18" name="תשואה לפדיון" dataDxfId="567"/>
    <tableColumn id="19" name="דירוג" dataDxfId="566"/>
    <tableColumn id="20" name="שם מדרג" dataDxfId="565"/>
    <tableColumn id="21" name="דירוג נייר הערך/המנפיק" dataDxfId="564"/>
    <tableColumn id="22" name="מטבע פעילות" dataDxfId="563"/>
    <tableColumn id="23" name="ערך נקוב (יחידות)" dataDxfId="562"/>
    <tableColumn id="24" name="שער חליפין" dataDxfId="561"/>
    <tableColumn id="25" name="שער נייר הערך" dataDxfId="560"/>
    <tableColumn id="26" name="שווי הוגן (באלפי ש&quot;ח)" dataDxfId="559"/>
    <tableColumn id="27" name="שיעור מנכסי אפיק ההשקעה" dataDxfId="558"/>
    <tableColumn id="28" name="שיעור מסך נכסי ההשקעה" dataDxfId="557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לא סחיר איגרות חוב ממשלתיות" displayName="לא_סחיר_איגרות_חוב_ממשלתיות" ref="A2:Y8" totalsRowShown="0" headerRowDxfId="556" headerRowBorderDxfId="555" tableBorderDxfId="554" totalsRowBorderDxfId="553">
  <autoFilter ref="A2:Y8"/>
  <tableColumns count="25">
    <tableColumn id="1" name="מספר קופה/קרן/ח.פ. עבור חברת ביטוח" dataDxfId="552"/>
    <tableColumn id="2" name="מספר מסלול" dataDxfId="551"/>
    <tableColumn id="3" name="שם מנפיק" dataDxfId="550"/>
    <tableColumn id="4" name="שם נייר ערך" dataDxfId="549"/>
    <tableColumn id="5" name="מספר נייר ערך" dataDxfId="548"/>
    <tableColumn id="6" name="סוג מספר נייר ערך" dataDxfId="547"/>
    <tableColumn id="7" name="מאפיין עיקרי" dataDxfId="546"/>
    <tableColumn id="8" name="ישראל/חו&quot;ל" dataDxfId="545"/>
    <tableColumn id="9" name="מדינה לפי חשיפה כלכלית" dataDxfId="544"/>
    <tableColumn id="10" name="תאריך רכישה" dataDxfId="543"/>
    <tableColumn id="11" name="דירוג" dataDxfId="542"/>
    <tableColumn id="12" name="שם מדרג" dataDxfId="541"/>
    <tableColumn id="13" name="מטבע פעילות" dataDxfId="540"/>
    <tableColumn id="14" name="מח&quot;מ" dataDxfId="539"/>
    <tableColumn id="15" name="מועד פדיון" dataDxfId="538"/>
    <tableColumn id="16" name="שיעור ריבית" dataDxfId="537"/>
    <tableColumn id="17" name="תשואה לפדיון" dataDxfId="536"/>
    <tableColumn id="18" name="ערך נקוב (יחידות)" dataDxfId="535"/>
    <tableColumn id="19" name="שער חליפין" dataDxfId="534"/>
    <tableColumn id="20" name="שער נייר הערך" dataDxfId="533"/>
    <tableColumn id="21" name="שווי הוגן (באלפי ש&quot;ח)" dataDxfId="532"/>
    <tableColumn id="22" name="עלות מופחתת (באלפי ש&quot;ח)" dataDxfId="531"/>
    <tableColumn id="23" name="השיטה שיושמה בדוח הכספי" dataDxfId="530"/>
    <tableColumn id="24" name="שיעור מנכסי אפיק ההשקעה" dataDxfId="529"/>
    <tableColumn id="25" name="שיעור מסך נכסי ההשקעה" dataDxfId="528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לא סחיר איגרות חוב מיועדות" displayName="לא_סחיר_איגרות_חוב_מיועדות" ref="A2:R8" totalsRowShown="0" headerRowDxfId="527" headerRowBorderDxfId="526" tableBorderDxfId="525" totalsRowBorderDxfId="524">
  <autoFilter ref="A2:R8"/>
  <tableColumns count="18">
    <tableColumn id="1" name="מספר קופה/קרן/ח.פ. עבור חברת ביטוח" dataDxfId="523"/>
    <tableColumn id="2" name="מספר מסלול" dataDxfId="522"/>
    <tableColumn id="3" name="מאפיין עיקרי" dataDxfId="521"/>
    <tableColumn id="4" name="שם נייר ערך" dataDxfId="520"/>
    <tableColumn id="5" name="מספר נייר ערך" dataDxfId="519"/>
    <tableColumn id="6" name="תאריך רכישה" dataDxfId="518"/>
    <tableColumn id="7" name="מח&quot;מ" dataDxfId="517"/>
    <tableColumn id="8" name="סוג הצמדה" dataDxfId="516"/>
    <tableColumn id="9" name="מועד פדיון" dataDxfId="515"/>
    <tableColumn id="10" name="שיעור ריבית" dataDxfId="514"/>
    <tableColumn id="11" name="תשואה לפדיון" dataDxfId="513"/>
    <tableColumn id="12" name="ערך נקוב (יחידות)" dataDxfId="512"/>
    <tableColumn id="13" name="שער נייר הערך" dataDxfId="511"/>
    <tableColumn id="14" name="שווי הוגן (באלפי ש&quot;ח)" dataDxfId="510"/>
    <tableColumn id="15" name="עלות מופחתת (באלפי ש&quot;ח)" dataDxfId="509"/>
    <tableColumn id="16" name="השיטה שיושמה בדוח הכספי" dataDxfId="508"/>
    <tableColumn id="17" name="שיעור מנכסי אפיק ההשקעה" dataDxfId="507"/>
    <tableColumn id="18" name="שיעור מסך נכסי ההשקעה" dataDxfId="506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אפיק השקעה מובטח תשואה" displayName="אפיק_השקעה_מובטח_תשואה" ref="A2:G8" totalsRowShown="0" headerRowDxfId="505" headerRowBorderDxfId="504" tableBorderDxfId="503" totalsRowBorderDxfId="502">
  <autoFilter ref="A2:G8"/>
  <tableColumns count="7">
    <tableColumn id="1" name="מספר קרן" dataDxfId="501"/>
    <tableColumn id="2" name="מספר מסלול" dataDxfId="500"/>
    <tableColumn id="3" name="מאפיין עיקרי" dataDxfId="499"/>
    <tableColumn id="4" name="חודש הנפקת שכבה" dataDxfId="498"/>
    <tableColumn id="5" name="חודש הבדיקה" dataDxfId="497"/>
    <tableColumn id="6" name="שווי הנכסים באפיק (באלפי ש&quot;ח)" dataDxfId="496"/>
    <tableColumn id="7" name="שיעור מסך נכסי ההשקעה" dataDxfId="495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לא סחיר ניירות ערך מסחריים" displayName="לא_סחיר_ניירות_ערך_מסחריים" ref="A2:AN8" totalsRowShown="0" headerRowDxfId="494" headerRowBorderDxfId="493" tableBorderDxfId="492" totalsRowBorderDxfId="491">
  <autoFilter ref="A2:AN8"/>
  <tableColumns count="40">
    <tableColumn id="1" name="מספר קופה/קרן/ח.פ. עבור חברת ביטוח" dataDxfId="490"/>
    <tableColumn id="2" name="מספר מסלול" dataDxfId="489"/>
    <tableColumn id="3" name="שם מנפיק" dataDxfId="488"/>
    <tableColumn id="4" name="מספר מנפיק" dataDxfId="487"/>
    <tableColumn id="5" name="סוג מספר מזהה מנפיק" dataDxfId="486"/>
    <tableColumn id="6" name="שם נייר ערך" dataDxfId="485"/>
    <tableColumn id="7" name="מספר נייר ערך" dataDxfId="484"/>
    <tableColumn id="8" name="סוג מספר נייר ערך" dataDxfId="483"/>
    <tableColumn id="9" name="מאפיין עיקרי" dataDxfId="482"/>
    <tableColumn id="10" name="ישראל/חו&quot;ל" dataDxfId="481"/>
    <tableColumn id="11" name="מדינה לפי חשיפה כלכלית" dataDxfId="480"/>
    <tableColumn id="12" name="ענף מסחר" dataDxfId="479"/>
    <tableColumn id="13" name="בעל עניין/צד קשור" dataDxfId="478"/>
    <tableColumn id="14" name="תאריך רכישה" dataDxfId="477"/>
    <tableColumn id="15" name="דירוג" dataDxfId="476"/>
    <tableColumn id="16" name="שם מדרג" dataDxfId="475"/>
    <tableColumn id="17" name="דירוג נייר הערך/המנפיק" dataDxfId="474"/>
    <tableColumn id="18" name="מטבע פעילות" dataDxfId="473"/>
    <tableColumn id="19" name="מח&quot;מ" dataDxfId="472"/>
    <tableColumn id="20" name="סוג הצמדה" dataDxfId="471"/>
    <tableColumn id="21" name="ריבית עוגן" dataDxfId="470"/>
    <tableColumn id="22" name="מועד פדיון" dataDxfId="469"/>
    <tableColumn id="23" name="שיעור ריבית" dataDxfId="468"/>
    <tableColumn id="24" name="תשואה לפדיון" dataDxfId="467"/>
    <tableColumn id="25" name="נחיתות חוזית" dataDxfId="466"/>
    <tableColumn id="26" name="האם סווג כחוב בעייתי" dataDxfId="465"/>
    <tableColumn id="27" name="סוג גורם משערך" dataDxfId="464"/>
    <tableColumn id="28" name="תלות/אי-תלות המשערך" dataDxfId="463"/>
    <tableColumn id="29" name="שם גורם משערך" dataDxfId="462"/>
    <tableColumn id="30" name="תאריך שערוך אחרון" dataDxfId="461"/>
    <tableColumn id="31" name="תאריך אחרון בו נבחנה בפועל ירידת ערך" dataDxfId="460"/>
    <tableColumn id="32" name="ערך נקוב (יחידות)" dataDxfId="459"/>
    <tableColumn id="33" name="שער חליפין" dataDxfId="458"/>
    <tableColumn id="34" name="שער נייר הערך" dataDxfId="457"/>
    <tableColumn id="35" name="שווי הוגן (באלפי ש&quot;ח)" dataDxfId="456"/>
    <tableColumn id="36" name="עלות מופחתת (באלפי ש&quot;ח)" dataDxfId="455"/>
    <tableColumn id="37" name="עלות מופחתת (במטבע הפעילות)" dataDxfId="454"/>
    <tableColumn id="38" name="השיטה שיושמה בדוח הכספי" dataDxfId="453"/>
    <tableColumn id="39" name="שיעור מנכסי אפיק ההשקעה" dataDxfId="452"/>
    <tableColumn id="40" name="שיעור מסך נכסי ההשקעה" dataDxfId="451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לא סחיר איגרות חוב" displayName="לא_סחיר_איגרות_חוב" ref="A2:AL30" totalsRowShown="0" headerRowDxfId="450" headerRowBorderDxfId="449" tableBorderDxfId="448" totalsRowBorderDxfId="447">
  <autoFilter ref="A2:AL30"/>
  <tableColumns count="38">
    <tableColumn id="1" name="מספר קופה/קרן/ח.פ. עבור חברת ביטוח" dataDxfId="446"/>
    <tableColumn id="2" name="מספר מסלול" dataDxfId="445"/>
    <tableColumn id="3" name="שם מנפיק" dataDxfId="444"/>
    <tableColumn id="4" name="מספר מנפיק" dataDxfId="443"/>
    <tableColumn id="5" name="סוג מספר מזהה מנפיק" dataDxfId="442"/>
    <tableColumn id="6" name="שם נייר ערך" dataDxfId="441"/>
    <tableColumn id="7" name="מספר נייר ערך" dataDxfId="440"/>
    <tableColumn id="8" name="סוג מספר נייר ערך" dataDxfId="439"/>
    <tableColumn id="9" name="מאפיין עיקרי" dataDxfId="438"/>
    <tableColumn id="10" name="ישראל/חו&quot;ל" dataDxfId="437"/>
    <tableColumn id="11" name="מדינה לפי חשיפה כלכלית" dataDxfId="436"/>
    <tableColumn id="12" name="סטאטוס סחירות" dataDxfId="435"/>
    <tableColumn id="13" name="ענף מסחר" dataDxfId="434"/>
    <tableColumn id="14" name="בעל עניין/צד קשור" dataDxfId="433"/>
    <tableColumn id="15" name="תאריך רכישה" dataDxfId="432"/>
    <tableColumn id="16" name="דירוג" dataDxfId="431"/>
    <tableColumn id="17" name="שם מדרג" dataDxfId="430"/>
    <tableColumn id="18" name="דירוג נייר הערך/המנפיק" dataDxfId="429"/>
    <tableColumn id="19" name="מטבע פעילות" dataDxfId="428"/>
    <tableColumn id="20" name="מח&quot;מ" dataDxfId="427"/>
    <tableColumn id="21" name="מועד פדיון" dataDxfId="426"/>
    <tableColumn id="22" name="תשואה לפדיון" dataDxfId="425"/>
    <tableColumn id="23" name="שיעור ריבית" dataDxfId="424"/>
    <tableColumn id="24" name="נחיתות חוזית" dataDxfId="423"/>
    <tableColumn id="25" name="האם סווג כחוב בעייתי" dataDxfId="422"/>
    <tableColumn id="26" name="סוג גורם משערך" dataDxfId="421"/>
    <tableColumn id="27" name="תלות/אי-תלות המשערך" dataDxfId="420"/>
    <tableColumn id="28" name="תאריך שערוך אחרון" dataDxfId="419"/>
    <tableColumn id="29" name="תאריך אחרון בו נבחנה בפועל ירידת ערך" dataDxfId="418"/>
    <tableColumn id="30" name="ערך נקוב (יחידות)" dataDxfId="417"/>
    <tableColumn id="31" name="שער חליפין" dataDxfId="416"/>
    <tableColumn id="32" name="שער נייר הערך" dataDxfId="415"/>
    <tableColumn id="33" name="שווי הוגן (באלפי ש&quot;ח)" dataDxfId="414"/>
    <tableColumn id="34" name="עלות מופחתת (באלפי ש&quot;ח)" dataDxfId="413"/>
    <tableColumn id="35" name="עלות מופחתת (במטבע הפעילות)" dataDxfId="412"/>
    <tableColumn id="36" name="השיטה שיושמה בדוח הכספי" dataDxfId="411"/>
    <tableColumn id="37" name="שיעור מנכסי אפיק ההשקעה" dataDxfId="410"/>
    <tableColumn id="38" name="שיעור מסך נכסי ההשקעה" dataDxfId="409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לא סחיר מניות מבכ ויהש" displayName="לא_סחיר_מניות_מבכ_ויהש" ref="A2:Z12" totalsRowShown="0" headerRowDxfId="408" headerRowBorderDxfId="407" tableBorderDxfId="406" totalsRowBorderDxfId="405">
  <autoFilter ref="A2:Z12"/>
  <tableColumns count="26">
    <tableColumn id="1" name="מספר קופה/קרן/ח.פ. עבור חברת ביטוח" dataDxfId="404"/>
    <tableColumn id="2" name="מספר מסלול" dataDxfId="403"/>
    <tableColumn id="3" name="שם מנפיק" dataDxfId="402"/>
    <tableColumn id="4" name="מספר מנפיק" dataDxfId="401"/>
    <tableColumn id="5" name="סוג מספר מזהה מנפיק" dataDxfId="400"/>
    <tableColumn id="6" name="שם נייר ערך" dataDxfId="399"/>
    <tableColumn id="7" name="מספר נייר ערך" dataDxfId="398"/>
    <tableColumn id="8" name="סוג מספר נייר ערך" dataDxfId="397"/>
    <tableColumn id="9" name="מאפיין עיקרי" dataDxfId="396"/>
    <tableColumn id="10" name="ישראל/חו&quot;ל" dataDxfId="395"/>
    <tableColumn id="11" name="מדינה לפי חשיפה כלכלית" dataDxfId="394"/>
    <tableColumn id="12" name="סטאטוס סחירות" dataDxfId="393"/>
    <tableColumn id="13" name="ענף מסחר" dataDxfId="392"/>
    <tableColumn id="14" name="בעל עניין/צד קשור" dataDxfId="391"/>
    <tableColumn id="15" name="תאריך רכישה" dataDxfId="390"/>
    <tableColumn id="16" name="מטבע פעילות" dataDxfId="389"/>
    <tableColumn id="17" name="סוג גורם משערך" dataDxfId="388"/>
    <tableColumn id="18" name="תלות/אי-תלות המשערך" dataDxfId="387"/>
    <tableColumn id="19" name="תאריך שערוך אחרון" dataDxfId="386"/>
    <tableColumn id="20" name="תאריך אחרון בו נבחנה בפועל ירידת ערך" dataDxfId="385"/>
    <tableColumn id="21" name="ערך נקוב (יחידות)" dataDxfId="384"/>
    <tableColumn id="22" name="שער חליפין" dataDxfId="383"/>
    <tableColumn id="23" name="שער נייר הערך" dataDxfId="382"/>
    <tableColumn id="24" name="שווי הוגן (באלפי ש&quot;ח)" dataDxfId="381"/>
    <tableColumn id="25" name="שיעור מנכסי אפיק ההשקעה" dataDxfId="380"/>
    <tableColumn id="26" name="שיעור מסך נכסי ההשקעה" dataDxfId="379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קרנות השקעה" displayName="קרנות_השקעה" ref="A2:Z197" totalsRowShown="0" headerRowDxfId="378" headerRowBorderDxfId="377" tableBorderDxfId="376" totalsRowBorderDxfId="375">
  <autoFilter ref="A2:Z197"/>
  <tableColumns count="26">
    <tableColumn id="1" name="מספר קופה/קרן/ח.פ. עבור חברת ביטוח" dataDxfId="374"/>
    <tableColumn id="2" name="מספר מסלול" dataDxfId="373"/>
    <tableColumn id="3" name="שם שותף כללי קרן השקעות" dataDxfId="372"/>
    <tableColumn id="4" name="מספר מזהה שותף כללי קרן השקעות" dataDxfId="371"/>
    <tableColumn id="5" name="סוג מספר מזהה שותף כללי קרן השקעות" dataDxfId="370"/>
    <tableColumn id="6" name="שם קרן השקעה" dataDxfId="369"/>
    <tableColumn id="7" name="מספר מזהה קרן השקעה" dataDxfId="368"/>
    <tableColumn id="8" name="סוג מספר מזהה קרן השקעות" dataDxfId="367"/>
    <tableColumn id="9" name="מאפיין עיקרי" dataDxfId="366"/>
    <tableColumn id="10" name="אסטרטגיית קרן ההשקעה" dataDxfId="365"/>
    <tableColumn id="11" name="ישראל/חו&quot;ל" dataDxfId="364"/>
    <tableColumn id="12" name="מדינת התאגדות קרן השקעה" dataDxfId="363"/>
    <tableColumn id="13" name="מיקום משרד השותף הכללי" dataDxfId="362"/>
    <tableColumn id="14" name="מדינה לפי חשיפה כלכלית" dataDxfId="361"/>
    <tableColumn id="15" name="בעל עניין/צד קשור" dataDxfId="360"/>
    <tableColumn id="16" name="תאריך רכישה" dataDxfId="359"/>
    <tableColumn id="17" name="מטבע פעילות" dataDxfId="358"/>
    <tableColumn id="18" name="סוג גורם משערך" dataDxfId="357"/>
    <tableColumn id="19" name="תלות/אי-תלות המשערך" dataDxfId="356"/>
    <tableColumn id="20" name="תאריך שערוך אחרון" dataDxfId="355"/>
    <tableColumn id="21" name="שער חליפין" dataDxfId="354"/>
    <tableColumn id="22" name="NAV (במטבע הדיווח של קרן ההשקעה)" dataDxfId="353"/>
    <tableColumn id="23" name="שווי הוגן (באלפי ש&quot;ח)" dataDxfId="352"/>
    <tableColumn id="24" name="שיעור החזקה בקרן השקעה" dataDxfId="351"/>
    <tableColumn id="25" name="שיעור מנכסי אפיק ההשקעה" dataDxfId="350"/>
    <tableColumn id="26" name="שיעור מסך נכסי ההשקעה" dataDxfId="349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לא סחיר כתבי אופציה" displayName="לא_סחיר_כתבי_אופציה" ref="A2:AB8" totalsRowShown="0" headerRowDxfId="348" headerRowBorderDxfId="347" tableBorderDxfId="346" totalsRowBorderDxfId="345">
  <autoFilter ref="A2:AB8"/>
  <tableColumns count="28">
    <tableColumn id="1" name="מספר קופה/קרן/ח.פ. עבור חברת ביטוח" dataDxfId="344"/>
    <tableColumn id="2" name="מספר מסלול" dataDxfId="343"/>
    <tableColumn id="3" name="שם מנפיק" dataDxfId="342"/>
    <tableColumn id="4" name="מספר מנפיק" dataDxfId="341"/>
    <tableColumn id="5" name="סוג מספר מזהה מנפיק" dataDxfId="340"/>
    <tableColumn id="6" name="שם נייר ערך" dataDxfId="339"/>
    <tableColumn id="7" name="מספר נייר ערך" dataDxfId="338"/>
    <tableColumn id="8" name="סוג מספר נייר ערך" dataDxfId="337"/>
    <tableColumn id="9" name="ישראל/חו&quot;ל" dataDxfId="336"/>
    <tableColumn id="10" name="מדינה לפי חשיפה כלכלית" dataDxfId="335"/>
    <tableColumn id="11" name="סטאטוס סחירות" dataDxfId="334"/>
    <tableColumn id="12" name="נכס בסיס (כתב אופציה)" dataDxfId="333"/>
    <tableColumn id="13" name="ענף מסחר" dataDxfId="332"/>
    <tableColumn id="14" name="תאריך פקיעה" dataDxfId="331"/>
    <tableColumn id="15" name="בעל עניין/צד קשור" dataDxfId="330"/>
    <tableColumn id="16" name="תאריך רכישה" dataDxfId="329"/>
    <tableColumn id="17" name="מטבע פעילות" dataDxfId="328"/>
    <tableColumn id="18" name="סוג גורם משערך" dataDxfId="327"/>
    <tableColumn id="19" name="תלות/אי-תלות המשערך" dataDxfId="326"/>
    <tableColumn id="20" name="תאריך שערוך אחרון" dataDxfId="325"/>
    <tableColumn id="21" name="שער מימוש" dataDxfId="324"/>
    <tableColumn id="22" name="יחס המרה" dataDxfId="323"/>
    <tableColumn id="23" name="ערך נקוב (יחידות)" dataDxfId="322"/>
    <tableColumn id="24" name="שער נייר הערך" dataDxfId="321"/>
    <tableColumn id="25" name="שער חליפין" dataDxfId="320"/>
    <tableColumn id="26" name="שווי הוגן (באלפי ש&quot;ח)" dataDxfId="319"/>
    <tableColumn id="27" name="שיעור מנכסי אפיק ההשקעה" dataDxfId="318"/>
    <tableColumn id="28" name="שיעור מסך נכסי ההשקעה" dataDxfId="317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לא סחיר אופציות" displayName="לא_סחיר_אופציות" ref="A2:AB8" totalsRowShown="0" headerRowDxfId="316" headerRowBorderDxfId="315" tableBorderDxfId="314" totalsRowBorderDxfId="313">
  <autoFilter ref="A2:AB8"/>
  <tableColumns count="28">
    <tableColumn id="1" name="מספר קופה/קרן/ח.פ. עבור חברת ביטוח" dataDxfId="312"/>
    <tableColumn id="2" name="מספר מסלול" dataDxfId="311"/>
    <tableColumn id="3" name="שם מנפיק" dataDxfId="310"/>
    <tableColumn id="4" name="מספר מנפיק" dataDxfId="309"/>
    <tableColumn id="5" name="סוג מספר מזהה מנפיק" dataDxfId="308"/>
    <tableColumn id="6" name="שם נייר ערך" dataDxfId="307"/>
    <tableColumn id="7" name="מספר נייר ערך" dataDxfId="306"/>
    <tableColumn id="8" name="סוג מספר נייר ערך" dataDxfId="305"/>
    <tableColumn id="9" name="מאפיין עיקרי" dataDxfId="304"/>
    <tableColumn id="10" name="ישראל/חו&quot;ל" dataDxfId="303"/>
    <tableColumn id="11" name="מדינה לפי חשיפה כלכלית" dataDxfId="302"/>
    <tableColumn id="12" name="ענף מסחר" dataDxfId="301"/>
    <tableColumn id="13" name="נכס בסיס" dataDxfId="300"/>
    <tableColumn id="14" name="תאריך פקיעה" dataDxfId="299"/>
    <tableColumn id="15" name="בעל עניין/צד קשור" dataDxfId="298"/>
    <tableColumn id="16" name="תאריך רכישה" dataDxfId="297"/>
    <tableColumn id="17" name="מטבע פעילות" dataDxfId="296"/>
    <tableColumn id="18" name="סוג גורם משערך" dataDxfId="295"/>
    <tableColumn id="19" name="תלות/אי-תלות המשערך" dataDxfId="294"/>
    <tableColumn id="20" name="תאריך שערוך אחרון" dataDxfId="293"/>
    <tableColumn id="21" name="שער מימוש" dataDxfId="292"/>
    <tableColumn id="22" name="יחס המרה" dataDxfId="291"/>
    <tableColumn id="23" name="ערך נקוב (יחידות)" dataDxfId="290"/>
    <tableColumn id="24" name="שער נייר הערך" dataDxfId="289"/>
    <tableColumn id="25" name="שער חליפין" dataDxfId="288"/>
    <tableColumn id="26" name="שווי הוגן (באלפי ש&quot;ח)" dataDxfId="287"/>
    <tableColumn id="27" name="שיעור מנכסי אפיק ההשקעה" dataDxfId="286"/>
    <tableColumn id="28" name="שיעור מסך נכסי ההשקעה" dataDxfId="285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לא סחיר נגזרים אחרים" displayName="לא_סחיר_נגזרים_אחרים" ref="A2:AO20" totalsRowShown="0" headerRowDxfId="284" headerRowBorderDxfId="283" tableBorderDxfId="282" totalsRowBorderDxfId="281">
  <autoFilter ref="A2:AO20"/>
  <tableColumns count="41">
    <tableColumn id="1" name="מספר קופה/קרן/ח.פ. עבור חברת ביטוח" dataDxfId="280"/>
    <tableColumn id="2" name="מספר מסלול" dataDxfId="279"/>
    <tableColumn id="3" name="מאפיין עיקרי" dataDxfId="278"/>
    <tableColumn id="4" name="מספר עסקה (רגל 1)" dataDxfId="277"/>
    <tableColumn id="5" name="מטבע פעילות (רגל 1)" dataDxfId="276"/>
    <tableColumn id="6" name="שער חליפין (רגל 1)" dataDxfId="275"/>
    <tableColumn id="7" name="ערך נקוב (רגל 1)" dataDxfId="274"/>
    <tableColumn id="8" name="שווי הוגן במטבע הנסחר (רגל 1)" dataDxfId="273"/>
    <tableColumn id="9" name="שיעור מנכסי אפיק ההשקעה (רגל 1)" dataDxfId="272"/>
    <tableColumn id="10" name="שיעור מסך נכסי ההשקעה (רגל 1)" dataDxfId="271"/>
    <tableColumn id="11" name="מספר עסקה (רגל 2)" dataDxfId="270"/>
    <tableColumn id="12" name="מטבע פעילות (רגל 2)" dataDxfId="269"/>
    <tableColumn id="13" name="שער חליפין (רגל 2)" dataDxfId="268"/>
    <tableColumn id="14" name="ערך נקוב (רגל 2)" dataDxfId="267"/>
    <tableColumn id="15" name="שווי הוגן במטבע הנסחר (רגל 2)" dataDxfId="266"/>
    <tableColumn id="16" name="שיעור מנכסי אפיק ההשקעה (רגל 2)" dataDxfId="265"/>
    <tableColumn id="17" name="שיעור מסך נכסי ההשקעה (רגל 2)" dataDxfId="264"/>
    <tableColumn id="18" name="שווי הוגן (נטו באלפי ש&quot;ח)" dataDxfId="263"/>
    <tableColumn id="19" name="ישראל/חו&quot;ל" dataDxfId="262"/>
    <tableColumn id="20" name="מדינה לפי חשיפה כלכלית" dataDxfId="261"/>
    <tableColumn id="21" name="סוג הנכס" dataDxfId="260"/>
    <tableColumn id="22" name="פקטור מוביל" dataDxfId="259"/>
    <tableColumn id="23" name="פקטור נוסף" dataDxfId="258"/>
    <tableColumn id="24" name="טיקר" dataDxfId="257"/>
    <tableColumn id="25" name="בעל עניין/צד קשור" dataDxfId="256"/>
    <tableColumn id="26" name="מועד ההתקשרות בעסקה" dataDxfId="255"/>
    <tableColumn id="27" name="מועד סיום חוזי" dataDxfId="254"/>
    <tableColumn id="28" name="תדירות Reset" dataDxfId="253"/>
    <tableColumn id="29" name="סוג הסליקה" dataDxfId="252"/>
    <tableColumn id="30" name="נספח התחשבנות בטחונות - CSA" dataDxfId="251"/>
    <tableColumn id="31" name="גורם מצטט" dataDxfId="250"/>
    <tableColumn id="32" name="ריבית עוגן" dataDxfId="249"/>
    <tableColumn id="33" name="תקופת ריבית עוגן" dataDxfId="248"/>
    <tableColumn id="34" name="שיעור ריבית עוגן" dataDxfId="247"/>
    <tableColumn id="35" name="שער נכס הבסיס במועד ההתקשרות בעסקה" dataDxfId="246"/>
    <tableColumn id="36" name="שער הנגזר במועד ההתקשרות בעסקה" dataDxfId="245"/>
    <tableColumn id="37" name="האם קיים קנס בגין יציאה מוקדמת" dataDxfId="244"/>
    <tableColumn id="38" name="שיעור הקנס בגין יציאה מוקדמת" dataDxfId="243"/>
    <tableColumn id="39" name="צד נגדי - Counterparty" dataDxfId="242"/>
    <tableColumn id="40" name="שיעור מנכסי אפיק ההשקעה" dataDxfId="241"/>
    <tableColumn id="41" name="שיעור מסך נכסי ההשקעה" dataDxfId="240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הלוואות" displayName="הלוואות" ref="A2:BA12" totalsRowShown="0" headerRowDxfId="239" headerRowBorderDxfId="238" tableBorderDxfId="237" totalsRowBorderDxfId="236">
  <autoFilter ref="A2:BA12"/>
  <tableColumns count="53">
    <tableColumn id="1" name="מספר קופה/קרן/ח.פ. עבור חברת ביטוח" dataDxfId="235"/>
    <tableColumn id="2" name="מספר מסלול" dataDxfId="234"/>
    <tableColumn id="3" name="מספר מזהה לווה" dataDxfId="233"/>
    <tableColumn id="4" name="סוג מספר מזהה לווה" dataDxfId="232"/>
    <tableColumn id="5" name="שם הלוואה" dataDxfId="231"/>
    <tableColumn id="6" name="מספר הלוואה" dataDxfId="230"/>
    <tableColumn id="7" name="מאפיין עיקרי" dataDxfId="229"/>
    <tableColumn id="8" name="מאפיין הלוואות מתואמות עבור זכויות מקרקעין" dataDxfId="228"/>
    <tableColumn id="9" name="ישראל/חו&quot;ל" dataDxfId="227"/>
    <tableColumn id="10" name="מדינה לפי חשיפה כלכלית" dataDxfId="226"/>
    <tableColumn id="11" name="ענף מסחר" dataDxfId="225"/>
    <tableColumn id="12" name="בעל עניין/צד קשור" dataDxfId="224"/>
    <tableColumn id="13" name="קונסורציום/ סינדיקציה" dataDxfId="223"/>
    <tableColumn id="14" name="מספר קונסורציום/ סינדיקציה" dataDxfId="222"/>
    <tableColumn id="15" name="תאריך העמדת הלוואה" dataDxfId="221"/>
    <tableColumn id="16" name="דירוג" dataDxfId="220"/>
    <tableColumn id="17" name="שם מדרג" dataDxfId="219"/>
    <tableColumn id="18" name="דירוג הלוואה/המנפיק" dataDxfId="218"/>
    <tableColumn id="19" name="מטבע פעילות" dataDxfId="217"/>
    <tableColumn id="20" name="מח&quot;מ" dataDxfId="216"/>
    <tableColumn id="21" name="סוג הריבית" dataDxfId="215"/>
    <tableColumn id="22" name="שיעור ריבית" dataDxfId="214"/>
    <tableColumn id="23" name="סוג הצמדה" dataDxfId="213"/>
    <tableColumn id="24" name="ריבית עוגן" dataDxfId="212"/>
    <tableColumn id="25" name="שיעור תוספת/הפחתה לריבית העוגן" dataDxfId="211"/>
    <tableColumn id="26" name="תשואה לפדיון" dataDxfId="210"/>
    <tableColumn id="27" name="מועד פדיון" dataDxfId="209"/>
    <tableColumn id="28" name="נחיתות חוזית" dataDxfId="208"/>
    <tableColumn id="29" name="סוג בטוחה" dataDxfId="207"/>
    <tableColumn id="30" name="שווי הבטוחות העומדות כנגד ההלוואה" dataDxfId="206"/>
    <tableColumn id="31" name="שיעור הבטוחות מהחוב" dataDxfId="205"/>
    <tableColumn id="32" name="מועד עדכון אחרון לשווי הבטוחות" dataDxfId="204"/>
    <tableColumn id="33" name="זכות חזרה" dataDxfId="203"/>
    <tableColumn id="34" name="מבנה לוח סילוקין" dataDxfId="202"/>
    <tableColumn id="35" name="יעוד הלוואה" dataDxfId="201"/>
    <tableColumn id="36" name="זכות פירעון מוקדם" dataDxfId="200"/>
    <tableColumn id="37" name="סוג גורם משערך" dataDxfId="199"/>
    <tableColumn id="38" name="שם גורם משערך" dataDxfId="198"/>
    <tableColumn id="39" name="תלות/אי-תלות המשערך" dataDxfId="197"/>
    <tableColumn id="40" name="תאריך שערוך אחרון" dataDxfId="196"/>
    <tableColumn id="41" name="תאריך אחרון בו נבחנה בפועל ירידת ערך" dataDxfId="195"/>
    <tableColumn id="42" name="שיעור ריבית בגין אי-ניצול מסגרת האשראי" dataDxfId="194"/>
    <tableColumn id="43" name="ערך נקוב" dataDxfId="193"/>
    <tableColumn id="44" name="שער הלוואה" dataDxfId="192"/>
    <tableColumn id="45" name="שער חליפין" dataDxfId="191"/>
    <tableColumn id="46" name="שווי הוגן (באלפי ש&quot;ח)" dataDxfId="190"/>
    <tableColumn id="47" name="שווי הוגן (במטבע הפעילות)" dataDxfId="189"/>
    <tableColumn id="48" name="עלות מופחתת (באלפי ש&quot;ח)" dataDxfId="188"/>
    <tableColumn id="49" name="עלות מופחתת (במטבע הפעילות)" dataDxfId="187"/>
    <tableColumn id="50" name="האם סווג כחוב בעייתי" dataDxfId="186"/>
    <tableColumn id="51" name="השיטה שיושמה בדוח הכספי" dataDxfId="185"/>
    <tableColumn id="52" name="שיעור מנכסי אפיק ההשקעה" dataDxfId="184"/>
    <tableColumn id="53" name="שיעור מסך נכסי ההשקעה" dataDxfId="183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לא סחיר מוצרים מובנים" displayName="לא_סחיר_מוצרים_מובנים" ref="A2:AD8" totalsRowShown="0" headerRowDxfId="182" headerRowBorderDxfId="181" tableBorderDxfId="180" totalsRowBorderDxfId="179">
  <autoFilter ref="A2:AD8"/>
  <tableColumns count="30">
    <tableColumn id="1" name="מספר קופה/קרן/ח.פ. עבור חברת ביטוח" dataDxfId="178"/>
    <tableColumn id="2" name="מספר מסלול" dataDxfId="177"/>
    <tableColumn id="3" name="שם מנפיק" dataDxfId="176"/>
    <tableColumn id="4" name="מספר מנפיק" dataDxfId="175"/>
    <tableColumn id="5" name="סוג מספר מזהה מנפיק" dataDxfId="174"/>
    <tableColumn id="6" name="שם נייר ערך" dataDxfId="173"/>
    <tableColumn id="7" name="מספר נייר ערך" dataDxfId="172"/>
    <tableColumn id="8" name="סוג מספר נייר ערך" dataDxfId="171"/>
    <tableColumn id="9" name="מאפיין עיקרי" dataDxfId="170"/>
    <tableColumn id="10" name="ישראל/חו&quot;ל" dataDxfId="169"/>
    <tableColumn id="11" name="מדינה לפי חשיפה כלכלית" dataDxfId="168"/>
    <tableColumn id="12" name="בעל עניין/צד קשור" dataDxfId="167"/>
    <tableColumn id="13" name="נכס בסיס" dataDxfId="166"/>
    <tableColumn id="14" name="תאריך רכישה" dataDxfId="165"/>
    <tableColumn id="15" name="דירוג" dataDxfId="164"/>
    <tableColumn id="16" name="שם מדרג" dataDxfId="163"/>
    <tableColumn id="17" name="דירוג נייר הערך/המנפיק" dataDxfId="162"/>
    <tableColumn id="18" name="מטבע פעילות" dataDxfId="161"/>
    <tableColumn id="19" name="מח&quot;מ" dataDxfId="160"/>
    <tableColumn id="20" name="שיעור ריבית" dataDxfId="159"/>
    <tableColumn id="21" name="תשואה לפדיון" dataDxfId="158"/>
    <tableColumn id="22" name="סוג גורם משערך" dataDxfId="157"/>
    <tableColumn id="23" name="תלות/אי-תלות המשערך" dataDxfId="156"/>
    <tableColumn id="24" name="תאריך שערוך אחרון" dataDxfId="155"/>
    <tableColumn id="25" name="ערך נקוב (יחידות)" dataDxfId="154"/>
    <tableColumn id="26" name="שער חליפין" dataDxfId="153"/>
    <tableColumn id="27" name="שער נייר הערך" dataDxfId="152"/>
    <tableColumn id="28" name="שווי הוגן (באלפי ש&quot;ח)" dataDxfId="151"/>
    <tableColumn id="29" name="שיעור מנכסי אפיק ההשקעה" dataDxfId="150"/>
    <tableColumn id="30" name="שיעור מסך נכסי ההשקעה" dataDxfId="149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פיקדונות מעל 3 חודשים" displayName="פיקדונות_מעל_3_חודשים" ref="A2:V8" totalsRowShown="0" headerRowDxfId="148" headerRowBorderDxfId="147" tableBorderDxfId="146" totalsRowBorderDxfId="145">
  <autoFilter ref="A2:V8"/>
  <tableColumns count="22">
    <tableColumn id="1" name="מספר קופה/קרן/ח.פ. עבור חברת ביטוח" dataDxfId="144"/>
    <tableColumn id="2" name="מספר מסלול" dataDxfId="143"/>
    <tableColumn id="3" name="שם הבנק" dataDxfId="142"/>
    <tableColumn id="4" name="מספר מזהה בנק" dataDxfId="141"/>
    <tableColumn id="5" name="סוג מספר מזהה בנק" dataDxfId="140"/>
    <tableColumn id="6" name="מאפיין עיקרי" dataDxfId="139"/>
    <tableColumn id="7" name="תאריך פקיעת פיקדון" dataDxfId="138"/>
    <tableColumn id="8" name="ישראל/חו&quot;ל" dataDxfId="137"/>
    <tableColumn id="9" name="מדינה לפי חשיפה כלכלית" dataDxfId="136"/>
    <tableColumn id="10" name="בעל עניין/צד קשור" dataDxfId="135"/>
    <tableColumn id="11" name="דירוג הבנק" dataDxfId="134"/>
    <tableColumn id="12" name="שם מדרג" dataDxfId="133"/>
    <tableColumn id="13" name="מטבע פעילות" dataDxfId="132"/>
    <tableColumn id="14" name="מח&quot;מ" dataDxfId="131"/>
    <tableColumn id="15" name="שיעור ריבית" dataDxfId="130"/>
    <tableColumn id="16" name="תשואה לפדיון" dataDxfId="129"/>
    <tableColumn id="17" name="שווי מטבעי" dataDxfId="128"/>
    <tableColumn id="18" name="שער חליפין" dataDxfId="127"/>
    <tableColumn id="19" name="שער פיקדון" dataDxfId="126"/>
    <tableColumn id="20" name="שווי הוגן (באלפי ש&quot;ח)" dataDxfId="125"/>
    <tableColumn id="21" name="שיעור מנכסי אפיק ההשקעה" dataDxfId="124"/>
    <tableColumn id="22" name="שיעור מסך נכסי ההשקעה" dataDxfId="123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זכויות מקרקעין" displayName="זכויות_מקרקעין" ref="A2:X8" totalsRowShown="0" headerRowDxfId="122" headerRowBorderDxfId="121" tableBorderDxfId="120" totalsRowBorderDxfId="119">
  <autoFilter ref="A2:X8"/>
  <tableColumns count="24">
    <tableColumn id="1" name="מספר קופה/קרן/ח.פ. עבור חברת ביטוח" dataDxfId="118"/>
    <tableColumn id="2" name="מספר מסלול" dataDxfId="117"/>
    <tableColumn id="3" name="שם הנכס" dataDxfId="116"/>
    <tableColumn id="4" name="מאפיין עיקרי" dataDxfId="115"/>
    <tableColumn id="5" name="מדינת מיקום נדל&quot;ן" dataDxfId="114"/>
    <tableColumn id="6" name="בעל עניין/צד קשור" dataDxfId="113"/>
    <tableColumn id="7" name="תאריך רכישה" dataDxfId="112"/>
    <tableColumn id="8" name="שימוש עיקרי בנכס" dataDxfId="111"/>
    <tableColumn id="9" name="מחזור חיי הנכס" dataDxfId="110"/>
    <tableColumn id="10" name="כתובת הנכס" dataDxfId="109"/>
    <tableColumn id="11" name="שיעור תשואה בפועל במהלך הרבעון" dataDxfId="108"/>
    <tableColumn id="12" name="השיטה שבאמצעותה נקבע שווי הנכס" dataDxfId="107"/>
    <tableColumn id="13" name="סוג גורם משערך" dataDxfId="106"/>
    <tableColumn id="14" name="שם גורם משערך" dataDxfId="105"/>
    <tableColumn id="15" name="תלות/אי-תלות המשערך" dataDxfId="104"/>
    <tableColumn id="16" name="תאריך שערוך אחרון" dataDxfId="103"/>
    <tableColumn id="17" name="מטבע פעילות" dataDxfId="102"/>
    <tableColumn id="18" name="שווי הוגן (במטבע הפעילות)" dataDxfId="101"/>
    <tableColumn id="19" name="שווי הוגן (באלפי ש&quot;ח)" dataDxfId="100"/>
    <tableColumn id="20" name="עלות מופחתת (באלפי ש&quot;ח)" dataDxfId="99"/>
    <tableColumn id="21" name="עלות מופחתת (במטבע הפעילות)" dataDxfId="98"/>
    <tableColumn id="22" name="השיטה שיושמה בדוח הכספי" dataDxfId="97"/>
    <tableColumn id="23" name="שיעור מנכסי אפיק ההשקעה" dataDxfId="96"/>
    <tableColumn id="24" name="שיעור מסך נכסי ההשקעה" dataDxfId="95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השקעה בחברות מוחזקות" displayName="השקעה_בחברות_מוחזקות" ref="A2:W8" totalsRowShown="0" headerRowDxfId="94" headerRowBorderDxfId="93" tableBorderDxfId="92" totalsRowBorderDxfId="91">
  <autoFilter ref="A2:W8"/>
  <tableColumns count="23">
    <tableColumn id="1" name="מספר קופה/קרן/ח.פ. עבור חברת ביטוח" dataDxfId="90"/>
    <tableColumn id="2" name="מספר מסלול" dataDxfId="89"/>
    <tableColumn id="3" name="שם מנפיק" dataDxfId="88"/>
    <tableColumn id="4" name="מספר מנפיק" dataDxfId="87"/>
    <tableColumn id="5" name="סוג מספר מזהה מנפיק" dataDxfId="86"/>
    <tableColumn id="6" name="שם נייר ערך" dataDxfId="85"/>
    <tableColumn id="7" name="מספר נייר ערך" dataDxfId="84"/>
    <tableColumn id="8" name="סוג מספר נייר ערך" dataDxfId="83"/>
    <tableColumn id="9" name="מאפיין עיקרי" dataDxfId="82"/>
    <tableColumn id="10" name="ישראל/חו&quot;ל" dataDxfId="81"/>
    <tableColumn id="11" name="מדינה לפי חשיפה כלכלית" dataDxfId="80"/>
    <tableColumn id="12" name="ענף מסחר" dataDxfId="79"/>
    <tableColumn id="13" name="בעל עניין/צד קשור" dataDxfId="78"/>
    <tableColumn id="14" name="מטבע פעילות" dataDxfId="77"/>
    <tableColumn id="15" name="סוג גורם משערך" dataDxfId="76"/>
    <tableColumn id="16" name="תלות/אי-תלות המשערך" dataDxfId="75"/>
    <tableColumn id="17" name="תאריך שערוך אחרון" dataDxfId="74"/>
    <tableColumn id="18" name="תאריך אחרון בו נבחנה בפועל ירידת ערך" dataDxfId="73"/>
    <tableColumn id="19" name="שיעור אחזקה באמצעי שליטה" dataDxfId="72"/>
    <tableColumn id="20" name="שווי מאזני (באלפי ש&quot;ח)" dataDxfId="71"/>
    <tableColumn id="21" name="שווי הוגן (באלפי ש&quot;ח)" dataDxfId="70"/>
    <tableColumn id="22" name="שיעור מנכסי אפיק ההשקעה" dataDxfId="69"/>
    <tableColumn id="23" name="שיעור מסך נכסי ההשקעה" dataDxfId="68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נכסים אחרים" displayName="נכסים_אחרים" ref="A2:R8" totalsRowShown="0" headerRowDxfId="67" headerRowBorderDxfId="66" tableBorderDxfId="65" totalsRowBorderDxfId="64">
  <autoFilter ref="A2:R8"/>
  <tableColumns count="18">
    <tableColumn id="1" name="מספר קופה/קרן/ח.פ. עבור חברת ביטוח" dataDxfId="63"/>
    <tableColumn id="2" name="מספר מסלול" dataDxfId="62"/>
    <tableColumn id="3" name="שם הנכס האחר" dataDxfId="61"/>
    <tableColumn id="4" name="מספר הנכס האחר" dataDxfId="60"/>
    <tableColumn id="5" name="מאפיין עיקרי" dataDxfId="59"/>
    <tableColumn id="6" name="ישראל/חו&quot;ל" dataDxfId="58"/>
    <tableColumn id="7" name="מדינה לפי חשיפה כלכלית" dataDxfId="57"/>
    <tableColumn id="8" name="בעל עניין/צד קשור" dataDxfId="56"/>
    <tableColumn id="9" name="תאריך עסקה" dataDxfId="55"/>
    <tableColumn id="10" name="מטבע פעילות" dataDxfId="54"/>
    <tableColumn id="11" name="תאריך שערוך אחרון" dataDxfId="53"/>
    <tableColumn id="12" name="שווי מטבעי" dataDxfId="52"/>
    <tableColumn id="13" name="שער חליפין" dataDxfId="51"/>
    <tableColumn id="14" name="שווי הוגן (באלפי ש&quot;ח)" dataDxfId="50"/>
    <tableColumn id="15" name="עלות מופחתת (באלפי ש&quot;ח)" dataDxfId="49"/>
    <tableColumn id="16" name="השיטה שיושמה בדוח הכספי" dataDxfId="48"/>
    <tableColumn id="17" name="שיעור מנכסי אפיק ההשקעה" dataDxfId="47"/>
    <tableColumn id="18" name="שיעור מסך נכסי ההשקעה" dataDxfId="46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מסגרות אשראי" displayName="מסגרות_אשראי" ref="A2:T8" totalsRowShown="0" headerRowDxfId="45" headerRowBorderDxfId="44" tableBorderDxfId="43" totalsRowBorderDxfId="42">
  <autoFilter ref="A2:T8"/>
  <tableColumns count="20">
    <tableColumn id="1" name="מספר קופה/קרן/ח.פ. עבור חברת ביטוח" dataDxfId="41"/>
    <tableColumn id="2" name="מספר מסלול" dataDxfId="40"/>
    <tableColumn id="3" name="מספר מזהה לווה" dataDxfId="39"/>
    <tableColumn id="4" name="סוג מספר מזהה לווה" dataDxfId="38"/>
    <tableColumn id="5" name="שם הלוואה" dataDxfId="37"/>
    <tableColumn id="6" name="מספר הלוואה" dataDxfId="36"/>
    <tableColumn id="7" name="תאריך העמדת מסגרת אשראי" dataDxfId="35"/>
    <tableColumn id="8" name="ישראל/חו&quot;ל" dataDxfId="34"/>
    <tableColumn id="9" name="מדינה לפי חשיפה כלכלית" dataDxfId="33"/>
    <tableColumn id="10" name="בעל עניין/צד קשור" dataDxfId="32"/>
    <tableColumn id="11" name="דירוג" dataDxfId="31"/>
    <tableColumn id="12" name="שם מדרג" dataDxfId="30"/>
    <tableColumn id="13" name="דירוג הלוואה/המנפיק" dataDxfId="29"/>
    <tableColumn id="14" name="מטבע פעילות" dataDxfId="28"/>
    <tableColumn id="15" name="שער חליפין" dataDxfId="27"/>
    <tableColumn id="16" name="שיעור ריבית" dataDxfId="26"/>
    <tableColumn id="17" name="סוג הריבית" dataDxfId="25"/>
    <tableColumn id="18" name="סכום מסגרת האשראי הראשוני (במטבע הפעילות)" dataDxfId="24"/>
    <tableColumn id="19" name="סכום מסגרת האשראי הראשוני (באלפי ש&quot;ח)" dataDxfId="23"/>
    <tableColumn id="20" name="שיעור יתרת מסגרת אשראי" dataDxfId="22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יתרות התחייבות להשקעה" displayName="יתרות_התחייבות_להשקעה" ref="A2:Q161" totalsRowShown="0" headerRowDxfId="21" dataDxfId="19" headerRowBorderDxfId="20" tableBorderDxfId="18" totalsRowBorderDxfId="17">
  <autoFilter ref="A2:Q161"/>
  <tableColumns count="17">
    <tableColumn id="1" name="מספר קופה/קרן/ח.פ. עבור חברת ביטוח" dataDxfId="16"/>
    <tableColumn id="2" name="מספר מסלול" dataDxfId="15"/>
    <tableColumn id="3" name="מאפיין עיקרי" dataDxfId="14"/>
    <tableColumn id="4" name="שם שותף כללי קרן השקעות" dataDxfId="13"/>
    <tableColumn id="5" name="מספר מזהה שותף כללי קרן השקעות" dataDxfId="12"/>
    <tableColumn id="6" name="סוג מספר מזהה שותף כללי קרן השקעות" dataDxfId="11"/>
    <tableColumn id="7" name="שם קרן השקעה" dataDxfId="10"/>
    <tableColumn id="8" name="מספר מזהה קרן השקעה" dataDxfId="9"/>
    <tableColumn id="9" name="סוג מספר מזהה קרן השקעות" dataDxfId="8"/>
    <tableColumn id="10" name="מטבע פעילות" dataDxfId="7"/>
    <tableColumn id="11" name="תאריך העמדת התחייבות לקרן השקעה" dataDxfId="6"/>
    <tableColumn id="12" name="סכום המחויבות הראשוני (במטבע הדיווח של קרן ההשקעה)" dataDxfId="5"/>
    <tableColumn id="13" name="סכום המחויבות הראשוני (באלפי ש&quot;ח)" dataDxfId="4"/>
    <tableColumn id="14" name="יתרת המחויבות לתקופת הדיווח (במטבע הדיווח של קרן ההשקעה)" dataDxfId="3"/>
    <tableColumn id="15" name="יתרת המחויבות לתקופת הדיווח (באלפי ש&quot;ח)" dataDxfId="2"/>
    <tableColumn id="16" name="שיעור יתרת המחויבות" dataDxfId="1"/>
    <tableColumn id="17" name="תאריך פקיעת מחויבות להשקעה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rightToLeft="1" workbookViewId="0"/>
  </sheetViews>
  <sheetFormatPr defaultRowHeight="14.25" x14ac:dyDescent="0.2"/>
  <cols>
    <col min="1" max="1" width="23.625" bestFit="1" customWidth="1"/>
    <col min="2" max="2" width="10.125" bestFit="1" customWidth="1"/>
  </cols>
  <sheetData>
    <row r="1" spans="1:2" x14ac:dyDescent="0.2">
      <c r="A1" t="s">
        <v>2554</v>
      </c>
    </row>
    <row r="2" spans="1:2" ht="15" x14ac:dyDescent="0.25">
      <c r="A2" s="124" t="s">
        <v>2505</v>
      </c>
      <c r="B2" s="125" t="s">
        <v>2506</v>
      </c>
    </row>
    <row r="3" spans="1:2" x14ac:dyDescent="0.2">
      <c r="A3" s="126" t="s">
        <v>2507</v>
      </c>
      <c r="B3" s="133" t="s">
        <v>2514</v>
      </c>
    </row>
    <row r="4" spans="1:2" x14ac:dyDescent="0.2">
      <c r="A4" s="126" t="s">
        <v>1224</v>
      </c>
      <c r="B4" s="133" t="s">
        <v>2514</v>
      </c>
    </row>
    <row r="5" spans="1:2" x14ac:dyDescent="0.2">
      <c r="A5" s="126" t="s">
        <v>30</v>
      </c>
      <c r="B5" s="133" t="s">
        <v>2514</v>
      </c>
    </row>
    <row r="6" spans="1:2" x14ac:dyDescent="0.2">
      <c r="A6" s="126" t="s">
        <v>39</v>
      </c>
      <c r="B6" s="133" t="s">
        <v>2514</v>
      </c>
    </row>
    <row r="7" spans="1:2" x14ac:dyDescent="0.2">
      <c r="A7" s="126" t="s">
        <v>31</v>
      </c>
      <c r="B7" s="133" t="s">
        <v>2514</v>
      </c>
    </row>
    <row r="8" spans="1:2" x14ac:dyDescent="0.2">
      <c r="A8" s="126" t="s">
        <v>32</v>
      </c>
      <c r="B8" s="133" t="s">
        <v>2514</v>
      </c>
    </row>
    <row r="9" spans="1:2" x14ac:dyDescent="0.2">
      <c r="A9" s="126" t="s">
        <v>1162</v>
      </c>
      <c r="B9" s="133" t="s">
        <v>2514</v>
      </c>
    </row>
    <row r="10" spans="1:2" ht="15" x14ac:dyDescent="0.2">
      <c r="A10" s="127" t="s">
        <v>33</v>
      </c>
      <c r="B10" s="133" t="s">
        <v>2514</v>
      </c>
    </row>
    <row r="11" spans="1:2" x14ac:dyDescent="0.2">
      <c r="A11" s="126" t="s">
        <v>34</v>
      </c>
      <c r="B11" s="133" t="s">
        <v>2514</v>
      </c>
    </row>
    <row r="12" spans="1:2" x14ac:dyDescent="0.2">
      <c r="A12" s="126" t="s">
        <v>35</v>
      </c>
      <c r="B12" s="133" t="s">
        <v>2514</v>
      </c>
    </row>
    <row r="13" spans="1:2" x14ac:dyDescent="0.2">
      <c r="A13" s="126" t="s">
        <v>36</v>
      </c>
      <c r="B13" s="133" t="s">
        <v>2514</v>
      </c>
    </row>
    <row r="14" spans="1:2" x14ac:dyDescent="0.2">
      <c r="A14" s="126" t="s">
        <v>37</v>
      </c>
      <c r="B14" s="133" t="s">
        <v>2514</v>
      </c>
    </row>
    <row r="15" spans="1:2" x14ac:dyDescent="0.2">
      <c r="A15" s="126" t="s">
        <v>38</v>
      </c>
      <c r="B15" s="133" t="s">
        <v>2514</v>
      </c>
    </row>
    <row r="16" spans="1:2" x14ac:dyDescent="0.2">
      <c r="A16" s="126" t="s">
        <v>40</v>
      </c>
      <c r="B16" s="133" t="s">
        <v>2514</v>
      </c>
    </row>
    <row r="17" spans="1:2" x14ac:dyDescent="0.2">
      <c r="A17" s="126" t="s">
        <v>41</v>
      </c>
      <c r="B17" s="133" t="s">
        <v>2514</v>
      </c>
    </row>
    <row r="18" spans="1:2" ht="15" x14ac:dyDescent="0.2">
      <c r="A18" s="127" t="s">
        <v>652</v>
      </c>
      <c r="B18" s="133" t="s">
        <v>2514</v>
      </c>
    </row>
    <row r="19" spans="1:2" x14ac:dyDescent="0.2">
      <c r="A19" s="126" t="s">
        <v>42</v>
      </c>
      <c r="B19" s="133" t="s">
        <v>2514</v>
      </c>
    </row>
    <row r="20" spans="1:2" x14ac:dyDescent="0.2">
      <c r="A20" s="126" t="s">
        <v>43</v>
      </c>
      <c r="B20" s="133" t="s">
        <v>2514</v>
      </c>
    </row>
    <row r="21" spans="1:2" x14ac:dyDescent="0.2">
      <c r="A21" s="126" t="s">
        <v>1163</v>
      </c>
      <c r="B21" s="133" t="s">
        <v>2514</v>
      </c>
    </row>
    <row r="22" spans="1:2" x14ac:dyDescent="0.2">
      <c r="A22" s="126" t="s">
        <v>44</v>
      </c>
      <c r="B22" s="133" t="s">
        <v>2514</v>
      </c>
    </row>
    <row r="23" spans="1:2" x14ac:dyDescent="0.2">
      <c r="A23" s="126" t="s">
        <v>45</v>
      </c>
      <c r="B23" s="133" t="s">
        <v>2514</v>
      </c>
    </row>
    <row r="24" spans="1:2" x14ac:dyDescent="0.2">
      <c r="A24" s="126" t="s">
        <v>46</v>
      </c>
      <c r="B24" s="133" t="s">
        <v>2514</v>
      </c>
    </row>
    <row r="25" spans="1:2" x14ac:dyDescent="0.2">
      <c r="A25" s="126" t="s">
        <v>449</v>
      </c>
      <c r="B25" s="133" t="s">
        <v>2514</v>
      </c>
    </row>
    <row r="26" spans="1:2" x14ac:dyDescent="0.2">
      <c r="A26" s="126" t="s">
        <v>47</v>
      </c>
      <c r="B26" s="133" t="s">
        <v>2514</v>
      </c>
    </row>
    <row r="27" spans="1:2" x14ac:dyDescent="0.2">
      <c r="A27" s="126" t="s">
        <v>48</v>
      </c>
      <c r="B27" s="133" t="s">
        <v>2514</v>
      </c>
    </row>
    <row r="28" spans="1:2" x14ac:dyDescent="0.2">
      <c r="A28" s="126" t="s">
        <v>49</v>
      </c>
      <c r="B28" s="133" t="s">
        <v>2514</v>
      </c>
    </row>
    <row r="29" spans="1:2" x14ac:dyDescent="0.2">
      <c r="A29" s="126" t="s">
        <v>50</v>
      </c>
      <c r="B29" s="133" t="s">
        <v>2514</v>
      </c>
    </row>
    <row r="30" spans="1:2" x14ac:dyDescent="0.2">
      <c r="A30" s="128" t="s">
        <v>493</v>
      </c>
      <c r="B30" s="133" t="s">
        <v>2514</v>
      </c>
    </row>
    <row r="31" spans="1:2" x14ac:dyDescent="0.2">
      <c r="A31" s="126" t="s">
        <v>51</v>
      </c>
      <c r="B31" s="133" t="s">
        <v>2514</v>
      </c>
    </row>
    <row r="32" spans="1:2" x14ac:dyDescent="0.2">
      <c r="A32" s="126" t="s">
        <v>732</v>
      </c>
      <c r="B32" s="133" t="s">
        <v>2514</v>
      </c>
    </row>
    <row r="33" spans="1:2" x14ac:dyDescent="0.2">
      <c r="A33" s="129" t="s">
        <v>748</v>
      </c>
      <c r="B33" s="134" t="s">
        <v>2514</v>
      </c>
    </row>
    <row r="34" spans="1:2" x14ac:dyDescent="0.2">
      <c r="A34" s="1" t="s">
        <v>2520</v>
      </c>
    </row>
  </sheetData>
  <hyperlinks>
    <hyperlink ref="B3" location="'עמוד פתיחה'!B2" display="מעבר לגליון"/>
    <hyperlink ref="B4" location="'סכום נכסים'!B2" display="מעבר לגליון"/>
    <hyperlink ref="B5" location="'מזומנים ושווי מזומנים'!B2" display="מעבר לגליון"/>
    <hyperlink ref="B6" location="'איגרות חוב ממשלתיות'!B2" display="מעבר לגליון"/>
    <hyperlink ref="B7" location="'ניירות ערך מסחריים'!B2" display="מעבר לגליון"/>
    <hyperlink ref="B8" location="'איגרות חוב'!B2" display="מעבר לגליון"/>
    <hyperlink ref="B9" location="'מניות מבכ ויהש'!B2" display="מעבר לגליון"/>
    <hyperlink ref="B10" location="'קרנות סל'!B2" display="מעבר לגליון"/>
    <hyperlink ref="B11" location="'קרנות נאמנות'!B2" display="מעבר לגליון"/>
    <hyperlink ref="B12" location="'כתבי אופציה'!B2" display="מעבר לגליון"/>
    <hyperlink ref="B13" location="'אופציות'!B2" display="מעבר לגליון"/>
    <hyperlink ref="B14" location="'חוזים עתידיים'!B2" display="מעבר לגליון"/>
    <hyperlink ref="B15" location="'מוצרים מובנים'!B2" display="מעבר לגליון"/>
    <hyperlink ref="B16" location="'לא סחיר איגרות חוב ממשלתיות'!B2" display="מעבר לגליון"/>
    <hyperlink ref="B17" location="'לא סחיר איגרות חוב מיועדות'!B2" display="מעבר לגליון"/>
    <hyperlink ref="B18" location="'אפיק השקעה מובטח תשואה'!B2" display="מעבר לגליון"/>
    <hyperlink ref="B19" location="'לא סחיר ניירות ערך מסחריים'!B2" display="מעבר לגליון"/>
    <hyperlink ref="B20" location="'לא סחיר איגרות חוב'!B2" display="מעבר לגליון"/>
    <hyperlink ref="B21" location="'לא סחיר מניות מבכ ויהש'!B2" display="מעבר לגליון"/>
    <hyperlink ref="B22" location="'קרנות השקעה'!B2" display="מעבר לגליון"/>
    <hyperlink ref="B23" location="'לא סחיר כתבי אופציה'!B2" display="מעבר לגליון"/>
    <hyperlink ref="B24" location="'לא סחיר אופציות'!B2" display="מעבר לגליון"/>
    <hyperlink ref="B25" location="'לא סחיר נגזרים אחרים'!B2" display="מעבר לגליון"/>
    <hyperlink ref="B26" location="'הלוואות'!B2" display="מעבר לגליון"/>
    <hyperlink ref="B27" location="'לא סחיר מוצרים מובנים'!B2" display="מעבר לגליון"/>
    <hyperlink ref="B28" location="'פיקדונות מעל 3 חודשים'!B2" display="מעבר לגליון"/>
    <hyperlink ref="B29" location="'זכויות מקרקעין'!B2" display="מעבר לגליון"/>
    <hyperlink ref="B30" location="'השקעה בחברות מוחזקות'!B2" display="מעבר לגליון"/>
    <hyperlink ref="B31" location="'נכסים אחרים'!B2" display="מעבר לגליון"/>
    <hyperlink ref="B32" location="'מסגרות אשראי'!B2" display="מעבר לגליון"/>
    <hyperlink ref="B33" location="'יתרות התחייבות להשקעה'!B2" display="מעבר לגליון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-0.24994659260841701"/>
  </sheetPr>
  <dimension ref="A1:D25"/>
  <sheetViews>
    <sheetView showGridLines="0" rightToLeft="1" workbookViewId="0">
      <pane xSplit="4" ySplit="24" topLeftCell="E25" activePane="bottomRight" state="frozen"/>
      <selection pane="topRight" activeCell="E1" sqref="E1"/>
      <selection pane="bottomLeft" activeCell="A24" sqref="A24"/>
      <selection pane="bottomRight" activeCell="A22" sqref="A22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x14ac:dyDescent="0.2">
      <c r="A1" t="s">
        <v>2523</v>
      </c>
    </row>
    <row r="2" spans="1:4" ht="18" x14ac:dyDescent="0.2">
      <c r="A2" s="140" t="s">
        <v>815</v>
      </c>
      <c r="B2" s="140"/>
      <c r="C2" s="140"/>
      <c r="D2" s="140"/>
    </row>
    <row r="3" spans="1:4" x14ac:dyDescent="0.2"/>
    <row r="4" spans="1:4" ht="15" x14ac:dyDescent="0.2">
      <c r="A4" t="s">
        <v>494</v>
      </c>
      <c r="D4" s="80" t="s">
        <v>776</v>
      </c>
    </row>
    <row r="5" spans="1:4" x14ac:dyDescent="0.2"/>
    <row r="6" spans="1:4" ht="15" x14ac:dyDescent="0.2">
      <c r="A6" t="s">
        <v>584</v>
      </c>
      <c r="D6" s="80" t="s">
        <v>585</v>
      </c>
    </row>
    <row r="7" spans="1:4" x14ac:dyDescent="0.2"/>
    <row r="8" spans="1:4" ht="15" x14ac:dyDescent="0.2">
      <c r="A8" t="s">
        <v>574</v>
      </c>
      <c r="D8" s="132" t="s">
        <v>501</v>
      </c>
    </row>
    <row r="9" spans="1:4" ht="15" x14ac:dyDescent="0.2">
      <c r="D9" s="17"/>
    </row>
    <row r="10" spans="1:4" ht="15" x14ac:dyDescent="0.2">
      <c r="A10" t="s">
        <v>575</v>
      </c>
      <c r="D10" s="80">
        <v>2026</v>
      </c>
    </row>
    <row r="11" spans="1:4" x14ac:dyDescent="0.2"/>
    <row r="12" spans="1:4" ht="15" x14ac:dyDescent="0.2">
      <c r="A12" t="s">
        <v>559</v>
      </c>
      <c r="D12" s="80" t="s">
        <v>518</v>
      </c>
    </row>
    <row r="13" spans="1:4" x14ac:dyDescent="0.2"/>
    <row r="14" spans="1:4" ht="15" x14ac:dyDescent="0.2">
      <c r="A14" t="s">
        <v>496</v>
      </c>
      <c r="D14" s="81">
        <v>520024985</v>
      </c>
    </row>
    <row r="15" spans="1:4" x14ac:dyDescent="0.2"/>
    <row r="16" spans="1:4" ht="15" x14ac:dyDescent="0.25">
      <c r="A16" s="13" t="s">
        <v>362</v>
      </c>
      <c r="D16" s="81" t="s">
        <v>2509</v>
      </c>
    </row>
    <row r="17" spans="1:4" ht="15" x14ac:dyDescent="0.25">
      <c r="A17" s="13"/>
      <c r="D17" s="17"/>
    </row>
    <row r="18" spans="1:4" ht="15" x14ac:dyDescent="0.25">
      <c r="A18" s="13" t="s">
        <v>428</v>
      </c>
      <c r="B18" s="10" t="s">
        <v>337</v>
      </c>
      <c r="C18" s="10"/>
      <c r="D18" s="82" t="s">
        <v>2510</v>
      </c>
    </row>
    <row r="19" spans="1:4" x14ac:dyDescent="0.2">
      <c r="A19" s="8"/>
      <c r="B19" s="11"/>
      <c r="C19" s="11"/>
      <c r="D19" s="12"/>
    </row>
    <row r="20" spans="1:4" ht="15" x14ac:dyDescent="0.2">
      <c r="A20" s="8"/>
      <c r="B20" s="10" t="s">
        <v>338</v>
      </c>
      <c r="C20" s="10"/>
      <c r="D20" s="82" t="s">
        <v>2511</v>
      </c>
    </row>
    <row r="21" spans="1:4" x14ac:dyDescent="0.2">
      <c r="A21" s="8"/>
      <c r="B21" s="11"/>
      <c r="C21" s="11"/>
      <c r="D21" s="12"/>
    </row>
    <row r="22" spans="1:4" ht="15" x14ac:dyDescent="0.2">
      <c r="A22" s="8"/>
      <c r="B22" s="10" t="s">
        <v>339</v>
      </c>
      <c r="C22" s="10"/>
      <c r="D22" s="83" t="s">
        <v>2512</v>
      </c>
    </row>
    <row r="23" spans="1:4" x14ac:dyDescent="0.2">
      <c r="A23" s="8"/>
      <c r="B23" s="9"/>
      <c r="C23" s="9"/>
    </row>
    <row r="24" spans="1:4" ht="28.5" x14ac:dyDescent="0.2">
      <c r="A24" s="118" t="s">
        <v>406</v>
      </c>
      <c r="D24" s="117" t="s">
        <v>495</v>
      </c>
    </row>
    <row r="25" spans="1:4" hidden="1" x14ac:dyDescent="0.2">
      <c r="A25" s="1" t="s">
        <v>2520</v>
      </c>
    </row>
  </sheetData>
  <conditionalFormatting sqref="D4">
    <cfRule type="containsText" dxfId="896" priority="13" operator="containsText" text="Please fill in data">
      <formula>NOT(ISERROR(SEARCH("Please fill in data",D4)))</formula>
    </cfRule>
  </conditionalFormatting>
  <conditionalFormatting sqref="D6">
    <cfRule type="containsText" dxfId="895" priority="7" operator="containsText" text="Please fill in data">
      <formula>NOT(ISERROR(SEARCH("Please fill in data",D6)))</formula>
    </cfRule>
  </conditionalFormatting>
  <conditionalFormatting sqref="D8:D10">
    <cfRule type="containsText" dxfId="894" priority="5" operator="containsText" text="Please fill in data">
      <formula>NOT(ISERROR(SEARCH("Please fill in data",D8)))</formula>
    </cfRule>
  </conditionalFormatting>
  <conditionalFormatting sqref="D12">
    <cfRule type="containsText" dxfId="893" priority="4" operator="containsText" text="Please fill in data">
      <formula>NOT(ISERROR(SEARCH("Please fill in data",D12)))</formula>
    </cfRule>
  </conditionalFormatting>
  <conditionalFormatting sqref="D14">
    <cfRule type="containsText" dxfId="892" priority="3" operator="containsText" text="Please fill in data">
      <formula>NOT(ISERROR(SEARCH("Please fill in data",D14)))</formula>
    </cfRule>
  </conditionalFormatting>
  <conditionalFormatting sqref="D16:D18">
    <cfRule type="containsText" dxfId="891" priority="1" operator="containsText" text="Please fill in data">
      <formula>NOT(ISERROR(SEARCH("Please fill in data",D16)))</formula>
    </cfRule>
  </conditionalFormatting>
  <conditionalFormatting sqref="D20">
    <cfRule type="containsText" dxfId="890" priority="20" operator="containsText" text="Please fill in data">
      <formula>NOT(ISERROR(SEARCH("Please fill in data",D20)))</formula>
    </cfRule>
  </conditionalFormatting>
  <conditionalFormatting sqref="D22">
    <cfRule type="containsText" dxfId="889" priority="19" operator="containsText" text="Please fill in data">
      <formula>NOT(ISERROR(SEARCH("Please fill in data",D22)))</formula>
    </cfRule>
  </conditionalFormatting>
  <dataValidations count="5">
    <dataValidation type="list" allowBlank="1" showInputMessage="1" showErrorMessage="1" sqref="D4">
      <formula1>Type</formula1>
    </dataValidation>
    <dataValidation type="list" allowBlank="1" showInputMessage="1" showErrorMessage="1" sqref="D6">
      <formula1>File_Type</formula1>
    </dataValidation>
    <dataValidation type="list" allowBlank="1" showInputMessage="1" showErrorMessage="1" sqref="D8">
      <formula1>QTR</formula1>
    </dataValidation>
    <dataValidation type="list" allowBlank="1" showInputMessage="1" showErrorMessage="1" sqref="D10">
      <formula1>YEAR</formula1>
    </dataValidation>
    <dataValidation type="list" allowBlank="1" showInputMessage="1" showErrorMessage="1" sqref="D12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5" tint="-0.49995422223578601"/>
  </sheetPr>
  <dimension ref="A1:F36"/>
  <sheetViews>
    <sheetView showGridLines="0" rightToLeft="1" tabSelected="1" workbookViewId="0">
      <pane xSplit="5" ySplit="33" topLeftCell="XFD34" activePane="bottomRight" state="frozen"/>
      <selection pane="topRight" activeCell="F1" sqref="F1"/>
      <selection pane="bottomLeft" activeCell="A33" sqref="A33"/>
      <selection pane="bottomRight" activeCell="C21" sqref="C21"/>
    </sheetView>
  </sheetViews>
  <sheetFormatPr defaultColWidth="0" defaultRowHeight="12.75" zeroHeight="1" x14ac:dyDescent="0.2"/>
  <cols>
    <col min="1" max="1" width="42.75" style="5" customWidth="1"/>
    <col min="2" max="2" width="13" style="6" customWidth="1"/>
    <col min="3" max="3" width="24" style="6" customWidth="1"/>
    <col min="4" max="4" width="13" style="6" customWidth="1"/>
    <col min="5" max="5" width="14" style="6" customWidth="1"/>
    <col min="6" max="16384" width="2.375" style="5" hidden="1"/>
  </cols>
  <sheetData>
    <row r="1" spans="1:6" x14ac:dyDescent="0.2">
      <c r="A1" s="5" t="s">
        <v>2524</v>
      </c>
    </row>
    <row r="2" spans="1:6" ht="18.75" customHeight="1" x14ac:dyDescent="0.2">
      <c r="A2" s="143" t="s">
        <v>2516</v>
      </c>
      <c r="B2" s="144" t="s">
        <v>2517</v>
      </c>
      <c r="C2" s="145" t="s">
        <v>880</v>
      </c>
      <c r="D2" s="146" t="s">
        <v>2518</v>
      </c>
      <c r="E2" s="144" t="s">
        <v>2519</v>
      </c>
      <c r="F2" s="173" t="s">
        <v>2522</v>
      </c>
    </row>
    <row r="3" spans="1:6" ht="25.5" x14ac:dyDescent="0.2">
      <c r="A3" s="144" t="s">
        <v>2515</v>
      </c>
      <c r="B3" s="144" t="s">
        <v>1105</v>
      </c>
      <c r="C3" s="144" t="s">
        <v>1106</v>
      </c>
      <c r="D3" s="144" t="s">
        <v>25</v>
      </c>
      <c r="E3" s="144" t="s">
        <v>877</v>
      </c>
      <c r="F3" s="173"/>
    </row>
    <row r="4" spans="1:6" ht="14.25" x14ac:dyDescent="0.2">
      <c r="A4" s="141" t="s">
        <v>30</v>
      </c>
      <c r="B4" s="122">
        <v>512274.21100000001</v>
      </c>
      <c r="C4" s="142"/>
      <c r="D4" s="142"/>
      <c r="E4" s="123">
        <v>4.6212606223978554E-2</v>
      </c>
      <c r="F4" s="173"/>
    </row>
    <row r="5" spans="1:6" ht="14.25" x14ac:dyDescent="0.2">
      <c r="A5" s="135" t="s">
        <v>39</v>
      </c>
      <c r="B5" s="122">
        <v>1932513.1629999999</v>
      </c>
      <c r="C5" s="27"/>
      <c r="D5" s="27"/>
      <c r="E5" s="123">
        <v>0.1743333314594169</v>
      </c>
      <c r="F5" s="173"/>
    </row>
    <row r="6" spans="1:6" x14ac:dyDescent="0.2">
      <c r="A6" s="135" t="s">
        <v>31</v>
      </c>
      <c r="B6" s="27"/>
      <c r="C6" s="27"/>
      <c r="D6" s="27"/>
      <c r="E6" s="27"/>
      <c r="F6" s="173"/>
    </row>
    <row r="7" spans="1:6" ht="14.25" x14ac:dyDescent="0.2">
      <c r="A7" s="135" t="s">
        <v>32</v>
      </c>
      <c r="B7" s="122">
        <v>1588235.87</v>
      </c>
      <c r="C7" s="27"/>
      <c r="D7" s="27"/>
      <c r="E7" s="123">
        <v>0.14327584187350004</v>
      </c>
      <c r="F7" s="173"/>
    </row>
    <row r="8" spans="1:6" ht="14.25" x14ac:dyDescent="0.2">
      <c r="A8" s="135" t="s">
        <v>1162</v>
      </c>
      <c r="B8" s="122">
        <v>1887517.2790000001</v>
      </c>
      <c r="C8" s="27"/>
      <c r="D8" s="27"/>
      <c r="E8" s="123">
        <v>0.17027422205210807</v>
      </c>
      <c r="F8" s="173"/>
    </row>
    <row r="9" spans="1:6" ht="14.25" x14ac:dyDescent="0.2">
      <c r="A9" s="135" t="s">
        <v>33</v>
      </c>
      <c r="B9" s="122">
        <v>3088208.338</v>
      </c>
      <c r="C9" s="27"/>
      <c r="D9" s="27"/>
      <c r="E9" s="123">
        <v>0.27858938200892813</v>
      </c>
      <c r="F9" s="173"/>
    </row>
    <row r="10" spans="1:6" ht="14.25" x14ac:dyDescent="0.2">
      <c r="A10" s="135" t="s">
        <v>34</v>
      </c>
      <c r="B10" s="122">
        <v>274868.84100000001</v>
      </c>
      <c r="C10" s="27"/>
      <c r="D10" s="27"/>
      <c r="E10" s="123">
        <v>2.4796105756677202E-2</v>
      </c>
      <c r="F10" s="173"/>
    </row>
    <row r="11" spans="1:6" ht="14.25" x14ac:dyDescent="0.2">
      <c r="A11" s="135" t="s">
        <v>35</v>
      </c>
      <c r="B11" s="122">
        <v>3243.3690000000001</v>
      </c>
      <c r="C11" s="27"/>
      <c r="D11" s="27"/>
      <c r="E11" s="123">
        <v>2.9258653123192082E-4</v>
      </c>
      <c r="F11" s="173"/>
    </row>
    <row r="12" spans="1:6" ht="14.25" x14ac:dyDescent="0.2">
      <c r="A12" s="135" t="s">
        <v>36</v>
      </c>
      <c r="B12" s="122">
        <v>-3767.1480000000001</v>
      </c>
      <c r="C12" s="27"/>
      <c r="D12" s="27"/>
      <c r="E12" s="123">
        <v>-3.398369923241136E-4</v>
      </c>
      <c r="F12" s="173"/>
    </row>
    <row r="13" spans="1:6" ht="14.25" x14ac:dyDescent="0.2">
      <c r="A13" s="135" t="s">
        <v>37</v>
      </c>
      <c r="B13" s="122">
        <v>-1852.633</v>
      </c>
      <c r="C13" s="27"/>
      <c r="D13" s="27"/>
      <c r="E13" s="123">
        <v>-1.6712728743346414E-4</v>
      </c>
      <c r="F13" s="173"/>
    </row>
    <row r="14" spans="1:6" ht="14.25" x14ac:dyDescent="0.2">
      <c r="A14" s="135" t="s">
        <v>38</v>
      </c>
      <c r="B14" s="122">
        <v>19286.994999999999</v>
      </c>
      <c r="C14" s="27"/>
      <c r="D14" s="27"/>
      <c r="E14" s="123">
        <v>1.7398929831719426E-3</v>
      </c>
      <c r="F14" s="173"/>
    </row>
    <row r="15" spans="1:6" x14ac:dyDescent="0.2">
      <c r="A15" s="135" t="s">
        <v>40</v>
      </c>
      <c r="B15" s="27"/>
      <c r="C15" s="27"/>
      <c r="D15" s="27"/>
      <c r="E15" s="27"/>
      <c r="F15" s="173"/>
    </row>
    <row r="16" spans="1:6" x14ac:dyDescent="0.2">
      <c r="A16" s="135" t="s">
        <v>41</v>
      </c>
      <c r="B16" s="27"/>
      <c r="C16" s="27"/>
      <c r="D16" s="27"/>
      <c r="E16" s="27"/>
      <c r="F16" s="173"/>
    </row>
    <row r="17" spans="1:6" s="86" customFormat="1" x14ac:dyDescent="0.2">
      <c r="A17" s="136" t="s">
        <v>652</v>
      </c>
      <c r="B17" s="28"/>
      <c r="C17" s="28"/>
      <c r="D17" s="28"/>
      <c r="E17" s="28"/>
      <c r="F17" s="173"/>
    </row>
    <row r="18" spans="1:6" x14ac:dyDescent="0.2">
      <c r="A18" s="136" t="s">
        <v>42</v>
      </c>
      <c r="B18" s="28"/>
      <c r="C18" s="28"/>
      <c r="D18" s="28"/>
      <c r="E18" s="28"/>
      <c r="F18" s="173"/>
    </row>
    <row r="19" spans="1:6" ht="14.25" x14ac:dyDescent="0.2">
      <c r="A19" s="135" t="s">
        <v>43</v>
      </c>
      <c r="B19" s="122">
        <v>101454.63800000001</v>
      </c>
      <c r="C19" s="27"/>
      <c r="D19" s="27"/>
      <c r="E19" s="123">
        <v>9.1522921412303757E-3</v>
      </c>
      <c r="F19" s="173"/>
    </row>
    <row r="20" spans="1:6" ht="14.25" x14ac:dyDescent="0.2">
      <c r="A20" s="135" t="s">
        <v>1163</v>
      </c>
      <c r="B20" s="122">
        <v>2412.5070000000001</v>
      </c>
      <c r="C20" s="27"/>
      <c r="D20" s="27"/>
      <c r="E20" s="123">
        <v>2.1763390311208117E-4</v>
      </c>
      <c r="F20" s="173"/>
    </row>
    <row r="21" spans="1:6" ht="14.25" x14ac:dyDescent="0.2">
      <c r="A21" s="135" t="s">
        <v>44</v>
      </c>
      <c r="B21" s="122">
        <v>1602240.2690000001</v>
      </c>
      <c r="C21" s="27"/>
      <c r="D21" s="27"/>
      <c r="E21" s="123">
        <v>0.14453918826590798</v>
      </c>
      <c r="F21" s="173"/>
    </row>
    <row r="22" spans="1:6" x14ac:dyDescent="0.2">
      <c r="A22" s="135" t="s">
        <v>45</v>
      </c>
      <c r="B22" s="27"/>
      <c r="C22" s="27"/>
      <c r="D22" s="27"/>
      <c r="E22" s="27"/>
      <c r="F22" s="173"/>
    </row>
    <row r="23" spans="1:6" x14ac:dyDescent="0.2">
      <c r="A23" s="135" t="s">
        <v>46</v>
      </c>
      <c r="B23" s="27"/>
      <c r="C23" s="27"/>
      <c r="D23" s="27"/>
      <c r="E23" s="27"/>
      <c r="F23" s="173"/>
    </row>
    <row r="24" spans="1:6" ht="14.25" x14ac:dyDescent="0.2">
      <c r="A24" s="135" t="s">
        <v>449</v>
      </c>
      <c r="B24" s="122">
        <v>25251.342000000001</v>
      </c>
      <c r="C24" s="27"/>
      <c r="D24" s="27"/>
      <c r="E24" s="123">
        <v>2.2779407969709623E-3</v>
      </c>
      <c r="F24" s="173"/>
    </row>
    <row r="25" spans="1:6" ht="14.25" x14ac:dyDescent="0.2">
      <c r="A25" s="135" t="s">
        <v>47</v>
      </c>
      <c r="B25" s="122">
        <v>53274.625</v>
      </c>
      <c r="C25" s="27"/>
      <c r="D25" s="27"/>
      <c r="E25" s="123">
        <v>4.8059402835235118E-3</v>
      </c>
      <c r="F25" s="173"/>
    </row>
    <row r="26" spans="1:6" x14ac:dyDescent="0.2">
      <c r="A26" s="135" t="s">
        <v>48</v>
      </c>
      <c r="B26" s="27"/>
      <c r="C26" s="27"/>
      <c r="D26" s="27"/>
      <c r="E26" s="27"/>
      <c r="F26" s="173"/>
    </row>
    <row r="27" spans="1:6" x14ac:dyDescent="0.2">
      <c r="A27" s="135" t="s">
        <v>49</v>
      </c>
      <c r="B27" s="27"/>
      <c r="C27" s="27"/>
      <c r="D27" s="27"/>
      <c r="E27" s="27"/>
      <c r="F27" s="173"/>
    </row>
    <row r="28" spans="1:6" x14ac:dyDescent="0.2">
      <c r="A28" s="135" t="s">
        <v>50</v>
      </c>
      <c r="B28" s="27"/>
      <c r="C28" s="27"/>
      <c r="D28" s="27"/>
      <c r="E28" s="27"/>
      <c r="F28" s="173"/>
    </row>
    <row r="29" spans="1:6" x14ac:dyDescent="0.2">
      <c r="A29" s="135" t="s">
        <v>493</v>
      </c>
      <c r="B29" s="27"/>
      <c r="C29" s="27"/>
      <c r="D29" s="27"/>
      <c r="E29" s="27"/>
      <c r="F29" s="173"/>
    </row>
    <row r="30" spans="1:6" x14ac:dyDescent="0.2">
      <c r="A30" s="135" t="s">
        <v>51</v>
      </c>
      <c r="B30" s="115"/>
      <c r="C30" s="115"/>
      <c r="D30" s="115"/>
      <c r="E30" s="115"/>
      <c r="F30" s="173"/>
    </row>
    <row r="31" spans="1:6" ht="15.75" thickBot="1" x14ac:dyDescent="0.3">
      <c r="A31" s="137" t="s">
        <v>590</v>
      </c>
      <c r="B31" s="116">
        <v>11085161.665999999</v>
      </c>
      <c r="C31" s="116">
        <f t="shared" ref="C31:D31" si="0">SUM(C4:C30)</f>
        <v>0</v>
      </c>
      <c r="D31" s="116">
        <f t="shared" si="0"/>
        <v>0</v>
      </c>
      <c r="E31" s="178">
        <v>1</v>
      </c>
      <c r="F31" s="173"/>
    </row>
    <row r="32" spans="1:6" s="86" customFormat="1" ht="13.5" thickTop="1" x14ac:dyDescent="0.2">
      <c r="A32" s="136" t="s">
        <v>732</v>
      </c>
      <c r="B32" s="28"/>
      <c r="C32" s="28"/>
      <c r="D32" s="28"/>
      <c r="E32" s="177"/>
      <c r="F32" s="173"/>
    </row>
    <row r="33" spans="1:6" ht="14.25" x14ac:dyDescent="0.2">
      <c r="A33" s="138" t="s">
        <v>748</v>
      </c>
      <c r="B33" s="122">
        <v>1023075.6186931398</v>
      </c>
      <c r="C33" s="139"/>
      <c r="D33" s="139"/>
      <c r="E33" s="139"/>
      <c r="F33" s="173"/>
    </row>
    <row r="34" spans="1:6" ht="12.75" hidden="1" customHeight="1" x14ac:dyDescent="0.2">
      <c r="A34" s="173" t="s">
        <v>2521</v>
      </c>
      <c r="B34" s="173"/>
      <c r="C34" s="173"/>
      <c r="D34" s="173"/>
      <c r="E34" s="173"/>
    </row>
    <row r="35" spans="1:6" hidden="1" x14ac:dyDescent="0.2">
      <c r="A35" s="5" t="s">
        <v>2520</v>
      </c>
    </row>
    <row r="36" spans="1:6" hidden="1" x14ac:dyDescent="0.2">
      <c r="A36" s="172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mergeCells count="2">
    <mergeCell ref="A34:E34"/>
    <mergeCell ref="F2:F33"/>
  </mergeCells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30"/>
  <sheetViews>
    <sheetView rightToLeft="1" workbookViewId="0"/>
  </sheetViews>
  <sheetFormatPr defaultColWidth="0" defaultRowHeight="14.25" x14ac:dyDescent="0.2"/>
  <cols>
    <col min="1" max="1" width="29.375" customWidth="1"/>
    <col min="2" max="3" width="11.625" customWidth="1"/>
    <col min="4" max="4" width="13.75" customWidth="1"/>
    <col min="5" max="5" width="16.5" customWidth="1"/>
    <col min="6" max="7" width="11.625" customWidth="1"/>
    <col min="8" max="8" width="15.125" customWidth="1"/>
    <col min="9" max="10" width="11.625" customWidth="1"/>
    <col min="11" max="11" width="11.75" customWidth="1"/>
    <col min="12" max="14" width="11.625" customWidth="1"/>
    <col min="15" max="15" width="17.875" customWidth="1"/>
    <col min="16" max="16" width="21.75" customWidth="1"/>
    <col min="17" max="17" width="20.125" customWidth="1"/>
    <col min="18" max="18" width="11.625" hidden="1" customWidth="1"/>
    <col min="19" max="16384" width="9" hidden="1"/>
  </cols>
  <sheetData>
    <row r="1" spans="1:18" x14ac:dyDescent="0.2">
      <c r="A1" t="s">
        <v>2525</v>
      </c>
    </row>
    <row r="2" spans="1:18" s="3" customFormat="1" x14ac:dyDescent="0.2">
      <c r="A2" s="147" t="s">
        <v>636</v>
      </c>
      <c r="B2" s="148" t="s">
        <v>0</v>
      </c>
      <c r="C2" s="148" t="s">
        <v>702</v>
      </c>
      <c r="D2" s="148" t="s">
        <v>720</v>
      </c>
      <c r="E2" s="148" t="s">
        <v>721</v>
      </c>
      <c r="F2" s="148" t="s">
        <v>1</v>
      </c>
      <c r="G2" s="148" t="s">
        <v>591</v>
      </c>
      <c r="H2" s="148" t="s">
        <v>593</v>
      </c>
      <c r="I2" s="148" t="s">
        <v>746</v>
      </c>
      <c r="J2" s="148" t="s">
        <v>7</v>
      </c>
      <c r="K2" s="148" t="s">
        <v>387</v>
      </c>
      <c r="L2" s="148" t="s">
        <v>881</v>
      </c>
      <c r="M2" s="148" t="s">
        <v>10</v>
      </c>
      <c r="N2" s="148" t="s">
        <v>13</v>
      </c>
      <c r="O2" s="148" t="s">
        <v>1105</v>
      </c>
      <c r="P2" s="148" t="s">
        <v>18</v>
      </c>
      <c r="Q2" s="149" t="s">
        <v>29</v>
      </c>
      <c r="R2" s="175" t="s">
        <v>2522</v>
      </c>
    </row>
    <row r="3" spans="1:18" x14ac:dyDescent="0.2">
      <c r="A3" s="150" t="s">
        <v>1251</v>
      </c>
      <c r="B3" s="151" t="s">
        <v>1251</v>
      </c>
      <c r="C3" s="151" t="s">
        <v>1252</v>
      </c>
      <c r="D3" s="151" t="s">
        <v>1253</v>
      </c>
      <c r="E3" s="151" t="s">
        <v>750</v>
      </c>
      <c r="F3" s="151" t="s">
        <v>209</v>
      </c>
      <c r="G3" s="151" t="s">
        <v>52</v>
      </c>
      <c r="H3" s="151" t="s">
        <v>61</v>
      </c>
      <c r="I3" s="151" t="s">
        <v>1254</v>
      </c>
      <c r="J3" s="151" t="s">
        <v>69</v>
      </c>
      <c r="K3" s="151" t="s">
        <v>1255</v>
      </c>
      <c r="L3" s="152">
        <v>15833.333000000001</v>
      </c>
      <c r="M3" s="152">
        <v>1</v>
      </c>
      <c r="N3" s="151"/>
      <c r="O3" s="152">
        <v>15833.333000000001</v>
      </c>
      <c r="P3" s="153">
        <v>0.53202000000000005</v>
      </c>
      <c r="Q3" s="154">
        <v>2.1579999999999998E-2</v>
      </c>
      <c r="R3" s="175"/>
    </row>
    <row r="4" spans="1:18" x14ac:dyDescent="0.2">
      <c r="A4" s="150" t="s">
        <v>1251</v>
      </c>
      <c r="B4" s="151" t="s">
        <v>1251</v>
      </c>
      <c r="C4" s="151" t="s">
        <v>1252</v>
      </c>
      <c r="D4" s="151" t="s">
        <v>1253</v>
      </c>
      <c r="E4" s="151" t="s">
        <v>750</v>
      </c>
      <c r="F4" s="151" t="s">
        <v>215</v>
      </c>
      <c r="G4" s="151" t="s">
        <v>52</v>
      </c>
      <c r="H4" s="151" t="s">
        <v>61</v>
      </c>
      <c r="I4" s="151" t="s">
        <v>1254</v>
      </c>
      <c r="J4" s="151" t="s">
        <v>69</v>
      </c>
      <c r="K4" s="151" t="s">
        <v>1255</v>
      </c>
      <c r="L4" s="152">
        <v>11403.74</v>
      </c>
      <c r="M4" s="152">
        <v>1</v>
      </c>
      <c r="N4" s="151"/>
      <c r="O4" s="152">
        <v>11403.74</v>
      </c>
      <c r="P4" s="153">
        <v>0.38318000000000002</v>
      </c>
      <c r="Q4" s="154">
        <v>1.554E-2</v>
      </c>
      <c r="R4" s="175"/>
    </row>
    <row r="5" spans="1:18" x14ac:dyDescent="0.2">
      <c r="A5" s="150" t="s">
        <v>1251</v>
      </c>
      <c r="B5" s="151" t="s">
        <v>1251</v>
      </c>
      <c r="C5" s="151" t="s">
        <v>1252</v>
      </c>
      <c r="D5" s="151" t="s">
        <v>1253</v>
      </c>
      <c r="E5" s="151" t="s">
        <v>750</v>
      </c>
      <c r="F5" s="151" t="s">
        <v>214</v>
      </c>
      <c r="G5" s="151" t="s">
        <v>52</v>
      </c>
      <c r="H5" s="151" t="s">
        <v>61</v>
      </c>
      <c r="I5" s="151" t="s">
        <v>1254</v>
      </c>
      <c r="J5" s="151" t="s">
        <v>69</v>
      </c>
      <c r="K5" s="151" t="s">
        <v>1256</v>
      </c>
      <c r="L5" s="152">
        <v>623.33799999999997</v>
      </c>
      <c r="M5" s="152">
        <v>3.165</v>
      </c>
      <c r="N5" s="151"/>
      <c r="O5" s="152">
        <v>1972.864</v>
      </c>
      <c r="P5" s="153">
        <v>6.6290000000000002E-2</v>
      </c>
      <c r="Q5" s="154">
        <v>2.6900000000000001E-3</v>
      </c>
      <c r="R5" s="175"/>
    </row>
    <row r="6" spans="1:18" x14ac:dyDescent="0.2">
      <c r="A6" s="150" t="s">
        <v>1251</v>
      </c>
      <c r="B6" s="151" t="s">
        <v>1251</v>
      </c>
      <c r="C6" s="151" t="s">
        <v>1252</v>
      </c>
      <c r="D6" s="151" t="s">
        <v>1253</v>
      </c>
      <c r="E6" s="151" t="s">
        <v>750</v>
      </c>
      <c r="F6" s="151" t="s">
        <v>214</v>
      </c>
      <c r="G6" s="151" t="s">
        <v>52</v>
      </c>
      <c r="H6" s="151" t="s">
        <v>61</v>
      </c>
      <c r="I6" s="151" t="s">
        <v>1254</v>
      </c>
      <c r="J6" s="151" t="s">
        <v>69</v>
      </c>
      <c r="K6" s="151" t="s">
        <v>1257</v>
      </c>
      <c r="L6" s="152">
        <v>71.373999999999995</v>
      </c>
      <c r="M6" s="152">
        <v>4.1870000000000003</v>
      </c>
      <c r="N6" s="151"/>
      <c r="O6" s="152">
        <v>298.86599999999999</v>
      </c>
      <c r="P6" s="153">
        <v>1.004E-2</v>
      </c>
      <c r="Q6" s="154">
        <v>4.0999999999999999E-4</v>
      </c>
      <c r="R6" s="175"/>
    </row>
    <row r="7" spans="1:18" x14ac:dyDescent="0.2">
      <c r="A7" s="150" t="s">
        <v>1251</v>
      </c>
      <c r="B7" s="151" t="s">
        <v>1251</v>
      </c>
      <c r="C7" s="151" t="s">
        <v>1252</v>
      </c>
      <c r="D7" s="151" t="s">
        <v>1253</v>
      </c>
      <c r="E7" s="151" t="s">
        <v>750</v>
      </c>
      <c r="F7" s="151" t="s">
        <v>214</v>
      </c>
      <c r="G7" s="151" t="s">
        <v>52</v>
      </c>
      <c r="H7" s="151" t="s">
        <v>61</v>
      </c>
      <c r="I7" s="151" t="s">
        <v>1254</v>
      </c>
      <c r="J7" s="151" t="s">
        <v>69</v>
      </c>
      <c r="K7" s="151" t="s">
        <v>1258</v>
      </c>
      <c r="L7" s="152">
        <v>62.676000000000002</v>
      </c>
      <c r="M7" s="152">
        <v>3.6360000000000001</v>
      </c>
      <c r="N7" s="151"/>
      <c r="O7" s="152">
        <v>227.89099999999999</v>
      </c>
      <c r="P7" s="153">
        <v>7.6600000000000001E-3</v>
      </c>
      <c r="Q7" s="154">
        <v>3.1E-4</v>
      </c>
      <c r="R7" s="175"/>
    </row>
    <row r="8" spans="1:18" x14ac:dyDescent="0.2">
      <c r="A8" s="150" t="s">
        <v>1251</v>
      </c>
      <c r="B8" s="151" t="s">
        <v>1251</v>
      </c>
      <c r="C8" s="151" t="s">
        <v>1252</v>
      </c>
      <c r="D8" s="151" t="s">
        <v>1253</v>
      </c>
      <c r="E8" s="151" t="s">
        <v>750</v>
      </c>
      <c r="F8" s="151" t="s">
        <v>214</v>
      </c>
      <c r="G8" s="151" t="s">
        <v>52</v>
      </c>
      <c r="H8" s="151" t="s">
        <v>61</v>
      </c>
      <c r="I8" s="151" t="s">
        <v>1254</v>
      </c>
      <c r="J8" s="151" t="s">
        <v>69</v>
      </c>
      <c r="K8" s="151" t="s">
        <v>1259</v>
      </c>
      <c r="L8" s="152">
        <v>1202.002</v>
      </c>
      <c r="M8" s="152">
        <v>0.02</v>
      </c>
      <c r="N8" s="151"/>
      <c r="O8" s="152">
        <v>23.869</v>
      </c>
      <c r="P8" s="153">
        <v>8.0000000000000004E-4</v>
      </c>
      <c r="Q8" s="154">
        <v>3.0000000000000001E-5</v>
      </c>
      <c r="R8" s="175"/>
    </row>
    <row r="9" spans="1:18" x14ac:dyDescent="0.2">
      <c r="A9" s="150" t="s">
        <v>1251</v>
      </c>
      <c r="B9" s="151" t="s">
        <v>1251</v>
      </c>
      <c r="C9" s="151" t="s">
        <v>1252</v>
      </c>
      <c r="D9" s="151" t="s">
        <v>1253</v>
      </c>
      <c r="E9" s="151" t="s">
        <v>750</v>
      </c>
      <c r="F9" s="151" t="s">
        <v>214</v>
      </c>
      <c r="G9" s="151" t="s">
        <v>52</v>
      </c>
      <c r="H9" s="151" t="s">
        <v>61</v>
      </c>
      <c r="I9" s="151" t="s">
        <v>1254</v>
      </c>
      <c r="J9" s="151" t="s">
        <v>69</v>
      </c>
      <c r="K9" s="151" t="s">
        <v>1260</v>
      </c>
      <c r="L9" s="152">
        <v>0</v>
      </c>
      <c r="M9" s="152">
        <v>2.2719999999999998</v>
      </c>
      <c r="N9" s="151"/>
      <c r="O9" s="152">
        <v>0</v>
      </c>
      <c r="P9" s="153">
        <v>0</v>
      </c>
      <c r="Q9" s="154">
        <v>0</v>
      </c>
      <c r="R9" s="175"/>
    </row>
    <row r="10" spans="1:18" x14ac:dyDescent="0.2">
      <c r="A10" s="150" t="s">
        <v>1251</v>
      </c>
      <c r="B10" s="151" t="s">
        <v>1251</v>
      </c>
      <c r="C10" s="151" t="s">
        <v>1252</v>
      </c>
      <c r="D10" s="151" t="s">
        <v>1253</v>
      </c>
      <c r="E10" s="151" t="s">
        <v>750</v>
      </c>
      <c r="F10" s="151" t="s">
        <v>214</v>
      </c>
      <c r="G10" s="151" t="s">
        <v>52</v>
      </c>
      <c r="H10" s="151" t="s">
        <v>61</v>
      </c>
      <c r="I10" s="151" t="s">
        <v>1254</v>
      </c>
      <c r="J10" s="151" t="s">
        <v>69</v>
      </c>
      <c r="K10" s="151" t="s">
        <v>1261</v>
      </c>
      <c r="L10" s="152">
        <v>0</v>
      </c>
      <c r="M10" s="152">
        <v>0.17599999999999999</v>
      </c>
      <c r="N10" s="151"/>
      <c r="O10" s="152">
        <v>0</v>
      </c>
      <c r="P10" s="153">
        <v>0</v>
      </c>
      <c r="Q10" s="154">
        <v>0</v>
      </c>
      <c r="R10" s="175"/>
    </row>
    <row r="11" spans="1:18" x14ac:dyDescent="0.2">
      <c r="A11" s="150" t="s">
        <v>1251</v>
      </c>
      <c r="B11" s="151" t="s">
        <v>1262</v>
      </c>
      <c r="C11" s="151" t="s">
        <v>1252</v>
      </c>
      <c r="D11" s="151" t="s">
        <v>1253</v>
      </c>
      <c r="E11" s="151" t="s">
        <v>750</v>
      </c>
      <c r="F11" s="151" t="s">
        <v>209</v>
      </c>
      <c r="G11" s="151" t="s">
        <v>52</v>
      </c>
      <c r="H11" s="151" t="s">
        <v>61</v>
      </c>
      <c r="I11" s="151" t="s">
        <v>1254</v>
      </c>
      <c r="J11" s="151" t="s">
        <v>69</v>
      </c>
      <c r="K11" s="151" t="s">
        <v>1255</v>
      </c>
      <c r="L11" s="152">
        <v>154.84200000000001</v>
      </c>
      <c r="M11" s="152">
        <v>1</v>
      </c>
      <c r="N11" s="151"/>
      <c r="O11" s="152">
        <v>154.84200000000001</v>
      </c>
      <c r="P11" s="153">
        <v>0.81798999999999999</v>
      </c>
      <c r="Q11" s="154">
        <v>6.9379999999999997E-2</v>
      </c>
      <c r="R11" s="175"/>
    </row>
    <row r="12" spans="1:18" x14ac:dyDescent="0.2">
      <c r="A12" s="150" t="s">
        <v>1251</v>
      </c>
      <c r="B12" s="151" t="s">
        <v>1262</v>
      </c>
      <c r="C12" s="151" t="s">
        <v>1252</v>
      </c>
      <c r="D12" s="151" t="s">
        <v>1253</v>
      </c>
      <c r="E12" s="151" t="s">
        <v>750</v>
      </c>
      <c r="F12" s="151" t="s">
        <v>214</v>
      </c>
      <c r="G12" s="151" t="s">
        <v>52</v>
      </c>
      <c r="H12" s="151" t="s">
        <v>61</v>
      </c>
      <c r="I12" s="151" t="s">
        <v>1254</v>
      </c>
      <c r="J12" s="151" t="s">
        <v>69</v>
      </c>
      <c r="K12" s="151" t="s">
        <v>1256</v>
      </c>
      <c r="L12" s="152">
        <v>10.885999999999999</v>
      </c>
      <c r="M12" s="152">
        <v>3.165</v>
      </c>
      <c r="N12" s="151"/>
      <c r="O12" s="152">
        <v>34.454000000000001</v>
      </c>
      <c r="P12" s="153">
        <v>0.18201000000000001</v>
      </c>
      <c r="Q12" s="154">
        <v>1.5440000000000001E-2</v>
      </c>
      <c r="R12" s="175"/>
    </row>
    <row r="13" spans="1:18" x14ac:dyDescent="0.2">
      <c r="A13" s="150" t="s">
        <v>1251</v>
      </c>
      <c r="B13" s="151" t="s">
        <v>1263</v>
      </c>
      <c r="C13" s="151" t="s">
        <v>1252</v>
      </c>
      <c r="D13" s="151" t="s">
        <v>1253</v>
      </c>
      <c r="E13" s="151" t="s">
        <v>750</v>
      </c>
      <c r="F13" s="151" t="s">
        <v>209</v>
      </c>
      <c r="G13" s="151" t="s">
        <v>52</v>
      </c>
      <c r="H13" s="151" t="s">
        <v>61</v>
      </c>
      <c r="I13" s="151" t="s">
        <v>1254</v>
      </c>
      <c r="J13" s="151" t="s">
        <v>69</v>
      </c>
      <c r="K13" s="151" t="s">
        <v>1255</v>
      </c>
      <c r="L13" s="152">
        <v>820.84100000000001</v>
      </c>
      <c r="M13" s="152">
        <v>1</v>
      </c>
      <c r="N13" s="151"/>
      <c r="O13" s="152">
        <v>820.84100000000001</v>
      </c>
      <c r="P13" s="153">
        <v>0.48619000000000001</v>
      </c>
      <c r="Q13" s="154">
        <v>5.8189999999999999E-2</v>
      </c>
      <c r="R13" s="175"/>
    </row>
    <row r="14" spans="1:18" x14ac:dyDescent="0.2">
      <c r="A14" s="150" t="s">
        <v>1251</v>
      </c>
      <c r="B14" s="151" t="s">
        <v>1263</v>
      </c>
      <c r="C14" s="151" t="s">
        <v>1252</v>
      </c>
      <c r="D14" s="151" t="s">
        <v>1253</v>
      </c>
      <c r="E14" s="151" t="s">
        <v>750</v>
      </c>
      <c r="F14" s="151" t="s">
        <v>214</v>
      </c>
      <c r="G14" s="151" t="s">
        <v>52</v>
      </c>
      <c r="H14" s="151" t="s">
        <v>61</v>
      </c>
      <c r="I14" s="151" t="s">
        <v>1254</v>
      </c>
      <c r="J14" s="151" t="s">
        <v>69</v>
      </c>
      <c r="K14" s="151" t="s">
        <v>1256</v>
      </c>
      <c r="L14" s="152">
        <v>223.995</v>
      </c>
      <c r="M14" s="152">
        <v>3.165</v>
      </c>
      <c r="N14" s="151"/>
      <c r="O14" s="152">
        <v>708.94399999999996</v>
      </c>
      <c r="P14" s="153">
        <v>0.41991000000000001</v>
      </c>
      <c r="Q14" s="154">
        <v>5.0259999999999999E-2</v>
      </c>
      <c r="R14" s="175"/>
    </row>
    <row r="15" spans="1:18" x14ac:dyDescent="0.2">
      <c r="A15" s="150" t="s">
        <v>1251</v>
      </c>
      <c r="B15" s="151" t="s">
        <v>1263</v>
      </c>
      <c r="C15" s="151" t="s">
        <v>1252</v>
      </c>
      <c r="D15" s="151" t="s">
        <v>1253</v>
      </c>
      <c r="E15" s="151" t="s">
        <v>750</v>
      </c>
      <c r="F15" s="151" t="s">
        <v>214</v>
      </c>
      <c r="G15" s="151" t="s">
        <v>52</v>
      </c>
      <c r="H15" s="151" t="s">
        <v>61</v>
      </c>
      <c r="I15" s="151" t="s">
        <v>1254</v>
      </c>
      <c r="J15" s="151" t="s">
        <v>69</v>
      </c>
      <c r="K15" s="151" t="s">
        <v>1258</v>
      </c>
      <c r="L15" s="152">
        <v>43.601999999999997</v>
      </c>
      <c r="M15" s="152">
        <v>3.6360000000000001</v>
      </c>
      <c r="N15" s="151"/>
      <c r="O15" s="152">
        <v>158.53700000000001</v>
      </c>
      <c r="P15" s="153">
        <v>9.3899999999999997E-2</v>
      </c>
      <c r="Q15" s="154">
        <v>1.124E-2</v>
      </c>
      <c r="R15" s="175"/>
    </row>
    <row r="16" spans="1:18" x14ac:dyDescent="0.2">
      <c r="A16" s="150" t="s">
        <v>1264</v>
      </c>
      <c r="B16" s="151" t="s">
        <v>1264</v>
      </c>
      <c r="C16" s="151" t="s">
        <v>1252</v>
      </c>
      <c r="D16" s="151" t="s">
        <v>1253</v>
      </c>
      <c r="E16" s="151" t="s">
        <v>750</v>
      </c>
      <c r="F16" s="151" t="s">
        <v>209</v>
      </c>
      <c r="G16" s="151" t="s">
        <v>52</v>
      </c>
      <c r="H16" s="151" t="s">
        <v>61</v>
      </c>
      <c r="I16" s="151" t="s">
        <v>1254</v>
      </c>
      <c r="J16" s="151" t="s">
        <v>69</v>
      </c>
      <c r="K16" s="151" t="s">
        <v>1255</v>
      </c>
      <c r="L16" s="152">
        <v>285383.91600000003</v>
      </c>
      <c r="M16" s="152">
        <v>1</v>
      </c>
      <c r="N16" s="151"/>
      <c r="O16" s="152">
        <v>285383.91600000003</v>
      </c>
      <c r="P16" s="153">
        <v>0.64820999999999995</v>
      </c>
      <c r="Q16" s="154">
        <v>2.8580000000000001E-2</v>
      </c>
      <c r="R16" s="175"/>
    </row>
    <row r="17" spans="1:18" x14ac:dyDescent="0.2">
      <c r="A17" s="150" t="s">
        <v>1264</v>
      </c>
      <c r="B17" s="151" t="s">
        <v>1264</v>
      </c>
      <c r="C17" s="151" t="s">
        <v>1252</v>
      </c>
      <c r="D17" s="151" t="s">
        <v>1253</v>
      </c>
      <c r="E17" s="151" t="s">
        <v>750</v>
      </c>
      <c r="F17" s="151" t="s">
        <v>215</v>
      </c>
      <c r="G17" s="151" t="s">
        <v>52</v>
      </c>
      <c r="H17" s="151" t="s">
        <v>61</v>
      </c>
      <c r="I17" s="151" t="s">
        <v>1254</v>
      </c>
      <c r="J17" s="151" t="s">
        <v>69</v>
      </c>
      <c r="K17" s="151" t="s">
        <v>1255</v>
      </c>
      <c r="L17" s="152">
        <v>127847.75</v>
      </c>
      <c r="M17" s="152">
        <v>1</v>
      </c>
      <c r="N17" s="151"/>
      <c r="O17" s="152">
        <v>127847.75</v>
      </c>
      <c r="P17" s="153">
        <v>0.29038999999999998</v>
      </c>
      <c r="Q17" s="154">
        <v>1.2800000000000001E-2</v>
      </c>
      <c r="R17" s="175"/>
    </row>
    <row r="18" spans="1:18" x14ac:dyDescent="0.2">
      <c r="A18" s="150" t="s">
        <v>1264</v>
      </c>
      <c r="B18" s="151" t="s">
        <v>1264</v>
      </c>
      <c r="C18" s="151" t="s">
        <v>1252</v>
      </c>
      <c r="D18" s="151" t="s">
        <v>1253</v>
      </c>
      <c r="E18" s="151" t="s">
        <v>750</v>
      </c>
      <c r="F18" s="151" t="s">
        <v>214</v>
      </c>
      <c r="G18" s="151" t="s">
        <v>52</v>
      </c>
      <c r="H18" s="151" t="s">
        <v>61</v>
      </c>
      <c r="I18" s="151" t="s">
        <v>1254</v>
      </c>
      <c r="J18" s="151" t="s">
        <v>69</v>
      </c>
      <c r="K18" s="151" t="s">
        <v>1256</v>
      </c>
      <c r="L18" s="152">
        <v>7029.2749999999996</v>
      </c>
      <c r="M18" s="152">
        <v>3.165</v>
      </c>
      <c r="N18" s="151"/>
      <c r="O18" s="152">
        <v>22247.654999999999</v>
      </c>
      <c r="P18" s="153">
        <v>5.0529999999999999E-2</v>
      </c>
      <c r="Q18" s="154">
        <v>2.2300000000000002E-3</v>
      </c>
      <c r="R18" s="175"/>
    </row>
    <row r="19" spans="1:18" x14ac:dyDescent="0.2">
      <c r="A19" s="150" t="s">
        <v>1264</v>
      </c>
      <c r="B19" s="151" t="s">
        <v>1264</v>
      </c>
      <c r="C19" s="151" t="s">
        <v>1252</v>
      </c>
      <c r="D19" s="151" t="s">
        <v>1253</v>
      </c>
      <c r="E19" s="151" t="s">
        <v>750</v>
      </c>
      <c r="F19" s="151" t="s">
        <v>214</v>
      </c>
      <c r="G19" s="151" t="s">
        <v>52</v>
      </c>
      <c r="H19" s="151" t="s">
        <v>61</v>
      </c>
      <c r="I19" s="151" t="s">
        <v>1254</v>
      </c>
      <c r="J19" s="151" t="s">
        <v>69</v>
      </c>
      <c r="K19" s="151" t="s">
        <v>1258</v>
      </c>
      <c r="L19" s="152">
        <v>645.96400000000006</v>
      </c>
      <c r="M19" s="152">
        <v>3.6360000000000001</v>
      </c>
      <c r="N19" s="151"/>
      <c r="O19" s="152">
        <v>2348.7240000000002</v>
      </c>
      <c r="P19" s="153">
        <v>5.3299999999999997E-3</v>
      </c>
      <c r="Q19" s="154">
        <v>2.4000000000000001E-4</v>
      </c>
      <c r="R19" s="175"/>
    </row>
    <row r="20" spans="1:18" x14ac:dyDescent="0.2">
      <c r="A20" s="150" t="s">
        <v>1264</v>
      </c>
      <c r="B20" s="151" t="s">
        <v>1264</v>
      </c>
      <c r="C20" s="151" t="s">
        <v>1252</v>
      </c>
      <c r="D20" s="151" t="s">
        <v>1253</v>
      </c>
      <c r="E20" s="151" t="s">
        <v>750</v>
      </c>
      <c r="F20" s="151" t="s">
        <v>214</v>
      </c>
      <c r="G20" s="151" t="s">
        <v>52</v>
      </c>
      <c r="H20" s="151" t="s">
        <v>61</v>
      </c>
      <c r="I20" s="151" t="s">
        <v>1254</v>
      </c>
      <c r="J20" s="151" t="s">
        <v>69</v>
      </c>
      <c r="K20" s="151" t="s">
        <v>1259</v>
      </c>
      <c r="L20" s="152">
        <v>85355.535000000003</v>
      </c>
      <c r="M20" s="152">
        <v>0.02</v>
      </c>
      <c r="N20" s="151"/>
      <c r="O20" s="152">
        <v>1694.99</v>
      </c>
      <c r="P20" s="153">
        <v>3.8500000000000001E-3</v>
      </c>
      <c r="Q20" s="154">
        <v>1.7000000000000001E-4</v>
      </c>
      <c r="R20" s="175"/>
    </row>
    <row r="21" spans="1:18" x14ac:dyDescent="0.2">
      <c r="A21" s="150" t="s">
        <v>1264</v>
      </c>
      <c r="B21" s="151" t="s">
        <v>1264</v>
      </c>
      <c r="C21" s="151" t="s">
        <v>1252</v>
      </c>
      <c r="D21" s="151" t="s">
        <v>1253</v>
      </c>
      <c r="E21" s="151" t="s">
        <v>750</v>
      </c>
      <c r="F21" s="151" t="s">
        <v>214</v>
      </c>
      <c r="G21" s="151" t="s">
        <v>52</v>
      </c>
      <c r="H21" s="151" t="s">
        <v>61</v>
      </c>
      <c r="I21" s="151" t="s">
        <v>1254</v>
      </c>
      <c r="J21" s="151" t="s">
        <v>69</v>
      </c>
      <c r="K21" s="151" t="s">
        <v>1257</v>
      </c>
      <c r="L21" s="152">
        <v>177.05600000000001</v>
      </c>
      <c r="M21" s="152">
        <v>4.1870000000000003</v>
      </c>
      <c r="N21" s="151"/>
      <c r="O21" s="152">
        <v>741.38499999999999</v>
      </c>
      <c r="P21" s="153">
        <v>1.6800000000000001E-3</v>
      </c>
      <c r="Q21" s="154">
        <v>6.9999999999999994E-5</v>
      </c>
      <c r="R21" s="175"/>
    </row>
    <row r="22" spans="1:18" x14ac:dyDescent="0.2">
      <c r="A22" s="150" t="s">
        <v>1264</v>
      </c>
      <c r="B22" s="151" t="s">
        <v>1264</v>
      </c>
      <c r="C22" s="151" t="s">
        <v>1252</v>
      </c>
      <c r="D22" s="151" t="s">
        <v>1253</v>
      </c>
      <c r="E22" s="151" t="s">
        <v>750</v>
      </c>
      <c r="F22" s="151" t="s">
        <v>214</v>
      </c>
      <c r="G22" s="151" t="s">
        <v>52</v>
      </c>
      <c r="H22" s="151" t="s">
        <v>61</v>
      </c>
      <c r="I22" s="151" t="s">
        <v>1254</v>
      </c>
      <c r="J22" s="151" t="s">
        <v>69</v>
      </c>
      <c r="K22" s="151" t="s">
        <v>1260</v>
      </c>
      <c r="L22" s="152">
        <v>1E-3</v>
      </c>
      <c r="M22" s="152">
        <v>2.2719999999999998</v>
      </c>
      <c r="N22" s="151"/>
      <c r="O22" s="152">
        <v>1E-3</v>
      </c>
      <c r="P22" s="153">
        <v>0</v>
      </c>
      <c r="Q22" s="154">
        <v>0</v>
      </c>
      <c r="R22" s="175"/>
    </row>
    <row r="23" spans="1:18" x14ac:dyDescent="0.2">
      <c r="A23" s="150" t="s">
        <v>1264</v>
      </c>
      <c r="B23" s="151" t="s">
        <v>1265</v>
      </c>
      <c r="C23" s="151" t="s">
        <v>1252</v>
      </c>
      <c r="D23" s="151" t="s">
        <v>1253</v>
      </c>
      <c r="E23" s="151" t="s">
        <v>750</v>
      </c>
      <c r="F23" s="151" t="s">
        <v>209</v>
      </c>
      <c r="G23" s="151" t="s">
        <v>52</v>
      </c>
      <c r="H23" s="151" t="s">
        <v>61</v>
      </c>
      <c r="I23" s="151" t="s">
        <v>1254</v>
      </c>
      <c r="J23" s="151" t="s">
        <v>69</v>
      </c>
      <c r="K23" s="151" t="s">
        <v>1255</v>
      </c>
      <c r="L23" s="152">
        <v>221.85599999999999</v>
      </c>
      <c r="M23" s="152">
        <v>1</v>
      </c>
      <c r="N23" s="151"/>
      <c r="O23" s="152">
        <v>221.85599999999999</v>
      </c>
      <c r="P23" s="153">
        <v>0.81840000000000002</v>
      </c>
      <c r="Q23" s="154">
        <v>5.9979999999999999E-2</v>
      </c>
      <c r="R23" s="175"/>
    </row>
    <row r="24" spans="1:18" x14ac:dyDescent="0.2">
      <c r="A24" s="150" t="s">
        <v>1264</v>
      </c>
      <c r="B24" s="151" t="s">
        <v>1265</v>
      </c>
      <c r="C24" s="151" t="s">
        <v>1252</v>
      </c>
      <c r="D24" s="151" t="s">
        <v>1253</v>
      </c>
      <c r="E24" s="151" t="s">
        <v>750</v>
      </c>
      <c r="F24" s="151" t="s">
        <v>214</v>
      </c>
      <c r="G24" s="151" t="s">
        <v>52</v>
      </c>
      <c r="H24" s="151" t="s">
        <v>61</v>
      </c>
      <c r="I24" s="151" t="s">
        <v>1254</v>
      </c>
      <c r="J24" s="151" t="s">
        <v>69</v>
      </c>
      <c r="K24" s="151" t="s">
        <v>1256</v>
      </c>
      <c r="L24" s="152">
        <v>15.554</v>
      </c>
      <c r="M24" s="152">
        <v>3.165</v>
      </c>
      <c r="N24" s="151"/>
      <c r="O24" s="152">
        <v>49.228000000000002</v>
      </c>
      <c r="P24" s="153">
        <v>0.18160000000000001</v>
      </c>
      <c r="Q24" s="154">
        <v>1.3310000000000001E-2</v>
      </c>
      <c r="R24" s="175"/>
    </row>
    <row r="25" spans="1:18" x14ac:dyDescent="0.2">
      <c r="A25" s="150" t="s">
        <v>1264</v>
      </c>
      <c r="B25" s="151" t="s">
        <v>1266</v>
      </c>
      <c r="C25" s="151" t="s">
        <v>1252</v>
      </c>
      <c r="D25" s="151" t="s">
        <v>1253</v>
      </c>
      <c r="E25" s="151" t="s">
        <v>750</v>
      </c>
      <c r="F25" s="151" t="s">
        <v>209</v>
      </c>
      <c r="G25" s="151" t="s">
        <v>52</v>
      </c>
      <c r="H25" s="151" t="s">
        <v>61</v>
      </c>
      <c r="I25" s="151" t="s">
        <v>1254</v>
      </c>
      <c r="J25" s="151" t="s">
        <v>69</v>
      </c>
      <c r="K25" s="151" t="s">
        <v>1255</v>
      </c>
      <c r="L25" s="152">
        <v>25751.363000000001</v>
      </c>
      <c r="M25" s="152">
        <v>1</v>
      </c>
      <c r="N25" s="151"/>
      <c r="O25" s="152">
        <v>25751.363000000001</v>
      </c>
      <c r="P25" s="153">
        <v>0.64217000000000002</v>
      </c>
      <c r="Q25" s="154">
        <v>7.4370000000000006E-2</v>
      </c>
      <c r="R25" s="175"/>
    </row>
    <row r="26" spans="1:18" x14ac:dyDescent="0.2">
      <c r="A26" s="150" t="s">
        <v>1264</v>
      </c>
      <c r="B26" s="151" t="s">
        <v>1266</v>
      </c>
      <c r="C26" s="151" t="s">
        <v>1252</v>
      </c>
      <c r="D26" s="151" t="s">
        <v>1253</v>
      </c>
      <c r="E26" s="151" t="s">
        <v>750</v>
      </c>
      <c r="F26" s="151" t="s">
        <v>214</v>
      </c>
      <c r="G26" s="151" t="s">
        <v>52</v>
      </c>
      <c r="H26" s="151" t="s">
        <v>61</v>
      </c>
      <c r="I26" s="151" t="s">
        <v>1254</v>
      </c>
      <c r="J26" s="151" t="s">
        <v>69</v>
      </c>
      <c r="K26" s="151" t="s">
        <v>1256</v>
      </c>
      <c r="L26" s="152">
        <v>3631.79</v>
      </c>
      <c r="M26" s="152">
        <v>3.165</v>
      </c>
      <c r="N26" s="151"/>
      <c r="O26" s="152">
        <v>11494.615</v>
      </c>
      <c r="P26" s="153">
        <v>0.28665000000000002</v>
      </c>
      <c r="Q26" s="154">
        <v>3.3189999999999997E-2</v>
      </c>
      <c r="R26" s="175"/>
    </row>
    <row r="27" spans="1:18" x14ac:dyDescent="0.2">
      <c r="A27" s="155" t="s">
        <v>1264</v>
      </c>
      <c r="B27" s="156" t="s">
        <v>1266</v>
      </c>
      <c r="C27" s="156" t="s">
        <v>1252</v>
      </c>
      <c r="D27" s="156" t="s">
        <v>1253</v>
      </c>
      <c r="E27" s="156" t="s">
        <v>750</v>
      </c>
      <c r="F27" s="156" t="s">
        <v>214</v>
      </c>
      <c r="G27" s="156" t="s">
        <v>52</v>
      </c>
      <c r="H27" s="156" t="s">
        <v>61</v>
      </c>
      <c r="I27" s="156" t="s">
        <v>1254</v>
      </c>
      <c r="J27" s="156" t="s">
        <v>69</v>
      </c>
      <c r="K27" s="156" t="s">
        <v>1258</v>
      </c>
      <c r="L27" s="157">
        <v>785.07799999999997</v>
      </c>
      <c r="M27" s="157">
        <v>3.6360000000000001</v>
      </c>
      <c r="N27" s="156"/>
      <c r="O27" s="157">
        <v>2854.5450000000001</v>
      </c>
      <c r="P27" s="158">
        <v>7.1179999999999993E-2</v>
      </c>
      <c r="Q27" s="159">
        <v>8.2400000000000008E-3</v>
      </c>
      <c r="R27" s="175"/>
    </row>
    <row r="28" spans="1:18" x14ac:dyDescent="0.2">
      <c r="A28" s="174" t="s">
        <v>2521</v>
      </c>
      <c r="B28" s="174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</row>
    <row r="29" spans="1:18" x14ac:dyDescent="0.2">
      <c r="A29" t="s">
        <v>2520</v>
      </c>
    </row>
    <row r="30" spans="1:18" x14ac:dyDescent="0.2">
      <c r="A30" s="1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/>
    </customSheetView>
  </customSheetViews>
  <mergeCells count="2">
    <mergeCell ref="A28:Q28"/>
    <mergeCell ref="R2:R27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9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2.75" customWidth="1"/>
    <col min="6" max="7" width="11.625" customWidth="1"/>
    <col min="8" max="8" width="19.875" customWidth="1"/>
    <col min="9" max="11" width="11.625" customWidth="1"/>
    <col min="12" max="12" width="11.75" customWidth="1"/>
    <col min="13" max="15" width="11.625" customWidth="1"/>
    <col min="16" max="16" width="12.25" customWidth="1"/>
    <col min="17" max="17" width="22.25" customWidth="1"/>
    <col min="18" max="18" width="14.875" customWidth="1"/>
    <col min="19" max="19" width="11.62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19" customWidth="1"/>
    <col min="25" max="25" width="21.75" customWidth="1"/>
    <col min="26" max="26" width="20.125" customWidth="1"/>
    <col min="27" max="30" width="11.625" hidden="1" customWidth="1"/>
    <col min="31" max="16384" width="9" hidden="1"/>
  </cols>
  <sheetData>
    <row r="1" spans="1:27" x14ac:dyDescent="0.2">
      <c r="A1" t="s">
        <v>2526</v>
      </c>
    </row>
    <row r="2" spans="1:27" s="4" customFormat="1" x14ac:dyDescent="0.2">
      <c r="A2" s="147" t="s">
        <v>636</v>
      </c>
      <c r="B2" s="148" t="s">
        <v>0</v>
      </c>
      <c r="C2" s="148" t="s">
        <v>703</v>
      </c>
      <c r="D2" s="148" t="s">
        <v>1097</v>
      </c>
      <c r="E2" s="148" t="s">
        <v>28</v>
      </c>
      <c r="F2" s="148" t="s">
        <v>1</v>
      </c>
      <c r="G2" s="148" t="s">
        <v>591</v>
      </c>
      <c r="H2" s="148" t="s">
        <v>592</v>
      </c>
      <c r="I2" s="148" t="s">
        <v>4</v>
      </c>
      <c r="J2" s="148" t="s">
        <v>5</v>
      </c>
      <c r="K2" s="148" t="s">
        <v>7</v>
      </c>
      <c r="L2" s="148" t="s">
        <v>387</v>
      </c>
      <c r="M2" s="148" t="s">
        <v>12</v>
      </c>
      <c r="N2" s="148" t="s">
        <v>412</v>
      </c>
      <c r="O2" s="148" t="s">
        <v>13</v>
      </c>
      <c r="P2" s="148" t="s">
        <v>608</v>
      </c>
      <c r="Q2" s="148" t="s">
        <v>895</v>
      </c>
      <c r="R2" s="148" t="s">
        <v>747</v>
      </c>
      <c r="S2" s="148" t="s">
        <v>10</v>
      </c>
      <c r="T2" s="148" t="s">
        <v>14</v>
      </c>
      <c r="U2" s="148" t="s">
        <v>1105</v>
      </c>
      <c r="V2" s="148" t="s">
        <v>1106</v>
      </c>
      <c r="W2" s="148" t="s">
        <v>25</v>
      </c>
      <c r="X2" s="148" t="s">
        <v>17</v>
      </c>
      <c r="Y2" s="148" t="s">
        <v>18</v>
      </c>
      <c r="Z2" s="149" t="s">
        <v>29</v>
      </c>
      <c r="AA2" s="176" t="s">
        <v>2522</v>
      </c>
    </row>
    <row r="3" spans="1:27" x14ac:dyDescent="0.2">
      <c r="A3" s="150" t="s">
        <v>1251</v>
      </c>
      <c r="B3" s="151" t="s">
        <v>1251</v>
      </c>
      <c r="C3" s="151" t="s">
        <v>1267</v>
      </c>
      <c r="D3" s="151" t="s">
        <v>1268</v>
      </c>
      <c r="E3" s="151" t="s">
        <v>1269</v>
      </c>
      <c r="F3" s="151" t="s">
        <v>219</v>
      </c>
      <c r="G3" s="151" t="s">
        <v>52</v>
      </c>
      <c r="H3" s="151" t="s">
        <v>52</v>
      </c>
      <c r="I3" s="151" t="s">
        <v>303</v>
      </c>
      <c r="J3" s="151" t="s">
        <v>1270</v>
      </c>
      <c r="K3" s="151" t="s">
        <v>77</v>
      </c>
      <c r="L3" s="151" t="s">
        <v>1255</v>
      </c>
      <c r="M3" s="152">
        <v>14.57</v>
      </c>
      <c r="N3" s="151" t="s">
        <v>1271</v>
      </c>
      <c r="O3" s="153">
        <v>3.7499999999999999E-2</v>
      </c>
      <c r="P3" s="153">
        <v>4.4119999999999999E-2</v>
      </c>
      <c r="Q3" s="151"/>
      <c r="R3" s="152">
        <v>21326729</v>
      </c>
      <c r="S3" s="152">
        <v>1</v>
      </c>
      <c r="T3" s="152">
        <v>91.06</v>
      </c>
      <c r="U3" s="152">
        <v>19420.118999999999</v>
      </c>
      <c r="V3" s="151"/>
      <c r="W3" s="151"/>
      <c r="X3" s="153">
        <v>7.9000000000000001E-4</v>
      </c>
      <c r="Y3" s="153">
        <v>0.21163000000000001</v>
      </c>
      <c r="Z3" s="154">
        <v>2.647E-2</v>
      </c>
      <c r="AA3" s="176"/>
    </row>
    <row r="4" spans="1:27" x14ac:dyDescent="0.2">
      <c r="A4" s="150" t="s">
        <v>1251</v>
      </c>
      <c r="B4" s="151" t="s">
        <v>1251</v>
      </c>
      <c r="C4" s="151" t="s">
        <v>1267</v>
      </c>
      <c r="D4" s="151" t="s">
        <v>1272</v>
      </c>
      <c r="E4" s="151" t="s">
        <v>1273</v>
      </c>
      <c r="F4" s="151" t="s">
        <v>219</v>
      </c>
      <c r="G4" s="151" t="s">
        <v>52</v>
      </c>
      <c r="H4" s="151" t="s">
        <v>52</v>
      </c>
      <c r="I4" s="151" t="s">
        <v>303</v>
      </c>
      <c r="J4" s="151" t="s">
        <v>1270</v>
      </c>
      <c r="K4" s="151" t="s">
        <v>77</v>
      </c>
      <c r="L4" s="151" t="s">
        <v>1255</v>
      </c>
      <c r="M4" s="152">
        <v>7.73</v>
      </c>
      <c r="N4" s="151" t="s">
        <v>1274</v>
      </c>
      <c r="O4" s="153">
        <v>0.04</v>
      </c>
      <c r="P4" s="153">
        <v>4.0680000000000001E-2</v>
      </c>
      <c r="Q4" s="151"/>
      <c r="R4" s="152">
        <v>12404000</v>
      </c>
      <c r="S4" s="152">
        <v>1</v>
      </c>
      <c r="T4" s="152">
        <v>99.51</v>
      </c>
      <c r="U4" s="152">
        <v>12343.22</v>
      </c>
      <c r="V4" s="151"/>
      <c r="W4" s="151"/>
      <c r="X4" s="153">
        <v>3.2000000000000003E-4</v>
      </c>
      <c r="Y4" s="153">
        <v>0.13450999999999999</v>
      </c>
      <c r="Z4" s="154">
        <v>1.6820000000000002E-2</v>
      </c>
      <c r="AA4" s="176"/>
    </row>
    <row r="5" spans="1:27" x14ac:dyDescent="0.2">
      <c r="A5" s="150" t="s">
        <v>1251</v>
      </c>
      <c r="B5" s="151" t="s">
        <v>1251</v>
      </c>
      <c r="C5" s="151" t="s">
        <v>1275</v>
      </c>
      <c r="D5" s="151" t="s">
        <v>1276</v>
      </c>
      <c r="E5" s="151" t="s">
        <v>1277</v>
      </c>
      <c r="F5" s="151" t="s">
        <v>217</v>
      </c>
      <c r="G5" s="151" t="s">
        <v>52</v>
      </c>
      <c r="H5" s="151" t="s">
        <v>52</v>
      </c>
      <c r="I5" s="151" t="s">
        <v>303</v>
      </c>
      <c r="J5" s="151" t="s">
        <v>1270</v>
      </c>
      <c r="K5" s="151" t="s">
        <v>77</v>
      </c>
      <c r="L5" s="151" t="s">
        <v>1255</v>
      </c>
      <c r="M5" s="152">
        <v>5.65</v>
      </c>
      <c r="N5" s="151" t="s">
        <v>1278</v>
      </c>
      <c r="O5" s="153">
        <v>1E-3</v>
      </c>
      <c r="P5" s="153">
        <v>1.934E-2</v>
      </c>
      <c r="Q5" s="151"/>
      <c r="R5" s="152">
        <v>11550000</v>
      </c>
      <c r="S5" s="152">
        <v>1</v>
      </c>
      <c r="T5" s="152">
        <v>106.48</v>
      </c>
      <c r="U5" s="152">
        <v>12298.44</v>
      </c>
      <c r="V5" s="151"/>
      <c r="W5" s="151"/>
      <c r="X5" s="153">
        <v>3.4000000000000002E-4</v>
      </c>
      <c r="Y5" s="153">
        <v>0.13402</v>
      </c>
      <c r="Z5" s="154">
        <v>1.6760000000000001E-2</v>
      </c>
      <c r="AA5" s="176"/>
    </row>
    <row r="6" spans="1:27" x14ac:dyDescent="0.2">
      <c r="A6" s="150" t="s">
        <v>1251</v>
      </c>
      <c r="B6" s="151" t="s">
        <v>1251</v>
      </c>
      <c r="C6" s="151" t="s">
        <v>1267</v>
      </c>
      <c r="D6" s="151" t="s">
        <v>1279</v>
      </c>
      <c r="E6" s="151" t="s">
        <v>1280</v>
      </c>
      <c r="F6" s="151" t="s">
        <v>219</v>
      </c>
      <c r="G6" s="151" t="s">
        <v>52</v>
      </c>
      <c r="H6" s="151" t="s">
        <v>52</v>
      </c>
      <c r="I6" s="151" t="s">
        <v>303</v>
      </c>
      <c r="J6" s="151" t="s">
        <v>1270</v>
      </c>
      <c r="K6" s="151" t="s">
        <v>77</v>
      </c>
      <c r="L6" s="151" t="s">
        <v>1255</v>
      </c>
      <c r="M6" s="152">
        <v>11.23</v>
      </c>
      <c r="N6" s="151" t="s">
        <v>1281</v>
      </c>
      <c r="O6" s="153">
        <v>5.4850000000000003E-2</v>
      </c>
      <c r="P6" s="153">
        <v>4.2529999999999998E-2</v>
      </c>
      <c r="Q6" s="151"/>
      <c r="R6" s="152">
        <v>8900000</v>
      </c>
      <c r="S6" s="152">
        <v>1</v>
      </c>
      <c r="T6" s="152">
        <v>115.07</v>
      </c>
      <c r="U6" s="152">
        <v>10241.23</v>
      </c>
      <c r="V6" s="151"/>
      <c r="W6" s="151"/>
      <c r="X6" s="153">
        <v>2.5999999999999998E-4</v>
      </c>
      <c r="Y6" s="153">
        <v>0.1116</v>
      </c>
      <c r="Z6" s="154">
        <v>1.396E-2</v>
      </c>
      <c r="AA6" s="176"/>
    </row>
    <row r="7" spans="1:27" x14ac:dyDescent="0.2">
      <c r="A7" s="150" t="s">
        <v>1251</v>
      </c>
      <c r="B7" s="151" t="s">
        <v>1251</v>
      </c>
      <c r="C7" s="151" t="s">
        <v>1282</v>
      </c>
      <c r="D7" s="151" t="s">
        <v>1283</v>
      </c>
      <c r="E7" s="151" t="s">
        <v>1284</v>
      </c>
      <c r="F7" s="151" t="s">
        <v>217</v>
      </c>
      <c r="G7" s="151" t="s">
        <v>52</v>
      </c>
      <c r="H7" s="151" t="s">
        <v>52</v>
      </c>
      <c r="I7" s="151" t="s">
        <v>303</v>
      </c>
      <c r="J7" s="151" t="s">
        <v>1270</v>
      </c>
      <c r="K7" s="151" t="s">
        <v>77</v>
      </c>
      <c r="L7" s="151" t="s">
        <v>1255</v>
      </c>
      <c r="M7" s="152">
        <v>12.7</v>
      </c>
      <c r="N7" s="151" t="s">
        <v>1285</v>
      </c>
      <c r="O7" s="153">
        <v>2.75E-2</v>
      </c>
      <c r="P7" s="153">
        <v>2.1860000000000001E-2</v>
      </c>
      <c r="Q7" s="151"/>
      <c r="R7" s="152">
        <v>7200000</v>
      </c>
      <c r="S7" s="152">
        <v>1</v>
      </c>
      <c r="T7" s="152">
        <v>137.41999999999999</v>
      </c>
      <c r="U7" s="152">
        <v>9894.24</v>
      </c>
      <c r="V7" s="151"/>
      <c r="W7" s="151"/>
      <c r="X7" s="153">
        <v>3.6000000000000002E-4</v>
      </c>
      <c r="Y7" s="153">
        <v>0.10782</v>
      </c>
      <c r="Z7" s="154">
        <v>1.3480000000000001E-2</v>
      </c>
      <c r="AA7" s="176"/>
    </row>
    <row r="8" spans="1:27" x14ac:dyDescent="0.2">
      <c r="A8" s="150" t="s">
        <v>1251</v>
      </c>
      <c r="B8" s="151" t="s">
        <v>1251</v>
      </c>
      <c r="C8" s="151" t="s">
        <v>1282</v>
      </c>
      <c r="D8" s="151" t="s">
        <v>1286</v>
      </c>
      <c r="E8" s="151" t="s">
        <v>1287</v>
      </c>
      <c r="F8" s="151" t="s">
        <v>217</v>
      </c>
      <c r="G8" s="151" t="s">
        <v>52</v>
      </c>
      <c r="H8" s="151" t="s">
        <v>52</v>
      </c>
      <c r="I8" s="151" t="s">
        <v>303</v>
      </c>
      <c r="J8" s="151" t="s">
        <v>1270</v>
      </c>
      <c r="K8" s="151" t="s">
        <v>77</v>
      </c>
      <c r="L8" s="151" t="s">
        <v>1255</v>
      </c>
      <c r="M8" s="152">
        <v>7.15</v>
      </c>
      <c r="N8" s="151" t="s">
        <v>1288</v>
      </c>
      <c r="O8" s="153">
        <v>1.6E-2</v>
      </c>
      <c r="P8" s="153">
        <v>2.0379999999999999E-2</v>
      </c>
      <c r="Q8" s="151"/>
      <c r="R8" s="152">
        <v>8200000</v>
      </c>
      <c r="S8" s="152">
        <v>1</v>
      </c>
      <c r="T8" s="152">
        <v>103.34</v>
      </c>
      <c r="U8" s="152">
        <v>8473.8799999999992</v>
      </c>
      <c r="V8" s="151"/>
      <c r="W8" s="151"/>
      <c r="X8" s="153">
        <v>2.5999999999999998E-4</v>
      </c>
      <c r="Y8" s="153">
        <v>9.2340000000000005E-2</v>
      </c>
      <c r="Z8" s="154">
        <v>1.155E-2</v>
      </c>
      <c r="AA8" s="176"/>
    </row>
    <row r="9" spans="1:27" x14ac:dyDescent="0.2">
      <c r="A9" s="150" t="s">
        <v>1251</v>
      </c>
      <c r="B9" s="151" t="s">
        <v>1251</v>
      </c>
      <c r="C9" s="151" t="s">
        <v>1267</v>
      </c>
      <c r="D9" s="151" t="s">
        <v>1289</v>
      </c>
      <c r="E9" s="151" t="s">
        <v>1290</v>
      </c>
      <c r="F9" s="151" t="s">
        <v>219</v>
      </c>
      <c r="G9" s="151" t="s">
        <v>52</v>
      </c>
      <c r="H9" s="151" t="s">
        <v>52</v>
      </c>
      <c r="I9" s="151" t="s">
        <v>303</v>
      </c>
      <c r="J9" s="151" t="s">
        <v>1270</v>
      </c>
      <c r="K9" s="151" t="s">
        <v>77</v>
      </c>
      <c r="L9" s="151" t="s">
        <v>1255</v>
      </c>
      <c r="M9" s="152">
        <v>17.45</v>
      </c>
      <c r="N9" s="151" t="s">
        <v>1291</v>
      </c>
      <c r="O9" s="153">
        <v>2.8000000000000001E-2</v>
      </c>
      <c r="P9" s="153">
        <v>4.5699999999999998E-2</v>
      </c>
      <c r="Q9" s="151"/>
      <c r="R9" s="152">
        <v>5000000</v>
      </c>
      <c r="S9" s="152">
        <v>1</v>
      </c>
      <c r="T9" s="152">
        <v>73.94</v>
      </c>
      <c r="U9" s="152">
        <v>3697</v>
      </c>
      <c r="V9" s="151"/>
      <c r="W9" s="151"/>
      <c r="X9" s="153">
        <v>1.4999999999999999E-4</v>
      </c>
      <c r="Y9" s="153">
        <v>4.0289999999999999E-2</v>
      </c>
      <c r="Z9" s="154">
        <v>5.0400000000000002E-3</v>
      </c>
      <c r="AA9" s="176"/>
    </row>
    <row r="10" spans="1:27" x14ac:dyDescent="0.2">
      <c r="A10" s="150" t="s">
        <v>1251</v>
      </c>
      <c r="B10" s="151" t="s">
        <v>1251</v>
      </c>
      <c r="C10" s="151" t="s">
        <v>1275</v>
      </c>
      <c r="D10" s="151" t="s">
        <v>1292</v>
      </c>
      <c r="E10" s="151" t="s">
        <v>1293</v>
      </c>
      <c r="F10" s="151" t="s">
        <v>217</v>
      </c>
      <c r="G10" s="151" t="s">
        <v>52</v>
      </c>
      <c r="H10" s="151" t="s">
        <v>52</v>
      </c>
      <c r="I10" s="151" t="s">
        <v>303</v>
      </c>
      <c r="J10" s="151" t="s">
        <v>1270</v>
      </c>
      <c r="K10" s="151" t="s">
        <v>77</v>
      </c>
      <c r="L10" s="151" t="s">
        <v>1255</v>
      </c>
      <c r="M10" s="152">
        <v>3.14</v>
      </c>
      <c r="N10" s="151" t="s">
        <v>1294</v>
      </c>
      <c r="O10" s="153">
        <v>5.0000000000000001E-3</v>
      </c>
      <c r="P10" s="153">
        <v>1.8239999999999999E-2</v>
      </c>
      <c r="Q10" s="151"/>
      <c r="R10" s="152">
        <v>1225000</v>
      </c>
      <c r="S10" s="152">
        <v>1</v>
      </c>
      <c r="T10" s="152">
        <v>113.68</v>
      </c>
      <c r="U10" s="152">
        <v>1392.58</v>
      </c>
      <c r="V10" s="151"/>
      <c r="W10" s="151"/>
      <c r="X10" s="153">
        <v>4.0000000000000003E-5</v>
      </c>
      <c r="Y10" s="153">
        <v>1.5180000000000001E-2</v>
      </c>
      <c r="Z10" s="154">
        <v>1.9E-3</v>
      </c>
      <c r="AA10" s="176"/>
    </row>
    <row r="11" spans="1:27" x14ac:dyDescent="0.2">
      <c r="A11" s="150" t="s">
        <v>1251</v>
      </c>
      <c r="B11" s="151" t="s">
        <v>1251</v>
      </c>
      <c r="C11" s="151" t="s">
        <v>1267</v>
      </c>
      <c r="D11" s="151" t="s">
        <v>1295</v>
      </c>
      <c r="E11" s="151" t="s">
        <v>1296</v>
      </c>
      <c r="F11" s="151" t="s">
        <v>219</v>
      </c>
      <c r="G11" s="151" t="s">
        <v>52</v>
      </c>
      <c r="H11" s="151" t="s">
        <v>52</v>
      </c>
      <c r="I11" s="151" t="s">
        <v>303</v>
      </c>
      <c r="J11" s="151" t="s">
        <v>1270</v>
      </c>
      <c r="K11" s="151" t="s">
        <v>77</v>
      </c>
      <c r="L11" s="151" t="s">
        <v>1255</v>
      </c>
      <c r="M11" s="152">
        <v>0.57999999999999996</v>
      </c>
      <c r="N11" s="151" t="s">
        <v>1297</v>
      </c>
      <c r="O11" s="153">
        <v>6.25E-2</v>
      </c>
      <c r="P11" s="153">
        <v>3.7420000000000002E-2</v>
      </c>
      <c r="Q11" s="151"/>
      <c r="R11" s="152">
        <v>1100000</v>
      </c>
      <c r="S11" s="152">
        <v>1</v>
      </c>
      <c r="T11" s="152">
        <v>103.99</v>
      </c>
      <c r="U11" s="152">
        <v>1143.8900000000001</v>
      </c>
      <c r="V11" s="151"/>
      <c r="W11" s="151"/>
      <c r="X11" s="153">
        <v>6.9999999999999994E-5</v>
      </c>
      <c r="Y11" s="153">
        <v>1.247E-2</v>
      </c>
      <c r="Z11" s="154">
        <v>1.56E-3</v>
      </c>
      <c r="AA11" s="176"/>
    </row>
    <row r="12" spans="1:27" x14ac:dyDescent="0.2">
      <c r="A12" s="150" t="s">
        <v>1251</v>
      </c>
      <c r="B12" s="151" t="s">
        <v>1251</v>
      </c>
      <c r="C12" s="151" t="s">
        <v>1298</v>
      </c>
      <c r="D12" s="151" t="s">
        <v>1299</v>
      </c>
      <c r="E12" s="151" t="s">
        <v>1300</v>
      </c>
      <c r="F12" s="151" t="s">
        <v>221</v>
      </c>
      <c r="G12" s="151" t="s">
        <v>60</v>
      </c>
      <c r="H12" s="151" t="s">
        <v>52</v>
      </c>
      <c r="I12" s="151" t="s">
        <v>463</v>
      </c>
      <c r="J12" s="151" t="s">
        <v>1301</v>
      </c>
      <c r="K12" s="151" t="s">
        <v>83</v>
      </c>
      <c r="L12" s="151" t="s">
        <v>1256</v>
      </c>
      <c r="M12" s="152">
        <v>7.5229999999999997</v>
      </c>
      <c r="N12" s="151" t="s">
        <v>1302</v>
      </c>
      <c r="O12" s="153">
        <v>0.05</v>
      </c>
      <c r="P12" s="153">
        <v>5.4730000000000001E-2</v>
      </c>
      <c r="Q12" s="151"/>
      <c r="R12" s="152">
        <v>2200000</v>
      </c>
      <c r="S12" s="152">
        <v>3.165</v>
      </c>
      <c r="T12" s="152">
        <v>97.515000000000001</v>
      </c>
      <c r="U12" s="152">
        <v>6790.0039999999999</v>
      </c>
      <c r="V12" s="151"/>
      <c r="W12" s="151"/>
      <c r="X12" s="153">
        <v>1.1000000000000001E-3</v>
      </c>
      <c r="Y12" s="153">
        <v>7.399E-2</v>
      </c>
      <c r="Z12" s="154">
        <v>9.2499999999999995E-3</v>
      </c>
      <c r="AA12" s="176"/>
    </row>
    <row r="13" spans="1:27" x14ac:dyDescent="0.2">
      <c r="A13" s="150" t="s">
        <v>1251</v>
      </c>
      <c r="B13" s="151" t="s">
        <v>1251</v>
      </c>
      <c r="C13" s="151" t="s">
        <v>1303</v>
      </c>
      <c r="D13" s="151" t="s">
        <v>1304</v>
      </c>
      <c r="E13" s="151" t="s">
        <v>1305</v>
      </c>
      <c r="F13" s="151" t="s">
        <v>221</v>
      </c>
      <c r="G13" s="151" t="s">
        <v>60</v>
      </c>
      <c r="H13" s="151" t="s">
        <v>306</v>
      </c>
      <c r="I13" s="151" t="s">
        <v>463</v>
      </c>
      <c r="J13" s="151" t="s">
        <v>1306</v>
      </c>
      <c r="K13" s="151" t="s">
        <v>83</v>
      </c>
      <c r="L13" s="151" t="s">
        <v>1256</v>
      </c>
      <c r="M13" s="152">
        <v>6.3140000000000001</v>
      </c>
      <c r="N13" s="151" t="s">
        <v>1307</v>
      </c>
      <c r="O13" s="153">
        <v>3.875E-2</v>
      </c>
      <c r="P13" s="153">
        <v>4.1599999999999998E-2</v>
      </c>
      <c r="Q13" s="151"/>
      <c r="R13" s="152">
        <v>603000</v>
      </c>
      <c r="S13" s="152">
        <v>3.165</v>
      </c>
      <c r="T13" s="152">
        <v>98.697999999999993</v>
      </c>
      <c r="U13" s="152">
        <v>1883.6510000000001</v>
      </c>
      <c r="V13" s="151"/>
      <c r="W13" s="151"/>
      <c r="X13" s="153">
        <v>0</v>
      </c>
      <c r="Y13" s="153">
        <v>2.053E-2</v>
      </c>
      <c r="Z13" s="154">
        <v>2.5699999999999998E-3</v>
      </c>
      <c r="AA13" s="176"/>
    </row>
    <row r="14" spans="1:27" x14ac:dyDescent="0.2">
      <c r="A14" s="150" t="s">
        <v>1251</v>
      </c>
      <c r="B14" s="151" t="s">
        <v>1251</v>
      </c>
      <c r="C14" s="151" t="s">
        <v>1298</v>
      </c>
      <c r="D14" s="151" t="s">
        <v>1308</v>
      </c>
      <c r="E14" s="151" t="s">
        <v>1309</v>
      </c>
      <c r="F14" s="151" t="s">
        <v>221</v>
      </c>
      <c r="G14" s="151" t="s">
        <v>60</v>
      </c>
      <c r="H14" s="151" t="s">
        <v>52</v>
      </c>
      <c r="I14" s="151" t="s">
        <v>463</v>
      </c>
      <c r="J14" s="151" t="s">
        <v>1301</v>
      </c>
      <c r="K14" s="151" t="s">
        <v>83</v>
      </c>
      <c r="L14" s="151" t="s">
        <v>1256</v>
      </c>
      <c r="M14" s="152">
        <v>6.3680000000000003</v>
      </c>
      <c r="N14" s="151" t="s">
        <v>1310</v>
      </c>
      <c r="O14" s="153">
        <v>5.5E-2</v>
      </c>
      <c r="P14" s="153">
        <v>5.2920000000000002E-2</v>
      </c>
      <c r="Q14" s="151"/>
      <c r="R14" s="152">
        <v>580000</v>
      </c>
      <c r="S14" s="152">
        <v>3.165</v>
      </c>
      <c r="T14" s="152">
        <v>101.624</v>
      </c>
      <c r="U14" s="152">
        <v>1865.5170000000001</v>
      </c>
      <c r="V14" s="151"/>
      <c r="W14" s="151"/>
      <c r="X14" s="153">
        <v>1.9000000000000001E-4</v>
      </c>
      <c r="Y14" s="153">
        <v>2.0330000000000001E-2</v>
      </c>
      <c r="Z14" s="154">
        <v>2.5400000000000002E-3</v>
      </c>
      <c r="AA14" s="176"/>
    </row>
    <row r="15" spans="1:27" x14ac:dyDescent="0.2">
      <c r="A15" s="150" t="s">
        <v>1251</v>
      </c>
      <c r="B15" s="151" t="s">
        <v>1251</v>
      </c>
      <c r="C15" s="151" t="s">
        <v>1303</v>
      </c>
      <c r="D15" s="151" t="s">
        <v>1311</v>
      </c>
      <c r="E15" s="151" t="s">
        <v>1312</v>
      </c>
      <c r="F15" s="151" t="s">
        <v>221</v>
      </c>
      <c r="G15" s="151" t="s">
        <v>60</v>
      </c>
      <c r="H15" s="151" t="s">
        <v>306</v>
      </c>
      <c r="I15" s="151" t="s">
        <v>463</v>
      </c>
      <c r="J15" s="151" t="s">
        <v>1306</v>
      </c>
      <c r="K15" s="151" t="s">
        <v>83</v>
      </c>
      <c r="L15" s="151" t="s">
        <v>1256</v>
      </c>
      <c r="M15" s="152">
        <v>7.2089999999999996</v>
      </c>
      <c r="N15" s="151" t="s">
        <v>1313</v>
      </c>
      <c r="O15" s="153">
        <v>4.6249999999999999E-2</v>
      </c>
      <c r="P15" s="153">
        <v>4.265E-2</v>
      </c>
      <c r="Q15" s="151"/>
      <c r="R15" s="152">
        <v>374000</v>
      </c>
      <c r="S15" s="152">
        <v>3.165</v>
      </c>
      <c r="T15" s="152">
        <v>103.203</v>
      </c>
      <c r="U15" s="152">
        <v>1221.624</v>
      </c>
      <c r="V15" s="151"/>
      <c r="W15" s="151"/>
      <c r="X15" s="153">
        <v>0</v>
      </c>
      <c r="Y15" s="153">
        <v>1.3310000000000001E-2</v>
      </c>
      <c r="Z15" s="154">
        <v>1.66E-3</v>
      </c>
      <c r="AA15" s="176"/>
    </row>
    <row r="16" spans="1:27" x14ac:dyDescent="0.2">
      <c r="A16" s="150" t="s">
        <v>1251</v>
      </c>
      <c r="B16" s="151" t="s">
        <v>1251</v>
      </c>
      <c r="C16" s="151" t="s">
        <v>1303</v>
      </c>
      <c r="D16" s="151" t="s">
        <v>1314</v>
      </c>
      <c r="E16" s="151" t="s">
        <v>1315</v>
      </c>
      <c r="F16" s="151" t="s">
        <v>221</v>
      </c>
      <c r="G16" s="151" t="s">
        <v>60</v>
      </c>
      <c r="H16" s="151" t="s">
        <v>306</v>
      </c>
      <c r="I16" s="151" t="s">
        <v>463</v>
      </c>
      <c r="J16" s="151" t="s">
        <v>1306</v>
      </c>
      <c r="K16" s="151" t="s">
        <v>83</v>
      </c>
      <c r="L16" s="151" t="s">
        <v>1256</v>
      </c>
      <c r="M16" s="152">
        <v>7.0309999999999997</v>
      </c>
      <c r="N16" s="151" t="s">
        <v>1316</v>
      </c>
      <c r="O16" s="153">
        <v>3.875E-2</v>
      </c>
      <c r="P16" s="153">
        <v>4.2340000000000003E-2</v>
      </c>
      <c r="Q16" s="151"/>
      <c r="R16" s="152">
        <v>355000</v>
      </c>
      <c r="S16" s="152">
        <v>3.165</v>
      </c>
      <c r="T16" s="152">
        <v>97.98</v>
      </c>
      <c r="U16" s="152">
        <v>1100.873</v>
      </c>
      <c r="V16" s="151"/>
      <c r="W16" s="151"/>
      <c r="X16" s="153">
        <v>0</v>
      </c>
      <c r="Y16" s="153">
        <v>1.2E-2</v>
      </c>
      <c r="Z16" s="154">
        <v>1.5E-3</v>
      </c>
      <c r="AA16" s="176"/>
    </row>
    <row r="17" spans="1:27" x14ac:dyDescent="0.2">
      <c r="A17" s="150" t="s">
        <v>1251</v>
      </c>
      <c r="B17" s="151" t="s">
        <v>1262</v>
      </c>
      <c r="C17" s="151" t="s">
        <v>1275</v>
      </c>
      <c r="D17" s="151" t="s">
        <v>1317</v>
      </c>
      <c r="E17" s="151" t="s">
        <v>1318</v>
      </c>
      <c r="F17" s="151" t="s">
        <v>217</v>
      </c>
      <c r="G17" s="151" t="s">
        <v>52</v>
      </c>
      <c r="H17" s="151" t="s">
        <v>52</v>
      </c>
      <c r="I17" s="151" t="s">
        <v>303</v>
      </c>
      <c r="J17" s="151" t="s">
        <v>1270</v>
      </c>
      <c r="K17" s="151" t="s">
        <v>77</v>
      </c>
      <c r="L17" s="151" t="s">
        <v>1255</v>
      </c>
      <c r="M17" s="152">
        <v>2.5499999999999998</v>
      </c>
      <c r="N17" s="151" t="s">
        <v>1319</v>
      </c>
      <c r="O17" s="153">
        <v>1.0999999999999999E-2</v>
      </c>
      <c r="P17" s="153">
        <v>1.779E-2</v>
      </c>
      <c r="Q17" s="151"/>
      <c r="R17" s="152">
        <v>203000</v>
      </c>
      <c r="S17" s="152">
        <v>1</v>
      </c>
      <c r="T17" s="152">
        <v>105.35</v>
      </c>
      <c r="U17" s="152">
        <v>213.86099999999999</v>
      </c>
      <c r="V17" s="151"/>
      <c r="W17" s="151"/>
      <c r="X17" s="153">
        <v>1.0000000000000001E-5</v>
      </c>
      <c r="Y17" s="153">
        <v>0.16288</v>
      </c>
      <c r="Z17" s="154">
        <v>9.5829999999999999E-2</v>
      </c>
      <c r="AA17" s="176"/>
    </row>
    <row r="18" spans="1:27" x14ac:dyDescent="0.2">
      <c r="A18" s="150" t="s">
        <v>1251</v>
      </c>
      <c r="B18" s="151" t="s">
        <v>1262</v>
      </c>
      <c r="C18" s="151" t="s">
        <v>1267</v>
      </c>
      <c r="D18" s="151" t="s">
        <v>1272</v>
      </c>
      <c r="E18" s="151" t="s">
        <v>1273</v>
      </c>
      <c r="F18" s="151" t="s">
        <v>219</v>
      </c>
      <c r="G18" s="151" t="s">
        <v>52</v>
      </c>
      <c r="H18" s="151" t="s">
        <v>52</v>
      </c>
      <c r="I18" s="151" t="s">
        <v>303</v>
      </c>
      <c r="J18" s="151" t="s">
        <v>1270</v>
      </c>
      <c r="K18" s="151" t="s">
        <v>77</v>
      </c>
      <c r="L18" s="151" t="s">
        <v>1255</v>
      </c>
      <c r="M18" s="152">
        <v>7.73</v>
      </c>
      <c r="N18" s="151" t="s">
        <v>1274</v>
      </c>
      <c r="O18" s="153">
        <v>0.04</v>
      </c>
      <c r="P18" s="153">
        <v>4.0680000000000001E-2</v>
      </c>
      <c r="Q18" s="151"/>
      <c r="R18" s="152">
        <v>213900</v>
      </c>
      <c r="S18" s="152">
        <v>1</v>
      </c>
      <c r="T18" s="152">
        <v>99.51</v>
      </c>
      <c r="U18" s="152">
        <v>212.852</v>
      </c>
      <c r="V18" s="151"/>
      <c r="W18" s="151"/>
      <c r="X18" s="153">
        <v>1.0000000000000001E-5</v>
      </c>
      <c r="Y18" s="153">
        <v>0.16211</v>
      </c>
      <c r="Z18" s="154">
        <v>9.5369999999999996E-2</v>
      </c>
      <c r="AA18" s="176"/>
    </row>
    <row r="19" spans="1:27" x14ac:dyDescent="0.2">
      <c r="A19" s="150" t="s">
        <v>1251</v>
      </c>
      <c r="B19" s="151" t="s">
        <v>1262</v>
      </c>
      <c r="C19" s="151" t="s">
        <v>1275</v>
      </c>
      <c r="D19" s="151" t="s">
        <v>1276</v>
      </c>
      <c r="E19" s="151" t="s">
        <v>1277</v>
      </c>
      <c r="F19" s="151" t="s">
        <v>217</v>
      </c>
      <c r="G19" s="151" t="s">
        <v>52</v>
      </c>
      <c r="H19" s="151" t="s">
        <v>52</v>
      </c>
      <c r="I19" s="151" t="s">
        <v>303</v>
      </c>
      <c r="J19" s="151" t="s">
        <v>1270</v>
      </c>
      <c r="K19" s="151" t="s">
        <v>77</v>
      </c>
      <c r="L19" s="151" t="s">
        <v>1255</v>
      </c>
      <c r="M19" s="152">
        <v>5.65</v>
      </c>
      <c r="N19" s="151" t="s">
        <v>1278</v>
      </c>
      <c r="O19" s="153">
        <v>1E-3</v>
      </c>
      <c r="P19" s="153">
        <v>1.934E-2</v>
      </c>
      <c r="Q19" s="151"/>
      <c r="R19" s="152">
        <v>139000</v>
      </c>
      <c r="S19" s="152">
        <v>1</v>
      </c>
      <c r="T19" s="152">
        <v>106.48</v>
      </c>
      <c r="U19" s="152">
        <v>148.00700000000001</v>
      </c>
      <c r="V19" s="151"/>
      <c r="W19" s="151"/>
      <c r="X19" s="153">
        <v>0</v>
      </c>
      <c r="Y19" s="153">
        <v>0.11272</v>
      </c>
      <c r="Z19" s="154">
        <v>6.6320000000000004E-2</v>
      </c>
      <c r="AA19" s="176"/>
    </row>
    <row r="20" spans="1:27" x14ac:dyDescent="0.2">
      <c r="A20" s="150" t="s">
        <v>1251</v>
      </c>
      <c r="B20" s="151" t="s">
        <v>1262</v>
      </c>
      <c r="C20" s="151" t="s">
        <v>1267</v>
      </c>
      <c r="D20" s="151" t="s">
        <v>1320</v>
      </c>
      <c r="E20" s="151" t="s">
        <v>1321</v>
      </c>
      <c r="F20" s="151" t="s">
        <v>219</v>
      </c>
      <c r="G20" s="151" t="s">
        <v>52</v>
      </c>
      <c r="H20" s="151" t="s">
        <v>52</v>
      </c>
      <c r="I20" s="151" t="s">
        <v>303</v>
      </c>
      <c r="J20" s="151" t="s">
        <v>1270</v>
      </c>
      <c r="K20" s="151" t="s">
        <v>77</v>
      </c>
      <c r="L20" s="151" t="s">
        <v>1255</v>
      </c>
      <c r="M20" s="152">
        <v>3.94</v>
      </c>
      <c r="N20" s="151" t="s">
        <v>1322</v>
      </c>
      <c r="O20" s="153">
        <v>0.01</v>
      </c>
      <c r="P20" s="153">
        <v>3.9140000000000001E-2</v>
      </c>
      <c r="Q20" s="151"/>
      <c r="R20" s="152">
        <v>155700</v>
      </c>
      <c r="S20" s="152">
        <v>1</v>
      </c>
      <c r="T20" s="152">
        <v>89.4</v>
      </c>
      <c r="U20" s="152">
        <v>139.196</v>
      </c>
      <c r="V20" s="151"/>
      <c r="W20" s="151"/>
      <c r="X20" s="153">
        <v>0</v>
      </c>
      <c r="Y20" s="153">
        <v>0.10600999999999999</v>
      </c>
      <c r="Z20" s="154">
        <v>6.2370000000000002E-2</v>
      </c>
      <c r="AA20" s="176"/>
    </row>
    <row r="21" spans="1:27" x14ac:dyDescent="0.2">
      <c r="A21" s="150" t="s">
        <v>1251</v>
      </c>
      <c r="B21" s="151" t="s">
        <v>1262</v>
      </c>
      <c r="C21" s="151" t="s">
        <v>1275</v>
      </c>
      <c r="D21" s="151" t="s">
        <v>1292</v>
      </c>
      <c r="E21" s="151" t="s">
        <v>1293</v>
      </c>
      <c r="F21" s="151" t="s">
        <v>217</v>
      </c>
      <c r="G21" s="151" t="s">
        <v>52</v>
      </c>
      <c r="H21" s="151" t="s">
        <v>52</v>
      </c>
      <c r="I21" s="151" t="s">
        <v>303</v>
      </c>
      <c r="J21" s="151" t="s">
        <v>1270</v>
      </c>
      <c r="K21" s="151" t="s">
        <v>77</v>
      </c>
      <c r="L21" s="151" t="s">
        <v>1255</v>
      </c>
      <c r="M21" s="152">
        <v>3.14</v>
      </c>
      <c r="N21" s="151" t="s">
        <v>1294</v>
      </c>
      <c r="O21" s="153">
        <v>5.0000000000000001E-3</v>
      </c>
      <c r="P21" s="153">
        <v>1.8239999999999999E-2</v>
      </c>
      <c r="Q21" s="151"/>
      <c r="R21" s="152">
        <v>100000</v>
      </c>
      <c r="S21" s="152">
        <v>1</v>
      </c>
      <c r="T21" s="152">
        <v>113.68</v>
      </c>
      <c r="U21" s="152">
        <v>113.68</v>
      </c>
      <c r="V21" s="151"/>
      <c r="W21" s="151"/>
      <c r="X21" s="153">
        <v>0</v>
      </c>
      <c r="Y21" s="153">
        <v>8.6580000000000004E-2</v>
      </c>
      <c r="Z21" s="154">
        <v>5.0939999999999999E-2</v>
      </c>
      <c r="AA21" s="176"/>
    </row>
    <row r="22" spans="1:27" x14ac:dyDescent="0.2">
      <c r="A22" s="150" t="s">
        <v>1251</v>
      </c>
      <c r="B22" s="151" t="s">
        <v>1262</v>
      </c>
      <c r="C22" s="151" t="s">
        <v>1267</v>
      </c>
      <c r="D22" s="151" t="s">
        <v>1323</v>
      </c>
      <c r="E22" s="151" t="s">
        <v>1324</v>
      </c>
      <c r="F22" s="151" t="s">
        <v>219</v>
      </c>
      <c r="G22" s="151" t="s">
        <v>52</v>
      </c>
      <c r="H22" s="151" t="s">
        <v>52</v>
      </c>
      <c r="I22" s="151" t="s">
        <v>303</v>
      </c>
      <c r="J22" s="151" t="s">
        <v>1270</v>
      </c>
      <c r="K22" s="151" t="s">
        <v>77</v>
      </c>
      <c r="L22" s="151" t="s">
        <v>1255</v>
      </c>
      <c r="M22" s="152">
        <v>5.79</v>
      </c>
      <c r="N22" s="151" t="s">
        <v>1325</v>
      </c>
      <c r="O22" s="153">
        <v>1.2999999999999999E-2</v>
      </c>
      <c r="P22" s="153">
        <v>3.9620000000000002E-2</v>
      </c>
      <c r="Q22" s="151"/>
      <c r="R22" s="152">
        <v>129500</v>
      </c>
      <c r="S22" s="152">
        <v>1</v>
      </c>
      <c r="T22" s="152">
        <v>87.05</v>
      </c>
      <c r="U22" s="152">
        <v>112.73</v>
      </c>
      <c r="V22" s="151"/>
      <c r="W22" s="151"/>
      <c r="X22" s="153">
        <v>0</v>
      </c>
      <c r="Y22" s="153">
        <v>8.5860000000000006E-2</v>
      </c>
      <c r="Z22" s="154">
        <v>5.0509999999999999E-2</v>
      </c>
      <c r="AA22" s="176"/>
    </row>
    <row r="23" spans="1:27" x14ac:dyDescent="0.2">
      <c r="A23" s="150" t="s">
        <v>1251</v>
      </c>
      <c r="B23" s="151" t="s">
        <v>1262</v>
      </c>
      <c r="C23" s="151" t="s">
        <v>1275</v>
      </c>
      <c r="D23" s="151" t="s">
        <v>1326</v>
      </c>
      <c r="E23" s="151" t="s">
        <v>1327</v>
      </c>
      <c r="F23" s="151" t="s">
        <v>217</v>
      </c>
      <c r="G23" s="151" t="s">
        <v>52</v>
      </c>
      <c r="H23" s="151" t="s">
        <v>52</v>
      </c>
      <c r="I23" s="151" t="s">
        <v>303</v>
      </c>
      <c r="J23" s="151" t="s">
        <v>1270</v>
      </c>
      <c r="K23" s="151" t="s">
        <v>77</v>
      </c>
      <c r="L23" s="151" t="s">
        <v>1255</v>
      </c>
      <c r="M23" s="152">
        <v>1.1599999999999999</v>
      </c>
      <c r="N23" s="151" t="s">
        <v>1328</v>
      </c>
      <c r="O23" s="153">
        <v>7.4999999999999997E-3</v>
      </c>
      <c r="P23" s="153">
        <v>1.0619999999999999E-2</v>
      </c>
      <c r="Q23" s="151"/>
      <c r="R23" s="152">
        <v>90700</v>
      </c>
      <c r="S23" s="152">
        <v>1</v>
      </c>
      <c r="T23" s="152">
        <v>119.45</v>
      </c>
      <c r="U23" s="152">
        <v>108.34099999999999</v>
      </c>
      <c r="V23" s="151"/>
      <c r="W23" s="151"/>
      <c r="X23" s="153">
        <v>0</v>
      </c>
      <c r="Y23" s="153">
        <v>8.251E-2</v>
      </c>
      <c r="Z23" s="154">
        <v>4.8550000000000003E-2</v>
      </c>
      <c r="AA23" s="176"/>
    </row>
    <row r="24" spans="1:27" x14ac:dyDescent="0.2">
      <c r="A24" s="150" t="s">
        <v>1251</v>
      </c>
      <c r="B24" s="151" t="s">
        <v>1262</v>
      </c>
      <c r="C24" s="151" t="s">
        <v>1267</v>
      </c>
      <c r="D24" s="151" t="s">
        <v>1279</v>
      </c>
      <c r="E24" s="151" t="s">
        <v>1280</v>
      </c>
      <c r="F24" s="151" t="s">
        <v>219</v>
      </c>
      <c r="G24" s="151" t="s">
        <v>52</v>
      </c>
      <c r="H24" s="151" t="s">
        <v>52</v>
      </c>
      <c r="I24" s="151" t="s">
        <v>303</v>
      </c>
      <c r="J24" s="151" t="s">
        <v>1270</v>
      </c>
      <c r="K24" s="151" t="s">
        <v>77</v>
      </c>
      <c r="L24" s="151" t="s">
        <v>1255</v>
      </c>
      <c r="M24" s="152">
        <v>11.23</v>
      </c>
      <c r="N24" s="151" t="s">
        <v>1281</v>
      </c>
      <c r="O24" s="153">
        <v>5.4850000000000003E-2</v>
      </c>
      <c r="P24" s="153">
        <v>4.2529999999999998E-2</v>
      </c>
      <c r="Q24" s="151"/>
      <c r="R24" s="152">
        <v>55000</v>
      </c>
      <c r="S24" s="152">
        <v>1</v>
      </c>
      <c r="T24" s="152">
        <v>115.07</v>
      </c>
      <c r="U24" s="152">
        <v>63.289000000000001</v>
      </c>
      <c r="V24" s="151"/>
      <c r="W24" s="151"/>
      <c r="X24" s="153">
        <v>0</v>
      </c>
      <c r="Y24" s="153">
        <v>4.82E-2</v>
      </c>
      <c r="Z24" s="154">
        <v>2.836E-2</v>
      </c>
      <c r="AA24" s="176"/>
    </row>
    <row r="25" spans="1:27" x14ac:dyDescent="0.2">
      <c r="A25" s="150" t="s">
        <v>1251</v>
      </c>
      <c r="B25" s="151" t="s">
        <v>1262</v>
      </c>
      <c r="C25" s="151" t="s">
        <v>1267</v>
      </c>
      <c r="D25" s="151" t="s">
        <v>1329</v>
      </c>
      <c r="E25" s="151" t="s">
        <v>1330</v>
      </c>
      <c r="F25" s="151" t="s">
        <v>219</v>
      </c>
      <c r="G25" s="151" t="s">
        <v>52</v>
      </c>
      <c r="H25" s="151" t="s">
        <v>52</v>
      </c>
      <c r="I25" s="151" t="s">
        <v>303</v>
      </c>
      <c r="J25" s="151" t="s">
        <v>1270</v>
      </c>
      <c r="K25" s="151" t="s">
        <v>77</v>
      </c>
      <c r="L25" s="151" t="s">
        <v>1255</v>
      </c>
      <c r="M25" s="152">
        <v>10.06</v>
      </c>
      <c r="N25" s="151" t="s">
        <v>1331</v>
      </c>
      <c r="O25" s="153">
        <v>1.4959999999999999E-2</v>
      </c>
      <c r="P25" s="153">
        <v>4.1610000000000001E-2</v>
      </c>
      <c r="Q25" s="151"/>
      <c r="R25" s="152">
        <v>70000</v>
      </c>
      <c r="S25" s="152">
        <v>1</v>
      </c>
      <c r="T25" s="152">
        <v>77.84</v>
      </c>
      <c r="U25" s="152">
        <v>54.488</v>
      </c>
      <c r="V25" s="151"/>
      <c r="W25" s="151"/>
      <c r="X25" s="153">
        <v>0</v>
      </c>
      <c r="Y25" s="153">
        <v>4.1500000000000002E-2</v>
      </c>
      <c r="Z25" s="154">
        <v>2.4410000000000001E-2</v>
      </c>
      <c r="AA25" s="176"/>
    </row>
    <row r="26" spans="1:27" x14ac:dyDescent="0.2">
      <c r="A26" s="150" t="s">
        <v>1251</v>
      </c>
      <c r="B26" s="151" t="s">
        <v>1262</v>
      </c>
      <c r="C26" s="151" t="s">
        <v>1267</v>
      </c>
      <c r="D26" s="151" t="s">
        <v>1332</v>
      </c>
      <c r="E26" s="151" t="s">
        <v>1333</v>
      </c>
      <c r="F26" s="151" t="s">
        <v>219</v>
      </c>
      <c r="G26" s="151" t="s">
        <v>52</v>
      </c>
      <c r="H26" s="151" t="s">
        <v>52</v>
      </c>
      <c r="I26" s="151" t="s">
        <v>303</v>
      </c>
      <c r="J26" s="151" t="s">
        <v>1270</v>
      </c>
      <c r="K26" s="151" t="s">
        <v>77</v>
      </c>
      <c r="L26" s="151" t="s">
        <v>1255</v>
      </c>
      <c r="M26" s="152">
        <v>2.4300000000000002</v>
      </c>
      <c r="N26" s="151" t="s">
        <v>1334</v>
      </c>
      <c r="O26" s="153">
        <v>2.2499999999999999E-2</v>
      </c>
      <c r="P26" s="153">
        <v>3.9149999999999997E-2</v>
      </c>
      <c r="Q26" s="151"/>
      <c r="R26" s="152">
        <v>55000</v>
      </c>
      <c r="S26" s="152">
        <v>1</v>
      </c>
      <c r="T26" s="152">
        <v>97.23</v>
      </c>
      <c r="U26" s="152">
        <v>53.476999999999997</v>
      </c>
      <c r="V26" s="151"/>
      <c r="W26" s="151"/>
      <c r="X26" s="153">
        <v>0</v>
      </c>
      <c r="Y26" s="153">
        <v>4.0730000000000002E-2</v>
      </c>
      <c r="Z26" s="154">
        <v>2.3959999999999999E-2</v>
      </c>
      <c r="AA26" s="176"/>
    </row>
    <row r="27" spans="1:27" x14ac:dyDescent="0.2">
      <c r="A27" s="150" t="s">
        <v>1251</v>
      </c>
      <c r="B27" s="151" t="s">
        <v>1262</v>
      </c>
      <c r="C27" s="151" t="s">
        <v>1267</v>
      </c>
      <c r="D27" s="151" t="s">
        <v>1295</v>
      </c>
      <c r="E27" s="151" t="s">
        <v>1296</v>
      </c>
      <c r="F27" s="151" t="s">
        <v>219</v>
      </c>
      <c r="G27" s="151" t="s">
        <v>52</v>
      </c>
      <c r="H27" s="151" t="s">
        <v>52</v>
      </c>
      <c r="I27" s="151" t="s">
        <v>303</v>
      </c>
      <c r="J27" s="151" t="s">
        <v>1270</v>
      </c>
      <c r="K27" s="151" t="s">
        <v>77</v>
      </c>
      <c r="L27" s="151" t="s">
        <v>1255</v>
      </c>
      <c r="M27" s="152">
        <v>0.57999999999999996</v>
      </c>
      <c r="N27" s="151" t="s">
        <v>1297</v>
      </c>
      <c r="O27" s="153">
        <v>6.25E-2</v>
      </c>
      <c r="P27" s="153">
        <v>3.7420000000000002E-2</v>
      </c>
      <c r="Q27" s="151"/>
      <c r="R27" s="152">
        <v>14083</v>
      </c>
      <c r="S27" s="152">
        <v>1</v>
      </c>
      <c r="T27" s="152">
        <v>103.99</v>
      </c>
      <c r="U27" s="152">
        <v>14.645</v>
      </c>
      <c r="V27" s="151"/>
      <c r="W27" s="151"/>
      <c r="X27" s="153">
        <v>0</v>
      </c>
      <c r="Y27" s="153">
        <v>1.115E-2</v>
      </c>
      <c r="Z27" s="154">
        <v>6.5599999999999999E-3</v>
      </c>
      <c r="AA27" s="176"/>
    </row>
    <row r="28" spans="1:27" x14ac:dyDescent="0.2">
      <c r="A28" s="150" t="s">
        <v>1251</v>
      </c>
      <c r="B28" s="151" t="s">
        <v>1262</v>
      </c>
      <c r="C28" s="151" t="s">
        <v>1267</v>
      </c>
      <c r="D28" s="151" t="s">
        <v>1268</v>
      </c>
      <c r="E28" s="151" t="s">
        <v>1269</v>
      </c>
      <c r="F28" s="151" t="s">
        <v>219</v>
      </c>
      <c r="G28" s="151" t="s">
        <v>52</v>
      </c>
      <c r="H28" s="151" t="s">
        <v>52</v>
      </c>
      <c r="I28" s="151" t="s">
        <v>303</v>
      </c>
      <c r="J28" s="151" t="s">
        <v>1270</v>
      </c>
      <c r="K28" s="151" t="s">
        <v>77</v>
      </c>
      <c r="L28" s="151" t="s">
        <v>1255</v>
      </c>
      <c r="M28" s="152">
        <v>14.57</v>
      </c>
      <c r="N28" s="151" t="s">
        <v>1271</v>
      </c>
      <c r="O28" s="153">
        <v>3.7499999999999999E-2</v>
      </c>
      <c r="P28" s="153">
        <v>4.4119999999999999E-2</v>
      </c>
      <c r="Q28" s="151"/>
      <c r="R28" s="152">
        <v>6500</v>
      </c>
      <c r="S28" s="152">
        <v>1</v>
      </c>
      <c r="T28" s="152">
        <v>91.06</v>
      </c>
      <c r="U28" s="152">
        <v>5.9189999999999996</v>
      </c>
      <c r="V28" s="151"/>
      <c r="W28" s="151"/>
      <c r="X28" s="153">
        <v>0</v>
      </c>
      <c r="Y28" s="153">
        <v>4.5100000000000001E-3</v>
      </c>
      <c r="Z28" s="154">
        <v>2.65E-3</v>
      </c>
      <c r="AA28" s="176"/>
    </row>
    <row r="29" spans="1:27" x14ac:dyDescent="0.2">
      <c r="A29" s="150" t="s">
        <v>1251</v>
      </c>
      <c r="B29" s="151" t="s">
        <v>1262</v>
      </c>
      <c r="C29" s="151" t="s">
        <v>1298</v>
      </c>
      <c r="D29" s="151" t="s">
        <v>1335</v>
      </c>
      <c r="E29" s="151" t="s">
        <v>1336</v>
      </c>
      <c r="F29" s="151" t="s">
        <v>221</v>
      </c>
      <c r="G29" s="151" t="s">
        <v>60</v>
      </c>
      <c r="H29" s="151" t="s">
        <v>52</v>
      </c>
      <c r="I29" s="151" t="s">
        <v>463</v>
      </c>
      <c r="J29" s="151" t="s">
        <v>1301</v>
      </c>
      <c r="K29" s="151" t="s">
        <v>83</v>
      </c>
      <c r="L29" s="151" t="s">
        <v>1256</v>
      </c>
      <c r="M29" s="152">
        <v>2.4119999999999999</v>
      </c>
      <c r="N29" s="151" t="s">
        <v>1337</v>
      </c>
      <c r="O29" s="153">
        <v>7.2499999999999995E-2</v>
      </c>
      <c r="P29" s="153">
        <v>1.5599999999999999E-2</v>
      </c>
      <c r="Q29" s="151"/>
      <c r="R29" s="152">
        <v>21000</v>
      </c>
      <c r="S29" s="152">
        <v>3.165</v>
      </c>
      <c r="T29" s="152">
        <v>109.116</v>
      </c>
      <c r="U29" s="152">
        <v>72.524000000000001</v>
      </c>
      <c r="V29" s="151"/>
      <c r="W29" s="151"/>
      <c r="X29" s="153">
        <v>8.0000000000000007E-5</v>
      </c>
      <c r="Y29" s="153">
        <v>5.5230000000000001E-2</v>
      </c>
      <c r="Z29" s="154">
        <v>3.2500000000000001E-2</v>
      </c>
      <c r="AA29" s="176"/>
    </row>
    <row r="30" spans="1:27" x14ac:dyDescent="0.2">
      <c r="A30" s="150" t="s">
        <v>1251</v>
      </c>
      <c r="B30" s="151" t="s">
        <v>1263</v>
      </c>
      <c r="C30" s="151" t="s">
        <v>1275</v>
      </c>
      <c r="D30" s="151" t="s">
        <v>1292</v>
      </c>
      <c r="E30" s="151" t="s">
        <v>1293</v>
      </c>
      <c r="F30" s="151" t="s">
        <v>217</v>
      </c>
      <c r="G30" s="151" t="s">
        <v>52</v>
      </c>
      <c r="H30" s="151" t="s">
        <v>52</v>
      </c>
      <c r="I30" s="151" t="s">
        <v>303</v>
      </c>
      <c r="J30" s="151" t="s">
        <v>1270</v>
      </c>
      <c r="K30" s="151" t="s">
        <v>77</v>
      </c>
      <c r="L30" s="151" t="s">
        <v>1255</v>
      </c>
      <c r="M30" s="152">
        <v>3.14</v>
      </c>
      <c r="N30" s="151" t="s">
        <v>1294</v>
      </c>
      <c r="O30" s="153">
        <v>5.0000000000000001E-3</v>
      </c>
      <c r="P30" s="153">
        <v>1.8239999999999999E-2</v>
      </c>
      <c r="Q30" s="151"/>
      <c r="R30" s="152">
        <v>1133000</v>
      </c>
      <c r="S30" s="152">
        <v>1</v>
      </c>
      <c r="T30" s="152">
        <v>113.68</v>
      </c>
      <c r="U30" s="152">
        <v>1287.9939999999999</v>
      </c>
      <c r="V30" s="151"/>
      <c r="W30" s="151"/>
      <c r="X30" s="153">
        <v>4.0000000000000003E-5</v>
      </c>
      <c r="Y30" s="153">
        <v>0.11552</v>
      </c>
      <c r="Z30" s="154">
        <v>9.1310000000000002E-2</v>
      </c>
      <c r="AA30" s="176"/>
    </row>
    <row r="31" spans="1:27" x14ac:dyDescent="0.2">
      <c r="A31" s="150" t="s">
        <v>1251</v>
      </c>
      <c r="B31" s="151" t="s">
        <v>1263</v>
      </c>
      <c r="C31" s="151" t="s">
        <v>1267</v>
      </c>
      <c r="D31" s="151" t="s">
        <v>1323</v>
      </c>
      <c r="E31" s="151" t="s">
        <v>1324</v>
      </c>
      <c r="F31" s="151" t="s">
        <v>219</v>
      </c>
      <c r="G31" s="151" t="s">
        <v>52</v>
      </c>
      <c r="H31" s="151" t="s">
        <v>52</v>
      </c>
      <c r="I31" s="151" t="s">
        <v>303</v>
      </c>
      <c r="J31" s="151" t="s">
        <v>1270</v>
      </c>
      <c r="K31" s="151" t="s">
        <v>77</v>
      </c>
      <c r="L31" s="151" t="s">
        <v>1255</v>
      </c>
      <c r="M31" s="152">
        <v>5.79</v>
      </c>
      <c r="N31" s="151" t="s">
        <v>1325</v>
      </c>
      <c r="O31" s="153">
        <v>1.2999999999999999E-2</v>
      </c>
      <c r="P31" s="153">
        <v>3.9620000000000002E-2</v>
      </c>
      <c r="Q31" s="151"/>
      <c r="R31" s="152">
        <v>1458000</v>
      </c>
      <c r="S31" s="152">
        <v>1</v>
      </c>
      <c r="T31" s="152">
        <v>87.05</v>
      </c>
      <c r="U31" s="152">
        <v>1269.1890000000001</v>
      </c>
      <c r="V31" s="151"/>
      <c r="W31" s="151"/>
      <c r="X31" s="153">
        <v>4.0000000000000003E-5</v>
      </c>
      <c r="Y31" s="153">
        <v>0.11384</v>
      </c>
      <c r="Z31" s="154">
        <v>8.9980000000000004E-2</v>
      </c>
      <c r="AA31" s="176"/>
    </row>
    <row r="32" spans="1:27" x14ac:dyDescent="0.2">
      <c r="A32" s="150" t="s">
        <v>1251</v>
      </c>
      <c r="B32" s="151" t="s">
        <v>1263</v>
      </c>
      <c r="C32" s="151" t="s">
        <v>1267</v>
      </c>
      <c r="D32" s="151" t="s">
        <v>1332</v>
      </c>
      <c r="E32" s="151" t="s">
        <v>1333</v>
      </c>
      <c r="F32" s="151" t="s">
        <v>219</v>
      </c>
      <c r="G32" s="151" t="s">
        <v>52</v>
      </c>
      <c r="H32" s="151" t="s">
        <v>52</v>
      </c>
      <c r="I32" s="151" t="s">
        <v>303</v>
      </c>
      <c r="J32" s="151" t="s">
        <v>1270</v>
      </c>
      <c r="K32" s="151" t="s">
        <v>77</v>
      </c>
      <c r="L32" s="151" t="s">
        <v>1255</v>
      </c>
      <c r="M32" s="152">
        <v>2.4300000000000002</v>
      </c>
      <c r="N32" s="151" t="s">
        <v>1334</v>
      </c>
      <c r="O32" s="153">
        <v>2.2499999999999999E-2</v>
      </c>
      <c r="P32" s="153">
        <v>3.9149999999999997E-2</v>
      </c>
      <c r="Q32" s="151"/>
      <c r="R32" s="152">
        <v>1212900</v>
      </c>
      <c r="S32" s="152">
        <v>1</v>
      </c>
      <c r="T32" s="152">
        <v>97.23</v>
      </c>
      <c r="U32" s="152">
        <v>1179.3030000000001</v>
      </c>
      <c r="V32" s="151"/>
      <c r="W32" s="151"/>
      <c r="X32" s="153">
        <v>3.0000000000000001E-5</v>
      </c>
      <c r="Y32" s="153">
        <v>0.10577</v>
      </c>
      <c r="Z32" s="154">
        <v>8.3599999999999994E-2</v>
      </c>
      <c r="AA32" s="176"/>
    </row>
    <row r="33" spans="1:27" x14ac:dyDescent="0.2">
      <c r="A33" s="150" t="s">
        <v>1251</v>
      </c>
      <c r="B33" s="151" t="s">
        <v>1263</v>
      </c>
      <c r="C33" s="151" t="s">
        <v>1338</v>
      </c>
      <c r="D33" s="151" t="s">
        <v>1339</v>
      </c>
      <c r="E33" s="151" t="s">
        <v>1340</v>
      </c>
      <c r="F33" s="151" t="s">
        <v>219</v>
      </c>
      <c r="G33" s="151" t="s">
        <v>52</v>
      </c>
      <c r="H33" s="151" t="s">
        <v>52</v>
      </c>
      <c r="I33" s="151" t="s">
        <v>303</v>
      </c>
      <c r="J33" s="151" t="s">
        <v>1270</v>
      </c>
      <c r="K33" s="151" t="s">
        <v>77</v>
      </c>
      <c r="L33" s="151" t="s">
        <v>1255</v>
      </c>
      <c r="M33" s="152">
        <v>0.42</v>
      </c>
      <c r="N33" s="151" t="s">
        <v>1341</v>
      </c>
      <c r="O33" s="151" t="s">
        <v>1342</v>
      </c>
      <c r="P33" s="153">
        <v>3.8699999999999998E-2</v>
      </c>
      <c r="Q33" s="151"/>
      <c r="R33" s="152">
        <v>1020000</v>
      </c>
      <c r="S33" s="152">
        <v>1</v>
      </c>
      <c r="T33" s="152">
        <v>98.41</v>
      </c>
      <c r="U33" s="152">
        <v>1003.782</v>
      </c>
      <c r="V33" s="151"/>
      <c r="W33" s="151"/>
      <c r="X33" s="153">
        <v>6.0000000000000002E-5</v>
      </c>
      <c r="Y33" s="153">
        <v>9.0029999999999999E-2</v>
      </c>
      <c r="Z33" s="154">
        <v>7.1160000000000001E-2</v>
      </c>
      <c r="AA33" s="176"/>
    </row>
    <row r="34" spans="1:27" x14ac:dyDescent="0.2">
      <c r="A34" s="150" t="s">
        <v>1251</v>
      </c>
      <c r="B34" s="151" t="s">
        <v>1263</v>
      </c>
      <c r="C34" s="151" t="s">
        <v>1275</v>
      </c>
      <c r="D34" s="151" t="s">
        <v>1326</v>
      </c>
      <c r="E34" s="151" t="s">
        <v>1327</v>
      </c>
      <c r="F34" s="151" t="s">
        <v>217</v>
      </c>
      <c r="G34" s="151" t="s">
        <v>52</v>
      </c>
      <c r="H34" s="151" t="s">
        <v>52</v>
      </c>
      <c r="I34" s="151" t="s">
        <v>303</v>
      </c>
      <c r="J34" s="151" t="s">
        <v>1270</v>
      </c>
      <c r="K34" s="151" t="s">
        <v>77</v>
      </c>
      <c r="L34" s="151" t="s">
        <v>1255</v>
      </c>
      <c r="M34" s="152">
        <v>1.1599999999999999</v>
      </c>
      <c r="N34" s="151" t="s">
        <v>1328</v>
      </c>
      <c r="O34" s="153">
        <v>7.4999999999999997E-3</v>
      </c>
      <c r="P34" s="153">
        <v>1.0619999999999999E-2</v>
      </c>
      <c r="Q34" s="151"/>
      <c r="R34" s="152">
        <v>801280</v>
      </c>
      <c r="S34" s="152">
        <v>1</v>
      </c>
      <c r="T34" s="152">
        <v>119.45</v>
      </c>
      <c r="U34" s="152">
        <v>957.12900000000002</v>
      </c>
      <c r="V34" s="151"/>
      <c r="W34" s="151"/>
      <c r="X34" s="153">
        <v>3.0000000000000001E-5</v>
      </c>
      <c r="Y34" s="153">
        <v>8.5849999999999996E-2</v>
      </c>
      <c r="Z34" s="154">
        <v>6.7849999999999994E-2</v>
      </c>
      <c r="AA34" s="176"/>
    </row>
    <row r="35" spans="1:27" x14ac:dyDescent="0.2">
      <c r="A35" s="150" t="s">
        <v>1251</v>
      </c>
      <c r="B35" s="151" t="s">
        <v>1263</v>
      </c>
      <c r="C35" s="151" t="s">
        <v>1275</v>
      </c>
      <c r="D35" s="151" t="s">
        <v>1317</v>
      </c>
      <c r="E35" s="151" t="s">
        <v>1318</v>
      </c>
      <c r="F35" s="151" t="s">
        <v>217</v>
      </c>
      <c r="G35" s="151" t="s">
        <v>52</v>
      </c>
      <c r="H35" s="151" t="s">
        <v>52</v>
      </c>
      <c r="I35" s="151" t="s">
        <v>303</v>
      </c>
      <c r="J35" s="151" t="s">
        <v>1270</v>
      </c>
      <c r="K35" s="151" t="s">
        <v>77</v>
      </c>
      <c r="L35" s="151" t="s">
        <v>1255</v>
      </c>
      <c r="M35" s="152">
        <v>2.5499999999999998</v>
      </c>
      <c r="N35" s="151" t="s">
        <v>1319</v>
      </c>
      <c r="O35" s="153">
        <v>1.0999999999999999E-2</v>
      </c>
      <c r="P35" s="153">
        <v>1.779E-2</v>
      </c>
      <c r="Q35" s="151"/>
      <c r="R35" s="152">
        <v>875000</v>
      </c>
      <c r="S35" s="152">
        <v>1</v>
      </c>
      <c r="T35" s="152">
        <v>105.35</v>
      </c>
      <c r="U35" s="152">
        <v>921.81299999999999</v>
      </c>
      <c r="V35" s="151"/>
      <c r="W35" s="151"/>
      <c r="X35" s="153">
        <v>3.0000000000000001E-5</v>
      </c>
      <c r="Y35" s="153">
        <v>8.2680000000000003E-2</v>
      </c>
      <c r="Z35" s="154">
        <v>6.5350000000000005E-2</v>
      </c>
      <c r="AA35" s="176"/>
    </row>
    <row r="36" spans="1:27" x14ac:dyDescent="0.2">
      <c r="A36" s="150" t="s">
        <v>1251</v>
      </c>
      <c r="B36" s="151" t="s">
        <v>1263</v>
      </c>
      <c r="C36" s="151" t="s">
        <v>1267</v>
      </c>
      <c r="D36" s="151" t="s">
        <v>1320</v>
      </c>
      <c r="E36" s="151" t="s">
        <v>1321</v>
      </c>
      <c r="F36" s="151" t="s">
        <v>219</v>
      </c>
      <c r="G36" s="151" t="s">
        <v>52</v>
      </c>
      <c r="H36" s="151" t="s">
        <v>52</v>
      </c>
      <c r="I36" s="151" t="s">
        <v>303</v>
      </c>
      <c r="J36" s="151" t="s">
        <v>1270</v>
      </c>
      <c r="K36" s="151" t="s">
        <v>77</v>
      </c>
      <c r="L36" s="151" t="s">
        <v>1255</v>
      </c>
      <c r="M36" s="152">
        <v>3.94</v>
      </c>
      <c r="N36" s="151" t="s">
        <v>1322</v>
      </c>
      <c r="O36" s="153">
        <v>0.01</v>
      </c>
      <c r="P36" s="153">
        <v>3.9140000000000001E-2</v>
      </c>
      <c r="Q36" s="151"/>
      <c r="R36" s="152">
        <v>995000</v>
      </c>
      <c r="S36" s="152">
        <v>1</v>
      </c>
      <c r="T36" s="152">
        <v>89.4</v>
      </c>
      <c r="U36" s="152">
        <v>889.53</v>
      </c>
      <c r="V36" s="151"/>
      <c r="W36" s="151"/>
      <c r="X36" s="153">
        <v>3.0000000000000001E-5</v>
      </c>
      <c r="Y36" s="153">
        <v>7.9780000000000004E-2</v>
      </c>
      <c r="Z36" s="154">
        <v>6.3060000000000005E-2</v>
      </c>
      <c r="AA36" s="176"/>
    </row>
    <row r="37" spans="1:27" x14ac:dyDescent="0.2">
      <c r="A37" s="150" t="s">
        <v>1251</v>
      </c>
      <c r="B37" s="151" t="s">
        <v>1263</v>
      </c>
      <c r="C37" s="151" t="s">
        <v>1338</v>
      </c>
      <c r="D37" s="151" t="s">
        <v>1343</v>
      </c>
      <c r="E37" s="151" t="s">
        <v>1344</v>
      </c>
      <c r="F37" s="151" t="s">
        <v>219</v>
      </c>
      <c r="G37" s="151" t="s">
        <v>52</v>
      </c>
      <c r="H37" s="151" t="s">
        <v>52</v>
      </c>
      <c r="I37" s="151" t="s">
        <v>303</v>
      </c>
      <c r="J37" s="151" t="s">
        <v>1270</v>
      </c>
      <c r="K37" s="151" t="s">
        <v>77</v>
      </c>
      <c r="L37" s="151" t="s">
        <v>1255</v>
      </c>
      <c r="M37" s="152">
        <v>0.35</v>
      </c>
      <c r="N37" s="151" t="s">
        <v>1345</v>
      </c>
      <c r="O37" s="151" t="s">
        <v>1342</v>
      </c>
      <c r="P37" s="153">
        <v>3.8629999999999998E-2</v>
      </c>
      <c r="Q37" s="151"/>
      <c r="R37" s="152">
        <v>900000</v>
      </c>
      <c r="S37" s="152">
        <v>1</v>
      </c>
      <c r="T37" s="152">
        <v>98.7</v>
      </c>
      <c r="U37" s="152">
        <v>888.3</v>
      </c>
      <c r="V37" s="151"/>
      <c r="W37" s="151"/>
      <c r="X37" s="153">
        <v>5.0000000000000002E-5</v>
      </c>
      <c r="Y37" s="153">
        <v>7.9670000000000005E-2</v>
      </c>
      <c r="Z37" s="154">
        <v>6.2969999999999998E-2</v>
      </c>
      <c r="AA37" s="176"/>
    </row>
    <row r="38" spans="1:27" x14ac:dyDescent="0.2">
      <c r="A38" s="150" t="s">
        <v>1251</v>
      </c>
      <c r="B38" s="151" t="s">
        <v>1263</v>
      </c>
      <c r="C38" s="151" t="s">
        <v>1267</v>
      </c>
      <c r="D38" s="151" t="s">
        <v>1272</v>
      </c>
      <c r="E38" s="151" t="s">
        <v>1273</v>
      </c>
      <c r="F38" s="151" t="s">
        <v>219</v>
      </c>
      <c r="G38" s="151" t="s">
        <v>52</v>
      </c>
      <c r="H38" s="151" t="s">
        <v>52</v>
      </c>
      <c r="I38" s="151" t="s">
        <v>303</v>
      </c>
      <c r="J38" s="151" t="s">
        <v>1270</v>
      </c>
      <c r="K38" s="151" t="s">
        <v>77</v>
      </c>
      <c r="L38" s="151" t="s">
        <v>1255</v>
      </c>
      <c r="M38" s="152">
        <v>7.73</v>
      </c>
      <c r="N38" s="151" t="s">
        <v>1274</v>
      </c>
      <c r="O38" s="153">
        <v>0.04</v>
      </c>
      <c r="P38" s="153">
        <v>4.0680000000000001E-2</v>
      </c>
      <c r="Q38" s="151"/>
      <c r="R38" s="152">
        <v>825800</v>
      </c>
      <c r="S38" s="152">
        <v>1</v>
      </c>
      <c r="T38" s="152">
        <v>99.51</v>
      </c>
      <c r="U38" s="152">
        <v>821.75400000000002</v>
      </c>
      <c r="V38" s="151"/>
      <c r="W38" s="151"/>
      <c r="X38" s="153">
        <v>2.0000000000000002E-5</v>
      </c>
      <c r="Y38" s="153">
        <v>7.3700000000000002E-2</v>
      </c>
      <c r="Z38" s="154">
        <v>5.8259999999999999E-2</v>
      </c>
      <c r="AA38" s="176"/>
    </row>
    <row r="39" spans="1:27" x14ac:dyDescent="0.2">
      <c r="A39" s="150" t="s">
        <v>1251</v>
      </c>
      <c r="B39" s="151" t="s">
        <v>1263</v>
      </c>
      <c r="C39" s="151" t="s">
        <v>1275</v>
      </c>
      <c r="D39" s="151" t="s">
        <v>1276</v>
      </c>
      <c r="E39" s="151" t="s">
        <v>1277</v>
      </c>
      <c r="F39" s="151" t="s">
        <v>217</v>
      </c>
      <c r="G39" s="151" t="s">
        <v>52</v>
      </c>
      <c r="H39" s="151" t="s">
        <v>52</v>
      </c>
      <c r="I39" s="151" t="s">
        <v>303</v>
      </c>
      <c r="J39" s="151" t="s">
        <v>1270</v>
      </c>
      <c r="K39" s="151" t="s">
        <v>77</v>
      </c>
      <c r="L39" s="151" t="s">
        <v>1255</v>
      </c>
      <c r="M39" s="152">
        <v>5.65</v>
      </c>
      <c r="N39" s="151" t="s">
        <v>1278</v>
      </c>
      <c r="O39" s="153">
        <v>1E-3</v>
      </c>
      <c r="P39" s="153">
        <v>1.934E-2</v>
      </c>
      <c r="Q39" s="151"/>
      <c r="R39" s="152">
        <v>653000</v>
      </c>
      <c r="S39" s="152">
        <v>1</v>
      </c>
      <c r="T39" s="152">
        <v>106.48</v>
      </c>
      <c r="U39" s="152">
        <v>695.31399999999996</v>
      </c>
      <c r="V39" s="151"/>
      <c r="W39" s="151"/>
      <c r="X39" s="153">
        <v>2.0000000000000002E-5</v>
      </c>
      <c r="Y39" s="153">
        <v>6.2359999999999999E-2</v>
      </c>
      <c r="Z39" s="154">
        <v>4.929E-2</v>
      </c>
      <c r="AA39" s="176"/>
    </row>
    <row r="40" spans="1:27" x14ac:dyDescent="0.2">
      <c r="A40" s="150" t="s">
        <v>1251</v>
      </c>
      <c r="B40" s="151" t="s">
        <v>1263</v>
      </c>
      <c r="C40" s="151" t="s">
        <v>1338</v>
      </c>
      <c r="D40" s="151" t="s">
        <v>1346</v>
      </c>
      <c r="E40" s="151" t="s">
        <v>1347</v>
      </c>
      <c r="F40" s="151" t="s">
        <v>219</v>
      </c>
      <c r="G40" s="151" t="s">
        <v>52</v>
      </c>
      <c r="H40" s="151" t="s">
        <v>52</v>
      </c>
      <c r="I40" s="151" t="s">
        <v>303</v>
      </c>
      <c r="J40" s="151" t="s">
        <v>1270</v>
      </c>
      <c r="K40" s="151" t="s">
        <v>77</v>
      </c>
      <c r="L40" s="151" t="s">
        <v>1255</v>
      </c>
      <c r="M40" s="152">
        <v>0.27</v>
      </c>
      <c r="N40" s="151" t="s">
        <v>1348</v>
      </c>
      <c r="O40" s="151" t="s">
        <v>1342</v>
      </c>
      <c r="P40" s="153">
        <v>3.8920000000000003E-2</v>
      </c>
      <c r="Q40" s="151"/>
      <c r="R40" s="152">
        <v>420000</v>
      </c>
      <c r="S40" s="152">
        <v>1</v>
      </c>
      <c r="T40" s="152">
        <v>98.98</v>
      </c>
      <c r="U40" s="152">
        <v>415.71600000000001</v>
      </c>
      <c r="V40" s="151"/>
      <c r="W40" s="151"/>
      <c r="X40" s="153">
        <v>2.0000000000000002E-5</v>
      </c>
      <c r="Y40" s="153">
        <v>3.7289999999999997E-2</v>
      </c>
      <c r="Z40" s="154">
        <v>2.947E-2</v>
      </c>
      <c r="AA40" s="176"/>
    </row>
    <row r="41" spans="1:27" x14ac:dyDescent="0.2">
      <c r="A41" s="150" t="s">
        <v>1251</v>
      </c>
      <c r="B41" s="151" t="s">
        <v>1263</v>
      </c>
      <c r="C41" s="151" t="s">
        <v>1282</v>
      </c>
      <c r="D41" s="151" t="s">
        <v>1286</v>
      </c>
      <c r="E41" s="151" t="s">
        <v>1287</v>
      </c>
      <c r="F41" s="151" t="s">
        <v>217</v>
      </c>
      <c r="G41" s="151" t="s">
        <v>52</v>
      </c>
      <c r="H41" s="151" t="s">
        <v>52</v>
      </c>
      <c r="I41" s="151" t="s">
        <v>303</v>
      </c>
      <c r="J41" s="151" t="s">
        <v>1270</v>
      </c>
      <c r="K41" s="151" t="s">
        <v>77</v>
      </c>
      <c r="L41" s="151" t="s">
        <v>1255</v>
      </c>
      <c r="M41" s="152">
        <v>7.15</v>
      </c>
      <c r="N41" s="151" t="s">
        <v>1288</v>
      </c>
      <c r="O41" s="153">
        <v>1.6E-2</v>
      </c>
      <c r="P41" s="153">
        <v>2.0379999999999999E-2</v>
      </c>
      <c r="Q41" s="151"/>
      <c r="R41" s="152">
        <v>340000</v>
      </c>
      <c r="S41" s="152">
        <v>1</v>
      </c>
      <c r="T41" s="152">
        <v>103.34</v>
      </c>
      <c r="U41" s="152">
        <v>351.35599999999999</v>
      </c>
      <c r="V41" s="151"/>
      <c r="W41" s="151"/>
      <c r="X41" s="153">
        <v>1.0000000000000001E-5</v>
      </c>
      <c r="Y41" s="153">
        <v>3.1510000000000003E-2</v>
      </c>
      <c r="Z41" s="154">
        <v>2.4910000000000002E-2</v>
      </c>
      <c r="AA41" s="176"/>
    </row>
    <row r="42" spans="1:27" x14ac:dyDescent="0.2">
      <c r="A42" s="150" t="s">
        <v>1251</v>
      </c>
      <c r="B42" s="151" t="s">
        <v>1263</v>
      </c>
      <c r="C42" s="151" t="s">
        <v>1267</v>
      </c>
      <c r="D42" s="151" t="s">
        <v>1279</v>
      </c>
      <c r="E42" s="151" t="s">
        <v>1280</v>
      </c>
      <c r="F42" s="151" t="s">
        <v>219</v>
      </c>
      <c r="G42" s="151" t="s">
        <v>52</v>
      </c>
      <c r="H42" s="151" t="s">
        <v>52</v>
      </c>
      <c r="I42" s="151" t="s">
        <v>303</v>
      </c>
      <c r="J42" s="151" t="s">
        <v>1270</v>
      </c>
      <c r="K42" s="151" t="s">
        <v>77</v>
      </c>
      <c r="L42" s="151" t="s">
        <v>1255</v>
      </c>
      <c r="M42" s="152">
        <v>11.23</v>
      </c>
      <c r="N42" s="151" t="s">
        <v>1281</v>
      </c>
      <c r="O42" s="153">
        <v>5.4850000000000003E-2</v>
      </c>
      <c r="P42" s="153">
        <v>4.2529999999999998E-2</v>
      </c>
      <c r="Q42" s="151"/>
      <c r="R42" s="152">
        <v>130000</v>
      </c>
      <c r="S42" s="152">
        <v>1</v>
      </c>
      <c r="T42" s="152">
        <v>115.07</v>
      </c>
      <c r="U42" s="152">
        <v>149.59100000000001</v>
      </c>
      <c r="V42" s="151"/>
      <c r="W42" s="151"/>
      <c r="X42" s="153">
        <v>0</v>
      </c>
      <c r="Y42" s="153">
        <v>1.342E-2</v>
      </c>
      <c r="Z42" s="154">
        <v>1.06E-2</v>
      </c>
      <c r="AA42" s="176"/>
    </row>
    <row r="43" spans="1:27" x14ac:dyDescent="0.2">
      <c r="A43" s="150" t="s">
        <v>1251</v>
      </c>
      <c r="B43" s="151" t="s">
        <v>1263</v>
      </c>
      <c r="C43" s="151" t="s">
        <v>1267</v>
      </c>
      <c r="D43" s="151" t="s">
        <v>1268</v>
      </c>
      <c r="E43" s="151" t="s">
        <v>1269</v>
      </c>
      <c r="F43" s="151" t="s">
        <v>219</v>
      </c>
      <c r="G43" s="151" t="s">
        <v>52</v>
      </c>
      <c r="H43" s="151" t="s">
        <v>52</v>
      </c>
      <c r="I43" s="151" t="s">
        <v>303</v>
      </c>
      <c r="J43" s="151" t="s">
        <v>1270</v>
      </c>
      <c r="K43" s="151" t="s">
        <v>77</v>
      </c>
      <c r="L43" s="151" t="s">
        <v>1255</v>
      </c>
      <c r="M43" s="152">
        <v>14.57</v>
      </c>
      <c r="N43" s="151" t="s">
        <v>1271</v>
      </c>
      <c r="O43" s="153">
        <v>3.7499999999999999E-2</v>
      </c>
      <c r="P43" s="153">
        <v>4.4119999999999999E-2</v>
      </c>
      <c r="Q43" s="151"/>
      <c r="R43" s="152">
        <v>111264</v>
      </c>
      <c r="S43" s="152">
        <v>1</v>
      </c>
      <c r="T43" s="152">
        <v>91.06</v>
      </c>
      <c r="U43" s="152">
        <v>101.31699999999999</v>
      </c>
      <c r="V43" s="151"/>
      <c r="W43" s="151"/>
      <c r="X43" s="153">
        <v>0</v>
      </c>
      <c r="Y43" s="153">
        <v>9.0900000000000009E-3</v>
      </c>
      <c r="Z43" s="154">
        <v>7.1799999999999998E-3</v>
      </c>
      <c r="AA43" s="176"/>
    </row>
    <row r="44" spans="1:27" x14ac:dyDescent="0.2">
      <c r="A44" s="150" t="s">
        <v>1251</v>
      </c>
      <c r="B44" s="151" t="s">
        <v>1263</v>
      </c>
      <c r="C44" s="151" t="s">
        <v>1267</v>
      </c>
      <c r="D44" s="151" t="s">
        <v>1349</v>
      </c>
      <c r="E44" s="151" t="s">
        <v>1350</v>
      </c>
      <c r="F44" s="151" t="s">
        <v>219</v>
      </c>
      <c r="G44" s="151" t="s">
        <v>52</v>
      </c>
      <c r="H44" s="151" t="s">
        <v>52</v>
      </c>
      <c r="I44" s="151" t="s">
        <v>303</v>
      </c>
      <c r="J44" s="151" t="s">
        <v>1270</v>
      </c>
      <c r="K44" s="151" t="s">
        <v>77</v>
      </c>
      <c r="L44" s="151" t="s">
        <v>1255</v>
      </c>
      <c r="M44" s="152">
        <v>1</v>
      </c>
      <c r="N44" s="151" t="s">
        <v>1351</v>
      </c>
      <c r="O44" s="153">
        <v>0.02</v>
      </c>
      <c r="P44" s="153">
        <v>3.764E-2</v>
      </c>
      <c r="Q44" s="151"/>
      <c r="R44" s="152">
        <v>60000</v>
      </c>
      <c r="S44" s="152">
        <v>1</v>
      </c>
      <c r="T44" s="152">
        <v>98.31</v>
      </c>
      <c r="U44" s="152">
        <v>58.985999999999997</v>
      </c>
      <c r="V44" s="151"/>
      <c r="W44" s="151"/>
      <c r="X44" s="153">
        <v>0</v>
      </c>
      <c r="Y44" s="153">
        <v>5.2900000000000004E-3</v>
      </c>
      <c r="Z44" s="154">
        <v>4.1799999999999997E-3</v>
      </c>
      <c r="AA44" s="176"/>
    </row>
    <row r="45" spans="1:27" x14ac:dyDescent="0.2">
      <c r="A45" s="150" t="s">
        <v>1251</v>
      </c>
      <c r="B45" s="151" t="s">
        <v>1263</v>
      </c>
      <c r="C45" s="151" t="s">
        <v>1303</v>
      </c>
      <c r="D45" s="151" t="s">
        <v>1352</v>
      </c>
      <c r="E45" s="151" t="s">
        <v>1353</v>
      </c>
      <c r="F45" s="151" t="s">
        <v>221</v>
      </c>
      <c r="G45" s="151" t="s">
        <v>60</v>
      </c>
      <c r="H45" s="151" t="s">
        <v>306</v>
      </c>
      <c r="I45" s="151" t="s">
        <v>463</v>
      </c>
      <c r="J45" s="151" t="s">
        <v>1306</v>
      </c>
      <c r="K45" s="151" t="s">
        <v>83</v>
      </c>
      <c r="L45" s="151" t="s">
        <v>1256</v>
      </c>
      <c r="M45" s="152">
        <v>1.75</v>
      </c>
      <c r="N45" s="151" t="s">
        <v>1354</v>
      </c>
      <c r="O45" s="153">
        <v>3.5000000000000003E-2</v>
      </c>
      <c r="P45" s="153">
        <v>3.5249999999999997E-2</v>
      </c>
      <c r="Q45" s="151"/>
      <c r="R45" s="152">
        <v>50000</v>
      </c>
      <c r="S45" s="152">
        <v>3.165</v>
      </c>
      <c r="T45" s="152">
        <v>100.023</v>
      </c>
      <c r="U45" s="152">
        <v>158.286</v>
      </c>
      <c r="V45" s="151"/>
      <c r="W45" s="151"/>
      <c r="X45" s="153">
        <v>0</v>
      </c>
      <c r="Y45" s="153">
        <v>1.4200000000000001E-2</v>
      </c>
      <c r="Z45" s="154">
        <v>1.1220000000000001E-2</v>
      </c>
      <c r="AA45" s="176"/>
    </row>
    <row r="46" spans="1:27" x14ac:dyDescent="0.2">
      <c r="A46" s="150" t="s">
        <v>1264</v>
      </c>
      <c r="B46" s="151" t="s">
        <v>1264</v>
      </c>
      <c r="C46" s="151" t="s">
        <v>1267</v>
      </c>
      <c r="D46" s="151" t="s">
        <v>1272</v>
      </c>
      <c r="E46" s="151" t="s">
        <v>1273</v>
      </c>
      <c r="F46" s="151" t="s">
        <v>219</v>
      </c>
      <c r="G46" s="151" t="s">
        <v>52</v>
      </c>
      <c r="H46" s="151" t="s">
        <v>52</v>
      </c>
      <c r="I46" s="151" t="s">
        <v>303</v>
      </c>
      <c r="J46" s="151" t="s">
        <v>1270</v>
      </c>
      <c r="K46" s="151" t="s">
        <v>77</v>
      </c>
      <c r="L46" s="151" t="s">
        <v>1255</v>
      </c>
      <c r="M46" s="152">
        <v>7.73</v>
      </c>
      <c r="N46" s="151" t="s">
        <v>1274</v>
      </c>
      <c r="O46" s="153">
        <v>0.04</v>
      </c>
      <c r="P46" s="153">
        <v>4.0680000000000001E-2</v>
      </c>
      <c r="Q46" s="151"/>
      <c r="R46" s="152">
        <v>409857000</v>
      </c>
      <c r="S46" s="152">
        <v>1</v>
      </c>
      <c r="T46" s="152">
        <v>99.51</v>
      </c>
      <c r="U46" s="152">
        <v>407848.701</v>
      </c>
      <c r="V46" s="151"/>
      <c r="W46" s="151"/>
      <c r="X46" s="153">
        <v>1.051E-2</v>
      </c>
      <c r="Y46" s="153">
        <v>0.26055</v>
      </c>
      <c r="Z46" s="154">
        <v>4.0849999999999997E-2</v>
      </c>
      <c r="AA46" s="176"/>
    </row>
    <row r="47" spans="1:27" x14ac:dyDescent="0.2">
      <c r="A47" s="150" t="s">
        <v>1264</v>
      </c>
      <c r="B47" s="151" t="s">
        <v>1264</v>
      </c>
      <c r="C47" s="151" t="s">
        <v>1275</v>
      </c>
      <c r="D47" s="151" t="s">
        <v>1276</v>
      </c>
      <c r="E47" s="151" t="s">
        <v>1277</v>
      </c>
      <c r="F47" s="151" t="s">
        <v>217</v>
      </c>
      <c r="G47" s="151" t="s">
        <v>52</v>
      </c>
      <c r="H47" s="151" t="s">
        <v>52</v>
      </c>
      <c r="I47" s="151" t="s">
        <v>303</v>
      </c>
      <c r="J47" s="151" t="s">
        <v>1270</v>
      </c>
      <c r="K47" s="151" t="s">
        <v>77</v>
      </c>
      <c r="L47" s="151" t="s">
        <v>1255</v>
      </c>
      <c r="M47" s="152">
        <v>5.65</v>
      </c>
      <c r="N47" s="151" t="s">
        <v>1278</v>
      </c>
      <c r="O47" s="153">
        <v>1E-3</v>
      </c>
      <c r="P47" s="153">
        <v>1.934E-2</v>
      </c>
      <c r="Q47" s="151"/>
      <c r="R47" s="152">
        <v>199665000</v>
      </c>
      <c r="S47" s="152">
        <v>1</v>
      </c>
      <c r="T47" s="152">
        <v>106.48</v>
      </c>
      <c r="U47" s="152">
        <v>212603.29199999999</v>
      </c>
      <c r="V47" s="151"/>
      <c r="W47" s="151"/>
      <c r="X47" s="153">
        <v>5.8300000000000001E-3</v>
      </c>
      <c r="Y47" s="153">
        <v>0.13582</v>
      </c>
      <c r="Z47" s="154">
        <v>2.129E-2</v>
      </c>
      <c r="AA47" s="176"/>
    </row>
    <row r="48" spans="1:27" x14ac:dyDescent="0.2">
      <c r="A48" s="150" t="s">
        <v>1264</v>
      </c>
      <c r="B48" s="151" t="s">
        <v>1264</v>
      </c>
      <c r="C48" s="151" t="s">
        <v>1267</v>
      </c>
      <c r="D48" s="151" t="s">
        <v>1268</v>
      </c>
      <c r="E48" s="151" t="s">
        <v>1269</v>
      </c>
      <c r="F48" s="151" t="s">
        <v>219</v>
      </c>
      <c r="G48" s="151" t="s">
        <v>52</v>
      </c>
      <c r="H48" s="151" t="s">
        <v>52</v>
      </c>
      <c r="I48" s="151" t="s">
        <v>303</v>
      </c>
      <c r="J48" s="151" t="s">
        <v>1270</v>
      </c>
      <c r="K48" s="151" t="s">
        <v>77</v>
      </c>
      <c r="L48" s="151" t="s">
        <v>1255</v>
      </c>
      <c r="M48" s="152">
        <v>14.57</v>
      </c>
      <c r="N48" s="151" t="s">
        <v>1271</v>
      </c>
      <c r="O48" s="153">
        <v>3.7499999999999999E-2</v>
      </c>
      <c r="P48" s="153">
        <v>4.4119999999999999E-2</v>
      </c>
      <c r="Q48" s="151"/>
      <c r="R48" s="152">
        <v>166710000</v>
      </c>
      <c r="S48" s="152">
        <v>1</v>
      </c>
      <c r="T48" s="152">
        <v>91.06</v>
      </c>
      <c r="U48" s="152">
        <v>151806.12599999999</v>
      </c>
      <c r="V48" s="151"/>
      <c r="W48" s="151"/>
      <c r="X48" s="153">
        <v>6.1500000000000001E-3</v>
      </c>
      <c r="Y48" s="153">
        <v>9.6979999999999997E-2</v>
      </c>
      <c r="Z48" s="154">
        <v>1.52E-2</v>
      </c>
      <c r="AA48" s="176"/>
    </row>
    <row r="49" spans="1:27" x14ac:dyDescent="0.2">
      <c r="A49" s="150" t="s">
        <v>1264</v>
      </c>
      <c r="B49" s="151" t="s">
        <v>1264</v>
      </c>
      <c r="C49" s="151" t="s">
        <v>1275</v>
      </c>
      <c r="D49" s="151" t="s">
        <v>1292</v>
      </c>
      <c r="E49" s="151" t="s">
        <v>1293</v>
      </c>
      <c r="F49" s="151" t="s">
        <v>217</v>
      </c>
      <c r="G49" s="151" t="s">
        <v>52</v>
      </c>
      <c r="H49" s="151" t="s">
        <v>52</v>
      </c>
      <c r="I49" s="151" t="s">
        <v>303</v>
      </c>
      <c r="J49" s="151" t="s">
        <v>1270</v>
      </c>
      <c r="K49" s="151" t="s">
        <v>77</v>
      </c>
      <c r="L49" s="151" t="s">
        <v>1255</v>
      </c>
      <c r="M49" s="152">
        <v>3.14</v>
      </c>
      <c r="N49" s="151" t="s">
        <v>1294</v>
      </c>
      <c r="O49" s="153">
        <v>5.0000000000000001E-3</v>
      </c>
      <c r="P49" s="153">
        <v>1.8239999999999999E-2</v>
      </c>
      <c r="Q49" s="151"/>
      <c r="R49" s="152">
        <v>131970000</v>
      </c>
      <c r="S49" s="152">
        <v>1</v>
      </c>
      <c r="T49" s="152">
        <v>113.68</v>
      </c>
      <c r="U49" s="152">
        <v>150023.49600000001</v>
      </c>
      <c r="V49" s="151"/>
      <c r="W49" s="151"/>
      <c r="X49" s="153">
        <v>4.3800000000000002E-3</v>
      </c>
      <c r="Y49" s="153">
        <v>9.5839999999999995E-2</v>
      </c>
      <c r="Z49" s="154">
        <v>1.502E-2</v>
      </c>
      <c r="AA49" s="176"/>
    </row>
    <row r="50" spans="1:27" x14ac:dyDescent="0.2">
      <c r="A50" s="150" t="s">
        <v>1264</v>
      </c>
      <c r="B50" s="151" t="s">
        <v>1264</v>
      </c>
      <c r="C50" s="151" t="s">
        <v>1282</v>
      </c>
      <c r="D50" s="151" t="s">
        <v>1286</v>
      </c>
      <c r="E50" s="151" t="s">
        <v>1287</v>
      </c>
      <c r="F50" s="151" t="s">
        <v>217</v>
      </c>
      <c r="G50" s="151" t="s">
        <v>52</v>
      </c>
      <c r="H50" s="151" t="s">
        <v>52</v>
      </c>
      <c r="I50" s="151" t="s">
        <v>303</v>
      </c>
      <c r="J50" s="151" t="s">
        <v>1270</v>
      </c>
      <c r="K50" s="151" t="s">
        <v>77</v>
      </c>
      <c r="L50" s="151" t="s">
        <v>1255</v>
      </c>
      <c r="M50" s="152">
        <v>7.15</v>
      </c>
      <c r="N50" s="151" t="s">
        <v>1288</v>
      </c>
      <c r="O50" s="153">
        <v>1.6E-2</v>
      </c>
      <c r="P50" s="153">
        <v>2.0379999999999999E-2</v>
      </c>
      <c r="Q50" s="151"/>
      <c r="R50" s="152">
        <v>136000000</v>
      </c>
      <c r="S50" s="152">
        <v>1</v>
      </c>
      <c r="T50" s="152">
        <v>103.34</v>
      </c>
      <c r="U50" s="152">
        <v>140542.39999999999</v>
      </c>
      <c r="V50" s="151"/>
      <c r="W50" s="151"/>
      <c r="X50" s="153">
        <v>4.2399999999999998E-3</v>
      </c>
      <c r="Y50" s="153">
        <v>8.9779999999999999E-2</v>
      </c>
      <c r="Z50" s="154">
        <v>1.4080000000000001E-2</v>
      </c>
      <c r="AA50" s="176"/>
    </row>
    <row r="51" spans="1:27" x14ac:dyDescent="0.2">
      <c r="A51" s="150" t="s">
        <v>1264</v>
      </c>
      <c r="B51" s="151" t="s">
        <v>1264</v>
      </c>
      <c r="C51" s="151" t="s">
        <v>1267</v>
      </c>
      <c r="D51" s="151" t="s">
        <v>1279</v>
      </c>
      <c r="E51" s="151" t="s">
        <v>1280</v>
      </c>
      <c r="F51" s="151" t="s">
        <v>219</v>
      </c>
      <c r="G51" s="151" t="s">
        <v>52</v>
      </c>
      <c r="H51" s="151" t="s">
        <v>52</v>
      </c>
      <c r="I51" s="151" t="s">
        <v>303</v>
      </c>
      <c r="J51" s="151" t="s">
        <v>1270</v>
      </c>
      <c r="K51" s="151" t="s">
        <v>77</v>
      </c>
      <c r="L51" s="151" t="s">
        <v>1255</v>
      </c>
      <c r="M51" s="152">
        <v>11.23</v>
      </c>
      <c r="N51" s="151" t="s">
        <v>1281</v>
      </c>
      <c r="O51" s="153">
        <v>5.4850000000000003E-2</v>
      </c>
      <c r="P51" s="153">
        <v>4.2529999999999998E-2</v>
      </c>
      <c r="Q51" s="151"/>
      <c r="R51" s="152">
        <v>115900000</v>
      </c>
      <c r="S51" s="152">
        <v>1</v>
      </c>
      <c r="T51" s="152">
        <v>115.07</v>
      </c>
      <c r="U51" s="152">
        <v>133366.13</v>
      </c>
      <c r="V51" s="151"/>
      <c r="W51" s="151"/>
      <c r="X51" s="153">
        <v>3.3300000000000001E-3</v>
      </c>
      <c r="Y51" s="153">
        <v>8.5199999999999998E-2</v>
      </c>
      <c r="Z51" s="154">
        <v>1.336E-2</v>
      </c>
      <c r="AA51" s="176"/>
    </row>
    <row r="52" spans="1:27" x14ac:dyDescent="0.2">
      <c r="A52" s="150" t="s">
        <v>1264</v>
      </c>
      <c r="B52" s="151" t="s">
        <v>1264</v>
      </c>
      <c r="C52" s="151" t="s">
        <v>1275</v>
      </c>
      <c r="D52" s="151" t="s">
        <v>1317</v>
      </c>
      <c r="E52" s="151" t="s">
        <v>1318</v>
      </c>
      <c r="F52" s="151" t="s">
        <v>217</v>
      </c>
      <c r="G52" s="151" t="s">
        <v>52</v>
      </c>
      <c r="H52" s="151" t="s">
        <v>52</v>
      </c>
      <c r="I52" s="151" t="s">
        <v>303</v>
      </c>
      <c r="J52" s="151" t="s">
        <v>1270</v>
      </c>
      <c r="K52" s="151" t="s">
        <v>77</v>
      </c>
      <c r="L52" s="151" t="s">
        <v>1255</v>
      </c>
      <c r="M52" s="152">
        <v>2.5499999999999998</v>
      </c>
      <c r="N52" s="151" t="s">
        <v>1319</v>
      </c>
      <c r="O52" s="153">
        <v>1.0999999999999999E-2</v>
      </c>
      <c r="P52" s="153">
        <v>1.779E-2</v>
      </c>
      <c r="Q52" s="151"/>
      <c r="R52" s="152">
        <v>82537000</v>
      </c>
      <c r="S52" s="152">
        <v>1</v>
      </c>
      <c r="T52" s="152">
        <v>105.35</v>
      </c>
      <c r="U52" s="152">
        <v>86952.73</v>
      </c>
      <c r="V52" s="151"/>
      <c r="W52" s="151"/>
      <c r="X52" s="153">
        <v>2.4499999999999999E-3</v>
      </c>
      <c r="Y52" s="153">
        <v>5.5550000000000002E-2</v>
      </c>
      <c r="Z52" s="154">
        <v>8.7100000000000007E-3</v>
      </c>
      <c r="AA52" s="176"/>
    </row>
    <row r="53" spans="1:27" x14ac:dyDescent="0.2">
      <c r="A53" s="150" t="s">
        <v>1264</v>
      </c>
      <c r="B53" s="151" t="s">
        <v>1264</v>
      </c>
      <c r="C53" s="151" t="s">
        <v>1267</v>
      </c>
      <c r="D53" s="151" t="s">
        <v>1323</v>
      </c>
      <c r="E53" s="151" t="s">
        <v>1324</v>
      </c>
      <c r="F53" s="151" t="s">
        <v>219</v>
      </c>
      <c r="G53" s="151" t="s">
        <v>52</v>
      </c>
      <c r="H53" s="151" t="s">
        <v>52</v>
      </c>
      <c r="I53" s="151" t="s">
        <v>303</v>
      </c>
      <c r="J53" s="151" t="s">
        <v>1270</v>
      </c>
      <c r="K53" s="151" t="s">
        <v>77</v>
      </c>
      <c r="L53" s="151" t="s">
        <v>1255</v>
      </c>
      <c r="M53" s="152">
        <v>5.79</v>
      </c>
      <c r="N53" s="151" t="s">
        <v>1325</v>
      </c>
      <c r="O53" s="153">
        <v>1.2999999999999999E-2</v>
      </c>
      <c r="P53" s="153">
        <v>3.9620000000000002E-2</v>
      </c>
      <c r="Q53" s="151"/>
      <c r="R53" s="152">
        <v>83750000</v>
      </c>
      <c r="S53" s="152">
        <v>1</v>
      </c>
      <c r="T53" s="152">
        <v>87.05</v>
      </c>
      <c r="U53" s="152">
        <v>72904.375</v>
      </c>
      <c r="V53" s="151"/>
      <c r="W53" s="151"/>
      <c r="X53" s="153">
        <v>2.0400000000000001E-3</v>
      </c>
      <c r="Y53" s="153">
        <v>4.657E-2</v>
      </c>
      <c r="Z53" s="154">
        <v>7.3000000000000001E-3</v>
      </c>
      <c r="AA53" s="176"/>
    </row>
    <row r="54" spans="1:27" x14ac:dyDescent="0.2">
      <c r="A54" s="150" t="s">
        <v>1264</v>
      </c>
      <c r="B54" s="151" t="s">
        <v>1264</v>
      </c>
      <c r="C54" s="151" t="s">
        <v>1267</v>
      </c>
      <c r="D54" s="151" t="s">
        <v>1320</v>
      </c>
      <c r="E54" s="151" t="s">
        <v>1321</v>
      </c>
      <c r="F54" s="151" t="s">
        <v>219</v>
      </c>
      <c r="G54" s="151" t="s">
        <v>52</v>
      </c>
      <c r="H54" s="151" t="s">
        <v>52</v>
      </c>
      <c r="I54" s="151" t="s">
        <v>303</v>
      </c>
      <c r="J54" s="151" t="s">
        <v>1270</v>
      </c>
      <c r="K54" s="151" t="s">
        <v>77</v>
      </c>
      <c r="L54" s="151" t="s">
        <v>1255</v>
      </c>
      <c r="M54" s="152">
        <v>3.94</v>
      </c>
      <c r="N54" s="151" t="s">
        <v>1322</v>
      </c>
      <c r="O54" s="153">
        <v>0.01</v>
      </c>
      <c r="P54" s="153">
        <v>3.9140000000000001E-2</v>
      </c>
      <c r="Q54" s="151"/>
      <c r="R54" s="152">
        <v>29300000</v>
      </c>
      <c r="S54" s="152">
        <v>1</v>
      </c>
      <c r="T54" s="152">
        <v>89.4</v>
      </c>
      <c r="U54" s="152">
        <v>26194.2</v>
      </c>
      <c r="V54" s="151"/>
      <c r="W54" s="151"/>
      <c r="X54" s="153">
        <v>7.7999999999999999E-4</v>
      </c>
      <c r="Y54" s="153">
        <v>1.6729999999999998E-2</v>
      </c>
      <c r="Z54" s="154">
        <v>2.6199999999999999E-3</v>
      </c>
      <c r="AA54" s="176"/>
    </row>
    <row r="55" spans="1:27" x14ac:dyDescent="0.2">
      <c r="A55" s="150" t="s">
        <v>1264</v>
      </c>
      <c r="B55" s="151" t="s">
        <v>1264</v>
      </c>
      <c r="C55" s="151" t="s">
        <v>1275</v>
      </c>
      <c r="D55" s="151" t="s">
        <v>1326</v>
      </c>
      <c r="E55" s="151" t="s">
        <v>1327</v>
      </c>
      <c r="F55" s="151" t="s">
        <v>217</v>
      </c>
      <c r="G55" s="151" t="s">
        <v>52</v>
      </c>
      <c r="H55" s="151" t="s">
        <v>52</v>
      </c>
      <c r="I55" s="151" t="s">
        <v>303</v>
      </c>
      <c r="J55" s="151" t="s">
        <v>1270</v>
      </c>
      <c r="K55" s="151" t="s">
        <v>77</v>
      </c>
      <c r="L55" s="151" t="s">
        <v>1255</v>
      </c>
      <c r="M55" s="152">
        <v>1.1599999999999999</v>
      </c>
      <c r="N55" s="151" t="s">
        <v>1328</v>
      </c>
      <c r="O55" s="153">
        <v>7.4999999999999997E-3</v>
      </c>
      <c r="P55" s="153">
        <v>1.0619999999999999E-2</v>
      </c>
      <c r="Q55" s="151"/>
      <c r="R55" s="152">
        <v>6968301</v>
      </c>
      <c r="S55" s="152">
        <v>1</v>
      </c>
      <c r="T55" s="152">
        <v>119.45</v>
      </c>
      <c r="U55" s="152">
        <v>8323.6360000000004</v>
      </c>
      <c r="V55" s="151"/>
      <c r="W55" s="151"/>
      <c r="X55" s="153">
        <v>2.9E-4</v>
      </c>
      <c r="Y55" s="153">
        <v>5.3200000000000001E-3</v>
      </c>
      <c r="Z55" s="154">
        <v>8.3000000000000001E-4</v>
      </c>
      <c r="AA55" s="176"/>
    </row>
    <row r="56" spans="1:27" x14ac:dyDescent="0.2">
      <c r="A56" s="150" t="s">
        <v>1264</v>
      </c>
      <c r="B56" s="151" t="s">
        <v>1264</v>
      </c>
      <c r="C56" s="151" t="s">
        <v>1267</v>
      </c>
      <c r="D56" s="151" t="s">
        <v>1295</v>
      </c>
      <c r="E56" s="151" t="s">
        <v>1296</v>
      </c>
      <c r="F56" s="151" t="s">
        <v>219</v>
      </c>
      <c r="G56" s="151" t="s">
        <v>52</v>
      </c>
      <c r="H56" s="151" t="s">
        <v>52</v>
      </c>
      <c r="I56" s="151" t="s">
        <v>303</v>
      </c>
      <c r="J56" s="151" t="s">
        <v>1270</v>
      </c>
      <c r="K56" s="151" t="s">
        <v>77</v>
      </c>
      <c r="L56" s="151" t="s">
        <v>1255</v>
      </c>
      <c r="M56" s="152">
        <v>0.57999999999999996</v>
      </c>
      <c r="N56" s="151" t="s">
        <v>1297</v>
      </c>
      <c r="O56" s="153">
        <v>6.25E-2</v>
      </c>
      <c r="P56" s="153">
        <v>3.7420000000000002E-2</v>
      </c>
      <c r="Q56" s="151"/>
      <c r="R56" s="152">
        <v>8000000</v>
      </c>
      <c r="S56" s="152">
        <v>1</v>
      </c>
      <c r="T56" s="152">
        <v>103.99</v>
      </c>
      <c r="U56" s="152">
        <v>8319.2000000000007</v>
      </c>
      <c r="V56" s="151"/>
      <c r="W56" s="151"/>
      <c r="X56" s="153">
        <v>5.4000000000000001E-4</v>
      </c>
      <c r="Y56" s="153">
        <v>5.3099999999999996E-3</v>
      </c>
      <c r="Z56" s="154">
        <v>8.3000000000000001E-4</v>
      </c>
      <c r="AA56" s="176"/>
    </row>
    <row r="57" spans="1:27" x14ac:dyDescent="0.2">
      <c r="A57" s="150" t="s">
        <v>1264</v>
      </c>
      <c r="B57" s="151" t="s">
        <v>1264</v>
      </c>
      <c r="C57" s="151" t="s">
        <v>1298</v>
      </c>
      <c r="D57" s="151" t="s">
        <v>1299</v>
      </c>
      <c r="E57" s="151" t="s">
        <v>1300</v>
      </c>
      <c r="F57" s="151" t="s">
        <v>221</v>
      </c>
      <c r="G57" s="151" t="s">
        <v>60</v>
      </c>
      <c r="H57" s="151" t="s">
        <v>52</v>
      </c>
      <c r="I57" s="151" t="s">
        <v>463</v>
      </c>
      <c r="J57" s="151" t="s">
        <v>1301</v>
      </c>
      <c r="K57" s="151" t="s">
        <v>83</v>
      </c>
      <c r="L57" s="151" t="s">
        <v>1256</v>
      </c>
      <c r="M57" s="152">
        <v>7.5229999999999997</v>
      </c>
      <c r="N57" s="151" t="s">
        <v>1302</v>
      </c>
      <c r="O57" s="153">
        <v>0.05</v>
      </c>
      <c r="P57" s="153">
        <v>5.4730000000000001E-2</v>
      </c>
      <c r="Q57" s="151"/>
      <c r="R57" s="152">
        <v>29500000</v>
      </c>
      <c r="S57" s="152">
        <v>3.165</v>
      </c>
      <c r="T57" s="152">
        <v>97.515000000000001</v>
      </c>
      <c r="U57" s="152">
        <v>91047.778000000006</v>
      </c>
      <c r="V57" s="151"/>
      <c r="W57" s="151"/>
      <c r="X57" s="153">
        <v>1.4749999999999999E-2</v>
      </c>
      <c r="Y57" s="153">
        <v>5.8160000000000003E-2</v>
      </c>
      <c r="Z57" s="154">
        <v>9.1199999999999996E-3</v>
      </c>
      <c r="AA57" s="176"/>
    </row>
    <row r="58" spans="1:27" x14ac:dyDescent="0.2">
      <c r="A58" s="150" t="s">
        <v>1264</v>
      </c>
      <c r="B58" s="151" t="s">
        <v>1264</v>
      </c>
      <c r="C58" s="151" t="s">
        <v>1298</v>
      </c>
      <c r="D58" s="151" t="s">
        <v>1308</v>
      </c>
      <c r="E58" s="151" t="s">
        <v>1309</v>
      </c>
      <c r="F58" s="151" t="s">
        <v>221</v>
      </c>
      <c r="G58" s="151" t="s">
        <v>60</v>
      </c>
      <c r="H58" s="151" t="s">
        <v>52</v>
      </c>
      <c r="I58" s="151" t="s">
        <v>463</v>
      </c>
      <c r="J58" s="151" t="s">
        <v>1301</v>
      </c>
      <c r="K58" s="151" t="s">
        <v>83</v>
      </c>
      <c r="L58" s="151" t="s">
        <v>1256</v>
      </c>
      <c r="M58" s="152">
        <v>6.3680000000000003</v>
      </c>
      <c r="N58" s="151" t="s">
        <v>1310</v>
      </c>
      <c r="O58" s="153">
        <v>5.5E-2</v>
      </c>
      <c r="P58" s="153">
        <v>5.2920000000000002E-2</v>
      </c>
      <c r="Q58" s="151"/>
      <c r="R58" s="152">
        <v>7300000</v>
      </c>
      <c r="S58" s="152">
        <v>3.165</v>
      </c>
      <c r="T58" s="152">
        <v>101.624</v>
      </c>
      <c r="U58" s="152">
        <v>23479.780999999999</v>
      </c>
      <c r="V58" s="151"/>
      <c r="W58" s="151"/>
      <c r="X58" s="153">
        <v>2.4299999999999999E-3</v>
      </c>
      <c r="Y58" s="153">
        <v>1.4999999999999999E-2</v>
      </c>
      <c r="Z58" s="154">
        <v>2.3500000000000001E-3</v>
      </c>
      <c r="AA58" s="176"/>
    </row>
    <row r="59" spans="1:27" x14ac:dyDescent="0.2">
      <c r="A59" s="150" t="s">
        <v>1264</v>
      </c>
      <c r="B59" s="151" t="s">
        <v>1264</v>
      </c>
      <c r="C59" s="151" t="s">
        <v>1303</v>
      </c>
      <c r="D59" s="151" t="s">
        <v>1304</v>
      </c>
      <c r="E59" s="151" t="s">
        <v>1305</v>
      </c>
      <c r="F59" s="151" t="s">
        <v>221</v>
      </c>
      <c r="G59" s="151" t="s">
        <v>60</v>
      </c>
      <c r="H59" s="151" t="s">
        <v>306</v>
      </c>
      <c r="I59" s="151" t="s">
        <v>463</v>
      </c>
      <c r="J59" s="151" t="s">
        <v>1306</v>
      </c>
      <c r="K59" s="151" t="s">
        <v>83</v>
      </c>
      <c r="L59" s="151" t="s">
        <v>1256</v>
      </c>
      <c r="M59" s="152">
        <v>6.3140000000000001</v>
      </c>
      <c r="N59" s="151" t="s">
        <v>1307</v>
      </c>
      <c r="O59" s="153">
        <v>3.875E-2</v>
      </c>
      <c r="P59" s="153">
        <v>4.1599999999999998E-2</v>
      </c>
      <c r="Q59" s="151"/>
      <c r="R59" s="152">
        <v>7400000</v>
      </c>
      <c r="S59" s="152">
        <v>3.165</v>
      </c>
      <c r="T59" s="152">
        <v>98.697999999999993</v>
      </c>
      <c r="U59" s="152">
        <v>23116.118999999999</v>
      </c>
      <c r="V59" s="151"/>
      <c r="W59" s="151"/>
      <c r="X59" s="153">
        <v>6.0000000000000002E-5</v>
      </c>
      <c r="Y59" s="153">
        <v>1.477E-2</v>
      </c>
      <c r="Z59" s="154">
        <v>2.32E-3</v>
      </c>
      <c r="AA59" s="176"/>
    </row>
    <row r="60" spans="1:27" x14ac:dyDescent="0.2">
      <c r="A60" s="150" t="s">
        <v>1264</v>
      </c>
      <c r="B60" s="151" t="s">
        <v>1264</v>
      </c>
      <c r="C60" s="151" t="s">
        <v>1303</v>
      </c>
      <c r="D60" s="151" t="s">
        <v>1311</v>
      </c>
      <c r="E60" s="151" t="s">
        <v>1312</v>
      </c>
      <c r="F60" s="151" t="s">
        <v>221</v>
      </c>
      <c r="G60" s="151" t="s">
        <v>60</v>
      </c>
      <c r="H60" s="151" t="s">
        <v>306</v>
      </c>
      <c r="I60" s="151" t="s">
        <v>463</v>
      </c>
      <c r="J60" s="151" t="s">
        <v>1306</v>
      </c>
      <c r="K60" s="151" t="s">
        <v>83</v>
      </c>
      <c r="L60" s="151" t="s">
        <v>1256</v>
      </c>
      <c r="M60" s="152">
        <v>7.2089999999999996</v>
      </c>
      <c r="N60" s="151" t="s">
        <v>1313</v>
      </c>
      <c r="O60" s="153">
        <v>4.6249999999999999E-2</v>
      </c>
      <c r="P60" s="153">
        <v>4.265E-2</v>
      </c>
      <c r="Q60" s="151"/>
      <c r="R60" s="152">
        <v>4553000</v>
      </c>
      <c r="S60" s="152">
        <v>3.165</v>
      </c>
      <c r="T60" s="152">
        <v>103.203</v>
      </c>
      <c r="U60" s="152">
        <v>14871.807000000001</v>
      </c>
      <c r="V60" s="151"/>
      <c r="W60" s="151"/>
      <c r="X60" s="153">
        <v>3.0000000000000001E-5</v>
      </c>
      <c r="Y60" s="153">
        <v>9.4999999999999998E-3</v>
      </c>
      <c r="Z60" s="154">
        <v>1.49E-3</v>
      </c>
      <c r="AA60" s="176"/>
    </row>
    <row r="61" spans="1:27" x14ac:dyDescent="0.2">
      <c r="A61" s="150" t="s">
        <v>1264</v>
      </c>
      <c r="B61" s="151" t="s">
        <v>1264</v>
      </c>
      <c r="C61" s="151" t="s">
        <v>1303</v>
      </c>
      <c r="D61" s="151" t="s">
        <v>1314</v>
      </c>
      <c r="E61" s="151" t="s">
        <v>1315</v>
      </c>
      <c r="F61" s="151" t="s">
        <v>221</v>
      </c>
      <c r="G61" s="151" t="s">
        <v>60</v>
      </c>
      <c r="H61" s="151" t="s">
        <v>306</v>
      </c>
      <c r="I61" s="151" t="s">
        <v>463</v>
      </c>
      <c r="J61" s="151" t="s">
        <v>1306</v>
      </c>
      <c r="K61" s="151" t="s">
        <v>83</v>
      </c>
      <c r="L61" s="151" t="s">
        <v>1256</v>
      </c>
      <c r="M61" s="152">
        <v>7.0309999999999997</v>
      </c>
      <c r="N61" s="151" t="s">
        <v>1316</v>
      </c>
      <c r="O61" s="153">
        <v>3.875E-2</v>
      </c>
      <c r="P61" s="153">
        <v>4.2340000000000003E-2</v>
      </c>
      <c r="Q61" s="151"/>
      <c r="R61" s="152">
        <v>4496000</v>
      </c>
      <c r="S61" s="152">
        <v>3.165</v>
      </c>
      <c r="T61" s="152">
        <v>97.98</v>
      </c>
      <c r="U61" s="152">
        <v>13942.326999999999</v>
      </c>
      <c r="V61" s="151"/>
      <c r="W61" s="151"/>
      <c r="X61" s="153">
        <v>3.0000000000000001E-5</v>
      </c>
      <c r="Y61" s="153">
        <v>8.9099999999999995E-3</v>
      </c>
      <c r="Z61" s="154">
        <v>1.4E-3</v>
      </c>
      <c r="AA61" s="176"/>
    </row>
    <row r="62" spans="1:27" x14ac:dyDescent="0.2">
      <c r="A62" s="150" t="s">
        <v>1264</v>
      </c>
      <c r="B62" s="151" t="s">
        <v>1265</v>
      </c>
      <c r="C62" s="151" t="s">
        <v>1275</v>
      </c>
      <c r="D62" s="151" t="s">
        <v>1317</v>
      </c>
      <c r="E62" s="151" t="s">
        <v>1318</v>
      </c>
      <c r="F62" s="151" t="s">
        <v>217</v>
      </c>
      <c r="G62" s="151" t="s">
        <v>52</v>
      </c>
      <c r="H62" s="151" t="s">
        <v>52</v>
      </c>
      <c r="I62" s="151" t="s">
        <v>303</v>
      </c>
      <c r="J62" s="151" t="s">
        <v>1270</v>
      </c>
      <c r="K62" s="151" t="s">
        <v>77</v>
      </c>
      <c r="L62" s="151" t="s">
        <v>1255</v>
      </c>
      <c r="M62" s="152">
        <v>2.5499999999999998</v>
      </c>
      <c r="N62" s="151" t="s">
        <v>1319</v>
      </c>
      <c r="O62" s="153">
        <v>1.0999999999999999E-2</v>
      </c>
      <c r="P62" s="153">
        <v>1.779E-2</v>
      </c>
      <c r="Q62" s="151"/>
      <c r="R62" s="152">
        <v>453000</v>
      </c>
      <c r="S62" s="152">
        <v>1</v>
      </c>
      <c r="T62" s="152">
        <v>105.35</v>
      </c>
      <c r="U62" s="152">
        <v>477.23599999999999</v>
      </c>
      <c r="V62" s="151"/>
      <c r="W62" s="151"/>
      <c r="X62" s="153">
        <v>1.0000000000000001E-5</v>
      </c>
      <c r="Y62" s="153">
        <v>0.21798999999999999</v>
      </c>
      <c r="Z62" s="154">
        <v>0.12903000000000001</v>
      </c>
      <c r="AA62" s="176"/>
    </row>
    <row r="63" spans="1:27" x14ac:dyDescent="0.2">
      <c r="A63" s="150" t="s">
        <v>1264</v>
      </c>
      <c r="B63" s="151" t="s">
        <v>1265</v>
      </c>
      <c r="C63" s="151" t="s">
        <v>1267</v>
      </c>
      <c r="D63" s="151" t="s">
        <v>1272</v>
      </c>
      <c r="E63" s="151" t="s">
        <v>1273</v>
      </c>
      <c r="F63" s="151" t="s">
        <v>219</v>
      </c>
      <c r="G63" s="151" t="s">
        <v>52</v>
      </c>
      <c r="H63" s="151" t="s">
        <v>52</v>
      </c>
      <c r="I63" s="151" t="s">
        <v>303</v>
      </c>
      <c r="J63" s="151" t="s">
        <v>1270</v>
      </c>
      <c r="K63" s="151" t="s">
        <v>77</v>
      </c>
      <c r="L63" s="151" t="s">
        <v>1255</v>
      </c>
      <c r="M63" s="152">
        <v>7.73</v>
      </c>
      <c r="N63" s="151" t="s">
        <v>1274</v>
      </c>
      <c r="O63" s="153">
        <v>0.04</v>
      </c>
      <c r="P63" s="153">
        <v>4.0680000000000001E-2</v>
      </c>
      <c r="Q63" s="151"/>
      <c r="R63" s="152">
        <v>422700</v>
      </c>
      <c r="S63" s="152">
        <v>1</v>
      </c>
      <c r="T63" s="152">
        <v>99.51</v>
      </c>
      <c r="U63" s="152">
        <v>420.62900000000002</v>
      </c>
      <c r="V63" s="151"/>
      <c r="W63" s="151"/>
      <c r="X63" s="153">
        <v>1.0000000000000001E-5</v>
      </c>
      <c r="Y63" s="153">
        <v>0.19214000000000001</v>
      </c>
      <c r="Z63" s="154">
        <v>0.11373</v>
      </c>
      <c r="AA63" s="176"/>
    </row>
    <row r="64" spans="1:27" x14ac:dyDescent="0.2">
      <c r="A64" s="150" t="s">
        <v>1264</v>
      </c>
      <c r="B64" s="151" t="s">
        <v>1265</v>
      </c>
      <c r="C64" s="151" t="s">
        <v>1275</v>
      </c>
      <c r="D64" s="151" t="s">
        <v>1276</v>
      </c>
      <c r="E64" s="151" t="s">
        <v>1277</v>
      </c>
      <c r="F64" s="151" t="s">
        <v>217</v>
      </c>
      <c r="G64" s="151" t="s">
        <v>52</v>
      </c>
      <c r="H64" s="151" t="s">
        <v>52</v>
      </c>
      <c r="I64" s="151" t="s">
        <v>303</v>
      </c>
      <c r="J64" s="151" t="s">
        <v>1270</v>
      </c>
      <c r="K64" s="151" t="s">
        <v>77</v>
      </c>
      <c r="L64" s="151" t="s">
        <v>1255</v>
      </c>
      <c r="M64" s="152">
        <v>5.65</v>
      </c>
      <c r="N64" s="151" t="s">
        <v>1278</v>
      </c>
      <c r="O64" s="153">
        <v>1E-3</v>
      </c>
      <c r="P64" s="153">
        <v>1.934E-2</v>
      </c>
      <c r="Q64" s="151"/>
      <c r="R64" s="152">
        <v>313000</v>
      </c>
      <c r="S64" s="152">
        <v>1</v>
      </c>
      <c r="T64" s="152">
        <v>106.48</v>
      </c>
      <c r="U64" s="152">
        <v>333.28199999999998</v>
      </c>
      <c r="V64" s="151"/>
      <c r="W64" s="151"/>
      <c r="X64" s="153">
        <v>1.0000000000000001E-5</v>
      </c>
      <c r="Y64" s="153">
        <v>0.15223999999999999</v>
      </c>
      <c r="Z64" s="154">
        <v>9.0109999999999996E-2</v>
      </c>
      <c r="AA64" s="176"/>
    </row>
    <row r="65" spans="1:27" x14ac:dyDescent="0.2">
      <c r="A65" s="150" t="s">
        <v>1264</v>
      </c>
      <c r="B65" s="151" t="s">
        <v>1265</v>
      </c>
      <c r="C65" s="151" t="s">
        <v>1267</v>
      </c>
      <c r="D65" s="151" t="s">
        <v>1323</v>
      </c>
      <c r="E65" s="151" t="s">
        <v>1324</v>
      </c>
      <c r="F65" s="151" t="s">
        <v>219</v>
      </c>
      <c r="G65" s="151" t="s">
        <v>52</v>
      </c>
      <c r="H65" s="151" t="s">
        <v>52</v>
      </c>
      <c r="I65" s="151" t="s">
        <v>303</v>
      </c>
      <c r="J65" s="151" t="s">
        <v>1270</v>
      </c>
      <c r="K65" s="151" t="s">
        <v>77</v>
      </c>
      <c r="L65" s="151" t="s">
        <v>1255</v>
      </c>
      <c r="M65" s="152">
        <v>5.79</v>
      </c>
      <c r="N65" s="151" t="s">
        <v>1325</v>
      </c>
      <c r="O65" s="153">
        <v>1.2999999999999999E-2</v>
      </c>
      <c r="P65" s="153">
        <v>3.9620000000000002E-2</v>
      </c>
      <c r="Q65" s="151"/>
      <c r="R65" s="152">
        <v>352000</v>
      </c>
      <c r="S65" s="152">
        <v>1</v>
      </c>
      <c r="T65" s="152">
        <v>87.05</v>
      </c>
      <c r="U65" s="152">
        <v>306.416</v>
      </c>
      <c r="V65" s="151"/>
      <c r="W65" s="151"/>
      <c r="X65" s="153">
        <v>1.0000000000000001E-5</v>
      </c>
      <c r="Y65" s="153">
        <v>0.13997000000000001</v>
      </c>
      <c r="Z65" s="154">
        <v>8.2849999999999993E-2</v>
      </c>
      <c r="AA65" s="176"/>
    </row>
    <row r="66" spans="1:27" x14ac:dyDescent="0.2">
      <c r="A66" s="150" t="s">
        <v>1264</v>
      </c>
      <c r="B66" s="151" t="s">
        <v>1265</v>
      </c>
      <c r="C66" s="151" t="s">
        <v>1275</v>
      </c>
      <c r="D66" s="151" t="s">
        <v>1292</v>
      </c>
      <c r="E66" s="151" t="s">
        <v>1293</v>
      </c>
      <c r="F66" s="151" t="s">
        <v>217</v>
      </c>
      <c r="G66" s="151" t="s">
        <v>52</v>
      </c>
      <c r="H66" s="151" t="s">
        <v>52</v>
      </c>
      <c r="I66" s="151" t="s">
        <v>303</v>
      </c>
      <c r="J66" s="151" t="s">
        <v>1270</v>
      </c>
      <c r="K66" s="151" t="s">
        <v>77</v>
      </c>
      <c r="L66" s="151" t="s">
        <v>1255</v>
      </c>
      <c r="M66" s="152">
        <v>3.14</v>
      </c>
      <c r="N66" s="151" t="s">
        <v>1294</v>
      </c>
      <c r="O66" s="153">
        <v>5.0000000000000001E-3</v>
      </c>
      <c r="P66" s="153">
        <v>1.8239999999999999E-2</v>
      </c>
      <c r="Q66" s="151"/>
      <c r="R66" s="152">
        <v>159500</v>
      </c>
      <c r="S66" s="152">
        <v>1</v>
      </c>
      <c r="T66" s="152">
        <v>113.68</v>
      </c>
      <c r="U66" s="152">
        <v>181.32</v>
      </c>
      <c r="V66" s="151"/>
      <c r="W66" s="151"/>
      <c r="X66" s="153">
        <v>1.0000000000000001E-5</v>
      </c>
      <c r="Y66" s="153">
        <v>8.2820000000000005E-2</v>
      </c>
      <c r="Z66" s="154">
        <v>4.9020000000000001E-2</v>
      </c>
      <c r="AA66" s="176"/>
    </row>
    <row r="67" spans="1:27" x14ac:dyDescent="0.2">
      <c r="A67" s="150" t="s">
        <v>1264</v>
      </c>
      <c r="B67" s="151" t="s">
        <v>1265</v>
      </c>
      <c r="C67" s="151" t="s">
        <v>1267</v>
      </c>
      <c r="D67" s="151" t="s">
        <v>1320</v>
      </c>
      <c r="E67" s="151" t="s">
        <v>1321</v>
      </c>
      <c r="F67" s="151" t="s">
        <v>219</v>
      </c>
      <c r="G67" s="151" t="s">
        <v>52</v>
      </c>
      <c r="H67" s="151" t="s">
        <v>52</v>
      </c>
      <c r="I67" s="151" t="s">
        <v>303</v>
      </c>
      <c r="J67" s="151" t="s">
        <v>1270</v>
      </c>
      <c r="K67" s="151" t="s">
        <v>77</v>
      </c>
      <c r="L67" s="151" t="s">
        <v>1255</v>
      </c>
      <c r="M67" s="152">
        <v>3.94</v>
      </c>
      <c r="N67" s="151" t="s">
        <v>1322</v>
      </c>
      <c r="O67" s="153">
        <v>0.01</v>
      </c>
      <c r="P67" s="153">
        <v>3.9140000000000001E-2</v>
      </c>
      <c r="Q67" s="151"/>
      <c r="R67" s="152">
        <v>170000</v>
      </c>
      <c r="S67" s="152">
        <v>1</v>
      </c>
      <c r="T67" s="152">
        <v>89.4</v>
      </c>
      <c r="U67" s="152">
        <v>151.97999999999999</v>
      </c>
      <c r="V67" s="151"/>
      <c r="W67" s="151"/>
      <c r="X67" s="153">
        <v>0</v>
      </c>
      <c r="Y67" s="153">
        <v>6.9419999999999996E-2</v>
      </c>
      <c r="Z67" s="154">
        <v>4.1090000000000002E-2</v>
      </c>
      <c r="AA67" s="176"/>
    </row>
    <row r="68" spans="1:27" x14ac:dyDescent="0.2">
      <c r="A68" s="150" t="s">
        <v>1264</v>
      </c>
      <c r="B68" s="151" t="s">
        <v>1265</v>
      </c>
      <c r="C68" s="151" t="s">
        <v>1267</v>
      </c>
      <c r="D68" s="151" t="s">
        <v>1279</v>
      </c>
      <c r="E68" s="151" t="s">
        <v>1280</v>
      </c>
      <c r="F68" s="151" t="s">
        <v>219</v>
      </c>
      <c r="G68" s="151" t="s">
        <v>52</v>
      </c>
      <c r="H68" s="151" t="s">
        <v>52</v>
      </c>
      <c r="I68" s="151" t="s">
        <v>303</v>
      </c>
      <c r="J68" s="151" t="s">
        <v>1270</v>
      </c>
      <c r="K68" s="151" t="s">
        <v>77</v>
      </c>
      <c r="L68" s="151" t="s">
        <v>1255</v>
      </c>
      <c r="M68" s="152">
        <v>11.23</v>
      </c>
      <c r="N68" s="151" t="s">
        <v>1281</v>
      </c>
      <c r="O68" s="153">
        <v>5.4850000000000003E-2</v>
      </c>
      <c r="P68" s="153">
        <v>4.2529999999999998E-2</v>
      </c>
      <c r="Q68" s="151"/>
      <c r="R68" s="152">
        <v>80300</v>
      </c>
      <c r="S68" s="152">
        <v>1</v>
      </c>
      <c r="T68" s="152">
        <v>115.07</v>
      </c>
      <c r="U68" s="152">
        <v>92.400999999999996</v>
      </c>
      <c r="V68" s="151"/>
      <c r="W68" s="151"/>
      <c r="X68" s="153">
        <v>0</v>
      </c>
      <c r="Y68" s="153">
        <v>4.2209999999999998E-2</v>
      </c>
      <c r="Z68" s="154">
        <v>2.4979999999999999E-2</v>
      </c>
      <c r="AA68" s="176"/>
    </row>
    <row r="69" spans="1:27" x14ac:dyDescent="0.2">
      <c r="A69" s="150" t="s">
        <v>1264</v>
      </c>
      <c r="B69" s="151" t="s">
        <v>1265</v>
      </c>
      <c r="C69" s="151" t="s">
        <v>1275</v>
      </c>
      <c r="D69" s="151" t="s">
        <v>1326</v>
      </c>
      <c r="E69" s="151" t="s">
        <v>1327</v>
      </c>
      <c r="F69" s="151" t="s">
        <v>217</v>
      </c>
      <c r="G69" s="151" t="s">
        <v>52</v>
      </c>
      <c r="H69" s="151" t="s">
        <v>52</v>
      </c>
      <c r="I69" s="151" t="s">
        <v>303</v>
      </c>
      <c r="J69" s="151" t="s">
        <v>1270</v>
      </c>
      <c r="K69" s="151" t="s">
        <v>77</v>
      </c>
      <c r="L69" s="151" t="s">
        <v>1255</v>
      </c>
      <c r="M69" s="152">
        <v>1.1599999999999999</v>
      </c>
      <c r="N69" s="151" t="s">
        <v>1328</v>
      </c>
      <c r="O69" s="153">
        <v>7.4999999999999997E-3</v>
      </c>
      <c r="P69" s="153">
        <v>1.0619999999999999E-2</v>
      </c>
      <c r="Q69" s="151"/>
      <c r="R69" s="152">
        <v>48200</v>
      </c>
      <c r="S69" s="152">
        <v>1</v>
      </c>
      <c r="T69" s="152">
        <v>119.45</v>
      </c>
      <c r="U69" s="152">
        <v>57.575000000000003</v>
      </c>
      <c r="V69" s="151"/>
      <c r="W69" s="151"/>
      <c r="X69" s="153">
        <v>0</v>
      </c>
      <c r="Y69" s="153">
        <v>2.63E-2</v>
      </c>
      <c r="Z69" s="154">
        <v>1.5570000000000001E-2</v>
      </c>
      <c r="AA69" s="176"/>
    </row>
    <row r="70" spans="1:27" x14ac:dyDescent="0.2">
      <c r="A70" s="150" t="s">
        <v>1264</v>
      </c>
      <c r="B70" s="151" t="s">
        <v>1265</v>
      </c>
      <c r="C70" s="151" t="s">
        <v>1267</v>
      </c>
      <c r="D70" s="151" t="s">
        <v>1329</v>
      </c>
      <c r="E70" s="151" t="s">
        <v>1330</v>
      </c>
      <c r="F70" s="151" t="s">
        <v>219</v>
      </c>
      <c r="G70" s="151" t="s">
        <v>52</v>
      </c>
      <c r="H70" s="151" t="s">
        <v>52</v>
      </c>
      <c r="I70" s="151" t="s">
        <v>303</v>
      </c>
      <c r="J70" s="151" t="s">
        <v>1270</v>
      </c>
      <c r="K70" s="151" t="s">
        <v>77</v>
      </c>
      <c r="L70" s="151" t="s">
        <v>1255</v>
      </c>
      <c r="M70" s="152">
        <v>10.06</v>
      </c>
      <c r="N70" s="151" t="s">
        <v>1331</v>
      </c>
      <c r="O70" s="153">
        <v>1.4959999999999999E-2</v>
      </c>
      <c r="P70" s="153">
        <v>4.1610000000000001E-2</v>
      </c>
      <c r="Q70" s="151"/>
      <c r="R70" s="152">
        <v>65000</v>
      </c>
      <c r="S70" s="152">
        <v>1</v>
      </c>
      <c r="T70" s="152">
        <v>77.84</v>
      </c>
      <c r="U70" s="152">
        <v>50.595999999999997</v>
      </c>
      <c r="V70" s="151"/>
      <c r="W70" s="151"/>
      <c r="X70" s="153">
        <v>0</v>
      </c>
      <c r="Y70" s="153">
        <v>2.3109999999999999E-2</v>
      </c>
      <c r="Z70" s="154">
        <v>1.3679999999999999E-2</v>
      </c>
      <c r="AA70" s="176"/>
    </row>
    <row r="71" spans="1:27" x14ac:dyDescent="0.2">
      <c r="A71" s="150" t="s">
        <v>1264</v>
      </c>
      <c r="B71" s="151" t="s">
        <v>1265</v>
      </c>
      <c r="C71" s="151" t="s">
        <v>1267</v>
      </c>
      <c r="D71" s="151" t="s">
        <v>1268</v>
      </c>
      <c r="E71" s="151" t="s">
        <v>1269</v>
      </c>
      <c r="F71" s="151" t="s">
        <v>219</v>
      </c>
      <c r="G71" s="151" t="s">
        <v>52</v>
      </c>
      <c r="H71" s="151" t="s">
        <v>52</v>
      </c>
      <c r="I71" s="151" t="s">
        <v>303</v>
      </c>
      <c r="J71" s="151" t="s">
        <v>1270</v>
      </c>
      <c r="K71" s="151" t="s">
        <v>77</v>
      </c>
      <c r="L71" s="151" t="s">
        <v>1255</v>
      </c>
      <c r="M71" s="152">
        <v>14.57</v>
      </c>
      <c r="N71" s="151" t="s">
        <v>1271</v>
      </c>
      <c r="O71" s="153">
        <v>3.7499999999999999E-2</v>
      </c>
      <c r="P71" s="153">
        <v>4.4119999999999999E-2</v>
      </c>
      <c r="Q71" s="151"/>
      <c r="R71" s="152">
        <v>8000</v>
      </c>
      <c r="S71" s="152">
        <v>1</v>
      </c>
      <c r="T71" s="152">
        <v>91.06</v>
      </c>
      <c r="U71" s="152">
        <v>7.2850000000000001</v>
      </c>
      <c r="V71" s="151"/>
      <c r="W71" s="151"/>
      <c r="X71" s="153">
        <v>0</v>
      </c>
      <c r="Y71" s="153">
        <v>3.3300000000000001E-3</v>
      </c>
      <c r="Z71" s="154">
        <v>1.97E-3</v>
      </c>
      <c r="AA71" s="176"/>
    </row>
    <row r="72" spans="1:27" x14ac:dyDescent="0.2">
      <c r="A72" s="150" t="s">
        <v>1264</v>
      </c>
      <c r="B72" s="151" t="s">
        <v>1265</v>
      </c>
      <c r="C72" s="151" t="s">
        <v>1298</v>
      </c>
      <c r="D72" s="151" t="s">
        <v>1335</v>
      </c>
      <c r="E72" s="151" t="s">
        <v>1336</v>
      </c>
      <c r="F72" s="151" t="s">
        <v>221</v>
      </c>
      <c r="G72" s="151" t="s">
        <v>60</v>
      </c>
      <c r="H72" s="151" t="s">
        <v>52</v>
      </c>
      <c r="I72" s="151" t="s">
        <v>463</v>
      </c>
      <c r="J72" s="151" t="s">
        <v>1301</v>
      </c>
      <c r="K72" s="151" t="s">
        <v>83</v>
      </c>
      <c r="L72" s="151" t="s">
        <v>1256</v>
      </c>
      <c r="M72" s="152">
        <v>2.4119999999999999</v>
      </c>
      <c r="N72" s="151" t="s">
        <v>1337</v>
      </c>
      <c r="O72" s="153">
        <v>7.2499999999999995E-2</v>
      </c>
      <c r="P72" s="153">
        <v>1.5599999999999999E-2</v>
      </c>
      <c r="Q72" s="151"/>
      <c r="R72" s="152">
        <v>32000</v>
      </c>
      <c r="S72" s="152">
        <v>3.165</v>
      </c>
      <c r="T72" s="152">
        <v>109.116</v>
      </c>
      <c r="U72" s="152">
        <v>110.512</v>
      </c>
      <c r="V72" s="151"/>
      <c r="W72" s="151"/>
      <c r="X72" s="153">
        <v>1.2999999999999999E-4</v>
      </c>
      <c r="Y72" s="153">
        <v>5.0479999999999997E-2</v>
      </c>
      <c r="Z72" s="154">
        <v>2.988E-2</v>
      </c>
      <c r="AA72" s="176"/>
    </row>
    <row r="73" spans="1:27" x14ac:dyDescent="0.2">
      <c r="A73" s="150" t="s">
        <v>1264</v>
      </c>
      <c r="B73" s="151" t="s">
        <v>1266</v>
      </c>
      <c r="C73" s="151" t="s">
        <v>1338</v>
      </c>
      <c r="D73" s="151" t="s">
        <v>1339</v>
      </c>
      <c r="E73" s="151" t="s">
        <v>1340</v>
      </c>
      <c r="F73" s="151" t="s">
        <v>219</v>
      </c>
      <c r="G73" s="151" t="s">
        <v>52</v>
      </c>
      <c r="H73" s="151" t="s">
        <v>52</v>
      </c>
      <c r="I73" s="151" t="s">
        <v>303</v>
      </c>
      <c r="J73" s="151" t="s">
        <v>1270</v>
      </c>
      <c r="K73" s="151" t="s">
        <v>77</v>
      </c>
      <c r="L73" s="151" t="s">
        <v>1255</v>
      </c>
      <c r="M73" s="152">
        <v>0.42</v>
      </c>
      <c r="N73" s="151" t="s">
        <v>1341</v>
      </c>
      <c r="O73" s="151" t="s">
        <v>1342</v>
      </c>
      <c r="P73" s="153">
        <v>3.8699999999999998E-2</v>
      </c>
      <c r="Q73" s="151"/>
      <c r="R73" s="152">
        <v>30800000</v>
      </c>
      <c r="S73" s="152">
        <v>1</v>
      </c>
      <c r="T73" s="152">
        <v>98.41</v>
      </c>
      <c r="U73" s="152">
        <v>30310.28</v>
      </c>
      <c r="V73" s="151"/>
      <c r="W73" s="151"/>
      <c r="X73" s="153">
        <v>1.7099999999999999E-3</v>
      </c>
      <c r="Y73" s="153">
        <v>0.11624</v>
      </c>
      <c r="Z73" s="154">
        <v>8.7529999999999997E-2</v>
      </c>
      <c r="AA73" s="176"/>
    </row>
    <row r="74" spans="1:27" x14ac:dyDescent="0.2">
      <c r="A74" s="150" t="s">
        <v>1264</v>
      </c>
      <c r="B74" s="151" t="s">
        <v>1266</v>
      </c>
      <c r="C74" s="151" t="s">
        <v>1267</v>
      </c>
      <c r="D74" s="151" t="s">
        <v>1332</v>
      </c>
      <c r="E74" s="151" t="s">
        <v>1333</v>
      </c>
      <c r="F74" s="151" t="s">
        <v>219</v>
      </c>
      <c r="G74" s="151" t="s">
        <v>52</v>
      </c>
      <c r="H74" s="151" t="s">
        <v>52</v>
      </c>
      <c r="I74" s="151" t="s">
        <v>303</v>
      </c>
      <c r="J74" s="151" t="s">
        <v>1270</v>
      </c>
      <c r="K74" s="151" t="s">
        <v>77</v>
      </c>
      <c r="L74" s="151" t="s">
        <v>1255</v>
      </c>
      <c r="M74" s="152">
        <v>2.4300000000000002</v>
      </c>
      <c r="N74" s="151" t="s">
        <v>1334</v>
      </c>
      <c r="O74" s="153">
        <v>2.2499999999999999E-2</v>
      </c>
      <c r="P74" s="153">
        <v>3.9149999999999997E-2</v>
      </c>
      <c r="Q74" s="151"/>
      <c r="R74" s="152">
        <v>26648000</v>
      </c>
      <c r="S74" s="152">
        <v>1</v>
      </c>
      <c r="T74" s="152">
        <v>97.23</v>
      </c>
      <c r="U74" s="152">
        <v>25909.85</v>
      </c>
      <c r="V74" s="151"/>
      <c r="W74" s="151"/>
      <c r="X74" s="153">
        <v>7.6999999999999996E-4</v>
      </c>
      <c r="Y74" s="153">
        <v>9.937E-2</v>
      </c>
      <c r="Z74" s="154">
        <v>7.4819999999999998E-2</v>
      </c>
      <c r="AA74" s="176"/>
    </row>
    <row r="75" spans="1:27" x14ac:dyDescent="0.2">
      <c r="A75" s="150" t="s">
        <v>1264</v>
      </c>
      <c r="B75" s="151" t="s">
        <v>1266</v>
      </c>
      <c r="C75" s="151" t="s">
        <v>1267</v>
      </c>
      <c r="D75" s="151" t="s">
        <v>1320</v>
      </c>
      <c r="E75" s="151" t="s">
        <v>1321</v>
      </c>
      <c r="F75" s="151" t="s">
        <v>219</v>
      </c>
      <c r="G75" s="151" t="s">
        <v>52</v>
      </c>
      <c r="H75" s="151" t="s">
        <v>52</v>
      </c>
      <c r="I75" s="151" t="s">
        <v>303</v>
      </c>
      <c r="J75" s="151" t="s">
        <v>1270</v>
      </c>
      <c r="K75" s="151" t="s">
        <v>77</v>
      </c>
      <c r="L75" s="151" t="s">
        <v>1255</v>
      </c>
      <c r="M75" s="152">
        <v>3.94</v>
      </c>
      <c r="N75" s="151" t="s">
        <v>1322</v>
      </c>
      <c r="O75" s="153">
        <v>0.01</v>
      </c>
      <c r="P75" s="153">
        <v>3.9140000000000001E-2</v>
      </c>
      <c r="Q75" s="151"/>
      <c r="R75" s="152">
        <v>28300000</v>
      </c>
      <c r="S75" s="152">
        <v>1</v>
      </c>
      <c r="T75" s="152">
        <v>89.4</v>
      </c>
      <c r="U75" s="152">
        <v>25300.2</v>
      </c>
      <c r="V75" s="151"/>
      <c r="W75" s="151"/>
      <c r="X75" s="153">
        <v>7.5000000000000002E-4</v>
      </c>
      <c r="Y75" s="153">
        <v>9.7030000000000005E-2</v>
      </c>
      <c r="Z75" s="154">
        <v>7.306E-2</v>
      </c>
      <c r="AA75" s="176"/>
    </row>
    <row r="76" spans="1:27" x14ac:dyDescent="0.2">
      <c r="A76" s="150" t="s">
        <v>1264</v>
      </c>
      <c r="B76" s="151" t="s">
        <v>1266</v>
      </c>
      <c r="C76" s="151" t="s">
        <v>1275</v>
      </c>
      <c r="D76" s="151" t="s">
        <v>1292</v>
      </c>
      <c r="E76" s="151" t="s">
        <v>1293</v>
      </c>
      <c r="F76" s="151" t="s">
        <v>217</v>
      </c>
      <c r="G76" s="151" t="s">
        <v>52</v>
      </c>
      <c r="H76" s="151" t="s">
        <v>52</v>
      </c>
      <c r="I76" s="151" t="s">
        <v>303</v>
      </c>
      <c r="J76" s="151" t="s">
        <v>1270</v>
      </c>
      <c r="K76" s="151" t="s">
        <v>77</v>
      </c>
      <c r="L76" s="151" t="s">
        <v>1255</v>
      </c>
      <c r="M76" s="152">
        <v>3.14</v>
      </c>
      <c r="N76" s="151" t="s">
        <v>1294</v>
      </c>
      <c r="O76" s="153">
        <v>5.0000000000000001E-3</v>
      </c>
      <c r="P76" s="153">
        <v>1.8239999999999999E-2</v>
      </c>
      <c r="Q76" s="151"/>
      <c r="R76" s="152">
        <v>21740000</v>
      </c>
      <c r="S76" s="152">
        <v>1</v>
      </c>
      <c r="T76" s="152">
        <v>113.68</v>
      </c>
      <c r="U76" s="152">
        <v>24714.031999999999</v>
      </c>
      <c r="V76" s="151"/>
      <c r="W76" s="151"/>
      <c r="X76" s="153">
        <v>7.2000000000000005E-4</v>
      </c>
      <c r="Y76" s="153">
        <v>9.4780000000000003E-2</v>
      </c>
      <c r="Z76" s="154">
        <v>7.1370000000000003E-2</v>
      </c>
      <c r="AA76" s="176"/>
    </row>
    <row r="77" spans="1:27" x14ac:dyDescent="0.2">
      <c r="A77" s="150" t="s">
        <v>1264</v>
      </c>
      <c r="B77" s="151" t="s">
        <v>1266</v>
      </c>
      <c r="C77" s="151" t="s">
        <v>1338</v>
      </c>
      <c r="D77" s="151" t="s">
        <v>1343</v>
      </c>
      <c r="E77" s="151" t="s">
        <v>1344</v>
      </c>
      <c r="F77" s="151" t="s">
        <v>219</v>
      </c>
      <c r="G77" s="151" t="s">
        <v>52</v>
      </c>
      <c r="H77" s="151" t="s">
        <v>52</v>
      </c>
      <c r="I77" s="151" t="s">
        <v>303</v>
      </c>
      <c r="J77" s="151" t="s">
        <v>1270</v>
      </c>
      <c r="K77" s="151" t="s">
        <v>77</v>
      </c>
      <c r="L77" s="151" t="s">
        <v>1255</v>
      </c>
      <c r="M77" s="152">
        <v>0.35</v>
      </c>
      <c r="N77" s="151" t="s">
        <v>1345</v>
      </c>
      <c r="O77" s="151" t="s">
        <v>1342</v>
      </c>
      <c r="P77" s="153">
        <v>3.8629999999999998E-2</v>
      </c>
      <c r="Q77" s="151"/>
      <c r="R77" s="152">
        <v>25000000</v>
      </c>
      <c r="S77" s="152">
        <v>1</v>
      </c>
      <c r="T77" s="152">
        <v>98.7</v>
      </c>
      <c r="U77" s="152">
        <v>24675</v>
      </c>
      <c r="V77" s="151"/>
      <c r="W77" s="151"/>
      <c r="X77" s="153">
        <v>1.39E-3</v>
      </c>
      <c r="Y77" s="153">
        <v>9.4630000000000006E-2</v>
      </c>
      <c r="Z77" s="154">
        <v>7.1260000000000004E-2</v>
      </c>
      <c r="AA77" s="176"/>
    </row>
    <row r="78" spans="1:27" x14ac:dyDescent="0.2">
      <c r="A78" s="150" t="s">
        <v>1264</v>
      </c>
      <c r="B78" s="151" t="s">
        <v>1266</v>
      </c>
      <c r="C78" s="151" t="s">
        <v>1275</v>
      </c>
      <c r="D78" s="151" t="s">
        <v>1276</v>
      </c>
      <c r="E78" s="151" t="s">
        <v>1277</v>
      </c>
      <c r="F78" s="151" t="s">
        <v>217</v>
      </c>
      <c r="G78" s="151" t="s">
        <v>52</v>
      </c>
      <c r="H78" s="151" t="s">
        <v>52</v>
      </c>
      <c r="I78" s="151" t="s">
        <v>303</v>
      </c>
      <c r="J78" s="151" t="s">
        <v>1270</v>
      </c>
      <c r="K78" s="151" t="s">
        <v>77</v>
      </c>
      <c r="L78" s="151" t="s">
        <v>1255</v>
      </c>
      <c r="M78" s="152">
        <v>5.65</v>
      </c>
      <c r="N78" s="151" t="s">
        <v>1278</v>
      </c>
      <c r="O78" s="153">
        <v>1E-3</v>
      </c>
      <c r="P78" s="153">
        <v>1.934E-2</v>
      </c>
      <c r="Q78" s="151"/>
      <c r="R78" s="152">
        <v>20840000</v>
      </c>
      <c r="S78" s="152">
        <v>1</v>
      </c>
      <c r="T78" s="152">
        <v>106.48</v>
      </c>
      <c r="U78" s="152">
        <v>22190.432000000001</v>
      </c>
      <c r="V78" s="151"/>
      <c r="W78" s="151"/>
      <c r="X78" s="153">
        <v>6.0999999999999997E-4</v>
      </c>
      <c r="Y78" s="153">
        <v>8.5099999999999995E-2</v>
      </c>
      <c r="Z78" s="154">
        <v>6.4079999999999998E-2</v>
      </c>
      <c r="AA78" s="176"/>
    </row>
    <row r="79" spans="1:27" x14ac:dyDescent="0.2">
      <c r="A79" s="150" t="s">
        <v>1264</v>
      </c>
      <c r="B79" s="151" t="s">
        <v>1266</v>
      </c>
      <c r="C79" s="151" t="s">
        <v>1267</v>
      </c>
      <c r="D79" s="151" t="s">
        <v>1272</v>
      </c>
      <c r="E79" s="151" t="s">
        <v>1273</v>
      </c>
      <c r="F79" s="151" t="s">
        <v>219</v>
      </c>
      <c r="G79" s="151" t="s">
        <v>52</v>
      </c>
      <c r="H79" s="151" t="s">
        <v>52</v>
      </c>
      <c r="I79" s="151" t="s">
        <v>303</v>
      </c>
      <c r="J79" s="151" t="s">
        <v>1270</v>
      </c>
      <c r="K79" s="151" t="s">
        <v>77</v>
      </c>
      <c r="L79" s="151" t="s">
        <v>1255</v>
      </c>
      <c r="M79" s="152">
        <v>7.73</v>
      </c>
      <c r="N79" s="151" t="s">
        <v>1274</v>
      </c>
      <c r="O79" s="153">
        <v>0.04</v>
      </c>
      <c r="P79" s="153">
        <v>4.0680000000000001E-2</v>
      </c>
      <c r="Q79" s="151"/>
      <c r="R79" s="152">
        <v>18914000</v>
      </c>
      <c r="S79" s="152">
        <v>1</v>
      </c>
      <c r="T79" s="152">
        <v>99.51</v>
      </c>
      <c r="U79" s="152">
        <v>18821.321</v>
      </c>
      <c r="V79" s="151"/>
      <c r="W79" s="151"/>
      <c r="X79" s="153">
        <v>4.8999999999999998E-4</v>
      </c>
      <c r="Y79" s="153">
        <v>7.2179999999999994E-2</v>
      </c>
      <c r="Z79" s="154">
        <v>5.4350000000000002E-2</v>
      </c>
      <c r="AA79" s="176"/>
    </row>
    <row r="80" spans="1:27" x14ac:dyDescent="0.2">
      <c r="A80" s="150" t="s">
        <v>1264</v>
      </c>
      <c r="B80" s="151" t="s">
        <v>1266</v>
      </c>
      <c r="C80" s="151" t="s">
        <v>1275</v>
      </c>
      <c r="D80" s="151" t="s">
        <v>1317</v>
      </c>
      <c r="E80" s="151" t="s">
        <v>1318</v>
      </c>
      <c r="F80" s="151" t="s">
        <v>217</v>
      </c>
      <c r="G80" s="151" t="s">
        <v>52</v>
      </c>
      <c r="H80" s="151" t="s">
        <v>52</v>
      </c>
      <c r="I80" s="151" t="s">
        <v>303</v>
      </c>
      <c r="J80" s="151" t="s">
        <v>1270</v>
      </c>
      <c r="K80" s="151" t="s">
        <v>77</v>
      </c>
      <c r="L80" s="151" t="s">
        <v>1255</v>
      </c>
      <c r="M80" s="152">
        <v>2.5499999999999998</v>
      </c>
      <c r="N80" s="151" t="s">
        <v>1319</v>
      </c>
      <c r="O80" s="153">
        <v>1.0999999999999999E-2</v>
      </c>
      <c r="P80" s="153">
        <v>1.779E-2</v>
      </c>
      <c r="Q80" s="151"/>
      <c r="R80" s="152">
        <v>17750000</v>
      </c>
      <c r="S80" s="152">
        <v>1</v>
      </c>
      <c r="T80" s="152">
        <v>105.35</v>
      </c>
      <c r="U80" s="152">
        <v>18699.625</v>
      </c>
      <c r="V80" s="151"/>
      <c r="W80" s="151"/>
      <c r="X80" s="153">
        <v>5.2999999999999998E-4</v>
      </c>
      <c r="Y80" s="153">
        <v>7.1709999999999996E-2</v>
      </c>
      <c r="Z80" s="154">
        <v>5.3999999999999999E-2</v>
      </c>
      <c r="AA80" s="176"/>
    </row>
    <row r="81" spans="1:27" x14ac:dyDescent="0.2">
      <c r="A81" s="150" t="s">
        <v>1264</v>
      </c>
      <c r="B81" s="151" t="s">
        <v>1266</v>
      </c>
      <c r="C81" s="151" t="s">
        <v>1275</v>
      </c>
      <c r="D81" s="151" t="s">
        <v>1326</v>
      </c>
      <c r="E81" s="151" t="s">
        <v>1327</v>
      </c>
      <c r="F81" s="151" t="s">
        <v>217</v>
      </c>
      <c r="G81" s="151" t="s">
        <v>52</v>
      </c>
      <c r="H81" s="151" t="s">
        <v>52</v>
      </c>
      <c r="I81" s="151" t="s">
        <v>303</v>
      </c>
      <c r="J81" s="151" t="s">
        <v>1270</v>
      </c>
      <c r="K81" s="151" t="s">
        <v>77</v>
      </c>
      <c r="L81" s="151" t="s">
        <v>1255</v>
      </c>
      <c r="M81" s="152">
        <v>1.1599999999999999</v>
      </c>
      <c r="N81" s="151" t="s">
        <v>1328</v>
      </c>
      <c r="O81" s="153">
        <v>7.4999999999999997E-3</v>
      </c>
      <c r="P81" s="153">
        <v>1.0619999999999999E-2</v>
      </c>
      <c r="Q81" s="151"/>
      <c r="R81" s="152">
        <v>12180000</v>
      </c>
      <c r="S81" s="152">
        <v>1</v>
      </c>
      <c r="T81" s="152">
        <v>119.45</v>
      </c>
      <c r="U81" s="152">
        <v>14549.01</v>
      </c>
      <c r="V81" s="151"/>
      <c r="W81" s="151"/>
      <c r="X81" s="153">
        <v>5.0000000000000001E-4</v>
      </c>
      <c r="Y81" s="153">
        <v>5.5800000000000002E-2</v>
      </c>
      <c r="Z81" s="154">
        <v>4.2020000000000002E-2</v>
      </c>
      <c r="AA81" s="176"/>
    </row>
    <row r="82" spans="1:27" x14ac:dyDescent="0.2">
      <c r="A82" s="150" t="s">
        <v>1264</v>
      </c>
      <c r="B82" s="151" t="s">
        <v>1266</v>
      </c>
      <c r="C82" s="151" t="s">
        <v>1267</v>
      </c>
      <c r="D82" s="151" t="s">
        <v>1323</v>
      </c>
      <c r="E82" s="151" t="s">
        <v>1324</v>
      </c>
      <c r="F82" s="151" t="s">
        <v>219</v>
      </c>
      <c r="G82" s="151" t="s">
        <v>52</v>
      </c>
      <c r="H82" s="151" t="s">
        <v>52</v>
      </c>
      <c r="I82" s="151" t="s">
        <v>303</v>
      </c>
      <c r="J82" s="151" t="s">
        <v>1270</v>
      </c>
      <c r="K82" s="151" t="s">
        <v>77</v>
      </c>
      <c r="L82" s="151" t="s">
        <v>1255</v>
      </c>
      <c r="M82" s="152">
        <v>5.79</v>
      </c>
      <c r="N82" s="151" t="s">
        <v>1325</v>
      </c>
      <c r="O82" s="153">
        <v>1.2999999999999999E-2</v>
      </c>
      <c r="P82" s="153">
        <v>3.9620000000000002E-2</v>
      </c>
      <c r="Q82" s="151"/>
      <c r="R82" s="152">
        <v>15952000</v>
      </c>
      <c r="S82" s="152">
        <v>1</v>
      </c>
      <c r="T82" s="152">
        <v>87.05</v>
      </c>
      <c r="U82" s="152">
        <v>13886.216</v>
      </c>
      <c r="V82" s="151"/>
      <c r="W82" s="151"/>
      <c r="X82" s="153">
        <v>3.8999999999999999E-4</v>
      </c>
      <c r="Y82" s="153">
        <v>5.3249999999999999E-2</v>
      </c>
      <c r="Z82" s="154">
        <v>4.0099999999999997E-2</v>
      </c>
      <c r="AA82" s="176"/>
    </row>
    <row r="83" spans="1:27" x14ac:dyDescent="0.2">
      <c r="A83" s="150" t="s">
        <v>1264</v>
      </c>
      <c r="B83" s="151" t="s">
        <v>1266</v>
      </c>
      <c r="C83" s="151" t="s">
        <v>1338</v>
      </c>
      <c r="D83" s="151" t="s">
        <v>1346</v>
      </c>
      <c r="E83" s="151" t="s">
        <v>1347</v>
      </c>
      <c r="F83" s="151" t="s">
        <v>219</v>
      </c>
      <c r="G83" s="151" t="s">
        <v>52</v>
      </c>
      <c r="H83" s="151" t="s">
        <v>52</v>
      </c>
      <c r="I83" s="151" t="s">
        <v>303</v>
      </c>
      <c r="J83" s="151" t="s">
        <v>1270</v>
      </c>
      <c r="K83" s="151" t="s">
        <v>77</v>
      </c>
      <c r="L83" s="151" t="s">
        <v>1255</v>
      </c>
      <c r="M83" s="152">
        <v>0.27</v>
      </c>
      <c r="N83" s="151" t="s">
        <v>1348</v>
      </c>
      <c r="O83" s="151" t="s">
        <v>1342</v>
      </c>
      <c r="P83" s="153">
        <v>3.8920000000000003E-2</v>
      </c>
      <c r="Q83" s="151"/>
      <c r="R83" s="152">
        <v>14000000</v>
      </c>
      <c r="S83" s="152">
        <v>1</v>
      </c>
      <c r="T83" s="152">
        <v>98.98</v>
      </c>
      <c r="U83" s="152">
        <v>13857.2</v>
      </c>
      <c r="V83" s="151"/>
      <c r="W83" s="151"/>
      <c r="X83" s="153">
        <v>7.7999999999999999E-4</v>
      </c>
      <c r="Y83" s="153">
        <v>5.314E-2</v>
      </c>
      <c r="Z83" s="154">
        <v>4.002E-2</v>
      </c>
      <c r="AA83" s="176"/>
    </row>
    <row r="84" spans="1:27" x14ac:dyDescent="0.2">
      <c r="A84" s="150" t="s">
        <v>1264</v>
      </c>
      <c r="B84" s="151" t="s">
        <v>1266</v>
      </c>
      <c r="C84" s="151" t="s">
        <v>1282</v>
      </c>
      <c r="D84" s="151" t="s">
        <v>1286</v>
      </c>
      <c r="E84" s="151" t="s">
        <v>1287</v>
      </c>
      <c r="F84" s="151" t="s">
        <v>217</v>
      </c>
      <c r="G84" s="151" t="s">
        <v>52</v>
      </c>
      <c r="H84" s="151" t="s">
        <v>52</v>
      </c>
      <c r="I84" s="151" t="s">
        <v>303</v>
      </c>
      <c r="J84" s="151" t="s">
        <v>1270</v>
      </c>
      <c r="K84" s="151" t="s">
        <v>77</v>
      </c>
      <c r="L84" s="151" t="s">
        <v>1255</v>
      </c>
      <c r="M84" s="152">
        <v>7.15</v>
      </c>
      <c r="N84" s="151" t="s">
        <v>1288</v>
      </c>
      <c r="O84" s="153">
        <v>1.6E-2</v>
      </c>
      <c r="P84" s="153">
        <v>2.0379999999999999E-2</v>
      </c>
      <c r="Q84" s="151"/>
      <c r="R84" s="152">
        <v>8200000</v>
      </c>
      <c r="S84" s="152">
        <v>1</v>
      </c>
      <c r="T84" s="152">
        <v>103.34</v>
      </c>
      <c r="U84" s="152">
        <v>8473.8799999999992</v>
      </c>
      <c r="V84" s="151"/>
      <c r="W84" s="151"/>
      <c r="X84" s="153">
        <v>2.5999999999999998E-4</v>
      </c>
      <c r="Y84" s="153">
        <v>3.2500000000000001E-2</v>
      </c>
      <c r="Z84" s="154">
        <v>2.4469999999999999E-2</v>
      </c>
      <c r="AA84" s="176"/>
    </row>
    <row r="85" spans="1:27" x14ac:dyDescent="0.2">
      <c r="A85" s="150" t="s">
        <v>1264</v>
      </c>
      <c r="B85" s="151" t="s">
        <v>1266</v>
      </c>
      <c r="C85" s="151" t="s">
        <v>1267</v>
      </c>
      <c r="D85" s="151" t="s">
        <v>1279</v>
      </c>
      <c r="E85" s="151" t="s">
        <v>1280</v>
      </c>
      <c r="F85" s="151" t="s">
        <v>219</v>
      </c>
      <c r="G85" s="151" t="s">
        <v>52</v>
      </c>
      <c r="H85" s="151" t="s">
        <v>52</v>
      </c>
      <c r="I85" s="151" t="s">
        <v>303</v>
      </c>
      <c r="J85" s="151" t="s">
        <v>1270</v>
      </c>
      <c r="K85" s="151" t="s">
        <v>77</v>
      </c>
      <c r="L85" s="151" t="s">
        <v>1255</v>
      </c>
      <c r="M85" s="152">
        <v>11.23</v>
      </c>
      <c r="N85" s="151" t="s">
        <v>1281</v>
      </c>
      <c r="O85" s="153">
        <v>5.4850000000000003E-2</v>
      </c>
      <c r="P85" s="153">
        <v>4.2529999999999998E-2</v>
      </c>
      <c r="Q85" s="151"/>
      <c r="R85" s="152">
        <v>6450000</v>
      </c>
      <c r="S85" s="152">
        <v>1</v>
      </c>
      <c r="T85" s="152">
        <v>115.07</v>
      </c>
      <c r="U85" s="152">
        <v>7422.0150000000003</v>
      </c>
      <c r="V85" s="151"/>
      <c r="W85" s="151"/>
      <c r="X85" s="153">
        <v>1.9000000000000001E-4</v>
      </c>
      <c r="Y85" s="153">
        <v>2.8459999999999999E-2</v>
      </c>
      <c r="Z85" s="154">
        <v>2.1430000000000001E-2</v>
      </c>
      <c r="AA85" s="176"/>
    </row>
    <row r="86" spans="1:27" x14ac:dyDescent="0.2">
      <c r="A86" s="150" t="s">
        <v>1264</v>
      </c>
      <c r="B86" s="151" t="s">
        <v>1266</v>
      </c>
      <c r="C86" s="151" t="s">
        <v>1267</v>
      </c>
      <c r="D86" s="151" t="s">
        <v>1349</v>
      </c>
      <c r="E86" s="151" t="s">
        <v>1350</v>
      </c>
      <c r="F86" s="151" t="s">
        <v>219</v>
      </c>
      <c r="G86" s="151" t="s">
        <v>52</v>
      </c>
      <c r="H86" s="151" t="s">
        <v>52</v>
      </c>
      <c r="I86" s="151" t="s">
        <v>303</v>
      </c>
      <c r="J86" s="151" t="s">
        <v>1270</v>
      </c>
      <c r="K86" s="151" t="s">
        <v>77</v>
      </c>
      <c r="L86" s="151" t="s">
        <v>1255</v>
      </c>
      <c r="M86" s="152">
        <v>1</v>
      </c>
      <c r="N86" s="151" t="s">
        <v>1351</v>
      </c>
      <c r="O86" s="153">
        <v>0.02</v>
      </c>
      <c r="P86" s="153">
        <v>3.764E-2</v>
      </c>
      <c r="Q86" s="151"/>
      <c r="R86" s="152">
        <v>6275000</v>
      </c>
      <c r="S86" s="152">
        <v>1</v>
      </c>
      <c r="T86" s="152">
        <v>98.31</v>
      </c>
      <c r="U86" s="152">
        <v>6168.9530000000004</v>
      </c>
      <c r="V86" s="151"/>
      <c r="W86" s="151"/>
      <c r="X86" s="153">
        <v>2.2000000000000001E-4</v>
      </c>
      <c r="Y86" s="153">
        <v>2.366E-2</v>
      </c>
      <c r="Z86" s="154">
        <v>1.7819999999999999E-2</v>
      </c>
      <c r="AA86" s="176"/>
    </row>
    <row r="87" spans="1:27" x14ac:dyDescent="0.2">
      <c r="A87" s="150" t="s">
        <v>1264</v>
      </c>
      <c r="B87" s="151" t="s">
        <v>1266</v>
      </c>
      <c r="C87" s="151" t="s">
        <v>1267</v>
      </c>
      <c r="D87" s="151" t="s">
        <v>1268</v>
      </c>
      <c r="E87" s="151" t="s">
        <v>1269</v>
      </c>
      <c r="F87" s="151" t="s">
        <v>219</v>
      </c>
      <c r="G87" s="151" t="s">
        <v>52</v>
      </c>
      <c r="H87" s="151" t="s">
        <v>52</v>
      </c>
      <c r="I87" s="151" t="s">
        <v>303</v>
      </c>
      <c r="J87" s="151" t="s">
        <v>1270</v>
      </c>
      <c r="K87" s="151" t="s">
        <v>77</v>
      </c>
      <c r="L87" s="151" t="s">
        <v>1255</v>
      </c>
      <c r="M87" s="152">
        <v>14.57</v>
      </c>
      <c r="N87" s="151" t="s">
        <v>1271</v>
      </c>
      <c r="O87" s="153">
        <v>3.7499999999999999E-2</v>
      </c>
      <c r="P87" s="153">
        <v>4.4119999999999999E-2</v>
      </c>
      <c r="Q87" s="151"/>
      <c r="R87" s="152">
        <v>2413703</v>
      </c>
      <c r="S87" s="152">
        <v>1</v>
      </c>
      <c r="T87" s="152">
        <v>91.06</v>
      </c>
      <c r="U87" s="152">
        <v>2197.9180000000001</v>
      </c>
      <c r="V87" s="151"/>
      <c r="W87" s="151"/>
      <c r="X87" s="153">
        <v>9.0000000000000006E-5</v>
      </c>
      <c r="Y87" s="153">
        <v>8.43E-3</v>
      </c>
      <c r="Z87" s="154">
        <v>6.3499999999999997E-3</v>
      </c>
      <c r="AA87" s="176"/>
    </row>
    <row r="88" spans="1:27" x14ac:dyDescent="0.2">
      <c r="A88" s="155" t="s">
        <v>1264</v>
      </c>
      <c r="B88" s="156" t="s">
        <v>1266</v>
      </c>
      <c r="C88" s="156" t="s">
        <v>1303</v>
      </c>
      <c r="D88" s="156" t="s">
        <v>1352</v>
      </c>
      <c r="E88" s="156" t="s">
        <v>1353</v>
      </c>
      <c r="F88" s="156" t="s">
        <v>221</v>
      </c>
      <c r="G88" s="156" t="s">
        <v>60</v>
      </c>
      <c r="H88" s="156" t="s">
        <v>306</v>
      </c>
      <c r="I88" s="156" t="s">
        <v>463</v>
      </c>
      <c r="J88" s="156" t="s">
        <v>1306</v>
      </c>
      <c r="K88" s="156" t="s">
        <v>83</v>
      </c>
      <c r="L88" s="156" t="s">
        <v>1256</v>
      </c>
      <c r="M88" s="157">
        <v>1.75</v>
      </c>
      <c r="N88" s="156" t="s">
        <v>1354</v>
      </c>
      <c r="O88" s="158">
        <v>3.5000000000000003E-2</v>
      </c>
      <c r="P88" s="158">
        <v>3.5249999999999997E-2</v>
      </c>
      <c r="Q88" s="156"/>
      <c r="R88" s="157">
        <v>1130000</v>
      </c>
      <c r="S88" s="157">
        <v>3.165</v>
      </c>
      <c r="T88" s="157">
        <v>100.023</v>
      </c>
      <c r="U88" s="157">
        <v>3577.2649999999999</v>
      </c>
      <c r="V88" s="156"/>
      <c r="W88" s="156"/>
      <c r="X88" s="158">
        <v>3.0000000000000001E-5</v>
      </c>
      <c r="Y88" s="158">
        <v>1.372E-2</v>
      </c>
      <c r="Z88" s="159">
        <v>1.0330000000000001E-2</v>
      </c>
      <c r="AA88" s="176"/>
    </row>
    <row r="89" spans="1:27" x14ac:dyDescent="0.2">
      <c r="A89" s="174" t="s">
        <v>2521</v>
      </c>
      <c r="B89" s="174"/>
      <c r="C89" s="174"/>
      <c r="D89" s="174"/>
      <c r="E89" s="174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</row>
    <row r="90" spans="1:27" x14ac:dyDescent="0.2">
      <c r="A90" t="s">
        <v>2520</v>
      </c>
    </row>
    <row r="91" spans="1:27" x14ac:dyDescent="0.2">
      <c r="A91" s="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  <pageSetup orientation="portrait"/>
    </customSheetView>
  </customSheetViews>
  <mergeCells count="2">
    <mergeCell ref="A89:Z89"/>
    <mergeCell ref="AA2:AA88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K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3" width="11.625" customWidth="1"/>
    <col min="14" max="14" width="15.125" customWidth="1"/>
    <col min="15" max="16" width="11.625" customWidth="1"/>
    <col min="17" max="17" width="19" customWidth="1"/>
    <col min="18" max="18" width="11.75" customWidth="1"/>
    <col min="19" max="22" width="11.625" customWidth="1"/>
    <col min="23" max="23" width="12.25" customWidth="1"/>
    <col min="24" max="24" width="11.875" customWidth="1"/>
    <col min="25" max="25" width="17.5" customWidth="1"/>
    <col min="26" max="26" width="14.875" customWidth="1"/>
    <col min="27" max="27" width="11.625" customWidth="1"/>
    <col min="28" max="28" width="12.875" customWidth="1"/>
    <col min="29" max="29" width="22.25" customWidth="1"/>
    <col min="30" max="30" width="17.875" customWidth="1"/>
    <col min="31" max="31" width="21.375" customWidth="1"/>
    <col min="32" max="32" width="24.625" customWidth="1"/>
    <col min="33" max="33" width="22" customWidth="1"/>
    <col min="34" max="34" width="19" customWidth="1"/>
    <col min="35" max="35" width="21.75" customWidth="1"/>
    <col min="36" max="36" width="20.125" customWidth="1"/>
    <col min="37" max="16384" width="11.625" hidden="1"/>
  </cols>
  <sheetData>
    <row r="1" spans="1:37" x14ac:dyDescent="0.2">
      <c r="A1" t="s">
        <v>2527</v>
      </c>
    </row>
    <row r="2" spans="1:37" s="4" customFormat="1" x14ac:dyDescent="0.2">
      <c r="A2" s="147" t="s">
        <v>636</v>
      </c>
      <c r="B2" s="148" t="s">
        <v>0</v>
      </c>
      <c r="C2" s="148" t="s">
        <v>703</v>
      </c>
      <c r="D2" s="148" t="s">
        <v>2</v>
      </c>
      <c r="E2" s="148" t="s">
        <v>719</v>
      </c>
      <c r="F2" s="148" t="s">
        <v>1097</v>
      </c>
      <c r="G2" s="148" t="s">
        <v>28</v>
      </c>
      <c r="H2" s="148" t="s">
        <v>27</v>
      </c>
      <c r="I2" s="148" t="s">
        <v>1</v>
      </c>
      <c r="J2" s="148" t="s">
        <v>591</v>
      </c>
      <c r="K2" s="148" t="s">
        <v>592</v>
      </c>
      <c r="L2" s="148" t="s">
        <v>4</v>
      </c>
      <c r="M2" s="148" t="s">
        <v>8</v>
      </c>
      <c r="N2" s="148" t="s">
        <v>593</v>
      </c>
      <c r="O2" s="148" t="s">
        <v>5</v>
      </c>
      <c r="P2" s="148" t="s">
        <v>7</v>
      </c>
      <c r="Q2" s="148" t="s">
        <v>1098</v>
      </c>
      <c r="R2" s="148" t="s">
        <v>387</v>
      </c>
      <c r="S2" s="148" t="s">
        <v>12</v>
      </c>
      <c r="T2" s="148" t="s">
        <v>301</v>
      </c>
      <c r="U2" s="148" t="s">
        <v>412</v>
      </c>
      <c r="V2" s="148" t="s">
        <v>13</v>
      </c>
      <c r="W2" s="148" t="s">
        <v>608</v>
      </c>
      <c r="X2" s="148" t="s">
        <v>884</v>
      </c>
      <c r="Y2" s="148" t="s">
        <v>654</v>
      </c>
      <c r="Z2" s="148" t="s">
        <v>747</v>
      </c>
      <c r="AA2" s="148" t="s">
        <v>10</v>
      </c>
      <c r="AB2" s="148" t="s">
        <v>14</v>
      </c>
      <c r="AC2" s="148" t="s">
        <v>895</v>
      </c>
      <c r="AD2" s="148" t="s">
        <v>1105</v>
      </c>
      <c r="AE2" s="148" t="s">
        <v>1106</v>
      </c>
      <c r="AF2" s="148" t="s">
        <v>760</v>
      </c>
      <c r="AG2" s="148" t="s">
        <v>25</v>
      </c>
      <c r="AH2" s="148" t="s">
        <v>17</v>
      </c>
      <c r="AI2" s="148" t="s">
        <v>18</v>
      </c>
      <c r="AJ2" s="149" t="s">
        <v>29</v>
      </c>
      <c r="AK2" s="176" t="s">
        <v>2522</v>
      </c>
    </row>
    <row r="3" spans="1:37" x14ac:dyDescent="0.2">
      <c r="A3" s="150" t="s">
        <v>1251</v>
      </c>
      <c r="B3" s="151" t="s">
        <v>1251</v>
      </c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60"/>
      <c r="AK3" s="176"/>
    </row>
    <row r="4" spans="1:37" x14ac:dyDescent="0.2">
      <c r="A4" s="150" t="s">
        <v>1251</v>
      </c>
      <c r="B4" s="151" t="s">
        <v>1262</v>
      </c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60"/>
      <c r="AK4" s="176"/>
    </row>
    <row r="5" spans="1:37" x14ac:dyDescent="0.2">
      <c r="A5" s="150" t="s">
        <v>1251</v>
      </c>
      <c r="B5" s="151" t="s">
        <v>1263</v>
      </c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60"/>
      <c r="AK5" s="176"/>
    </row>
    <row r="6" spans="1:37" x14ac:dyDescent="0.2">
      <c r="A6" s="150" t="s">
        <v>1264</v>
      </c>
      <c r="B6" s="151" t="s">
        <v>1264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60"/>
      <c r="AK6" s="176"/>
    </row>
    <row r="7" spans="1:37" x14ac:dyDescent="0.2">
      <c r="A7" s="150" t="s">
        <v>1264</v>
      </c>
      <c r="B7" s="151" t="s">
        <v>1265</v>
      </c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60"/>
      <c r="AK7" s="176"/>
    </row>
    <row r="8" spans="1:37" x14ac:dyDescent="0.2">
      <c r="A8" s="155" t="s">
        <v>1264</v>
      </c>
      <c r="B8" s="156" t="s">
        <v>1266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61"/>
      <c r="AK8" s="176"/>
    </row>
    <row r="9" spans="1:37" x14ac:dyDescent="0.2">
      <c r="A9" s="174" t="s">
        <v>2521</v>
      </c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  <c r="AC9" s="174"/>
      <c r="AD9" s="174"/>
      <c r="AE9" s="174"/>
      <c r="AF9" s="174"/>
      <c r="AG9" s="174"/>
      <c r="AH9" s="174"/>
      <c r="AI9" s="174"/>
      <c r="AJ9" s="174"/>
    </row>
    <row r="10" spans="1:37" x14ac:dyDescent="0.2">
      <c r="A10" t="s">
        <v>2520</v>
      </c>
    </row>
    <row r="11" spans="1:37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/>
    </customSheetView>
  </customSheetViews>
  <mergeCells count="2">
    <mergeCell ref="A9:AJ9"/>
    <mergeCell ref="AK2:AK8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19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4" width="11.625" customWidth="1"/>
    <col min="15" max="15" width="15.125" customWidth="1"/>
    <col min="16" max="17" width="11.625" customWidth="1"/>
    <col min="18" max="18" width="19" customWidth="1"/>
    <col min="19" max="19" width="11.75" customWidth="1"/>
    <col min="20" max="22" width="11.625" customWidth="1"/>
    <col min="23" max="23" width="12.25" customWidth="1"/>
    <col min="24" max="24" width="11.875" customWidth="1"/>
    <col min="25" max="25" width="17.5" customWidth="1"/>
    <col min="26" max="26" width="14.875" customWidth="1"/>
    <col min="27" max="27" width="11.625" customWidth="1"/>
    <col min="28" max="28" width="12.875" customWidth="1"/>
    <col min="29" max="29" width="22.25" customWidth="1"/>
    <col min="30" max="30" width="17.875" customWidth="1"/>
    <col min="31" max="31" width="21.375" customWidth="1"/>
    <col min="32" max="32" width="24.625" customWidth="1"/>
    <col min="33" max="33" width="22" customWidth="1"/>
    <col min="34" max="34" width="19" customWidth="1"/>
    <col min="35" max="35" width="21.75" customWidth="1"/>
    <col min="36" max="36" width="20.125" customWidth="1"/>
    <col min="37" max="16384" width="11.625" hidden="1"/>
  </cols>
  <sheetData>
    <row r="1" spans="1:37" x14ac:dyDescent="0.2">
      <c r="A1" t="s">
        <v>2528</v>
      </c>
    </row>
    <row r="2" spans="1:37" s="2" customFormat="1" x14ac:dyDescent="0.2">
      <c r="A2" s="147" t="s">
        <v>636</v>
      </c>
      <c r="B2" s="148" t="s">
        <v>0</v>
      </c>
      <c r="C2" s="148" t="s">
        <v>703</v>
      </c>
      <c r="D2" s="148" t="s">
        <v>2</v>
      </c>
      <c r="E2" s="148" t="s">
        <v>719</v>
      </c>
      <c r="F2" s="148" t="s">
        <v>1097</v>
      </c>
      <c r="G2" s="148" t="s">
        <v>28</v>
      </c>
      <c r="H2" s="148" t="s">
        <v>27</v>
      </c>
      <c r="I2" s="148" t="s">
        <v>1</v>
      </c>
      <c r="J2" s="148" t="s">
        <v>591</v>
      </c>
      <c r="K2" s="148" t="s">
        <v>592</v>
      </c>
      <c r="L2" s="148" t="s">
        <v>596</v>
      </c>
      <c r="M2" s="148" t="s">
        <v>4</v>
      </c>
      <c r="N2" s="148" t="s">
        <v>8</v>
      </c>
      <c r="O2" s="148" t="s">
        <v>593</v>
      </c>
      <c r="P2" s="148" t="s">
        <v>5</v>
      </c>
      <c r="Q2" s="148" t="s">
        <v>7</v>
      </c>
      <c r="R2" s="148" t="s">
        <v>1098</v>
      </c>
      <c r="S2" s="148" t="s">
        <v>387</v>
      </c>
      <c r="T2" s="148" t="s">
        <v>12</v>
      </c>
      <c r="U2" s="148" t="s">
        <v>412</v>
      </c>
      <c r="V2" s="148" t="s">
        <v>13</v>
      </c>
      <c r="W2" s="148" t="s">
        <v>608</v>
      </c>
      <c r="X2" s="148" t="s">
        <v>884</v>
      </c>
      <c r="Y2" s="148" t="s">
        <v>654</v>
      </c>
      <c r="Z2" s="148" t="s">
        <v>747</v>
      </c>
      <c r="AA2" s="148" t="s">
        <v>10</v>
      </c>
      <c r="AB2" s="148" t="s">
        <v>14</v>
      </c>
      <c r="AC2" s="148" t="s">
        <v>895</v>
      </c>
      <c r="AD2" s="148" t="s">
        <v>1105</v>
      </c>
      <c r="AE2" s="148" t="s">
        <v>1106</v>
      </c>
      <c r="AF2" s="148" t="s">
        <v>760</v>
      </c>
      <c r="AG2" s="148" t="s">
        <v>25</v>
      </c>
      <c r="AH2" s="148" t="s">
        <v>17</v>
      </c>
      <c r="AI2" s="148" t="s">
        <v>18</v>
      </c>
      <c r="AJ2" s="149" t="s">
        <v>29</v>
      </c>
      <c r="AK2" s="174" t="s">
        <v>2522</v>
      </c>
    </row>
    <row r="3" spans="1:37" x14ac:dyDescent="0.2">
      <c r="A3" s="150" t="s">
        <v>1251</v>
      </c>
      <c r="B3" s="151" t="s">
        <v>1251</v>
      </c>
      <c r="C3" s="151" t="s">
        <v>1355</v>
      </c>
      <c r="D3" s="151" t="s">
        <v>1356</v>
      </c>
      <c r="E3" s="151" t="s">
        <v>420</v>
      </c>
      <c r="F3" s="151" t="s">
        <v>1357</v>
      </c>
      <c r="G3" s="151" t="s">
        <v>1358</v>
      </c>
      <c r="H3" s="151" t="s">
        <v>75</v>
      </c>
      <c r="I3" s="151" t="s">
        <v>224</v>
      </c>
      <c r="J3" s="151" t="s">
        <v>52</v>
      </c>
      <c r="K3" s="151" t="s">
        <v>52</v>
      </c>
      <c r="L3" s="151" t="s">
        <v>775</v>
      </c>
      <c r="M3" s="151" t="s">
        <v>303</v>
      </c>
      <c r="N3" s="151" t="s">
        <v>138</v>
      </c>
      <c r="O3" s="151" t="s">
        <v>61</v>
      </c>
      <c r="P3" s="151" t="s">
        <v>1359</v>
      </c>
      <c r="Q3" s="151" t="s">
        <v>64</v>
      </c>
      <c r="R3" s="151" t="s">
        <v>56</v>
      </c>
      <c r="S3" s="151" t="s">
        <v>1255</v>
      </c>
      <c r="T3" s="152">
        <v>4.57</v>
      </c>
      <c r="U3" s="151" t="s">
        <v>1360</v>
      </c>
      <c r="V3" s="153">
        <v>5.74E-2</v>
      </c>
      <c r="W3" s="153">
        <v>5.1319999999999998E-2</v>
      </c>
      <c r="X3" s="151" t="s">
        <v>607</v>
      </c>
      <c r="Y3" s="151"/>
      <c r="Z3" s="152">
        <v>3654000</v>
      </c>
      <c r="AA3" s="152">
        <v>1</v>
      </c>
      <c r="AB3" s="152">
        <v>104.48</v>
      </c>
      <c r="AC3" s="151"/>
      <c r="AD3" s="152">
        <v>3817.6990000000001</v>
      </c>
      <c r="AE3" s="151"/>
      <c r="AF3" s="151"/>
      <c r="AG3" s="151"/>
      <c r="AH3" s="153">
        <v>5.0200000000000002E-3</v>
      </c>
      <c r="AI3" s="153">
        <v>3.5159999999999997E-2</v>
      </c>
      <c r="AJ3" s="154">
        <v>5.1999999999999998E-3</v>
      </c>
      <c r="AK3" s="174"/>
    </row>
    <row r="4" spans="1:37" x14ac:dyDescent="0.2">
      <c r="A4" s="150" t="s">
        <v>1251</v>
      </c>
      <c r="B4" s="151" t="s">
        <v>1251</v>
      </c>
      <c r="C4" s="151" t="s">
        <v>1361</v>
      </c>
      <c r="D4" s="151" t="s">
        <v>1362</v>
      </c>
      <c r="E4" s="151" t="s">
        <v>420</v>
      </c>
      <c r="F4" s="151" t="s">
        <v>1363</v>
      </c>
      <c r="G4" s="151" t="s">
        <v>1364</v>
      </c>
      <c r="H4" s="151" t="s">
        <v>75</v>
      </c>
      <c r="I4" s="151" t="s">
        <v>224</v>
      </c>
      <c r="J4" s="151" t="s">
        <v>52</v>
      </c>
      <c r="K4" s="151" t="s">
        <v>52</v>
      </c>
      <c r="L4" s="151" t="s">
        <v>775</v>
      </c>
      <c r="M4" s="151" t="s">
        <v>303</v>
      </c>
      <c r="N4" s="151" t="s">
        <v>620</v>
      </c>
      <c r="O4" s="151" t="s">
        <v>61</v>
      </c>
      <c r="P4" s="151" t="s">
        <v>1365</v>
      </c>
      <c r="Q4" s="151" t="s">
        <v>69</v>
      </c>
      <c r="R4" s="151" t="s">
        <v>56</v>
      </c>
      <c r="S4" s="151" t="s">
        <v>1255</v>
      </c>
      <c r="T4" s="152">
        <v>3.04</v>
      </c>
      <c r="U4" s="151" t="s">
        <v>1366</v>
      </c>
      <c r="V4" s="153">
        <v>2.41E-2</v>
      </c>
      <c r="W4" s="153">
        <v>4.8460000000000003E-2</v>
      </c>
      <c r="X4" s="151" t="s">
        <v>607</v>
      </c>
      <c r="Y4" s="151"/>
      <c r="Z4" s="152">
        <v>4078210.88</v>
      </c>
      <c r="AA4" s="152">
        <v>1</v>
      </c>
      <c r="AB4" s="152">
        <v>93.27</v>
      </c>
      <c r="AC4" s="151"/>
      <c r="AD4" s="152">
        <v>3803.7469999999998</v>
      </c>
      <c r="AE4" s="151"/>
      <c r="AF4" s="151"/>
      <c r="AG4" s="151"/>
      <c r="AH4" s="153">
        <v>1.98E-3</v>
      </c>
      <c r="AI4" s="153">
        <v>3.5029999999999999E-2</v>
      </c>
      <c r="AJ4" s="154">
        <v>5.1799999999999997E-3</v>
      </c>
      <c r="AK4" s="174"/>
    </row>
    <row r="5" spans="1:37" x14ac:dyDescent="0.2">
      <c r="A5" s="150" t="s">
        <v>1251</v>
      </c>
      <c r="B5" s="151" t="s">
        <v>1251</v>
      </c>
      <c r="C5" s="151" t="s">
        <v>1367</v>
      </c>
      <c r="D5" s="151" t="s">
        <v>1368</v>
      </c>
      <c r="E5" s="151" t="s">
        <v>420</v>
      </c>
      <c r="F5" s="151" t="s">
        <v>1369</v>
      </c>
      <c r="G5" s="151" t="s">
        <v>1370</v>
      </c>
      <c r="H5" s="151" t="s">
        <v>75</v>
      </c>
      <c r="I5" s="151" t="s">
        <v>225</v>
      </c>
      <c r="J5" s="151" t="s">
        <v>52</v>
      </c>
      <c r="K5" s="151" t="s">
        <v>52</v>
      </c>
      <c r="L5" s="151" t="s">
        <v>775</v>
      </c>
      <c r="M5" s="151" t="s">
        <v>303</v>
      </c>
      <c r="N5" s="151" t="s">
        <v>251</v>
      </c>
      <c r="O5" s="151" t="s">
        <v>61</v>
      </c>
      <c r="P5" s="151" t="s">
        <v>1371</v>
      </c>
      <c r="Q5" s="151" t="s">
        <v>64</v>
      </c>
      <c r="R5" s="151" t="s">
        <v>56</v>
      </c>
      <c r="S5" s="151" t="s">
        <v>1255</v>
      </c>
      <c r="T5" s="152">
        <v>4.63</v>
      </c>
      <c r="U5" s="151" t="s">
        <v>1366</v>
      </c>
      <c r="V5" s="153">
        <v>3.1E-2</v>
      </c>
      <c r="W5" s="153">
        <v>2.8160000000000001E-2</v>
      </c>
      <c r="X5" s="151" t="s">
        <v>607</v>
      </c>
      <c r="Y5" s="151"/>
      <c r="Z5" s="152">
        <v>3500000</v>
      </c>
      <c r="AA5" s="152">
        <v>1</v>
      </c>
      <c r="AB5" s="152">
        <v>104.13</v>
      </c>
      <c r="AC5" s="151"/>
      <c r="AD5" s="152">
        <v>3644.55</v>
      </c>
      <c r="AE5" s="151"/>
      <c r="AF5" s="151"/>
      <c r="AG5" s="151"/>
      <c r="AH5" s="153">
        <v>1.5399999999999999E-3</v>
      </c>
      <c r="AI5" s="153">
        <v>3.356E-2</v>
      </c>
      <c r="AJ5" s="154">
        <v>4.9699999999999996E-3</v>
      </c>
      <c r="AK5" s="174"/>
    </row>
    <row r="6" spans="1:37" x14ac:dyDescent="0.2">
      <c r="A6" s="150" t="s">
        <v>1251</v>
      </c>
      <c r="B6" s="151" t="s">
        <v>1251</v>
      </c>
      <c r="C6" s="151" t="s">
        <v>1361</v>
      </c>
      <c r="D6" s="151" t="s">
        <v>1362</v>
      </c>
      <c r="E6" s="151" t="s">
        <v>420</v>
      </c>
      <c r="F6" s="151" t="s">
        <v>1372</v>
      </c>
      <c r="G6" s="151" t="s">
        <v>1373</v>
      </c>
      <c r="H6" s="151" t="s">
        <v>75</v>
      </c>
      <c r="I6" s="151" t="s">
        <v>224</v>
      </c>
      <c r="J6" s="151" t="s">
        <v>52</v>
      </c>
      <c r="K6" s="151" t="s">
        <v>52</v>
      </c>
      <c r="L6" s="151" t="s">
        <v>775</v>
      </c>
      <c r="M6" s="151" t="s">
        <v>303</v>
      </c>
      <c r="N6" s="151" t="s">
        <v>620</v>
      </c>
      <c r="O6" s="151" t="s">
        <v>61</v>
      </c>
      <c r="P6" s="151" t="s">
        <v>1371</v>
      </c>
      <c r="Q6" s="151" t="s">
        <v>64</v>
      </c>
      <c r="R6" s="151" t="s">
        <v>56</v>
      </c>
      <c r="S6" s="151" t="s">
        <v>1255</v>
      </c>
      <c r="T6" s="152">
        <v>5.49</v>
      </c>
      <c r="U6" s="151" t="s">
        <v>1374</v>
      </c>
      <c r="V6" s="153">
        <v>4.9399999999999999E-2</v>
      </c>
      <c r="W6" s="153">
        <v>4.8329999999999998E-2</v>
      </c>
      <c r="X6" s="151" t="s">
        <v>607</v>
      </c>
      <c r="Y6" s="151"/>
      <c r="Z6" s="152">
        <v>3600000</v>
      </c>
      <c r="AA6" s="152">
        <v>1</v>
      </c>
      <c r="AB6" s="152">
        <v>100.97</v>
      </c>
      <c r="AC6" s="151"/>
      <c r="AD6" s="152">
        <v>3634.92</v>
      </c>
      <c r="AE6" s="151"/>
      <c r="AF6" s="151"/>
      <c r="AG6" s="151"/>
      <c r="AH6" s="153">
        <v>1.9300000000000001E-3</v>
      </c>
      <c r="AI6" s="153">
        <v>3.347E-2</v>
      </c>
      <c r="AJ6" s="154">
        <v>4.9500000000000004E-3</v>
      </c>
      <c r="AK6" s="174"/>
    </row>
    <row r="7" spans="1:37" x14ac:dyDescent="0.2">
      <c r="A7" s="150" t="s">
        <v>1251</v>
      </c>
      <c r="B7" s="151" t="s">
        <v>1251</v>
      </c>
      <c r="C7" s="151" t="s">
        <v>1375</v>
      </c>
      <c r="D7" s="151" t="s">
        <v>1376</v>
      </c>
      <c r="E7" s="151" t="s">
        <v>420</v>
      </c>
      <c r="F7" s="151" t="s">
        <v>1377</v>
      </c>
      <c r="G7" s="151" t="s">
        <v>1378</v>
      </c>
      <c r="H7" s="151" t="s">
        <v>75</v>
      </c>
      <c r="I7" s="151" t="s">
        <v>224</v>
      </c>
      <c r="J7" s="151" t="s">
        <v>52</v>
      </c>
      <c r="K7" s="151" t="s">
        <v>52</v>
      </c>
      <c r="L7" s="151" t="s">
        <v>775</v>
      </c>
      <c r="M7" s="151" t="s">
        <v>303</v>
      </c>
      <c r="N7" s="151" t="s">
        <v>616</v>
      </c>
      <c r="O7" s="151" t="s">
        <v>61</v>
      </c>
      <c r="P7" s="151" t="s">
        <v>1359</v>
      </c>
      <c r="Q7" s="151" t="s">
        <v>64</v>
      </c>
      <c r="R7" s="151" t="s">
        <v>56</v>
      </c>
      <c r="S7" s="151" t="s">
        <v>1255</v>
      </c>
      <c r="T7" s="152">
        <v>2.34</v>
      </c>
      <c r="U7" s="151" t="s">
        <v>1379</v>
      </c>
      <c r="V7" s="153">
        <v>1.4999999999999999E-2</v>
      </c>
      <c r="W7" s="153">
        <v>4.8599999999999997E-2</v>
      </c>
      <c r="X7" s="151" t="s">
        <v>607</v>
      </c>
      <c r="Y7" s="151"/>
      <c r="Z7" s="152">
        <v>3749999</v>
      </c>
      <c r="AA7" s="152">
        <v>1</v>
      </c>
      <c r="AB7" s="152">
        <v>92.72</v>
      </c>
      <c r="AC7" s="151"/>
      <c r="AD7" s="152">
        <v>3476.9989999999998</v>
      </c>
      <c r="AE7" s="151"/>
      <c r="AF7" s="151"/>
      <c r="AG7" s="151"/>
      <c r="AH7" s="153">
        <v>3.1900000000000001E-3</v>
      </c>
      <c r="AI7" s="153">
        <v>3.202E-2</v>
      </c>
      <c r="AJ7" s="154">
        <v>4.7400000000000003E-3</v>
      </c>
      <c r="AK7" s="174"/>
    </row>
    <row r="8" spans="1:37" x14ac:dyDescent="0.2">
      <c r="A8" s="150" t="s">
        <v>1251</v>
      </c>
      <c r="B8" s="151" t="s">
        <v>1251</v>
      </c>
      <c r="C8" s="151" t="s">
        <v>1380</v>
      </c>
      <c r="D8" s="151" t="s">
        <v>1381</v>
      </c>
      <c r="E8" s="151" t="s">
        <v>420</v>
      </c>
      <c r="F8" s="151" t="s">
        <v>1382</v>
      </c>
      <c r="G8" s="151" t="s">
        <v>1383</v>
      </c>
      <c r="H8" s="151" t="s">
        <v>75</v>
      </c>
      <c r="I8" s="151" t="s">
        <v>225</v>
      </c>
      <c r="J8" s="151" t="s">
        <v>52</v>
      </c>
      <c r="K8" s="151" t="s">
        <v>52</v>
      </c>
      <c r="L8" s="151" t="s">
        <v>775</v>
      </c>
      <c r="M8" s="151" t="s">
        <v>303</v>
      </c>
      <c r="N8" s="151" t="s">
        <v>620</v>
      </c>
      <c r="O8" s="151" t="s">
        <v>61</v>
      </c>
      <c r="P8" s="151" t="s">
        <v>1384</v>
      </c>
      <c r="Q8" s="151" t="s">
        <v>64</v>
      </c>
      <c r="R8" s="151" t="s">
        <v>56</v>
      </c>
      <c r="S8" s="151" t="s">
        <v>1255</v>
      </c>
      <c r="T8" s="152">
        <v>5.05</v>
      </c>
      <c r="U8" s="151" t="s">
        <v>1385</v>
      </c>
      <c r="V8" s="153">
        <v>3.61E-2</v>
      </c>
      <c r="W8" s="153">
        <v>2.8129999999999999E-2</v>
      </c>
      <c r="X8" s="151" t="s">
        <v>607</v>
      </c>
      <c r="Y8" s="151"/>
      <c r="Z8" s="152">
        <v>2988390.69</v>
      </c>
      <c r="AA8" s="152">
        <v>1</v>
      </c>
      <c r="AB8" s="152">
        <v>113.57</v>
      </c>
      <c r="AC8" s="151"/>
      <c r="AD8" s="152">
        <v>3393.915</v>
      </c>
      <c r="AE8" s="151"/>
      <c r="AF8" s="151"/>
      <c r="AG8" s="151"/>
      <c r="AH8" s="153">
        <v>1.2199999999999999E-3</v>
      </c>
      <c r="AI8" s="153">
        <v>3.1260000000000003E-2</v>
      </c>
      <c r="AJ8" s="154">
        <v>4.6299999999999996E-3</v>
      </c>
      <c r="AK8" s="174"/>
    </row>
    <row r="9" spans="1:37" x14ac:dyDescent="0.2">
      <c r="A9" s="150" t="s">
        <v>1251</v>
      </c>
      <c r="B9" s="151" t="s">
        <v>1251</v>
      </c>
      <c r="C9" s="151" t="s">
        <v>1386</v>
      </c>
      <c r="D9" s="151" t="s">
        <v>1387</v>
      </c>
      <c r="E9" s="151" t="s">
        <v>420</v>
      </c>
      <c r="F9" s="151" t="s">
        <v>1388</v>
      </c>
      <c r="G9" s="151" t="s">
        <v>1389</v>
      </c>
      <c r="H9" s="151" t="s">
        <v>75</v>
      </c>
      <c r="I9" s="151" t="s">
        <v>224</v>
      </c>
      <c r="J9" s="151" t="s">
        <v>52</v>
      </c>
      <c r="K9" s="151" t="s">
        <v>52</v>
      </c>
      <c r="L9" s="151" t="s">
        <v>775</v>
      </c>
      <c r="M9" s="151" t="s">
        <v>303</v>
      </c>
      <c r="N9" s="151" t="s">
        <v>154</v>
      </c>
      <c r="O9" s="151" t="s">
        <v>61</v>
      </c>
      <c r="P9" s="151" t="s">
        <v>1390</v>
      </c>
      <c r="Q9" s="151" t="s">
        <v>69</v>
      </c>
      <c r="R9" s="151" t="s">
        <v>56</v>
      </c>
      <c r="S9" s="151" t="s">
        <v>1255</v>
      </c>
      <c r="T9" s="152">
        <v>3.64</v>
      </c>
      <c r="U9" s="151" t="s">
        <v>1391</v>
      </c>
      <c r="V9" s="153">
        <v>6.7699999999999996E-2</v>
      </c>
      <c r="W9" s="153">
        <v>5.0389999999999997E-2</v>
      </c>
      <c r="X9" s="151" t="s">
        <v>607</v>
      </c>
      <c r="Y9" s="151"/>
      <c r="Z9" s="152">
        <v>2503000</v>
      </c>
      <c r="AA9" s="152">
        <v>1</v>
      </c>
      <c r="AB9" s="152">
        <v>108.24</v>
      </c>
      <c r="AC9" s="151"/>
      <c r="AD9" s="152">
        <v>2709.2469999999998</v>
      </c>
      <c r="AE9" s="151"/>
      <c r="AF9" s="151"/>
      <c r="AG9" s="151"/>
      <c r="AH9" s="153">
        <v>3.7100000000000002E-3</v>
      </c>
      <c r="AI9" s="153">
        <v>2.495E-2</v>
      </c>
      <c r="AJ9" s="154">
        <v>3.6900000000000001E-3</v>
      </c>
      <c r="AK9" s="174"/>
    </row>
    <row r="10" spans="1:37" x14ac:dyDescent="0.2">
      <c r="A10" s="150" t="s">
        <v>1251</v>
      </c>
      <c r="B10" s="151" t="s">
        <v>1251</v>
      </c>
      <c r="C10" s="151" t="s">
        <v>1392</v>
      </c>
      <c r="D10" s="151" t="s">
        <v>1393</v>
      </c>
      <c r="E10" s="151" t="s">
        <v>420</v>
      </c>
      <c r="F10" s="151" t="s">
        <v>1394</v>
      </c>
      <c r="G10" s="151" t="s">
        <v>1395</v>
      </c>
      <c r="H10" s="151" t="s">
        <v>75</v>
      </c>
      <c r="I10" s="151" t="s">
        <v>225</v>
      </c>
      <c r="J10" s="151" t="s">
        <v>52</v>
      </c>
      <c r="K10" s="151" t="s">
        <v>52</v>
      </c>
      <c r="L10" s="151" t="s">
        <v>775</v>
      </c>
      <c r="M10" s="151" t="s">
        <v>303</v>
      </c>
      <c r="N10" s="151" t="s">
        <v>620</v>
      </c>
      <c r="O10" s="151" t="s">
        <v>61</v>
      </c>
      <c r="P10" s="151" t="s">
        <v>1396</v>
      </c>
      <c r="Q10" s="151" t="s">
        <v>64</v>
      </c>
      <c r="R10" s="151" t="s">
        <v>56</v>
      </c>
      <c r="S10" s="151" t="s">
        <v>1255</v>
      </c>
      <c r="T10" s="152">
        <v>5.71</v>
      </c>
      <c r="U10" s="151" t="s">
        <v>1397</v>
      </c>
      <c r="V10" s="153">
        <v>8.9999999999999993E-3</v>
      </c>
      <c r="W10" s="153">
        <v>2.69E-2</v>
      </c>
      <c r="X10" s="151" t="s">
        <v>607</v>
      </c>
      <c r="Y10" s="151"/>
      <c r="Z10" s="152">
        <v>2339755.04</v>
      </c>
      <c r="AA10" s="152">
        <v>1</v>
      </c>
      <c r="AB10" s="152">
        <v>105.15</v>
      </c>
      <c r="AC10" s="151"/>
      <c r="AD10" s="152">
        <v>2460.252</v>
      </c>
      <c r="AE10" s="151"/>
      <c r="AF10" s="151"/>
      <c r="AG10" s="151"/>
      <c r="AH10" s="153">
        <v>8.7000000000000001E-4</v>
      </c>
      <c r="AI10" s="153">
        <v>2.266E-2</v>
      </c>
      <c r="AJ10" s="154">
        <v>3.3500000000000001E-3</v>
      </c>
      <c r="AK10" s="174"/>
    </row>
    <row r="11" spans="1:37" x14ac:dyDescent="0.2">
      <c r="A11" s="150" t="s">
        <v>1251</v>
      </c>
      <c r="B11" s="151" t="s">
        <v>1251</v>
      </c>
      <c r="C11" s="151" t="s">
        <v>1398</v>
      </c>
      <c r="D11" s="151" t="s">
        <v>1399</v>
      </c>
      <c r="E11" s="151" t="s">
        <v>420</v>
      </c>
      <c r="F11" s="151" t="s">
        <v>1400</v>
      </c>
      <c r="G11" s="151" t="s">
        <v>1401</v>
      </c>
      <c r="H11" s="151" t="s">
        <v>75</v>
      </c>
      <c r="I11" s="151" t="s">
        <v>225</v>
      </c>
      <c r="J11" s="151" t="s">
        <v>52</v>
      </c>
      <c r="K11" s="151" t="s">
        <v>52</v>
      </c>
      <c r="L11" s="151" t="s">
        <v>775</v>
      </c>
      <c r="M11" s="151" t="s">
        <v>303</v>
      </c>
      <c r="N11" s="151" t="s">
        <v>1211</v>
      </c>
      <c r="O11" s="151" t="s">
        <v>61</v>
      </c>
      <c r="P11" s="151" t="s">
        <v>1384</v>
      </c>
      <c r="Q11" s="151" t="s">
        <v>64</v>
      </c>
      <c r="R11" s="151" t="s">
        <v>56</v>
      </c>
      <c r="S11" s="151" t="s">
        <v>1255</v>
      </c>
      <c r="T11" s="152">
        <v>2.84</v>
      </c>
      <c r="U11" s="151" t="s">
        <v>1402</v>
      </c>
      <c r="V11" s="153">
        <v>2.1999999999999999E-2</v>
      </c>
      <c r="W11" s="153">
        <v>2.6550000000000001E-2</v>
      </c>
      <c r="X11" s="151" t="s">
        <v>607</v>
      </c>
      <c r="Y11" s="151"/>
      <c r="Z11" s="152">
        <v>2217858.69</v>
      </c>
      <c r="AA11" s="152">
        <v>1</v>
      </c>
      <c r="AB11" s="152">
        <v>107.75</v>
      </c>
      <c r="AC11" s="151"/>
      <c r="AD11" s="152">
        <v>2389.7429999999999</v>
      </c>
      <c r="AE11" s="151"/>
      <c r="AF11" s="151"/>
      <c r="AG11" s="151"/>
      <c r="AH11" s="153">
        <v>2.1700000000000001E-3</v>
      </c>
      <c r="AI11" s="153">
        <v>2.2009999999999998E-2</v>
      </c>
      <c r="AJ11" s="154">
        <v>3.2599999999999999E-3</v>
      </c>
      <c r="AK11" s="174"/>
    </row>
    <row r="12" spans="1:37" x14ac:dyDescent="0.2">
      <c r="A12" s="150" t="s">
        <v>1251</v>
      </c>
      <c r="B12" s="151" t="s">
        <v>1251</v>
      </c>
      <c r="C12" s="151" t="s">
        <v>1403</v>
      </c>
      <c r="D12" s="151" t="s">
        <v>1404</v>
      </c>
      <c r="E12" s="151" t="s">
        <v>420</v>
      </c>
      <c r="F12" s="151" t="s">
        <v>1405</v>
      </c>
      <c r="G12" s="151" t="s">
        <v>1406</v>
      </c>
      <c r="H12" s="151" t="s">
        <v>75</v>
      </c>
      <c r="I12" s="151" t="s">
        <v>225</v>
      </c>
      <c r="J12" s="151" t="s">
        <v>52</v>
      </c>
      <c r="K12" s="151" t="s">
        <v>52</v>
      </c>
      <c r="L12" s="151" t="s">
        <v>775</v>
      </c>
      <c r="M12" s="151" t="s">
        <v>303</v>
      </c>
      <c r="N12" s="151" t="s">
        <v>618</v>
      </c>
      <c r="O12" s="151" t="s">
        <v>61</v>
      </c>
      <c r="P12" s="151" t="s">
        <v>1407</v>
      </c>
      <c r="Q12" s="151" t="s">
        <v>69</v>
      </c>
      <c r="R12" s="151" t="s">
        <v>56</v>
      </c>
      <c r="S12" s="151" t="s">
        <v>1255</v>
      </c>
      <c r="T12" s="152">
        <v>2.58</v>
      </c>
      <c r="U12" s="151" t="s">
        <v>1408</v>
      </c>
      <c r="V12" s="153">
        <v>0.01</v>
      </c>
      <c r="W12" s="153">
        <v>2.8500000000000001E-2</v>
      </c>
      <c r="X12" s="151" t="s">
        <v>607</v>
      </c>
      <c r="Y12" s="151"/>
      <c r="Z12" s="152">
        <v>2076195.46</v>
      </c>
      <c r="AA12" s="152">
        <v>1</v>
      </c>
      <c r="AB12" s="152">
        <v>109.85</v>
      </c>
      <c r="AC12" s="151"/>
      <c r="AD12" s="152">
        <v>2280.701</v>
      </c>
      <c r="AE12" s="151"/>
      <c r="AF12" s="151"/>
      <c r="AG12" s="151"/>
      <c r="AH12" s="153">
        <v>1.23E-3</v>
      </c>
      <c r="AI12" s="153">
        <v>2.1000000000000001E-2</v>
      </c>
      <c r="AJ12" s="154">
        <v>3.1099999999999999E-3</v>
      </c>
      <c r="AK12" s="174"/>
    </row>
    <row r="13" spans="1:37" x14ac:dyDescent="0.2">
      <c r="A13" s="150" t="s">
        <v>1251</v>
      </c>
      <c r="B13" s="151" t="s">
        <v>1251</v>
      </c>
      <c r="C13" s="151" t="s">
        <v>1367</v>
      </c>
      <c r="D13" s="151" t="s">
        <v>1368</v>
      </c>
      <c r="E13" s="151" t="s">
        <v>420</v>
      </c>
      <c r="F13" s="151" t="s">
        <v>1409</v>
      </c>
      <c r="G13" s="151" t="s">
        <v>1410</v>
      </c>
      <c r="H13" s="151" t="s">
        <v>75</v>
      </c>
      <c r="I13" s="151" t="s">
        <v>224</v>
      </c>
      <c r="J13" s="151" t="s">
        <v>52</v>
      </c>
      <c r="K13" s="151" t="s">
        <v>52</v>
      </c>
      <c r="L13" s="151" t="s">
        <v>775</v>
      </c>
      <c r="M13" s="151" t="s">
        <v>303</v>
      </c>
      <c r="N13" s="151" t="s">
        <v>251</v>
      </c>
      <c r="O13" s="151" t="s">
        <v>61</v>
      </c>
      <c r="P13" s="151" t="s">
        <v>1254</v>
      </c>
      <c r="Q13" s="151" t="s">
        <v>69</v>
      </c>
      <c r="R13" s="151" t="s">
        <v>56</v>
      </c>
      <c r="S13" s="151" t="s">
        <v>1255</v>
      </c>
      <c r="T13" s="152">
        <v>5.28</v>
      </c>
      <c r="U13" s="151" t="s">
        <v>1411</v>
      </c>
      <c r="V13" s="153">
        <v>4.5900000000000003E-2</v>
      </c>
      <c r="W13" s="153">
        <v>4.4470000000000003E-2</v>
      </c>
      <c r="X13" s="151" t="s">
        <v>607</v>
      </c>
      <c r="Y13" s="151"/>
      <c r="Z13" s="152">
        <v>2100000</v>
      </c>
      <c r="AA13" s="152">
        <v>1</v>
      </c>
      <c r="AB13" s="152">
        <v>103.3</v>
      </c>
      <c r="AC13" s="151"/>
      <c r="AD13" s="152">
        <v>2169.3000000000002</v>
      </c>
      <c r="AE13" s="151"/>
      <c r="AF13" s="151"/>
      <c r="AG13" s="151"/>
      <c r="AH13" s="153">
        <v>4.8000000000000001E-4</v>
      </c>
      <c r="AI13" s="153">
        <v>1.9980000000000001E-2</v>
      </c>
      <c r="AJ13" s="154">
        <v>2.96E-3</v>
      </c>
      <c r="AK13" s="174"/>
    </row>
    <row r="14" spans="1:37" x14ac:dyDescent="0.2">
      <c r="A14" s="150" t="s">
        <v>1251</v>
      </c>
      <c r="B14" s="151" t="s">
        <v>1251</v>
      </c>
      <c r="C14" s="151" t="s">
        <v>1367</v>
      </c>
      <c r="D14" s="151" t="s">
        <v>1368</v>
      </c>
      <c r="E14" s="151" t="s">
        <v>420</v>
      </c>
      <c r="F14" s="151" t="s">
        <v>1412</v>
      </c>
      <c r="G14" s="151" t="s">
        <v>1413</v>
      </c>
      <c r="H14" s="151" t="s">
        <v>75</v>
      </c>
      <c r="I14" s="151" t="s">
        <v>225</v>
      </c>
      <c r="J14" s="151" t="s">
        <v>52</v>
      </c>
      <c r="K14" s="151" t="s">
        <v>52</v>
      </c>
      <c r="L14" s="151" t="s">
        <v>775</v>
      </c>
      <c r="M14" s="151" t="s">
        <v>303</v>
      </c>
      <c r="N14" s="151" t="s">
        <v>251</v>
      </c>
      <c r="O14" s="151" t="s">
        <v>61</v>
      </c>
      <c r="P14" s="151" t="s">
        <v>1254</v>
      </c>
      <c r="Q14" s="151" t="s">
        <v>69</v>
      </c>
      <c r="R14" s="151" t="s">
        <v>56</v>
      </c>
      <c r="S14" s="151" t="s">
        <v>1255</v>
      </c>
      <c r="T14" s="152">
        <v>6.21</v>
      </c>
      <c r="U14" s="151" t="s">
        <v>1414</v>
      </c>
      <c r="V14" s="153">
        <v>2.5999999999999999E-2</v>
      </c>
      <c r="W14" s="153">
        <v>2.5000000000000001E-2</v>
      </c>
      <c r="X14" s="151" t="s">
        <v>607</v>
      </c>
      <c r="Y14" s="151"/>
      <c r="Z14" s="152">
        <v>2100000</v>
      </c>
      <c r="AA14" s="152">
        <v>1</v>
      </c>
      <c r="AB14" s="152">
        <v>102.06</v>
      </c>
      <c r="AC14" s="151"/>
      <c r="AD14" s="152">
        <v>2143.2600000000002</v>
      </c>
      <c r="AE14" s="151"/>
      <c r="AF14" s="151"/>
      <c r="AG14" s="151"/>
      <c r="AH14" s="153">
        <v>1.14E-3</v>
      </c>
      <c r="AI14" s="153">
        <v>1.9740000000000001E-2</v>
      </c>
      <c r="AJ14" s="154">
        <v>2.9199999999999999E-3</v>
      </c>
      <c r="AK14" s="174"/>
    </row>
    <row r="15" spans="1:37" x14ac:dyDescent="0.2">
      <c r="A15" s="150" t="s">
        <v>1251</v>
      </c>
      <c r="B15" s="151" t="s">
        <v>1251</v>
      </c>
      <c r="C15" s="151" t="s">
        <v>1415</v>
      </c>
      <c r="D15" s="151" t="s">
        <v>1416</v>
      </c>
      <c r="E15" s="151" t="s">
        <v>420</v>
      </c>
      <c r="F15" s="151" t="s">
        <v>1417</v>
      </c>
      <c r="G15" s="151" t="s">
        <v>1418</v>
      </c>
      <c r="H15" s="151" t="s">
        <v>75</v>
      </c>
      <c r="I15" s="151" t="s">
        <v>225</v>
      </c>
      <c r="J15" s="151" t="s">
        <v>52</v>
      </c>
      <c r="K15" s="151" t="s">
        <v>52</v>
      </c>
      <c r="L15" s="151" t="s">
        <v>775</v>
      </c>
      <c r="M15" s="151" t="s">
        <v>303</v>
      </c>
      <c r="N15" s="151" t="s">
        <v>251</v>
      </c>
      <c r="O15" s="151" t="s">
        <v>61</v>
      </c>
      <c r="P15" s="151" t="s">
        <v>1419</v>
      </c>
      <c r="Q15" s="151" t="s">
        <v>64</v>
      </c>
      <c r="R15" s="151" t="s">
        <v>56</v>
      </c>
      <c r="S15" s="151" t="s">
        <v>1255</v>
      </c>
      <c r="T15" s="152">
        <v>4.5</v>
      </c>
      <c r="U15" s="151" t="s">
        <v>1420</v>
      </c>
      <c r="V15" s="153">
        <v>2.6100000000000002E-2</v>
      </c>
      <c r="W15" s="153">
        <v>2.5239999999999999E-2</v>
      </c>
      <c r="X15" s="151" t="s">
        <v>607</v>
      </c>
      <c r="Y15" s="151"/>
      <c r="Z15" s="152">
        <v>2100000</v>
      </c>
      <c r="AA15" s="152">
        <v>1</v>
      </c>
      <c r="AB15" s="152">
        <v>101.96</v>
      </c>
      <c r="AC15" s="151"/>
      <c r="AD15" s="152">
        <v>2141.16</v>
      </c>
      <c r="AE15" s="151"/>
      <c r="AF15" s="151"/>
      <c r="AG15" s="151"/>
      <c r="AH15" s="153">
        <v>6.0999999999999997E-4</v>
      </c>
      <c r="AI15" s="153">
        <v>1.9720000000000001E-2</v>
      </c>
      <c r="AJ15" s="154">
        <v>2.9199999999999999E-3</v>
      </c>
      <c r="AK15" s="174"/>
    </row>
    <row r="16" spans="1:37" x14ac:dyDescent="0.2">
      <c r="A16" s="150" t="s">
        <v>1251</v>
      </c>
      <c r="B16" s="151" t="s">
        <v>1251</v>
      </c>
      <c r="C16" s="151" t="s">
        <v>1415</v>
      </c>
      <c r="D16" s="151" t="s">
        <v>1416</v>
      </c>
      <c r="E16" s="151" t="s">
        <v>420</v>
      </c>
      <c r="F16" s="151" t="s">
        <v>1421</v>
      </c>
      <c r="G16" s="151" t="s">
        <v>1422</v>
      </c>
      <c r="H16" s="151" t="s">
        <v>75</v>
      </c>
      <c r="I16" s="151" t="s">
        <v>225</v>
      </c>
      <c r="J16" s="151" t="s">
        <v>52</v>
      </c>
      <c r="K16" s="151" t="s">
        <v>52</v>
      </c>
      <c r="L16" s="151" t="s">
        <v>775</v>
      </c>
      <c r="M16" s="151" t="s">
        <v>303</v>
      </c>
      <c r="N16" s="151" t="s">
        <v>251</v>
      </c>
      <c r="O16" s="151" t="s">
        <v>61</v>
      </c>
      <c r="P16" s="151" t="s">
        <v>1371</v>
      </c>
      <c r="Q16" s="151" t="s">
        <v>64</v>
      </c>
      <c r="R16" s="151" t="s">
        <v>56</v>
      </c>
      <c r="S16" s="151" t="s">
        <v>1255</v>
      </c>
      <c r="T16" s="152">
        <v>6.02</v>
      </c>
      <c r="U16" s="151" t="s">
        <v>1423</v>
      </c>
      <c r="V16" s="153">
        <v>3.4500000000000003E-2</v>
      </c>
      <c r="W16" s="153">
        <v>2.7969999999999998E-2</v>
      </c>
      <c r="X16" s="151" t="s">
        <v>607</v>
      </c>
      <c r="Y16" s="151"/>
      <c r="Z16" s="152">
        <v>2000000</v>
      </c>
      <c r="AA16" s="152">
        <v>1</v>
      </c>
      <c r="AB16" s="152">
        <v>107.05</v>
      </c>
      <c r="AC16" s="151"/>
      <c r="AD16" s="152">
        <v>2141</v>
      </c>
      <c r="AE16" s="151"/>
      <c r="AF16" s="151"/>
      <c r="AG16" s="151"/>
      <c r="AH16" s="153">
        <v>1.3600000000000001E-3</v>
      </c>
      <c r="AI16" s="153">
        <v>1.9720000000000001E-2</v>
      </c>
      <c r="AJ16" s="154">
        <v>2.9199999999999999E-3</v>
      </c>
      <c r="AK16" s="174"/>
    </row>
    <row r="17" spans="1:37" x14ac:dyDescent="0.2">
      <c r="A17" s="150" t="s">
        <v>1251</v>
      </c>
      <c r="B17" s="151" t="s">
        <v>1251</v>
      </c>
      <c r="C17" s="151" t="s">
        <v>1424</v>
      </c>
      <c r="D17" s="151" t="s">
        <v>1425</v>
      </c>
      <c r="E17" s="151" t="s">
        <v>420</v>
      </c>
      <c r="F17" s="151" t="s">
        <v>1426</v>
      </c>
      <c r="G17" s="151" t="s">
        <v>1427</v>
      </c>
      <c r="H17" s="151" t="s">
        <v>75</v>
      </c>
      <c r="I17" s="151" t="s">
        <v>225</v>
      </c>
      <c r="J17" s="151" t="s">
        <v>52</v>
      </c>
      <c r="K17" s="151" t="s">
        <v>52</v>
      </c>
      <c r="L17" s="151" t="s">
        <v>775</v>
      </c>
      <c r="M17" s="151" t="s">
        <v>303</v>
      </c>
      <c r="N17" s="151" t="s">
        <v>620</v>
      </c>
      <c r="O17" s="151" t="s">
        <v>61</v>
      </c>
      <c r="P17" s="151" t="s">
        <v>1384</v>
      </c>
      <c r="Q17" s="151" t="s">
        <v>64</v>
      </c>
      <c r="R17" s="151" t="s">
        <v>56</v>
      </c>
      <c r="S17" s="151" t="s">
        <v>1255</v>
      </c>
      <c r="T17" s="152">
        <v>2.83</v>
      </c>
      <c r="U17" s="151" t="s">
        <v>1428</v>
      </c>
      <c r="V17" s="153">
        <v>3.5000000000000003E-2</v>
      </c>
      <c r="W17" s="153">
        <v>2.5829999999999999E-2</v>
      </c>
      <c r="X17" s="151" t="s">
        <v>607</v>
      </c>
      <c r="Y17" s="151"/>
      <c r="Z17" s="152">
        <v>1716412.61</v>
      </c>
      <c r="AA17" s="152">
        <v>1</v>
      </c>
      <c r="AB17" s="152">
        <v>123</v>
      </c>
      <c r="AC17" s="151"/>
      <c r="AD17" s="152">
        <v>2111.1880000000001</v>
      </c>
      <c r="AE17" s="151"/>
      <c r="AF17" s="151"/>
      <c r="AG17" s="151"/>
      <c r="AH17" s="153">
        <v>2.5400000000000002E-3</v>
      </c>
      <c r="AI17" s="153">
        <v>1.9439999999999999E-2</v>
      </c>
      <c r="AJ17" s="154">
        <v>2.8800000000000002E-3</v>
      </c>
      <c r="AK17" s="174"/>
    </row>
    <row r="18" spans="1:37" x14ac:dyDescent="0.2">
      <c r="A18" s="150" t="s">
        <v>1251</v>
      </c>
      <c r="B18" s="151" t="s">
        <v>1251</v>
      </c>
      <c r="C18" s="151" t="s">
        <v>1429</v>
      </c>
      <c r="D18" s="151" t="s">
        <v>1430</v>
      </c>
      <c r="E18" s="151" t="s">
        <v>420</v>
      </c>
      <c r="F18" s="151" t="s">
        <v>1431</v>
      </c>
      <c r="G18" s="151" t="s">
        <v>1432</v>
      </c>
      <c r="H18" s="151" t="s">
        <v>75</v>
      </c>
      <c r="I18" s="151" t="s">
        <v>224</v>
      </c>
      <c r="J18" s="151" t="s">
        <v>52</v>
      </c>
      <c r="K18" s="151" t="s">
        <v>52</v>
      </c>
      <c r="L18" s="151" t="s">
        <v>775</v>
      </c>
      <c r="M18" s="151" t="s">
        <v>303</v>
      </c>
      <c r="N18" s="151" t="s">
        <v>262</v>
      </c>
      <c r="O18" s="151" t="s">
        <v>61</v>
      </c>
      <c r="P18" s="151" t="s">
        <v>1384</v>
      </c>
      <c r="Q18" s="151" t="s">
        <v>64</v>
      </c>
      <c r="R18" s="151" t="s">
        <v>56</v>
      </c>
      <c r="S18" s="151" t="s">
        <v>1255</v>
      </c>
      <c r="T18" s="152">
        <v>3.47</v>
      </c>
      <c r="U18" s="151" t="s">
        <v>1433</v>
      </c>
      <c r="V18" s="153">
        <v>4.3799999999999999E-2</v>
      </c>
      <c r="W18" s="153">
        <v>4.4150000000000002E-2</v>
      </c>
      <c r="X18" s="151" t="s">
        <v>607</v>
      </c>
      <c r="Y18" s="151"/>
      <c r="Z18" s="152">
        <v>2064000</v>
      </c>
      <c r="AA18" s="152">
        <v>1</v>
      </c>
      <c r="AB18" s="152">
        <v>101.12</v>
      </c>
      <c r="AC18" s="151"/>
      <c r="AD18" s="152">
        <v>2087.1170000000002</v>
      </c>
      <c r="AE18" s="151"/>
      <c r="AF18" s="151"/>
      <c r="AG18" s="151"/>
      <c r="AH18" s="153">
        <v>4.13E-3</v>
      </c>
      <c r="AI18" s="153">
        <v>1.9220000000000001E-2</v>
      </c>
      <c r="AJ18" s="154">
        <v>2.8400000000000001E-3</v>
      </c>
      <c r="AK18" s="174"/>
    </row>
    <row r="19" spans="1:37" x14ac:dyDescent="0.2">
      <c r="A19" s="150" t="s">
        <v>1251</v>
      </c>
      <c r="B19" s="151" t="s">
        <v>1251</v>
      </c>
      <c r="C19" s="151" t="s">
        <v>1367</v>
      </c>
      <c r="D19" s="151" t="s">
        <v>1368</v>
      </c>
      <c r="E19" s="151" t="s">
        <v>420</v>
      </c>
      <c r="F19" s="151" t="s">
        <v>1434</v>
      </c>
      <c r="G19" s="151" t="s">
        <v>1435</v>
      </c>
      <c r="H19" s="151" t="s">
        <v>75</v>
      </c>
      <c r="I19" s="151" t="s">
        <v>224</v>
      </c>
      <c r="J19" s="151" t="s">
        <v>52</v>
      </c>
      <c r="K19" s="151" t="s">
        <v>52</v>
      </c>
      <c r="L19" s="151" t="s">
        <v>775</v>
      </c>
      <c r="M19" s="151" t="s">
        <v>303</v>
      </c>
      <c r="N19" s="151" t="s">
        <v>251</v>
      </c>
      <c r="O19" s="151" t="s">
        <v>61</v>
      </c>
      <c r="P19" s="151" t="s">
        <v>1436</v>
      </c>
      <c r="Q19" s="151" t="s">
        <v>69</v>
      </c>
      <c r="R19" s="151" t="s">
        <v>56</v>
      </c>
      <c r="S19" s="151" t="s">
        <v>1255</v>
      </c>
      <c r="T19" s="152">
        <v>5.36</v>
      </c>
      <c r="U19" s="151" t="s">
        <v>1437</v>
      </c>
      <c r="V19" s="153">
        <v>4.6899999999999997E-2</v>
      </c>
      <c r="W19" s="153">
        <v>4.8070000000000002E-2</v>
      </c>
      <c r="X19" s="151" t="s">
        <v>607</v>
      </c>
      <c r="Y19" s="151"/>
      <c r="Z19" s="152">
        <v>1900000</v>
      </c>
      <c r="AA19" s="152">
        <v>1</v>
      </c>
      <c r="AB19" s="152">
        <v>99.54</v>
      </c>
      <c r="AC19" s="151"/>
      <c r="AD19" s="152">
        <v>1891.26</v>
      </c>
      <c r="AE19" s="151"/>
      <c r="AF19" s="151"/>
      <c r="AG19" s="151"/>
      <c r="AH19" s="153">
        <v>1.64E-3</v>
      </c>
      <c r="AI19" s="153">
        <v>1.7420000000000001E-2</v>
      </c>
      <c r="AJ19" s="154">
        <v>2.5799999999999998E-3</v>
      </c>
      <c r="AK19" s="174"/>
    </row>
    <row r="20" spans="1:37" x14ac:dyDescent="0.2">
      <c r="A20" s="150" t="s">
        <v>1251</v>
      </c>
      <c r="B20" s="151" t="s">
        <v>1251</v>
      </c>
      <c r="C20" s="151" t="s">
        <v>1438</v>
      </c>
      <c r="D20" s="151" t="s">
        <v>1439</v>
      </c>
      <c r="E20" s="151" t="s">
        <v>420</v>
      </c>
      <c r="F20" s="151" t="s">
        <v>1440</v>
      </c>
      <c r="G20" s="151" t="s">
        <v>1441</v>
      </c>
      <c r="H20" s="151" t="s">
        <v>75</v>
      </c>
      <c r="I20" s="151" t="s">
        <v>225</v>
      </c>
      <c r="J20" s="151" t="s">
        <v>52</v>
      </c>
      <c r="K20" s="151" t="s">
        <v>52</v>
      </c>
      <c r="L20" s="151" t="s">
        <v>775</v>
      </c>
      <c r="M20" s="151" t="s">
        <v>303</v>
      </c>
      <c r="N20" s="151" t="s">
        <v>262</v>
      </c>
      <c r="O20" s="151" t="s">
        <v>61</v>
      </c>
      <c r="P20" s="151" t="s">
        <v>1407</v>
      </c>
      <c r="Q20" s="151" t="s">
        <v>69</v>
      </c>
      <c r="R20" s="151" t="s">
        <v>56</v>
      </c>
      <c r="S20" s="151" t="s">
        <v>1255</v>
      </c>
      <c r="T20" s="152">
        <v>3.34</v>
      </c>
      <c r="U20" s="151" t="s">
        <v>1442</v>
      </c>
      <c r="V20" s="153">
        <v>5.1700000000000003E-2</v>
      </c>
      <c r="W20" s="153">
        <v>4.5269999999999998E-2</v>
      </c>
      <c r="X20" s="151" t="s">
        <v>607</v>
      </c>
      <c r="Y20" s="151"/>
      <c r="Z20" s="152">
        <v>1730000</v>
      </c>
      <c r="AA20" s="152">
        <v>1</v>
      </c>
      <c r="AB20" s="152">
        <v>104.03</v>
      </c>
      <c r="AC20" s="151"/>
      <c r="AD20" s="152">
        <v>1799.7190000000001</v>
      </c>
      <c r="AE20" s="151"/>
      <c r="AF20" s="151"/>
      <c r="AG20" s="151"/>
      <c r="AH20" s="153">
        <v>2.8400000000000001E-3</v>
      </c>
      <c r="AI20" s="153">
        <v>1.6570000000000001E-2</v>
      </c>
      <c r="AJ20" s="154">
        <v>2.4499999999999999E-3</v>
      </c>
      <c r="AK20" s="174"/>
    </row>
    <row r="21" spans="1:37" x14ac:dyDescent="0.2">
      <c r="A21" s="150" t="s">
        <v>1251</v>
      </c>
      <c r="B21" s="151" t="s">
        <v>1251</v>
      </c>
      <c r="C21" s="151" t="s">
        <v>1367</v>
      </c>
      <c r="D21" s="151" t="s">
        <v>1368</v>
      </c>
      <c r="E21" s="151" t="s">
        <v>420</v>
      </c>
      <c r="F21" s="151" t="s">
        <v>1443</v>
      </c>
      <c r="G21" s="151" t="s">
        <v>1444</v>
      </c>
      <c r="H21" s="151" t="s">
        <v>75</v>
      </c>
      <c r="I21" s="151" t="s">
        <v>225</v>
      </c>
      <c r="J21" s="151" t="s">
        <v>52</v>
      </c>
      <c r="K21" s="151" t="s">
        <v>52</v>
      </c>
      <c r="L21" s="151" t="s">
        <v>775</v>
      </c>
      <c r="M21" s="151" t="s">
        <v>303</v>
      </c>
      <c r="N21" s="151" t="s">
        <v>251</v>
      </c>
      <c r="O21" s="151" t="s">
        <v>61</v>
      </c>
      <c r="P21" s="151" t="s">
        <v>1419</v>
      </c>
      <c r="Q21" s="151" t="s">
        <v>64</v>
      </c>
      <c r="R21" s="151" t="s">
        <v>56</v>
      </c>
      <c r="S21" s="151" t="s">
        <v>1255</v>
      </c>
      <c r="T21" s="152">
        <v>3.69</v>
      </c>
      <c r="U21" s="151" t="s">
        <v>1445</v>
      </c>
      <c r="V21" s="153">
        <v>2.0199999999999999E-2</v>
      </c>
      <c r="W21" s="153">
        <v>2.452E-2</v>
      </c>
      <c r="X21" s="151" t="s">
        <v>607</v>
      </c>
      <c r="Y21" s="151"/>
      <c r="Z21" s="152">
        <v>1700000</v>
      </c>
      <c r="AA21" s="152">
        <v>1</v>
      </c>
      <c r="AB21" s="152">
        <v>104.86</v>
      </c>
      <c r="AC21" s="151"/>
      <c r="AD21" s="152">
        <v>1782.62</v>
      </c>
      <c r="AE21" s="151"/>
      <c r="AF21" s="151"/>
      <c r="AG21" s="151"/>
      <c r="AH21" s="153">
        <v>3.2000000000000003E-4</v>
      </c>
      <c r="AI21" s="153">
        <v>1.6420000000000001E-2</v>
      </c>
      <c r="AJ21" s="154">
        <v>2.4299999999999999E-3</v>
      </c>
      <c r="AK21" s="174"/>
    </row>
    <row r="22" spans="1:37" x14ac:dyDescent="0.2">
      <c r="A22" s="150" t="s">
        <v>1251</v>
      </c>
      <c r="B22" s="151" t="s">
        <v>1251</v>
      </c>
      <c r="C22" s="151" t="s">
        <v>1446</v>
      </c>
      <c r="D22" s="151" t="s">
        <v>1447</v>
      </c>
      <c r="E22" s="151" t="s">
        <v>420</v>
      </c>
      <c r="F22" s="151" t="s">
        <v>1448</v>
      </c>
      <c r="G22" s="151" t="s">
        <v>1449</v>
      </c>
      <c r="H22" s="151" t="s">
        <v>75</v>
      </c>
      <c r="I22" s="151" t="s">
        <v>225</v>
      </c>
      <c r="J22" s="151" t="s">
        <v>52</v>
      </c>
      <c r="K22" s="151" t="s">
        <v>52</v>
      </c>
      <c r="L22" s="151" t="s">
        <v>775</v>
      </c>
      <c r="M22" s="151" t="s">
        <v>303</v>
      </c>
      <c r="N22" s="151" t="s">
        <v>154</v>
      </c>
      <c r="O22" s="151" t="s">
        <v>61</v>
      </c>
      <c r="P22" s="151" t="s">
        <v>1390</v>
      </c>
      <c r="Q22" s="151" t="s">
        <v>69</v>
      </c>
      <c r="R22" s="151" t="s">
        <v>56</v>
      </c>
      <c r="S22" s="151" t="s">
        <v>1255</v>
      </c>
      <c r="T22" s="152">
        <v>3</v>
      </c>
      <c r="U22" s="151" t="s">
        <v>1450</v>
      </c>
      <c r="V22" s="153">
        <v>1.7999999999999999E-2</v>
      </c>
      <c r="W22" s="153">
        <v>2.8879999999999999E-2</v>
      </c>
      <c r="X22" s="151" t="s">
        <v>607</v>
      </c>
      <c r="Y22" s="151"/>
      <c r="Z22" s="152">
        <v>1509999.82</v>
      </c>
      <c r="AA22" s="152">
        <v>1</v>
      </c>
      <c r="AB22" s="152">
        <v>114.15</v>
      </c>
      <c r="AC22" s="151"/>
      <c r="AD22" s="152">
        <v>1723.665</v>
      </c>
      <c r="AE22" s="151"/>
      <c r="AF22" s="151"/>
      <c r="AG22" s="151"/>
      <c r="AH22" s="153">
        <v>2E-3</v>
      </c>
      <c r="AI22" s="153">
        <v>1.5869999999999999E-2</v>
      </c>
      <c r="AJ22" s="154">
        <v>2.3500000000000001E-3</v>
      </c>
      <c r="AK22" s="174"/>
    </row>
    <row r="23" spans="1:37" x14ac:dyDescent="0.2">
      <c r="A23" s="150" t="s">
        <v>1251</v>
      </c>
      <c r="B23" s="151" t="s">
        <v>1251</v>
      </c>
      <c r="C23" s="151" t="s">
        <v>1380</v>
      </c>
      <c r="D23" s="151" t="s">
        <v>1381</v>
      </c>
      <c r="E23" s="151" t="s">
        <v>420</v>
      </c>
      <c r="F23" s="151" t="s">
        <v>1451</v>
      </c>
      <c r="G23" s="151" t="s">
        <v>1452</v>
      </c>
      <c r="H23" s="151" t="s">
        <v>75</v>
      </c>
      <c r="I23" s="151" t="s">
        <v>225</v>
      </c>
      <c r="J23" s="151" t="s">
        <v>52</v>
      </c>
      <c r="K23" s="151" t="s">
        <v>52</v>
      </c>
      <c r="L23" s="151" t="s">
        <v>775</v>
      </c>
      <c r="M23" s="151" t="s">
        <v>303</v>
      </c>
      <c r="N23" s="151" t="s">
        <v>620</v>
      </c>
      <c r="O23" s="151" t="s">
        <v>61</v>
      </c>
      <c r="P23" s="151" t="s">
        <v>1384</v>
      </c>
      <c r="Q23" s="151" t="s">
        <v>64</v>
      </c>
      <c r="R23" s="151" t="s">
        <v>56</v>
      </c>
      <c r="S23" s="151" t="s">
        <v>1255</v>
      </c>
      <c r="T23" s="152">
        <v>4</v>
      </c>
      <c r="U23" s="151" t="s">
        <v>1453</v>
      </c>
      <c r="V23" s="153">
        <v>2.5000000000000001E-3</v>
      </c>
      <c r="W23" s="153">
        <v>2.6939999999999999E-2</v>
      </c>
      <c r="X23" s="151" t="s">
        <v>607</v>
      </c>
      <c r="Y23" s="151"/>
      <c r="Z23" s="152">
        <v>1612811.55</v>
      </c>
      <c r="AA23" s="152">
        <v>1</v>
      </c>
      <c r="AB23" s="152">
        <v>105.05</v>
      </c>
      <c r="AC23" s="151"/>
      <c r="AD23" s="152">
        <v>1694.259</v>
      </c>
      <c r="AE23" s="151"/>
      <c r="AF23" s="151"/>
      <c r="AG23" s="151"/>
      <c r="AH23" s="153">
        <v>1.2199999999999999E-3</v>
      </c>
      <c r="AI23" s="153">
        <v>1.5599999999999999E-2</v>
      </c>
      <c r="AJ23" s="154">
        <v>2.31E-3</v>
      </c>
      <c r="AK23" s="174"/>
    </row>
    <row r="24" spans="1:37" x14ac:dyDescent="0.2">
      <c r="A24" s="150" t="s">
        <v>1251</v>
      </c>
      <c r="B24" s="151" t="s">
        <v>1251</v>
      </c>
      <c r="C24" s="151" t="s">
        <v>1454</v>
      </c>
      <c r="D24" s="151" t="s">
        <v>1455</v>
      </c>
      <c r="E24" s="151" t="s">
        <v>420</v>
      </c>
      <c r="F24" s="151" t="s">
        <v>1456</v>
      </c>
      <c r="G24" s="151" t="s">
        <v>1457</v>
      </c>
      <c r="H24" s="151" t="s">
        <v>75</v>
      </c>
      <c r="I24" s="151" t="s">
        <v>224</v>
      </c>
      <c r="J24" s="151" t="s">
        <v>52</v>
      </c>
      <c r="K24" s="151" t="s">
        <v>52</v>
      </c>
      <c r="L24" s="151" t="s">
        <v>775</v>
      </c>
      <c r="M24" s="151" t="s">
        <v>303</v>
      </c>
      <c r="N24" s="151" t="s">
        <v>138</v>
      </c>
      <c r="O24" s="151" t="s">
        <v>61</v>
      </c>
      <c r="P24" s="151" t="s">
        <v>1407</v>
      </c>
      <c r="Q24" s="151" t="s">
        <v>69</v>
      </c>
      <c r="R24" s="151" t="s">
        <v>56</v>
      </c>
      <c r="S24" s="151" t="s">
        <v>1255</v>
      </c>
      <c r="T24" s="152">
        <v>1.97</v>
      </c>
      <c r="U24" s="151" t="s">
        <v>1458</v>
      </c>
      <c r="V24" s="153">
        <v>0.04</v>
      </c>
      <c r="W24" s="153">
        <v>4.9000000000000002E-2</v>
      </c>
      <c r="X24" s="151" t="s">
        <v>607</v>
      </c>
      <c r="Y24" s="151"/>
      <c r="Z24" s="152">
        <v>1649722</v>
      </c>
      <c r="AA24" s="152">
        <v>1</v>
      </c>
      <c r="AB24" s="152">
        <v>99.37</v>
      </c>
      <c r="AC24" s="151"/>
      <c r="AD24" s="152">
        <v>1639.329</v>
      </c>
      <c r="AE24" s="151"/>
      <c r="AF24" s="151"/>
      <c r="AG24" s="151"/>
      <c r="AH24" s="153">
        <v>3.7699999999999999E-3</v>
      </c>
      <c r="AI24" s="153">
        <v>1.5100000000000001E-2</v>
      </c>
      <c r="AJ24" s="154">
        <v>2.2300000000000002E-3</v>
      </c>
      <c r="AK24" s="174"/>
    </row>
    <row r="25" spans="1:37" x14ac:dyDescent="0.2">
      <c r="A25" s="150" t="s">
        <v>1251</v>
      </c>
      <c r="B25" s="151" t="s">
        <v>1251</v>
      </c>
      <c r="C25" s="151" t="s">
        <v>1459</v>
      </c>
      <c r="D25" s="151" t="s">
        <v>1460</v>
      </c>
      <c r="E25" s="151" t="s">
        <v>420</v>
      </c>
      <c r="F25" s="151" t="s">
        <v>1461</v>
      </c>
      <c r="G25" s="151" t="s">
        <v>1462</v>
      </c>
      <c r="H25" s="151" t="s">
        <v>75</v>
      </c>
      <c r="I25" s="151" t="s">
        <v>225</v>
      </c>
      <c r="J25" s="151" t="s">
        <v>52</v>
      </c>
      <c r="K25" s="151" t="s">
        <v>52</v>
      </c>
      <c r="L25" s="151" t="s">
        <v>775</v>
      </c>
      <c r="M25" s="151" t="s">
        <v>303</v>
      </c>
      <c r="N25" s="151" t="s">
        <v>154</v>
      </c>
      <c r="O25" s="151" t="s">
        <v>61</v>
      </c>
      <c r="P25" s="151" t="s">
        <v>1254</v>
      </c>
      <c r="Q25" s="151" t="s">
        <v>69</v>
      </c>
      <c r="R25" s="151" t="s">
        <v>56</v>
      </c>
      <c r="S25" s="151" t="s">
        <v>1255</v>
      </c>
      <c r="T25" s="152">
        <v>9.4499999999999993</v>
      </c>
      <c r="U25" s="151" t="s">
        <v>1463</v>
      </c>
      <c r="V25" s="153">
        <v>1.2500000000000001E-2</v>
      </c>
      <c r="W25" s="153">
        <v>2.81E-2</v>
      </c>
      <c r="X25" s="151" t="s">
        <v>607</v>
      </c>
      <c r="Y25" s="151"/>
      <c r="Z25" s="152">
        <v>1600000</v>
      </c>
      <c r="AA25" s="152">
        <v>1</v>
      </c>
      <c r="AB25" s="152">
        <v>101.47</v>
      </c>
      <c r="AC25" s="151"/>
      <c r="AD25" s="152">
        <v>1623.52</v>
      </c>
      <c r="AE25" s="151"/>
      <c r="AF25" s="151"/>
      <c r="AG25" s="151"/>
      <c r="AH25" s="153">
        <v>3.6999999999999999E-4</v>
      </c>
      <c r="AI25" s="153">
        <v>1.495E-2</v>
      </c>
      <c r="AJ25" s="154">
        <v>2.2100000000000002E-3</v>
      </c>
      <c r="AK25" s="174"/>
    </row>
    <row r="26" spans="1:37" x14ac:dyDescent="0.2">
      <c r="A26" s="150" t="s">
        <v>1251</v>
      </c>
      <c r="B26" s="151" t="s">
        <v>1251</v>
      </c>
      <c r="C26" s="151" t="s">
        <v>1464</v>
      </c>
      <c r="D26" s="151" t="s">
        <v>1465</v>
      </c>
      <c r="E26" s="151" t="s">
        <v>420</v>
      </c>
      <c r="F26" s="151" t="s">
        <v>1466</v>
      </c>
      <c r="G26" s="151" t="s">
        <v>1467</v>
      </c>
      <c r="H26" s="151" t="s">
        <v>75</v>
      </c>
      <c r="I26" s="151" t="s">
        <v>224</v>
      </c>
      <c r="J26" s="151" t="s">
        <v>52</v>
      </c>
      <c r="K26" s="151" t="s">
        <v>52</v>
      </c>
      <c r="L26" s="151" t="s">
        <v>775</v>
      </c>
      <c r="M26" s="151" t="s">
        <v>303</v>
      </c>
      <c r="N26" s="151" t="s">
        <v>616</v>
      </c>
      <c r="O26" s="151" t="s">
        <v>61</v>
      </c>
      <c r="P26" s="151" t="s">
        <v>1359</v>
      </c>
      <c r="Q26" s="151" t="s">
        <v>64</v>
      </c>
      <c r="R26" s="151" t="s">
        <v>56</v>
      </c>
      <c r="S26" s="151" t="s">
        <v>1255</v>
      </c>
      <c r="T26" s="152">
        <v>2.23</v>
      </c>
      <c r="U26" s="151" t="s">
        <v>1468</v>
      </c>
      <c r="V26" s="153">
        <v>2.0500000000000001E-2</v>
      </c>
      <c r="W26" s="153">
        <v>4.8349999999999997E-2</v>
      </c>
      <c r="X26" s="151" t="s">
        <v>607</v>
      </c>
      <c r="Y26" s="151"/>
      <c r="Z26" s="152">
        <v>1683205.62</v>
      </c>
      <c r="AA26" s="152">
        <v>1</v>
      </c>
      <c r="AB26" s="152">
        <v>94.46</v>
      </c>
      <c r="AC26" s="151"/>
      <c r="AD26" s="152">
        <v>1589.9559999999999</v>
      </c>
      <c r="AE26" s="151"/>
      <c r="AF26" s="151"/>
      <c r="AG26" s="151"/>
      <c r="AH26" s="153">
        <v>2.15E-3</v>
      </c>
      <c r="AI26" s="153">
        <v>1.464E-2</v>
      </c>
      <c r="AJ26" s="154">
        <v>2.1700000000000001E-3</v>
      </c>
      <c r="AK26" s="174"/>
    </row>
    <row r="27" spans="1:37" x14ac:dyDescent="0.2">
      <c r="A27" s="150" t="s">
        <v>1251</v>
      </c>
      <c r="B27" s="151" t="s">
        <v>1251</v>
      </c>
      <c r="C27" s="151" t="s">
        <v>1469</v>
      </c>
      <c r="D27" s="151" t="s">
        <v>1470</v>
      </c>
      <c r="E27" s="151" t="s">
        <v>420</v>
      </c>
      <c r="F27" s="151" t="s">
        <v>1471</v>
      </c>
      <c r="G27" s="151" t="s">
        <v>1472</v>
      </c>
      <c r="H27" s="151" t="s">
        <v>75</v>
      </c>
      <c r="I27" s="151" t="s">
        <v>224</v>
      </c>
      <c r="J27" s="151" t="s">
        <v>52</v>
      </c>
      <c r="K27" s="151" t="s">
        <v>52</v>
      </c>
      <c r="L27" s="151" t="s">
        <v>775</v>
      </c>
      <c r="M27" s="151" t="s">
        <v>303</v>
      </c>
      <c r="N27" s="151" t="s">
        <v>154</v>
      </c>
      <c r="O27" s="151" t="s">
        <v>61</v>
      </c>
      <c r="P27" s="151" t="s">
        <v>1473</v>
      </c>
      <c r="Q27" s="151" t="s">
        <v>64</v>
      </c>
      <c r="R27" s="151" t="s">
        <v>56</v>
      </c>
      <c r="S27" s="151" t="s">
        <v>1255</v>
      </c>
      <c r="T27" s="152">
        <v>2.33</v>
      </c>
      <c r="U27" s="151" t="s">
        <v>1474</v>
      </c>
      <c r="V27" s="153">
        <v>2.7E-2</v>
      </c>
      <c r="W27" s="153">
        <v>4.9500000000000002E-2</v>
      </c>
      <c r="X27" s="151" t="s">
        <v>607</v>
      </c>
      <c r="Y27" s="151"/>
      <c r="Z27" s="152">
        <v>1648059.34</v>
      </c>
      <c r="AA27" s="152">
        <v>1</v>
      </c>
      <c r="AB27" s="152">
        <v>95.07</v>
      </c>
      <c r="AC27" s="151"/>
      <c r="AD27" s="152">
        <v>1566.81</v>
      </c>
      <c r="AE27" s="151"/>
      <c r="AF27" s="151"/>
      <c r="AG27" s="151"/>
      <c r="AH27" s="153">
        <v>4.6800000000000001E-3</v>
      </c>
      <c r="AI27" s="153">
        <v>1.443E-2</v>
      </c>
      <c r="AJ27" s="154">
        <v>2.14E-3</v>
      </c>
      <c r="AK27" s="174"/>
    </row>
    <row r="28" spans="1:37" x14ac:dyDescent="0.2">
      <c r="A28" s="150" t="s">
        <v>1251</v>
      </c>
      <c r="B28" s="151" t="s">
        <v>1251</v>
      </c>
      <c r="C28" s="151" t="s">
        <v>1475</v>
      </c>
      <c r="D28" s="151" t="s">
        <v>1476</v>
      </c>
      <c r="E28" s="151" t="s">
        <v>420</v>
      </c>
      <c r="F28" s="151" t="s">
        <v>1477</v>
      </c>
      <c r="G28" s="151" t="s">
        <v>1478</v>
      </c>
      <c r="H28" s="151" t="s">
        <v>75</v>
      </c>
      <c r="I28" s="151" t="s">
        <v>225</v>
      </c>
      <c r="J28" s="151" t="s">
        <v>52</v>
      </c>
      <c r="K28" s="151" t="s">
        <v>52</v>
      </c>
      <c r="L28" s="151" t="s">
        <v>775</v>
      </c>
      <c r="M28" s="151" t="s">
        <v>303</v>
      </c>
      <c r="N28" s="151" t="s">
        <v>262</v>
      </c>
      <c r="O28" s="151" t="s">
        <v>61</v>
      </c>
      <c r="P28" s="151" t="s">
        <v>1371</v>
      </c>
      <c r="Q28" s="151" t="s">
        <v>64</v>
      </c>
      <c r="R28" s="151" t="s">
        <v>56</v>
      </c>
      <c r="S28" s="151" t="s">
        <v>1255</v>
      </c>
      <c r="T28" s="152">
        <v>5.58</v>
      </c>
      <c r="U28" s="151" t="s">
        <v>1437</v>
      </c>
      <c r="V28" s="153">
        <v>2.5000000000000001E-2</v>
      </c>
      <c r="W28" s="153">
        <v>4.6080000000000003E-2</v>
      </c>
      <c r="X28" s="151" t="s">
        <v>607</v>
      </c>
      <c r="Y28" s="151"/>
      <c r="Z28" s="152">
        <v>1732000</v>
      </c>
      <c r="AA28" s="152">
        <v>1</v>
      </c>
      <c r="AB28" s="152">
        <v>89.3</v>
      </c>
      <c r="AC28" s="151"/>
      <c r="AD28" s="152">
        <v>1546.6759999999999</v>
      </c>
      <c r="AE28" s="151"/>
      <c r="AF28" s="151"/>
      <c r="AG28" s="151"/>
      <c r="AH28" s="153">
        <v>1.2999999999999999E-3</v>
      </c>
      <c r="AI28" s="153">
        <v>1.4239999999999999E-2</v>
      </c>
      <c r="AJ28" s="154">
        <v>2.1099999999999999E-3</v>
      </c>
      <c r="AK28" s="174"/>
    </row>
    <row r="29" spans="1:37" x14ac:dyDescent="0.2">
      <c r="A29" s="150" t="s">
        <v>1251</v>
      </c>
      <c r="B29" s="151" t="s">
        <v>1251</v>
      </c>
      <c r="C29" s="151" t="s">
        <v>1479</v>
      </c>
      <c r="D29" s="151" t="s">
        <v>1480</v>
      </c>
      <c r="E29" s="151" t="s">
        <v>420</v>
      </c>
      <c r="F29" s="151" t="s">
        <v>1481</v>
      </c>
      <c r="G29" s="151" t="s">
        <v>1482</v>
      </c>
      <c r="H29" s="151" t="s">
        <v>75</v>
      </c>
      <c r="I29" s="151" t="s">
        <v>225</v>
      </c>
      <c r="J29" s="151" t="s">
        <v>52</v>
      </c>
      <c r="K29" s="151" t="s">
        <v>52</v>
      </c>
      <c r="L29" s="151" t="s">
        <v>775</v>
      </c>
      <c r="M29" s="151" t="s">
        <v>303</v>
      </c>
      <c r="N29" s="151" t="s">
        <v>251</v>
      </c>
      <c r="O29" s="151" t="s">
        <v>61</v>
      </c>
      <c r="P29" s="151" t="s">
        <v>1419</v>
      </c>
      <c r="Q29" s="151" t="s">
        <v>64</v>
      </c>
      <c r="R29" s="151" t="s">
        <v>56</v>
      </c>
      <c r="S29" s="151" t="s">
        <v>1255</v>
      </c>
      <c r="T29" s="152">
        <v>4.01</v>
      </c>
      <c r="U29" s="151" t="s">
        <v>1483</v>
      </c>
      <c r="V29" s="153">
        <v>1.9900000000000001E-2</v>
      </c>
      <c r="W29" s="153">
        <v>2.4830000000000001E-2</v>
      </c>
      <c r="X29" s="151" t="s">
        <v>607</v>
      </c>
      <c r="Y29" s="151"/>
      <c r="Z29" s="152">
        <v>1360000.02</v>
      </c>
      <c r="AA29" s="152">
        <v>1</v>
      </c>
      <c r="AB29" s="152">
        <v>104.27</v>
      </c>
      <c r="AC29" s="151"/>
      <c r="AD29" s="152">
        <v>1418.0719999999999</v>
      </c>
      <c r="AE29" s="151"/>
      <c r="AF29" s="151"/>
      <c r="AG29" s="151"/>
      <c r="AH29" s="153">
        <v>6.3000000000000003E-4</v>
      </c>
      <c r="AI29" s="153">
        <v>1.306E-2</v>
      </c>
      <c r="AJ29" s="154">
        <v>1.9300000000000001E-3</v>
      </c>
      <c r="AK29" s="174"/>
    </row>
    <row r="30" spans="1:37" x14ac:dyDescent="0.2">
      <c r="A30" s="150" t="s">
        <v>1251</v>
      </c>
      <c r="B30" s="151" t="s">
        <v>1251</v>
      </c>
      <c r="C30" s="151" t="s">
        <v>1367</v>
      </c>
      <c r="D30" s="151" t="s">
        <v>1368</v>
      </c>
      <c r="E30" s="151" t="s">
        <v>420</v>
      </c>
      <c r="F30" s="151" t="s">
        <v>1484</v>
      </c>
      <c r="G30" s="151" t="s">
        <v>1485</v>
      </c>
      <c r="H30" s="151" t="s">
        <v>75</v>
      </c>
      <c r="I30" s="151" t="s">
        <v>226</v>
      </c>
      <c r="J30" s="151" t="s">
        <v>52</v>
      </c>
      <c r="K30" s="151" t="s">
        <v>52</v>
      </c>
      <c r="L30" s="151" t="s">
        <v>775</v>
      </c>
      <c r="M30" s="151" t="s">
        <v>463</v>
      </c>
      <c r="N30" s="151" t="s">
        <v>191</v>
      </c>
      <c r="O30" s="151" t="s">
        <v>61</v>
      </c>
      <c r="P30" s="151" t="s">
        <v>1486</v>
      </c>
      <c r="Q30" s="151" t="s">
        <v>95</v>
      </c>
      <c r="R30" s="151" t="s">
        <v>56</v>
      </c>
      <c r="S30" s="151" t="s">
        <v>1256</v>
      </c>
      <c r="T30" s="152">
        <v>2.0609999999999999</v>
      </c>
      <c r="U30" s="151" t="s">
        <v>1487</v>
      </c>
      <c r="V30" s="153">
        <v>7.1290000000000006E-2</v>
      </c>
      <c r="W30" s="153">
        <v>6.8559999999999996E-2</v>
      </c>
      <c r="X30" s="151" t="s">
        <v>607</v>
      </c>
      <c r="Y30" s="151"/>
      <c r="Z30" s="152">
        <v>414000</v>
      </c>
      <c r="AA30" s="152">
        <v>3.165</v>
      </c>
      <c r="AB30" s="152">
        <v>104.449</v>
      </c>
      <c r="AC30" s="151"/>
      <c r="AD30" s="152">
        <v>1368.6030000000001</v>
      </c>
      <c r="AE30" s="151"/>
      <c r="AF30" s="151"/>
      <c r="AG30" s="151"/>
      <c r="AH30" s="153">
        <v>8.3000000000000001E-4</v>
      </c>
      <c r="AI30" s="153">
        <v>1.26E-2</v>
      </c>
      <c r="AJ30" s="154">
        <v>1.8699999999999999E-3</v>
      </c>
      <c r="AK30" s="174"/>
    </row>
    <row r="31" spans="1:37" x14ac:dyDescent="0.2">
      <c r="A31" s="150" t="s">
        <v>1251</v>
      </c>
      <c r="B31" s="151" t="s">
        <v>1251</v>
      </c>
      <c r="C31" s="151" t="s">
        <v>1367</v>
      </c>
      <c r="D31" s="151" t="s">
        <v>1368</v>
      </c>
      <c r="E31" s="151" t="s">
        <v>420</v>
      </c>
      <c r="F31" s="151" t="s">
        <v>1488</v>
      </c>
      <c r="G31" s="151" t="s">
        <v>1489</v>
      </c>
      <c r="H31" s="151" t="s">
        <v>75</v>
      </c>
      <c r="I31" s="151" t="s">
        <v>225</v>
      </c>
      <c r="J31" s="151" t="s">
        <v>52</v>
      </c>
      <c r="K31" s="151" t="s">
        <v>52</v>
      </c>
      <c r="L31" s="151" t="s">
        <v>775</v>
      </c>
      <c r="M31" s="151" t="s">
        <v>303</v>
      </c>
      <c r="N31" s="151" t="s">
        <v>251</v>
      </c>
      <c r="O31" s="151" t="s">
        <v>61</v>
      </c>
      <c r="P31" s="151" t="s">
        <v>1371</v>
      </c>
      <c r="Q31" s="151" t="s">
        <v>64</v>
      </c>
      <c r="R31" s="151" t="s">
        <v>56</v>
      </c>
      <c r="S31" s="151" t="s">
        <v>1255</v>
      </c>
      <c r="T31" s="152">
        <v>1.97</v>
      </c>
      <c r="U31" s="151" t="s">
        <v>1490</v>
      </c>
      <c r="V31" s="153">
        <v>1.4999999999999999E-2</v>
      </c>
      <c r="W31" s="153">
        <v>2.4230000000000002E-2</v>
      </c>
      <c r="X31" s="151" t="s">
        <v>607</v>
      </c>
      <c r="Y31" s="151"/>
      <c r="Z31" s="152">
        <v>1200000</v>
      </c>
      <c r="AA31" s="152">
        <v>1</v>
      </c>
      <c r="AB31" s="152">
        <v>111.74</v>
      </c>
      <c r="AC31" s="151"/>
      <c r="AD31" s="152">
        <v>1340.88</v>
      </c>
      <c r="AE31" s="151"/>
      <c r="AF31" s="151"/>
      <c r="AG31" s="151"/>
      <c r="AH31" s="153">
        <v>8.4999999999999995E-4</v>
      </c>
      <c r="AI31" s="153">
        <v>1.235E-2</v>
      </c>
      <c r="AJ31" s="154">
        <v>1.83E-3</v>
      </c>
      <c r="AK31" s="174"/>
    </row>
    <row r="32" spans="1:37" x14ac:dyDescent="0.2">
      <c r="A32" s="150" t="s">
        <v>1251</v>
      </c>
      <c r="B32" s="151" t="s">
        <v>1251</v>
      </c>
      <c r="C32" s="151" t="s">
        <v>1415</v>
      </c>
      <c r="D32" s="151" t="s">
        <v>1416</v>
      </c>
      <c r="E32" s="151" t="s">
        <v>420</v>
      </c>
      <c r="F32" s="151" t="s">
        <v>1491</v>
      </c>
      <c r="G32" s="151" t="s">
        <v>1492</v>
      </c>
      <c r="H32" s="151" t="s">
        <v>75</v>
      </c>
      <c r="I32" s="151" t="s">
        <v>226</v>
      </c>
      <c r="J32" s="151" t="s">
        <v>52</v>
      </c>
      <c r="K32" s="151" t="s">
        <v>52</v>
      </c>
      <c r="L32" s="151" t="s">
        <v>775</v>
      </c>
      <c r="M32" s="151" t="s">
        <v>463</v>
      </c>
      <c r="N32" s="151" t="s">
        <v>191</v>
      </c>
      <c r="O32" s="151" t="s">
        <v>61</v>
      </c>
      <c r="P32" s="151" t="s">
        <v>1486</v>
      </c>
      <c r="Q32" s="151" t="s">
        <v>95</v>
      </c>
      <c r="R32" s="151" t="s">
        <v>56</v>
      </c>
      <c r="S32" s="151" t="s">
        <v>1256</v>
      </c>
      <c r="T32" s="152">
        <v>0.76400000000000001</v>
      </c>
      <c r="U32" s="151" t="s">
        <v>1493</v>
      </c>
      <c r="V32" s="153">
        <v>3.2550000000000003E-2</v>
      </c>
      <c r="W32" s="153">
        <v>6.0510000000000001E-2</v>
      </c>
      <c r="X32" s="151" t="s">
        <v>607</v>
      </c>
      <c r="Y32" s="151"/>
      <c r="Z32" s="152">
        <v>420000</v>
      </c>
      <c r="AA32" s="152">
        <v>3.165</v>
      </c>
      <c r="AB32" s="152">
        <v>99.233000000000004</v>
      </c>
      <c r="AC32" s="151"/>
      <c r="AD32" s="152">
        <v>1319.1079999999999</v>
      </c>
      <c r="AE32" s="151"/>
      <c r="AF32" s="151"/>
      <c r="AG32" s="151"/>
      <c r="AH32" s="153">
        <v>4.2000000000000002E-4</v>
      </c>
      <c r="AI32" s="153">
        <v>1.2149999999999999E-2</v>
      </c>
      <c r="AJ32" s="154">
        <v>1.8E-3</v>
      </c>
      <c r="AK32" s="174"/>
    </row>
    <row r="33" spans="1:37" x14ac:dyDescent="0.2">
      <c r="A33" s="150" t="s">
        <v>1251</v>
      </c>
      <c r="B33" s="151" t="s">
        <v>1251</v>
      </c>
      <c r="C33" s="151" t="s">
        <v>1494</v>
      </c>
      <c r="D33" s="151" t="s">
        <v>1495</v>
      </c>
      <c r="E33" s="151" t="s">
        <v>420</v>
      </c>
      <c r="F33" s="151" t="s">
        <v>1496</v>
      </c>
      <c r="G33" s="151" t="s">
        <v>1497</v>
      </c>
      <c r="H33" s="151" t="s">
        <v>75</v>
      </c>
      <c r="I33" s="151" t="s">
        <v>225</v>
      </c>
      <c r="J33" s="151" t="s">
        <v>52</v>
      </c>
      <c r="K33" s="151" t="s">
        <v>52</v>
      </c>
      <c r="L33" s="151" t="s">
        <v>775</v>
      </c>
      <c r="M33" s="151" t="s">
        <v>303</v>
      </c>
      <c r="N33" s="151" t="s">
        <v>251</v>
      </c>
      <c r="O33" s="151" t="s">
        <v>61</v>
      </c>
      <c r="P33" s="151" t="s">
        <v>1419</v>
      </c>
      <c r="Q33" s="151" t="s">
        <v>64</v>
      </c>
      <c r="R33" s="151" t="s">
        <v>56</v>
      </c>
      <c r="S33" s="151" t="s">
        <v>1255</v>
      </c>
      <c r="T33" s="152">
        <v>4.66</v>
      </c>
      <c r="U33" s="151" t="s">
        <v>1498</v>
      </c>
      <c r="V33" s="153">
        <v>2.4E-2</v>
      </c>
      <c r="W33" s="153">
        <v>2.5600000000000001E-2</v>
      </c>
      <c r="X33" s="151" t="s">
        <v>607</v>
      </c>
      <c r="Y33" s="151"/>
      <c r="Z33" s="152">
        <v>1260000</v>
      </c>
      <c r="AA33" s="152">
        <v>1</v>
      </c>
      <c r="AB33" s="152">
        <v>101.59</v>
      </c>
      <c r="AC33" s="151"/>
      <c r="AD33" s="152">
        <v>1280.0340000000001</v>
      </c>
      <c r="AE33" s="151"/>
      <c r="AF33" s="151"/>
      <c r="AG33" s="151"/>
      <c r="AH33" s="153">
        <v>3.3E-4</v>
      </c>
      <c r="AI33" s="153">
        <v>1.179E-2</v>
      </c>
      <c r="AJ33" s="154">
        <v>1.74E-3</v>
      </c>
      <c r="AK33" s="174"/>
    </row>
    <row r="34" spans="1:37" x14ac:dyDescent="0.2">
      <c r="A34" s="150" t="s">
        <v>1251</v>
      </c>
      <c r="B34" s="151" t="s">
        <v>1251</v>
      </c>
      <c r="C34" s="151" t="s">
        <v>1499</v>
      </c>
      <c r="D34" s="151" t="s">
        <v>1500</v>
      </c>
      <c r="E34" s="151" t="s">
        <v>420</v>
      </c>
      <c r="F34" s="151" t="s">
        <v>1501</v>
      </c>
      <c r="G34" s="151" t="s">
        <v>1502</v>
      </c>
      <c r="H34" s="151" t="s">
        <v>75</v>
      </c>
      <c r="I34" s="151" t="s">
        <v>225</v>
      </c>
      <c r="J34" s="151" t="s">
        <v>52</v>
      </c>
      <c r="K34" s="151" t="s">
        <v>52</v>
      </c>
      <c r="L34" s="151" t="s">
        <v>775</v>
      </c>
      <c r="M34" s="151" t="s">
        <v>303</v>
      </c>
      <c r="N34" s="151" t="s">
        <v>621</v>
      </c>
      <c r="O34" s="151" t="s">
        <v>61</v>
      </c>
      <c r="P34" s="151" t="s">
        <v>1503</v>
      </c>
      <c r="Q34" s="151" t="s">
        <v>69</v>
      </c>
      <c r="R34" s="151" t="s">
        <v>56</v>
      </c>
      <c r="S34" s="151" t="s">
        <v>1255</v>
      </c>
      <c r="T34" s="152">
        <v>2.42</v>
      </c>
      <c r="U34" s="151" t="s">
        <v>1322</v>
      </c>
      <c r="V34" s="153">
        <v>2.4500000000000001E-2</v>
      </c>
      <c r="W34" s="153">
        <v>2.8930000000000001E-2</v>
      </c>
      <c r="X34" s="151" t="s">
        <v>607</v>
      </c>
      <c r="Y34" s="151"/>
      <c r="Z34" s="152">
        <v>1069090.96</v>
      </c>
      <c r="AA34" s="152">
        <v>1</v>
      </c>
      <c r="AB34" s="152">
        <v>116.42</v>
      </c>
      <c r="AC34" s="151"/>
      <c r="AD34" s="152">
        <v>1244.636</v>
      </c>
      <c r="AE34" s="151"/>
      <c r="AF34" s="151"/>
      <c r="AG34" s="151"/>
      <c r="AH34" s="153">
        <v>2.8600000000000001E-3</v>
      </c>
      <c r="AI34" s="153">
        <v>1.146E-2</v>
      </c>
      <c r="AJ34" s="154">
        <v>1.6999999999999999E-3</v>
      </c>
      <c r="AK34" s="174"/>
    </row>
    <row r="35" spans="1:37" x14ac:dyDescent="0.2">
      <c r="A35" s="150" t="s">
        <v>1251</v>
      </c>
      <c r="B35" s="151" t="s">
        <v>1251</v>
      </c>
      <c r="C35" s="151" t="s">
        <v>1504</v>
      </c>
      <c r="D35" s="151" t="s">
        <v>1505</v>
      </c>
      <c r="E35" s="151" t="s">
        <v>420</v>
      </c>
      <c r="F35" s="151" t="s">
        <v>1506</v>
      </c>
      <c r="G35" s="151" t="s">
        <v>1507</v>
      </c>
      <c r="H35" s="151" t="s">
        <v>75</v>
      </c>
      <c r="I35" s="151" t="s">
        <v>225</v>
      </c>
      <c r="J35" s="151" t="s">
        <v>52</v>
      </c>
      <c r="K35" s="151" t="s">
        <v>52</v>
      </c>
      <c r="L35" s="151" t="s">
        <v>775</v>
      </c>
      <c r="M35" s="151" t="s">
        <v>303</v>
      </c>
      <c r="N35" s="151" t="s">
        <v>154</v>
      </c>
      <c r="O35" s="151" t="s">
        <v>61</v>
      </c>
      <c r="P35" s="151" t="s">
        <v>1371</v>
      </c>
      <c r="Q35" s="151" t="s">
        <v>64</v>
      </c>
      <c r="R35" s="151" t="s">
        <v>56</v>
      </c>
      <c r="S35" s="151" t="s">
        <v>1255</v>
      </c>
      <c r="T35" s="152">
        <v>2.63</v>
      </c>
      <c r="U35" s="151" t="s">
        <v>1508</v>
      </c>
      <c r="V35" s="153">
        <v>1.23E-2</v>
      </c>
      <c r="W35" s="153">
        <v>2.4539999999999999E-2</v>
      </c>
      <c r="X35" s="151" t="s">
        <v>607</v>
      </c>
      <c r="Y35" s="151"/>
      <c r="Z35" s="152">
        <v>1051727.25</v>
      </c>
      <c r="AA35" s="152">
        <v>1</v>
      </c>
      <c r="AB35" s="152">
        <v>115.32</v>
      </c>
      <c r="AC35" s="151"/>
      <c r="AD35" s="152">
        <v>1212.8520000000001</v>
      </c>
      <c r="AE35" s="151"/>
      <c r="AF35" s="151"/>
      <c r="AG35" s="151"/>
      <c r="AH35" s="153">
        <v>1.31E-3</v>
      </c>
      <c r="AI35" s="153">
        <v>1.1169999999999999E-2</v>
      </c>
      <c r="AJ35" s="154">
        <v>1.65E-3</v>
      </c>
      <c r="AK35" s="174"/>
    </row>
    <row r="36" spans="1:37" x14ac:dyDescent="0.2">
      <c r="A36" s="150" t="s">
        <v>1251</v>
      </c>
      <c r="B36" s="151" t="s">
        <v>1251</v>
      </c>
      <c r="C36" s="151" t="s">
        <v>1494</v>
      </c>
      <c r="D36" s="151" t="s">
        <v>1495</v>
      </c>
      <c r="E36" s="151" t="s">
        <v>420</v>
      </c>
      <c r="F36" s="151" t="s">
        <v>1509</v>
      </c>
      <c r="G36" s="151" t="s">
        <v>1510</v>
      </c>
      <c r="H36" s="151" t="s">
        <v>75</v>
      </c>
      <c r="I36" s="151" t="s">
        <v>225</v>
      </c>
      <c r="J36" s="151" t="s">
        <v>52</v>
      </c>
      <c r="K36" s="151" t="s">
        <v>52</v>
      </c>
      <c r="L36" s="151" t="s">
        <v>775</v>
      </c>
      <c r="M36" s="151" t="s">
        <v>303</v>
      </c>
      <c r="N36" s="151" t="s">
        <v>251</v>
      </c>
      <c r="O36" s="151" t="s">
        <v>61</v>
      </c>
      <c r="P36" s="151" t="s">
        <v>1419</v>
      </c>
      <c r="Q36" s="151" t="s">
        <v>64</v>
      </c>
      <c r="R36" s="151" t="s">
        <v>56</v>
      </c>
      <c r="S36" s="151" t="s">
        <v>1255</v>
      </c>
      <c r="T36" s="152">
        <v>4.72</v>
      </c>
      <c r="U36" s="151" t="s">
        <v>1498</v>
      </c>
      <c r="V36" s="153">
        <v>2.1100000000000001E-2</v>
      </c>
      <c r="W36" s="153">
        <v>2.6120000000000001E-2</v>
      </c>
      <c r="X36" s="151" t="s">
        <v>607</v>
      </c>
      <c r="Y36" s="151"/>
      <c r="Z36" s="152">
        <v>1148000</v>
      </c>
      <c r="AA36" s="152">
        <v>1</v>
      </c>
      <c r="AB36" s="152">
        <v>103.5</v>
      </c>
      <c r="AC36" s="151"/>
      <c r="AD36" s="152">
        <v>1188.18</v>
      </c>
      <c r="AE36" s="151"/>
      <c r="AF36" s="151"/>
      <c r="AG36" s="151"/>
      <c r="AH36" s="153">
        <v>4.8999999999999998E-4</v>
      </c>
      <c r="AI36" s="153">
        <v>1.094E-2</v>
      </c>
      <c r="AJ36" s="154">
        <v>1.6199999999999999E-3</v>
      </c>
      <c r="AK36" s="174"/>
    </row>
    <row r="37" spans="1:37" x14ac:dyDescent="0.2">
      <c r="A37" s="150" t="s">
        <v>1251</v>
      </c>
      <c r="B37" s="151" t="s">
        <v>1251</v>
      </c>
      <c r="C37" s="151" t="s">
        <v>1494</v>
      </c>
      <c r="D37" s="151" t="s">
        <v>1495</v>
      </c>
      <c r="E37" s="151" t="s">
        <v>420</v>
      </c>
      <c r="F37" s="151" t="s">
        <v>1511</v>
      </c>
      <c r="G37" s="151" t="s">
        <v>1512</v>
      </c>
      <c r="H37" s="151" t="s">
        <v>75</v>
      </c>
      <c r="I37" s="151" t="s">
        <v>225</v>
      </c>
      <c r="J37" s="151" t="s">
        <v>52</v>
      </c>
      <c r="K37" s="151" t="s">
        <v>52</v>
      </c>
      <c r="L37" s="151" t="s">
        <v>775</v>
      </c>
      <c r="M37" s="151" t="s">
        <v>303</v>
      </c>
      <c r="N37" s="151" t="s">
        <v>251</v>
      </c>
      <c r="O37" s="151" t="s">
        <v>61</v>
      </c>
      <c r="P37" s="151" t="s">
        <v>1371</v>
      </c>
      <c r="Q37" s="151" t="s">
        <v>64</v>
      </c>
      <c r="R37" s="151" t="s">
        <v>56</v>
      </c>
      <c r="S37" s="151" t="s">
        <v>1255</v>
      </c>
      <c r="T37" s="152">
        <v>2.58</v>
      </c>
      <c r="U37" s="151" t="s">
        <v>1513</v>
      </c>
      <c r="V37" s="153">
        <v>3.1699999999999999E-2</v>
      </c>
      <c r="W37" s="153">
        <v>2.5760000000000002E-2</v>
      </c>
      <c r="X37" s="151" t="s">
        <v>607</v>
      </c>
      <c r="Y37" s="151"/>
      <c r="Z37" s="152">
        <v>1050000</v>
      </c>
      <c r="AA37" s="152">
        <v>1</v>
      </c>
      <c r="AB37" s="152">
        <v>112.2</v>
      </c>
      <c r="AC37" s="151"/>
      <c r="AD37" s="152">
        <v>1178.0999999999999</v>
      </c>
      <c r="AE37" s="151"/>
      <c r="AF37" s="151"/>
      <c r="AG37" s="151"/>
      <c r="AH37" s="153">
        <v>1.24E-3</v>
      </c>
      <c r="AI37" s="153">
        <v>1.085E-2</v>
      </c>
      <c r="AJ37" s="154">
        <v>1.6100000000000001E-3</v>
      </c>
      <c r="AK37" s="174"/>
    </row>
    <row r="38" spans="1:37" x14ac:dyDescent="0.2">
      <c r="A38" s="150" t="s">
        <v>1251</v>
      </c>
      <c r="B38" s="151" t="s">
        <v>1251</v>
      </c>
      <c r="C38" s="151" t="s">
        <v>1380</v>
      </c>
      <c r="D38" s="151" t="s">
        <v>1381</v>
      </c>
      <c r="E38" s="151" t="s">
        <v>420</v>
      </c>
      <c r="F38" s="151" t="s">
        <v>1514</v>
      </c>
      <c r="G38" s="151" t="s">
        <v>1515</v>
      </c>
      <c r="H38" s="151" t="s">
        <v>75</v>
      </c>
      <c r="I38" s="151" t="s">
        <v>225</v>
      </c>
      <c r="J38" s="151" t="s">
        <v>52</v>
      </c>
      <c r="K38" s="151" t="s">
        <v>52</v>
      </c>
      <c r="L38" s="151" t="s">
        <v>775</v>
      </c>
      <c r="M38" s="151" t="s">
        <v>303</v>
      </c>
      <c r="N38" s="151" t="s">
        <v>620</v>
      </c>
      <c r="O38" s="151" t="s">
        <v>61</v>
      </c>
      <c r="P38" s="151" t="s">
        <v>1384</v>
      </c>
      <c r="Q38" s="151" t="s">
        <v>64</v>
      </c>
      <c r="R38" s="151" t="s">
        <v>56</v>
      </c>
      <c r="S38" s="151" t="s">
        <v>1255</v>
      </c>
      <c r="T38" s="152">
        <v>2.86</v>
      </c>
      <c r="U38" s="151" t="s">
        <v>1516</v>
      </c>
      <c r="V38" s="153">
        <v>2.2499999999999999E-2</v>
      </c>
      <c r="W38" s="153">
        <v>2.58E-2</v>
      </c>
      <c r="X38" s="151" t="s">
        <v>607</v>
      </c>
      <c r="Y38" s="151"/>
      <c r="Z38" s="152">
        <v>966292.44</v>
      </c>
      <c r="AA38" s="152">
        <v>1</v>
      </c>
      <c r="AB38" s="152">
        <v>118.97</v>
      </c>
      <c r="AC38" s="151"/>
      <c r="AD38" s="152">
        <v>1149.598</v>
      </c>
      <c r="AE38" s="151"/>
      <c r="AF38" s="151"/>
      <c r="AG38" s="151"/>
      <c r="AH38" s="153">
        <v>5.9999999999999995E-4</v>
      </c>
      <c r="AI38" s="153">
        <v>1.059E-2</v>
      </c>
      <c r="AJ38" s="154">
        <v>1.57E-3</v>
      </c>
      <c r="AK38" s="174"/>
    </row>
    <row r="39" spans="1:37" x14ac:dyDescent="0.2">
      <c r="A39" s="150" t="s">
        <v>1251</v>
      </c>
      <c r="B39" s="151" t="s">
        <v>1251</v>
      </c>
      <c r="C39" s="151" t="s">
        <v>1380</v>
      </c>
      <c r="D39" s="151" t="s">
        <v>1381</v>
      </c>
      <c r="E39" s="151" t="s">
        <v>420</v>
      </c>
      <c r="F39" s="151" t="s">
        <v>1517</v>
      </c>
      <c r="G39" s="151" t="s">
        <v>1518</v>
      </c>
      <c r="H39" s="151" t="s">
        <v>75</v>
      </c>
      <c r="I39" s="151" t="s">
        <v>225</v>
      </c>
      <c r="J39" s="151" t="s">
        <v>52</v>
      </c>
      <c r="K39" s="151" t="s">
        <v>52</v>
      </c>
      <c r="L39" s="151" t="s">
        <v>775</v>
      </c>
      <c r="M39" s="151" t="s">
        <v>303</v>
      </c>
      <c r="N39" s="151" t="s">
        <v>620</v>
      </c>
      <c r="O39" s="151" t="s">
        <v>61</v>
      </c>
      <c r="P39" s="151" t="s">
        <v>1384</v>
      </c>
      <c r="Q39" s="151" t="s">
        <v>64</v>
      </c>
      <c r="R39" s="151" t="s">
        <v>56</v>
      </c>
      <c r="S39" s="151" t="s">
        <v>1255</v>
      </c>
      <c r="T39" s="152">
        <v>7.27</v>
      </c>
      <c r="U39" s="151" t="s">
        <v>1519</v>
      </c>
      <c r="V39" s="153">
        <v>2.9499999999999998E-2</v>
      </c>
      <c r="W39" s="153">
        <v>2.656E-2</v>
      </c>
      <c r="X39" s="151" t="s">
        <v>607</v>
      </c>
      <c r="Y39" s="151"/>
      <c r="Z39" s="152">
        <v>1100000</v>
      </c>
      <c r="AA39" s="152">
        <v>1</v>
      </c>
      <c r="AB39" s="152">
        <v>103.14</v>
      </c>
      <c r="AC39" s="151"/>
      <c r="AD39" s="152">
        <v>1134.54</v>
      </c>
      <c r="AE39" s="151"/>
      <c r="AF39" s="151"/>
      <c r="AG39" s="151"/>
      <c r="AH39" s="153">
        <v>2.48E-3</v>
      </c>
      <c r="AI39" s="153">
        <v>1.0449999999999999E-2</v>
      </c>
      <c r="AJ39" s="154">
        <v>1.5499999999999999E-3</v>
      </c>
      <c r="AK39" s="174"/>
    </row>
    <row r="40" spans="1:37" x14ac:dyDescent="0.2">
      <c r="A40" s="150" t="s">
        <v>1251</v>
      </c>
      <c r="B40" s="151" t="s">
        <v>1251</v>
      </c>
      <c r="C40" s="151" t="s">
        <v>1520</v>
      </c>
      <c r="D40" s="151" t="s">
        <v>1521</v>
      </c>
      <c r="E40" s="151" t="s">
        <v>420</v>
      </c>
      <c r="F40" s="151" t="s">
        <v>1522</v>
      </c>
      <c r="G40" s="151" t="s">
        <v>1523</v>
      </c>
      <c r="H40" s="151" t="s">
        <v>75</v>
      </c>
      <c r="I40" s="151" t="s">
        <v>224</v>
      </c>
      <c r="J40" s="151" t="s">
        <v>52</v>
      </c>
      <c r="K40" s="151" t="s">
        <v>52</v>
      </c>
      <c r="L40" s="151" t="s">
        <v>775</v>
      </c>
      <c r="M40" s="151" t="s">
        <v>303</v>
      </c>
      <c r="N40" s="151" t="s">
        <v>262</v>
      </c>
      <c r="O40" s="151" t="s">
        <v>61</v>
      </c>
      <c r="P40" s="151" t="s">
        <v>1407</v>
      </c>
      <c r="Q40" s="151" t="s">
        <v>69</v>
      </c>
      <c r="R40" s="151" t="s">
        <v>56</v>
      </c>
      <c r="S40" s="151" t="s">
        <v>1255</v>
      </c>
      <c r="T40" s="152">
        <v>7.56</v>
      </c>
      <c r="U40" s="151" t="s">
        <v>1524</v>
      </c>
      <c r="V40" s="153">
        <v>5.1799999999999999E-2</v>
      </c>
      <c r="W40" s="153">
        <v>4.8329999999999998E-2</v>
      </c>
      <c r="X40" s="151" t="s">
        <v>607</v>
      </c>
      <c r="Y40" s="151"/>
      <c r="Z40" s="152">
        <v>1070000</v>
      </c>
      <c r="AA40" s="152">
        <v>1</v>
      </c>
      <c r="AB40" s="152">
        <v>105.88</v>
      </c>
      <c r="AC40" s="151"/>
      <c r="AD40" s="152">
        <v>1132.9159999999999</v>
      </c>
      <c r="AE40" s="151"/>
      <c r="AF40" s="151"/>
      <c r="AG40" s="151"/>
      <c r="AH40" s="153">
        <v>1.34E-3</v>
      </c>
      <c r="AI40" s="153">
        <v>1.043E-2</v>
      </c>
      <c r="AJ40" s="154">
        <v>1.5399999999999999E-3</v>
      </c>
      <c r="AK40" s="174"/>
    </row>
    <row r="41" spans="1:37" x14ac:dyDescent="0.2">
      <c r="A41" s="150" t="s">
        <v>1251</v>
      </c>
      <c r="B41" s="151" t="s">
        <v>1251</v>
      </c>
      <c r="C41" s="151" t="s">
        <v>1525</v>
      </c>
      <c r="D41" s="151" t="s">
        <v>1526</v>
      </c>
      <c r="E41" s="151" t="s">
        <v>420</v>
      </c>
      <c r="F41" s="151" t="s">
        <v>1527</v>
      </c>
      <c r="G41" s="151" t="s">
        <v>1528</v>
      </c>
      <c r="H41" s="151" t="s">
        <v>75</v>
      </c>
      <c r="I41" s="151" t="s">
        <v>224</v>
      </c>
      <c r="J41" s="151" t="s">
        <v>52</v>
      </c>
      <c r="K41" s="151" t="s">
        <v>52</v>
      </c>
      <c r="L41" s="151" t="s">
        <v>775</v>
      </c>
      <c r="M41" s="151" t="s">
        <v>303</v>
      </c>
      <c r="N41" s="151" t="s">
        <v>154</v>
      </c>
      <c r="O41" s="151" t="s">
        <v>61</v>
      </c>
      <c r="P41" s="151" t="s">
        <v>1529</v>
      </c>
      <c r="Q41" s="151" t="s">
        <v>69</v>
      </c>
      <c r="R41" s="151" t="s">
        <v>56</v>
      </c>
      <c r="S41" s="151" t="s">
        <v>1255</v>
      </c>
      <c r="T41" s="152">
        <v>2.1</v>
      </c>
      <c r="U41" s="151" t="s">
        <v>1530</v>
      </c>
      <c r="V41" s="153">
        <v>7.2499999999999995E-2</v>
      </c>
      <c r="W41" s="153">
        <v>5.9709999999999999E-2</v>
      </c>
      <c r="X41" s="151" t="s">
        <v>607</v>
      </c>
      <c r="Y41" s="151"/>
      <c r="Z41" s="152">
        <v>1062006.4099999999</v>
      </c>
      <c r="AA41" s="152">
        <v>1</v>
      </c>
      <c r="AB41" s="152">
        <v>106.43</v>
      </c>
      <c r="AC41" s="151"/>
      <c r="AD41" s="152">
        <v>1130.2929999999999</v>
      </c>
      <c r="AE41" s="151"/>
      <c r="AF41" s="151"/>
      <c r="AG41" s="151"/>
      <c r="AH41" s="153">
        <v>1.66E-3</v>
      </c>
      <c r="AI41" s="153">
        <v>1.0410000000000001E-2</v>
      </c>
      <c r="AJ41" s="154">
        <v>1.5399999999999999E-3</v>
      </c>
      <c r="AK41" s="174"/>
    </row>
    <row r="42" spans="1:37" x14ac:dyDescent="0.2">
      <c r="A42" s="150" t="s">
        <v>1251</v>
      </c>
      <c r="B42" s="151" t="s">
        <v>1251</v>
      </c>
      <c r="C42" s="151" t="s">
        <v>1531</v>
      </c>
      <c r="D42" s="151" t="s">
        <v>1532</v>
      </c>
      <c r="E42" s="151" t="s">
        <v>420</v>
      </c>
      <c r="F42" s="151" t="s">
        <v>1533</v>
      </c>
      <c r="G42" s="151" t="s">
        <v>1534</v>
      </c>
      <c r="H42" s="151" t="s">
        <v>75</v>
      </c>
      <c r="I42" s="151" t="s">
        <v>225</v>
      </c>
      <c r="J42" s="151" t="s">
        <v>52</v>
      </c>
      <c r="K42" s="151" t="s">
        <v>52</v>
      </c>
      <c r="L42" s="151" t="s">
        <v>775</v>
      </c>
      <c r="M42" s="151" t="s">
        <v>303</v>
      </c>
      <c r="N42" s="151" t="s">
        <v>620</v>
      </c>
      <c r="O42" s="151" t="s">
        <v>61</v>
      </c>
      <c r="P42" s="151" t="s">
        <v>1384</v>
      </c>
      <c r="Q42" s="151" t="s">
        <v>64</v>
      </c>
      <c r="R42" s="151" t="s">
        <v>56</v>
      </c>
      <c r="S42" s="151" t="s">
        <v>1255</v>
      </c>
      <c r="T42" s="152">
        <v>0.5</v>
      </c>
      <c r="U42" s="151" t="s">
        <v>1535</v>
      </c>
      <c r="V42" s="153">
        <v>2.4E-2</v>
      </c>
      <c r="W42" s="153">
        <v>9.3299999999999998E-3</v>
      </c>
      <c r="X42" s="151" t="s">
        <v>607</v>
      </c>
      <c r="Y42" s="151"/>
      <c r="Z42" s="152">
        <v>906661.12</v>
      </c>
      <c r="AA42" s="152">
        <v>1</v>
      </c>
      <c r="AB42" s="152">
        <v>119.4</v>
      </c>
      <c r="AC42" s="151"/>
      <c r="AD42" s="152">
        <v>1082.5530000000001</v>
      </c>
      <c r="AE42" s="151"/>
      <c r="AF42" s="151"/>
      <c r="AG42" s="151"/>
      <c r="AH42" s="153">
        <v>1.82E-3</v>
      </c>
      <c r="AI42" s="153">
        <v>9.9699999999999997E-3</v>
      </c>
      <c r="AJ42" s="154">
        <v>1.48E-3</v>
      </c>
      <c r="AK42" s="174"/>
    </row>
    <row r="43" spans="1:37" x14ac:dyDescent="0.2">
      <c r="A43" s="150" t="s">
        <v>1251</v>
      </c>
      <c r="B43" s="151" t="s">
        <v>1251</v>
      </c>
      <c r="C43" s="151" t="s">
        <v>1536</v>
      </c>
      <c r="D43" s="151" t="s">
        <v>1537</v>
      </c>
      <c r="E43" s="151" t="s">
        <v>420</v>
      </c>
      <c r="F43" s="151" t="s">
        <v>1538</v>
      </c>
      <c r="G43" s="151" t="s">
        <v>1539</v>
      </c>
      <c r="H43" s="151" t="s">
        <v>75</v>
      </c>
      <c r="I43" s="151" t="s">
        <v>225</v>
      </c>
      <c r="J43" s="151" t="s">
        <v>52</v>
      </c>
      <c r="K43" s="151" t="s">
        <v>52</v>
      </c>
      <c r="L43" s="151" t="s">
        <v>775</v>
      </c>
      <c r="M43" s="151" t="s">
        <v>303</v>
      </c>
      <c r="N43" s="151" t="s">
        <v>621</v>
      </c>
      <c r="O43" s="151" t="s">
        <v>61</v>
      </c>
      <c r="P43" s="151" t="s">
        <v>1390</v>
      </c>
      <c r="Q43" s="151" t="s">
        <v>69</v>
      </c>
      <c r="R43" s="151" t="s">
        <v>56</v>
      </c>
      <c r="S43" s="151" t="s">
        <v>1255</v>
      </c>
      <c r="T43" s="152">
        <v>0.73</v>
      </c>
      <c r="U43" s="151" t="s">
        <v>1540</v>
      </c>
      <c r="V43" s="153">
        <v>0.04</v>
      </c>
      <c r="W43" s="153">
        <v>4.376E-2</v>
      </c>
      <c r="X43" s="151" t="s">
        <v>607</v>
      </c>
      <c r="Y43" s="151"/>
      <c r="Z43" s="152">
        <v>897666.67</v>
      </c>
      <c r="AA43" s="152">
        <v>1</v>
      </c>
      <c r="AB43" s="152">
        <v>118.5</v>
      </c>
      <c r="AC43" s="151"/>
      <c r="AD43" s="152">
        <v>1063.7349999999999</v>
      </c>
      <c r="AE43" s="151"/>
      <c r="AF43" s="151"/>
      <c r="AG43" s="151"/>
      <c r="AH43" s="153">
        <v>7.2999999999999996E-4</v>
      </c>
      <c r="AI43" s="153">
        <v>9.7999999999999997E-3</v>
      </c>
      <c r="AJ43" s="154">
        <v>1.4499999999999999E-3</v>
      </c>
      <c r="AK43" s="174"/>
    </row>
    <row r="44" spans="1:37" x14ac:dyDescent="0.2">
      <c r="A44" s="150" t="s">
        <v>1251</v>
      </c>
      <c r="B44" s="151" t="s">
        <v>1251</v>
      </c>
      <c r="C44" s="151" t="s">
        <v>1525</v>
      </c>
      <c r="D44" s="151" t="s">
        <v>1526</v>
      </c>
      <c r="E44" s="151" t="s">
        <v>420</v>
      </c>
      <c r="F44" s="151" t="s">
        <v>1541</v>
      </c>
      <c r="G44" s="151" t="s">
        <v>1542</v>
      </c>
      <c r="H44" s="151" t="s">
        <v>75</v>
      </c>
      <c r="I44" s="151" t="s">
        <v>224</v>
      </c>
      <c r="J44" s="151" t="s">
        <v>52</v>
      </c>
      <c r="K44" s="151" t="s">
        <v>52</v>
      </c>
      <c r="L44" s="151" t="s">
        <v>775</v>
      </c>
      <c r="M44" s="151" t="s">
        <v>303</v>
      </c>
      <c r="N44" s="151" t="s">
        <v>154</v>
      </c>
      <c r="O44" s="151" t="s">
        <v>61</v>
      </c>
      <c r="P44" s="151" t="s">
        <v>1371</v>
      </c>
      <c r="Q44" s="151" t="s">
        <v>64</v>
      </c>
      <c r="R44" s="151" t="s">
        <v>56</v>
      </c>
      <c r="S44" s="151" t="s">
        <v>1255</v>
      </c>
      <c r="T44" s="152">
        <v>2.95</v>
      </c>
      <c r="U44" s="151" t="s">
        <v>1278</v>
      </c>
      <c r="V44" s="153">
        <v>2.4299999999999999E-2</v>
      </c>
      <c r="W44" s="153">
        <v>4.5650000000000003E-2</v>
      </c>
      <c r="X44" s="151" t="s">
        <v>607</v>
      </c>
      <c r="Y44" s="151"/>
      <c r="Z44" s="152">
        <v>1071250</v>
      </c>
      <c r="AA44" s="152">
        <v>1</v>
      </c>
      <c r="AB44" s="152">
        <v>94.84</v>
      </c>
      <c r="AC44" s="151"/>
      <c r="AD44" s="152">
        <v>1015.974</v>
      </c>
      <c r="AE44" s="151"/>
      <c r="AF44" s="151"/>
      <c r="AG44" s="151"/>
      <c r="AH44" s="153">
        <v>8.4999999999999995E-4</v>
      </c>
      <c r="AI44" s="153">
        <v>9.3600000000000003E-3</v>
      </c>
      <c r="AJ44" s="154">
        <v>1.3799999999999999E-3</v>
      </c>
      <c r="AK44" s="174"/>
    </row>
    <row r="45" spans="1:37" x14ac:dyDescent="0.2">
      <c r="A45" s="150" t="s">
        <v>1251</v>
      </c>
      <c r="B45" s="151" t="s">
        <v>1251</v>
      </c>
      <c r="C45" s="151" t="s">
        <v>1543</v>
      </c>
      <c r="D45" s="151" t="s">
        <v>1544</v>
      </c>
      <c r="E45" s="151" t="s">
        <v>420</v>
      </c>
      <c r="F45" s="151" t="s">
        <v>1545</v>
      </c>
      <c r="G45" s="151" t="s">
        <v>1546</v>
      </c>
      <c r="H45" s="151" t="s">
        <v>75</v>
      </c>
      <c r="I45" s="151" t="s">
        <v>225</v>
      </c>
      <c r="J45" s="151" t="s">
        <v>52</v>
      </c>
      <c r="K45" s="151" t="s">
        <v>52</v>
      </c>
      <c r="L45" s="151" t="s">
        <v>775</v>
      </c>
      <c r="M45" s="151" t="s">
        <v>303</v>
      </c>
      <c r="N45" s="151" t="s">
        <v>620</v>
      </c>
      <c r="O45" s="151" t="s">
        <v>61</v>
      </c>
      <c r="P45" s="151" t="s">
        <v>1384</v>
      </c>
      <c r="Q45" s="151" t="s">
        <v>64</v>
      </c>
      <c r="R45" s="151" t="s">
        <v>56</v>
      </c>
      <c r="S45" s="151" t="s">
        <v>1255</v>
      </c>
      <c r="T45" s="152">
        <v>2.13</v>
      </c>
      <c r="U45" s="151" t="s">
        <v>1547</v>
      </c>
      <c r="V45" s="153">
        <v>1.14E-2</v>
      </c>
      <c r="W45" s="153">
        <v>2.376E-2</v>
      </c>
      <c r="X45" s="151" t="s">
        <v>607</v>
      </c>
      <c r="Y45" s="151"/>
      <c r="Z45" s="152">
        <v>868500</v>
      </c>
      <c r="AA45" s="152">
        <v>1</v>
      </c>
      <c r="AB45" s="152">
        <v>113.75</v>
      </c>
      <c r="AC45" s="151"/>
      <c r="AD45" s="152">
        <v>987.91899999999998</v>
      </c>
      <c r="AE45" s="151"/>
      <c r="AF45" s="151"/>
      <c r="AG45" s="151"/>
      <c r="AH45" s="153">
        <v>4.0999999999999999E-4</v>
      </c>
      <c r="AI45" s="153">
        <v>9.1000000000000004E-3</v>
      </c>
      <c r="AJ45" s="154">
        <v>1.3500000000000001E-3</v>
      </c>
      <c r="AK45" s="174"/>
    </row>
    <row r="46" spans="1:37" x14ac:dyDescent="0.2">
      <c r="A46" s="150" t="s">
        <v>1251</v>
      </c>
      <c r="B46" s="151" t="s">
        <v>1251</v>
      </c>
      <c r="C46" s="151" t="s">
        <v>1403</v>
      </c>
      <c r="D46" s="151" t="s">
        <v>1404</v>
      </c>
      <c r="E46" s="151" t="s">
        <v>420</v>
      </c>
      <c r="F46" s="151" t="s">
        <v>1548</v>
      </c>
      <c r="G46" s="151" t="s">
        <v>1549</v>
      </c>
      <c r="H46" s="151" t="s">
        <v>75</v>
      </c>
      <c r="I46" s="151" t="s">
        <v>225</v>
      </c>
      <c r="J46" s="151" t="s">
        <v>52</v>
      </c>
      <c r="K46" s="151" t="s">
        <v>52</v>
      </c>
      <c r="L46" s="151" t="s">
        <v>775</v>
      </c>
      <c r="M46" s="151" t="s">
        <v>303</v>
      </c>
      <c r="N46" s="151" t="s">
        <v>618</v>
      </c>
      <c r="O46" s="151" t="s">
        <v>61</v>
      </c>
      <c r="P46" s="151" t="s">
        <v>1407</v>
      </c>
      <c r="Q46" s="151" t="s">
        <v>69</v>
      </c>
      <c r="R46" s="151" t="s">
        <v>56</v>
      </c>
      <c r="S46" s="151" t="s">
        <v>1255</v>
      </c>
      <c r="T46" s="152">
        <v>0.74</v>
      </c>
      <c r="U46" s="151" t="s">
        <v>1351</v>
      </c>
      <c r="V46" s="153">
        <v>3.5400000000000001E-2</v>
      </c>
      <c r="W46" s="153">
        <v>2.3009999999999999E-2</v>
      </c>
      <c r="X46" s="151" t="s">
        <v>607</v>
      </c>
      <c r="Y46" s="151"/>
      <c r="Z46" s="152">
        <v>889500.01</v>
      </c>
      <c r="AA46" s="152">
        <v>1</v>
      </c>
      <c r="AB46" s="152">
        <v>110.42</v>
      </c>
      <c r="AC46" s="151"/>
      <c r="AD46" s="152">
        <v>982.18600000000004</v>
      </c>
      <c r="AE46" s="151"/>
      <c r="AF46" s="151"/>
      <c r="AG46" s="151"/>
      <c r="AH46" s="153">
        <v>1.5900000000000001E-3</v>
      </c>
      <c r="AI46" s="153">
        <v>9.0500000000000008E-3</v>
      </c>
      <c r="AJ46" s="154">
        <v>1.34E-3</v>
      </c>
      <c r="AK46" s="174"/>
    </row>
    <row r="47" spans="1:37" x14ac:dyDescent="0.2">
      <c r="A47" s="150" t="s">
        <v>1251</v>
      </c>
      <c r="B47" s="151" t="s">
        <v>1251</v>
      </c>
      <c r="C47" s="151" t="s">
        <v>1479</v>
      </c>
      <c r="D47" s="151" t="s">
        <v>1480</v>
      </c>
      <c r="E47" s="151" t="s">
        <v>420</v>
      </c>
      <c r="F47" s="151" t="s">
        <v>1550</v>
      </c>
      <c r="G47" s="151" t="s">
        <v>1551</v>
      </c>
      <c r="H47" s="151" t="s">
        <v>75</v>
      </c>
      <c r="I47" s="151" t="s">
        <v>225</v>
      </c>
      <c r="J47" s="151" t="s">
        <v>52</v>
      </c>
      <c r="K47" s="151" t="s">
        <v>52</v>
      </c>
      <c r="L47" s="151" t="s">
        <v>775</v>
      </c>
      <c r="M47" s="151" t="s">
        <v>303</v>
      </c>
      <c r="N47" s="151" t="s">
        <v>251</v>
      </c>
      <c r="O47" s="151" t="s">
        <v>61</v>
      </c>
      <c r="P47" s="151" t="s">
        <v>1419</v>
      </c>
      <c r="Q47" s="151" t="s">
        <v>64</v>
      </c>
      <c r="R47" s="151" t="s">
        <v>56</v>
      </c>
      <c r="S47" s="151" t="s">
        <v>1255</v>
      </c>
      <c r="T47" s="152">
        <v>2.56</v>
      </c>
      <c r="U47" s="151" t="s">
        <v>1552</v>
      </c>
      <c r="V47" s="153">
        <v>1E-3</v>
      </c>
      <c r="W47" s="153">
        <v>2.308E-2</v>
      </c>
      <c r="X47" s="151" t="s">
        <v>607</v>
      </c>
      <c r="Y47" s="151"/>
      <c r="Z47" s="152">
        <v>899000</v>
      </c>
      <c r="AA47" s="152">
        <v>1</v>
      </c>
      <c r="AB47" s="152">
        <v>108.87</v>
      </c>
      <c r="AC47" s="151"/>
      <c r="AD47" s="152">
        <v>978.74099999999999</v>
      </c>
      <c r="AE47" s="151"/>
      <c r="AF47" s="151"/>
      <c r="AG47" s="151"/>
      <c r="AH47" s="153">
        <v>2.7E-4</v>
      </c>
      <c r="AI47" s="153">
        <v>9.0100000000000006E-3</v>
      </c>
      <c r="AJ47" s="154">
        <v>1.33E-3</v>
      </c>
      <c r="AK47" s="174"/>
    </row>
    <row r="48" spans="1:37" x14ac:dyDescent="0.2">
      <c r="A48" s="150" t="s">
        <v>1251</v>
      </c>
      <c r="B48" s="151" t="s">
        <v>1251</v>
      </c>
      <c r="C48" s="151" t="s">
        <v>1553</v>
      </c>
      <c r="D48" s="151" t="s">
        <v>1554</v>
      </c>
      <c r="E48" s="151" t="s">
        <v>420</v>
      </c>
      <c r="F48" s="151" t="s">
        <v>1555</v>
      </c>
      <c r="G48" s="151" t="s">
        <v>1556</v>
      </c>
      <c r="H48" s="151" t="s">
        <v>75</v>
      </c>
      <c r="I48" s="151" t="s">
        <v>226</v>
      </c>
      <c r="J48" s="151" t="s">
        <v>52</v>
      </c>
      <c r="K48" s="151" t="s">
        <v>52</v>
      </c>
      <c r="L48" s="151" t="s">
        <v>775</v>
      </c>
      <c r="M48" s="151" t="s">
        <v>463</v>
      </c>
      <c r="N48" s="151" t="s">
        <v>191</v>
      </c>
      <c r="O48" s="151" t="s">
        <v>61</v>
      </c>
      <c r="P48" s="151" t="s">
        <v>1486</v>
      </c>
      <c r="Q48" s="151" t="s">
        <v>95</v>
      </c>
      <c r="R48" s="151" t="s">
        <v>56</v>
      </c>
      <c r="S48" s="151" t="s">
        <v>1256</v>
      </c>
      <c r="T48" s="152">
        <v>1.7000000000000001E-2</v>
      </c>
      <c r="U48" s="151" t="s">
        <v>1557</v>
      </c>
      <c r="V48" s="153">
        <v>3.0769999999999999E-2</v>
      </c>
      <c r="W48" s="153">
        <v>6.3409999999999994E-2</v>
      </c>
      <c r="X48" s="151" t="s">
        <v>607</v>
      </c>
      <c r="Y48" s="151"/>
      <c r="Z48" s="152">
        <v>300000</v>
      </c>
      <c r="AA48" s="152">
        <v>3.165</v>
      </c>
      <c r="AB48" s="152">
        <v>101.425</v>
      </c>
      <c r="AC48" s="151"/>
      <c r="AD48" s="152">
        <v>963.02800000000002</v>
      </c>
      <c r="AE48" s="151"/>
      <c r="AF48" s="151"/>
      <c r="AG48" s="151"/>
      <c r="AH48" s="153">
        <v>5.0000000000000001E-4</v>
      </c>
      <c r="AI48" s="153">
        <v>8.8699999999999994E-3</v>
      </c>
      <c r="AJ48" s="154">
        <v>1.31E-3</v>
      </c>
      <c r="AK48" s="174"/>
    </row>
    <row r="49" spans="1:37" x14ac:dyDescent="0.2">
      <c r="A49" s="150" t="s">
        <v>1251</v>
      </c>
      <c r="B49" s="151" t="s">
        <v>1251</v>
      </c>
      <c r="C49" s="151" t="s">
        <v>1558</v>
      </c>
      <c r="D49" s="151" t="s">
        <v>1559</v>
      </c>
      <c r="E49" s="151" t="s">
        <v>420</v>
      </c>
      <c r="F49" s="151" t="s">
        <v>1560</v>
      </c>
      <c r="G49" s="151" t="s">
        <v>1561</v>
      </c>
      <c r="H49" s="151" t="s">
        <v>75</v>
      </c>
      <c r="I49" s="151" t="s">
        <v>225</v>
      </c>
      <c r="J49" s="151" t="s">
        <v>52</v>
      </c>
      <c r="K49" s="151" t="s">
        <v>52</v>
      </c>
      <c r="L49" s="151" t="s">
        <v>775</v>
      </c>
      <c r="M49" s="151" t="s">
        <v>303</v>
      </c>
      <c r="N49" s="151" t="s">
        <v>620</v>
      </c>
      <c r="O49" s="151" t="s">
        <v>61</v>
      </c>
      <c r="P49" s="151" t="s">
        <v>1365</v>
      </c>
      <c r="Q49" s="151" t="s">
        <v>69</v>
      </c>
      <c r="R49" s="151" t="s">
        <v>56</v>
      </c>
      <c r="S49" s="151" t="s">
        <v>1255</v>
      </c>
      <c r="T49" s="152">
        <v>4.24</v>
      </c>
      <c r="U49" s="151" t="s">
        <v>1562</v>
      </c>
      <c r="V49" s="153">
        <v>1.8700000000000001E-2</v>
      </c>
      <c r="W49" s="153">
        <v>2.7779999999999999E-2</v>
      </c>
      <c r="X49" s="151" t="s">
        <v>607</v>
      </c>
      <c r="Y49" s="151"/>
      <c r="Z49" s="152">
        <v>856363.81</v>
      </c>
      <c r="AA49" s="152">
        <v>1</v>
      </c>
      <c r="AB49" s="152">
        <v>109.77</v>
      </c>
      <c r="AC49" s="151"/>
      <c r="AD49" s="152">
        <v>940.03099999999995</v>
      </c>
      <c r="AE49" s="151"/>
      <c r="AF49" s="151"/>
      <c r="AG49" s="151"/>
      <c r="AH49" s="153">
        <v>8.8000000000000003E-4</v>
      </c>
      <c r="AI49" s="153">
        <v>8.6599999999999993E-3</v>
      </c>
      <c r="AJ49" s="154">
        <v>1.2800000000000001E-3</v>
      </c>
      <c r="AK49" s="174"/>
    </row>
    <row r="50" spans="1:37" x14ac:dyDescent="0.2">
      <c r="A50" s="150" t="s">
        <v>1251</v>
      </c>
      <c r="B50" s="151" t="s">
        <v>1251</v>
      </c>
      <c r="C50" s="151" t="s">
        <v>1563</v>
      </c>
      <c r="D50" s="151" t="s">
        <v>1564</v>
      </c>
      <c r="E50" s="151" t="s">
        <v>420</v>
      </c>
      <c r="F50" s="151" t="s">
        <v>1565</v>
      </c>
      <c r="G50" s="151" t="s">
        <v>1566</v>
      </c>
      <c r="H50" s="151" t="s">
        <v>75</v>
      </c>
      <c r="I50" s="151" t="s">
        <v>225</v>
      </c>
      <c r="J50" s="151" t="s">
        <v>52</v>
      </c>
      <c r="K50" s="151" t="s">
        <v>52</v>
      </c>
      <c r="L50" s="151" t="s">
        <v>775</v>
      </c>
      <c r="M50" s="151" t="s">
        <v>303</v>
      </c>
      <c r="N50" s="151" t="s">
        <v>620</v>
      </c>
      <c r="O50" s="151" t="s">
        <v>61</v>
      </c>
      <c r="P50" s="151" t="s">
        <v>1365</v>
      </c>
      <c r="Q50" s="151" t="s">
        <v>69</v>
      </c>
      <c r="R50" s="151" t="s">
        <v>56</v>
      </c>
      <c r="S50" s="151" t="s">
        <v>1255</v>
      </c>
      <c r="T50" s="152">
        <v>1.49</v>
      </c>
      <c r="U50" s="151" t="s">
        <v>1567</v>
      </c>
      <c r="V50" s="153">
        <v>1.9599999999999999E-2</v>
      </c>
      <c r="W50" s="153">
        <v>2.23E-2</v>
      </c>
      <c r="X50" s="151" t="s">
        <v>607</v>
      </c>
      <c r="Y50" s="151"/>
      <c r="Z50" s="152">
        <v>733000</v>
      </c>
      <c r="AA50" s="152">
        <v>1</v>
      </c>
      <c r="AB50" s="152">
        <v>119.16</v>
      </c>
      <c r="AC50" s="151"/>
      <c r="AD50" s="152">
        <v>873.44299999999998</v>
      </c>
      <c r="AE50" s="151"/>
      <c r="AF50" s="151"/>
      <c r="AG50" s="151"/>
      <c r="AH50" s="153">
        <v>6.4000000000000005E-4</v>
      </c>
      <c r="AI50" s="153">
        <v>8.0400000000000003E-3</v>
      </c>
      <c r="AJ50" s="154">
        <v>1.1900000000000001E-3</v>
      </c>
      <c r="AK50" s="174"/>
    </row>
    <row r="51" spans="1:37" x14ac:dyDescent="0.2">
      <c r="A51" s="150" t="s">
        <v>1251</v>
      </c>
      <c r="B51" s="151" t="s">
        <v>1251</v>
      </c>
      <c r="C51" s="151" t="s">
        <v>1479</v>
      </c>
      <c r="D51" s="151" t="s">
        <v>1480</v>
      </c>
      <c r="E51" s="151" t="s">
        <v>420</v>
      </c>
      <c r="F51" s="151" t="s">
        <v>1568</v>
      </c>
      <c r="G51" s="151" t="s">
        <v>1569</v>
      </c>
      <c r="H51" s="151" t="s">
        <v>75</v>
      </c>
      <c r="I51" s="151" t="s">
        <v>225</v>
      </c>
      <c r="J51" s="151" t="s">
        <v>52</v>
      </c>
      <c r="K51" s="151" t="s">
        <v>52</v>
      </c>
      <c r="L51" s="151" t="s">
        <v>775</v>
      </c>
      <c r="M51" s="151" t="s">
        <v>303</v>
      </c>
      <c r="N51" s="151" t="s">
        <v>251</v>
      </c>
      <c r="O51" s="151" t="s">
        <v>61</v>
      </c>
      <c r="P51" s="151" t="s">
        <v>1419</v>
      </c>
      <c r="Q51" s="151" t="s">
        <v>64</v>
      </c>
      <c r="R51" s="151" t="s">
        <v>56</v>
      </c>
      <c r="S51" s="151" t="s">
        <v>1255</v>
      </c>
      <c r="T51" s="152">
        <v>3.08</v>
      </c>
      <c r="U51" s="151" t="s">
        <v>1570</v>
      </c>
      <c r="V51" s="153">
        <v>1.6400000000000001E-2</v>
      </c>
      <c r="W51" s="153">
        <v>2.3400000000000001E-2</v>
      </c>
      <c r="X51" s="151" t="s">
        <v>607</v>
      </c>
      <c r="Y51" s="151"/>
      <c r="Z51" s="152">
        <v>800040.01</v>
      </c>
      <c r="AA51" s="152">
        <v>1</v>
      </c>
      <c r="AB51" s="152">
        <v>107.65</v>
      </c>
      <c r="AC51" s="151"/>
      <c r="AD51" s="152">
        <v>861.24300000000005</v>
      </c>
      <c r="AE51" s="151"/>
      <c r="AF51" s="151"/>
      <c r="AG51" s="151"/>
      <c r="AH51" s="153">
        <v>9.8999999999999999E-4</v>
      </c>
      <c r="AI51" s="153">
        <v>7.9299999999999995E-3</v>
      </c>
      <c r="AJ51" s="154">
        <v>1.17E-3</v>
      </c>
      <c r="AK51" s="174"/>
    </row>
    <row r="52" spans="1:37" x14ac:dyDescent="0.2">
      <c r="A52" s="150" t="s">
        <v>1251</v>
      </c>
      <c r="B52" s="151" t="s">
        <v>1251</v>
      </c>
      <c r="C52" s="151" t="s">
        <v>1571</v>
      </c>
      <c r="D52" s="151" t="s">
        <v>1572</v>
      </c>
      <c r="E52" s="151" t="s">
        <v>420</v>
      </c>
      <c r="F52" s="151" t="s">
        <v>1573</v>
      </c>
      <c r="G52" s="151" t="s">
        <v>1574</v>
      </c>
      <c r="H52" s="151" t="s">
        <v>75</v>
      </c>
      <c r="I52" s="151" t="s">
        <v>226</v>
      </c>
      <c r="J52" s="151" t="s">
        <v>52</v>
      </c>
      <c r="K52" s="151" t="s">
        <v>52</v>
      </c>
      <c r="L52" s="151" t="s">
        <v>775</v>
      </c>
      <c r="M52" s="151" t="s">
        <v>303</v>
      </c>
      <c r="N52" s="151" t="s">
        <v>260</v>
      </c>
      <c r="O52" s="151" t="s">
        <v>61</v>
      </c>
      <c r="P52" s="151" t="s">
        <v>1407</v>
      </c>
      <c r="Q52" s="151" t="s">
        <v>69</v>
      </c>
      <c r="R52" s="151" t="s">
        <v>56</v>
      </c>
      <c r="S52" s="151" t="s">
        <v>1255</v>
      </c>
      <c r="T52" s="152">
        <v>2.02</v>
      </c>
      <c r="U52" s="151" t="s">
        <v>1575</v>
      </c>
      <c r="V52" s="153">
        <v>4.6899999999999997E-2</v>
      </c>
      <c r="W52" s="153">
        <v>5.9650000000000002E-2</v>
      </c>
      <c r="X52" s="151" t="s">
        <v>607</v>
      </c>
      <c r="Y52" s="151"/>
      <c r="Z52" s="152">
        <v>972156.32</v>
      </c>
      <c r="AA52" s="152">
        <v>1</v>
      </c>
      <c r="AB52" s="152">
        <v>88.06</v>
      </c>
      <c r="AC52" s="151"/>
      <c r="AD52" s="152">
        <v>856.08100000000002</v>
      </c>
      <c r="AE52" s="151"/>
      <c r="AF52" s="151"/>
      <c r="AG52" s="151"/>
      <c r="AH52" s="153">
        <v>8.3000000000000001E-4</v>
      </c>
      <c r="AI52" s="153">
        <v>7.8799999999999999E-3</v>
      </c>
      <c r="AJ52" s="154">
        <v>1.17E-3</v>
      </c>
      <c r="AK52" s="174"/>
    </row>
    <row r="53" spans="1:37" x14ac:dyDescent="0.2">
      <c r="A53" s="150" t="s">
        <v>1251</v>
      </c>
      <c r="B53" s="151" t="s">
        <v>1251</v>
      </c>
      <c r="C53" s="151" t="s">
        <v>1392</v>
      </c>
      <c r="D53" s="151" t="s">
        <v>1393</v>
      </c>
      <c r="E53" s="151" t="s">
        <v>420</v>
      </c>
      <c r="F53" s="151" t="s">
        <v>1576</v>
      </c>
      <c r="G53" s="151" t="s">
        <v>1577</v>
      </c>
      <c r="H53" s="151" t="s">
        <v>75</v>
      </c>
      <c r="I53" s="151" t="s">
        <v>225</v>
      </c>
      <c r="J53" s="151" t="s">
        <v>52</v>
      </c>
      <c r="K53" s="151" t="s">
        <v>52</v>
      </c>
      <c r="L53" s="151" t="s">
        <v>775</v>
      </c>
      <c r="M53" s="151" t="s">
        <v>303</v>
      </c>
      <c r="N53" s="151" t="s">
        <v>620</v>
      </c>
      <c r="O53" s="151" t="s">
        <v>61</v>
      </c>
      <c r="P53" s="151" t="s">
        <v>1578</v>
      </c>
      <c r="Q53" s="151" t="s">
        <v>69</v>
      </c>
      <c r="R53" s="151" t="s">
        <v>56</v>
      </c>
      <c r="S53" s="151" t="s">
        <v>1255</v>
      </c>
      <c r="T53" s="152">
        <v>2.2000000000000002</v>
      </c>
      <c r="U53" s="151" t="s">
        <v>1579</v>
      </c>
      <c r="V53" s="153">
        <v>1.34E-2</v>
      </c>
      <c r="W53" s="153">
        <v>2.4660000000000001E-2</v>
      </c>
      <c r="X53" s="151" t="s">
        <v>607</v>
      </c>
      <c r="Y53" s="151"/>
      <c r="Z53" s="152">
        <v>730961.26</v>
      </c>
      <c r="AA53" s="152">
        <v>1</v>
      </c>
      <c r="AB53" s="152">
        <v>116.87</v>
      </c>
      <c r="AC53" s="151"/>
      <c r="AD53" s="152">
        <v>854.274</v>
      </c>
      <c r="AE53" s="151"/>
      <c r="AF53" s="151"/>
      <c r="AG53" s="151"/>
      <c r="AH53" s="153">
        <v>3.6999999999999999E-4</v>
      </c>
      <c r="AI53" s="153">
        <v>7.8700000000000003E-3</v>
      </c>
      <c r="AJ53" s="154">
        <v>1.16E-3</v>
      </c>
      <c r="AK53" s="174"/>
    </row>
    <row r="54" spans="1:37" x14ac:dyDescent="0.2">
      <c r="A54" s="150" t="s">
        <v>1251</v>
      </c>
      <c r="B54" s="151" t="s">
        <v>1251</v>
      </c>
      <c r="C54" s="151" t="s">
        <v>1380</v>
      </c>
      <c r="D54" s="151" t="s">
        <v>1381</v>
      </c>
      <c r="E54" s="151" t="s">
        <v>420</v>
      </c>
      <c r="F54" s="151" t="s">
        <v>1580</v>
      </c>
      <c r="G54" s="151" t="s">
        <v>1581</v>
      </c>
      <c r="H54" s="151" t="s">
        <v>75</v>
      </c>
      <c r="I54" s="151" t="s">
        <v>225</v>
      </c>
      <c r="J54" s="151" t="s">
        <v>52</v>
      </c>
      <c r="K54" s="151" t="s">
        <v>52</v>
      </c>
      <c r="L54" s="151" t="s">
        <v>775</v>
      </c>
      <c r="M54" s="151" t="s">
        <v>303</v>
      </c>
      <c r="N54" s="151" t="s">
        <v>620</v>
      </c>
      <c r="O54" s="151" t="s">
        <v>61</v>
      </c>
      <c r="P54" s="151" t="s">
        <v>1384</v>
      </c>
      <c r="Q54" s="151" t="s">
        <v>64</v>
      </c>
      <c r="R54" s="151" t="s">
        <v>56</v>
      </c>
      <c r="S54" s="151" t="s">
        <v>1255</v>
      </c>
      <c r="T54" s="152">
        <v>2.1800000000000002</v>
      </c>
      <c r="U54" s="151" t="s">
        <v>1582</v>
      </c>
      <c r="V54" s="153">
        <v>6.4999999999999997E-3</v>
      </c>
      <c r="W54" s="153">
        <v>2.3060000000000001E-2</v>
      </c>
      <c r="X54" s="151" t="s">
        <v>607</v>
      </c>
      <c r="Y54" s="151"/>
      <c r="Z54" s="152">
        <v>748936.11</v>
      </c>
      <c r="AA54" s="152">
        <v>1</v>
      </c>
      <c r="AB54" s="152">
        <v>113.67</v>
      </c>
      <c r="AC54" s="151"/>
      <c r="AD54" s="152">
        <v>851.31600000000003</v>
      </c>
      <c r="AE54" s="151"/>
      <c r="AF54" s="151"/>
      <c r="AG54" s="151"/>
      <c r="AH54" s="153">
        <v>1.42E-3</v>
      </c>
      <c r="AI54" s="153">
        <v>7.8399999999999997E-3</v>
      </c>
      <c r="AJ54" s="154">
        <v>1.16E-3</v>
      </c>
      <c r="AK54" s="174"/>
    </row>
    <row r="55" spans="1:37" x14ac:dyDescent="0.2">
      <c r="A55" s="150" t="s">
        <v>1251</v>
      </c>
      <c r="B55" s="151" t="s">
        <v>1251</v>
      </c>
      <c r="C55" s="151" t="s">
        <v>1583</v>
      </c>
      <c r="D55" s="151" t="s">
        <v>1584</v>
      </c>
      <c r="E55" s="151" t="s">
        <v>420</v>
      </c>
      <c r="F55" s="151" t="s">
        <v>1585</v>
      </c>
      <c r="G55" s="151" t="s">
        <v>1586</v>
      </c>
      <c r="H55" s="151" t="s">
        <v>75</v>
      </c>
      <c r="I55" s="151" t="s">
        <v>224</v>
      </c>
      <c r="J55" s="151" t="s">
        <v>52</v>
      </c>
      <c r="K55" s="151" t="s">
        <v>52</v>
      </c>
      <c r="L55" s="151" t="s">
        <v>775</v>
      </c>
      <c r="M55" s="151" t="s">
        <v>303</v>
      </c>
      <c r="N55" s="151" t="s">
        <v>262</v>
      </c>
      <c r="O55" s="151" t="s">
        <v>61</v>
      </c>
      <c r="P55" s="151" t="s">
        <v>1436</v>
      </c>
      <c r="Q55" s="151" t="s">
        <v>69</v>
      </c>
      <c r="R55" s="151" t="s">
        <v>56</v>
      </c>
      <c r="S55" s="151" t="s">
        <v>1255</v>
      </c>
      <c r="T55" s="152">
        <v>4.5</v>
      </c>
      <c r="U55" s="151" t="s">
        <v>1587</v>
      </c>
      <c r="V55" s="153">
        <v>1.95E-2</v>
      </c>
      <c r="W55" s="153">
        <v>4.4350000000000001E-2</v>
      </c>
      <c r="X55" s="151" t="s">
        <v>607</v>
      </c>
      <c r="Y55" s="151"/>
      <c r="Z55" s="152">
        <v>942546.71</v>
      </c>
      <c r="AA55" s="152">
        <v>1</v>
      </c>
      <c r="AB55" s="152">
        <v>89.99</v>
      </c>
      <c r="AC55" s="151"/>
      <c r="AD55" s="152">
        <v>848.19799999999998</v>
      </c>
      <c r="AE55" s="151"/>
      <c r="AF55" s="151"/>
      <c r="AG55" s="151"/>
      <c r="AH55" s="153">
        <v>1.0300000000000001E-3</v>
      </c>
      <c r="AI55" s="153">
        <v>7.8100000000000001E-3</v>
      </c>
      <c r="AJ55" s="154">
        <v>1.16E-3</v>
      </c>
      <c r="AK55" s="174"/>
    </row>
    <row r="56" spans="1:37" x14ac:dyDescent="0.2">
      <c r="A56" s="150" t="s">
        <v>1251</v>
      </c>
      <c r="B56" s="151" t="s">
        <v>1251</v>
      </c>
      <c r="C56" s="151" t="s">
        <v>1479</v>
      </c>
      <c r="D56" s="151" t="s">
        <v>1480</v>
      </c>
      <c r="E56" s="151" t="s">
        <v>420</v>
      </c>
      <c r="F56" s="151" t="s">
        <v>1588</v>
      </c>
      <c r="G56" s="151" t="s">
        <v>1589</v>
      </c>
      <c r="H56" s="151" t="s">
        <v>75</v>
      </c>
      <c r="I56" s="151" t="s">
        <v>225</v>
      </c>
      <c r="J56" s="151" t="s">
        <v>52</v>
      </c>
      <c r="K56" s="151" t="s">
        <v>52</v>
      </c>
      <c r="L56" s="151" t="s">
        <v>775</v>
      </c>
      <c r="M56" s="151" t="s">
        <v>303</v>
      </c>
      <c r="N56" s="151" t="s">
        <v>251</v>
      </c>
      <c r="O56" s="151" t="s">
        <v>61</v>
      </c>
      <c r="P56" s="151" t="s">
        <v>1419</v>
      </c>
      <c r="Q56" s="151" t="s">
        <v>64</v>
      </c>
      <c r="R56" s="151" t="s">
        <v>56</v>
      </c>
      <c r="S56" s="151" t="s">
        <v>1255</v>
      </c>
      <c r="T56" s="152">
        <v>5.19</v>
      </c>
      <c r="U56" s="151" t="s">
        <v>1590</v>
      </c>
      <c r="V56" s="153">
        <v>2.6800000000000001E-2</v>
      </c>
      <c r="W56" s="153">
        <v>2.5260000000000001E-2</v>
      </c>
      <c r="X56" s="151" t="s">
        <v>607</v>
      </c>
      <c r="Y56" s="151"/>
      <c r="Z56" s="152">
        <v>800279.1</v>
      </c>
      <c r="AA56" s="152">
        <v>1</v>
      </c>
      <c r="AB56" s="152">
        <v>103.6</v>
      </c>
      <c r="AC56" s="151"/>
      <c r="AD56" s="152">
        <v>829.08900000000006</v>
      </c>
      <c r="AE56" s="151"/>
      <c r="AF56" s="151"/>
      <c r="AG56" s="151"/>
      <c r="AH56" s="153">
        <v>3.1E-4</v>
      </c>
      <c r="AI56" s="153">
        <v>7.6400000000000001E-3</v>
      </c>
      <c r="AJ56" s="154">
        <v>1.1299999999999999E-3</v>
      </c>
      <c r="AK56" s="174"/>
    </row>
    <row r="57" spans="1:37" x14ac:dyDescent="0.2">
      <c r="A57" s="150" t="s">
        <v>1251</v>
      </c>
      <c r="B57" s="151" t="s">
        <v>1251</v>
      </c>
      <c r="C57" s="151" t="s">
        <v>1454</v>
      </c>
      <c r="D57" s="151" t="s">
        <v>1455</v>
      </c>
      <c r="E57" s="151" t="s">
        <v>420</v>
      </c>
      <c r="F57" s="151" t="s">
        <v>1591</v>
      </c>
      <c r="G57" s="151" t="s">
        <v>1592</v>
      </c>
      <c r="H57" s="151" t="s">
        <v>75</v>
      </c>
      <c r="I57" s="151" t="s">
        <v>224</v>
      </c>
      <c r="J57" s="151" t="s">
        <v>52</v>
      </c>
      <c r="K57" s="151" t="s">
        <v>52</v>
      </c>
      <c r="L57" s="151" t="s">
        <v>775</v>
      </c>
      <c r="M57" s="151" t="s">
        <v>303</v>
      </c>
      <c r="N57" s="151" t="s">
        <v>138</v>
      </c>
      <c r="O57" s="151" t="s">
        <v>61</v>
      </c>
      <c r="P57" s="151" t="s">
        <v>1407</v>
      </c>
      <c r="Q57" s="151" t="s">
        <v>69</v>
      </c>
      <c r="R57" s="151" t="s">
        <v>56</v>
      </c>
      <c r="S57" s="151" t="s">
        <v>1255</v>
      </c>
      <c r="T57" s="152">
        <v>1.22</v>
      </c>
      <c r="U57" s="151" t="s">
        <v>1593</v>
      </c>
      <c r="V57" s="153">
        <v>2.58E-2</v>
      </c>
      <c r="W57" s="153">
        <v>4.725E-2</v>
      </c>
      <c r="X57" s="151" t="s">
        <v>607</v>
      </c>
      <c r="Y57" s="151"/>
      <c r="Z57" s="152">
        <v>822695</v>
      </c>
      <c r="AA57" s="152">
        <v>1</v>
      </c>
      <c r="AB57" s="152">
        <v>98.14</v>
      </c>
      <c r="AC57" s="151"/>
      <c r="AD57" s="152">
        <v>807.39300000000003</v>
      </c>
      <c r="AE57" s="151"/>
      <c r="AF57" s="151"/>
      <c r="AG57" s="151"/>
      <c r="AH57" s="153">
        <v>4.3099999999999996E-3</v>
      </c>
      <c r="AI57" s="153">
        <v>7.4400000000000004E-3</v>
      </c>
      <c r="AJ57" s="154">
        <v>1.1000000000000001E-3</v>
      </c>
      <c r="AK57" s="174"/>
    </row>
    <row r="58" spans="1:37" x14ac:dyDescent="0.2">
      <c r="A58" s="150" t="s">
        <v>1251</v>
      </c>
      <c r="B58" s="151" t="s">
        <v>1251</v>
      </c>
      <c r="C58" s="151" t="s">
        <v>1438</v>
      </c>
      <c r="D58" s="151" t="s">
        <v>1439</v>
      </c>
      <c r="E58" s="151" t="s">
        <v>420</v>
      </c>
      <c r="F58" s="151" t="s">
        <v>1594</v>
      </c>
      <c r="G58" s="151" t="s">
        <v>1595</v>
      </c>
      <c r="H58" s="151" t="s">
        <v>75</v>
      </c>
      <c r="I58" s="151" t="s">
        <v>224</v>
      </c>
      <c r="J58" s="151" t="s">
        <v>52</v>
      </c>
      <c r="K58" s="151" t="s">
        <v>52</v>
      </c>
      <c r="L58" s="151" t="s">
        <v>775</v>
      </c>
      <c r="M58" s="151" t="s">
        <v>303</v>
      </c>
      <c r="N58" s="151" t="s">
        <v>262</v>
      </c>
      <c r="O58" s="151" t="s">
        <v>61</v>
      </c>
      <c r="P58" s="151" t="s">
        <v>1407</v>
      </c>
      <c r="Q58" s="151" t="s">
        <v>69</v>
      </c>
      <c r="R58" s="151" t="s">
        <v>56</v>
      </c>
      <c r="S58" s="151" t="s">
        <v>1255</v>
      </c>
      <c r="T58" s="152">
        <v>6.82</v>
      </c>
      <c r="U58" s="151" t="s">
        <v>1391</v>
      </c>
      <c r="V58" s="153">
        <v>4.7800000000000002E-2</v>
      </c>
      <c r="W58" s="153">
        <v>4.7230000000000001E-2</v>
      </c>
      <c r="X58" s="151" t="s">
        <v>607</v>
      </c>
      <c r="Y58" s="151"/>
      <c r="Z58" s="152">
        <v>750000</v>
      </c>
      <c r="AA58" s="152">
        <v>1</v>
      </c>
      <c r="AB58" s="152">
        <v>102.2</v>
      </c>
      <c r="AC58" s="151"/>
      <c r="AD58" s="152">
        <v>766.5</v>
      </c>
      <c r="AE58" s="151"/>
      <c r="AF58" s="151"/>
      <c r="AG58" s="151"/>
      <c r="AH58" s="153">
        <v>2.81E-3</v>
      </c>
      <c r="AI58" s="153">
        <v>7.0600000000000003E-3</v>
      </c>
      <c r="AJ58" s="154">
        <v>1.0399999999999999E-3</v>
      </c>
      <c r="AK58" s="174"/>
    </row>
    <row r="59" spans="1:37" x14ac:dyDescent="0.2">
      <c r="A59" s="150" t="s">
        <v>1251</v>
      </c>
      <c r="B59" s="151" t="s">
        <v>1251</v>
      </c>
      <c r="C59" s="151" t="s">
        <v>1438</v>
      </c>
      <c r="D59" s="151" t="s">
        <v>1439</v>
      </c>
      <c r="E59" s="151" t="s">
        <v>420</v>
      </c>
      <c r="F59" s="151" t="s">
        <v>1596</v>
      </c>
      <c r="G59" s="151" t="s">
        <v>1597</v>
      </c>
      <c r="H59" s="151" t="s">
        <v>75</v>
      </c>
      <c r="I59" s="151" t="s">
        <v>224</v>
      </c>
      <c r="J59" s="151" t="s">
        <v>52</v>
      </c>
      <c r="K59" s="151" t="s">
        <v>52</v>
      </c>
      <c r="L59" s="151" t="s">
        <v>775</v>
      </c>
      <c r="M59" s="151" t="s">
        <v>303</v>
      </c>
      <c r="N59" s="151" t="s">
        <v>262</v>
      </c>
      <c r="O59" s="151" t="s">
        <v>61</v>
      </c>
      <c r="P59" s="151" t="s">
        <v>1407</v>
      </c>
      <c r="Q59" s="151" t="s">
        <v>69</v>
      </c>
      <c r="R59" s="151" t="s">
        <v>56</v>
      </c>
      <c r="S59" s="151" t="s">
        <v>1255</v>
      </c>
      <c r="T59" s="152">
        <v>7.49</v>
      </c>
      <c r="U59" s="151" t="s">
        <v>1598</v>
      </c>
      <c r="V59" s="153">
        <v>4.7800000000000002E-2</v>
      </c>
      <c r="W59" s="153">
        <v>4.734E-2</v>
      </c>
      <c r="X59" s="151" t="s">
        <v>607</v>
      </c>
      <c r="Y59" s="151"/>
      <c r="Z59" s="152">
        <v>750000</v>
      </c>
      <c r="AA59" s="152">
        <v>1</v>
      </c>
      <c r="AB59" s="152">
        <v>102.19</v>
      </c>
      <c r="AC59" s="151"/>
      <c r="AD59" s="152">
        <v>766.42499999999995</v>
      </c>
      <c r="AE59" s="151"/>
      <c r="AF59" s="151"/>
      <c r="AG59" s="151"/>
      <c r="AH59" s="153">
        <v>2.81E-3</v>
      </c>
      <c r="AI59" s="153">
        <v>7.0600000000000003E-3</v>
      </c>
      <c r="AJ59" s="154">
        <v>1.0399999999999999E-3</v>
      </c>
      <c r="AK59" s="174"/>
    </row>
    <row r="60" spans="1:37" x14ac:dyDescent="0.2">
      <c r="A60" s="150" t="s">
        <v>1251</v>
      </c>
      <c r="B60" s="151" t="s">
        <v>1251</v>
      </c>
      <c r="C60" s="151" t="s">
        <v>1475</v>
      </c>
      <c r="D60" s="151" t="s">
        <v>1476</v>
      </c>
      <c r="E60" s="151" t="s">
        <v>420</v>
      </c>
      <c r="F60" s="151" t="s">
        <v>1599</v>
      </c>
      <c r="G60" s="151" t="s">
        <v>1600</v>
      </c>
      <c r="H60" s="151" t="s">
        <v>75</v>
      </c>
      <c r="I60" s="151" t="s">
        <v>224</v>
      </c>
      <c r="J60" s="151" t="s">
        <v>52</v>
      </c>
      <c r="K60" s="151" t="s">
        <v>52</v>
      </c>
      <c r="L60" s="151" t="s">
        <v>775</v>
      </c>
      <c r="M60" s="151" t="s">
        <v>303</v>
      </c>
      <c r="N60" s="151" t="s">
        <v>262</v>
      </c>
      <c r="O60" s="151" t="s">
        <v>61</v>
      </c>
      <c r="P60" s="151" t="s">
        <v>1473</v>
      </c>
      <c r="Q60" s="151" t="s">
        <v>64</v>
      </c>
      <c r="R60" s="151" t="s">
        <v>56</v>
      </c>
      <c r="S60" s="151" t="s">
        <v>1255</v>
      </c>
      <c r="T60" s="152">
        <v>8.16</v>
      </c>
      <c r="U60" s="151" t="s">
        <v>1601</v>
      </c>
      <c r="V60" s="153">
        <v>5.1200000000000002E-2</v>
      </c>
      <c r="W60" s="153">
        <v>4.8989999999999999E-2</v>
      </c>
      <c r="X60" s="151" t="s">
        <v>607</v>
      </c>
      <c r="Y60" s="151"/>
      <c r="Z60" s="152">
        <v>730000</v>
      </c>
      <c r="AA60" s="152">
        <v>1</v>
      </c>
      <c r="AB60" s="152">
        <v>104.5</v>
      </c>
      <c r="AC60" s="151"/>
      <c r="AD60" s="152">
        <v>762.85</v>
      </c>
      <c r="AE60" s="151"/>
      <c r="AF60" s="151"/>
      <c r="AG60" s="151"/>
      <c r="AH60" s="153">
        <v>4.2000000000000002E-4</v>
      </c>
      <c r="AI60" s="153">
        <v>7.0299999999999998E-3</v>
      </c>
      <c r="AJ60" s="154">
        <v>1.0399999999999999E-3</v>
      </c>
      <c r="AK60" s="174"/>
    </row>
    <row r="61" spans="1:37" x14ac:dyDescent="0.2">
      <c r="A61" s="150" t="s">
        <v>1251</v>
      </c>
      <c r="B61" s="151" t="s">
        <v>1251</v>
      </c>
      <c r="C61" s="151" t="s">
        <v>1531</v>
      </c>
      <c r="D61" s="151" t="s">
        <v>1532</v>
      </c>
      <c r="E61" s="151" t="s">
        <v>420</v>
      </c>
      <c r="F61" s="151" t="s">
        <v>1602</v>
      </c>
      <c r="G61" s="151" t="s">
        <v>1603</v>
      </c>
      <c r="H61" s="151" t="s">
        <v>75</v>
      </c>
      <c r="I61" s="151" t="s">
        <v>225</v>
      </c>
      <c r="J61" s="151" t="s">
        <v>52</v>
      </c>
      <c r="K61" s="151" t="s">
        <v>52</v>
      </c>
      <c r="L61" s="151" t="s">
        <v>775</v>
      </c>
      <c r="M61" s="151" t="s">
        <v>303</v>
      </c>
      <c r="N61" s="151" t="s">
        <v>620</v>
      </c>
      <c r="O61" s="151" t="s">
        <v>61</v>
      </c>
      <c r="P61" s="151" t="s">
        <v>1436</v>
      </c>
      <c r="Q61" s="151" t="s">
        <v>69</v>
      </c>
      <c r="R61" s="151" t="s">
        <v>56</v>
      </c>
      <c r="S61" s="151" t="s">
        <v>1255</v>
      </c>
      <c r="T61" s="152">
        <v>1.22</v>
      </c>
      <c r="U61" s="151" t="s">
        <v>1604</v>
      </c>
      <c r="V61" s="153">
        <v>3.6999999999999998E-2</v>
      </c>
      <c r="W61" s="153">
        <v>2.1229999999999999E-2</v>
      </c>
      <c r="X61" s="151" t="s">
        <v>607</v>
      </c>
      <c r="Y61" s="151"/>
      <c r="Z61" s="152">
        <v>615192.46</v>
      </c>
      <c r="AA61" s="152">
        <v>1</v>
      </c>
      <c r="AB61" s="152">
        <v>121.32</v>
      </c>
      <c r="AC61" s="151"/>
      <c r="AD61" s="152">
        <v>746.351</v>
      </c>
      <c r="AE61" s="151"/>
      <c r="AF61" s="151"/>
      <c r="AG61" s="151"/>
      <c r="AH61" s="153">
        <v>2.7299999999999998E-3</v>
      </c>
      <c r="AI61" s="153">
        <v>6.8700000000000002E-3</v>
      </c>
      <c r="AJ61" s="154">
        <v>1.0200000000000001E-3</v>
      </c>
      <c r="AK61" s="174"/>
    </row>
    <row r="62" spans="1:37" x14ac:dyDescent="0.2">
      <c r="A62" s="150" t="s">
        <v>1251</v>
      </c>
      <c r="B62" s="151" t="s">
        <v>1251</v>
      </c>
      <c r="C62" s="151" t="s">
        <v>1494</v>
      </c>
      <c r="D62" s="151" t="s">
        <v>1495</v>
      </c>
      <c r="E62" s="151" t="s">
        <v>420</v>
      </c>
      <c r="F62" s="151" t="s">
        <v>1605</v>
      </c>
      <c r="G62" s="151" t="s">
        <v>1606</v>
      </c>
      <c r="H62" s="151" t="s">
        <v>75</v>
      </c>
      <c r="I62" s="151" t="s">
        <v>225</v>
      </c>
      <c r="J62" s="151" t="s">
        <v>52</v>
      </c>
      <c r="K62" s="151" t="s">
        <v>52</v>
      </c>
      <c r="L62" s="151" t="s">
        <v>775</v>
      </c>
      <c r="M62" s="151" t="s">
        <v>303</v>
      </c>
      <c r="N62" s="151" t="s">
        <v>251</v>
      </c>
      <c r="O62" s="151" t="s">
        <v>61</v>
      </c>
      <c r="P62" s="151" t="s">
        <v>1371</v>
      </c>
      <c r="Q62" s="151" t="s">
        <v>64</v>
      </c>
      <c r="R62" s="151" t="s">
        <v>56</v>
      </c>
      <c r="S62" s="151" t="s">
        <v>1255</v>
      </c>
      <c r="T62" s="152">
        <v>5.48</v>
      </c>
      <c r="U62" s="151" t="s">
        <v>1607</v>
      </c>
      <c r="V62" s="153">
        <v>2.5000000000000001E-2</v>
      </c>
      <c r="W62" s="153">
        <v>2.9010000000000001E-2</v>
      </c>
      <c r="X62" s="151" t="s">
        <v>607</v>
      </c>
      <c r="Y62" s="151"/>
      <c r="Z62" s="152">
        <v>750000</v>
      </c>
      <c r="AA62" s="152">
        <v>1</v>
      </c>
      <c r="AB62" s="152">
        <v>98.33</v>
      </c>
      <c r="AC62" s="151"/>
      <c r="AD62" s="152">
        <v>737.47500000000002</v>
      </c>
      <c r="AE62" s="151"/>
      <c r="AF62" s="151"/>
      <c r="AG62" s="151"/>
      <c r="AH62" s="153">
        <v>1.23E-3</v>
      </c>
      <c r="AI62" s="153">
        <v>6.79E-3</v>
      </c>
      <c r="AJ62" s="154">
        <v>1.01E-3</v>
      </c>
      <c r="AK62" s="174"/>
    </row>
    <row r="63" spans="1:37" x14ac:dyDescent="0.2">
      <c r="A63" s="150" t="s">
        <v>1251</v>
      </c>
      <c r="B63" s="151" t="s">
        <v>1251</v>
      </c>
      <c r="C63" s="151" t="s">
        <v>1608</v>
      </c>
      <c r="D63" s="151" t="s">
        <v>1609</v>
      </c>
      <c r="E63" s="151" t="s">
        <v>420</v>
      </c>
      <c r="F63" s="151" t="s">
        <v>1610</v>
      </c>
      <c r="G63" s="151" t="s">
        <v>1611</v>
      </c>
      <c r="H63" s="151" t="s">
        <v>75</v>
      </c>
      <c r="I63" s="151" t="s">
        <v>224</v>
      </c>
      <c r="J63" s="151" t="s">
        <v>52</v>
      </c>
      <c r="K63" s="151" t="s">
        <v>52</v>
      </c>
      <c r="L63" s="151" t="s">
        <v>775</v>
      </c>
      <c r="M63" s="151" t="s">
        <v>303</v>
      </c>
      <c r="N63" s="151" t="s">
        <v>262</v>
      </c>
      <c r="O63" s="151" t="s">
        <v>61</v>
      </c>
      <c r="P63" s="151" t="s">
        <v>1503</v>
      </c>
      <c r="Q63" s="151" t="s">
        <v>69</v>
      </c>
      <c r="R63" s="151" t="s">
        <v>56</v>
      </c>
      <c r="S63" s="151" t="s">
        <v>1255</v>
      </c>
      <c r="T63" s="152">
        <v>5.6</v>
      </c>
      <c r="U63" s="151" t="s">
        <v>1612</v>
      </c>
      <c r="V63" s="153">
        <v>5.1299999999999998E-2</v>
      </c>
      <c r="W63" s="153">
        <v>4.6920000000000003E-2</v>
      </c>
      <c r="X63" s="151" t="s">
        <v>607</v>
      </c>
      <c r="Y63" s="151"/>
      <c r="Z63" s="152">
        <v>710000</v>
      </c>
      <c r="AA63" s="152">
        <v>1</v>
      </c>
      <c r="AB63" s="152">
        <v>102.82</v>
      </c>
      <c r="AC63" s="151"/>
      <c r="AD63" s="152">
        <v>730.02200000000005</v>
      </c>
      <c r="AE63" s="151"/>
      <c r="AF63" s="151"/>
      <c r="AG63" s="151"/>
      <c r="AH63" s="153">
        <v>2.0799999999999998E-3</v>
      </c>
      <c r="AI63" s="153">
        <v>6.7200000000000003E-3</v>
      </c>
      <c r="AJ63" s="154">
        <v>9.8999999999999999E-4</v>
      </c>
      <c r="AK63" s="174"/>
    </row>
    <row r="64" spans="1:37" x14ac:dyDescent="0.2">
      <c r="A64" s="150" t="s">
        <v>1251</v>
      </c>
      <c r="B64" s="151" t="s">
        <v>1251</v>
      </c>
      <c r="C64" s="151" t="s">
        <v>1613</v>
      </c>
      <c r="D64" s="151" t="s">
        <v>1614</v>
      </c>
      <c r="E64" s="151" t="s">
        <v>420</v>
      </c>
      <c r="F64" s="151" t="s">
        <v>1615</v>
      </c>
      <c r="G64" s="151" t="s">
        <v>1616</v>
      </c>
      <c r="H64" s="151" t="s">
        <v>75</v>
      </c>
      <c r="I64" s="151" t="s">
        <v>224</v>
      </c>
      <c r="J64" s="151" t="s">
        <v>52</v>
      </c>
      <c r="K64" s="151" t="s">
        <v>52</v>
      </c>
      <c r="L64" s="151" t="s">
        <v>775</v>
      </c>
      <c r="M64" s="151" t="s">
        <v>303</v>
      </c>
      <c r="N64" s="151" t="s">
        <v>260</v>
      </c>
      <c r="O64" s="151" t="s">
        <v>61</v>
      </c>
      <c r="P64" s="151" t="s">
        <v>1384</v>
      </c>
      <c r="Q64" s="151" t="s">
        <v>64</v>
      </c>
      <c r="R64" s="151" t="s">
        <v>56</v>
      </c>
      <c r="S64" s="151" t="s">
        <v>1255</v>
      </c>
      <c r="T64" s="152">
        <v>2.37</v>
      </c>
      <c r="U64" s="151" t="s">
        <v>1617</v>
      </c>
      <c r="V64" s="153">
        <v>2.24E-2</v>
      </c>
      <c r="W64" s="153">
        <v>4.4519999999999997E-2</v>
      </c>
      <c r="X64" s="151" t="s">
        <v>607</v>
      </c>
      <c r="Y64" s="151"/>
      <c r="Z64" s="152">
        <v>747604.72</v>
      </c>
      <c r="AA64" s="152">
        <v>1</v>
      </c>
      <c r="AB64" s="152">
        <v>96.05</v>
      </c>
      <c r="AC64" s="151"/>
      <c r="AD64" s="152">
        <v>718.07399999999996</v>
      </c>
      <c r="AE64" s="151"/>
      <c r="AF64" s="151"/>
      <c r="AG64" s="151"/>
      <c r="AH64" s="153">
        <v>1.56E-3</v>
      </c>
      <c r="AI64" s="153">
        <v>6.6100000000000004E-3</v>
      </c>
      <c r="AJ64" s="154">
        <v>9.7999999999999997E-4</v>
      </c>
      <c r="AK64" s="174"/>
    </row>
    <row r="65" spans="1:37" x14ac:dyDescent="0.2">
      <c r="A65" s="150" t="s">
        <v>1251</v>
      </c>
      <c r="B65" s="151" t="s">
        <v>1251</v>
      </c>
      <c r="C65" s="151" t="s">
        <v>1618</v>
      </c>
      <c r="D65" s="151" t="s">
        <v>1619</v>
      </c>
      <c r="E65" s="151" t="s">
        <v>420</v>
      </c>
      <c r="F65" s="151" t="s">
        <v>1620</v>
      </c>
      <c r="G65" s="151" t="s">
        <v>1621</v>
      </c>
      <c r="H65" s="151" t="s">
        <v>75</v>
      </c>
      <c r="I65" s="151" t="s">
        <v>224</v>
      </c>
      <c r="J65" s="151" t="s">
        <v>52</v>
      </c>
      <c r="K65" s="151" t="s">
        <v>52</v>
      </c>
      <c r="L65" s="151" t="s">
        <v>775</v>
      </c>
      <c r="M65" s="151" t="s">
        <v>303</v>
      </c>
      <c r="N65" s="151" t="s">
        <v>675</v>
      </c>
      <c r="O65" s="151" t="s">
        <v>61</v>
      </c>
      <c r="P65" s="151" t="s">
        <v>1473</v>
      </c>
      <c r="Q65" s="151" t="s">
        <v>64</v>
      </c>
      <c r="R65" s="151" t="s">
        <v>56</v>
      </c>
      <c r="S65" s="151" t="s">
        <v>1255</v>
      </c>
      <c r="T65" s="152">
        <v>2.59</v>
      </c>
      <c r="U65" s="151" t="s">
        <v>1622</v>
      </c>
      <c r="V65" s="153">
        <v>0.04</v>
      </c>
      <c r="W65" s="153">
        <v>4.7759999999999997E-2</v>
      </c>
      <c r="X65" s="151" t="s">
        <v>607</v>
      </c>
      <c r="Y65" s="151"/>
      <c r="Z65" s="152">
        <v>687500.5</v>
      </c>
      <c r="AA65" s="152">
        <v>1</v>
      </c>
      <c r="AB65" s="152">
        <v>99.05</v>
      </c>
      <c r="AC65" s="151"/>
      <c r="AD65" s="152">
        <v>680.96900000000005</v>
      </c>
      <c r="AE65" s="151"/>
      <c r="AF65" s="151"/>
      <c r="AG65" s="151"/>
      <c r="AH65" s="153">
        <v>1.42E-3</v>
      </c>
      <c r="AI65" s="153">
        <v>6.2700000000000004E-3</v>
      </c>
      <c r="AJ65" s="154">
        <v>9.3000000000000005E-4</v>
      </c>
      <c r="AK65" s="174"/>
    </row>
    <row r="66" spans="1:37" x14ac:dyDescent="0.2">
      <c r="A66" s="150" t="s">
        <v>1251</v>
      </c>
      <c r="B66" s="151" t="s">
        <v>1251</v>
      </c>
      <c r="C66" s="151" t="s">
        <v>1424</v>
      </c>
      <c r="D66" s="151" t="s">
        <v>1425</v>
      </c>
      <c r="E66" s="151" t="s">
        <v>420</v>
      </c>
      <c r="F66" s="151" t="s">
        <v>1623</v>
      </c>
      <c r="G66" s="151" t="s">
        <v>1624</v>
      </c>
      <c r="H66" s="151" t="s">
        <v>75</v>
      </c>
      <c r="I66" s="151" t="s">
        <v>225</v>
      </c>
      <c r="J66" s="151" t="s">
        <v>52</v>
      </c>
      <c r="K66" s="151" t="s">
        <v>52</v>
      </c>
      <c r="L66" s="151" t="s">
        <v>775</v>
      </c>
      <c r="M66" s="151" t="s">
        <v>303</v>
      </c>
      <c r="N66" s="151" t="s">
        <v>620</v>
      </c>
      <c r="O66" s="151" t="s">
        <v>61</v>
      </c>
      <c r="P66" s="151" t="s">
        <v>1384</v>
      </c>
      <c r="Q66" s="151" t="s">
        <v>64</v>
      </c>
      <c r="R66" s="151" t="s">
        <v>56</v>
      </c>
      <c r="S66" s="151" t="s">
        <v>1255</v>
      </c>
      <c r="T66" s="152">
        <v>1.44</v>
      </c>
      <c r="U66" s="151" t="s">
        <v>1625</v>
      </c>
      <c r="V66" s="153">
        <v>0.04</v>
      </c>
      <c r="W66" s="153">
        <v>1.9449999999999999E-2</v>
      </c>
      <c r="X66" s="151" t="s">
        <v>607</v>
      </c>
      <c r="Y66" s="151"/>
      <c r="Z66" s="152">
        <v>541992.43000000005</v>
      </c>
      <c r="AA66" s="152">
        <v>1</v>
      </c>
      <c r="AB66" s="152">
        <v>122.19</v>
      </c>
      <c r="AC66" s="151"/>
      <c r="AD66" s="152">
        <v>662.26099999999997</v>
      </c>
      <c r="AE66" s="151"/>
      <c r="AF66" s="151"/>
      <c r="AG66" s="151"/>
      <c r="AH66" s="153">
        <v>8.9999999999999998E-4</v>
      </c>
      <c r="AI66" s="153">
        <v>6.1000000000000004E-3</v>
      </c>
      <c r="AJ66" s="154">
        <v>8.9999999999999998E-4</v>
      </c>
      <c r="AK66" s="174"/>
    </row>
    <row r="67" spans="1:37" x14ac:dyDescent="0.2">
      <c r="A67" s="150" t="s">
        <v>1251</v>
      </c>
      <c r="B67" s="151" t="s">
        <v>1251</v>
      </c>
      <c r="C67" s="151" t="s">
        <v>1361</v>
      </c>
      <c r="D67" s="151" t="s">
        <v>1362</v>
      </c>
      <c r="E67" s="151" t="s">
        <v>420</v>
      </c>
      <c r="F67" s="151" t="s">
        <v>1626</v>
      </c>
      <c r="G67" s="151" t="s">
        <v>1627</v>
      </c>
      <c r="H67" s="151" t="s">
        <v>75</v>
      </c>
      <c r="I67" s="151" t="s">
        <v>225</v>
      </c>
      <c r="J67" s="151" t="s">
        <v>52</v>
      </c>
      <c r="K67" s="151" t="s">
        <v>52</v>
      </c>
      <c r="L67" s="151" t="s">
        <v>775</v>
      </c>
      <c r="M67" s="151" t="s">
        <v>303</v>
      </c>
      <c r="N67" s="151" t="s">
        <v>620</v>
      </c>
      <c r="O67" s="151" t="s">
        <v>61</v>
      </c>
      <c r="P67" s="151" t="s">
        <v>1371</v>
      </c>
      <c r="Q67" s="151" t="s">
        <v>64</v>
      </c>
      <c r="R67" s="151" t="s">
        <v>56</v>
      </c>
      <c r="S67" s="151" t="s">
        <v>1255</v>
      </c>
      <c r="T67" s="152">
        <v>5.86</v>
      </c>
      <c r="U67" s="151" t="s">
        <v>1374</v>
      </c>
      <c r="V67" s="153">
        <v>2.5600000000000001E-2</v>
      </c>
      <c r="W67" s="153">
        <v>3.0099999999999998E-2</v>
      </c>
      <c r="X67" s="151" t="s">
        <v>607</v>
      </c>
      <c r="Y67" s="151"/>
      <c r="Z67" s="152">
        <v>600000</v>
      </c>
      <c r="AA67" s="152">
        <v>1</v>
      </c>
      <c r="AB67" s="152">
        <v>107.35</v>
      </c>
      <c r="AC67" s="151"/>
      <c r="AD67" s="152">
        <v>644.1</v>
      </c>
      <c r="AE67" s="151"/>
      <c r="AF67" s="151"/>
      <c r="AG67" s="151"/>
      <c r="AH67" s="153">
        <v>5.6999999999999998E-4</v>
      </c>
      <c r="AI67" s="153">
        <v>5.9300000000000004E-3</v>
      </c>
      <c r="AJ67" s="154">
        <v>8.8000000000000003E-4</v>
      </c>
      <c r="AK67" s="174"/>
    </row>
    <row r="68" spans="1:37" x14ac:dyDescent="0.2">
      <c r="A68" s="150" t="s">
        <v>1251</v>
      </c>
      <c r="B68" s="151" t="s">
        <v>1251</v>
      </c>
      <c r="C68" s="151" t="s">
        <v>1628</v>
      </c>
      <c r="D68" s="151" t="s">
        <v>1629</v>
      </c>
      <c r="E68" s="151" t="s">
        <v>420</v>
      </c>
      <c r="F68" s="151" t="s">
        <v>1630</v>
      </c>
      <c r="G68" s="151" t="s">
        <v>1631</v>
      </c>
      <c r="H68" s="151" t="s">
        <v>75</v>
      </c>
      <c r="I68" s="151" t="s">
        <v>224</v>
      </c>
      <c r="J68" s="151" t="s">
        <v>52</v>
      </c>
      <c r="K68" s="151" t="s">
        <v>52</v>
      </c>
      <c r="L68" s="151" t="s">
        <v>775</v>
      </c>
      <c r="M68" s="151" t="s">
        <v>303</v>
      </c>
      <c r="N68" s="151" t="s">
        <v>253</v>
      </c>
      <c r="O68" s="151" t="s">
        <v>61</v>
      </c>
      <c r="P68" s="151" t="s">
        <v>1371</v>
      </c>
      <c r="Q68" s="151" t="s">
        <v>64</v>
      </c>
      <c r="R68" s="151" t="s">
        <v>56</v>
      </c>
      <c r="S68" s="151" t="s">
        <v>1255</v>
      </c>
      <c r="T68" s="152">
        <v>1.25</v>
      </c>
      <c r="U68" s="151" t="s">
        <v>1632</v>
      </c>
      <c r="V68" s="153">
        <v>2.5000000000000001E-2</v>
      </c>
      <c r="W68" s="153">
        <v>4.5030000000000001E-2</v>
      </c>
      <c r="X68" s="151" t="s">
        <v>607</v>
      </c>
      <c r="Y68" s="151"/>
      <c r="Z68" s="152">
        <v>654545.43000000005</v>
      </c>
      <c r="AA68" s="152">
        <v>1</v>
      </c>
      <c r="AB68" s="152">
        <v>98.18</v>
      </c>
      <c r="AC68" s="151"/>
      <c r="AD68" s="152">
        <v>642.63300000000004</v>
      </c>
      <c r="AE68" s="151"/>
      <c r="AF68" s="151"/>
      <c r="AG68" s="151"/>
      <c r="AH68" s="153">
        <v>1.23E-3</v>
      </c>
      <c r="AI68" s="153">
        <v>5.9199999999999999E-3</v>
      </c>
      <c r="AJ68" s="154">
        <v>8.8000000000000003E-4</v>
      </c>
      <c r="AK68" s="174"/>
    </row>
    <row r="69" spans="1:37" x14ac:dyDescent="0.2">
      <c r="A69" s="150" t="s">
        <v>1251</v>
      </c>
      <c r="B69" s="151" t="s">
        <v>1251</v>
      </c>
      <c r="C69" s="151" t="s">
        <v>1633</v>
      </c>
      <c r="D69" s="151" t="s">
        <v>1634</v>
      </c>
      <c r="E69" s="151" t="s">
        <v>420</v>
      </c>
      <c r="F69" s="151" t="s">
        <v>1635</v>
      </c>
      <c r="G69" s="151" t="s">
        <v>1636</v>
      </c>
      <c r="H69" s="151" t="s">
        <v>75</v>
      </c>
      <c r="I69" s="151" t="s">
        <v>225</v>
      </c>
      <c r="J69" s="151" t="s">
        <v>52</v>
      </c>
      <c r="K69" s="151" t="s">
        <v>52</v>
      </c>
      <c r="L69" s="151" t="s">
        <v>775</v>
      </c>
      <c r="M69" s="151" t="s">
        <v>303</v>
      </c>
      <c r="N69" s="151" t="s">
        <v>620</v>
      </c>
      <c r="O69" s="151" t="s">
        <v>61</v>
      </c>
      <c r="P69" s="151" t="s">
        <v>1384</v>
      </c>
      <c r="Q69" s="151" t="s">
        <v>64</v>
      </c>
      <c r="R69" s="151" t="s">
        <v>56</v>
      </c>
      <c r="S69" s="151" t="s">
        <v>1255</v>
      </c>
      <c r="T69" s="152">
        <v>1.88</v>
      </c>
      <c r="U69" s="151" t="s">
        <v>1637</v>
      </c>
      <c r="V69" s="153">
        <v>2.3400000000000001E-2</v>
      </c>
      <c r="W69" s="153">
        <v>2.3029999999999998E-2</v>
      </c>
      <c r="X69" s="151" t="s">
        <v>607</v>
      </c>
      <c r="Y69" s="151"/>
      <c r="Z69" s="152">
        <v>507689.43</v>
      </c>
      <c r="AA69" s="152">
        <v>1</v>
      </c>
      <c r="AB69" s="152">
        <v>117.91</v>
      </c>
      <c r="AC69" s="151"/>
      <c r="AD69" s="152">
        <v>598.61699999999996</v>
      </c>
      <c r="AE69" s="151"/>
      <c r="AF69" s="151"/>
      <c r="AG69" s="151"/>
      <c r="AH69" s="153">
        <v>4.4000000000000002E-4</v>
      </c>
      <c r="AI69" s="153">
        <v>5.5100000000000001E-3</v>
      </c>
      <c r="AJ69" s="154">
        <v>8.1999999999999998E-4</v>
      </c>
      <c r="AK69" s="174"/>
    </row>
    <row r="70" spans="1:37" x14ac:dyDescent="0.2">
      <c r="A70" s="150" t="s">
        <v>1251</v>
      </c>
      <c r="B70" s="151" t="s">
        <v>1251</v>
      </c>
      <c r="C70" s="151" t="s">
        <v>1459</v>
      </c>
      <c r="D70" s="151" t="s">
        <v>1460</v>
      </c>
      <c r="E70" s="151" t="s">
        <v>420</v>
      </c>
      <c r="F70" s="151" t="s">
        <v>1638</v>
      </c>
      <c r="G70" s="151" t="s">
        <v>1639</v>
      </c>
      <c r="H70" s="151" t="s">
        <v>75</v>
      </c>
      <c r="I70" s="151" t="s">
        <v>226</v>
      </c>
      <c r="J70" s="151" t="s">
        <v>52</v>
      </c>
      <c r="K70" s="151" t="s">
        <v>52</v>
      </c>
      <c r="L70" s="151" t="s">
        <v>775</v>
      </c>
      <c r="M70" s="151" t="s">
        <v>463</v>
      </c>
      <c r="N70" s="151" t="s">
        <v>154</v>
      </c>
      <c r="O70" s="151" t="s">
        <v>61</v>
      </c>
      <c r="P70" s="151" t="s">
        <v>1640</v>
      </c>
      <c r="Q70" s="151" t="s">
        <v>83</v>
      </c>
      <c r="R70" s="151" t="s">
        <v>56</v>
      </c>
      <c r="S70" s="151" t="s">
        <v>1256</v>
      </c>
      <c r="T70" s="152">
        <v>15.481999999999999</v>
      </c>
      <c r="U70" s="151" t="s">
        <v>1641</v>
      </c>
      <c r="V70" s="153">
        <v>8.1000000000000003E-2</v>
      </c>
      <c r="W70" s="153">
        <v>6.1940000000000002E-2</v>
      </c>
      <c r="X70" s="151" t="s">
        <v>607</v>
      </c>
      <c r="Y70" s="151"/>
      <c r="Z70" s="152">
        <v>140000</v>
      </c>
      <c r="AA70" s="152">
        <v>3.165</v>
      </c>
      <c r="AB70" s="152">
        <v>132.69800000000001</v>
      </c>
      <c r="AC70" s="151"/>
      <c r="AD70" s="152">
        <v>587.98599999999999</v>
      </c>
      <c r="AE70" s="151"/>
      <c r="AF70" s="151"/>
      <c r="AG70" s="151"/>
      <c r="AH70" s="153">
        <v>1.1199999999999999E-3</v>
      </c>
      <c r="AI70" s="153">
        <v>5.4099999999999999E-3</v>
      </c>
      <c r="AJ70" s="154">
        <v>8.0000000000000004E-4</v>
      </c>
      <c r="AK70" s="174"/>
    </row>
    <row r="71" spans="1:37" x14ac:dyDescent="0.2">
      <c r="A71" s="150" t="s">
        <v>1251</v>
      </c>
      <c r="B71" s="151" t="s">
        <v>1251</v>
      </c>
      <c r="C71" s="151" t="s">
        <v>1642</v>
      </c>
      <c r="D71" s="151" t="s">
        <v>1643</v>
      </c>
      <c r="E71" s="151" t="s">
        <v>420</v>
      </c>
      <c r="F71" s="151" t="s">
        <v>1644</v>
      </c>
      <c r="G71" s="151" t="s">
        <v>1645</v>
      </c>
      <c r="H71" s="151" t="s">
        <v>75</v>
      </c>
      <c r="I71" s="151" t="s">
        <v>224</v>
      </c>
      <c r="J71" s="151" t="s">
        <v>52</v>
      </c>
      <c r="K71" s="151" t="s">
        <v>52</v>
      </c>
      <c r="L71" s="151" t="s">
        <v>775</v>
      </c>
      <c r="M71" s="151" t="s">
        <v>303</v>
      </c>
      <c r="N71" s="151" t="s">
        <v>154</v>
      </c>
      <c r="O71" s="151" t="s">
        <v>61</v>
      </c>
      <c r="P71" s="151" t="s">
        <v>1473</v>
      </c>
      <c r="Q71" s="151" t="s">
        <v>64</v>
      </c>
      <c r="R71" s="151" t="s">
        <v>56</v>
      </c>
      <c r="S71" s="151" t="s">
        <v>1255</v>
      </c>
      <c r="T71" s="152">
        <v>2.64</v>
      </c>
      <c r="U71" s="151" t="s">
        <v>1646</v>
      </c>
      <c r="V71" s="153">
        <v>2.5000000000000001E-2</v>
      </c>
      <c r="W71" s="153">
        <v>4.6649999999999997E-2</v>
      </c>
      <c r="X71" s="151" t="s">
        <v>607</v>
      </c>
      <c r="Y71" s="151"/>
      <c r="Z71" s="152">
        <v>617333.31000000006</v>
      </c>
      <c r="AA71" s="152">
        <v>1</v>
      </c>
      <c r="AB71" s="152">
        <v>94.83</v>
      </c>
      <c r="AC71" s="151"/>
      <c r="AD71" s="152">
        <v>585.41700000000003</v>
      </c>
      <c r="AE71" s="151"/>
      <c r="AF71" s="151"/>
      <c r="AG71" s="151"/>
      <c r="AH71" s="153">
        <v>1.0399999999999999E-3</v>
      </c>
      <c r="AI71" s="153">
        <v>5.3899999999999998E-3</v>
      </c>
      <c r="AJ71" s="154">
        <v>8.0000000000000004E-4</v>
      </c>
      <c r="AK71" s="174"/>
    </row>
    <row r="72" spans="1:37" x14ac:dyDescent="0.2">
      <c r="A72" s="150" t="s">
        <v>1251</v>
      </c>
      <c r="B72" s="151" t="s">
        <v>1251</v>
      </c>
      <c r="C72" s="151" t="s">
        <v>1647</v>
      </c>
      <c r="D72" s="151" t="s">
        <v>1648</v>
      </c>
      <c r="E72" s="151" t="s">
        <v>420</v>
      </c>
      <c r="F72" s="151" t="s">
        <v>1649</v>
      </c>
      <c r="G72" s="151" t="s">
        <v>1650</v>
      </c>
      <c r="H72" s="151" t="s">
        <v>75</v>
      </c>
      <c r="I72" s="151" t="s">
        <v>224</v>
      </c>
      <c r="J72" s="151" t="s">
        <v>52</v>
      </c>
      <c r="K72" s="151" t="s">
        <v>52</v>
      </c>
      <c r="L72" s="151" t="s">
        <v>775</v>
      </c>
      <c r="M72" s="151" t="s">
        <v>303</v>
      </c>
      <c r="N72" s="151" t="s">
        <v>74</v>
      </c>
      <c r="O72" s="151" t="s">
        <v>61</v>
      </c>
      <c r="P72" s="151" t="s">
        <v>1371</v>
      </c>
      <c r="Q72" s="151" t="s">
        <v>64</v>
      </c>
      <c r="R72" s="151" t="s">
        <v>56</v>
      </c>
      <c r="S72" s="151" t="s">
        <v>1255</v>
      </c>
      <c r="T72" s="152">
        <v>1.35</v>
      </c>
      <c r="U72" s="151" t="s">
        <v>1651</v>
      </c>
      <c r="V72" s="153">
        <v>2.1499999999999998E-2</v>
      </c>
      <c r="W72" s="153">
        <v>4.7570000000000001E-2</v>
      </c>
      <c r="X72" s="151" t="s">
        <v>607</v>
      </c>
      <c r="Y72" s="151"/>
      <c r="Z72" s="152">
        <v>544076.74</v>
      </c>
      <c r="AA72" s="152">
        <v>1</v>
      </c>
      <c r="AB72" s="152">
        <v>96.67</v>
      </c>
      <c r="AC72" s="152">
        <v>57.460999999999999</v>
      </c>
      <c r="AD72" s="152">
        <v>583.41999999999996</v>
      </c>
      <c r="AE72" s="151"/>
      <c r="AF72" s="151"/>
      <c r="AG72" s="151"/>
      <c r="AH72" s="153">
        <v>1E-3</v>
      </c>
      <c r="AI72" s="153">
        <v>5.8999999999999999E-3</v>
      </c>
      <c r="AJ72" s="154">
        <v>8.7000000000000001E-4</v>
      </c>
      <c r="AK72" s="174"/>
    </row>
    <row r="73" spans="1:37" x14ac:dyDescent="0.2">
      <c r="A73" s="150" t="s">
        <v>1251</v>
      </c>
      <c r="B73" s="151" t="s">
        <v>1251</v>
      </c>
      <c r="C73" s="151" t="s">
        <v>1652</v>
      </c>
      <c r="D73" s="151" t="s">
        <v>1653</v>
      </c>
      <c r="E73" s="151" t="s">
        <v>420</v>
      </c>
      <c r="F73" s="151" t="s">
        <v>1654</v>
      </c>
      <c r="G73" s="151" t="s">
        <v>1655</v>
      </c>
      <c r="H73" s="151" t="s">
        <v>75</v>
      </c>
      <c r="I73" s="151" t="s">
        <v>225</v>
      </c>
      <c r="J73" s="151" t="s">
        <v>52</v>
      </c>
      <c r="K73" s="151" t="s">
        <v>52</v>
      </c>
      <c r="L73" s="151" t="s">
        <v>775</v>
      </c>
      <c r="M73" s="151" t="s">
        <v>303</v>
      </c>
      <c r="N73" s="151" t="s">
        <v>620</v>
      </c>
      <c r="O73" s="151" t="s">
        <v>61</v>
      </c>
      <c r="P73" s="151" t="s">
        <v>1384</v>
      </c>
      <c r="Q73" s="151" t="s">
        <v>64</v>
      </c>
      <c r="R73" s="151" t="s">
        <v>56</v>
      </c>
      <c r="S73" s="151" t="s">
        <v>1255</v>
      </c>
      <c r="T73" s="152">
        <v>3.26</v>
      </c>
      <c r="U73" s="151" t="s">
        <v>1656</v>
      </c>
      <c r="V73" s="153">
        <v>5.0000000000000001E-3</v>
      </c>
      <c r="W73" s="153">
        <v>2.6769999999999999E-2</v>
      </c>
      <c r="X73" s="151" t="s">
        <v>607</v>
      </c>
      <c r="Y73" s="151"/>
      <c r="Z73" s="152">
        <v>522500.05</v>
      </c>
      <c r="AA73" s="152">
        <v>1</v>
      </c>
      <c r="AB73" s="152">
        <v>109.65</v>
      </c>
      <c r="AC73" s="151"/>
      <c r="AD73" s="152">
        <v>572.92100000000005</v>
      </c>
      <c r="AE73" s="151"/>
      <c r="AF73" s="151"/>
      <c r="AG73" s="151"/>
      <c r="AH73" s="153">
        <v>3.8999999999999999E-4</v>
      </c>
      <c r="AI73" s="153">
        <v>5.28E-3</v>
      </c>
      <c r="AJ73" s="154">
        <v>7.7999999999999999E-4</v>
      </c>
      <c r="AK73" s="174"/>
    </row>
    <row r="74" spans="1:37" x14ac:dyDescent="0.2">
      <c r="A74" s="150" t="s">
        <v>1251</v>
      </c>
      <c r="B74" s="151" t="s">
        <v>1251</v>
      </c>
      <c r="C74" s="151" t="s">
        <v>1459</v>
      </c>
      <c r="D74" s="151" t="s">
        <v>1460</v>
      </c>
      <c r="E74" s="151" t="s">
        <v>420</v>
      </c>
      <c r="F74" s="151" t="s">
        <v>1657</v>
      </c>
      <c r="G74" s="151" t="s">
        <v>1658</v>
      </c>
      <c r="H74" s="151" t="s">
        <v>75</v>
      </c>
      <c r="I74" s="151" t="s">
        <v>225</v>
      </c>
      <c r="J74" s="151" t="s">
        <v>52</v>
      </c>
      <c r="K74" s="151" t="s">
        <v>52</v>
      </c>
      <c r="L74" s="151" t="s">
        <v>775</v>
      </c>
      <c r="M74" s="151" t="s">
        <v>303</v>
      </c>
      <c r="N74" s="151" t="s">
        <v>154</v>
      </c>
      <c r="O74" s="151" t="s">
        <v>61</v>
      </c>
      <c r="P74" s="151" t="s">
        <v>1254</v>
      </c>
      <c r="Q74" s="151" t="s">
        <v>69</v>
      </c>
      <c r="R74" s="151" t="s">
        <v>56</v>
      </c>
      <c r="S74" s="151" t="s">
        <v>1255</v>
      </c>
      <c r="T74" s="152">
        <v>4.4800000000000004</v>
      </c>
      <c r="U74" s="151" t="s">
        <v>1428</v>
      </c>
      <c r="V74" s="153">
        <v>2.3900000000000001E-2</v>
      </c>
      <c r="W74" s="153">
        <v>2.5520000000000001E-2</v>
      </c>
      <c r="X74" s="151" t="s">
        <v>607</v>
      </c>
      <c r="Y74" s="151"/>
      <c r="Z74" s="152">
        <v>470000</v>
      </c>
      <c r="AA74" s="152">
        <v>1</v>
      </c>
      <c r="AB74" s="152">
        <v>116.8</v>
      </c>
      <c r="AC74" s="151"/>
      <c r="AD74" s="152">
        <v>548.96</v>
      </c>
      <c r="AE74" s="151"/>
      <c r="AF74" s="151"/>
      <c r="AG74" s="151"/>
      <c r="AH74" s="153">
        <v>1.2E-4</v>
      </c>
      <c r="AI74" s="153">
        <v>5.0600000000000003E-3</v>
      </c>
      <c r="AJ74" s="154">
        <v>7.5000000000000002E-4</v>
      </c>
      <c r="AK74" s="174"/>
    </row>
    <row r="75" spans="1:37" x14ac:dyDescent="0.2">
      <c r="A75" s="150" t="s">
        <v>1251</v>
      </c>
      <c r="B75" s="151" t="s">
        <v>1251</v>
      </c>
      <c r="C75" s="151" t="s">
        <v>1659</v>
      </c>
      <c r="D75" s="151" t="s">
        <v>1660</v>
      </c>
      <c r="E75" s="151" t="s">
        <v>420</v>
      </c>
      <c r="F75" s="151" t="s">
        <v>1661</v>
      </c>
      <c r="G75" s="151" t="s">
        <v>1662</v>
      </c>
      <c r="H75" s="151" t="s">
        <v>75</v>
      </c>
      <c r="I75" s="151" t="s">
        <v>225</v>
      </c>
      <c r="J75" s="151" t="s">
        <v>52</v>
      </c>
      <c r="K75" s="151" t="s">
        <v>52</v>
      </c>
      <c r="L75" s="151" t="s">
        <v>775</v>
      </c>
      <c r="M75" s="151" t="s">
        <v>303</v>
      </c>
      <c r="N75" s="151" t="s">
        <v>620</v>
      </c>
      <c r="O75" s="151" t="s">
        <v>61</v>
      </c>
      <c r="P75" s="151" t="s">
        <v>1503</v>
      </c>
      <c r="Q75" s="151" t="s">
        <v>69</v>
      </c>
      <c r="R75" s="151" t="s">
        <v>56</v>
      </c>
      <c r="S75" s="151" t="s">
        <v>1255</v>
      </c>
      <c r="T75" s="152">
        <v>0.74</v>
      </c>
      <c r="U75" s="151" t="s">
        <v>1540</v>
      </c>
      <c r="V75" s="153">
        <v>2.8500000000000001E-2</v>
      </c>
      <c r="W75" s="153">
        <v>2.5360000000000001E-2</v>
      </c>
      <c r="X75" s="151" t="s">
        <v>607</v>
      </c>
      <c r="Y75" s="151"/>
      <c r="Z75" s="152">
        <v>440000.02</v>
      </c>
      <c r="AA75" s="152">
        <v>1</v>
      </c>
      <c r="AB75" s="152">
        <v>118.97</v>
      </c>
      <c r="AC75" s="151"/>
      <c r="AD75" s="152">
        <v>523.46799999999996</v>
      </c>
      <c r="AE75" s="151"/>
      <c r="AF75" s="151"/>
      <c r="AG75" s="151"/>
      <c r="AH75" s="153">
        <v>4.5999999999999999E-3</v>
      </c>
      <c r="AI75" s="153">
        <v>4.8199999999999996E-3</v>
      </c>
      <c r="AJ75" s="154">
        <v>7.1000000000000002E-4</v>
      </c>
      <c r="AK75" s="174"/>
    </row>
    <row r="76" spans="1:37" x14ac:dyDescent="0.2">
      <c r="A76" s="150" t="s">
        <v>1251</v>
      </c>
      <c r="B76" s="151" t="s">
        <v>1251</v>
      </c>
      <c r="C76" s="151" t="s">
        <v>1415</v>
      </c>
      <c r="D76" s="151" t="s">
        <v>1416</v>
      </c>
      <c r="E76" s="151" t="s">
        <v>420</v>
      </c>
      <c r="F76" s="151" t="s">
        <v>1663</v>
      </c>
      <c r="G76" s="151" t="s">
        <v>1664</v>
      </c>
      <c r="H76" s="151" t="s">
        <v>75</v>
      </c>
      <c r="I76" s="151" t="s">
        <v>225</v>
      </c>
      <c r="J76" s="151" t="s">
        <v>52</v>
      </c>
      <c r="K76" s="151" t="s">
        <v>52</v>
      </c>
      <c r="L76" s="151" t="s">
        <v>775</v>
      </c>
      <c r="M76" s="151" t="s">
        <v>303</v>
      </c>
      <c r="N76" s="151" t="s">
        <v>251</v>
      </c>
      <c r="O76" s="151" t="s">
        <v>61</v>
      </c>
      <c r="P76" s="151" t="s">
        <v>1419</v>
      </c>
      <c r="Q76" s="151" t="s">
        <v>64</v>
      </c>
      <c r="R76" s="151" t="s">
        <v>56</v>
      </c>
      <c r="S76" s="151" t="s">
        <v>1255</v>
      </c>
      <c r="T76" s="152">
        <v>3.52</v>
      </c>
      <c r="U76" s="151" t="s">
        <v>1665</v>
      </c>
      <c r="V76" s="153">
        <v>1.3899999999999999E-2</v>
      </c>
      <c r="W76" s="153">
        <v>2.4279999999999999E-2</v>
      </c>
      <c r="X76" s="151" t="s">
        <v>607</v>
      </c>
      <c r="Y76" s="151"/>
      <c r="Z76" s="152">
        <v>490000.01</v>
      </c>
      <c r="AA76" s="152">
        <v>1</v>
      </c>
      <c r="AB76" s="152">
        <v>106.02</v>
      </c>
      <c r="AC76" s="151"/>
      <c r="AD76" s="152">
        <v>519.49800000000005</v>
      </c>
      <c r="AE76" s="151"/>
      <c r="AF76" s="151"/>
      <c r="AG76" s="151"/>
      <c r="AH76" s="153">
        <v>1.6000000000000001E-4</v>
      </c>
      <c r="AI76" s="153">
        <v>4.7800000000000004E-3</v>
      </c>
      <c r="AJ76" s="154">
        <v>7.1000000000000002E-4</v>
      </c>
      <c r="AK76" s="174"/>
    </row>
    <row r="77" spans="1:37" x14ac:dyDescent="0.2">
      <c r="A77" s="150" t="s">
        <v>1251</v>
      </c>
      <c r="B77" s="151" t="s">
        <v>1251</v>
      </c>
      <c r="C77" s="151" t="s">
        <v>1543</v>
      </c>
      <c r="D77" s="151" t="s">
        <v>1544</v>
      </c>
      <c r="E77" s="151" t="s">
        <v>420</v>
      </c>
      <c r="F77" s="151" t="s">
        <v>1666</v>
      </c>
      <c r="G77" s="151" t="s">
        <v>1667</v>
      </c>
      <c r="H77" s="151" t="s">
        <v>75</v>
      </c>
      <c r="I77" s="151" t="s">
        <v>225</v>
      </c>
      <c r="J77" s="151" t="s">
        <v>52</v>
      </c>
      <c r="K77" s="151" t="s">
        <v>52</v>
      </c>
      <c r="L77" s="151" t="s">
        <v>775</v>
      </c>
      <c r="M77" s="151" t="s">
        <v>303</v>
      </c>
      <c r="N77" s="151" t="s">
        <v>620</v>
      </c>
      <c r="O77" s="151" t="s">
        <v>61</v>
      </c>
      <c r="P77" s="151" t="s">
        <v>1384</v>
      </c>
      <c r="Q77" s="151" t="s">
        <v>64</v>
      </c>
      <c r="R77" s="151" t="s">
        <v>56</v>
      </c>
      <c r="S77" s="151" t="s">
        <v>1255</v>
      </c>
      <c r="T77" s="152">
        <v>1.22</v>
      </c>
      <c r="U77" s="151" t="s">
        <v>1668</v>
      </c>
      <c r="V77" s="153">
        <v>3.2000000000000001E-2</v>
      </c>
      <c r="W77" s="153">
        <v>2.1700000000000001E-2</v>
      </c>
      <c r="X77" s="151" t="s">
        <v>607</v>
      </c>
      <c r="Y77" s="151"/>
      <c r="Z77" s="152">
        <v>414000</v>
      </c>
      <c r="AA77" s="152">
        <v>1</v>
      </c>
      <c r="AB77" s="152">
        <v>121.87</v>
      </c>
      <c r="AC77" s="151"/>
      <c r="AD77" s="152">
        <v>504.54199999999997</v>
      </c>
      <c r="AE77" s="151"/>
      <c r="AF77" s="151"/>
      <c r="AG77" s="151"/>
      <c r="AH77" s="153">
        <v>1E-3</v>
      </c>
      <c r="AI77" s="153">
        <v>4.6499999999999996E-3</v>
      </c>
      <c r="AJ77" s="154">
        <v>6.8999999999999997E-4</v>
      </c>
      <c r="AK77" s="174"/>
    </row>
    <row r="78" spans="1:37" x14ac:dyDescent="0.2">
      <c r="A78" s="150" t="s">
        <v>1251</v>
      </c>
      <c r="B78" s="151" t="s">
        <v>1251</v>
      </c>
      <c r="C78" s="151" t="s">
        <v>1669</v>
      </c>
      <c r="D78" s="151" t="s">
        <v>1670</v>
      </c>
      <c r="E78" s="151" t="s">
        <v>420</v>
      </c>
      <c r="F78" s="151" t="s">
        <v>1671</v>
      </c>
      <c r="G78" s="151" t="s">
        <v>1672</v>
      </c>
      <c r="H78" s="151" t="s">
        <v>75</v>
      </c>
      <c r="I78" s="151" t="s">
        <v>224</v>
      </c>
      <c r="J78" s="151" t="s">
        <v>52</v>
      </c>
      <c r="K78" s="151" t="s">
        <v>52</v>
      </c>
      <c r="L78" s="151" t="s">
        <v>775</v>
      </c>
      <c r="M78" s="151" t="s">
        <v>303</v>
      </c>
      <c r="N78" s="151" t="s">
        <v>262</v>
      </c>
      <c r="O78" s="151" t="s">
        <v>61</v>
      </c>
      <c r="P78" s="151" t="s">
        <v>1436</v>
      </c>
      <c r="Q78" s="151" t="s">
        <v>69</v>
      </c>
      <c r="R78" s="151" t="s">
        <v>56</v>
      </c>
      <c r="S78" s="151" t="s">
        <v>1255</v>
      </c>
      <c r="T78" s="152">
        <v>2.94</v>
      </c>
      <c r="U78" s="151" t="s">
        <v>1530</v>
      </c>
      <c r="V78" s="153">
        <v>2.6200000000000001E-2</v>
      </c>
      <c r="W78" s="153">
        <v>4.4420000000000001E-2</v>
      </c>
      <c r="X78" s="151" t="s">
        <v>607</v>
      </c>
      <c r="Y78" s="151"/>
      <c r="Z78" s="152">
        <v>500000</v>
      </c>
      <c r="AA78" s="152">
        <v>1</v>
      </c>
      <c r="AB78" s="152">
        <v>96.03</v>
      </c>
      <c r="AC78" s="151"/>
      <c r="AD78" s="152">
        <v>480.15</v>
      </c>
      <c r="AE78" s="151"/>
      <c r="AF78" s="151"/>
      <c r="AG78" s="151"/>
      <c r="AH78" s="153">
        <v>3.8999999999999999E-4</v>
      </c>
      <c r="AI78" s="153">
        <v>4.4200000000000003E-3</v>
      </c>
      <c r="AJ78" s="154">
        <v>6.4999999999999997E-4</v>
      </c>
      <c r="AK78" s="174"/>
    </row>
    <row r="79" spans="1:37" x14ac:dyDescent="0.2">
      <c r="A79" s="150" t="s">
        <v>1251</v>
      </c>
      <c r="B79" s="151" t="s">
        <v>1251</v>
      </c>
      <c r="C79" s="151" t="s">
        <v>1673</v>
      </c>
      <c r="D79" s="151" t="s">
        <v>1674</v>
      </c>
      <c r="E79" s="151" t="s">
        <v>420</v>
      </c>
      <c r="F79" s="151" t="s">
        <v>1675</v>
      </c>
      <c r="G79" s="151" t="s">
        <v>1676</v>
      </c>
      <c r="H79" s="151" t="s">
        <v>75</v>
      </c>
      <c r="I79" s="151" t="s">
        <v>225</v>
      </c>
      <c r="J79" s="151" t="s">
        <v>52</v>
      </c>
      <c r="K79" s="151" t="s">
        <v>52</v>
      </c>
      <c r="L79" s="151" t="s">
        <v>775</v>
      </c>
      <c r="M79" s="151" t="s">
        <v>303</v>
      </c>
      <c r="N79" s="151" t="s">
        <v>620</v>
      </c>
      <c r="O79" s="151" t="s">
        <v>61</v>
      </c>
      <c r="P79" s="151" t="s">
        <v>1359</v>
      </c>
      <c r="Q79" s="151" t="s">
        <v>64</v>
      </c>
      <c r="R79" s="151" t="s">
        <v>56</v>
      </c>
      <c r="S79" s="151" t="s">
        <v>1255</v>
      </c>
      <c r="T79" s="152">
        <v>1.66</v>
      </c>
      <c r="U79" s="151" t="s">
        <v>1593</v>
      </c>
      <c r="V79" s="153">
        <v>1.7999999999999999E-2</v>
      </c>
      <c r="W79" s="153">
        <v>2.172E-2</v>
      </c>
      <c r="X79" s="151" t="s">
        <v>607</v>
      </c>
      <c r="Y79" s="151"/>
      <c r="Z79" s="152">
        <v>394466.79</v>
      </c>
      <c r="AA79" s="152">
        <v>1</v>
      </c>
      <c r="AB79" s="152">
        <v>118.2</v>
      </c>
      <c r="AC79" s="151"/>
      <c r="AD79" s="152">
        <v>466.26</v>
      </c>
      <c r="AE79" s="151"/>
      <c r="AF79" s="151"/>
      <c r="AG79" s="151"/>
      <c r="AH79" s="153">
        <v>5.6999999999999998E-4</v>
      </c>
      <c r="AI79" s="153">
        <v>4.2900000000000004E-3</v>
      </c>
      <c r="AJ79" s="154">
        <v>6.4000000000000005E-4</v>
      </c>
      <c r="AK79" s="174"/>
    </row>
    <row r="80" spans="1:37" x14ac:dyDescent="0.2">
      <c r="A80" s="150" t="s">
        <v>1251</v>
      </c>
      <c r="B80" s="151" t="s">
        <v>1251</v>
      </c>
      <c r="C80" s="151" t="s">
        <v>1479</v>
      </c>
      <c r="D80" s="151" t="s">
        <v>1480</v>
      </c>
      <c r="E80" s="151" t="s">
        <v>420</v>
      </c>
      <c r="F80" s="151" t="s">
        <v>1677</v>
      </c>
      <c r="G80" s="151" t="s">
        <v>1678</v>
      </c>
      <c r="H80" s="151" t="s">
        <v>75</v>
      </c>
      <c r="I80" s="151" t="s">
        <v>225</v>
      </c>
      <c r="J80" s="151" t="s">
        <v>52</v>
      </c>
      <c r="K80" s="151" t="s">
        <v>52</v>
      </c>
      <c r="L80" s="151" t="s">
        <v>775</v>
      </c>
      <c r="M80" s="151" t="s">
        <v>303</v>
      </c>
      <c r="N80" s="151" t="s">
        <v>251</v>
      </c>
      <c r="O80" s="151" t="s">
        <v>61</v>
      </c>
      <c r="P80" s="151" t="s">
        <v>1371</v>
      </c>
      <c r="Q80" s="151" t="s">
        <v>64</v>
      </c>
      <c r="R80" s="151" t="s">
        <v>56</v>
      </c>
      <c r="S80" s="151" t="s">
        <v>1255</v>
      </c>
      <c r="T80" s="152">
        <v>2.09</v>
      </c>
      <c r="U80" s="151" t="s">
        <v>1679</v>
      </c>
      <c r="V80" s="153">
        <v>3.3099999999999997E-2</v>
      </c>
      <c r="W80" s="153">
        <v>2.537E-2</v>
      </c>
      <c r="X80" s="151" t="s">
        <v>607</v>
      </c>
      <c r="Y80" s="151"/>
      <c r="Z80" s="152">
        <v>400000</v>
      </c>
      <c r="AA80" s="152">
        <v>1</v>
      </c>
      <c r="AB80" s="152">
        <v>114.11</v>
      </c>
      <c r="AC80" s="151"/>
      <c r="AD80" s="152">
        <v>456.44</v>
      </c>
      <c r="AE80" s="151"/>
      <c r="AF80" s="151"/>
      <c r="AG80" s="151"/>
      <c r="AH80" s="153">
        <v>5.6999999999999998E-4</v>
      </c>
      <c r="AI80" s="153">
        <v>4.1999999999999997E-3</v>
      </c>
      <c r="AJ80" s="154">
        <v>6.2E-4</v>
      </c>
      <c r="AK80" s="174"/>
    </row>
    <row r="81" spans="1:37" x14ac:dyDescent="0.2">
      <c r="A81" s="150" t="s">
        <v>1251</v>
      </c>
      <c r="B81" s="151" t="s">
        <v>1251</v>
      </c>
      <c r="C81" s="151" t="s">
        <v>1504</v>
      </c>
      <c r="D81" s="151" t="s">
        <v>1505</v>
      </c>
      <c r="E81" s="151" t="s">
        <v>420</v>
      </c>
      <c r="F81" s="151" t="s">
        <v>1680</v>
      </c>
      <c r="G81" s="151" t="s">
        <v>1681</v>
      </c>
      <c r="H81" s="151" t="s">
        <v>75</v>
      </c>
      <c r="I81" s="151" t="s">
        <v>225</v>
      </c>
      <c r="J81" s="151" t="s">
        <v>52</v>
      </c>
      <c r="K81" s="151" t="s">
        <v>52</v>
      </c>
      <c r="L81" s="151" t="s">
        <v>775</v>
      </c>
      <c r="M81" s="151" t="s">
        <v>303</v>
      </c>
      <c r="N81" s="151" t="s">
        <v>154</v>
      </c>
      <c r="O81" s="151" t="s">
        <v>61</v>
      </c>
      <c r="P81" s="151" t="s">
        <v>1371</v>
      </c>
      <c r="Q81" s="151" t="s">
        <v>64</v>
      </c>
      <c r="R81" s="151" t="s">
        <v>56</v>
      </c>
      <c r="S81" s="151" t="s">
        <v>1255</v>
      </c>
      <c r="T81" s="152">
        <v>1.63</v>
      </c>
      <c r="U81" s="151" t="s">
        <v>1513</v>
      </c>
      <c r="V81" s="153">
        <v>1.9400000000000001E-2</v>
      </c>
      <c r="W81" s="153">
        <v>1.917E-2</v>
      </c>
      <c r="X81" s="151" t="s">
        <v>607</v>
      </c>
      <c r="Y81" s="151"/>
      <c r="Z81" s="152">
        <v>375149.9</v>
      </c>
      <c r="AA81" s="152">
        <v>1</v>
      </c>
      <c r="AB81" s="152">
        <v>119.6</v>
      </c>
      <c r="AC81" s="151"/>
      <c r="AD81" s="152">
        <v>448.67899999999997</v>
      </c>
      <c r="AE81" s="151"/>
      <c r="AF81" s="151"/>
      <c r="AG81" s="151"/>
      <c r="AH81" s="153">
        <v>2.0699999999999998E-3</v>
      </c>
      <c r="AI81" s="153">
        <v>4.13E-3</v>
      </c>
      <c r="AJ81" s="154">
        <v>6.0999999999999997E-4</v>
      </c>
      <c r="AK81" s="174"/>
    </row>
    <row r="82" spans="1:37" x14ac:dyDescent="0.2">
      <c r="A82" s="150" t="s">
        <v>1251</v>
      </c>
      <c r="B82" s="151" t="s">
        <v>1251</v>
      </c>
      <c r="C82" s="151" t="s">
        <v>1536</v>
      </c>
      <c r="D82" s="151" t="s">
        <v>1537</v>
      </c>
      <c r="E82" s="151" t="s">
        <v>420</v>
      </c>
      <c r="F82" s="151" t="s">
        <v>1682</v>
      </c>
      <c r="G82" s="151" t="s">
        <v>1683</v>
      </c>
      <c r="H82" s="151" t="s">
        <v>75</v>
      </c>
      <c r="I82" s="151" t="s">
        <v>225</v>
      </c>
      <c r="J82" s="151" t="s">
        <v>52</v>
      </c>
      <c r="K82" s="151" t="s">
        <v>52</v>
      </c>
      <c r="L82" s="151" t="s">
        <v>775</v>
      </c>
      <c r="M82" s="151" t="s">
        <v>303</v>
      </c>
      <c r="N82" s="151" t="s">
        <v>621</v>
      </c>
      <c r="O82" s="151" t="s">
        <v>61</v>
      </c>
      <c r="P82" s="151" t="s">
        <v>1390</v>
      </c>
      <c r="Q82" s="151" t="s">
        <v>69</v>
      </c>
      <c r="R82" s="151" t="s">
        <v>56</v>
      </c>
      <c r="S82" s="151" t="s">
        <v>1255</v>
      </c>
      <c r="T82" s="152">
        <v>1.77</v>
      </c>
      <c r="U82" s="151" t="s">
        <v>1604</v>
      </c>
      <c r="V82" s="153">
        <v>3.2800000000000003E-2</v>
      </c>
      <c r="W82" s="153">
        <v>5.5300000000000002E-2</v>
      </c>
      <c r="X82" s="151" t="s">
        <v>607</v>
      </c>
      <c r="Y82" s="151"/>
      <c r="Z82" s="152">
        <v>350000.04</v>
      </c>
      <c r="AA82" s="152">
        <v>1</v>
      </c>
      <c r="AB82" s="152">
        <v>115.88</v>
      </c>
      <c r="AC82" s="151"/>
      <c r="AD82" s="152">
        <v>405.58</v>
      </c>
      <c r="AE82" s="151"/>
      <c r="AF82" s="151"/>
      <c r="AG82" s="151"/>
      <c r="AH82" s="153">
        <v>2.5999999999999998E-4</v>
      </c>
      <c r="AI82" s="153">
        <v>3.7399999999999998E-3</v>
      </c>
      <c r="AJ82" s="154">
        <v>5.5000000000000003E-4</v>
      </c>
      <c r="AK82" s="174"/>
    </row>
    <row r="83" spans="1:37" x14ac:dyDescent="0.2">
      <c r="A83" s="150" t="s">
        <v>1251</v>
      </c>
      <c r="B83" s="151" t="s">
        <v>1251</v>
      </c>
      <c r="C83" s="151" t="s">
        <v>1613</v>
      </c>
      <c r="D83" s="151" t="s">
        <v>1614</v>
      </c>
      <c r="E83" s="151" t="s">
        <v>420</v>
      </c>
      <c r="F83" s="151" t="s">
        <v>1684</v>
      </c>
      <c r="G83" s="151" t="s">
        <v>1685</v>
      </c>
      <c r="H83" s="151" t="s">
        <v>75</v>
      </c>
      <c r="I83" s="151" t="s">
        <v>226</v>
      </c>
      <c r="J83" s="151" t="s">
        <v>52</v>
      </c>
      <c r="K83" s="151" t="s">
        <v>52</v>
      </c>
      <c r="L83" s="151" t="s">
        <v>775</v>
      </c>
      <c r="M83" s="151" t="s">
        <v>303</v>
      </c>
      <c r="N83" s="151" t="s">
        <v>260</v>
      </c>
      <c r="O83" s="151" t="s">
        <v>61</v>
      </c>
      <c r="P83" s="151" t="s">
        <v>1384</v>
      </c>
      <c r="Q83" s="151" t="s">
        <v>64</v>
      </c>
      <c r="R83" s="151" t="s">
        <v>56</v>
      </c>
      <c r="S83" s="151" t="s">
        <v>1255</v>
      </c>
      <c r="T83" s="152">
        <v>2.34</v>
      </c>
      <c r="U83" s="151" t="s">
        <v>1617</v>
      </c>
      <c r="V83" s="153">
        <v>3.7699999999999997E-2</v>
      </c>
      <c r="W83" s="153">
        <v>4.1439999999999998E-2</v>
      </c>
      <c r="X83" s="151" t="s">
        <v>607</v>
      </c>
      <c r="Y83" s="151"/>
      <c r="Z83" s="152">
        <v>415212.15</v>
      </c>
      <c r="AA83" s="152">
        <v>1</v>
      </c>
      <c r="AB83" s="152">
        <v>93.68</v>
      </c>
      <c r="AC83" s="151"/>
      <c r="AD83" s="152">
        <v>388.971</v>
      </c>
      <c r="AE83" s="151"/>
      <c r="AF83" s="151"/>
      <c r="AG83" s="151"/>
      <c r="AH83" s="153">
        <v>2.9099999999999998E-3</v>
      </c>
      <c r="AI83" s="153">
        <v>3.5799999999999998E-3</v>
      </c>
      <c r="AJ83" s="154">
        <v>5.2999999999999998E-4</v>
      </c>
      <c r="AK83" s="174"/>
    </row>
    <row r="84" spans="1:37" x14ac:dyDescent="0.2">
      <c r="A84" s="150" t="s">
        <v>1251</v>
      </c>
      <c r="B84" s="151" t="s">
        <v>1251</v>
      </c>
      <c r="C84" s="151" t="s">
        <v>1686</v>
      </c>
      <c r="D84" s="151" t="s">
        <v>1687</v>
      </c>
      <c r="E84" s="151" t="s">
        <v>420</v>
      </c>
      <c r="F84" s="151" t="s">
        <v>1688</v>
      </c>
      <c r="G84" s="151" t="s">
        <v>1689</v>
      </c>
      <c r="H84" s="151" t="s">
        <v>75</v>
      </c>
      <c r="I84" s="151" t="s">
        <v>225</v>
      </c>
      <c r="J84" s="151" t="s">
        <v>52</v>
      </c>
      <c r="K84" s="151" t="s">
        <v>52</v>
      </c>
      <c r="L84" s="151" t="s">
        <v>775</v>
      </c>
      <c r="M84" s="151" t="s">
        <v>303</v>
      </c>
      <c r="N84" s="151" t="s">
        <v>620</v>
      </c>
      <c r="O84" s="151" t="s">
        <v>61</v>
      </c>
      <c r="P84" s="151" t="s">
        <v>1384</v>
      </c>
      <c r="Q84" s="151" t="s">
        <v>64</v>
      </c>
      <c r="R84" s="151" t="s">
        <v>56</v>
      </c>
      <c r="S84" s="151" t="s">
        <v>1255</v>
      </c>
      <c r="T84" s="152">
        <v>0.66</v>
      </c>
      <c r="U84" s="151" t="s">
        <v>1690</v>
      </c>
      <c r="V84" s="153">
        <v>2.1499999999999998E-2</v>
      </c>
      <c r="W84" s="153">
        <v>1.7100000000000001E-2</v>
      </c>
      <c r="X84" s="151" t="s">
        <v>607</v>
      </c>
      <c r="Y84" s="151"/>
      <c r="Z84" s="152">
        <v>273535.74</v>
      </c>
      <c r="AA84" s="152">
        <v>1</v>
      </c>
      <c r="AB84" s="152">
        <v>120.7</v>
      </c>
      <c r="AC84" s="151"/>
      <c r="AD84" s="152">
        <v>330.15800000000002</v>
      </c>
      <c r="AE84" s="151"/>
      <c r="AF84" s="151"/>
      <c r="AG84" s="151"/>
      <c r="AH84" s="153">
        <v>3.8999999999999999E-4</v>
      </c>
      <c r="AI84" s="153">
        <v>3.0400000000000002E-3</v>
      </c>
      <c r="AJ84" s="154">
        <v>4.4999999999999999E-4</v>
      </c>
      <c r="AK84" s="174"/>
    </row>
    <row r="85" spans="1:37" x14ac:dyDescent="0.2">
      <c r="A85" s="150" t="s">
        <v>1251</v>
      </c>
      <c r="B85" s="151" t="s">
        <v>1251</v>
      </c>
      <c r="C85" s="151" t="s">
        <v>1691</v>
      </c>
      <c r="D85" s="151" t="s">
        <v>1692</v>
      </c>
      <c r="E85" s="151" t="s">
        <v>420</v>
      </c>
      <c r="F85" s="151" t="s">
        <v>1693</v>
      </c>
      <c r="G85" s="151" t="s">
        <v>1694</v>
      </c>
      <c r="H85" s="151" t="s">
        <v>75</v>
      </c>
      <c r="I85" s="151" t="s">
        <v>224</v>
      </c>
      <c r="J85" s="151" t="s">
        <v>52</v>
      </c>
      <c r="K85" s="151" t="s">
        <v>52</v>
      </c>
      <c r="L85" s="151" t="s">
        <v>775</v>
      </c>
      <c r="M85" s="151" t="s">
        <v>303</v>
      </c>
      <c r="N85" s="151" t="s">
        <v>138</v>
      </c>
      <c r="O85" s="151" t="s">
        <v>61</v>
      </c>
      <c r="P85" s="151" t="s">
        <v>1407</v>
      </c>
      <c r="Q85" s="151" t="s">
        <v>69</v>
      </c>
      <c r="R85" s="151" t="s">
        <v>56</v>
      </c>
      <c r="S85" s="151" t="s">
        <v>1255</v>
      </c>
      <c r="T85" s="152">
        <v>0.99</v>
      </c>
      <c r="U85" s="151" t="s">
        <v>1351</v>
      </c>
      <c r="V85" s="153">
        <v>2.4E-2</v>
      </c>
      <c r="W85" s="153">
        <v>4.6920000000000003E-2</v>
      </c>
      <c r="X85" s="151" t="s">
        <v>607</v>
      </c>
      <c r="Y85" s="151"/>
      <c r="Z85" s="152">
        <v>336363.64</v>
      </c>
      <c r="AA85" s="152">
        <v>1</v>
      </c>
      <c r="AB85" s="152">
        <v>97.85</v>
      </c>
      <c r="AC85" s="151"/>
      <c r="AD85" s="152">
        <v>329.13200000000001</v>
      </c>
      <c r="AE85" s="151"/>
      <c r="AF85" s="151"/>
      <c r="AG85" s="151"/>
      <c r="AH85" s="153">
        <v>3.14E-3</v>
      </c>
      <c r="AI85" s="153">
        <v>3.0300000000000001E-3</v>
      </c>
      <c r="AJ85" s="154">
        <v>4.4999999999999999E-4</v>
      </c>
      <c r="AK85" s="174"/>
    </row>
    <row r="86" spans="1:37" x14ac:dyDescent="0.2">
      <c r="A86" s="150" t="s">
        <v>1251</v>
      </c>
      <c r="B86" s="151" t="s">
        <v>1251</v>
      </c>
      <c r="C86" s="151" t="s">
        <v>1695</v>
      </c>
      <c r="D86" s="151" t="s">
        <v>1696</v>
      </c>
      <c r="E86" s="151" t="s">
        <v>420</v>
      </c>
      <c r="F86" s="151" t="s">
        <v>1697</v>
      </c>
      <c r="G86" s="151" t="s">
        <v>1698</v>
      </c>
      <c r="H86" s="151" t="s">
        <v>75</v>
      </c>
      <c r="I86" s="151" t="s">
        <v>225</v>
      </c>
      <c r="J86" s="151" t="s">
        <v>52</v>
      </c>
      <c r="K86" s="151" t="s">
        <v>52</v>
      </c>
      <c r="L86" s="151" t="s">
        <v>775</v>
      </c>
      <c r="M86" s="151" t="s">
        <v>303</v>
      </c>
      <c r="N86" s="151" t="s">
        <v>1211</v>
      </c>
      <c r="O86" s="151" t="s">
        <v>61</v>
      </c>
      <c r="P86" s="151" t="s">
        <v>1473</v>
      </c>
      <c r="Q86" s="151" t="s">
        <v>64</v>
      </c>
      <c r="R86" s="151" t="s">
        <v>56</v>
      </c>
      <c r="S86" s="151" t="s">
        <v>1255</v>
      </c>
      <c r="T86" s="152">
        <v>1.1000000000000001</v>
      </c>
      <c r="U86" s="151" t="s">
        <v>1699</v>
      </c>
      <c r="V86" s="153">
        <v>3.2000000000000001E-2</v>
      </c>
      <c r="W86" s="153">
        <v>2.1770000000000001E-2</v>
      </c>
      <c r="X86" s="151" t="s">
        <v>607</v>
      </c>
      <c r="Y86" s="151"/>
      <c r="Z86" s="152">
        <v>110250</v>
      </c>
      <c r="AA86" s="152">
        <v>1</v>
      </c>
      <c r="AB86" s="152">
        <v>111.1</v>
      </c>
      <c r="AC86" s="151"/>
      <c r="AD86" s="152">
        <v>122.488</v>
      </c>
      <c r="AE86" s="151"/>
      <c r="AF86" s="151"/>
      <c r="AG86" s="151"/>
      <c r="AH86" s="153">
        <v>2.2000000000000001E-4</v>
      </c>
      <c r="AI86" s="153">
        <v>1.1299999999999999E-3</v>
      </c>
      <c r="AJ86" s="154">
        <v>1.7000000000000001E-4</v>
      </c>
      <c r="AK86" s="174"/>
    </row>
    <row r="87" spans="1:37" x14ac:dyDescent="0.2">
      <c r="A87" s="150" t="s">
        <v>1251</v>
      </c>
      <c r="B87" s="151" t="s">
        <v>1251</v>
      </c>
      <c r="C87" s="151" t="s">
        <v>1700</v>
      </c>
      <c r="D87" s="151" t="s">
        <v>1701</v>
      </c>
      <c r="E87" s="151" t="s">
        <v>420</v>
      </c>
      <c r="F87" s="151" t="s">
        <v>1702</v>
      </c>
      <c r="G87" s="151" t="s">
        <v>1703</v>
      </c>
      <c r="H87" s="151" t="s">
        <v>75</v>
      </c>
      <c r="I87" s="151" t="s">
        <v>226</v>
      </c>
      <c r="J87" s="151" t="s">
        <v>52</v>
      </c>
      <c r="K87" s="151" t="s">
        <v>52</v>
      </c>
      <c r="L87" s="151" t="s">
        <v>775</v>
      </c>
      <c r="M87" s="151" t="s">
        <v>303</v>
      </c>
      <c r="N87" s="151" t="s">
        <v>260</v>
      </c>
      <c r="O87" s="151" t="s">
        <v>61</v>
      </c>
      <c r="P87" s="151" t="s">
        <v>1365</v>
      </c>
      <c r="Q87" s="151" t="s">
        <v>69</v>
      </c>
      <c r="R87" s="151" t="s">
        <v>56</v>
      </c>
      <c r="S87" s="151" t="s">
        <v>1255</v>
      </c>
      <c r="T87" s="152">
        <v>1.9</v>
      </c>
      <c r="U87" s="151" t="s">
        <v>1575</v>
      </c>
      <c r="V87" s="153">
        <v>5.4800000000000001E-2</v>
      </c>
      <c r="W87" s="153">
        <v>5.228E-2</v>
      </c>
      <c r="X87" s="151" t="s">
        <v>607</v>
      </c>
      <c r="Y87" s="151"/>
      <c r="Z87" s="152">
        <v>108960.05</v>
      </c>
      <c r="AA87" s="152">
        <v>1</v>
      </c>
      <c r="AB87" s="152">
        <v>89.67</v>
      </c>
      <c r="AC87" s="151"/>
      <c r="AD87" s="152">
        <v>97.703999999999994</v>
      </c>
      <c r="AE87" s="151"/>
      <c r="AF87" s="151"/>
      <c r="AG87" s="151"/>
      <c r="AH87" s="153">
        <v>5.0000000000000001E-4</v>
      </c>
      <c r="AI87" s="153">
        <v>8.9999999999999998E-4</v>
      </c>
      <c r="AJ87" s="154">
        <v>1.2999999999999999E-4</v>
      </c>
      <c r="AK87" s="174"/>
    </row>
    <row r="88" spans="1:37" x14ac:dyDescent="0.2">
      <c r="A88" s="150" t="s">
        <v>1251</v>
      </c>
      <c r="B88" s="151" t="s">
        <v>1251</v>
      </c>
      <c r="C88" s="151" t="s">
        <v>1531</v>
      </c>
      <c r="D88" s="151" t="s">
        <v>1532</v>
      </c>
      <c r="E88" s="151" t="s">
        <v>420</v>
      </c>
      <c r="F88" s="151" t="s">
        <v>1704</v>
      </c>
      <c r="G88" s="151" t="s">
        <v>1705</v>
      </c>
      <c r="H88" s="151" t="s">
        <v>75</v>
      </c>
      <c r="I88" s="151" t="s">
        <v>224</v>
      </c>
      <c r="J88" s="151" t="s">
        <v>52</v>
      </c>
      <c r="K88" s="151" t="s">
        <v>52</v>
      </c>
      <c r="L88" s="151" t="s">
        <v>775</v>
      </c>
      <c r="M88" s="151" t="s">
        <v>303</v>
      </c>
      <c r="N88" s="151" t="s">
        <v>620</v>
      </c>
      <c r="O88" s="151" t="s">
        <v>61</v>
      </c>
      <c r="P88" s="151" t="s">
        <v>1436</v>
      </c>
      <c r="Q88" s="151" t="s">
        <v>69</v>
      </c>
      <c r="R88" s="151" t="s">
        <v>56</v>
      </c>
      <c r="S88" s="151" t="s">
        <v>1255</v>
      </c>
      <c r="T88" s="152">
        <v>1.2</v>
      </c>
      <c r="U88" s="151" t="s">
        <v>1604</v>
      </c>
      <c r="V88" s="153">
        <v>5.6500000000000002E-2</v>
      </c>
      <c r="W88" s="153">
        <v>4.6890000000000001E-2</v>
      </c>
      <c r="X88" s="151" t="s">
        <v>607</v>
      </c>
      <c r="Y88" s="151"/>
      <c r="Z88" s="152">
        <v>23173.5</v>
      </c>
      <c r="AA88" s="152">
        <v>1</v>
      </c>
      <c r="AB88" s="152">
        <v>102.62</v>
      </c>
      <c r="AC88" s="151"/>
      <c r="AD88" s="152">
        <v>23.780999999999999</v>
      </c>
      <c r="AE88" s="151"/>
      <c r="AF88" s="151"/>
      <c r="AG88" s="151"/>
      <c r="AH88" s="153">
        <v>2.0000000000000001E-4</v>
      </c>
      <c r="AI88" s="153">
        <v>2.2000000000000001E-4</v>
      </c>
      <c r="AJ88" s="154">
        <v>3.0000000000000001E-5</v>
      </c>
      <c r="AK88" s="174"/>
    </row>
    <row r="89" spans="1:37" x14ac:dyDescent="0.2">
      <c r="A89" s="150" t="s">
        <v>1264</v>
      </c>
      <c r="B89" s="151" t="s">
        <v>1264</v>
      </c>
      <c r="C89" s="151" t="s">
        <v>1367</v>
      </c>
      <c r="D89" s="151" t="s">
        <v>1368</v>
      </c>
      <c r="E89" s="151" t="s">
        <v>420</v>
      </c>
      <c r="F89" s="151" t="s">
        <v>1369</v>
      </c>
      <c r="G89" s="151" t="s">
        <v>1370</v>
      </c>
      <c r="H89" s="151" t="s">
        <v>75</v>
      </c>
      <c r="I89" s="151" t="s">
        <v>225</v>
      </c>
      <c r="J89" s="151" t="s">
        <v>52</v>
      </c>
      <c r="K89" s="151" t="s">
        <v>52</v>
      </c>
      <c r="L89" s="151" t="s">
        <v>775</v>
      </c>
      <c r="M89" s="151" t="s">
        <v>303</v>
      </c>
      <c r="N89" s="151" t="s">
        <v>251</v>
      </c>
      <c r="O89" s="151" t="s">
        <v>61</v>
      </c>
      <c r="P89" s="151" t="s">
        <v>1371</v>
      </c>
      <c r="Q89" s="151" t="s">
        <v>64</v>
      </c>
      <c r="R89" s="151" t="s">
        <v>56</v>
      </c>
      <c r="S89" s="151" t="s">
        <v>1255</v>
      </c>
      <c r="T89" s="152">
        <v>4.63</v>
      </c>
      <c r="U89" s="151" t="s">
        <v>1366</v>
      </c>
      <c r="V89" s="153">
        <v>3.1E-2</v>
      </c>
      <c r="W89" s="153">
        <v>2.8160000000000001E-2</v>
      </c>
      <c r="X89" s="151" t="s">
        <v>607</v>
      </c>
      <c r="Y89" s="151"/>
      <c r="Z89" s="152">
        <v>47300000</v>
      </c>
      <c r="AA89" s="152">
        <v>1</v>
      </c>
      <c r="AB89" s="152">
        <v>104.13</v>
      </c>
      <c r="AC89" s="151"/>
      <c r="AD89" s="152">
        <v>49253.49</v>
      </c>
      <c r="AE89" s="151"/>
      <c r="AF89" s="151"/>
      <c r="AG89" s="151"/>
      <c r="AH89" s="153">
        <v>2.0750000000000001E-2</v>
      </c>
      <c r="AI89" s="153">
        <v>3.329E-2</v>
      </c>
      <c r="AJ89" s="154">
        <v>4.9300000000000004E-3</v>
      </c>
      <c r="AK89" s="174"/>
    </row>
    <row r="90" spans="1:37" x14ac:dyDescent="0.2">
      <c r="A90" s="150" t="s">
        <v>1264</v>
      </c>
      <c r="B90" s="151" t="s">
        <v>1264</v>
      </c>
      <c r="C90" s="151" t="s">
        <v>1361</v>
      </c>
      <c r="D90" s="151" t="s">
        <v>1362</v>
      </c>
      <c r="E90" s="151" t="s">
        <v>420</v>
      </c>
      <c r="F90" s="151" t="s">
        <v>1372</v>
      </c>
      <c r="G90" s="151" t="s">
        <v>1373</v>
      </c>
      <c r="H90" s="151" t="s">
        <v>75</v>
      </c>
      <c r="I90" s="151" t="s">
        <v>224</v>
      </c>
      <c r="J90" s="151" t="s">
        <v>52</v>
      </c>
      <c r="K90" s="151" t="s">
        <v>52</v>
      </c>
      <c r="L90" s="151" t="s">
        <v>775</v>
      </c>
      <c r="M90" s="151" t="s">
        <v>303</v>
      </c>
      <c r="N90" s="151" t="s">
        <v>620</v>
      </c>
      <c r="O90" s="151" t="s">
        <v>61</v>
      </c>
      <c r="P90" s="151" t="s">
        <v>1371</v>
      </c>
      <c r="Q90" s="151" t="s">
        <v>64</v>
      </c>
      <c r="R90" s="151" t="s">
        <v>56</v>
      </c>
      <c r="S90" s="151" t="s">
        <v>1255</v>
      </c>
      <c r="T90" s="152">
        <v>5.49</v>
      </c>
      <c r="U90" s="151" t="s">
        <v>1374</v>
      </c>
      <c r="V90" s="153">
        <v>4.9399999999999999E-2</v>
      </c>
      <c r="W90" s="153">
        <v>4.8329999999999998E-2</v>
      </c>
      <c r="X90" s="151" t="s">
        <v>607</v>
      </c>
      <c r="Y90" s="151"/>
      <c r="Z90" s="152">
        <v>46901544.32</v>
      </c>
      <c r="AA90" s="152">
        <v>1</v>
      </c>
      <c r="AB90" s="152">
        <v>100.97</v>
      </c>
      <c r="AC90" s="151"/>
      <c r="AD90" s="152">
        <v>47356.489000000001</v>
      </c>
      <c r="AE90" s="151"/>
      <c r="AF90" s="151"/>
      <c r="AG90" s="151"/>
      <c r="AH90" s="153">
        <v>2.52E-2</v>
      </c>
      <c r="AI90" s="153">
        <v>3.2009999999999997E-2</v>
      </c>
      <c r="AJ90" s="154">
        <v>4.7400000000000003E-3</v>
      </c>
      <c r="AK90" s="174"/>
    </row>
    <row r="91" spans="1:37" x14ac:dyDescent="0.2">
      <c r="A91" s="150" t="s">
        <v>1264</v>
      </c>
      <c r="B91" s="151" t="s">
        <v>1264</v>
      </c>
      <c r="C91" s="151" t="s">
        <v>1375</v>
      </c>
      <c r="D91" s="151" t="s">
        <v>1376</v>
      </c>
      <c r="E91" s="151" t="s">
        <v>420</v>
      </c>
      <c r="F91" s="151" t="s">
        <v>1377</v>
      </c>
      <c r="G91" s="151" t="s">
        <v>1378</v>
      </c>
      <c r="H91" s="151" t="s">
        <v>75</v>
      </c>
      <c r="I91" s="151" t="s">
        <v>224</v>
      </c>
      <c r="J91" s="151" t="s">
        <v>52</v>
      </c>
      <c r="K91" s="151" t="s">
        <v>52</v>
      </c>
      <c r="L91" s="151" t="s">
        <v>775</v>
      </c>
      <c r="M91" s="151" t="s">
        <v>303</v>
      </c>
      <c r="N91" s="151" t="s">
        <v>616</v>
      </c>
      <c r="O91" s="151" t="s">
        <v>61</v>
      </c>
      <c r="P91" s="151" t="s">
        <v>1359</v>
      </c>
      <c r="Q91" s="151" t="s">
        <v>64</v>
      </c>
      <c r="R91" s="151" t="s">
        <v>56</v>
      </c>
      <c r="S91" s="151" t="s">
        <v>1255</v>
      </c>
      <c r="T91" s="152">
        <v>2.34</v>
      </c>
      <c r="U91" s="151" t="s">
        <v>1379</v>
      </c>
      <c r="V91" s="153">
        <v>1.4999999999999999E-2</v>
      </c>
      <c r="W91" s="153">
        <v>4.8599999999999997E-2</v>
      </c>
      <c r="X91" s="151" t="s">
        <v>607</v>
      </c>
      <c r="Y91" s="151"/>
      <c r="Z91" s="152">
        <v>49000001</v>
      </c>
      <c r="AA91" s="152">
        <v>1</v>
      </c>
      <c r="AB91" s="152">
        <v>92.72</v>
      </c>
      <c r="AC91" s="151"/>
      <c r="AD91" s="152">
        <v>45432.800999999999</v>
      </c>
      <c r="AE91" s="151"/>
      <c r="AF91" s="151"/>
      <c r="AG91" s="151"/>
      <c r="AH91" s="153">
        <v>4.163E-2</v>
      </c>
      <c r="AI91" s="153">
        <v>3.0710000000000001E-2</v>
      </c>
      <c r="AJ91" s="154">
        <v>4.5500000000000002E-3</v>
      </c>
      <c r="AK91" s="174"/>
    </row>
    <row r="92" spans="1:37" x14ac:dyDescent="0.2">
      <c r="A92" s="150" t="s">
        <v>1264</v>
      </c>
      <c r="B92" s="151" t="s">
        <v>1264</v>
      </c>
      <c r="C92" s="151" t="s">
        <v>1380</v>
      </c>
      <c r="D92" s="151" t="s">
        <v>1381</v>
      </c>
      <c r="E92" s="151" t="s">
        <v>420</v>
      </c>
      <c r="F92" s="151" t="s">
        <v>1382</v>
      </c>
      <c r="G92" s="151" t="s">
        <v>1383</v>
      </c>
      <c r="H92" s="151" t="s">
        <v>75</v>
      </c>
      <c r="I92" s="151" t="s">
        <v>225</v>
      </c>
      <c r="J92" s="151" t="s">
        <v>52</v>
      </c>
      <c r="K92" s="151" t="s">
        <v>52</v>
      </c>
      <c r="L92" s="151" t="s">
        <v>775</v>
      </c>
      <c r="M92" s="151" t="s">
        <v>303</v>
      </c>
      <c r="N92" s="151" t="s">
        <v>620</v>
      </c>
      <c r="O92" s="151" t="s">
        <v>61</v>
      </c>
      <c r="P92" s="151" t="s">
        <v>1384</v>
      </c>
      <c r="Q92" s="151" t="s">
        <v>64</v>
      </c>
      <c r="R92" s="151" t="s">
        <v>56</v>
      </c>
      <c r="S92" s="151" t="s">
        <v>1255</v>
      </c>
      <c r="T92" s="152">
        <v>5.05</v>
      </c>
      <c r="U92" s="151" t="s">
        <v>1385</v>
      </c>
      <c r="V92" s="153">
        <v>3.61E-2</v>
      </c>
      <c r="W92" s="153">
        <v>2.8129999999999999E-2</v>
      </c>
      <c r="X92" s="151" t="s">
        <v>607</v>
      </c>
      <c r="Y92" s="151"/>
      <c r="Z92" s="152">
        <v>38817296.130000003</v>
      </c>
      <c r="AA92" s="152">
        <v>1</v>
      </c>
      <c r="AB92" s="152">
        <v>113.57</v>
      </c>
      <c r="AC92" s="151"/>
      <c r="AD92" s="152">
        <v>44084.803</v>
      </c>
      <c r="AE92" s="151"/>
      <c r="AF92" s="151"/>
      <c r="AG92" s="151"/>
      <c r="AH92" s="153">
        <v>1.5890000000000001E-2</v>
      </c>
      <c r="AI92" s="153">
        <v>2.9790000000000001E-2</v>
      </c>
      <c r="AJ92" s="154">
        <v>4.4200000000000003E-3</v>
      </c>
      <c r="AK92" s="174"/>
    </row>
    <row r="93" spans="1:37" x14ac:dyDescent="0.2">
      <c r="A93" s="150" t="s">
        <v>1264</v>
      </c>
      <c r="B93" s="151" t="s">
        <v>1264</v>
      </c>
      <c r="C93" s="151" t="s">
        <v>1459</v>
      </c>
      <c r="D93" s="151" t="s">
        <v>1460</v>
      </c>
      <c r="E93" s="151" t="s">
        <v>420</v>
      </c>
      <c r="F93" s="151" t="s">
        <v>1706</v>
      </c>
      <c r="G93" s="151" t="s">
        <v>1707</v>
      </c>
      <c r="H93" s="151" t="s">
        <v>75</v>
      </c>
      <c r="I93" s="151" t="s">
        <v>225</v>
      </c>
      <c r="J93" s="151" t="s">
        <v>52</v>
      </c>
      <c r="K93" s="151" t="s">
        <v>52</v>
      </c>
      <c r="L93" s="151" t="s">
        <v>775</v>
      </c>
      <c r="M93" s="151" t="s">
        <v>303</v>
      </c>
      <c r="N93" s="151" t="s">
        <v>154</v>
      </c>
      <c r="O93" s="151" t="s">
        <v>61</v>
      </c>
      <c r="P93" s="151" t="s">
        <v>1254</v>
      </c>
      <c r="Q93" s="151" t="s">
        <v>69</v>
      </c>
      <c r="R93" s="151" t="s">
        <v>56</v>
      </c>
      <c r="S93" s="151" t="s">
        <v>1255</v>
      </c>
      <c r="T93" s="152">
        <v>2.13</v>
      </c>
      <c r="U93" s="151" t="s">
        <v>1708</v>
      </c>
      <c r="V93" s="153">
        <v>3.85E-2</v>
      </c>
      <c r="W93" s="153">
        <v>2.2249999999999999E-2</v>
      </c>
      <c r="X93" s="151" t="s">
        <v>607</v>
      </c>
      <c r="Y93" s="151"/>
      <c r="Z93" s="152">
        <v>32953484.68</v>
      </c>
      <c r="AA93" s="152">
        <v>1</v>
      </c>
      <c r="AB93" s="152">
        <v>122.64</v>
      </c>
      <c r="AC93" s="152">
        <v>1195.4749999999999</v>
      </c>
      <c r="AD93" s="152">
        <v>41609.627999999997</v>
      </c>
      <c r="AE93" s="151"/>
      <c r="AF93" s="151"/>
      <c r="AG93" s="151"/>
      <c r="AH93" s="153">
        <v>1.3180000000000001E-2</v>
      </c>
      <c r="AI93" s="153">
        <v>2.8930000000000001E-2</v>
      </c>
      <c r="AJ93" s="154">
        <v>4.2900000000000004E-3</v>
      </c>
      <c r="AK93" s="174"/>
    </row>
    <row r="94" spans="1:37" x14ac:dyDescent="0.2">
      <c r="A94" s="150" t="s">
        <v>1264</v>
      </c>
      <c r="B94" s="151" t="s">
        <v>1264</v>
      </c>
      <c r="C94" s="151" t="s">
        <v>1386</v>
      </c>
      <c r="D94" s="151" t="s">
        <v>1387</v>
      </c>
      <c r="E94" s="151" t="s">
        <v>420</v>
      </c>
      <c r="F94" s="151" t="s">
        <v>1388</v>
      </c>
      <c r="G94" s="151" t="s">
        <v>1389</v>
      </c>
      <c r="H94" s="151" t="s">
        <v>75</v>
      </c>
      <c r="I94" s="151" t="s">
        <v>224</v>
      </c>
      <c r="J94" s="151" t="s">
        <v>52</v>
      </c>
      <c r="K94" s="151" t="s">
        <v>52</v>
      </c>
      <c r="L94" s="151" t="s">
        <v>775</v>
      </c>
      <c r="M94" s="151" t="s">
        <v>303</v>
      </c>
      <c r="N94" s="151" t="s">
        <v>154</v>
      </c>
      <c r="O94" s="151" t="s">
        <v>61</v>
      </c>
      <c r="P94" s="151" t="s">
        <v>1390</v>
      </c>
      <c r="Q94" s="151" t="s">
        <v>69</v>
      </c>
      <c r="R94" s="151" t="s">
        <v>56</v>
      </c>
      <c r="S94" s="151" t="s">
        <v>1255</v>
      </c>
      <c r="T94" s="152">
        <v>3.64</v>
      </c>
      <c r="U94" s="151" t="s">
        <v>1391</v>
      </c>
      <c r="V94" s="153">
        <v>6.7699999999999996E-2</v>
      </c>
      <c r="W94" s="153">
        <v>5.0389999999999997E-2</v>
      </c>
      <c r="X94" s="151" t="s">
        <v>607</v>
      </c>
      <c r="Y94" s="151"/>
      <c r="Z94" s="152">
        <v>34350000</v>
      </c>
      <c r="AA94" s="152">
        <v>1</v>
      </c>
      <c r="AB94" s="152">
        <v>108.24</v>
      </c>
      <c r="AC94" s="151"/>
      <c r="AD94" s="152">
        <v>37180.44</v>
      </c>
      <c r="AE94" s="151"/>
      <c r="AF94" s="151"/>
      <c r="AG94" s="151"/>
      <c r="AH94" s="153">
        <v>5.0889999999999998E-2</v>
      </c>
      <c r="AI94" s="153">
        <v>2.513E-2</v>
      </c>
      <c r="AJ94" s="154">
        <v>3.7200000000000002E-3</v>
      </c>
      <c r="AK94" s="174"/>
    </row>
    <row r="95" spans="1:37" x14ac:dyDescent="0.2">
      <c r="A95" s="150" t="s">
        <v>1264</v>
      </c>
      <c r="B95" s="151" t="s">
        <v>1264</v>
      </c>
      <c r="C95" s="151" t="s">
        <v>1361</v>
      </c>
      <c r="D95" s="151" t="s">
        <v>1362</v>
      </c>
      <c r="E95" s="151" t="s">
        <v>420</v>
      </c>
      <c r="F95" s="151" t="s">
        <v>1363</v>
      </c>
      <c r="G95" s="151" t="s">
        <v>1364</v>
      </c>
      <c r="H95" s="151" t="s">
        <v>75</v>
      </c>
      <c r="I95" s="151" t="s">
        <v>224</v>
      </c>
      <c r="J95" s="151" t="s">
        <v>52</v>
      </c>
      <c r="K95" s="151" t="s">
        <v>52</v>
      </c>
      <c r="L95" s="151" t="s">
        <v>775</v>
      </c>
      <c r="M95" s="151" t="s">
        <v>303</v>
      </c>
      <c r="N95" s="151" t="s">
        <v>620</v>
      </c>
      <c r="O95" s="151" t="s">
        <v>61</v>
      </c>
      <c r="P95" s="151" t="s">
        <v>1365</v>
      </c>
      <c r="Q95" s="151" t="s">
        <v>69</v>
      </c>
      <c r="R95" s="151" t="s">
        <v>56</v>
      </c>
      <c r="S95" s="151" t="s">
        <v>1255</v>
      </c>
      <c r="T95" s="152">
        <v>3.04</v>
      </c>
      <c r="U95" s="151" t="s">
        <v>1366</v>
      </c>
      <c r="V95" s="153">
        <v>2.41E-2</v>
      </c>
      <c r="W95" s="153">
        <v>4.8460000000000003E-2</v>
      </c>
      <c r="X95" s="151" t="s">
        <v>607</v>
      </c>
      <c r="Y95" s="151"/>
      <c r="Z95" s="152">
        <v>39181134.759999998</v>
      </c>
      <c r="AA95" s="152">
        <v>1</v>
      </c>
      <c r="AB95" s="152">
        <v>93.27</v>
      </c>
      <c r="AC95" s="151"/>
      <c r="AD95" s="152">
        <v>36544.243999999999</v>
      </c>
      <c r="AE95" s="151"/>
      <c r="AF95" s="151"/>
      <c r="AG95" s="151"/>
      <c r="AH95" s="153">
        <v>1.907E-2</v>
      </c>
      <c r="AI95" s="153">
        <v>2.47E-2</v>
      </c>
      <c r="AJ95" s="154">
        <v>3.6600000000000001E-3</v>
      </c>
      <c r="AK95" s="174"/>
    </row>
    <row r="96" spans="1:37" x14ac:dyDescent="0.2">
      <c r="A96" s="150" t="s">
        <v>1264</v>
      </c>
      <c r="B96" s="151" t="s">
        <v>1264</v>
      </c>
      <c r="C96" s="151" t="s">
        <v>1392</v>
      </c>
      <c r="D96" s="151" t="s">
        <v>1393</v>
      </c>
      <c r="E96" s="151" t="s">
        <v>420</v>
      </c>
      <c r="F96" s="151" t="s">
        <v>1394</v>
      </c>
      <c r="G96" s="151" t="s">
        <v>1395</v>
      </c>
      <c r="H96" s="151" t="s">
        <v>75</v>
      </c>
      <c r="I96" s="151" t="s">
        <v>225</v>
      </c>
      <c r="J96" s="151" t="s">
        <v>52</v>
      </c>
      <c r="K96" s="151" t="s">
        <v>52</v>
      </c>
      <c r="L96" s="151" t="s">
        <v>775</v>
      </c>
      <c r="M96" s="151" t="s">
        <v>303</v>
      </c>
      <c r="N96" s="151" t="s">
        <v>620</v>
      </c>
      <c r="O96" s="151" t="s">
        <v>61</v>
      </c>
      <c r="P96" s="151" t="s">
        <v>1396</v>
      </c>
      <c r="Q96" s="151" t="s">
        <v>64</v>
      </c>
      <c r="R96" s="151" t="s">
        <v>56</v>
      </c>
      <c r="S96" s="151" t="s">
        <v>1255</v>
      </c>
      <c r="T96" s="152">
        <v>5.71</v>
      </c>
      <c r="U96" s="151" t="s">
        <v>1397</v>
      </c>
      <c r="V96" s="153">
        <v>8.9999999999999993E-3</v>
      </c>
      <c r="W96" s="153">
        <v>2.69E-2</v>
      </c>
      <c r="X96" s="151" t="s">
        <v>607</v>
      </c>
      <c r="Y96" s="151"/>
      <c r="Z96" s="152">
        <v>30216854.640000001</v>
      </c>
      <c r="AA96" s="152">
        <v>1</v>
      </c>
      <c r="AB96" s="152">
        <v>105.15</v>
      </c>
      <c r="AC96" s="151"/>
      <c r="AD96" s="152">
        <v>31773.023000000001</v>
      </c>
      <c r="AE96" s="151"/>
      <c r="AF96" s="151"/>
      <c r="AG96" s="151"/>
      <c r="AH96" s="153">
        <v>1.1209999999999999E-2</v>
      </c>
      <c r="AI96" s="153">
        <v>2.147E-2</v>
      </c>
      <c r="AJ96" s="154">
        <v>3.1800000000000001E-3</v>
      </c>
      <c r="AK96" s="174"/>
    </row>
    <row r="97" spans="1:37" x14ac:dyDescent="0.2">
      <c r="A97" s="150" t="s">
        <v>1264</v>
      </c>
      <c r="B97" s="151" t="s">
        <v>1264</v>
      </c>
      <c r="C97" s="151" t="s">
        <v>1479</v>
      </c>
      <c r="D97" s="151" t="s">
        <v>1480</v>
      </c>
      <c r="E97" s="151" t="s">
        <v>420</v>
      </c>
      <c r="F97" s="151" t="s">
        <v>1481</v>
      </c>
      <c r="G97" s="151" t="s">
        <v>1482</v>
      </c>
      <c r="H97" s="151" t="s">
        <v>75</v>
      </c>
      <c r="I97" s="151" t="s">
        <v>225</v>
      </c>
      <c r="J97" s="151" t="s">
        <v>52</v>
      </c>
      <c r="K97" s="151" t="s">
        <v>52</v>
      </c>
      <c r="L97" s="151" t="s">
        <v>775</v>
      </c>
      <c r="M97" s="151" t="s">
        <v>303</v>
      </c>
      <c r="N97" s="151" t="s">
        <v>251</v>
      </c>
      <c r="O97" s="151" t="s">
        <v>61</v>
      </c>
      <c r="P97" s="151" t="s">
        <v>1419</v>
      </c>
      <c r="Q97" s="151" t="s">
        <v>64</v>
      </c>
      <c r="R97" s="151" t="s">
        <v>56</v>
      </c>
      <c r="S97" s="151" t="s">
        <v>1255</v>
      </c>
      <c r="T97" s="152">
        <v>4.01</v>
      </c>
      <c r="U97" s="151" t="s">
        <v>1483</v>
      </c>
      <c r="V97" s="153">
        <v>1.9900000000000001E-2</v>
      </c>
      <c r="W97" s="153">
        <v>2.4830000000000001E-2</v>
      </c>
      <c r="X97" s="151" t="s">
        <v>607</v>
      </c>
      <c r="Y97" s="151"/>
      <c r="Z97" s="152">
        <v>29804444.82</v>
      </c>
      <c r="AA97" s="152">
        <v>1</v>
      </c>
      <c r="AB97" s="152">
        <v>104.27</v>
      </c>
      <c r="AC97" s="151"/>
      <c r="AD97" s="152">
        <v>31077.095000000001</v>
      </c>
      <c r="AE97" s="151"/>
      <c r="AF97" s="151"/>
      <c r="AG97" s="151"/>
      <c r="AH97" s="153">
        <v>1.38E-2</v>
      </c>
      <c r="AI97" s="153">
        <v>2.1000000000000001E-2</v>
      </c>
      <c r="AJ97" s="154">
        <v>3.1099999999999999E-3</v>
      </c>
      <c r="AK97" s="174"/>
    </row>
    <row r="98" spans="1:37" x14ac:dyDescent="0.2">
      <c r="A98" s="150" t="s">
        <v>1264</v>
      </c>
      <c r="B98" s="151" t="s">
        <v>1264</v>
      </c>
      <c r="C98" s="151" t="s">
        <v>1355</v>
      </c>
      <c r="D98" s="151" t="s">
        <v>1356</v>
      </c>
      <c r="E98" s="151" t="s">
        <v>420</v>
      </c>
      <c r="F98" s="151" t="s">
        <v>1357</v>
      </c>
      <c r="G98" s="151" t="s">
        <v>1358</v>
      </c>
      <c r="H98" s="151" t="s">
        <v>75</v>
      </c>
      <c r="I98" s="151" t="s">
        <v>224</v>
      </c>
      <c r="J98" s="151" t="s">
        <v>52</v>
      </c>
      <c r="K98" s="151" t="s">
        <v>52</v>
      </c>
      <c r="L98" s="151" t="s">
        <v>775</v>
      </c>
      <c r="M98" s="151" t="s">
        <v>303</v>
      </c>
      <c r="N98" s="151" t="s">
        <v>138</v>
      </c>
      <c r="O98" s="151" t="s">
        <v>61</v>
      </c>
      <c r="P98" s="151" t="s">
        <v>1359</v>
      </c>
      <c r="Q98" s="151" t="s">
        <v>64</v>
      </c>
      <c r="R98" s="151" t="s">
        <v>56</v>
      </c>
      <c r="S98" s="151" t="s">
        <v>1255</v>
      </c>
      <c r="T98" s="152">
        <v>4.57</v>
      </c>
      <c r="U98" s="151" t="s">
        <v>1360</v>
      </c>
      <c r="V98" s="153">
        <v>5.74E-2</v>
      </c>
      <c r="W98" s="153">
        <v>5.1319999999999998E-2</v>
      </c>
      <c r="X98" s="151" t="s">
        <v>607</v>
      </c>
      <c r="Y98" s="151"/>
      <c r="Z98" s="152">
        <v>28883000</v>
      </c>
      <c r="AA98" s="152">
        <v>1</v>
      </c>
      <c r="AB98" s="152">
        <v>104.48</v>
      </c>
      <c r="AC98" s="151"/>
      <c r="AD98" s="152">
        <v>30176.957999999999</v>
      </c>
      <c r="AE98" s="151"/>
      <c r="AF98" s="151"/>
      <c r="AG98" s="151"/>
      <c r="AH98" s="153">
        <v>3.968E-2</v>
      </c>
      <c r="AI98" s="153">
        <v>2.0389999999999998E-2</v>
      </c>
      <c r="AJ98" s="154">
        <v>3.0200000000000001E-3</v>
      </c>
      <c r="AK98" s="174"/>
    </row>
    <row r="99" spans="1:37" x14ac:dyDescent="0.2">
      <c r="A99" s="150" t="s">
        <v>1264</v>
      </c>
      <c r="B99" s="151" t="s">
        <v>1264</v>
      </c>
      <c r="C99" s="151" t="s">
        <v>1380</v>
      </c>
      <c r="D99" s="151" t="s">
        <v>1381</v>
      </c>
      <c r="E99" s="151" t="s">
        <v>420</v>
      </c>
      <c r="F99" s="151" t="s">
        <v>1451</v>
      </c>
      <c r="G99" s="151" t="s">
        <v>1452</v>
      </c>
      <c r="H99" s="151" t="s">
        <v>75</v>
      </c>
      <c r="I99" s="151" t="s">
        <v>225</v>
      </c>
      <c r="J99" s="151" t="s">
        <v>52</v>
      </c>
      <c r="K99" s="151" t="s">
        <v>52</v>
      </c>
      <c r="L99" s="151" t="s">
        <v>775</v>
      </c>
      <c r="M99" s="151" t="s">
        <v>303</v>
      </c>
      <c r="N99" s="151" t="s">
        <v>620</v>
      </c>
      <c r="O99" s="151" t="s">
        <v>61</v>
      </c>
      <c r="P99" s="151" t="s">
        <v>1384</v>
      </c>
      <c r="Q99" s="151" t="s">
        <v>64</v>
      </c>
      <c r="R99" s="151" t="s">
        <v>56</v>
      </c>
      <c r="S99" s="151" t="s">
        <v>1255</v>
      </c>
      <c r="T99" s="152">
        <v>4</v>
      </c>
      <c r="U99" s="151" t="s">
        <v>1453</v>
      </c>
      <c r="V99" s="153">
        <v>2.5000000000000001E-3</v>
      </c>
      <c r="W99" s="153">
        <v>2.6939999999999999E-2</v>
      </c>
      <c r="X99" s="151" t="s">
        <v>607</v>
      </c>
      <c r="Y99" s="151"/>
      <c r="Z99" s="152">
        <v>28181961.440000001</v>
      </c>
      <c r="AA99" s="152">
        <v>1</v>
      </c>
      <c r="AB99" s="152">
        <v>105.05</v>
      </c>
      <c r="AC99" s="151"/>
      <c r="AD99" s="152">
        <v>29605.15</v>
      </c>
      <c r="AE99" s="151"/>
      <c r="AF99" s="151"/>
      <c r="AG99" s="151"/>
      <c r="AH99" s="153">
        <v>2.1329999999999998E-2</v>
      </c>
      <c r="AI99" s="153">
        <v>2.001E-2</v>
      </c>
      <c r="AJ99" s="154">
        <v>2.96E-3</v>
      </c>
      <c r="AK99" s="174"/>
    </row>
    <row r="100" spans="1:37" x14ac:dyDescent="0.2">
      <c r="A100" s="150" t="s">
        <v>1264</v>
      </c>
      <c r="B100" s="151" t="s">
        <v>1264</v>
      </c>
      <c r="C100" s="151" t="s">
        <v>1398</v>
      </c>
      <c r="D100" s="151" t="s">
        <v>1399</v>
      </c>
      <c r="E100" s="151" t="s">
        <v>420</v>
      </c>
      <c r="F100" s="151" t="s">
        <v>1400</v>
      </c>
      <c r="G100" s="151" t="s">
        <v>1401</v>
      </c>
      <c r="H100" s="151" t="s">
        <v>75</v>
      </c>
      <c r="I100" s="151" t="s">
        <v>225</v>
      </c>
      <c r="J100" s="151" t="s">
        <v>52</v>
      </c>
      <c r="K100" s="151" t="s">
        <v>52</v>
      </c>
      <c r="L100" s="151" t="s">
        <v>775</v>
      </c>
      <c r="M100" s="151" t="s">
        <v>303</v>
      </c>
      <c r="N100" s="151" t="s">
        <v>1211</v>
      </c>
      <c r="O100" s="151" t="s">
        <v>61</v>
      </c>
      <c r="P100" s="151" t="s">
        <v>1384</v>
      </c>
      <c r="Q100" s="151" t="s">
        <v>64</v>
      </c>
      <c r="R100" s="151" t="s">
        <v>56</v>
      </c>
      <c r="S100" s="151" t="s">
        <v>1255</v>
      </c>
      <c r="T100" s="152">
        <v>2.84</v>
      </c>
      <c r="U100" s="151" t="s">
        <v>1402</v>
      </c>
      <c r="V100" s="153">
        <v>2.1999999999999999E-2</v>
      </c>
      <c r="W100" s="153">
        <v>2.6550000000000001E-2</v>
      </c>
      <c r="X100" s="151" t="s">
        <v>607</v>
      </c>
      <c r="Y100" s="151"/>
      <c r="Z100" s="152">
        <v>27321996.960000001</v>
      </c>
      <c r="AA100" s="152">
        <v>1</v>
      </c>
      <c r="AB100" s="152">
        <v>107.75</v>
      </c>
      <c r="AC100" s="151"/>
      <c r="AD100" s="152">
        <v>29439.452000000001</v>
      </c>
      <c r="AE100" s="151"/>
      <c r="AF100" s="151"/>
      <c r="AG100" s="151"/>
      <c r="AH100" s="153">
        <v>2.674E-2</v>
      </c>
      <c r="AI100" s="153">
        <v>1.9900000000000001E-2</v>
      </c>
      <c r="AJ100" s="154">
        <v>2.9499999999999999E-3</v>
      </c>
      <c r="AK100" s="174"/>
    </row>
    <row r="101" spans="1:37" x14ac:dyDescent="0.2">
      <c r="A101" s="150" t="s">
        <v>1264</v>
      </c>
      <c r="B101" s="151" t="s">
        <v>1264</v>
      </c>
      <c r="C101" s="151" t="s">
        <v>1403</v>
      </c>
      <c r="D101" s="151" t="s">
        <v>1404</v>
      </c>
      <c r="E101" s="151" t="s">
        <v>420</v>
      </c>
      <c r="F101" s="151" t="s">
        <v>1405</v>
      </c>
      <c r="G101" s="151" t="s">
        <v>1406</v>
      </c>
      <c r="H101" s="151" t="s">
        <v>75</v>
      </c>
      <c r="I101" s="151" t="s">
        <v>225</v>
      </c>
      <c r="J101" s="151" t="s">
        <v>52</v>
      </c>
      <c r="K101" s="151" t="s">
        <v>52</v>
      </c>
      <c r="L101" s="151" t="s">
        <v>775</v>
      </c>
      <c r="M101" s="151" t="s">
        <v>303</v>
      </c>
      <c r="N101" s="151" t="s">
        <v>618</v>
      </c>
      <c r="O101" s="151" t="s">
        <v>61</v>
      </c>
      <c r="P101" s="151" t="s">
        <v>1407</v>
      </c>
      <c r="Q101" s="151" t="s">
        <v>69</v>
      </c>
      <c r="R101" s="151" t="s">
        <v>56</v>
      </c>
      <c r="S101" s="151" t="s">
        <v>1255</v>
      </c>
      <c r="T101" s="152">
        <v>2.58</v>
      </c>
      <c r="U101" s="151" t="s">
        <v>1408</v>
      </c>
      <c r="V101" s="153">
        <v>0.01</v>
      </c>
      <c r="W101" s="153">
        <v>2.8500000000000001E-2</v>
      </c>
      <c r="X101" s="151" t="s">
        <v>607</v>
      </c>
      <c r="Y101" s="151"/>
      <c r="Z101" s="152">
        <v>26763992.219999999</v>
      </c>
      <c r="AA101" s="152">
        <v>1</v>
      </c>
      <c r="AB101" s="152">
        <v>109.85</v>
      </c>
      <c r="AC101" s="151"/>
      <c r="AD101" s="152">
        <v>29400.244999999999</v>
      </c>
      <c r="AE101" s="151"/>
      <c r="AF101" s="151"/>
      <c r="AG101" s="151"/>
      <c r="AH101" s="153">
        <v>1.584E-2</v>
      </c>
      <c r="AI101" s="153">
        <v>1.9869999999999999E-2</v>
      </c>
      <c r="AJ101" s="154">
        <v>2.9399999999999999E-3</v>
      </c>
      <c r="AK101" s="174"/>
    </row>
    <row r="102" spans="1:37" x14ac:dyDescent="0.2">
      <c r="A102" s="150" t="s">
        <v>1264</v>
      </c>
      <c r="B102" s="151" t="s">
        <v>1264</v>
      </c>
      <c r="C102" s="151" t="s">
        <v>1367</v>
      </c>
      <c r="D102" s="151" t="s">
        <v>1368</v>
      </c>
      <c r="E102" s="151" t="s">
        <v>420</v>
      </c>
      <c r="F102" s="151" t="s">
        <v>1409</v>
      </c>
      <c r="G102" s="151" t="s">
        <v>1410</v>
      </c>
      <c r="H102" s="151" t="s">
        <v>75</v>
      </c>
      <c r="I102" s="151" t="s">
        <v>224</v>
      </c>
      <c r="J102" s="151" t="s">
        <v>52</v>
      </c>
      <c r="K102" s="151" t="s">
        <v>52</v>
      </c>
      <c r="L102" s="151" t="s">
        <v>775</v>
      </c>
      <c r="M102" s="151" t="s">
        <v>303</v>
      </c>
      <c r="N102" s="151" t="s">
        <v>251</v>
      </c>
      <c r="O102" s="151" t="s">
        <v>61</v>
      </c>
      <c r="P102" s="151" t="s">
        <v>1254</v>
      </c>
      <c r="Q102" s="151" t="s">
        <v>69</v>
      </c>
      <c r="R102" s="151" t="s">
        <v>56</v>
      </c>
      <c r="S102" s="151" t="s">
        <v>1255</v>
      </c>
      <c r="T102" s="152">
        <v>5.28</v>
      </c>
      <c r="U102" s="151" t="s">
        <v>1411</v>
      </c>
      <c r="V102" s="153">
        <v>4.5900000000000003E-2</v>
      </c>
      <c r="W102" s="153">
        <v>4.4470000000000003E-2</v>
      </c>
      <c r="X102" s="151" t="s">
        <v>607</v>
      </c>
      <c r="Y102" s="151"/>
      <c r="Z102" s="152">
        <v>28000000</v>
      </c>
      <c r="AA102" s="152">
        <v>1</v>
      </c>
      <c r="AB102" s="152">
        <v>103.3</v>
      </c>
      <c r="AC102" s="151"/>
      <c r="AD102" s="152">
        <v>28924</v>
      </c>
      <c r="AE102" s="151"/>
      <c r="AF102" s="151"/>
      <c r="AG102" s="151"/>
      <c r="AH102" s="153">
        <v>6.3800000000000003E-3</v>
      </c>
      <c r="AI102" s="153">
        <v>1.9550000000000001E-2</v>
      </c>
      <c r="AJ102" s="154">
        <v>2.8999999999999998E-3</v>
      </c>
      <c r="AK102" s="174"/>
    </row>
    <row r="103" spans="1:37" x14ac:dyDescent="0.2">
      <c r="A103" s="150" t="s">
        <v>1264</v>
      </c>
      <c r="B103" s="151" t="s">
        <v>1264</v>
      </c>
      <c r="C103" s="151" t="s">
        <v>1415</v>
      </c>
      <c r="D103" s="151" t="s">
        <v>1416</v>
      </c>
      <c r="E103" s="151" t="s">
        <v>420</v>
      </c>
      <c r="F103" s="151" t="s">
        <v>1417</v>
      </c>
      <c r="G103" s="151" t="s">
        <v>1418</v>
      </c>
      <c r="H103" s="151" t="s">
        <v>75</v>
      </c>
      <c r="I103" s="151" t="s">
        <v>225</v>
      </c>
      <c r="J103" s="151" t="s">
        <v>52</v>
      </c>
      <c r="K103" s="151" t="s">
        <v>52</v>
      </c>
      <c r="L103" s="151" t="s">
        <v>775</v>
      </c>
      <c r="M103" s="151" t="s">
        <v>303</v>
      </c>
      <c r="N103" s="151" t="s">
        <v>251</v>
      </c>
      <c r="O103" s="151" t="s">
        <v>61</v>
      </c>
      <c r="P103" s="151" t="s">
        <v>1419</v>
      </c>
      <c r="Q103" s="151" t="s">
        <v>64</v>
      </c>
      <c r="R103" s="151" t="s">
        <v>56</v>
      </c>
      <c r="S103" s="151" t="s">
        <v>1255</v>
      </c>
      <c r="T103" s="152">
        <v>4.5</v>
      </c>
      <c r="U103" s="151" t="s">
        <v>1420</v>
      </c>
      <c r="V103" s="153">
        <v>2.6100000000000002E-2</v>
      </c>
      <c r="W103" s="153">
        <v>2.5239999999999999E-2</v>
      </c>
      <c r="X103" s="151" t="s">
        <v>607</v>
      </c>
      <c r="Y103" s="151"/>
      <c r="Z103" s="152">
        <v>28200000</v>
      </c>
      <c r="AA103" s="152">
        <v>1</v>
      </c>
      <c r="AB103" s="152">
        <v>101.96</v>
      </c>
      <c r="AC103" s="151"/>
      <c r="AD103" s="152">
        <v>28752.720000000001</v>
      </c>
      <c r="AE103" s="151"/>
      <c r="AF103" s="151"/>
      <c r="AG103" s="151"/>
      <c r="AH103" s="153">
        <v>8.2500000000000004E-3</v>
      </c>
      <c r="AI103" s="153">
        <v>1.9429999999999999E-2</v>
      </c>
      <c r="AJ103" s="154">
        <v>2.8800000000000002E-3</v>
      </c>
      <c r="AK103" s="174"/>
    </row>
    <row r="104" spans="1:37" x14ac:dyDescent="0.2">
      <c r="A104" s="150" t="s">
        <v>1264</v>
      </c>
      <c r="B104" s="151" t="s">
        <v>1264</v>
      </c>
      <c r="C104" s="151" t="s">
        <v>1367</v>
      </c>
      <c r="D104" s="151" t="s">
        <v>1368</v>
      </c>
      <c r="E104" s="151" t="s">
        <v>420</v>
      </c>
      <c r="F104" s="151" t="s">
        <v>1412</v>
      </c>
      <c r="G104" s="151" t="s">
        <v>1413</v>
      </c>
      <c r="H104" s="151" t="s">
        <v>75</v>
      </c>
      <c r="I104" s="151" t="s">
        <v>225</v>
      </c>
      <c r="J104" s="151" t="s">
        <v>52</v>
      </c>
      <c r="K104" s="151" t="s">
        <v>52</v>
      </c>
      <c r="L104" s="151" t="s">
        <v>775</v>
      </c>
      <c r="M104" s="151" t="s">
        <v>303</v>
      </c>
      <c r="N104" s="151" t="s">
        <v>251</v>
      </c>
      <c r="O104" s="151" t="s">
        <v>61</v>
      </c>
      <c r="P104" s="151" t="s">
        <v>1254</v>
      </c>
      <c r="Q104" s="151" t="s">
        <v>69</v>
      </c>
      <c r="R104" s="151" t="s">
        <v>56</v>
      </c>
      <c r="S104" s="151" t="s">
        <v>1255</v>
      </c>
      <c r="T104" s="152">
        <v>6.21</v>
      </c>
      <c r="U104" s="151" t="s">
        <v>1414</v>
      </c>
      <c r="V104" s="153">
        <v>2.5999999999999999E-2</v>
      </c>
      <c r="W104" s="153">
        <v>2.5000000000000001E-2</v>
      </c>
      <c r="X104" s="151" t="s">
        <v>607</v>
      </c>
      <c r="Y104" s="151"/>
      <c r="Z104" s="152">
        <v>28000000</v>
      </c>
      <c r="AA104" s="152">
        <v>1</v>
      </c>
      <c r="AB104" s="152">
        <v>102.06</v>
      </c>
      <c r="AC104" s="151"/>
      <c r="AD104" s="152">
        <v>28576.799999999999</v>
      </c>
      <c r="AE104" s="151"/>
      <c r="AF104" s="151"/>
      <c r="AG104" s="151"/>
      <c r="AH104" s="153">
        <v>1.525E-2</v>
      </c>
      <c r="AI104" s="153">
        <v>1.9310000000000001E-2</v>
      </c>
      <c r="AJ104" s="154">
        <v>2.8600000000000001E-3</v>
      </c>
      <c r="AK104" s="174"/>
    </row>
    <row r="105" spans="1:37" x14ac:dyDescent="0.2">
      <c r="A105" s="150" t="s">
        <v>1264</v>
      </c>
      <c r="B105" s="151" t="s">
        <v>1264</v>
      </c>
      <c r="C105" s="151" t="s">
        <v>1429</v>
      </c>
      <c r="D105" s="151" t="s">
        <v>1430</v>
      </c>
      <c r="E105" s="151" t="s">
        <v>420</v>
      </c>
      <c r="F105" s="151" t="s">
        <v>1431</v>
      </c>
      <c r="G105" s="151" t="s">
        <v>1432</v>
      </c>
      <c r="H105" s="151" t="s">
        <v>75</v>
      </c>
      <c r="I105" s="151" t="s">
        <v>224</v>
      </c>
      <c r="J105" s="151" t="s">
        <v>52</v>
      </c>
      <c r="K105" s="151" t="s">
        <v>52</v>
      </c>
      <c r="L105" s="151" t="s">
        <v>775</v>
      </c>
      <c r="M105" s="151" t="s">
        <v>303</v>
      </c>
      <c r="N105" s="151" t="s">
        <v>262</v>
      </c>
      <c r="O105" s="151" t="s">
        <v>61</v>
      </c>
      <c r="P105" s="151" t="s">
        <v>1384</v>
      </c>
      <c r="Q105" s="151" t="s">
        <v>64</v>
      </c>
      <c r="R105" s="151" t="s">
        <v>56</v>
      </c>
      <c r="S105" s="151" t="s">
        <v>1255</v>
      </c>
      <c r="T105" s="152">
        <v>3.47</v>
      </c>
      <c r="U105" s="151" t="s">
        <v>1433</v>
      </c>
      <c r="V105" s="153">
        <v>4.3799999999999999E-2</v>
      </c>
      <c r="W105" s="153">
        <v>4.4150000000000002E-2</v>
      </c>
      <c r="X105" s="151" t="s">
        <v>607</v>
      </c>
      <c r="Y105" s="151"/>
      <c r="Z105" s="152">
        <v>27350000</v>
      </c>
      <c r="AA105" s="152">
        <v>1</v>
      </c>
      <c r="AB105" s="152">
        <v>101.12</v>
      </c>
      <c r="AC105" s="151"/>
      <c r="AD105" s="152">
        <v>27656.32</v>
      </c>
      <c r="AE105" s="151"/>
      <c r="AF105" s="151"/>
      <c r="AG105" s="151"/>
      <c r="AH105" s="153">
        <v>5.4699999999999999E-2</v>
      </c>
      <c r="AI105" s="153">
        <v>1.8689999999999998E-2</v>
      </c>
      <c r="AJ105" s="154">
        <v>2.7699999999999999E-3</v>
      </c>
      <c r="AK105" s="174"/>
    </row>
    <row r="106" spans="1:37" x14ac:dyDescent="0.2">
      <c r="A106" s="150" t="s">
        <v>1264</v>
      </c>
      <c r="B106" s="151" t="s">
        <v>1264</v>
      </c>
      <c r="C106" s="151" t="s">
        <v>1415</v>
      </c>
      <c r="D106" s="151" t="s">
        <v>1416</v>
      </c>
      <c r="E106" s="151" t="s">
        <v>420</v>
      </c>
      <c r="F106" s="151" t="s">
        <v>1421</v>
      </c>
      <c r="G106" s="151" t="s">
        <v>1422</v>
      </c>
      <c r="H106" s="151" t="s">
        <v>75</v>
      </c>
      <c r="I106" s="151" t="s">
        <v>225</v>
      </c>
      <c r="J106" s="151" t="s">
        <v>52</v>
      </c>
      <c r="K106" s="151" t="s">
        <v>52</v>
      </c>
      <c r="L106" s="151" t="s">
        <v>775</v>
      </c>
      <c r="M106" s="151" t="s">
        <v>303</v>
      </c>
      <c r="N106" s="151" t="s">
        <v>251</v>
      </c>
      <c r="O106" s="151" t="s">
        <v>61</v>
      </c>
      <c r="P106" s="151" t="s">
        <v>1371</v>
      </c>
      <c r="Q106" s="151" t="s">
        <v>64</v>
      </c>
      <c r="R106" s="151" t="s">
        <v>56</v>
      </c>
      <c r="S106" s="151" t="s">
        <v>1255</v>
      </c>
      <c r="T106" s="152">
        <v>6.02</v>
      </c>
      <c r="U106" s="151" t="s">
        <v>1423</v>
      </c>
      <c r="V106" s="153">
        <v>3.4500000000000003E-2</v>
      </c>
      <c r="W106" s="153">
        <v>2.7969999999999998E-2</v>
      </c>
      <c r="X106" s="151" t="s">
        <v>607</v>
      </c>
      <c r="Y106" s="151"/>
      <c r="Z106" s="152">
        <v>25600000</v>
      </c>
      <c r="AA106" s="152">
        <v>1</v>
      </c>
      <c r="AB106" s="152">
        <v>107.05</v>
      </c>
      <c r="AC106" s="151"/>
      <c r="AD106" s="152">
        <v>27404.799999999999</v>
      </c>
      <c r="AE106" s="151"/>
      <c r="AF106" s="151"/>
      <c r="AG106" s="151"/>
      <c r="AH106" s="153">
        <v>1.7389999999999999E-2</v>
      </c>
      <c r="AI106" s="153">
        <v>1.8519999999999998E-2</v>
      </c>
      <c r="AJ106" s="154">
        <v>2.7399999999999998E-3</v>
      </c>
      <c r="AK106" s="174"/>
    </row>
    <row r="107" spans="1:37" x14ac:dyDescent="0.2">
      <c r="A107" s="150" t="s">
        <v>1264</v>
      </c>
      <c r="B107" s="151" t="s">
        <v>1264</v>
      </c>
      <c r="C107" s="151" t="s">
        <v>1424</v>
      </c>
      <c r="D107" s="151" t="s">
        <v>1425</v>
      </c>
      <c r="E107" s="151" t="s">
        <v>420</v>
      </c>
      <c r="F107" s="151" t="s">
        <v>1426</v>
      </c>
      <c r="G107" s="151" t="s">
        <v>1427</v>
      </c>
      <c r="H107" s="151" t="s">
        <v>75</v>
      </c>
      <c r="I107" s="151" t="s">
        <v>225</v>
      </c>
      <c r="J107" s="151" t="s">
        <v>52</v>
      </c>
      <c r="K107" s="151" t="s">
        <v>52</v>
      </c>
      <c r="L107" s="151" t="s">
        <v>775</v>
      </c>
      <c r="M107" s="151" t="s">
        <v>303</v>
      </c>
      <c r="N107" s="151" t="s">
        <v>620</v>
      </c>
      <c r="O107" s="151" t="s">
        <v>61</v>
      </c>
      <c r="P107" s="151" t="s">
        <v>1384</v>
      </c>
      <c r="Q107" s="151" t="s">
        <v>64</v>
      </c>
      <c r="R107" s="151" t="s">
        <v>56</v>
      </c>
      <c r="S107" s="151" t="s">
        <v>1255</v>
      </c>
      <c r="T107" s="152">
        <v>2.83</v>
      </c>
      <c r="U107" s="151" t="s">
        <v>1428</v>
      </c>
      <c r="V107" s="153">
        <v>3.5000000000000003E-2</v>
      </c>
      <c r="W107" s="153">
        <v>2.5829999999999999E-2</v>
      </c>
      <c r="X107" s="151" t="s">
        <v>607</v>
      </c>
      <c r="Y107" s="151"/>
      <c r="Z107" s="152">
        <v>21365679.23</v>
      </c>
      <c r="AA107" s="152">
        <v>1</v>
      </c>
      <c r="AB107" s="152">
        <v>123</v>
      </c>
      <c r="AC107" s="151"/>
      <c r="AD107" s="152">
        <v>26279.785</v>
      </c>
      <c r="AE107" s="151"/>
      <c r="AF107" s="151"/>
      <c r="AG107" s="151"/>
      <c r="AH107" s="153">
        <v>3.1579999999999997E-2</v>
      </c>
      <c r="AI107" s="153">
        <v>1.7760000000000001E-2</v>
      </c>
      <c r="AJ107" s="154">
        <v>2.63E-3</v>
      </c>
      <c r="AK107" s="174"/>
    </row>
    <row r="108" spans="1:37" x14ac:dyDescent="0.2">
      <c r="A108" s="150" t="s">
        <v>1264</v>
      </c>
      <c r="B108" s="151" t="s">
        <v>1264</v>
      </c>
      <c r="C108" s="151" t="s">
        <v>1367</v>
      </c>
      <c r="D108" s="151" t="s">
        <v>1368</v>
      </c>
      <c r="E108" s="151" t="s">
        <v>420</v>
      </c>
      <c r="F108" s="151" t="s">
        <v>1434</v>
      </c>
      <c r="G108" s="151" t="s">
        <v>1435</v>
      </c>
      <c r="H108" s="151" t="s">
        <v>75</v>
      </c>
      <c r="I108" s="151" t="s">
        <v>224</v>
      </c>
      <c r="J108" s="151" t="s">
        <v>52</v>
      </c>
      <c r="K108" s="151" t="s">
        <v>52</v>
      </c>
      <c r="L108" s="151" t="s">
        <v>775</v>
      </c>
      <c r="M108" s="151" t="s">
        <v>303</v>
      </c>
      <c r="N108" s="151" t="s">
        <v>251</v>
      </c>
      <c r="O108" s="151" t="s">
        <v>61</v>
      </c>
      <c r="P108" s="151" t="s">
        <v>1436</v>
      </c>
      <c r="Q108" s="151" t="s">
        <v>69</v>
      </c>
      <c r="R108" s="151" t="s">
        <v>56</v>
      </c>
      <c r="S108" s="151" t="s">
        <v>1255</v>
      </c>
      <c r="T108" s="152">
        <v>5.36</v>
      </c>
      <c r="U108" s="151" t="s">
        <v>1437</v>
      </c>
      <c r="V108" s="153">
        <v>4.6899999999999997E-2</v>
      </c>
      <c r="W108" s="153">
        <v>4.8070000000000002E-2</v>
      </c>
      <c r="X108" s="151" t="s">
        <v>607</v>
      </c>
      <c r="Y108" s="151"/>
      <c r="Z108" s="152">
        <v>25000000</v>
      </c>
      <c r="AA108" s="152">
        <v>1</v>
      </c>
      <c r="AB108" s="152">
        <v>99.54</v>
      </c>
      <c r="AC108" s="151"/>
      <c r="AD108" s="152">
        <v>24885</v>
      </c>
      <c r="AE108" s="151"/>
      <c r="AF108" s="151"/>
      <c r="AG108" s="151"/>
      <c r="AH108" s="153">
        <v>2.163E-2</v>
      </c>
      <c r="AI108" s="153">
        <v>1.6820000000000002E-2</v>
      </c>
      <c r="AJ108" s="154">
        <v>2.49E-3</v>
      </c>
      <c r="AK108" s="174"/>
    </row>
    <row r="109" spans="1:37" x14ac:dyDescent="0.2">
      <c r="A109" s="150" t="s">
        <v>1264</v>
      </c>
      <c r="B109" s="151" t="s">
        <v>1264</v>
      </c>
      <c r="C109" s="151" t="s">
        <v>1438</v>
      </c>
      <c r="D109" s="151" t="s">
        <v>1439</v>
      </c>
      <c r="E109" s="151" t="s">
        <v>420</v>
      </c>
      <c r="F109" s="151" t="s">
        <v>1440</v>
      </c>
      <c r="G109" s="151" t="s">
        <v>1441</v>
      </c>
      <c r="H109" s="151" t="s">
        <v>75</v>
      </c>
      <c r="I109" s="151" t="s">
        <v>225</v>
      </c>
      <c r="J109" s="151" t="s">
        <v>52</v>
      </c>
      <c r="K109" s="151" t="s">
        <v>52</v>
      </c>
      <c r="L109" s="151" t="s">
        <v>775</v>
      </c>
      <c r="M109" s="151" t="s">
        <v>303</v>
      </c>
      <c r="N109" s="151" t="s">
        <v>262</v>
      </c>
      <c r="O109" s="151" t="s">
        <v>61</v>
      </c>
      <c r="P109" s="151" t="s">
        <v>1407</v>
      </c>
      <c r="Q109" s="151" t="s">
        <v>69</v>
      </c>
      <c r="R109" s="151" t="s">
        <v>56</v>
      </c>
      <c r="S109" s="151" t="s">
        <v>1255</v>
      </c>
      <c r="T109" s="152">
        <v>3.34</v>
      </c>
      <c r="U109" s="151" t="s">
        <v>1442</v>
      </c>
      <c r="V109" s="153">
        <v>5.1700000000000003E-2</v>
      </c>
      <c r="W109" s="153">
        <v>4.5269999999999998E-2</v>
      </c>
      <c r="X109" s="151" t="s">
        <v>607</v>
      </c>
      <c r="Y109" s="151"/>
      <c r="Z109" s="152">
        <v>22400000</v>
      </c>
      <c r="AA109" s="152">
        <v>1</v>
      </c>
      <c r="AB109" s="152">
        <v>104.03</v>
      </c>
      <c r="AC109" s="151"/>
      <c r="AD109" s="152">
        <v>23302.720000000001</v>
      </c>
      <c r="AE109" s="151"/>
      <c r="AF109" s="151"/>
      <c r="AG109" s="151"/>
      <c r="AH109" s="153">
        <v>3.671E-2</v>
      </c>
      <c r="AI109" s="153">
        <v>1.575E-2</v>
      </c>
      <c r="AJ109" s="154">
        <v>2.33E-3</v>
      </c>
      <c r="AK109" s="174"/>
    </row>
    <row r="110" spans="1:37" x14ac:dyDescent="0.2">
      <c r="A110" s="150" t="s">
        <v>1264</v>
      </c>
      <c r="B110" s="151" t="s">
        <v>1264</v>
      </c>
      <c r="C110" s="151" t="s">
        <v>1367</v>
      </c>
      <c r="D110" s="151" t="s">
        <v>1368</v>
      </c>
      <c r="E110" s="151" t="s">
        <v>420</v>
      </c>
      <c r="F110" s="151" t="s">
        <v>1443</v>
      </c>
      <c r="G110" s="151" t="s">
        <v>1444</v>
      </c>
      <c r="H110" s="151" t="s">
        <v>75</v>
      </c>
      <c r="I110" s="151" t="s">
        <v>225</v>
      </c>
      <c r="J110" s="151" t="s">
        <v>52</v>
      </c>
      <c r="K110" s="151" t="s">
        <v>52</v>
      </c>
      <c r="L110" s="151" t="s">
        <v>775</v>
      </c>
      <c r="M110" s="151" t="s">
        <v>303</v>
      </c>
      <c r="N110" s="151" t="s">
        <v>251</v>
      </c>
      <c r="O110" s="151" t="s">
        <v>61</v>
      </c>
      <c r="P110" s="151" t="s">
        <v>1419</v>
      </c>
      <c r="Q110" s="151" t="s">
        <v>64</v>
      </c>
      <c r="R110" s="151" t="s">
        <v>56</v>
      </c>
      <c r="S110" s="151" t="s">
        <v>1255</v>
      </c>
      <c r="T110" s="152">
        <v>3.69</v>
      </c>
      <c r="U110" s="151" t="s">
        <v>1445</v>
      </c>
      <c r="V110" s="153">
        <v>2.0199999999999999E-2</v>
      </c>
      <c r="W110" s="153">
        <v>2.452E-2</v>
      </c>
      <c r="X110" s="151" t="s">
        <v>607</v>
      </c>
      <c r="Y110" s="151"/>
      <c r="Z110" s="152">
        <v>21600000</v>
      </c>
      <c r="AA110" s="152">
        <v>1</v>
      </c>
      <c r="AB110" s="152">
        <v>104.86</v>
      </c>
      <c r="AC110" s="151"/>
      <c r="AD110" s="152">
        <v>22649.759999999998</v>
      </c>
      <c r="AE110" s="151"/>
      <c r="AF110" s="151"/>
      <c r="AG110" s="151"/>
      <c r="AH110" s="153">
        <v>4.0200000000000001E-3</v>
      </c>
      <c r="AI110" s="153">
        <v>1.5310000000000001E-2</v>
      </c>
      <c r="AJ110" s="154">
        <v>2.2699999999999999E-3</v>
      </c>
      <c r="AK110" s="174"/>
    </row>
    <row r="111" spans="1:37" x14ac:dyDescent="0.2">
      <c r="A111" s="150" t="s">
        <v>1264</v>
      </c>
      <c r="B111" s="151" t="s">
        <v>1264</v>
      </c>
      <c r="C111" s="151" t="s">
        <v>1446</v>
      </c>
      <c r="D111" s="151" t="s">
        <v>1447</v>
      </c>
      <c r="E111" s="151" t="s">
        <v>420</v>
      </c>
      <c r="F111" s="151" t="s">
        <v>1448</v>
      </c>
      <c r="G111" s="151" t="s">
        <v>1449</v>
      </c>
      <c r="H111" s="151" t="s">
        <v>75</v>
      </c>
      <c r="I111" s="151" t="s">
        <v>225</v>
      </c>
      <c r="J111" s="151" t="s">
        <v>52</v>
      </c>
      <c r="K111" s="151" t="s">
        <v>52</v>
      </c>
      <c r="L111" s="151" t="s">
        <v>775</v>
      </c>
      <c r="M111" s="151" t="s">
        <v>303</v>
      </c>
      <c r="N111" s="151" t="s">
        <v>154</v>
      </c>
      <c r="O111" s="151" t="s">
        <v>61</v>
      </c>
      <c r="P111" s="151" t="s">
        <v>1390</v>
      </c>
      <c r="Q111" s="151" t="s">
        <v>69</v>
      </c>
      <c r="R111" s="151" t="s">
        <v>56</v>
      </c>
      <c r="S111" s="151" t="s">
        <v>1255</v>
      </c>
      <c r="T111" s="152">
        <v>3</v>
      </c>
      <c r="U111" s="151" t="s">
        <v>1450</v>
      </c>
      <c r="V111" s="153">
        <v>1.7999999999999999E-2</v>
      </c>
      <c r="W111" s="153">
        <v>2.8879999999999999E-2</v>
      </c>
      <c r="X111" s="151" t="s">
        <v>607</v>
      </c>
      <c r="Y111" s="151"/>
      <c r="Z111" s="152">
        <v>19415030.670000002</v>
      </c>
      <c r="AA111" s="152">
        <v>1</v>
      </c>
      <c r="AB111" s="152">
        <v>114.15</v>
      </c>
      <c r="AC111" s="151"/>
      <c r="AD111" s="152">
        <v>22162.258000000002</v>
      </c>
      <c r="AE111" s="151"/>
      <c r="AF111" s="151"/>
      <c r="AG111" s="151"/>
      <c r="AH111" s="153">
        <v>2.5690000000000001E-2</v>
      </c>
      <c r="AI111" s="153">
        <v>1.498E-2</v>
      </c>
      <c r="AJ111" s="154">
        <v>2.2200000000000002E-3</v>
      </c>
      <c r="AK111" s="174"/>
    </row>
    <row r="112" spans="1:37" x14ac:dyDescent="0.2">
      <c r="A112" s="150" t="s">
        <v>1264</v>
      </c>
      <c r="B112" s="151" t="s">
        <v>1264</v>
      </c>
      <c r="C112" s="151" t="s">
        <v>1475</v>
      </c>
      <c r="D112" s="151" t="s">
        <v>1476</v>
      </c>
      <c r="E112" s="151" t="s">
        <v>420</v>
      </c>
      <c r="F112" s="151" t="s">
        <v>1477</v>
      </c>
      <c r="G112" s="151" t="s">
        <v>1478</v>
      </c>
      <c r="H112" s="151" t="s">
        <v>75</v>
      </c>
      <c r="I112" s="151" t="s">
        <v>225</v>
      </c>
      <c r="J112" s="151" t="s">
        <v>52</v>
      </c>
      <c r="K112" s="151" t="s">
        <v>52</v>
      </c>
      <c r="L112" s="151" t="s">
        <v>775</v>
      </c>
      <c r="M112" s="151" t="s">
        <v>303</v>
      </c>
      <c r="N112" s="151" t="s">
        <v>262</v>
      </c>
      <c r="O112" s="151" t="s">
        <v>61</v>
      </c>
      <c r="P112" s="151" t="s">
        <v>1371</v>
      </c>
      <c r="Q112" s="151" t="s">
        <v>64</v>
      </c>
      <c r="R112" s="151" t="s">
        <v>56</v>
      </c>
      <c r="S112" s="151" t="s">
        <v>1255</v>
      </c>
      <c r="T112" s="152">
        <v>5.58</v>
      </c>
      <c r="U112" s="151" t="s">
        <v>1437</v>
      </c>
      <c r="V112" s="153">
        <v>2.5000000000000001E-2</v>
      </c>
      <c r="W112" s="153">
        <v>4.6080000000000003E-2</v>
      </c>
      <c r="X112" s="151" t="s">
        <v>607</v>
      </c>
      <c r="Y112" s="151"/>
      <c r="Z112" s="152">
        <v>23468000</v>
      </c>
      <c r="AA112" s="152">
        <v>1</v>
      </c>
      <c r="AB112" s="152">
        <v>89.3</v>
      </c>
      <c r="AC112" s="151"/>
      <c r="AD112" s="152">
        <v>20956.923999999999</v>
      </c>
      <c r="AE112" s="151"/>
      <c r="AF112" s="151"/>
      <c r="AG112" s="151"/>
      <c r="AH112" s="153">
        <v>1.7600000000000001E-2</v>
      </c>
      <c r="AI112" s="153">
        <v>1.4160000000000001E-2</v>
      </c>
      <c r="AJ112" s="154">
        <v>2.0999999999999999E-3</v>
      </c>
      <c r="AK112" s="174"/>
    </row>
    <row r="113" spans="1:37" x14ac:dyDescent="0.2">
      <c r="A113" s="150" t="s">
        <v>1264</v>
      </c>
      <c r="B113" s="151" t="s">
        <v>1264</v>
      </c>
      <c r="C113" s="151" t="s">
        <v>1464</v>
      </c>
      <c r="D113" s="151" t="s">
        <v>1465</v>
      </c>
      <c r="E113" s="151" t="s">
        <v>420</v>
      </c>
      <c r="F113" s="151" t="s">
        <v>1466</v>
      </c>
      <c r="G113" s="151" t="s">
        <v>1467</v>
      </c>
      <c r="H113" s="151" t="s">
        <v>75</v>
      </c>
      <c r="I113" s="151" t="s">
        <v>224</v>
      </c>
      <c r="J113" s="151" t="s">
        <v>52</v>
      </c>
      <c r="K113" s="151" t="s">
        <v>52</v>
      </c>
      <c r="L113" s="151" t="s">
        <v>775</v>
      </c>
      <c r="M113" s="151" t="s">
        <v>303</v>
      </c>
      <c r="N113" s="151" t="s">
        <v>616</v>
      </c>
      <c r="O113" s="151" t="s">
        <v>61</v>
      </c>
      <c r="P113" s="151" t="s">
        <v>1359</v>
      </c>
      <c r="Q113" s="151" t="s">
        <v>64</v>
      </c>
      <c r="R113" s="151" t="s">
        <v>56</v>
      </c>
      <c r="S113" s="151" t="s">
        <v>1255</v>
      </c>
      <c r="T113" s="152">
        <v>2.23</v>
      </c>
      <c r="U113" s="151" t="s">
        <v>1468</v>
      </c>
      <c r="V113" s="153">
        <v>2.0500000000000001E-2</v>
      </c>
      <c r="W113" s="153">
        <v>4.8349999999999997E-2</v>
      </c>
      <c r="X113" s="151" t="s">
        <v>607</v>
      </c>
      <c r="Y113" s="151"/>
      <c r="Z113" s="152">
        <v>22099537.91</v>
      </c>
      <c r="AA113" s="152">
        <v>1</v>
      </c>
      <c r="AB113" s="152">
        <v>94.46</v>
      </c>
      <c r="AC113" s="151"/>
      <c r="AD113" s="152">
        <v>20875.223999999998</v>
      </c>
      <c r="AE113" s="151"/>
      <c r="AF113" s="151"/>
      <c r="AG113" s="151"/>
      <c r="AH113" s="153">
        <v>2.8170000000000001E-2</v>
      </c>
      <c r="AI113" s="153">
        <v>1.4109999999999999E-2</v>
      </c>
      <c r="AJ113" s="154">
        <v>2.0899999999999998E-3</v>
      </c>
      <c r="AK113" s="174"/>
    </row>
    <row r="114" spans="1:37" x14ac:dyDescent="0.2">
      <c r="A114" s="150" t="s">
        <v>1264</v>
      </c>
      <c r="B114" s="151" t="s">
        <v>1264</v>
      </c>
      <c r="C114" s="151" t="s">
        <v>1459</v>
      </c>
      <c r="D114" s="151" t="s">
        <v>1460</v>
      </c>
      <c r="E114" s="151" t="s">
        <v>420</v>
      </c>
      <c r="F114" s="151" t="s">
        <v>1461</v>
      </c>
      <c r="G114" s="151" t="s">
        <v>1462</v>
      </c>
      <c r="H114" s="151" t="s">
        <v>75</v>
      </c>
      <c r="I114" s="151" t="s">
        <v>225</v>
      </c>
      <c r="J114" s="151" t="s">
        <v>52</v>
      </c>
      <c r="K114" s="151" t="s">
        <v>52</v>
      </c>
      <c r="L114" s="151" t="s">
        <v>775</v>
      </c>
      <c r="M114" s="151" t="s">
        <v>303</v>
      </c>
      <c r="N114" s="151" t="s">
        <v>154</v>
      </c>
      <c r="O114" s="151" t="s">
        <v>61</v>
      </c>
      <c r="P114" s="151" t="s">
        <v>1254</v>
      </c>
      <c r="Q114" s="151" t="s">
        <v>69</v>
      </c>
      <c r="R114" s="151" t="s">
        <v>56</v>
      </c>
      <c r="S114" s="151" t="s">
        <v>1255</v>
      </c>
      <c r="T114" s="152">
        <v>9.4499999999999993</v>
      </c>
      <c r="U114" s="151" t="s">
        <v>1463</v>
      </c>
      <c r="V114" s="153">
        <v>1.2500000000000001E-2</v>
      </c>
      <c r="W114" s="153">
        <v>2.81E-2</v>
      </c>
      <c r="X114" s="151" t="s">
        <v>607</v>
      </c>
      <c r="Y114" s="151"/>
      <c r="Z114" s="152">
        <v>20000000</v>
      </c>
      <c r="AA114" s="152">
        <v>1</v>
      </c>
      <c r="AB114" s="152">
        <v>101.47</v>
      </c>
      <c r="AC114" s="151"/>
      <c r="AD114" s="152">
        <v>20294</v>
      </c>
      <c r="AE114" s="151"/>
      <c r="AF114" s="151"/>
      <c r="AG114" s="151"/>
      <c r="AH114" s="153">
        <v>4.6600000000000001E-3</v>
      </c>
      <c r="AI114" s="153">
        <v>1.372E-2</v>
      </c>
      <c r="AJ114" s="154">
        <v>2.0300000000000001E-3</v>
      </c>
      <c r="AK114" s="174"/>
    </row>
    <row r="115" spans="1:37" x14ac:dyDescent="0.2">
      <c r="A115" s="150" t="s">
        <v>1264</v>
      </c>
      <c r="B115" s="151" t="s">
        <v>1264</v>
      </c>
      <c r="C115" s="151" t="s">
        <v>1454</v>
      </c>
      <c r="D115" s="151" t="s">
        <v>1455</v>
      </c>
      <c r="E115" s="151" t="s">
        <v>420</v>
      </c>
      <c r="F115" s="151" t="s">
        <v>1456</v>
      </c>
      <c r="G115" s="151" t="s">
        <v>1457</v>
      </c>
      <c r="H115" s="151" t="s">
        <v>75</v>
      </c>
      <c r="I115" s="151" t="s">
        <v>224</v>
      </c>
      <c r="J115" s="151" t="s">
        <v>52</v>
      </c>
      <c r="K115" s="151" t="s">
        <v>52</v>
      </c>
      <c r="L115" s="151" t="s">
        <v>775</v>
      </c>
      <c r="M115" s="151" t="s">
        <v>303</v>
      </c>
      <c r="N115" s="151" t="s">
        <v>138</v>
      </c>
      <c r="O115" s="151" t="s">
        <v>61</v>
      </c>
      <c r="P115" s="151" t="s">
        <v>1407</v>
      </c>
      <c r="Q115" s="151" t="s">
        <v>69</v>
      </c>
      <c r="R115" s="151" t="s">
        <v>56</v>
      </c>
      <c r="S115" s="151" t="s">
        <v>1255</v>
      </c>
      <c r="T115" s="152">
        <v>1.97</v>
      </c>
      <c r="U115" s="151" t="s">
        <v>1458</v>
      </c>
      <c r="V115" s="153">
        <v>0.04</v>
      </c>
      <c r="W115" s="153">
        <v>4.9000000000000002E-2</v>
      </c>
      <c r="X115" s="151" t="s">
        <v>607</v>
      </c>
      <c r="Y115" s="151"/>
      <c r="Z115" s="152">
        <v>20350278</v>
      </c>
      <c r="AA115" s="152">
        <v>1</v>
      </c>
      <c r="AB115" s="152">
        <v>99.37</v>
      </c>
      <c r="AC115" s="151"/>
      <c r="AD115" s="152">
        <v>20222.071</v>
      </c>
      <c r="AE115" s="151"/>
      <c r="AF115" s="151"/>
      <c r="AG115" s="151"/>
      <c r="AH115" s="153">
        <v>4.6489999999999997E-2</v>
      </c>
      <c r="AI115" s="153">
        <v>1.367E-2</v>
      </c>
      <c r="AJ115" s="154">
        <v>2.0300000000000001E-3</v>
      </c>
      <c r="AK115" s="174"/>
    </row>
    <row r="116" spans="1:37" x14ac:dyDescent="0.2">
      <c r="A116" s="150" t="s">
        <v>1264</v>
      </c>
      <c r="B116" s="151" t="s">
        <v>1264</v>
      </c>
      <c r="C116" s="151" t="s">
        <v>1469</v>
      </c>
      <c r="D116" s="151" t="s">
        <v>1470</v>
      </c>
      <c r="E116" s="151" t="s">
        <v>420</v>
      </c>
      <c r="F116" s="151" t="s">
        <v>1471</v>
      </c>
      <c r="G116" s="151" t="s">
        <v>1472</v>
      </c>
      <c r="H116" s="151" t="s">
        <v>75</v>
      </c>
      <c r="I116" s="151" t="s">
        <v>224</v>
      </c>
      <c r="J116" s="151" t="s">
        <v>52</v>
      </c>
      <c r="K116" s="151" t="s">
        <v>52</v>
      </c>
      <c r="L116" s="151" t="s">
        <v>775</v>
      </c>
      <c r="M116" s="151" t="s">
        <v>303</v>
      </c>
      <c r="N116" s="151" t="s">
        <v>154</v>
      </c>
      <c r="O116" s="151" t="s">
        <v>61</v>
      </c>
      <c r="P116" s="151" t="s">
        <v>1473</v>
      </c>
      <c r="Q116" s="151" t="s">
        <v>64</v>
      </c>
      <c r="R116" s="151" t="s">
        <v>56</v>
      </c>
      <c r="S116" s="151" t="s">
        <v>1255</v>
      </c>
      <c r="T116" s="152">
        <v>2.33</v>
      </c>
      <c r="U116" s="151" t="s">
        <v>1474</v>
      </c>
      <c r="V116" s="153">
        <v>2.7E-2</v>
      </c>
      <c r="W116" s="153">
        <v>4.9500000000000002E-2</v>
      </c>
      <c r="X116" s="151" t="s">
        <v>607</v>
      </c>
      <c r="Y116" s="151"/>
      <c r="Z116" s="152">
        <v>21199182.59</v>
      </c>
      <c r="AA116" s="152">
        <v>1</v>
      </c>
      <c r="AB116" s="152">
        <v>95.07</v>
      </c>
      <c r="AC116" s="151"/>
      <c r="AD116" s="152">
        <v>20154.062999999998</v>
      </c>
      <c r="AE116" s="151"/>
      <c r="AF116" s="151"/>
      <c r="AG116" s="151"/>
      <c r="AH116" s="153">
        <v>6.0249999999999998E-2</v>
      </c>
      <c r="AI116" s="153">
        <v>1.362E-2</v>
      </c>
      <c r="AJ116" s="154">
        <v>2.0200000000000001E-3</v>
      </c>
      <c r="AK116" s="174"/>
    </row>
    <row r="117" spans="1:37" x14ac:dyDescent="0.2">
      <c r="A117" s="150" t="s">
        <v>1264</v>
      </c>
      <c r="B117" s="151" t="s">
        <v>1264</v>
      </c>
      <c r="C117" s="151" t="s">
        <v>1583</v>
      </c>
      <c r="D117" s="151" t="s">
        <v>1584</v>
      </c>
      <c r="E117" s="151" t="s">
        <v>420</v>
      </c>
      <c r="F117" s="151" t="s">
        <v>1585</v>
      </c>
      <c r="G117" s="151" t="s">
        <v>1586</v>
      </c>
      <c r="H117" s="151" t="s">
        <v>75</v>
      </c>
      <c r="I117" s="151" t="s">
        <v>224</v>
      </c>
      <c r="J117" s="151" t="s">
        <v>52</v>
      </c>
      <c r="K117" s="151" t="s">
        <v>52</v>
      </c>
      <c r="L117" s="151" t="s">
        <v>775</v>
      </c>
      <c r="M117" s="151" t="s">
        <v>303</v>
      </c>
      <c r="N117" s="151" t="s">
        <v>262</v>
      </c>
      <c r="O117" s="151" t="s">
        <v>61</v>
      </c>
      <c r="P117" s="151" t="s">
        <v>1436</v>
      </c>
      <c r="Q117" s="151" t="s">
        <v>69</v>
      </c>
      <c r="R117" s="151" t="s">
        <v>56</v>
      </c>
      <c r="S117" s="151" t="s">
        <v>1255</v>
      </c>
      <c r="T117" s="152">
        <v>4.5</v>
      </c>
      <c r="U117" s="151" t="s">
        <v>1587</v>
      </c>
      <c r="V117" s="153">
        <v>1.95E-2</v>
      </c>
      <c r="W117" s="153">
        <v>4.4350000000000001E-2</v>
      </c>
      <c r="X117" s="151" t="s">
        <v>607</v>
      </c>
      <c r="Y117" s="151"/>
      <c r="Z117" s="152">
        <v>21361167.260000002</v>
      </c>
      <c r="AA117" s="152">
        <v>1</v>
      </c>
      <c r="AB117" s="152">
        <v>89.99</v>
      </c>
      <c r="AC117" s="151"/>
      <c r="AD117" s="152">
        <v>19222.914000000001</v>
      </c>
      <c r="AE117" s="151"/>
      <c r="AF117" s="151"/>
      <c r="AG117" s="151"/>
      <c r="AH117" s="153">
        <v>2.342E-2</v>
      </c>
      <c r="AI117" s="153">
        <v>1.299E-2</v>
      </c>
      <c r="AJ117" s="154">
        <v>1.9300000000000001E-3</v>
      </c>
      <c r="AK117" s="174"/>
    </row>
    <row r="118" spans="1:37" x14ac:dyDescent="0.2">
      <c r="A118" s="150" t="s">
        <v>1264</v>
      </c>
      <c r="B118" s="151" t="s">
        <v>1264</v>
      </c>
      <c r="C118" s="151" t="s">
        <v>1367</v>
      </c>
      <c r="D118" s="151" t="s">
        <v>1368</v>
      </c>
      <c r="E118" s="151" t="s">
        <v>420</v>
      </c>
      <c r="F118" s="151" t="s">
        <v>1484</v>
      </c>
      <c r="G118" s="151" t="s">
        <v>1485</v>
      </c>
      <c r="H118" s="151" t="s">
        <v>75</v>
      </c>
      <c r="I118" s="151" t="s">
        <v>226</v>
      </c>
      <c r="J118" s="151" t="s">
        <v>52</v>
      </c>
      <c r="K118" s="151" t="s">
        <v>52</v>
      </c>
      <c r="L118" s="151" t="s">
        <v>775</v>
      </c>
      <c r="M118" s="151" t="s">
        <v>463</v>
      </c>
      <c r="N118" s="151" t="s">
        <v>191</v>
      </c>
      <c r="O118" s="151" t="s">
        <v>61</v>
      </c>
      <c r="P118" s="151" t="s">
        <v>1486</v>
      </c>
      <c r="Q118" s="151" t="s">
        <v>95</v>
      </c>
      <c r="R118" s="151" t="s">
        <v>56</v>
      </c>
      <c r="S118" s="151" t="s">
        <v>1256</v>
      </c>
      <c r="T118" s="152">
        <v>2.0609999999999999</v>
      </c>
      <c r="U118" s="151" t="s">
        <v>1487</v>
      </c>
      <c r="V118" s="153">
        <v>7.1290000000000006E-2</v>
      </c>
      <c r="W118" s="153">
        <v>6.8559999999999996E-2</v>
      </c>
      <c r="X118" s="151" t="s">
        <v>607</v>
      </c>
      <c r="Y118" s="151"/>
      <c r="Z118" s="152">
        <v>5500000</v>
      </c>
      <c r="AA118" s="152">
        <v>3.165</v>
      </c>
      <c r="AB118" s="152">
        <v>104.449</v>
      </c>
      <c r="AC118" s="151"/>
      <c r="AD118" s="152">
        <v>18181.924999999999</v>
      </c>
      <c r="AE118" s="151"/>
      <c r="AF118" s="151"/>
      <c r="AG118" s="151"/>
      <c r="AH118" s="153">
        <v>1.0999999999999999E-2</v>
      </c>
      <c r="AI118" s="153">
        <v>1.2290000000000001E-2</v>
      </c>
      <c r="AJ118" s="154">
        <v>1.82E-3</v>
      </c>
      <c r="AK118" s="174"/>
    </row>
    <row r="119" spans="1:37" x14ac:dyDescent="0.2">
      <c r="A119" s="150" t="s">
        <v>1264</v>
      </c>
      <c r="B119" s="151" t="s">
        <v>1264</v>
      </c>
      <c r="C119" s="151" t="s">
        <v>1525</v>
      </c>
      <c r="D119" s="151" t="s">
        <v>1526</v>
      </c>
      <c r="E119" s="151" t="s">
        <v>420</v>
      </c>
      <c r="F119" s="151" t="s">
        <v>1541</v>
      </c>
      <c r="G119" s="151" t="s">
        <v>1542</v>
      </c>
      <c r="H119" s="151" t="s">
        <v>75</v>
      </c>
      <c r="I119" s="151" t="s">
        <v>224</v>
      </c>
      <c r="J119" s="151" t="s">
        <v>52</v>
      </c>
      <c r="K119" s="151" t="s">
        <v>52</v>
      </c>
      <c r="L119" s="151" t="s">
        <v>775</v>
      </c>
      <c r="M119" s="151" t="s">
        <v>303</v>
      </c>
      <c r="N119" s="151" t="s">
        <v>154</v>
      </c>
      <c r="O119" s="151" t="s">
        <v>61</v>
      </c>
      <c r="P119" s="151" t="s">
        <v>1371</v>
      </c>
      <c r="Q119" s="151" t="s">
        <v>64</v>
      </c>
      <c r="R119" s="151" t="s">
        <v>56</v>
      </c>
      <c r="S119" s="151" t="s">
        <v>1255</v>
      </c>
      <c r="T119" s="152">
        <v>2.95</v>
      </c>
      <c r="U119" s="151" t="s">
        <v>1278</v>
      </c>
      <c r="V119" s="153">
        <v>2.4299999999999999E-2</v>
      </c>
      <c r="W119" s="153">
        <v>4.5650000000000003E-2</v>
      </c>
      <c r="X119" s="151" t="s">
        <v>607</v>
      </c>
      <c r="Y119" s="151"/>
      <c r="Z119" s="152">
        <v>18854000</v>
      </c>
      <c r="AA119" s="152">
        <v>1</v>
      </c>
      <c r="AB119" s="152">
        <v>94.84</v>
      </c>
      <c r="AC119" s="151"/>
      <c r="AD119" s="152">
        <v>17881.133999999998</v>
      </c>
      <c r="AE119" s="151"/>
      <c r="AF119" s="151"/>
      <c r="AG119" s="151"/>
      <c r="AH119" s="153">
        <v>1.502E-2</v>
      </c>
      <c r="AI119" s="153">
        <v>1.208E-2</v>
      </c>
      <c r="AJ119" s="154">
        <v>1.7899999999999999E-3</v>
      </c>
      <c r="AK119" s="174"/>
    </row>
    <row r="120" spans="1:37" x14ac:dyDescent="0.2">
      <c r="A120" s="150" t="s">
        <v>1264</v>
      </c>
      <c r="B120" s="151" t="s">
        <v>1264</v>
      </c>
      <c r="C120" s="151" t="s">
        <v>1367</v>
      </c>
      <c r="D120" s="151" t="s">
        <v>1368</v>
      </c>
      <c r="E120" s="151" t="s">
        <v>420</v>
      </c>
      <c r="F120" s="151" t="s">
        <v>1488</v>
      </c>
      <c r="G120" s="151" t="s">
        <v>1489</v>
      </c>
      <c r="H120" s="151" t="s">
        <v>75</v>
      </c>
      <c r="I120" s="151" t="s">
        <v>225</v>
      </c>
      <c r="J120" s="151" t="s">
        <v>52</v>
      </c>
      <c r="K120" s="151" t="s">
        <v>52</v>
      </c>
      <c r="L120" s="151" t="s">
        <v>775</v>
      </c>
      <c r="M120" s="151" t="s">
        <v>303</v>
      </c>
      <c r="N120" s="151" t="s">
        <v>251</v>
      </c>
      <c r="O120" s="151" t="s">
        <v>61</v>
      </c>
      <c r="P120" s="151" t="s">
        <v>1371</v>
      </c>
      <c r="Q120" s="151" t="s">
        <v>64</v>
      </c>
      <c r="R120" s="151" t="s">
        <v>56</v>
      </c>
      <c r="S120" s="151" t="s">
        <v>1255</v>
      </c>
      <c r="T120" s="152">
        <v>1.97</v>
      </c>
      <c r="U120" s="151" t="s">
        <v>1490</v>
      </c>
      <c r="V120" s="153">
        <v>1.4999999999999999E-2</v>
      </c>
      <c r="W120" s="153">
        <v>2.4230000000000002E-2</v>
      </c>
      <c r="X120" s="151" t="s">
        <v>607</v>
      </c>
      <c r="Y120" s="151"/>
      <c r="Z120" s="152">
        <v>15500000</v>
      </c>
      <c r="AA120" s="152">
        <v>1</v>
      </c>
      <c r="AB120" s="152">
        <v>111.74</v>
      </c>
      <c r="AC120" s="151"/>
      <c r="AD120" s="152">
        <v>17319.7</v>
      </c>
      <c r="AE120" s="151"/>
      <c r="AF120" s="151"/>
      <c r="AG120" s="151"/>
      <c r="AH120" s="153">
        <v>1.1039999999999999E-2</v>
      </c>
      <c r="AI120" s="153">
        <v>1.171E-2</v>
      </c>
      <c r="AJ120" s="154">
        <v>1.73E-3</v>
      </c>
      <c r="AK120" s="174"/>
    </row>
    <row r="121" spans="1:37" x14ac:dyDescent="0.2">
      <c r="A121" s="150" t="s">
        <v>1264</v>
      </c>
      <c r="B121" s="151" t="s">
        <v>1264</v>
      </c>
      <c r="C121" s="151" t="s">
        <v>1494</v>
      </c>
      <c r="D121" s="151" t="s">
        <v>1495</v>
      </c>
      <c r="E121" s="151" t="s">
        <v>420</v>
      </c>
      <c r="F121" s="151" t="s">
        <v>1496</v>
      </c>
      <c r="G121" s="151" t="s">
        <v>1497</v>
      </c>
      <c r="H121" s="151" t="s">
        <v>75</v>
      </c>
      <c r="I121" s="151" t="s">
        <v>225</v>
      </c>
      <c r="J121" s="151" t="s">
        <v>52</v>
      </c>
      <c r="K121" s="151" t="s">
        <v>52</v>
      </c>
      <c r="L121" s="151" t="s">
        <v>775</v>
      </c>
      <c r="M121" s="151" t="s">
        <v>303</v>
      </c>
      <c r="N121" s="151" t="s">
        <v>251</v>
      </c>
      <c r="O121" s="151" t="s">
        <v>61</v>
      </c>
      <c r="P121" s="151" t="s">
        <v>1419</v>
      </c>
      <c r="Q121" s="151" t="s">
        <v>64</v>
      </c>
      <c r="R121" s="151" t="s">
        <v>56</v>
      </c>
      <c r="S121" s="151" t="s">
        <v>1255</v>
      </c>
      <c r="T121" s="152">
        <v>4.66</v>
      </c>
      <c r="U121" s="151" t="s">
        <v>1498</v>
      </c>
      <c r="V121" s="153">
        <v>2.4E-2</v>
      </c>
      <c r="W121" s="153">
        <v>2.5600000000000001E-2</v>
      </c>
      <c r="X121" s="151" t="s">
        <v>607</v>
      </c>
      <c r="Y121" s="151"/>
      <c r="Z121" s="152">
        <v>16830000</v>
      </c>
      <c r="AA121" s="152">
        <v>1</v>
      </c>
      <c r="AB121" s="152">
        <v>101.59</v>
      </c>
      <c r="AC121" s="151"/>
      <c r="AD121" s="152">
        <v>17097.597000000002</v>
      </c>
      <c r="AE121" s="151"/>
      <c r="AF121" s="151"/>
      <c r="AG121" s="151"/>
      <c r="AH121" s="153">
        <v>4.47E-3</v>
      </c>
      <c r="AI121" s="153">
        <v>1.1560000000000001E-2</v>
      </c>
      <c r="AJ121" s="154">
        <v>1.7099999999999999E-3</v>
      </c>
      <c r="AK121" s="174"/>
    </row>
    <row r="122" spans="1:37" x14ac:dyDescent="0.2">
      <c r="A122" s="150" t="s">
        <v>1264</v>
      </c>
      <c r="B122" s="151" t="s">
        <v>1264</v>
      </c>
      <c r="C122" s="151" t="s">
        <v>1415</v>
      </c>
      <c r="D122" s="151" t="s">
        <v>1416</v>
      </c>
      <c r="E122" s="151" t="s">
        <v>420</v>
      </c>
      <c r="F122" s="151" t="s">
        <v>1491</v>
      </c>
      <c r="G122" s="151" t="s">
        <v>1492</v>
      </c>
      <c r="H122" s="151" t="s">
        <v>75</v>
      </c>
      <c r="I122" s="151" t="s">
        <v>226</v>
      </c>
      <c r="J122" s="151" t="s">
        <v>52</v>
      </c>
      <c r="K122" s="151" t="s">
        <v>52</v>
      </c>
      <c r="L122" s="151" t="s">
        <v>775</v>
      </c>
      <c r="M122" s="151" t="s">
        <v>463</v>
      </c>
      <c r="N122" s="151" t="s">
        <v>191</v>
      </c>
      <c r="O122" s="151" t="s">
        <v>61</v>
      </c>
      <c r="P122" s="151" t="s">
        <v>1486</v>
      </c>
      <c r="Q122" s="151" t="s">
        <v>95</v>
      </c>
      <c r="R122" s="151" t="s">
        <v>56</v>
      </c>
      <c r="S122" s="151" t="s">
        <v>1256</v>
      </c>
      <c r="T122" s="152">
        <v>0.76400000000000001</v>
      </c>
      <c r="U122" s="151" t="s">
        <v>1493</v>
      </c>
      <c r="V122" s="153">
        <v>3.2550000000000003E-2</v>
      </c>
      <c r="W122" s="153">
        <v>6.0510000000000001E-2</v>
      </c>
      <c r="X122" s="151" t="s">
        <v>607</v>
      </c>
      <c r="Y122" s="151"/>
      <c r="Z122" s="152">
        <v>5400000</v>
      </c>
      <c r="AA122" s="152">
        <v>3.165</v>
      </c>
      <c r="AB122" s="152">
        <v>99.233000000000004</v>
      </c>
      <c r="AC122" s="151"/>
      <c r="AD122" s="152">
        <v>16959.954000000002</v>
      </c>
      <c r="AE122" s="151"/>
      <c r="AF122" s="151"/>
      <c r="AG122" s="151"/>
      <c r="AH122" s="153">
        <v>5.4000000000000003E-3</v>
      </c>
      <c r="AI122" s="153">
        <v>1.146E-2</v>
      </c>
      <c r="AJ122" s="154">
        <v>1.6999999999999999E-3</v>
      </c>
      <c r="AK122" s="174"/>
    </row>
    <row r="123" spans="1:37" x14ac:dyDescent="0.2">
      <c r="A123" s="150" t="s">
        <v>1264</v>
      </c>
      <c r="B123" s="151" t="s">
        <v>1264</v>
      </c>
      <c r="C123" s="151" t="s">
        <v>1499</v>
      </c>
      <c r="D123" s="151" t="s">
        <v>1500</v>
      </c>
      <c r="E123" s="151" t="s">
        <v>420</v>
      </c>
      <c r="F123" s="151" t="s">
        <v>1501</v>
      </c>
      <c r="G123" s="151" t="s">
        <v>1502</v>
      </c>
      <c r="H123" s="151" t="s">
        <v>75</v>
      </c>
      <c r="I123" s="151" t="s">
        <v>225</v>
      </c>
      <c r="J123" s="151" t="s">
        <v>52</v>
      </c>
      <c r="K123" s="151" t="s">
        <v>52</v>
      </c>
      <c r="L123" s="151" t="s">
        <v>775</v>
      </c>
      <c r="M123" s="151" t="s">
        <v>303</v>
      </c>
      <c r="N123" s="151" t="s">
        <v>621</v>
      </c>
      <c r="O123" s="151" t="s">
        <v>61</v>
      </c>
      <c r="P123" s="151" t="s">
        <v>1503</v>
      </c>
      <c r="Q123" s="151" t="s">
        <v>69</v>
      </c>
      <c r="R123" s="151" t="s">
        <v>56</v>
      </c>
      <c r="S123" s="151" t="s">
        <v>1255</v>
      </c>
      <c r="T123" s="152">
        <v>2.42</v>
      </c>
      <c r="U123" s="151" t="s">
        <v>1322</v>
      </c>
      <c r="V123" s="153">
        <v>2.4500000000000001E-2</v>
      </c>
      <c r="W123" s="153">
        <v>2.8930000000000001E-2</v>
      </c>
      <c r="X123" s="151" t="s">
        <v>607</v>
      </c>
      <c r="Y123" s="151"/>
      <c r="Z123" s="152">
        <v>14203637.039999999</v>
      </c>
      <c r="AA123" s="152">
        <v>1</v>
      </c>
      <c r="AB123" s="152">
        <v>116.42</v>
      </c>
      <c r="AC123" s="151"/>
      <c r="AD123" s="152">
        <v>16535.874</v>
      </c>
      <c r="AE123" s="151"/>
      <c r="AF123" s="151"/>
      <c r="AG123" s="151"/>
      <c r="AH123" s="153">
        <v>3.7999999999999999E-2</v>
      </c>
      <c r="AI123" s="153">
        <v>1.1180000000000001E-2</v>
      </c>
      <c r="AJ123" s="154">
        <v>1.66E-3</v>
      </c>
      <c r="AK123" s="174"/>
    </row>
    <row r="124" spans="1:37" x14ac:dyDescent="0.2">
      <c r="A124" s="150" t="s">
        <v>1264</v>
      </c>
      <c r="B124" s="151" t="s">
        <v>1264</v>
      </c>
      <c r="C124" s="151" t="s">
        <v>1494</v>
      </c>
      <c r="D124" s="151" t="s">
        <v>1495</v>
      </c>
      <c r="E124" s="151" t="s">
        <v>420</v>
      </c>
      <c r="F124" s="151" t="s">
        <v>1509</v>
      </c>
      <c r="G124" s="151" t="s">
        <v>1510</v>
      </c>
      <c r="H124" s="151" t="s">
        <v>75</v>
      </c>
      <c r="I124" s="151" t="s">
        <v>225</v>
      </c>
      <c r="J124" s="151" t="s">
        <v>52</v>
      </c>
      <c r="K124" s="151" t="s">
        <v>52</v>
      </c>
      <c r="L124" s="151" t="s">
        <v>775</v>
      </c>
      <c r="M124" s="151" t="s">
        <v>303</v>
      </c>
      <c r="N124" s="151" t="s">
        <v>251</v>
      </c>
      <c r="O124" s="151" t="s">
        <v>61</v>
      </c>
      <c r="P124" s="151" t="s">
        <v>1419</v>
      </c>
      <c r="Q124" s="151" t="s">
        <v>64</v>
      </c>
      <c r="R124" s="151" t="s">
        <v>56</v>
      </c>
      <c r="S124" s="151" t="s">
        <v>1255</v>
      </c>
      <c r="T124" s="152">
        <v>4.72</v>
      </c>
      <c r="U124" s="151" t="s">
        <v>1498</v>
      </c>
      <c r="V124" s="153">
        <v>2.1100000000000001E-2</v>
      </c>
      <c r="W124" s="153">
        <v>2.6120000000000001E-2</v>
      </c>
      <c r="X124" s="151" t="s">
        <v>607</v>
      </c>
      <c r="Y124" s="151"/>
      <c r="Z124" s="152">
        <v>14923999.98</v>
      </c>
      <c r="AA124" s="152">
        <v>1</v>
      </c>
      <c r="AB124" s="152">
        <v>103.5</v>
      </c>
      <c r="AC124" s="151"/>
      <c r="AD124" s="152">
        <v>15446.34</v>
      </c>
      <c r="AE124" s="151"/>
      <c r="AF124" s="151"/>
      <c r="AG124" s="151"/>
      <c r="AH124" s="153">
        <v>6.3699999999999998E-3</v>
      </c>
      <c r="AI124" s="153">
        <v>1.044E-2</v>
      </c>
      <c r="AJ124" s="154">
        <v>1.5499999999999999E-3</v>
      </c>
      <c r="AK124" s="174"/>
    </row>
    <row r="125" spans="1:37" x14ac:dyDescent="0.2">
      <c r="A125" s="150" t="s">
        <v>1264</v>
      </c>
      <c r="B125" s="151" t="s">
        <v>1264</v>
      </c>
      <c r="C125" s="151" t="s">
        <v>1380</v>
      </c>
      <c r="D125" s="151" t="s">
        <v>1381</v>
      </c>
      <c r="E125" s="151" t="s">
        <v>420</v>
      </c>
      <c r="F125" s="151" t="s">
        <v>1517</v>
      </c>
      <c r="G125" s="151" t="s">
        <v>1518</v>
      </c>
      <c r="H125" s="151" t="s">
        <v>75</v>
      </c>
      <c r="I125" s="151" t="s">
        <v>225</v>
      </c>
      <c r="J125" s="151" t="s">
        <v>52</v>
      </c>
      <c r="K125" s="151" t="s">
        <v>52</v>
      </c>
      <c r="L125" s="151" t="s">
        <v>775</v>
      </c>
      <c r="M125" s="151" t="s">
        <v>303</v>
      </c>
      <c r="N125" s="151" t="s">
        <v>620</v>
      </c>
      <c r="O125" s="151" t="s">
        <v>61</v>
      </c>
      <c r="P125" s="151" t="s">
        <v>1384</v>
      </c>
      <c r="Q125" s="151" t="s">
        <v>64</v>
      </c>
      <c r="R125" s="151" t="s">
        <v>56</v>
      </c>
      <c r="S125" s="151" t="s">
        <v>1255</v>
      </c>
      <c r="T125" s="152">
        <v>7.27</v>
      </c>
      <c r="U125" s="151" t="s">
        <v>1519</v>
      </c>
      <c r="V125" s="153">
        <v>2.9499999999999998E-2</v>
      </c>
      <c r="W125" s="153">
        <v>2.656E-2</v>
      </c>
      <c r="X125" s="151" t="s">
        <v>607</v>
      </c>
      <c r="Y125" s="151"/>
      <c r="Z125" s="152">
        <v>14800000</v>
      </c>
      <c r="AA125" s="152">
        <v>1</v>
      </c>
      <c r="AB125" s="152">
        <v>103.14</v>
      </c>
      <c r="AC125" s="151"/>
      <c r="AD125" s="152">
        <v>15264.72</v>
      </c>
      <c r="AE125" s="151"/>
      <c r="AF125" s="151"/>
      <c r="AG125" s="151"/>
      <c r="AH125" s="153">
        <v>3.3329999999999999E-2</v>
      </c>
      <c r="AI125" s="153">
        <v>1.0319999999999999E-2</v>
      </c>
      <c r="AJ125" s="154">
        <v>1.5299999999999999E-3</v>
      </c>
      <c r="AK125" s="174"/>
    </row>
    <row r="126" spans="1:37" x14ac:dyDescent="0.2">
      <c r="A126" s="150" t="s">
        <v>1264</v>
      </c>
      <c r="B126" s="151" t="s">
        <v>1264</v>
      </c>
      <c r="C126" s="151" t="s">
        <v>1479</v>
      </c>
      <c r="D126" s="151" t="s">
        <v>1480</v>
      </c>
      <c r="E126" s="151" t="s">
        <v>420</v>
      </c>
      <c r="F126" s="151" t="s">
        <v>1588</v>
      </c>
      <c r="G126" s="151" t="s">
        <v>1589</v>
      </c>
      <c r="H126" s="151" t="s">
        <v>75</v>
      </c>
      <c r="I126" s="151" t="s">
        <v>225</v>
      </c>
      <c r="J126" s="151" t="s">
        <v>52</v>
      </c>
      <c r="K126" s="151" t="s">
        <v>52</v>
      </c>
      <c r="L126" s="151" t="s">
        <v>775</v>
      </c>
      <c r="M126" s="151" t="s">
        <v>303</v>
      </c>
      <c r="N126" s="151" t="s">
        <v>251</v>
      </c>
      <c r="O126" s="151" t="s">
        <v>61</v>
      </c>
      <c r="P126" s="151" t="s">
        <v>1419</v>
      </c>
      <c r="Q126" s="151" t="s">
        <v>64</v>
      </c>
      <c r="R126" s="151" t="s">
        <v>56</v>
      </c>
      <c r="S126" s="151" t="s">
        <v>1255</v>
      </c>
      <c r="T126" s="152">
        <v>5.19</v>
      </c>
      <c r="U126" s="151" t="s">
        <v>1590</v>
      </c>
      <c r="V126" s="153">
        <v>2.6800000000000001E-2</v>
      </c>
      <c r="W126" s="153">
        <v>2.5260000000000001E-2</v>
      </c>
      <c r="X126" s="151" t="s">
        <v>607</v>
      </c>
      <c r="Y126" s="151"/>
      <c r="Z126" s="152">
        <v>14722202</v>
      </c>
      <c r="AA126" s="152">
        <v>1</v>
      </c>
      <c r="AB126" s="152">
        <v>103.6</v>
      </c>
      <c r="AC126" s="151"/>
      <c r="AD126" s="152">
        <v>15252.200999999999</v>
      </c>
      <c r="AE126" s="151"/>
      <c r="AF126" s="151"/>
      <c r="AG126" s="151"/>
      <c r="AH126" s="153">
        <v>5.7400000000000003E-3</v>
      </c>
      <c r="AI126" s="153">
        <v>1.031E-2</v>
      </c>
      <c r="AJ126" s="154">
        <v>1.5299999999999999E-3</v>
      </c>
      <c r="AK126" s="174"/>
    </row>
    <row r="127" spans="1:37" x14ac:dyDescent="0.2">
      <c r="A127" s="150" t="s">
        <v>1264</v>
      </c>
      <c r="B127" s="151" t="s">
        <v>1264</v>
      </c>
      <c r="C127" s="151" t="s">
        <v>1520</v>
      </c>
      <c r="D127" s="151" t="s">
        <v>1521</v>
      </c>
      <c r="E127" s="151" t="s">
        <v>420</v>
      </c>
      <c r="F127" s="151" t="s">
        <v>1522</v>
      </c>
      <c r="G127" s="151" t="s">
        <v>1523</v>
      </c>
      <c r="H127" s="151" t="s">
        <v>75</v>
      </c>
      <c r="I127" s="151" t="s">
        <v>224</v>
      </c>
      <c r="J127" s="151" t="s">
        <v>52</v>
      </c>
      <c r="K127" s="151" t="s">
        <v>52</v>
      </c>
      <c r="L127" s="151" t="s">
        <v>775</v>
      </c>
      <c r="M127" s="151" t="s">
        <v>303</v>
      </c>
      <c r="N127" s="151" t="s">
        <v>262</v>
      </c>
      <c r="O127" s="151" t="s">
        <v>61</v>
      </c>
      <c r="P127" s="151" t="s">
        <v>1407</v>
      </c>
      <c r="Q127" s="151" t="s">
        <v>69</v>
      </c>
      <c r="R127" s="151" t="s">
        <v>56</v>
      </c>
      <c r="S127" s="151" t="s">
        <v>1255</v>
      </c>
      <c r="T127" s="152">
        <v>7.56</v>
      </c>
      <c r="U127" s="151" t="s">
        <v>1524</v>
      </c>
      <c r="V127" s="153">
        <v>5.1799999999999999E-2</v>
      </c>
      <c r="W127" s="153">
        <v>4.8329999999999998E-2</v>
      </c>
      <c r="X127" s="151" t="s">
        <v>607</v>
      </c>
      <c r="Y127" s="151"/>
      <c r="Z127" s="152">
        <v>14196000</v>
      </c>
      <c r="AA127" s="152">
        <v>1</v>
      </c>
      <c r="AB127" s="152">
        <v>105.88</v>
      </c>
      <c r="AC127" s="151"/>
      <c r="AD127" s="152">
        <v>15030.725</v>
      </c>
      <c r="AE127" s="151"/>
      <c r="AF127" s="151"/>
      <c r="AG127" s="151"/>
      <c r="AH127" s="153">
        <v>1.7739999999999999E-2</v>
      </c>
      <c r="AI127" s="153">
        <v>1.0160000000000001E-2</v>
      </c>
      <c r="AJ127" s="154">
        <v>1.5100000000000001E-3</v>
      </c>
      <c r="AK127" s="174"/>
    </row>
    <row r="128" spans="1:37" x14ac:dyDescent="0.2">
      <c r="A128" s="150" t="s">
        <v>1264</v>
      </c>
      <c r="B128" s="151" t="s">
        <v>1264</v>
      </c>
      <c r="C128" s="151" t="s">
        <v>1494</v>
      </c>
      <c r="D128" s="151" t="s">
        <v>1495</v>
      </c>
      <c r="E128" s="151" t="s">
        <v>420</v>
      </c>
      <c r="F128" s="151" t="s">
        <v>1511</v>
      </c>
      <c r="G128" s="151" t="s">
        <v>1512</v>
      </c>
      <c r="H128" s="151" t="s">
        <v>75</v>
      </c>
      <c r="I128" s="151" t="s">
        <v>225</v>
      </c>
      <c r="J128" s="151" t="s">
        <v>52</v>
      </c>
      <c r="K128" s="151" t="s">
        <v>52</v>
      </c>
      <c r="L128" s="151" t="s">
        <v>775</v>
      </c>
      <c r="M128" s="151" t="s">
        <v>303</v>
      </c>
      <c r="N128" s="151" t="s">
        <v>251</v>
      </c>
      <c r="O128" s="151" t="s">
        <v>61</v>
      </c>
      <c r="P128" s="151" t="s">
        <v>1371</v>
      </c>
      <c r="Q128" s="151" t="s">
        <v>64</v>
      </c>
      <c r="R128" s="151" t="s">
        <v>56</v>
      </c>
      <c r="S128" s="151" t="s">
        <v>1255</v>
      </c>
      <c r="T128" s="152">
        <v>2.58</v>
      </c>
      <c r="U128" s="151" t="s">
        <v>1513</v>
      </c>
      <c r="V128" s="153">
        <v>3.1699999999999999E-2</v>
      </c>
      <c r="W128" s="153">
        <v>2.5760000000000002E-2</v>
      </c>
      <c r="X128" s="151" t="s">
        <v>607</v>
      </c>
      <c r="Y128" s="151"/>
      <c r="Z128" s="152">
        <v>13250000</v>
      </c>
      <c r="AA128" s="152">
        <v>1</v>
      </c>
      <c r="AB128" s="152">
        <v>112.2</v>
      </c>
      <c r="AC128" s="151"/>
      <c r="AD128" s="152">
        <v>14866.5</v>
      </c>
      <c r="AE128" s="151"/>
      <c r="AF128" s="151"/>
      <c r="AG128" s="151"/>
      <c r="AH128" s="153">
        <v>1.5689999999999999E-2</v>
      </c>
      <c r="AI128" s="153">
        <v>1.005E-2</v>
      </c>
      <c r="AJ128" s="154">
        <v>1.49E-3</v>
      </c>
      <c r="AK128" s="174"/>
    </row>
    <row r="129" spans="1:37" x14ac:dyDescent="0.2">
      <c r="A129" s="150" t="s">
        <v>1264</v>
      </c>
      <c r="B129" s="151" t="s">
        <v>1264</v>
      </c>
      <c r="C129" s="151" t="s">
        <v>1504</v>
      </c>
      <c r="D129" s="151" t="s">
        <v>1505</v>
      </c>
      <c r="E129" s="151" t="s">
        <v>420</v>
      </c>
      <c r="F129" s="151" t="s">
        <v>1506</v>
      </c>
      <c r="G129" s="151" t="s">
        <v>1507</v>
      </c>
      <c r="H129" s="151" t="s">
        <v>75</v>
      </c>
      <c r="I129" s="151" t="s">
        <v>225</v>
      </c>
      <c r="J129" s="151" t="s">
        <v>52</v>
      </c>
      <c r="K129" s="151" t="s">
        <v>52</v>
      </c>
      <c r="L129" s="151" t="s">
        <v>775</v>
      </c>
      <c r="M129" s="151" t="s">
        <v>303</v>
      </c>
      <c r="N129" s="151" t="s">
        <v>154</v>
      </c>
      <c r="O129" s="151" t="s">
        <v>61</v>
      </c>
      <c r="P129" s="151" t="s">
        <v>1371</v>
      </c>
      <c r="Q129" s="151" t="s">
        <v>64</v>
      </c>
      <c r="R129" s="151" t="s">
        <v>56</v>
      </c>
      <c r="S129" s="151" t="s">
        <v>1255</v>
      </c>
      <c r="T129" s="152">
        <v>2.63</v>
      </c>
      <c r="U129" s="151" t="s">
        <v>1508</v>
      </c>
      <c r="V129" s="153">
        <v>1.23E-2</v>
      </c>
      <c r="W129" s="153">
        <v>2.4539999999999999E-2</v>
      </c>
      <c r="X129" s="151" t="s">
        <v>607</v>
      </c>
      <c r="Y129" s="151"/>
      <c r="Z129" s="152">
        <v>12879999.83</v>
      </c>
      <c r="AA129" s="152">
        <v>1</v>
      </c>
      <c r="AB129" s="152">
        <v>115.32</v>
      </c>
      <c r="AC129" s="151"/>
      <c r="AD129" s="152">
        <v>14853.216</v>
      </c>
      <c r="AE129" s="151"/>
      <c r="AF129" s="151"/>
      <c r="AG129" s="151"/>
      <c r="AH129" s="153">
        <v>1.6070000000000001E-2</v>
      </c>
      <c r="AI129" s="153">
        <v>1.004E-2</v>
      </c>
      <c r="AJ129" s="154">
        <v>1.49E-3</v>
      </c>
      <c r="AK129" s="174"/>
    </row>
    <row r="130" spans="1:37" x14ac:dyDescent="0.2">
      <c r="A130" s="150" t="s">
        <v>1264</v>
      </c>
      <c r="B130" s="151" t="s">
        <v>1264</v>
      </c>
      <c r="C130" s="151" t="s">
        <v>1525</v>
      </c>
      <c r="D130" s="151" t="s">
        <v>1526</v>
      </c>
      <c r="E130" s="151" t="s">
        <v>420</v>
      </c>
      <c r="F130" s="151" t="s">
        <v>1527</v>
      </c>
      <c r="G130" s="151" t="s">
        <v>1528</v>
      </c>
      <c r="H130" s="151" t="s">
        <v>75</v>
      </c>
      <c r="I130" s="151" t="s">
        <v>224</v>
      </c>
      <c r="J130" s="151" t="s">
        <v>52</v>
      </c>
      <c r="K130" s="151" t="s">
        <v>52</v>
      </c>
      <c r="L130" s="151" t="s">
        <v>775</v>
      </c>
      <c r="M130" s="151" t="s">
        <v>303</v>
      </c>
      <c r="N130" s="151" t="s">
        <v>154</v>
      </c>
      <c r="O130" s="151" t="s">
        <v>61</v>
      </c>
      <c r="P130" s="151" t="s">
        <v>1529</v>
      </c>
      <c r="Q130" s="151" t="s">
        <v>69</v>
      </c>
      <c r="R130" s="151" t="s">
        <v>56</v>
      </c>
      <c r="S130" s="151" t="s">
        <v>1255</v>
      </c>
      <c r="T130" s="152">
        <v>2.1</v>
      </c>
      <c r="U130" s="151" t="s">
        <v>1530</v>
      </c>
      <c r="V130" s="153">
        <v>7.2499999999999995E-2</v>
      </c>
      <c r="W130" s="153">
        <v>5.9709999999999999E-2</v>
      </c>
      <c r="X130" s="151" t="s">
        <v>607</v>
      </c>
      <c r="Y130" s="151"/>
      <c r="Z130" s="152">
        <v>13334793.77</v>
      </c>
      <c r="AA130" s="152">
        <v>1</v>
      </c>
      <c r="AB130" s="152">
        <v>106.43</v>
      </c>
      <c r="AC130" s="151"/>
      <c r="AD130" s="152">
        <v>14192.221</v>
      </c>
      <c r="AE130" s="151"/>
      <c r="AF130" s="151"/>
      <c r="AG130" s="151"/>
      <c r="AH130" s="153">
        <v>2.0840000000000001E-2</v>
      </c>
      <c r="AI130" s="153">
        <v>9.5899999999999996E-3</v>
      </c>
      <c r="AJ130" s="154">
        <v>1.42E-3</v>
      </c>
      <c r="AK130" s="174"/>
    </row>
    <row r="131" spans="1:37" x14ac:dyDescent="0.2">
      <c r="A131" s="150" t="s">
        <v>1264</v>
      </c>
      <c r="B131" s="151" t="s">
        <v>1264</v>
      </c>
      <c r="C131" s="151" t="s">
        <v>1380</v>
      </c>
      <c r="D131" s="151" t="s">
        <v>1381</v>
      </c>
      <c r="E131" s="151" t="s">
        <v>420</v>
      </c>
      <c r="F131" s="151" t="s">
        <v>1514</v>
      </c>
      <c r="G131" s="151" t="s">
        <v>1515</v>
      </c>
      <c r="H131" s="151" t="s">
        <v>75</v>
      </c>
      <c r="I131" s="151" t="s">
        <v>225</v>
      </c>
      <c r="J131" s="151" t="s">
        <v>52</v>
      </c>
      <c r="K131" s="151" t="s">
        <v>52</v>
      </c>
      <c r="L131" s="151" t="s">
        <v>775</v>
      </c>
      <c r="M131" s="151" t="s">
        <v>303</v>
      </c>
      <c r="N131" s="151" t="s">
        <v>620</v>
      </c>
      <c r="O131" s="151" t="s">
        <v>61</v>
      </c>
      <c r="P131" s="151" t="s">
        <v>1384</v>
      </c>
      <c r="Q131" s="151" t="s">
        <v>64</v>
      </c>
      <c r="R131" s="151" t="s">
        <v>56</v>
      </c>
      <c r="S131" s="151" t="s">
        <v>1255</v>
      </c>
      <c r="T131" s="152">
        <v>2.86</v>
      </c>
      <c r="U131" s="151" t="s">
        <v>1516</v>
      </c>
      <c r="V131" s="153">
        <v>2.2499999999999999E-2</v>
      </c>
      <c r="W131" s="153">
        <v>2.58E-2</v>
      </c>
      <c r="X131" s="151" t="s">
        <v>607</v>
      </c>
      <c r="Y131" s="151"/>
      <c r="Z131" s="152">
        <v>10932786.029999999</v>
      </c>
      <c r="AA131" s="152">
        <v>1</v>
      </c>
      <c r="AB131" s="152">
        <v>118.97</v>
      </c>
      <c r="AC131" s="151"/>
      <c r="AD131" s="152">
        <v>13006.736000000001</v>
      </c>
      <c r="AE131" s="151"/>
      <c r="AF131" s="151"/>
      <c r="AG131" s="151"/>
      <c r="AH131" s="153">
        <v>6.8199999999999997E-3</v>
      </c>
      <c r="AI131" s="153">
        <v>8.7899999999999992E-3</v>
      </c>
      <c r="AJ131" s="154">
        <v>1.2999999999999999E-3</v>
      </c>
      <c r="AK131" s="174"/>
    </row>
    <row r="132" spans="1:37" x14ac:dyDescent="0.2">
      <c r="A132" s="150" t="s">
        <v>1264</v>
      </c>
      <c r="B132" s="151" t="s">
        <v>1264</v>
      </c>
      <c r="C132" s="151" t="s">
        <v>1553</v>
      </c>
      <c r="D132" s="151" t="s">
        <v>1554</v>
      </c>
      <c r="E132" s="151" t="s">
        <v>420</v>
      </c>
      <c r="F132" s="151" t="s">
        <v>1555</v>
      </c>
      <c r="G132" s="151" t="s">
        <v>1556</v>
      </c>
      <c r="H132" s="151" t="s">
        <v>75</v>
      </c>
      <c r="I132" s="151" t="s">
        <v>226</v>
      </c>
      <c r="J132" s="151" t="s">
        <v>52</v>
      </c>
      <c r="K132" s="151" t="s">
        <v>52</v>
      </c>
      <c r="L132" s="151" t="s">
        <v>775</v>
      </c>
      <c r="M132" s="151" t="s">
        <v>463</v>
      </c>
      <c r="N132" s="151" t="s">
        <v>191</v>
      </c>
      <c r="O132" s="151" t="s">
        <v>61</v>
      </c>
      <c r="P132" s="151" t="s">
        <v>1486</v>
      </c>
      <c r="Q132" s="151" t="s">
        <v>95</v>
      </c>
      <c r="R132" s="151" t="s">
        <v>56</v>
      </c>
      <c r="S132" s="151" t="s">
        <v>1256</v>
      </c>
      <c r="T132" s="152">
        <v>1.7000000000000001E-2</v>
      </c>
      <c r="U132" s="151" t="s">
        <v>1557</v>
      </c>
      <c r="V132" s="153">
        <v>3.0769999999999999E-2</v>
      </c>
      <c r="W132" s="153">
        <v>6.3409999999999994E-2</v>
      </c>
      <c r="X132" s="151" t="s">
        <v>607</v>
      </c>
      <c r="Y132" s="151"/>
      <c r="Z132" s="152">
        <v>4000000</v>
      </c>
      <c r="AA132" s="152">
        <v>3.165</v>
      </c>
      <c r="AB132" s="152">
        <v>101.425</v>
      </c>
      <c r="AC132" s="151"/>
      <c r="AD132" s="152">
        <v>12840.368</v>
      </c>
      <c r="AE132" s="151"/>
      <c r="AF132" s="151"/>
      <c r="AG132" s="151"/>
      <c r="AH132" s="153">
        <v>6.6699999999999997E-3</v>
      </c>
      <c r="AI132" s="153">
        <v>8.6800000000000002E-3</v>
      </c>
      <c r="AJ132" s="154">
        <v>1.2899999999999999E-3</v>
      </c>
      <c r="AK132" s="174"/>
    </row>
    <row r="133" spans="1:37" x14ac:dyDescent="0.2">
      <c r="A133" s="150" t="s">
        <v>1264</v>
      </c>
      <c r="B133" s="151" t="s">
        <v>1264</v>
      </c>
      <c r="C133" s="151" t="s">
        <v>1403</v>
      </c>
      <c r="D133" s="151" t="s">
        <v>1404</v>
      </c>
      <c r="E133" s="151" t="s">
        <v>420</v>
      </c>
      <c r="F133" s="151" t="s">
        <v>1548</v>
      </c>
      <c r="G133" s="151" t="s">
        <v>1549</v>
      </c>
      <c r="H133" s="151" t="s">
        <v>75</v>
      </c>
      <c r="I133" s="151" t="s">
        <v>225</v>
      </c>
      <c r="J133" s="151" t="s">
        <v>52</v>
      </c>
      <c r="K133" s="151" t="s">
        <v>52</v>
      </c>
      <c r="L133" s="151" t="s">
        <v>775</v>
      </c>
      <c r="M133" s="151" t="s">
        <v>303</v>
      </c>
      <c r="N133" s="151" t="s">
        <v>618</v>
      </c>
      <c r="O133" s="151" t="s">
        <v>61</v>
      </c>
      <c r="P133" s="151" t="s">
        <v>1407</v>
      </c>
      <c r="Q133" s="151" t="s">
        <v>69</v>
      </c>
      <c r="R133" s="151" t="s">
        <v>56</v>
      </c>
      <c r="S133" s="151" t="s">
        <v>1255</v>
      </c>
      <c r="T133" s="152">
        <v>0.74</v>
      </c>
      <c r="U133" s="151" t="s">
        <v>1351</v>
      </c>
      <c r="V133" s="153">
        <v>3.5400000000000001E-2</v>
      </c>
      <c r="W133" s="153">
        <v>2.3009999999999999E-2</v>
      </c>
      <c r="X133" s="151" t="s">
        <v>607</v>
      </c>
      <c r="Y133" s="151"/>
      <c r="Z133" s="152">
        <v>11352500.109999999</v>
      </c>
      <c r="AA133" s="152">
        <v>1</v>
      </c>
      <c r="AB133" s="152">
        <v>110.42</v>
      </c>
      <c r="AC133" s="151"/>
      <c r="AD133" s="152">
        <v>12535.431</v>
      </c>
      <c r="AE133" s="151"/>
      <c r="AF133" s="151"/>
      <c r="AG133" s="151"/>
      <c r="AH133" s="153">
        <v>2.0330000000000001E-2</v>
      </c>
      <c r="AI133" s="153">
        <v>8.4700000000000001E-3</v>
      </c>
      <c r="AJ133" s="154">
        <v>1.2600000000000001E-3</v>
      </c>
      <c r="AK133" s="174"/>
    </row>
    <row r="134" spans="1:37" x14ac:dyDescent="0.2">
      <c r="A134" s="150" t="s">
        <v>1264</v>
      </c>
      <c r="B134" s="151" t="s">
        <v>1264</v>
      </c>
      <c r="C134" s="151" t="s">
        <v>1494</v>
      </c>
      <c r="D134" s="151" t="s">
        <v>1495</v>
      </c>
      <c r="E134" s="151" t="s">
        <v>420</v>
      </c>
      <c r="F134" s="151" t="s">
        <v>1709</v>
      </c>
      <c r="G134" s="151" t="s">
        <v>1710</v>
      </c>
      <c r="H134" s="151" t="s">
        <v>75</v>
      </c>
      <c r="I134" s="151" t="s">
        <v>225</v>
      </c>
      <c r="J134" s="151" t="s">
        <v>52</v>
      </c>
      <c r="K134" s="151" t="s">
        <v>52</v>
      </c>
      <c r="L134" s="151" t="s">
        <v>775</v>
      </c>
      <c r="M134" s="151" t="s">
        <v>303</v>
      </c>
      <c r="N134" s="151" t="s">
        <v>251</v>
      </c>
      <c r="O134" s="151" t="s">
        <v>61</v>
      </c>
      <c r="P134" s="151" t="s">
        <v>1419</v>
      </c>
      <c r="Q134" s="151" t="s">
        <v>64</v>
      </c>
      <c r="R134" s="151" t="s">
        <v>56</v>
      </c>
      <c r="S134" s="151" t="s">
        <v>1255</v>
      </c>
      <c r="T134" s="152">
        <v>3.29</v>
      </c>
      <c r="U134" s="151" t="s">
        <v>1711</v>
      </c>
      <c r="V134" s="153">
        <v>2E-3</v>
      </c>
      <c r="W134" s="153">
        <v>2.4160000000000001E-2</v>
      </c>
      <c r="X134" s="151" t="s">
        <v>607</v>
      </c>
      <c r="Y134" s="151"/>
      <c r="Z134" s="152">
        <v>11631578.35</v>
      </c>
      <c r="AA134" s="152">
        <v>1</v>
      </c>
      <c r="AB134" s="152">
        <v>106.92</v>
      </c>
      <c r="AC134" s="151"/>
      <c r="AD134" s="152">
        <v>12436.484</v>
      </c>
      <c r="AE134" s="151"/>
      <c r="AF134" s="151"/>
      <c r="AG134" s="151"/>
      <c r="AH134" s="153">
        <v>3.9399999999999999E-3</v>
      </c>
      <c r="AI134" s="153">
        <v>8.4100000000000008E-3</v>
      </c>
      <c r="AJ134" s="154">
        <v>1.25E-3</v>
      </c>
      <c r="AK134" s="174"/>
    </row>
    <row r="135" spans="1:37" x14ac:dyDescent="0.2">
      <c r="A135" s="150" t="s">
        <v>1264</v>
      </c>
      <c r="B135" s="151" t="s">
        <v>1264</v>
      </c>
      <c r="C135" s="151" t="s">
        <v>1558</v>
      </c>
      <c r="D135" s="151" t="s">
        <v>1559</v>
      </c>
      <c r="E135" s="151" t="s">
        <v>420</v>
      </c>
      <c r="F135" s="151" t="s">
        <v>1560</v>
      </c>
      <c r="G135" s="151" t="s">
        <v>1561</v>
      </c>
      <c r="H135" s="151" t="s">
        <v>75</v>
      </c>
      <c r="I135" s="151" t="s">
        <v>225</v>
      </c>
      <c r="J135" s="151" t="s">
        <v>52</v>
      </c>
      <c r="K135" s="151" t="s">
        <v>52</v>
      </c>
      <c r="L135" s="151" t="s">
        <v>775</v>
      </c>
      <c r="M135" s="151" t="s">
        <v>303</v>
      </c>
      <c r="N135" s="151" t="s">
        <v>620</v>
      </c>
      <c r="O135" s="151" t="s">
        <v>61</v>
      </c>
      <c r="P135" s="151" t="s">
        <v>1365</v>
      </c>
      <c r="Q135" s="151" t="s">
        <v>69</v>
      </c>
      <c r="R135" s="151" t="s">
        <v>56</v>
      </c>
      <c r="S135" s="151" t="s">
        <v>1255</v>
      </c>
      <c r="T135" s="152">
        <v>4.24</v>
      </c>
      <c r="U135" s="151" t="s">
        <v>1562</v>
      </c>
      <c r="V135" s="153">
        <v>1.8700000000000001E-2</v>
      </c>
      <c r="W135" s="153">
        <v>2.7779999999999999E-2</v>
      </c>
      <c r="X135" s="151" t="s">
        <v>607</v>
      </c>
      <c r="Y135" s="151"/>
      <c r="Z135" s="152">
        <v>11132727.67</v>
      </c>
      <c r="AA135" s="152">
        <v>1</v>
      </c>
      <c r="AB135" s="152">
        <v>109.77</v>
      </c>
      <c r="AC135" s="151"/>
      <c r="AD135" s="152">
        <v>12220.395</v>
      </c>
      <c r="AE135" s="151"/>
      <c r="AF135" s="151"/>
      <c r="AG135" s="151"/>
      <c r="AH135" s="153">
        <v>1.14E-2</v>
      </c>
      <c r="AI135" s="153">
        <v>8.26E-3</v>
      </c>
      <c r="AJ135" s="154">
        <v>1.2199999999999999E-3</v>
      </c>
      <c r="AK135" s="174"/>
    </row>
    <row r="136" spans="1:37" x14ac:dyDescent="0.2">
      <c r="A136" s="150" t="s">
        <v>1264</v>
      </c>
      <c r="B136" s="151" t="s">
        <v>1264</v>
      </c>
      <c r="C136" s="151" t="s">
        <v>1531</v>
      </c>
      <c r="D136" s="151" t="s">
        <v>1532</v>
      </c>
      <c r="E136" s="151" t="s">
        <v>420</v>
      </c>
      <c r="F136" s="151" t="s">
        <v>1533</v>
      </c>
      <c r="G136" s="151" t="s">
        <v>1534</v>
      </c>
      <c r="H136" s="151" t="s">
        <v>75</v>
      </c>
      <c r="I136" s="151" t="s">
        <v>225</v>
      </c>
      <c r="J136" s="151" t="s">
        <v>52</v>
      </c>
      <c r="K136" s="151" t="s">
        <v>52</v>
      </c>
      <c r="L136" s="151" t="s">
        <v>775</v>
      </c>
      <c r="M136" s="151" t="s">
        <v>303</v>
      </c>
      <c r="N136" s="151" t="s">
        <v>620</v>
      </c>
      <c r="O136" s="151" t="s">
        <v>61</v>
      </c>
      <c r="P136" s="151" t="s">
        <v>1384</v>
      </c>
      <c r="Q136" s="151" t="s">
        <v>64</v>
      </c>
      <c r="R136" s="151" t="s">
        <v>56</v>
      </c>
      <c r="S136" s="151" t="s">
        <v>1255</v>
      </c>
      <c r="T136" s="152">
        <v>0.5</v>
      </c>
      <c r="U136" s="151" t="s">
        <v>1535</v>
      </c>
      <c r="V136" s="153">
        <v>2.4E-2</v>
      </c>
      <c r="W136" s="153">
        <v>9.3299999999999998E-3</v>
      </c>
      <c r="X136" s="151" t="s">
        <v>607</v>
      </c>
      <c r="Y136" s="151"/>
      <c r="Z136" s="152">
        <v>10009644.439999999</v>
      </c>
      <c r="AA136" s="152">
        <v>1</v>
      </c>
      <c r="AB136" s="152">
        <v>119.4</v>
      </c>
      <c r="AC136" s="151"/>
      <c r="AD136" s="152">
        <v>11951.514999999999</v>
      </c>
      <c r="AE136" s="151"/>
      <c r="AF136" s="151"/>
      <c r="AG136" s="151"/>
      <c r="AH136" s="153">
        <v>2.01E-2</v>
      </c>
      <c r="AI136" s="153">
        <v>8.0800000000000004E-3</v>
      </c>
      <c r="AJ136" s="154">
        <v>1.1999999999999999E-3</v>
      </c>
      <c r="AK136" s="174"/>
    </row>
    <row r="137" spans="1:37" x14ac:dyDescent="0.2">
      <c r="A137" s="150" t="s">
        <v>1264</v>
      </c>
      <c r="B137" s="151" t="s">
        <v>1264</v>
      </c>
      <c r="C137" s="151" t="s">
        <v>1543</v>
      </c>
      <c r="D137" s="151" t="s">
        <v>1544</v>
      </c>
      <c r="E137" s="151" t="s">
        <v>420</v>
      </c>
      <c r="F137" s="151" t="s">
        <v>1545</v>
      </c>
      <c r="G137" s="151" t="s">
        <v>1546</v>
      </c>
      <c r="H137" s="151" t="s">
        <v>75</v>
      </c>
      <c r="I137" s="151" t="s">
        <v>225</v>
      </c>
      <c r="J137" s="151" t="s">
        <v>52</v>
      </c>
      <c r="K137" s="151" t="s">
        <v>52</v>
      </c>
      <c r="L137" s="151" t="s">
        <v>775</v>
      </c>
      <c r="M137" s="151" t="s">
        <v>303</v>
      </c>
      <c r="N137" s="151" t="s">
        <v>620</v>
      </c>
      <c r="O137" s="151" t="s">
        <v>61</v>
      </c>
      <c r="P137" s="151" t="s">
        <v>1384</v>
      </c>
      <c r="Q137" s="151" t="s">
        <v>64</v>
      </c>
      <c r="R137" s="151" t="s">
        <v>56</v>
      </c>
      <c r="S137" s="151" t="s">
        <v>1255</v>
      </c>
      <c r="T137" s="152">
        <v>2.13</v>
      </c>
      <c r="U137" s="151" t="s">
        <v>1547</v>
      </c>
      <c r="V137" s="153">
        <v>1.14E-2</v>
      </c>
      <c r="W137" s="153">
        <v>2.376E-2</v>
      </c>
      <c r="X137" s="151" t="s">
        <v>607</v>
      </c>
      <c r="Y137" s="151"/>
      <c r="Z137" s="152">
        <v>10260000</v>
      </c>
      <c r="AA137" s="152">
        <v>1</v>
      </c>
      <c r="AB137" s="152">
        <v>113.75</v>
      </c>
      <c r="AC137" s="151"/>
      <c r="AD137" s="152">
        <v>11670.75</v>
      </c>
      <c r="AE137" s="151"/>
      <c r="AF137" s="151"/>
      <c r="AG137" s="151"/>
      <c r="AH137" s="153">
        <v>4.8199999999999996E-3</v>
      </c>
      <c r="AI137" s="153">
        <v>7.8899999999999994E-3</v>
      </c>
      <c r="AJ137" s="154">
        <v>1.17E-3</v>
      </c>
      <c r="AK137" s="174"/>
    </row>
    <row r="138" spans="1:37" x14ac:dyDescent="0.2">
      <c r="A138" s="150" t="s">
        <v>1264</v>
      </c>
      <c r="B138" s="151" t="s">
        <v>1264</v>
      </c>
      <c r="C138" s="151" t="s">
        <v>1479</v>
      </c>
      <c r="D138" s="151" t="s">
        <v>1480</v>
      </c>
      <c r="E138" s="151" t="s">
        <v>420</v>
      </c>
      <c r="F138" s="151" t="s">
        <v>1550</v>
      </c>
      <c r="G138" s="151" t="s">
        <v>1551</v>
      </c>
      <c r="H138" s="151" t="s">
        <v>75</v>
      </c>
      <c r="I138" s="151" t="s">
        <v>225</v>
      </c>
      <c r="J138" s="151" t="s">
        <v>52</v>
      </c>
      <c r="K138" s="151" t="s">
        <v>52</v>
      </c>
      <c r="L138" s="151" t="s">
        <v>775</v>
      </c>
      <c r="M138" s="151" t="s">
        <v>303</v>
      </c>
      <c r="N138" s="151" t="s">
        <v>251</v>
      </c>
      <c r="O138" s="151" t="s">
        <v>61</v>
      </c>
      <c r="P138" s="151" t="s">
        <v>1419</v>
      </c>
      <c r="Q138" s="151" t="s">
        <v>64</v>
      </c>
      <c r="R138" s="151" t="s">
        <v>56</v>
      </c>
      <c r="S138" s="151" t="s">
        <v>1255</v>
      </c>
      <c r="T138" s="152">
        <v>2.56</v>
      </c>
      <c r="U138" s="151" t="s">
        <v>1552</v>
      </c>
      <c r="V138" s="153">
        <v>1E-3</v>
      </c>
      <c r="W138" s="153">
        <v>2.308E-2</v>
      </c>
      <c r="X138" s="151" t="s">
        <v>607</v>
      </c>
      <c r="Y138" s="151"/>
      <c r="Z138" s="152">
        <v>10566000</v>
      </c>
      <c r="AA138" s="152">
        <v>1</v>
      </c>
      <c r="AB138" s="152">
        <v>108.87</v>
      </c>
      <c r="AC138" s="151"/>
      <c r="AD138" s="152">
        <v>11503.204</v>
      </c>
      <c r="AE138" s="151"/>
      <c r="AF138" s="151"/>
      <c r="AG138" s="151"/>
      <c r="AH138" s="153">
        <v>3.13E-3</v>
      </c>
      <c r="AI138" s="153">
        <v>7.77E-3</v>
      </c>
      <c r="AJ138" s="154">
        <v>1.15E-3</v>
      </c>
      <c r="AK138" s="174"/>
    </row>
    <row r="139" spans="1:37" x14ac:dyDescent="0.2">
      <c r="A139" s="150" t="s">
        <v>1264</v>
      </c>
      <c r="B139" s="151" t="s">
        <v>1264</v>
      </c>
      <c r="C139" s="151" t="s">
        <v>1454</v>
      </c>
      <c r="D139" s="151" t="s">
        <v>1455</v>
      </c>
      <c r="E139" s="151" t="s">
        <v>420</v>
      </c>
      <c r="F139" s="151" t="s">
        <v>1591</v>
      </c>
      <c r="G139" s="151" t="s">
        <v>1592</v>
      </c>
      <c r="H139" s="151" t="s">
        <v>75</v>
      </c>
      <c r="I139" s="151" t="s">
        <v>224</v>
      </c>
      <c r="J139" s="151" t="s">
        <v>52</v>
      </c>
      <c r="K139" s="151" t="s">
        <v>52</v>
      </c>
      <c r="L139" s="151" t="s">
        <v>775</v>
      </c>
      <c r="M139" s="151" t="s">
        <v>303</v>
      </c>
      <c r="N139" s="151" t="s">
        <v>138</v>
      </c>
      <c r="O139" s="151" t="s">
        <v>61</v>
      </c>
      <c r="P139" s="151" t="s">
        <v>1407</v>
      </c>
      <c r="Q139" s="151" t="s">
        <v>69</v>
      </c>
      <c r="R139" s="151" t="s">
        <v>56</v>
      </c>
      <c r="S139" s="151" t="s">
        <v>1255</v>
      </c>
      <c r="T139" s="152">
        <v>1.22</v>
      </c>
      <c r="U139" s="151" t="s">
        <v>1593</v>
      </c>
      <c r="V139" s="153">
        <v>2.58E-2</v>
      </c>
      <c r="W139" s="153">
        <v>4.725E-2</v>
      </c>
      <c r="X139" s="151" t="s">
        <v>607</v>
      </c>
      <c r="Y139" s="151"/>
      <c r="Z139" s="152">
        <v>11517730</v>
      </c>
      <c r="AA139" s="152">
        <v>1</v>
      </c>
      <c r="AB139" s="152">
        <v>98.14</v>
      </c>
      <c r="AC139" s="151"/>
      <c r="AD139" s="152">
        <v>11303.5</v>
      </c>
      <c r="AE139" s="151"/>
      <c r="AF139" s="151"/>
      <c r="AG139" s="151"/>
      <c r="AH139" s="153">
        <v>6.0389999999999999E-2</v>
      </c>
      <c r="AI139" s="153">
        <v>7.6400000000000001E-3</v>
      </c>
      <c r="AJ139" s="154">
        <v>1.1299999999999999E-3</v>
      </c>
      <c r="AK139" s="174"/>
    </row>
    <row r="140" spans="1:37" x14ac:dyDescent="0.2">
      <c r="A140" s="150" t="s">
        <v>1264</v>
      </c>
      <c r="B140" s="151" t="s">
        <v>1264</v>
      </c>
      <c r="C140" s="151" t="s">
        <v>1563</v>
      </c>
      <c r="D140" s="151" t="s">
        <v>1564</v>
      </c>
      <c r="E140" s="151" t="s">
        <v>420</v>
      </c>
      <c r="F140" s="151" t="s">
        <v>1565</v>
      </c>
      <c r="G140" s="151" t="s">
        <v>1566</v>
      </c>
      <c r="H140" s="151" t="s">
        <v>75</v>
      </c>
      <c r="I140" s="151" t="s">
        <v>225</v>
      </c>
      <c r="J140" s="151" t="s">
        <v>52</v>
      </c>
      <c r="K140" s="151" t="s">
        <v>52</v>
      </c>
      <c r="L140" s="151" t="s">
        <v>775</v>
      </c>
      <c r="M140" s="151" t="s">
        <v>303</v>
      </c>
      <c r="N140" s="151" t="s">
        <v>620</v>
      </c>
      <c r="O140" s="151" t="s">
        <v>61</v>
      </c>
      <c r="P140" s="151" t="s">
        <v>1365</v>
      </c>
      <c r="Q140" s="151" t="s">
        <v>69</v>
      </c>
      <c r="R140" s="151" t="s">
        <v>56</v>
      </c>
      <c r="S140" s="151" t="s">
        <v>1255</v>
      </c>
      <c r="T140" s="152">
        <v>1.49</v>
      </c>
      <c r="U140" s="151" t="s">
        <v>1567</v>
      </c>
      <c r="V140" s="153">
        <v>1.9599999999999999E-2</v>
      </c>
      <c r="W140" s="153">
        <v>2.23E-2</v>
      </c>
      <c r="X140" s="151" t="s">
        <v>607</v>
      </c>
      <c r="Y140" s="151"/>
      <c r="Z140" s="152">
        <v>9200000</v>
      </c>
      <c r="AA140" s="152">
        <v>1</v>
      </c>
      <c r="AB140" s="152">
        <v>119.16</v>
      </c>
      <c r="AC140" s="151"/>
      <c r="AD140" s="152">
        <v>10962.72</v>
      </c>
      <c r="AE140" s="151"/>
      <c r="AF140" s="151"/>
      <c r="AG140" s="151"/>
      <c r="AH140" s="153">
        <v>8.0300000000000007E-3</v>
      </c>
      <c r="AI140" s="153">
        <v>7.4099999999999999E-3</v>
      </c>
      <c r="AJ140" s="154">
        <v>1.1000000000000001E-3</v>
      </c>
      <c r="AK140" s="174"/>
    </row>
    <row r="141" spans="1:37" x14ac:dyDescent="0.2">
      <c r="A141" s="150" t="s">
        <v>1264</v>
      </c>
      <c r="B141" s="151" t="s">
        <v>1264</v>
      </c>
      <c r="C141" s="151" t="s">
        <v>1380</v>
      </c>
      <c r="D141" s="151" t="s">
        <v>1381</v>
      </c>
      <c r="E141" s="151" t="s">
        <v>420</v>
      </c>
      <c r="F141" s="151" t="s">
        <v>1580</v>
      </c>
      <c r="G141" s="151" t="s">
        <v>1581</v>
      </c>
      <c r="H141" s="151" t="s">
        <v>75</v>
      </c>
      <c r="I141" s="151" t="s">
        <v>225</v>
      </c>
      <c r="J141" s="151" t="s">
        <v>52</v>
      </c>
      <c r="K141" s="151" t="s">
        <v>52</v>
      </c>
      <c r="L141" s="151" t="s">
        <v>775</v>
      </c>
      <c r="M141" s="151" t="s">
        <v>303</v>
      </c>
      <c r="N141" s="151" t="s">
        <v>620</v>
      </c>
      <c r="O141" s="151" t="s">
        <v>61</v>
      </c>
      <c r="P141" s="151" t="s">
        <v>1384</v>
      </c>
      <c r="Q141" s="151" t="s">
        <v>64</v>
      </c>
      <c r="R141" s="151" t="s">
        <v>56</v>
      </c>
      <c r="S141" s="151" t="s">
        <v>1255</v>
      </c>
      <c r="T141" s="152">
        <v>2.1800000000000002</v>
      </c>
      <c r="U141" s="151" t="s">
        <v>1582</v>
      </c>
      <c r="V141" s="153">
        <v>6.4999999999999997E-3</v>
      </c>
      <c r="W141" s="153">
        <v>2.3060000000000001E-2</v>
      </c>
      <c r="X141" s="151" t="s">
        <v>607</v>
      </c>
      <c r="Y141" s="151"/>
      <c r="Z141" s="152">
        <v>9361701.4399999995</v>
      </c>
      <c r="AA141" s="152">
        <v>1</v>
      </c>
      <c r="AB141" s="152">
        <v>113.67</v>
      </c>
      <c r="AC141" s="151"/>
      <c r="AD141" s="152">
        <v>10641.446</v>
      </c>
      <c r="AE141" s="151"/>
      <c r="AF141" s="151"/>
      <c r="AG141" s="151"/>
      <c r="AH141" s="153">
        <v>1.771E-2</v>
      </c>
      <c r="AI141" s="153">
        <v>7.1900000000000002E-3</v>
      </c>
      <c r="AJ141" s="154">
        <v>1.07E-3</v>
      </c>
      <c r="AK141" s="174"/>
    </row>
    <row r="142" spans="1:37" x14ac:dyDescent="0.2">
      <c r="A142" s="150" t="s">
        <v>1264</v>
      </c>
      <c r="B142" s="151" t="s">
        <v>1264</v>
      </c>
      <c r="C142" s="151" t="s">
        <v>1392</v>
      </c>
      <c r="D142" s="151" t="s">
        <v>1393</v>
      </c>
      <c r="E142" s="151" t="s">
        <v>420</v>
      </c>
      <c r="F142" s="151" t="s">
        <v>1576</v>
      </c>
      <c r="G142" s="151" t="s">
        <v>1577</v>
      </c>
      <c r="H142" s="151" t="s">
        <v>75</v>
      </c>
      <c r="I142" s="151" t="s">
        <v>225</v>
      </c>
      <c r="J142" s="151" t="s">
        <v>52</v>
      </c>
      <c r="K142" s="151" t="s">
        <v>52</v>
      </c>
      <c r="L142" s="151" t="s">
        <v>775</v>
      </c>
      <c r="M142" s="151" t="s">
        <v>303</v>
      </c>
      <c r="N142" s="151" t="s">
        <v>620</v>
      </c>
      <c r="O142" s="151" t="s">
        <v>61</v>
      </c>
      <c r="P142" s="151" t="s">
        <v>1578</v>
      </c>
      <c r="Q142" s="151" t="s">
        <v>69</v>
      </c>
      <c r="R142" s="151" t="s">
        <v>56</v>
      </c>
      <c r="S142" s="151" t="s">
        <v>1255</v>
      </c>
      <c r="T142" s="152">
        <v>2.2000000000000002</v>
      </c>
      <c r="U142" s="151" t="s">
        <v>1579</v>
      </c>
      <c r="V142" s="153">
        <v>1.34E-2</v>
      </c>
      <c r="W142" s="153">
        <v>2.4660000000000001E-2</v>
      </c>
      <c r="X142" s="151" t="s">
        <v>607</v>
      </c>
      <c r="Y142" s="151"/>
      <c r="Z142" s="152">
        <v>8904973.0399999991</v>
      </c>
      <c r="AA142" s="152">
        <v>1</v>
      </c>
      <c r="AB142" s="152">
        <v>116.87</v>
      </c>
      <c r="AC142" s="151"/>
      <c r="AD142" s="152">
        <v>10407.242</v>
      </c>
      <c r="AE142" s="151"/>
      <c r="AF142" s="151"/>
      <c r="AG142" s="151"/>
      <c r="AH142" s="153">
        <v>4.4799999999999996E-3</v>
      </c>
      <c r="AI142" s="153">
        <v>7.0299999999999998E-3</v>
      </c>
      <c r="AJ142" s="154">
        <v>1.0399999999999999E-3</v>
      </c>
      <c r="AK142" s="174"/>
    </row>
    <row r="143" spans="1:37" x14ac:dyDescent="0.2">
      <c r="A143" s="150" t="s">
        <v>1264</v>
      </c>
      <c r="B143" s="151" t="s">
        <v>1264</v>
      </c>
      <c r="C143" s="151" t="s">
        <v>1536</v>
      </c>
      <c r="D143" s="151" t="s">
        <v>1537</v>
      </c>
      <c r="E143" s="151" t="s">
        <v>420</v>
      </c>
      <c r="F143" s="151" t="s">
        <v>1538</v>
      </c>
      <c r="G143" s="151" t="s">
        <v>1539</v>
      </c>
      <c r="H143" s="151" t="s">
        <v>75</v>
      </c>
      <c r="I143" s="151" t="s">
        <v>225</v>
      </c>
      <c r="J143" s="151" t="s">
        <v>52</v>
      </c>
      <c r="K143" s="151" t="s">
        <v>52</v>
      </c>
      <c r="L143" s="151" t="s">
        <v>775</v>
      </c>
      <c r="M143" s="151" t="s">
        <v>303</v>
      </c>
      <c r="N143" s="151" t="s">
        <v>621</v>
      </c>
      <c r="O143" s="151" t="s">
        <v>61</v>
      </c>
      <c r="P143" s="151" t="s">
        <v>1390</v>
      </c>
      <c r="Q143" s="151" t="s">
        <v>69</v>
      </c>
      <c r="R143" s="151" t="s">
        <v>56</v>
      </c>
      <c r="S143" s="151" t="s">
        <v>1255</v>
      </c>
      <c r="T143" s="152">
        <v>0.73</v>
      </c>
      <c r="U143" s="151" t="s">
        <v>1540</v>
      </c>
      <c r="V143" s="153">
        <v>0.04</v>
      </c>
      <c r="W143" s="153">
        <v>4.376E-2</v>
      </c>
      <c r="X143" s="151" t="s">
        <v>607</v>
      </c>
      <c r="Y143" s="151"/>
      <c r="Z143" s="152">
        <v>8745816.0999999996</v>
      </c>
      <c r="AA143" s="152">
        <v>1</v>
      </c>
      <c r="AB143" s="152">
        <v>118.5</v>
      </c>
      <c r="AC143" s="151"/>
      <c r="AD143" s="152">
        <v>10363.791999999999</v>
      </c>
      <c r="AE143" s="151"/>
      <c r="AF143" s="151"/>
      <c r="AG143" s="151"/>
      <c r="AH143" s="153">
        <v>7.1399999999999996E-3</v>
      </c>
      <c r="AI143" s="153">
        <v>7.0000000000000001E-3</v>
      </c>
      <c r="AJ143" s="154">
        <v>1.0399999999999999E-3</v>
      </c>
      <c r="AK143" s="174"/>
    </row>
    <row r="144" spans="1:37" x14ac:dyDescent="0.2">
      <c r="A144" s="150" t="s">
        <v>1264</v>
      </c>
      <c r="B144" s="151" t="s">
        <v>1264</v>
      </c>
      <c r="C144" s="151" t="s">
        <v>1475</v>
      </c>
      <c r="D144" s="151" t="s">
        <v>1476</v>
      </c>
      <c r="E144" s="151" t="s">
        <v>420</v>
      </c>
      <c r="F144" s="151" t="s">
        <v>1599</v>
      </c>
      <c r="G144" s="151" t="s">
        <v>1600</v>
      </c>
      <c r="H144" s="151" t="s">
        <v>75</v>
      </c>
      <c r="I144" s="151" t="s">
        <v>224</v>
      </c>
      <c r="J144" s="151" t="s">
        <v>52</v>
      </c>
      <c r="K144" s="151" t="s">
        <v>52</v>
      </c>
      <c r="L144" s="151" t="s">
        <v>775</v>
      </c>
      <c r="M144" s="151" t="s">
        <v>303</v>
      </c>
      <c r="N144" s="151" t="s">
        <v>262</v>
      </c>
      <c r="O144" s="151" t="s">
        <v>61</v>
      </c>
      <c r="P144" s="151" t="s">
        <v>1473</v>
      </c>
      <c r="Q144" s="151" t="s">
        <v>64</v>
      </c>
      <c r="R144" s="151" t="s">
        <v>56</v>
      </c>
      <c r="S144" s="151" t="s">
        <v>1255</v>
      </c>
      <c r="T144" s="152">
        <v>8.16</v>
      </c>
      <c r="U144" s="151" t="s">
        <v>1601</v>
      </c>
      <c r="V144" s="153">
        <v>5.1200000000000002E-2</v>
      </c>
      <c r="W144" s="153">
        <v>4.8989999999999999E-2</v>
      </c>
      <c r="X144" s="151" t="s">
        <v>607</v>
      </c>
      <c r="Y144" s="151"/>
      <c r="Z144" s="152">
        <v>9606000</v>
      </c>
      <c r="AA144" s="152">
        <v>1</v>
      </c>
      <c r="AB144" s="152">
        <v>104.5</v>
      </c>
      <c r="AC144" s="151"/>
      <c r="AD144" s="152">
        <v>10038.27</v>
      </c>
      <c r="AE144" s="151"/>
      <c r="AF144" s="151"/>
      <c r="AG144" s="151"/>
      <c r="AH144" s="153">
        <v>5.5199999999999997E-3</v>
      </c>
      <c r="AI144" s="153">
        <v>6.7799999999999996E-3</v>
      </c>
      <c r="AJ144" s="154">
        <v>1.01E-3</v>
      </c>
      <c r="AK144" s="174"/>
    </row>
    <row r="145" spans="1:37" x14ac:dyDescent="0.2">
      <c r="A145" s="150" t="s">
        <v>1264</v>
      </c>
      <c r="B145" s="151" t="s">
        <v>1264</v>
      </c>
      <c r="C145" s="151" t="s">
        <v>1438</v>
      </c>
      <c r="D145" s="151" t="s">
        <v>1439</v>
      </c>
      <c r="E145" s="151" t="s">
        <v>420</v>
      </c>
      <c r="F145" s="151" t="s">
        <v>1594</v>
      </c>
      <c r="G145" s="151" t="s">
        <v>1595</v>
      </c>
      <c r="H145" s="151" t="s">
        <v>75</v>
      </c>
      <c r="I145" s="151" t="s">
        <v>224</v>
      </c>
      <c r="J145" s="151" t="s">
        <v>52</v>
      </c>
      <c r="K145" s="151" t="s">
        <v>52</v>
      </c>
      <c r="L145" s="151" t="s">
        <v>775</v>
      </c>
      <c r="M145" s="151" t="s">
        <v>303</v>
      </c>
      <c r="N145" s="151" t="s">
        <v>262</v>
      </c>
      <c r="O145" s="151" t="s">
        <v>61</v>
      </c>
      <c r="P145" s="151" t="s">
        <v>1407</v>
      </c>
      <c r="Q145" s="151" t="s">
        <v>69</v>
      </c>
      <c r="R145" s="151" t="s">
        <v>56</v>
      </c>
      <c r="S145" s="151" t="s">
        <v>1255</v>
      </c>
      <c r="T145" s="152">
        <v>6.82</v>
      </c>
      <c r="U145" s="151" t="s">
        <v>1391</v>
      </c>
      <c r="V145" s="153">
        <v>4.7800000000000002E-2</v>
      </c>
      <c r="W145" s="153">
        <v>4.7230000000000001E-2</v>
      </c>
      <c r="X145" s="151" t="s">
        <v>607</v>
      </c>
      <c r="Y145" s="151"/>
      <c r="Z145" s="152">
        <v>9800000</v>
      </c>
      <c r="AA145" s="152">
        <v>1</v>
      </c>
      <c r="AB145" s="152">
        <v>102.2</v>
      </c>
      <c r="AC145" s="151"/>
      <c r="AD145" s="152">
        <v>10015.6</v>
      </c>
      <c r="AE145" s="151"/>
      <c r="AF145" s="151"/>
      <c r="AG145" s="151"/>
      <c r="AH145" s="153">
        <v>3.6679999999999997E-2</v>
      </c>
      <c r="AI145" s="153">
        <v>6.77E-3</v>
      </c>
      <c r="AJ145" s="154">
        <v>1E-3</v>
      </c>
      <c r="AK145" s="174"/>
    </row>
    <row r="146" spans="1:37" x14ac:dyDescent="0.2">
      <c r="A146" s="150" t="s">
        <v>1264</v>
      </c>
      <c r="B146" s="151" t="s">
        <v>1264</v>
      </c>
      <c r="C146" s="151" t="s">
        <v>1438</v>
      </c>
      <c r="D146" s="151" t="s">
        <v>1439</v>
      </c>
      <c r="E146" s="151" t="s">
        <v>420</v>
      </c>
      <c r="F146" s="151" t="s">
        <v>1596</v>
      </c>
      <c r="G146" s="151" t="s">
        <v>1597</v>
      </c>
      <c r="H146" s="151" t="s">
        <v>75</v>
      </c>
      <c r="I146" s="151" t="s">
        <v>224</v>
      </c>
      <c r="J146" s="151" t="s">
        <v>52</v>
      </c>
      <c r="K146" s="151" t="s">
        <v>52</v>
      </c>
      <c r="L146" s="151" t="s">
        <v>775</v>
      </c>
      <c r="M146" s="151" t="s">
        <v>303</v>
      </c>
      <c r="N146" s="151" t="s">
        <v>262</v>
      </c>
      <c r="O146" s="151" t="s">
        <v>61</v>
      </c>
      <c r="P146" s="151" t="s">
        <v>1407</v>
      </c>
      <c r="Q146" s="151" t="s">
        <v>69</v>
      </c>
      <c r="R146" s="151" t="s">
        <v>56</v>
      </c>
      <c r="S146" s="151" t="s">
        <v>1255</v>
      </c>
      <c r="T146" s="152">
        <v>7.49</v>
      </c>
      <c r="U146" s="151" t="s">
        <v>1598</v>
      </c>
      <c r="V146" s="153">
        <v>4.7800000000000002E-2</v>
      </c>
      <c r="W146" s="153">
        <v>4.734E-2</v>
      </c>
      <c r="X146" s="151" t="s">
        <v>607</v>
      </c>
      <c r="Y146" s="151"/>
      <c r="Z146" s="152">
        <v>9800000</v>
      </c>
      <c r="AA146" s="152">
        <v>1</v>
      </c>
      <c r="AB146" s="152">
        <v>102.19</v>
      </c>
      <c r="AC146" s="151"/>
      <c r="AD146" s="152">
        <v>10014.620000000001</v>
      </c>
      <c r="AE146" s="151"/>
      <c r="AF146" s="151"/>
      <c r="AG146" s="151"/>
      <c r="AH146" s="153">
        <v>3.6679999999999997E-2</v>
      </c>
      <c r="AI146" s="153">
        <v>6.77E-3</v>
      </c>
      <c r="AJ146" s="154">
        <v>1E-3</v>
      </c>
      <c r="AK146" s="174"/>
    </row>
    <row r="147" spans="1:37" x14ac:dyDescent="0.2">
      <c r="A147" s="150" t="s">
        <v>1264</v>
      </c>
      <c r="B147" s="151" t="s">
        <v>1264</v>
      </c>
      <c r="C147" s="151" t="s">
        <v>1571</v>
      </c>
      <c r="D147" s="151" t="s">
        <v>1572</v>
      </c>
      <c r="E147" s="151" t="s">
        <v>420</v>
      </c>
      <c r="F147" s="151" t="s">
        <v>1573</v>
      </c>
      <c r="G147" s="151" t="s">
        <v>1574</v>
      </c>
      <c r="H147" s="151" t="s">
        <v>75</v>
      </c>
      <c r="I147" s="151" t="s">
        <v>226</v>
      </c>
      <c r="J147" s="151" t="s">
        <v>52</v>
      </c>
      <c r="K147" s="151" t="s">
        <v>52</v>
      </c>
      <c r="L147" s="151" t="s">
        <v>775</v>
      </c>
      <c r="M147" s="151" t="s">
        <v>303</v>
      </c>
      <c r="N147" s="151" t="s">
        <v>260</v>
      </c>
      <c r="O147" s="151" t="s">
        <v>61</v>
      </c>
      <c r="P147" s="151" t="s">
        <v>1407</v>
      </c>
      <c r="Q147" s="151" t="s">
        <v>69</v>
      </c>
      <c r="R147" s="151" t="s">
        <v>56</v>
      </c>
      <c r="S147" s="151" t="s">
        <v>1255</v>
      </c>
      <c r="T147" s="152">
        <v>2.02</v>
      </c>
      <c r="U147" s="151" t="s">
        <v>1575</v>
      </c>
      <c r="V147" s="153">
        <v>4.6899999999999997E-2</v>
      </c>
      <c r="W147" s="153">
        <v>5.9650000000000002E-2</v>
      </c>
      <c r="X147" s="151" t="s">
        <v>607</v>
      </c>
      <c r="Y147" s="151"/>
      <c r="Z147" s="152">
        <v>11259077.07</v>
      </c>
      <c r="AA147" s="152">
        <v>1</v>
      </c>
      <c r="AB147" s="152">
        <v>88.06</v>
      </c>
      <c r="AC147" s="151"/>
      <c r="AD147" s="152">
        <v>9914.7430000000004</v>
      </c>
      <c r="AE147" s="151"/>
      <c r="AF147" s="151"/>
      <c r="AG147" s="151"/>
      <c r="AH147" s="153">
        <v>9.6699999999999998E-3</v>
      </c>
      <c r="AI147" s="153">
        <v>6.7000000000000002E-3</v>
      </c>
      <c r="AJ147" s="154">
        <v>9.8999999999999999E-4</v>
      </c>
      <c r="AK147" s="174"/>
    </row>
    <row r="148" spans="1:37" x14ac:dyDescent="0.2">
      <c r="A148" s="150" t="s">
        <v>1264</v>
      </c>
      <c r="B148" s="151" t="s">
        <v>1264</v>
      </c>
      <c r="C148" s="151" t="s">
        <v>1494</v>
      </c>
      <c r="D148" s="151" t="s">
        <v>1495</v>
      </c>
      <c r="E148" s="151" t="s">
        <v>420</v>
      </c>
      <c r="F148" s="151" t="s">
        <v>1605</v>
      </c>
      <c r="G148" s="151" t="s">
        <v>1606</v>
      </c>
      <c r="H148" s="151" t="s">
        <v>75</v>
      </c>
      <c r="I148" s="151" t="s">
        <v>225</v>
      </c>
      <c r="J148" s="151" t="s">
        <v>52</v>
      </c>
      <c r="K148" s="151" t="s">
        <v>52</v>
      </c>
      <c r="L148" s="151" t="s">
        <v>775</v>
      </c>
      <c r="M148" s="151" t="s">
        <v>303</v>
      </c>
      <c r="N148" s="151" t="s">
        <v>251</v>
      </c>
      <c r="O148" s="151" t="s">
        <v>61</v>
      </c>
      <c r="P148" s="151" t="s">
        <v>1371</v>
      </c>
      <c r="Q148" s="151" t="s">
        <v>64</v>
      </c>
      <c r="R148" s="151" t="s">
        <v>56</v>
      </c>
      <c r="S148" s="151" t="s">
        <v>1255</v>
      </c>
      <c r="T148" s="152">
        <v>5.48</v>
      </c>
      <c r="U148" s="151" t="s">
        <v>1607</v>
      </c>
      <c r="V148" s="153">
        <v>2.5000000000000001E-2</v>
      </c>
      <c r="W148" s="153">
        <v>2.9010000000000001E-2</v>
      </c>
      <c r="X148" s="151" t="s">
        <v>607</v>
      </c>
      <c r="Y148" s="151"/>
      <c r="Z148" s="152">
        <v>10000000</v>
      </c>
      <c r="AA148" s="152">
        <v>1</v>
      </c>
      <c r="AB148" s="152">
        <v>98.33</v>
      </c>
      <c r="AC148" s="151"/>
      <c r="AD148" s="152">
        <v>9833</v>
      </c>
      <c r="AE148" s="151"/>
      <c r="AF148" s="151"/>
      <c r="AG148" s="151"/>
      <c r="AH148" s="153">
        <v>1.6379999999999999E-2</v>
      </c>
      <c r="AI148" s="153">
        <v>6.6499999999999997E-3</v>
      </c>
      <c r="AJ148" s="154">
        <v>9.7999999999999997E-4</v>
      </c>
      <c r="AK148" s="174"/>
    </row>
    <row r="149" spans="1:37" x14ac:dyDescent="0.2">
      <c r="A149" s="150" t="s">
        <v>1264</v>
      </c>
      <c r="B149" s="151" t="s">
        <v>1264</v>
      </c>
      <c r="C149" s="151" t="s">
        <v>1608</v>
      </c>
      <c r="D149" s="151" t="s">
        <v>1609</v>
      </c>
      <c r="E149" s="151" t="s">
        <v>420</v>
      </c>
      <c r="F149" s="151" t="s">
        <v>1610</v>
      </c>
      <c r="G149" s="151" t="s">
        <v>1611</v>
      </c>
      <c r="H149" s="151" t="s">
        <v>75</v>
      </c>
      <c r="I149" s="151" t="s">
        <v>224</v>
      </c>
      <c r="J149" s="151" t="s">
        <v>52</v>
      </c>
      <c r="K149" s="151" t="s">
        <v>52</v>
      </c>
      <c r="L149" s="151" t="s">
        <v>775</v>
      </c>
      <c r="M149" s="151" t="s">
        <v>303</v>
      </c>
      <c r="N149" s="151" t="s">
        <v>262</v>
      </c>
      <c r="O149" s="151" t="s">
        <v>61</v>
      </c>
      <c r="P149" s="151" t="s">
        <v>1503</v>
      </c>
      <c r="Q149" s="151" t="s">
        <v>69</v>
      </c>
      <c r="R149" s="151" t="s">
        <v>56</v>
      </c>
      <c r="S149" s="151" t="s">
        <v>1255</v>
      </c>
      <c r="T149" s="152">
        <v>5.6</v>
      </c>
      <c r="U149" s="151" t="s">
        <v>1612</v>
      </c>
      <c r="V149" s="153">
        <v>5.1299999999999998E-2</v>
      </c>
      <c r="W149" s="153">
        <v>4.6920000000000003E-2</v>
      </c>
      <c r="X149" s="151" t="s">
        <v>607</v>
      </c>
      <c r="Y149" s="151"/>
      <c r="Z149" s="152">
        <v>9500000</v>
      </c>
      <c r="AA149" s="152">
        <v>1</v>
      </c>
      <c r="AB149" s="152">
        <v>102.82</v>
      </c>
      <c r="AC149" s="151"/>
      <c r="AD149" s="152">
        <v>9767.9</v>
      </c>
      <c r="AE149" s="151"/>
      <c r="AF149" s="151"/>
      <c r="AG149" s="151"/>
      <c r="AH149" s="153">
        <v>2.7890000000000002E-2</v>
      </c>
      <c r="AI149" s="153">
        <v>6.6E-3</v>
      </c>
      <c r="AJ149" s="154">
        <v>9.7999999999999997E-4</v>
      </c>
      <c r="AK149" s="174"/>
    </row>
    <row r="150" spans="1:37" x14ac:dyDescent="0.2">
      <c r="A150" s="150" t="s">
        <v>1264</v>
      </c>
      <c r="B150" s="151" t="s">
        <v>1264</v>
      </c>
      <c r="C150" s="151" t="s">
        <v>1613</v>
      </c>
      <c r="D150" s="151" t="s">
        <v>1614</v>
      </c>
      <c r="E150" s="151" t="s">
        <v>420</v>
      </c>
      <c r="F150" s="151" t="s">
        <v>1615</v>
      </c>
      <c r="G150" s="151" t="s">
        <v>1616</v>
      </c>
      <c r="H150" s="151" t="s">
        <v>75</v>
      </c>
      <c r="I150" s="151" t="s">
        <v>224</v>
      </c>
      <c r="J150" s="151" t="s">
        <v>52</v>
      </c>
      <c r="K150" s="151" t="s">
        <v>52</v>
      </c>
      <c r="L150" s="151" t="s">
        <v>775</v>
      </c>
      <c r="M150" s="151" t="s">
        <v>303</v>
      </c>
      <c r="N150" s="151" t="s">
        <v>260</v>
      </c>
      <c r="O150" s="151" t="s">
        <v>61</v>
      </c>
      <c r="P150" s="151" t="s">
        <v>1384</v>
      </c>
      <c r="Q150" s="151" t="s">
        <v>64</v>
      </c>
      <c r="R150" s="151" t="s">
        <v>56</v>
      </c>
      <c r="S150" s="151" t="s">
        <v>1255</v>
      </c>
      <c r="T150" s="152">
        <v>2.37</v>
      </c>
      <c r="U150" s="151" t="s">
        <v>1617</v>
      </c>
      <c r="V150" s="153">
        <v>2.24E-2</v>
      </c>
      <c r="W150" s="153">
        <v>4.4519999999999997E-2</v>
      </c>
      <c r="X150" s="151" t="s">
        <v>607</v>
      </c>
      <c r="Y150" s="151"/>
      <c r="Z150" s="152">
        <v>10075618.42</v>
      </c>
      <c r="AA150" s="152">
        <v>1</v>
      </c>
      <c r="AB150" s="152">
        <v>96.05</v>
      </c>
      <c r="AC150" s="151"/>
      <c r="AD150" s="152">
        <v>9677.6309999999994</v>
      </c>
      <c r="AE150" s="151"/>
      <c r="AF150" s="151"/>
      <c r="AG150" s="151"/>
      <c r="AH150" s="153">
        <v>2.1049999999999999E-2</v>
      </c>
      <c r="AI150" s="153">
        <v>6.5399999999999998E-3</v>
      </c>
      <c r="AJ150" s="154">
        <v>9.7000000000000005E-4</v>
      </c>
      <c r="AK150" s="174"/>
    </row>
    <row r="151" spans="1:37" x14ac:dyDescent="0.2">
      <c r="A151" s="150" t="s">
        <v>1264</v>
      </c>
      <c r="B151" s="151" t="s">
        <v>1264</v>
      </c>
      <c r="C151" s="151" t="s">
        <v>1673</v>
      </c>
      <c r="D151" s="151" t="s">
        <v>1674</v>
      </c>
      <c r="E151" s="151" t="s">
        <v>420</v>
      </c>
      <c r="F151" s="151" t="s">
        <v>1675</v>
      </c>
      <c r="G151" s="151" t="s">
        <v>1676</v>
      </c>
      <c r="H151" s="151" t="s">
        <v>75</v>
      </c>
      <c r="I151" s="151" t="s">
        <v>225</v>
      </c>
      <c r="J151" s="151" t="s">
        <v>52</v>
      </c>
      <c r="K151" s="151" t="s">
        <v>52</v>
      </c>
      <c r="L151" s="151" t="s">
        <v>775</v>
      </c>
      <c r="M151" s="151" t="s">
        <v>303</v>
      </c>
      <c r="N151" s="151" t="s">
        <v>620</v>
      </c>
      <c r="O151" s="151" t="s">
        <v>61</v>
      </c>
      <c r="P151" s="151" t="s">
        <v>1359</v>
      </c>
      <c r="Q151" s="151" t="s">
        <v>64</v>
      </c>
      <c r="R151" s="151" t="s">
        <v>56</v>
      </c>
      <c r="S151" s="151" t="s">
        <v>1255</v>
      </c>
      <c r="T151" s="152">
        <v>1.66</v>
      </c>
      <c r="U151" s="151" t="s">
        <v>1593</v>
      </c>
      <c r="V151" s="153">
        <v>1.7999999999999999E-2</v>
      </c>
      <c r="W151" s="153">
        <v>2.172E-2</v>
      </c>
      <c r="X151" s="151" t="s">
        <v>607</v>
      </c>
      <c r="Y151" s="151"/>
      <c r="Z151" s="152">
        <v>7494878.2699999996</v>
      </c>
      <c r="AA151" s="152">
        <v>1</v>
      </c>
      <c r="AB151" s="152">
        <v>118.2</v>
      </c>
      <c r="AC151" s="151"/>
      <c r="AD151" s="152">
        <v>8858.9459999999999</v>
      </c>
      <c r="AE151" s="151"/>
      <c r="AF151" s="151"/>
      <c r="AG151" s="151"/>
      <c r="AH151" s="153">
        <v>1.086E-2</v>
      </c>
      <c r="AI151" s="153">
        <v>5.9899999999999997E-3</v>
      </c>
      <c r="AJ151" s="154">
        <v>8.8999999999999995E-4</v>
      </c>
      <c r="AK151" s="174"/>
    </row>
    <row r="152" spans="1:37" x14ac:dyDescent="0.2">
      <c r="A152" s="150" t="s">
        <v>1264</v>
      </c>
      <c r="B152" s="151" t="s">
        <v>1264</v>
      </c>
      <c r="C152" s="151" t="s">
        <v>1531</v>
      </c>
      <c r="D152" s="151" t="s">
        <v>1532</v>
      </c>
      <c r="E152" s="151" t="s">
        <v>420</v>
      </c>
      <c r="F152" s="151" t="s">
        <v>1602</v>
      </c>
      <c r="G152" s="151" t="s">
        <v>1603</v>
      </c>
      <c r="H152" s="151" t="s">
        <v>75</v>
      </c>
      <c r="I152" s="151" t="s">
        <v>225</v>
      </c>
      <c r="J152" s="151" t="s">
        <v>52</v>
      </c>
      <c r="K152" s="151" t="s">
        <v>52</v>
      </c>
      <c r="L152" s="151" t="s">
        <v>775</v>
      </c>
      <c r="M152" s="151" t="s">
        <v>303</v>
      </c>
      <c r="N152" s="151" t="s">
        <v>620</v>
      </c>
      <c r="O152" s="151" t="s">
        <v>61</v>
      </c>
      <c r="P152" s="151" t="s">
        <v>1436</v>
      </c>
      <c r="Q152" s="151" t="s">
        <v>69</v>
      </c>
      <c r="R152" s="151" t="s">
        <v>56</v>
      </c>
      <c r="S152" s="151" t="s">
        <v>1255</v>
      </c>
      <c r="T152" s="152">
        <v>1.22</v>
      </c>
      <c r="U152" s="151" t="s">
        <v>1604</v>
      </c>
      <c r="V152" s="153">
        <v>3.6999999999999998E-2</v>
      </c>
      <c r="W152" s="153">
        <v>2.1229999999999999E-2</v>
      </c>
      <c r="X152" s="151" t="s">
        <v>607</v>
      </c>
      <c r="Y152" s="151"/>
      <c r="Z152" s="152">
        <v>7027123.3200000003</v>
      </c>
      <c r="AA152" s="152">
        <v>1</v>
      </c>
      <c r="AB152" s="152">
        <v>121.32</v>
      </c>
      <c r="AC152" s="151"/>
      <c r="AD152" s="152">
        <v>8525.3060000000005</v>
      </c>
      <c r="AE152" s="151"/>
      <c r="AF152" s="151"/>
      <c r="AG152" s="151"/>
      <c r="AH152" s="153">
        <v>3.1150000000000001E-2</v>
      </c>
      <c r="AI152" s="153">
        <v>5.7600000000000004E-3</v>
      </c>
      <c r="AJ152" s="154">
        <v>8.4999999999999995E-4</v>
      </c>
      <c r="AK152" s="174"/>
    </row>
    <row r="153" spans="1:37" x14ac:dyDescent="0.2">
      <c r="A153" s="150" t="s">
        <v>1264</v>
      </c>
      <c r="B153" s="151" t="s">
        <v>1264</v>
      </c>
      <c r="C153" s="151" t="s">
        <v>1618</v>
      </c>
      <c r="D153" s="151" t="s">
        <v>1619</v>
      </c>
      <c r="E153" s="151" t="s">
        <v>420</v>
      </c>
      <c r="F153" s="151" t="s">
        <v>1620</v>
      </c>
      <c r="G153" s="151" t="s">
        <v>1621</v>
      </c>
      <c r="H153" s="151" t="s">
        <v>75</v>
      </c>
      <c r="I153" s="151" t="s">
        <v>224</v>
      </c>
      <c r="J153" s="151" t="s">
        <v>52</v>
      </c>
      <c r="K153" s="151" t="s">
        <v>52</v>
      </c>
      <c r="L153" s="151" t="s">
        <v>775</v>
      </c>
      <c r="M153" s="151" t="s">
        <v>303</v>
      </c>
      <c r="N153" s="151" t="s">
        <v>675</v>
      </c>
      <c r="O153" s="151" t="s">
        <v>61</v>
      </c>
      <c r="P153" s="151" t="s">
        <v>1473</v>
      </c>
      <c r="Q153" s="151" t="s">
        <v>64</v>
      </c>
      <c r="R153" s="151" t="s">
        <v>56</v>
      </c>
      <c r="S153" s="151" t="s">
        <v>1255</v>
      </c>
      <c r="T153" s="152">
        <v>2.59</v>
      </c>
      <c r="U153" s="151" t="s">
        <v>1622</v>
      </c>
      <c r="V153" s="153">
        <v>0.04</v>
      </c>
      <c r="W153" s="153">
        <v>4.7759999999999997E-2</v>
      </c>
      <c r="X153" s="151" t="s">
        <v>607</v>
      </c>
      <c r="Y153" s="151"/>
      <c r="Z153" s="152">
        <v>8312505.9699999997</v>
      </c>
      <c r="AA153" s="152">
        <v>1</v>
      </c>
      <c r="AB153" s="152">
        <v>99.05</v>
      </c>
      <c r="AC153" s="151"/>
      <c r="AD153" s="152">
        <v>8233.5370000000003</v>
      </c>
      <c r="AE153" s="151"/>
      <c r="AF153" s="151"/>
      <c r="AG153" s="151"/>
      <c r="AH153" s="153">
        <v>1.7180000000000001E-2</v>
      </c>
      <c r="AI153" s="153">
        <v>5.5599999999999998E-3</v>
      </c>
      <c r="AJ153" s="154">
        <v>8.1999999999999998E-4</v>
      </c>
      <c r="AK153" s="174"/>
    </row>
    <row r="154" spans="1:37" x14ac:dyDescent="0.2">
      <c r="A154" s="150" t="s">
        <v>1264</v>
      </c>
      <c r="B154" s="151" t="s">
        <v>1264</v>
      </c>
      <c r="C154" s="151" t="s">
        <v>1424</v>
      </c>
      <c r="D154" s="151" t="s">
        <v>1425</v>
      </c>
      <c r="E154" s="151" t="s">
        <v>420</v>
      </c>
      <c r="F154" s="151" t="s">
        <v>1623</v>
      </c>
      <c r="G154" s="151" t="s">
        <v>1624</v>
      </c>
      <c r="H154" s="151" t="s">
        <v>75</v>
      </c>
      <c r="I154" s="151" t="s">
        <v>225</v>
      </c>
      <c r="J154" s="151" t="s">
        <v>52</v>
      </c>
      <c r="K154" s="151" t="s">
        <v>52</v>
      </c>
      <c r="L154" s="151" t="s">
        <v>775</v>
      </c>
      <c r="M154" s="151" t="s">
        <v>303</v>
      </c>
      <c r="N154" s="151" t="s">
        <v>620</v>
      </c>
      <c r="O154" s="151" t="s">
        <v>61</v>
      </c>
      <c r="P154" s="151" t="s">
        <v>1384</v>
      </c>
      <c r="Q154" s="151" t="s">
        <v>64</v>
      </c>
      <c r="R154" s="151" t="s">
        <v>56</v>
      </c>
      <c r="S154" s="151" t="s">
        <v>1255</v>
      </c>
      <c r="T154" s="152">
        <v>1.44</v>
      </c>
      <c r="U154" s="151" t="s">
        <v>1625</v>
      </c>
      <c r="V154" s="153">
        <v>0.04</v>
      </c>
      <c r="W154" s="153">
        <v>1.9449999999999999E-2</v>
      </c>
      <c r="X154" s="151" t="s">
        <v>607</v>
      </c>
      <c r="Y154" s="151"/>
      <c r="Z154" s="152">
        <v>6696438.5300000003</v>
      </c>
      <c r="AA154" s="152">
        <v>1</v>
      </c>
      <c r="AB154" s="152">
        <v>122.19</v>
      </c>
      <c r="AC154" s="151"/>
      <c r="AD154" s="152">
        <v>8182.3779999999997</v>
      </c>
      <c r="AE154" s="151"/>
      <c r="AF154" s="151"/>
      <c r="AG154" s="151"/>
      <c r="AH154" s="153">
        <v>1.1129999999999999E-2</v>
      </c>
      <c r="AI154" s="153">
        <v>5.5300000000000002E-3</v>
      </c>
      <c r="AJ154" s="154">
        <v>8.1999999999999998E-4</v>
      </c>
      <c r="AK154" s="174"/>
    </row>
    <row r="155" spans="1:37" x14ac:dyDescent="0.2">
      <c r="A155" s="150" t="s">
        <v>1264</v>
      </c>
      <c r="B155" s="151" t="s">
        <v>1264</v>
      </c>
      <c r="C155" s="151" t="s">
        <v>1361</v>
      </c>
      <c r="D155" s="151" t="s">
        <v>1362</v>
      </c>
      <c r="E155" s="151" t="s">
        <v>420</v>
      </c>
      <c r="F155" s="151" t="s">
        <v>1626</v>
      </c>
      <c r="G155" s="151" t="s">
        <v>1627</v>
      </c>
      <c r="H155" s="151" t="s">
        <v>75</v>
      </c>
      <c r="I155" s="151" t="s">
        <v>225</v>
      </c>
      <c r="J155" s="151" t="s">
        <v>52</v>
      </c>
      <c r="K155" s="151" t="s">
        <v>52</v>
      </c>
      <c r="L155" s="151" t="s">
        <v>775</v>
      </c>
      <c r="M155" s="151" t="s">
        <v>303</v>
      </c>
      <c r="N155" s="151" t="s">
        <v>620</v>
      </c>
      <c r="O155" s="151" t="s">
        <v>61</v>
      </c>
      <c r="P155" s="151" t="s">
        <v>1371</v>
      </c>
      <c r="Q155" s="151" t="s">
        <v>64</v>
      </c>
      <c r="R155" s="151" t="s">
        <v>56</v>
      </c>
      <c r="S155" s="151" t="s">
        <v>1255</v>
      </c>
      <c r="T155" s="152">
        <v>5.86</v>
      </c>
      <c r="U155" s="151" t="s">
        <v>1374</v>
      </c>
      <c r="V155" s="153">
        <v>2.5600000000000001E-2</v>
      </c>
      <c r="W155" s="153">
        <v>3.0099999999999998E-2</v>
      </c>
      <c r="X155" s="151" t="s">
        <v>607</v>
      </c>
      <c r="Y155" s="151"/>
      <c r="Z155" s="152">
        <v>7600000</v>
      </c>
      <c r="AA155" s="152">
        <v>1</v>
      </c>
      <c r="AB155" s="152">
        <v>107.35</v>
      </c>
      <c r="AC155" s="151"/>
      <c r="AD155" s="152">
        <v>8158.6</v>
      </c>
      <c r="AE155" s="151"/>
      <c r="AF155" s="151"/>
      <c r="AG155" s="151"/>
      <c r="AH155" s="153">
        <v>7.2300000000000003E-3</v>
      </c>
      <c r="AI155" s="153">
        <v>5.5100000000000001E-3</v>
      </c>
      <c r="AJ155" s="154">
        <v>8.1999999999999998E-4</v>
      </c>
      <c r="AK155" s="174"/>
    </row>
    <row r="156" spans="1:37" x14ac:dyDescent="0.2">
      <c r="A156" s="150" t="s">
        <v>1264</v>
      </c>
      <c r="B156" s="151" t="s">
        <v>1264</v>
      </c>
      <c r="C156" s="151" t="s">
        <v>1652</v>
      </c>
      <c r="D156" s="151" t="s">
        <v>1653</v>
      </c>
      <c r="E156" s="151" t="s">
        <v>420</v>
      </c>
      <c r="F156" s="151" t="s">
        <v>1712</v>
      </c>
      <c r="G156" s="151" t="s">
        <v>1713</v>
      </c>
      <c r="H156" s="151" t="s">
        <v>75</v>
      </c>
      <c r="I156" s="151" t="s">
        <v>225</v>
      </c>
      <c r="J156" s="151" t="s">
        <v>52</v>
      </c>
      <c r="K156" s="151" t="s">
        <v>52</v>
      </c>
      <c r="L156" s="151" t="s">
        <v>775</v>
      </c>
      <c r="M156" s="151" t="s">
        <v>303</v>
      </c>
      <c r="N156" s="151" t="s">
        <v>620</v>
      </c>
      <c r="O156" s="151" t="s">
        <v>61</v>
      </c>
      <c r="P156" s="151" t="s">
        <v>1384</v>
      </c>
      <c r="Q156" s="151" t="s">
        <v>64</v>
      </c>
      <c r="R156" s="151" t="s">
        <v>56</v>
      </c>
      <c r="S156" s="151" t="s">
        <v>1255</v>
      </c>
      <c r="T156" s="152">
        <v>3.73</v>
      </c>
      <c r="U156" s="151" t="s">
        <v>1598</v>
      </c>
      <c r="V156" s="153">
        <v>5.8999999999999999E-3</v>
      </c>
      <c r="W156" s="153">
        <v>2.7119999999999998E-2</v>
      </c>
      <c r="X156" s="151" t="s">
        <v>607</v>
      </c>
      <c r="Y156" s="151"/>
      <c r="Z156" s="152">
        <v>7614000</v>
      </c>
      <c r="AA156" s="152">
        <v>1</v>
      </c>
      <c r="AB156" s="152">
        <v>105.93</v>
      </c>
      <c r="AC156" s="151"/>
      <c r="AD156" s="152">
        <v>8065.51</v>
      </c>
      <c r="AE156" s="151"/>
      <c r="AF156" s="151"/>
      <c r="AG156" s="151"/>
      <c r="AH156" s="153">
        <v>5.4400000000000004E-3</v>
      </c>
      <c r="AI156" s="153">
        <v>5.45E-3</v>
      </c>
      <c r="AJ156" s="154">
        <v>8.0999999999999996E-4</v>
      </c>
      <c r="AK156" s="174"/>
    </row>
    <row r="157" spans="1:37" x14ac:dyDescent="0.2">
      <c r="A157" s="150" t="s">
        <v>1264</v>
      </c>
      <c r="B157" s="151" t="s">
        <v>1264</v>
      </c>
      <c r="C157" s="151" t="s">
        <v>1642</v>
      </c>
      <c r="D157" s="151" t="s">
        <v>1643</v>
      </c>
      <c r="E157" s="151" t="s">
        <v>420</v>
      </c>
      <c r="F157" s="151" t="s">
        <v>1644</v>
      </c>
      <c r="G157" s="151" t="s">
        <v>1645</v>
      </c>
      <c r="H157" s="151" t="s">
        <v>75</v>
      </c>
      <c r="I157" s="151" t="s">
        <v>224</v>
      </c>
      <c r="J157" s="151" t="s">
        <v>52</v>
      </c>
      <c r="K157" s="151" t="s">
        <v>52</v>
      </c>
      <c r="L157" s="151" t="s">
        <v>775</v>
      </c>
      <c r="M157" s="151" t="s">
        <v>303</v>
      </c>
      <c r="N157" s="151" t="s">
        <v>154</v>
      </c>
      <c r="O157" s="151" t="s">
        <v>61</v>
      </c>
      <c r="P157" s="151" t="s">
        <v>1473</v>
      </c>
      <c r="Q157" s="151" t="s">
        <v>64</v>
      </c>
      <c r="R157" s="151" t="s">
        <v>56</v>
      </c>
      <c r="S157" s="151" t="s">
        <v>1255</v>
      </c>
      <c r="T157" s="152">
        <v>2.64</v>
      </c>
      <c r="U157" s="151" t="s">
        <v>1646</v>
      </c>
      <c r="V157" s="153">
        <v>2.5000000000000001E-2</v>
      </c>
      <c r="W157" s="153">
        <v>4.6649999999999997E-2</v>
      </c>
      <c r="X157" s="151" t="s">
        <v>607</v>
      </c>
      <c r="Y157" s="151"/>
      <c r="Z157" s="152">
        <v>8299333.0999999996</v>
      </c>
      <c r="AA157" s="152">
        <v>1</v>
      </c>
      <c r="AB157" s="152">
        <v>94.83</v>
      </c>
      <c r="AC157" s="151"/>
      <c r="AD157" s="152">
        <v>7870.2579999999998</v>
      </c>
      <c r="AE157" s="151"/>
      <c r="AF157" s="151"/>
      <c r="AG157" s="151"/>
      <c r="AH157" s="153">
        <v>1.3939999999999999E-2</v>
      </c>
      <c r="AI157" s="153">
        <v>5.3200000000000001E-3</v>
      </c>
      <c r="AJ157" s="154">
        <v>7.9000000000000001E-4</v>
      </c>
      <c r="AK157" s="174"/>
    </row>
    <row r="158" spans="1:37" x14ac:dyDescent="0.2">
      <c r="A158" s="150" t="s">
        <v>1264</v>
      </c>
      <c r="B158" s="151" t="s">
        <v>1264</v>
      </c>
      <c r="C158" s="151" t="s">
        <v>1628</v>
      </c>
      <c r="D158" s="151" t="s">
        <v>1629</v>
      </c>
      <c r="E158" s="151" t="s">
        <v>420</v>
      </c>
      <c r="F158" s="151" t="s">
        <v>1630</v>
      </c>
      <c r="G158" s="151" t="s">
        <v>1631</v>
      </c>
      <c r="H158" s="151" t="s">
        <v>75</v>
      </c>
      <c r="I158" s="151" t="s">
        <v>224</v>
      </c>
      <c r="J158" s="151" t="s">
        <v>52</v>
      </c>
      <c r="K158" s="151" t="s">
        <v>52</v>
      </c>
      <c r="L158" s="151" t="s">
        <v>775</v>
      </c>
      <c r="M158" s="151" t="s">
        <v>303</v>
      </c>
      <c r="N158" s="151" t="s">
        <v>253</v>
      </c>
      <c r="O158" s="151" t="s">
        <v>61</v>
      </c>
      <c r="P158" s="151" t="s">
        <v>1371</v>
      </c>
      <c r="Q158" s="151" t="s">
        <v>64</v>
      </c>
      <c r="R158" s="151" t="s">
        <v>56</v>
      </c>
      <c r="S158" s="151" t="s">
        <v>1255</v>
      </c>
      <c r="T158" s="152">
        <v>1.25</v>
      </c>
      <c r="U158" s="151" t="s">
        <v>1632</v>
      </c>
      <c r="V158" s="153">
        <v>2.5000000000000001E-2</v>
      </c>
      <c r="W158" s="153">
        <v>4.5030000000000001E-2</v>
      </c>
      <c r="X158" s="151" t="s">
        <v>607</v>
      </c>
      <c r="Y158" s="151"/>
      <c r="Z158" s="152">
        <v>7999999.7000000002</v>
      </c>
      <c r="AA158" s="152">
        <v>1</v>
      </c>
      <c r="AB158" s="152">
        <v>98.18</v>
      </c>
      <c r="AC158" s="151"/>
      <c r="AD158" s="152">
        <v>7854.4</v>
      </c>
      <c r="AE158" s="151"/>
      <c r="AF158" s="151"/>
      <c r="AG158" s="151"/>
      <c r="AH158" s="153">
        <v>1.504E-2</v>
      </c>
      <c r="AI158" s="153">
        <v>5.3099999999999996E-3</v>
      </c>
      <c r="AJ158" s="154">
        <v>7.9000000000000001E-4</v>
      </c>
      <c r="AK158" s="174"/>
    </row>
    <row r="159" spans="1:37" x14ac:dyDescent="0.2">
      <c r="A159" s="150" t="s">
        <v>1264</v>
      </c>
      <c r="B159" s="151" t="s">
        <v>1264</v>
      </c>
      <c r="C159" s="151" t="s">
        <v>1652</v>
      </c>
      <c r="D159" s="151" t="s">
        <v>1653</v>
      </c>
      <c r="E159" s="151" t="s">
        <v>420</v>
      </c>
      <c r="F159" s="151" t="s">
        <v>1654</v>
      </c>
      <c r="G159" s="151" t="s">
        <v>1655</v>
      </c>
      <c r="H159" s="151" t="s">
        <v>75</v>
      </c>
      <c r="I159" s="151" t="s">
        <v>225</v>
      </c>
      <c r="J159" s="151" t="s">
        <v>52</v>
      </c>
      <c r="K159" s="151" t="s">
        <v>52</v>
      </c>
      <c r="L159" s="151" t="s">
        <v>775</v>
      </c>
      <c r="M159" s="151" t="s">
        <v>303</v>
      </c>
      <c r="N159" s="151" t="s">
        <v>620</v>
      </c>
      <c r="O159" s="151" t="s">
        <v>61</v>
      </c>
      <c r="P159" s="151" t="s">
        <v>1384</v>
      </c>
      <c r="Q159" s="151" t="s">
        <v>64</v>
      </c>
      <c r="R159" s="151" t="s">
        <v>56</v>
      </c>
      <c r="S159" s="151" t="s">
        <v>1255</v>
      </c>
      <c r="T159" s="152">
        <v>3.26</v>
      </c>
      <c r="U159" s="151" t="s">
        <v>1656</v>
      </c>
      <c r="V159" s="153">
        <v>5.0000000000000001E-3</v>
      </c>
      <c r="W159" s="153">
        <v>2.6769999999999999E-2</v>
      </c>
      <c r="X159" s="151" t="s">
        <v>607</v>
      </c>
      <c r="Y159" s="151"/>
      <c r="Z159" s="152">
        <v>7040000.6200000001</v>
      </c>
      <c r="AA159" s="152">
        <v>1</v>
      </c>
      <c r="AB159" s="152">
        <v>109.65</v>
      </c>
      <c r="AC159" s="151"/>
      <c r="AD159" s="152">
        <v>7719.3609999999999</v>
      </c>
      <c r="AE159" s="151"/>
      <c r="AF159" s="151"/>
      <c r="AG159" s="151"/>
      <c r="AH159" s="153">
        <v>5.2700000000000004E-3</v>
      </c>
      <c r="AI159" s="153">
        <v>5.2199999999999998E-3</v>
      </c>
      <c r="AJ159" s="154">
        <v>7.6999999999999996E-4</v>
      </c>
      <c r="AK159" s="174"/>
    </row>
    <row r="160" spans="1:37" x14ac:dyDescent="0.2">
      <c r="A160" s="150" t="s">
        <v>1264</v>
      </c>
      <c r="B160" s="151" t="s">
        <v>1264</v>
      </c>
      <c r="C160" s="151" t="s">
        <v>1647</v>
      </c>
      <c r="D160" s="151" t="s">
        <v>1648</v>
      </c>
      <c r="E160" s="151" t="s">
        <v>420</v>
      </c>
      <c r="F160" s="151" t="s">
        <v>1649</v>
      </c>
      <c r="G160" s="151" t="s">
        <v>1650</v>
      </c>
      <c r="H160" s="151" t="s">
        <v>75</v>
      </c>
      <c r="I160" s="151" t="s">
        <v>224</v>
      </c>
      <c r="J160" s="151" t="s">
        <v>52</v>
      </c>
      <c r="K160" s="151" t="s">
        <v>52</v>
      </c>
      <c r="L160" s="151" t="s">
        <v>775</v>
      </c>
      <c r="M160" s="151" t="s">
        <v>303</v>
      </c>
      <c r="N160" s="151" t="s">
        <v>74</v>
      </c>
      <c r="O160" s="151" t="s">
        <v>61</v>
      </c>
      <c r="P160" s="151" t="s">
        <v>1371</v>
      </c>
      <c r="Q160" s="151" t="s">
        <v>64</v>
      </c>
      <c r="R160" s="151" t="s">
        <v>56</v>
      </c>
      <c r="S160" s="151" t="s">
        <v>1255</v>
      </c>
      <c r="T160" s="152">
        <v>1.35</v>
      </c>
      <c r="U160" s="151" t="s">
        <v>1651</v>
      </c>
      <c r="V160" s="153">
        <v>2.1499999999999998E-2</v>
      </c>
      <c r="W160" s="153">
        <v>4.7570000000000001E-2</v>
      </c>
      <c r="X160" s="151" t="s">
        <v>607</v>
      </c>
      <c r="Y160" s="151"/>
      <c r="Z160" s="152">
        <v>6922621.3799999999</v>
      </c>
      <c r="AA160" s="152">
        <v>1</v>
      </c>
      <c r="AB160" s="152">
        <v>96.67</v>
      </c>
      <c r="AC160" s="152">
        <v>731.10799999999995</v>
      </c>
      <c r="AD160" s="152">
        <v>7423.2070000000003</v>
      </c>
      <c r="AE160" s="151"/>
      <c r="AF160" s="151"/>
      <c r="AG160" s="151"/>
      <c r="AH160" s="153">
        <v>1.2749999999999999E-2</v>
      </c>
      <c r="AI160" s="153">
        <v>5.5100000000000001E-3</v>
      </c>
      <c r="AJ160" s="154">
        <v>8.1999999999999998E-4</v>
      </c>
      <c r="AK160" s="174"/>
    </row>
    <row r="161" spans="1:37" x14ac:dyDescent="0.2">
      <c r="A161" s="150" t="s">
        <v>1264</v>
      </c>
      <c r="B161" s="151" t="s">
        <v>1264</v>
      </c>
      <c r="C161" s="151" t="s">
        <v>1633</v>
      </c>
      <c r="D161" s="151" t="s">
        <v>1634</v>
      </c>
      <c r="E161" s="151" t="s">
        <v>420</v>
      </c>
      <c r="F161" s="151" t="s">
        <v>1635</v>
      </c>
      <c r="G161" s="151" t="s">
        <v>1636</v>
      </c>
      <c r="H161" s="151" t="s">
        <v>75</v>
      </c>
      <c r="I161" s="151" t="s">
        <v>225</v>
      </c>
      <c r="J161" s="151" t="s">
        <v>52</v>
      </c>
      <c r="K161" s="151" t="s">
        <v>52</v>
      </c>
      <c r="L161" s="151" t="s">
        <v>775</v>
      </c>
      <c r="M161" s="151" t="s">
        <v>303</v>
      </c>
      <c r="N161" s="151" t="s">
        <v>620</v>
      </c>
      <c r="O161" s="151" t="s">
        <v>61</v>
      </c>
      <c r="P161" s="151" t="s">
        <v>1384</v>
      </c>
      <c r="Q161" s="151" t="s">
        <v>64</v>
      </c>
      <c r="R161" s="151" t="s">
        <v>56</v>
      </c>
      <c r="S161" s="151" t="s">
        <v>1255</v>
      </c>
      <c r="T161" s="152">
        <v>1.88</v>
      </c>
      <c r="U161" s="151" t="s">
        <v>1637</v>
      </c>
      <c r="V161" s="153">
        <v>2.3400000000000001E-2</v>
      </c>
      <c r="W161" s="153">
        <v>2.3029999999999998E-2</v>
      </c>
      <c r="X161" s="151" t="s">
        <v>607</v>
      </c>
      <c r="Y161" s="151"/>
      <c r="Z161" s="152">
        <v>6200854.4400000004</v>
      </c>
      <c r="AA161" s="152">
        <v>1</v>
      </c>
      <c r="AB161" s="152">
        <v>117.91</v>
      </c>
      <c r="AC161" s="151"/>
      <c r="AD161" s="152">
        <v>7311.4269999999997</v>
      </c>
      <c r="AE161" s="151"/>
      <c r="AF161" s="151"/>
      <c r="AG161" s="151"/>
      <c r="AH161" s="153">
        <v>5.3899999999999998E-3</v>
      </c>
      <c r="AI161" s="153">
        <v>4.9399999999999999E-3</v>
      </c>
      <c r="AJ161" s="154">
        <v>7.2999999999999996E-4</v>
      </c>
      <c r="AK161" s="174"/>
    </row>
    <row r="162" spans="1:37" x14ac:dyDescent="0.2">
      <c r="A162" s="150" t="s">
        <v>1264</v>
      </c>
      <c r="B162" s="151" t="s">
        <v>1264</v>
      </c>
      <c r="C162" s="151" t="s">
        <v>1415</v>
      </c>
      <c r="D162" s="151" t="s">
        <v>1416</v>
      </c>
      <c r="E162" s="151" t="s">
        <v>420</v>
      </c>
      <c r="F162" s="151" t="s">
        <v>1663</v>
      </c>
      <c r="G162" s="151" t="s">
        <v>1664</v>
      </c>
      <c r="H162" s="151" t="s">
        <v>75</v>
      </c>
      <c r="I162" s="151" t="s">
        <v>225</v>
      </c>
      <c r="J162" s="151" t="s">
        <v>52</v>
      </c>
      <c r="K162" s="151" t="s">
        <v>52</v>
      </c>
      <c r="L162" s="151" t="s">
        <v>775</v>
      </c>
      <c r="M162" s="151" t="s">
        <v>303</v>
      </c>
      <c r="N162" s="151" t="s">
        <v>251</v>
      </c>
      <c r="O162" s="151" t="s">
        <v>61</v>
      </c>
      <c r="P162" s="151" t="s">
        <v>1419</v>
      </c>
      <c r="Q162" s="151" t="s">
        <v>64</v>
      </c>
      <c r="R162" s="151" t="s">
        <v>56</v>
      </c>
      <c r="S162" s="151" t="s">
        <v>1255</v>
      </c>
      <c r="T162" s="152">
        <v>3.52</v>
      </c>
      <c r="U162" s="151" t="s">
        <v>1665</v>
      </c>
      <c r="V162" s="153">
        <v>1.3899999999999999E-2</v>
      </c>
      <c r="W162" s="153">
        <v>2.4279999999999999E-2</v>
      </c>
      <c r="X162" s="151" t="s">
        <v>607</v>
      </c>
      <c r="Y162" s="151"/>
      <c r="Z162" s="152">
        <v>6510000.0800000001</v>
      </c>
      <c r="AA162" s="152">
        <v>1</v>
      </c>
      <c r="AB162" s="152">
        <v>106.02</v>
      </c>
      <c r="AC162" s="151"/>
      <c r="AD162" s="152">
        <v>6901.902</v>
      </c>
      <c r="AE162" s="151"/>
      <c r="AF162" s="151"/>
      <c r="AG162" s="151"/>
      <c r="AH162" s="153">
        <v>2.0999999999999999E-3</v>
      </c>
      <c r="AI162" s="153">
        <v>4.6600000000000001E-3</v>
      </c>
      <c r="AJ162" s="154">
        <v>6.8999999999999997E-4</v>
      </c>
      <c r="AK162" s="174"/>
    </row>
    <row r="163" spans="1:37" x14ac:dyDescent="0.2">
      <c r="A163" s="150" t="s">
        <v>1264</v>
      </c>
      <c r="B163" s="151" t="s">
        <v>1264</v>
      </c>
      <c r="C163" s="151" t="s">
        <v>1459</v>
      </c>
      <c r="D163" s="151" t="s">
        <v>1460</v>
      </c>
      <c r="E163" s="151" t="s">
        <v>420</v>
      </c>
      <c r="F163" s="151" t="s">
        <v>1657</v>
      </c>
      <c r="G163" s="151" t="s">
        <v>1658</v>
      </c>
      <c r="H163" s="151" t="s">
        <v>75</v>
      </c>
      <c r="I163" s="151" t="s">
        <v>225</v>
      </c>
      <c r="J163" s="151" t="s">
        <v>52</v>
      </c>
      <c r="K163" s="151" t="s">
        <v>52</v>
      </c>
      <c r="L163" s="151" t="s">
        <v>775</v>
      </c>
      <c r="M163" s="151" t="s">
        <v>303</v>
      </c>
      <c r="N163" s="151" t="s">
        <v>154</v>
      </c>
      <c r="O163" s="151" t="s">
        <v>61</v>
      </c>
      <c r="P163" s="151" t="s">
        <v>1254</v>
      </c>
      <c r="Q163" s="151" t="s">
        <v>69</v>
      </c>
      <c r="R163" s="151" t="s">
        <v>56</v>
      </c>
      <c r="S163" s="151" t="s">
        <v>1255</v>
      </c>
      <c r="T163" s="152">
        <v>4.4800000000000004</v>
      </c>
      <c r="U163" s="151" t="s">
        <v>1428</v>
      </c>
      <c r="V163" s="153">
        <v>2.3900000000000001E-2</v>
      </c>
      <c r="W163" s="153">
        <v>2.5520000000000001E-2</v>
      </c>
      <c r="X163" s="151" t="s">
        <v>607</v>
      </c>
      <c r="Y163" s="151"/>
      <c r="Z163" s="152">
        <v>5800000</v>
      </c>
      <c r="AA163" s="152">
        <v>1</v>
      </c>
      <c r="AB163" s="152">
        <v>116.8</v>
      </c>
      <c r="AC163" s="151"/>
      <c r="AD163" s="152">
        <v>6774.4</v>
      </c>
      <c r="AE163" s="151"/>
      <c r="AF163" s="151"/>
      <c r="AG163" s="151"/>
      <c r="AH163" s="153">
        <v>1.49E-3</v>
      </c>
      <c r="AI163" s="153">
        <v>4.5799999999999999E-3</v>
      </c>
      <c r="AJ163" s="154">
        <v>6.8000000000000005E-4</v>
      </c>
      <c r="AK163" s="174"/>
    </row>
    <row r="164" spans="1:37" x14ac:dyDescent="0.2">
      <c r="A164" s="150" t="s">
        <v>1264</v>
      </c>
      <c r="B164" s="151" t="s">
        <v>1264</v>
      </c>
      <c r="C164" s="151" t="s">
        <v>1543</v>
      </c>
      <c r="D164" s="151" t="s">
        <v>1544</v>
      </c>
      <c r="E164" s="151" t="s">
        <v>420</v>
      </c>
      <c r="F164" s="151" t="s">
        <v>1666</v>
      </c>
      <c r="G164" s="151" t="s">
        <v>1667</v>
      </c>
      <c r="H164" s="151" t="s">
        <v>75</v>
      </c>
      <c r="I164" s="151" t="s">
        <v>225</v>
      </c>
      <c r="J164" s="151" t="s">
        <v>52</v>
      </c>
      <c r="K164" s="151" t="s">
        <v>52</v>
      </c>
      <c r="L164" s="151" t="s">
        <v>775</v>
      </c>
      <c r="M164" s="151" t="s">
        <v>303</v>
      </c>
      <c r="N164" s="151" t="s">
        <v>620</v>
      </c>
      <c r="O164" s="151" t="s">
        <v>61</v>
      </c>
      <c r="P164" s="151" t="s">
        <v>1384</v>
      </c>
      <c r="Q164" s="151" t="s">
        <v>64</v>
      </c>
      <c r="R164" s="151" t="s">
        <v>56</v>
      </c>
      <c r="S164" s="151" t="s">
        <v>1255</v>
      </c>
      <c r="T164" s="152">
        <v>1.22</v>
      </c>
      <c r="U164" s="151" t="s">
        <v>1668</v>
      </c>
      <c r="V164" s="153">
        <v>3.2000000000000001E-2</v>
      </c>
      <c r="W164" s="153">
        <v>2.1700000000000001E-2</v>
      </c>
      <c r="X164" s="151" t="s">
        <v>607</v>
      </c>
      <c r="Y164" s="151"/>
      <c r="Z164" s="152">
        <v>5265000</v>
      </c>
      <c r="AA164" s="152">
        <v>1</v>
      </c>
      <c r="AB164" s="152">
        <v>121.87</v>
      </c>
      <c r="AC164" s="151"/>
      <c r="AD164" s="152">
        <v>6416.4560000000001</v>
      </c>
      <c r="AE164" s="151"/>
      <c r="AF164" s="151"/>
      <c r="AG164" s="151"/>
      <c r="AH164" s="153">
        <v>1.2710000000000001E-2</v>
      </c>
      <c r="AI164" s="153">
        <v>4.3400000000000001E-3</v>
      </c>
      <c r="AJ164" s="154">
        <v>6.4000000000000005E-4</v>
      </c>
      <c r="AK164" s="174"/>
    </row>
    <row r="165" spans="1:37" x14ac:dyDescent="0.2">
      <c r="A165" s="150" t="s">
        <v>1264</v>
      </c>
      <c r="B165" s="151" t="s">
        <v>1264</v>
      </c>
      <c r="C165" s="151" t="s">
        <v>1669</v>
      </c>
      <c r="D165" s="151" t="s">
        <v>1670</v>
      </c>
      <c r="E165" s="151" t="s">
        <v>420</v>
      </c>
      <c r="F165" s="151" t="s">
        <v>1671</v>
      </c>
      <c r="G165" s="151" t="s">
        <v>1672</v>
      </c>
      <c r="H165" s="151" t="s">
        <v>75</v>
      </c>
      <c r="I165" s="151" t="s">
        <v>224</v>
      </c>
      <c r="J165" s="151" t="s">
        <v>52</v>
      </c>
      <c r="K165" s="151" t="s">
        <v>52</v>
      </c>
      <c r="L165" s="151" t="s">
        <v>775</v>
      </c>
      <c r="M165" s="151" t="s">
        <v>303</v>
      </c>
      <c r="N165" s="151" t="s">
        <v>262</v>
      </c>
      <c r="O165" s="151" t="s">
        <v>61</v>
      </c>
      <c r="P165" s="151" t="s">
        <v>1436</v>
      </c>
      <c r="Q165" s="151" t="s">
        <v>69</v>
      </c>
      <c r="R165" s="151" t="s">
        <v>56</v>
      </c>
      <c r="S165" s="151" t="s">
        <v>1255</v>
      </c>
      <c r="T165" s="152">
        <v>2.94</v>
      </c>
      <c r="U165" s="151" t="s">
        <v>1530</v>
      </c>
      <c r="V165" s="153">
        <v>2.6200000000000001E-2</v>
      </c>
      <c r="W165" s="153">
        <v>4.4420000000000001E-2</v>
      </c>
      <c r="X165" s="151" t="s">
        <v>607</v>
      </c>
      <c r="Y165" s="151"/>
      <c r="Z165" s="152">
        <v>6500000</v>
      </c>
      <c r="AA165" s="152">
        <v>1</v>
      </c>
      <c r="AB165" s="152">
        <v>96.03</v>
      </c>
      <c r="AC165" s="151"/>
      <c r="AD165" s="152">
        <v>6241.95</v>
      </c>
      <c r="AE165" s="151"/>
      <c r="AF165" s="151"/>
      <c r="AG165" s="151"/>
      <c r="AH165" s="153">
        <v>5.0299999999999997E-3</v>
      </c>
      <c r="AI165" s="153">
        <v>4.2199999999999998E-3</v>
      </c>
      <c r="AJ165" s="154">
        <v>6.3000000000000003E-4</v>
      </c>
      <c r="AK165" s="174"/>
    </row>
    <row r="166" spans="1:37" x14ac:dyDescent="0.2">
      <c r="A166" s="150" t="s">
        <v>1264</v>
      </c>
      <c r="B166" s="151" t="s">
        <v>1264</v>
      </c>
      <c r="C166" s="151" t="s">
        <v>1659</v>
      </c>
      <c r="D166" s="151" t="s">
        <v>1660</v>
      </c>
      <c r="E166" s="151" t="s">
        <v>420</v>
      </c>
      <c r="F166" s="151" t="s">
        <v>1661</v>
      </c>
      <c r="G166" s="151" t="s">
        <v>1662</v>
      </c>
      <c r="H166" s="151" t="s">
        <v>75</v>
      </c>
      <c r="I166" s="151" t="s">
        <v>225</v>
      </c>
      <c r="J166" s="151" t="s">
        <v>52</v>
      </c>
      <c r="K166" s="151" t="s">
        <v>52</v>
      </c>
      <c r="L166" s="151" t="s">
        <v>775</v>
      </c>
      <c r="M166" s="151" t="s">
        <v>303</v>
      </c>
      <c r="N166" s="151" t="s">
        <v>620</v>
      </c>
      <c r="O166" s="151" t="s">
        <v>61</v>
      </c>
      <c r="P166" s="151" t="s">
        <v>1503</v>
      </c>
      <c r="Q166" s="151" t="s">
        <v>69</v>
      </c>
      <c r="R166" s="151" t="s">
        <v>56</v>
      </c>
      <c r="S166" s="151" t="s">
        <v>1255</v>
      </c>
      <c r="T166" s="152">
        <v>0.74</v>
      </c>
      <c r="U166" s="151" t="s">
        <v>1540</v>
      </c>
      <c r="V166" s="153">
        <v>2.8500000000000001E-2</v>
      </c>
      <c r="W166" s="153">
        <v>2.5360000000000001E-2</v>
      </c>
      <c r="X166" s="151" t="s">
        <v>607</v>
      </c>
      <c r="Y166" s="151"/>
      <c r="Z166" s="152">
        <v>5219000.26</v>
      </c>
      <c r="AA166" s="152">
        <v>1</v>
      </c>
      <c r="AB166" s="152">
        <v>118.97</v>
      </c>
      <c r="AC166" s="151"/>
      <c r="AD166" s="152">
        <v>6209.0450000000001</v>
      </c>
      <c r="AE166" s="151"/>
      <c r="AF166" s="151"/>
      <c r="AG166" s="151"/>
      <c r="AH166" s="153">
        <v>5.4620000000000002E-2</v>
      </c>
      <c r="AI166" s="153">
        <v>4.1999999999999997E-3</v>
      </c>
      <c r="AJ166" s="154">
        <v>6.2E-4</v>
      </c>
      <c r="AK166" s="174"/>
    </row>
    <row r="167" spans="1:37" x14ac:dyDescent="0.2">
      <c r="A167" s="150" t="s">
        <v>1264</v>
      </c>
      <c r="B167" s="151" t="s">
        <v>1264</v>
      </c>
      <c r="C167" s="151" t="s">
        <v>1714</v>
      </c>
      <c r="D167" s="151" t="s">
        <v>1715</v>
      </c>
      <c r="E167" s="151" t="s">
        <v>420</v>
      </c>
      <c r="F167" s="151" t="s">
        <v>1716</v>
      </c>
      <c r="G167" s="151" t="s">
        <v>1717</v>
      </c>
      <c r="H167" s="151" t="s">
        <v>75</v>
      </c>
      <c r="I167" s="151" t="s">
        <v>224</v>
      </c>
      <c r="J167" s="151" t="s">
        <v>52</v>
      </c>
      <c r="K167" s="151" t="s">
        <v>52</v>
      </c>
      <c r="L167" s="151" t="s">
        <v>775</v>
      </c>
      <c r="M167" s="151" t="s">
        <v>303</v>
      </c>
      <c r="N167" s="151" t="s">
        <v>74</v>
      </c>
      <c r="O167" s="151" t="s">
        <v>61</v>
      </c>
      <c r="P167" s="151" t="s">
        <v>1371</v>
      </c>
      <c r="Q167" s="151" t="s">
        <v>64</v>
      </c>
      <c r="R167" s="151" t="s">
        <v>56</v>
      </c>
      <c r="S167" s="151" t="s">
        <v>1255</v>
      </c>
      <c r="T167" s="152">
        <v>1.44</v>
      </c>
      <c r="U167" s="151" t="s">
        <v>1718</v>
      </c>
      <c r="V167" s="153">
        <v>2.18E-2</v>
      </c>
      <c r="W167" s="153">
        <v>4.8410000000000002E-2</v>
      </c>
      <c r="X167" s="151" t="s">
        <v>607</v>
      </c>
      <c r="Y167" s="151"/>
      <c r="Z167" s="152">
        <v>6352940.7999999998</v>
      </c>
      <c r="AA167" s="152">
        <v>1</v>
      </c>
      <c r="AB167" s="152">
        <v>96.67</v>
      </c>
      <c r="AC167" s="151"/>
      <c r="AD167" s="152">
        <v>6141.3879999999999</v>
      </c>
      <c r="AE167" s="151"/>
      <c r="AF167" s="151"/>
      <c r="AG167" s="151"/>
      <c r="AH167" s="153">
        <v>2.7820000000000001E-2</v>
      </c>
      <c r="AI167" s="153">
        <v>4.15E-3</v>
      </c>
      <c r="AJ167" s="154">
        <v>6.2E-4</v>
      </c>
      <c r="AK167" s="174"/>
    </row>
    <row r="168" spans="1:37" x14ac:dyDescent="0.2">
      <c r="A168" s="150" t="s">
        <v>1264</v>
      </c>
      <c r="B168" s="151" t="s">
        <v>1264</v>
      </c>
      <c r="C168" s="151" t="s">
        <v>1459</v>
      </c>
      <c r="D168" s="151" t="s">
        <v>1460</v>
      </c>
      <c r="E168" s="151" t="s">
        <v>420</v>
      </c>
      <c r="F168" s="151" t="s">
        <v>1638</v>
      </c>
      <c r="G168" s="151" t="s">
        <v>1639</v>
      </c>
      <c r="H168" s="151" t="s">
        <v>75</v>
      </c>
      <c r="I168" s="151" t="s">
        <v>226</v>
      </c>
      <c r="J168" s="151" t="s">
        <v>52</v>
      </c>
      <c r="K168" s="151" t="s">
        <v>52</v>
      </c>
      <c r="L168" s="151" t="s">
        <v>775</v>
      </c>
      <c r="M168" s="151" t="s">
        <v>463</v>
      </c>
      <c r="N168" s="151" t="s">
        <v>154</v>
      </c>
      <c r="O168" s="151" t="s">
        <v>61</v>
      </c>
      <c r="P168" s="151" t="s">
        <v>1640</v>
      </c>
      <c r="Q168" s="151" t="s">
        <v>83</v>
      </c>
      <c r="R168" s="151" t="s">
        <v>56</v>
      </c>
      <c r="S168" s="151" t="s">
        <v>1256</v>
      </c>
      <c r="T168" s="152">
        <v>15.481999999999999</v>
      </c>
      <c r="U168" s="151" t="s">
        <v>1641</v>
      </c>
      <c r="V168" s="153">
        <v>8.1000000000000003E-2</v>
      </c>
      <c r="W168" s="153">
        <v>6.1940000000000002E-2</v>
      </c>
      <c r="X168" s="151" t="s">
        <v>607</v>
      </c>
      <c r="Y168" s="151"/>
      <c r="Z168" s="152">
        <v>1460000</v>
      </c>
      <c r="AA168" s="152">
        <v>3.165</v>
      </c>
      <c r="AB168" s="152">
        <v>132.69800000000001</v>
      </c>
      <c r="AC168" s="151"/>
      <c r="AD168" s="152">
        <v>6131.857</v>
      </c>
      <c r="AE168" s="151"/>
      <c r="AF168" s="151"/>
      <c r="AG168" s="151"/>
      <c r="AH168" s="153">
        <v>1.1679999999999999E-2</v>
      </c>
      <c r="AI168" s="153">
        <v>4.1399999999999996E-3</v>
      </c>
      <c r="AJ168" s="154">
        <v>6.0999999999999997E-4</v>
      </c>
      <c r="AK168" s="174"/>
    </row>
    <row r="169" spans="1:37" x14ac:dyDescent="0.2">
      <c r="A169" s="150" t="s">
        <v>1264</v>
      </c>
      <c r="B169" s="151" t="s">
        <v>1264</v>
      </c>
      <c r="C169" s="151" t="s">
        <v>1504</v>
      </c>
      <c r="D169" s="151" t="s">
        <v>1505</v>
      </c>
      <c r="E169" s="151" t="s">
        <v>420</v>
      </c>
      <c r="F169" s="151" t="s">
        <v>1680</v>
      </c>
      <c r="G169" s="151" t="s">
        <v>1681</v>
      </c>
      <c r="H169" s="151" t="s">
        <v>75</v>
      </c>
      <c r="I169" s="151" t="s">
        <v>225</v>
      </c>
      <c r="J169" s="151" t="s">
        <v>52</v>
      </c>
      <c r="K169" s="151" t="s">
        <v>52</v>
      </c>
      <c r="L169" s="151" t="s">
        <v>775</v>
      </c>
      <c r="M169" s="151" t="s">
        <v>303</v>
      </c>
      <c r="N169" s="151" t="s">
        <v>154</v>
      </c>
      <c r="O169" s="151" t="s">
        <v>61</v>
      </c>
      <c r="P169" s="151" t="s">
        <v>1371</v>
      </c>
      <c r="Q169" s="151" t="s">
        <v>64</v>
      </c>
      <c r="R169" s="151" t="s">
        <v>56</v>
      </c>
      <c r="S169" s="151" t="s">
        <v>1255</v>
      </c>
      <c r="T169" s="152">
        <v>1.63</v>
      </c>
      <c r="U169" s="151" t="s">
        <v>1513</v>
      </c>
      <c r="V169" s="153">
        <v>1.9400000000000001E-2</v>
      </c>
      <c r="W169" s="153">
        <v>1.917E-2</v>
      </c>
      <c r="X169" s="151" t="s">
        <v>607</v>
      </c>
      <c r="Y169" s="151"/>
      <c r="Z169" s="152">
        <v>4876948.7</v>
      </c>
      <c r="AA169" s="152">
        <v>1</v>
      </c>
      <c r="AB169" s="152">
        <v>119.6</v>
      </c>
      <c r="AC169" s="151"/>
      <c r="AD169" s="152">
        <v>5832.8310000000001</v>
      </c>
      <c r="AE169" s="151"/>
      <c r="AF169" s="151"/>
      <c r="AG169" s="151"/>
      <c r="AH169" s="153">
        <v>2.6960000000000001E-2</v>
      </c>
      <c r="AI169" s="153">
        <v>3.9399999999999999E-3</v>
      </c>
      <c r="AJ169" s="154">
        <v>5.8E-4</v>
      </c>
      <c r="AK169" s="174"/>
    </row>
    <row r="170" spans="1:37" x14ac:dyDescent="0.2">
      <c r="A170" s="150" t="s">
        <v>1264</v>
      </c>
      <c r="B170" s="151" t="s">
        <v>1264</v>
      </c>
      <c r="C170" s="151" t="s">
        <v>1479</v>
      </c>
      <c r="D170" s="151" t="s">
        <v>1480</v>
      </c>
      <c r="E170" s="151" t="s">
        <v>420</v>
      </c>
      <c r="F170" s="151" t="s">
        <v>1677</v>
      </c>
      <c r="G170" s="151" t="s">
        <v>1678</v>
      </c>
      <c r="H170" s="151" t="s">
        <v>75</v>
      </c>
      <c r="I170" s="151" t="s">
        <v>225</v>
      </c>
      <c r="J170" s="151" t="s">
        <v>52</v>
      </c>
      <c r="K170" s="151" t="s">
        <v>52</v>
      </c>
      <c r="L170" s="151" t="s">
        <v>775</v>
      </c>
      <c r="M170" s="151" t="s">
        <v>303</v>
      </c>
      <c r="N170" s="151" t="s">
        <v>251</v>
      </c>
      <c r="O170" s="151" t="s">
        <v>61</v>
      </c>
      <c r="P170" s="151" t="s">
        <v>1371</v>
      </c>
      <c r="Q170" s="151" t="s">
        <v>64</v>
      </c>
      <c r="R170" s="151" t="s">
        <v>56</v>
      </c>
      <c r="S170" s="151" t="s">
        <v>1255</v>
      </c>
      <c r="T170" s="152">
        <v>2.09</v>
      </c>
      <c r="U170" s="151" t="s">
        <v>1679</v>
      </c>
      <c r="V170" s="153">
        <v>3.3099999999999997E-2</v>
      </c>
      <c r="W170" s="153">
        <v>2.537E-2</v>
      </c>
      <c r="X170" s="151" t="s">
        <v>607</v>
      </c>
      <c r="Y170" s="151"/>
      <c r="Z170" s="152">
        <v>4600000</v>
      </c>
      <c r="AA170" s="152">
        <v>1</v>
      </c>
      <c r="AB170" s="152">
        <v>114.11</v>
      </c>
      <c r="AC170" s="151"/>
      <c r="AD170" s="152">
        <v>5249.06</v>
      </c>
      <c r="AE170" s="151"/>
      <c r="AF170" s="151"/>
      <c r="AG170" s="151"/>
      <c r="AH170" s="153">
        <v>6.5599999999999999E-3</v>
      </c>
      <c r="AI170" s="153">
        <v>3.5500000000000002E-3</v>
      </c>
      <c r="AJ170" s="154">
        <v>5.2999999999999998E-4</v>
      </c>
      <c r="AK170" s="174"/>
    </row>
    <row r="171" spans="1:37" x14ac:dyDescent="0.2">
      <c r="A171" s="150" t="s">
        <v>1264</v>
      </c>
      <c r="B171" s="151" t="s">
        <v>1264</v>
      </c>
      <c r="C171" s="151" t="s">
        <v>1613</v>
      </c>
      <c r="D171" s="151" t="s">
        <v>1614</v>
      </c>
      <c r="E171" s="151" t="s">
        <v>420</v>
      </c>
      <c r="F171" s="151" t="s">
        <v>1684</v>
      </c>
      <c r="G171" s="151" t="s">
        <v>1685</v>
      </c>
      <c r="H171" s="151" t="s">
        <v>75</v>
      </c>
      <c r="I171" s="151" t="s">
        <v>226</v>
      </c>
      <c r="J171" s="151" t="s">
        <v>52</v>
      </c>
      <c r="K171" s="151" t="s">
        <v>52</v>
      </c>
      <c r="L171" s="151" t="s">
        <v>775</v>
      </c>
      <c r="M171" s="151" t="s">
        <v>303</v>
      </c>
      <c r="N171" s="151" t="s">
        <v>260</v>
      </c>
      <c r="O171" s="151" t="s">
        <v>61</v>
      </c>
      <c r="P171" s="151" t="s">
        <v>1384</v>
      </c>
      <c r="Q171" s="151" t="s">
        <v>64</v>
      </c>
      <c r="R171" s="151" t="s">
        <v>56</v>
      </c>
      <c r="S171" s="151" t="s">
        <v>1255</v>
      </c>
      <c r="T171" s="152">
        <v>2.34</v>
      </c>
      <c r="U171" s="151" t="s">
        <v>1617</v>
      </c>
      <c r="V171" s="153">
        <v>3.7699999999999997E-2</v>
      </c>
      <c r="W171" s="153">
        <v>4.1439999999999998E-2</v>
      </c>
      <c r="X171" s="151" t="s">
        <v>607</v>
      </c>
      <c r="Y171" s="151"/>
      <c r="Z171" s="152">
        <v>5210242.74</v>
      </c>
      <c r="AA171" s="152">
        <v>1</v>
      </c>
      <c r="AB171" s="152">
        <v>93.68</v>
      </c>
      <c r="AC171" s="151"/>
      <c r="AD171" s="152">
        <v>4880.9549999999999</v>
      </c>
      <c r="AE171" s="151"/>
      <c r="AF171" s="151"/>
      <c r="AG171" s="151"/>
      <c r="AH171" s="153">
        <v>3.6580000000000001E-2</v>
      </c>
      <c r="AI171" s="153">
        <v>3.3E-3</v>
      </c>
      <c r="AJ171" s="154">
        <v>4.8999999999999998E-4</v>
      </c>
      <c r="AK171" s="174"/>
    </row>
    <row r="172" spans="1:37" x14ac:dyDescent="0.2">
      <c r="A172" s="150" t="s">
        <v>1264</v>
      </c>
      <c r="B172" s="151" t="s">
        <v>1264</v>
      </c>
      <c r="C172" s="151" t="s">
        <v>1536</v>
      </c>
      <c r="D172" s="151" t="s">
        <v>1537</v>
      </c>
      <c r="E172" s="151" t="s">
        <v>420</v>
      </c>
      <c r="F172" s="151" t="s">
        <v>1682</v>
      </c>
      <c r="G172" s="151" t="s">
        <v>1683</v>
      </c>
      <c r="H172" s="151" t="s">
        <v>75</v>
      </c>
      <c r="I172" s="151" t="s">
        <v>225</v>
      </c>
      <c r="J172" s="151" t="s">
        <v>52</v>
      </c>
      <c r="K172" s="151" t="s">
        <v>52</v>
      </c>
      <c r="L172" s="151" t="s">
        <v>775</v>
      </c>
      <c r="M172" s="151" t="s">
        <v>303</v>
      </c>
      <c r="N172" s="151" t="s">
        <v>621</v>
      </c>
      <c r="O172" s="151" t="s">
        <v>61</v>
      </c>
      <c r="P172" s="151" t="s">
        <v>1390</v>
      </c>
      <c r="Q172" s="151" t="s">
        <v>69</v>
      </c>
      <c r="R172" s="151" t="s">
        <v>56</v>
      </c>
      <c r="S172" s="151" t="s">
        <v>1255</v>
      </c>
      <c r="T172" s="152">
        <v>1.77</v>
      </c>
      <c r="U172" s="151" t="s">
        <v>1604</v>
      </c>
      <c r="V172" s="153">
        <v>3.2800000000000003E-2</v>
      </c>
      <c r="W172" s="153">
        <v>5.5300000000000002E-2</v>
      </c>
      <c r="X172" s="151" t="s">
        <v>607</v>
      </c>
      <c r="Y172" s="151"/>
      <c r="Z172" s="152">
        <v>3950000.37</v>
      </c>
      <c r="AA172" s="152">
        <v>1</v>
      </c>
      <c r="AB172" s="152">
        <v>115.88</v>
      </c>
      <c r="AC172" s="151"/>
      <c r="AD172" s="152">
        <v>4577.26</v>
      </c>
      <c r="AE172" s="151"/>
      <c r="AF172" s="151"/>
      <c r="AG172" s="151"/>
      <c r="AH172" s="153">
        <v>2.9199999999999999E-3</v>
      </c>
      <c r="AI172" s="153">
        <v>3.0899999999999999E-3</v>
      </c>
      <c r="AJ172" s="154">
        <v>4.6000000000000001E-4</v>
      </c>
      <c r="AK172" s="174"/>
    </row>
    <row r="173" spans="1:37" x14ac:dyDescent="0.2">
      <c r="A173" s="150" t="s">
        <v>1264</v>
      </c>
      <c r="B173" s="151" t="s">
        <v>1264</v>
      </c>
      <c r="C173" s="151" t="s">
        <v>1719</v>
      </c>
      <c r="D173" s="151" t="s">
        <v>1720</v>
      </c>
      <c r="E173" s="151" t="s">
        <v>420</v>
      </c>
      <c r="F173" s="151" t="s">
        <v>1721</v>
      </c>
      <c r="G173" s="151" t="s">
        <v>1722</v>
      </c>
      <c r="H173" s="151" t="s">
        <v>75</v>
      </c>
      <c r="I173" s="151" t="s">
        <v>225</v>
      </c>
      <c r="J173" s="151" t="s">
        <v>52</v>
      </c>
      <c r="K173" s="151" t="s">
        <v>52</v>
      </c>
      <c r="L173" s="151" t="s">
        <v>775</v>
      </c>
      <c r="M173" s="151" t="s">
        <v>303</v>
      </c>
      <c r="N173" s="151" t="s">
        <v>620</v>
      </c>
      <c r="O173" s="151" t="s">
        <v>61</v>
      </c>
      <c r="P173" s="151" t="s">
        <v>1473</v>
      </c>
      <c r="Q173" s="151" t="s">
        <v>64</v>
      </c>
      <c r="R173" s="151" t="s">
        <v>56</v>
      </c>
      <c r="S173" s="151" t="s">
        <v>1255</v>
      </c>
      <c r="T173" s="152">
        <v>0.91</v>
      </c>
      <c r="U173" s="151" t="s">
        <v>1723</v>
      </c>
      <c r="V173" s="153">
        <v>2.0500000000000001E-2</v>
      </c>
      <c r="W173" s="153">
        <v>1.7049999999999999E-2</v>
      </c>
      <c r="X173" s="151" t="s">
        <v>607</v>
      </c>
      <c r="Y173" s="151"/>
      <c r="Z173" s="152">
        <v>3672571.8</v>
      </c>
      <c r="AA173" s="152">
        <v>1</v>
      </c>
      <c r="AB173" s="152">
        <v>119.96</v>
      </c>
      <c r="AC173" s="151"/>
      <c r="AD173" s="152">
        <v>4405.6170000000002</v>
      </c>
      <c r="AE173" s="151"/>
      <c r="AF173" s="151"/>
      <c r="AG173" s="151"/>
      <c r="AH173" s="153">
        <v>7.2899999999999996E-3</v>
      </c>
      <c r="AI173" s="153">
        <v>2.98E-3</v>
      </c>
      <c r="AJ173" s="154">
        <v>4.4000000000000002E-4</v>
      </c>
      <c r="AK173" s="174"/>
    </row>
    <row r="174" spans="1:37" x14ac:dyDescent="0.2">
      <c r="A174" s="150" t="s">
        <v>1264</v>
      </c>
      <c r="B174" s="151" t="s">
        <v>1264</v>
      </c>
      <c r="C174" s="151" t="s">
        <v>1686</v>
      </c>
      <c r="D174" s="151" t="s">
        <v>1687</v>
      </c>
      <c r="E174" s="151" t="s">
        <v>420</v>
      </c>
      <c r="F174" s="151" t="s">
        <v>1688</v>
      </c>
      <c r="G174" s="151" t="s">
        <v>1689</v>
      </c>
      <c r="H174" s="151" t="s">
        <v>75</v>
      </c>
      <c r="I174" s="151" t="s">
        <v>225</v>
      </c>
      <c r="J174" s="151" t="s">
        <v>52</v>
      </c>
      <c r="K174" s="151" t="s">
        <v>52</v>
      </c>
      <c r="L174" s="151" t="s">
        <v>775</v>
      </c>
      <c r="M174" s="151" t="s">
        <v>303</v>
      </c>
      <c r="N174" s="151" t="s">
        <v>620</v>
      </c>
      <c r="O174" s="151" t="s">
        <v>61</v>
      </c>
      <c r="P174" s="151" t="s">
        <v>1384</v>
      </c>
      <c r="Q174" s="151" t="s">
        <v>64</v>
      </c>
      <c r="R174" s="151" t="s">
        <v>56</v>
      </c>
      <c r="S174" s="151" t="s">
        <v>1255</v>
      </c>
      <c r="T174" s="152">
        <v>0.66</v>
      </c>
      <c r="U174" s="151" t="s">
        <v>1690</v>
      </c>
      <c r="V174" s="153">
        <v>2.1499999999999998E-2</v>
      </c>
      <c r="W174" s="153">
        <v>1.7100000000000001E-2</v>
      </c>
      <c r="X174" s="151" t="s">
        <v>607</v>
      </c>
      <c r="Y174" s="151"/>
      <c r="Z174" s="152">
        <v>3262500.39</v>
      </c>
      <c r="AA174" s="152">
        <v>1</v>
      </c>
      <c r="AB174" s="152">
        <v>120.7</v>
      </c>
      <c r="AC174" s="151"/>
      <c r="AD174" s="152">
        <v>3937.8380000000002</v>
      </c>
      <c r="AE174" s="151"/>
      <c r="AF174" s="151"/>
      <c r="AG174" s="151"/>
      <c r="AH174" s="153">
        <v>4.6600000000000001E-3</v>
      </c>
      <c r="AI174" s="153">
        <v>2.66E-3</v>
      </c>
      <c r="AJ174" s="154">
        <v>3.8999999999999999E-4</v>
      </c>
      <c r="AK174" s="174"/>
    </row>
    <row r="175" spans="1:37" x14ac:dyDescent="0.2">
      <c r="A175" s="150" t="s">
        <v>1264</v>
      </c>
      <c r="B175" s="151" t="s">
        <v>1264</v>
      </c>
      <c r="C175" s="151" t="s">
        <v>1691</v>
      </c>
      <c r="D175" s="151" t="s">
        <v>1692</v>
      </c>
      <c r="E175" s="151" t="s">
        <v>420</v>
      </c>
      <c r="F175" s="151" t="s">
        <v>1693</v>
      </c>
      <c r="G175" s="151" t="s">
        <v>1694</v>
      </c>
      <c r="H175" s="151" t="s">
        <v>75</v>
      </c>
      <c r="I175" s="151" t="s">
        <v>224</v>
      </c>
      <c r="J175" s="151" t="s">
        <v>52</v>
      </c>
      <c r="K175" s="151" t="s">
        <v>52</v>
      </c>
      <c r="L175" s="151" t="s">
        <v>775</v>
      </c>
      <c r="M175" s="151" t="s">
        <v>303</v>
      </c>
      <c r="N175" s="151" t="s">
        <v>138</v>
      </c>
      <c r="O175" s="151" t="s">
        <v>61</v>
      </c>
      <c r="P175" s="151" t="s">
        <v>1407</v>
      </c>
      <c r="Q175" s="151" t="s">
        <v>69</v>
      </c>
      <c r="R175" s="151" t="s">
        <v>56</v>
      </c>
      <c r="S175" s="151" t="s">
        <v>1255</v>
      </c>
      <c r="T175" s="152">
        <v>0.99</v>
      </c>
      <c r="U175" s="151" t="s">
        <v>1351</v>
      </c>
      <c r="V175" s="153">
        <v>2.4E-2</v>
      </c>
      <c r="W175" s="153">
        <v>4.6920000000000003E-2</v>
      </c>
      <c r="X175" s="151" t="s">
        <v>607</v>
      </c>
      <c r="Y175" s="151"/>
      <c r="Z175" s="152">
        <v>3868181.86</v>
      </c>
      <c r="AA175" s="152">
        <v>1</v>
      </c>
      <c r="AB175" s="152">
        <v>97.85</v>
      </c>
      <c r="AC175" s="151"/>
      <c r="AD175" s="152">
        <v>3785.0160000000001</v>
      </c>
      <c r="AE175" s="151"/>
      <c r="AF175" s="151"/>
      <c r="AG175" s="151"/>
      <c r="AH175" s="153">
        <v>3.61E-2</v>
      </c>
      <c r="AI175" s="153">
        <v>2.5600000000000002E-3</v>
      </c>
      <c r="AJ175" s="154">
        <v>3.8000000000000002E-4</v>
      </c>
      <c r="AK175" s="174"/>
    </row>
    <row r="176" spans="1:37" x14ac:dyDescent="0.2">
      <c r="A176" s="150" t="s">
        <v>1264</v>
      </c>
      <c r="B176" s="151" t="s">
        <v>1264</v>
      </c>
      <c r="C176" s="151" t="s">
        <v>1724</v>
      </c>
      <c r="D176" s="151" t="s">
        <v>1725</v>
      </c>
      <c r="E176" s="151" t="s">
        <v>420</v>
      </c>
      <c r="F176" s="151" t="s">
        <v>1726</v>
      </c>
      <c r="G176" s="151" t="s">
        <v>1727</v>
      </c>
      <c r="H176" s="151" t="s">
        <v>75</v>
      </c>
      <c r="I176" s="151" t="s">
        <v>224</v>
      </c>
      <c r="J176" s="151" t="s">
        <v>52</v>
      </c>
      <c r="K176" s="151" t="s">
        <v>52</v>
      </c>
      <c r="L176" s="151" t="s">
        <v>775</v>
      </c>
      <c r="M176" s="151" t="s">
        <v>303</v>
      </c>
      <c r="N176" s="151" t="s">
        <v>675</v>
      </c>
      <c r="O176" s="151" t="s">
        <v>61</v>
      </c>
      <c r="P176" s="151" t="s">
        <v>1371</v>
      </c>
      <c r="Q176" s="151" t="s">
        <v>64</v>
      </c>
      <c r="R176" s="151" t="s">
        <v>56</v>
      </c>
      <c r="S176" s="151" t="s">
        <v>1255</v>
      </c>
      <c r="T176" s="152">
        <v>0.5</v>
      </c>
      <c r="U176" s="151" t="s">
        <v>1535</v>
      </c>
      <c r="V176" s="153">
        <v>3.9E-2</v>
      </c>
      <c r="W176" s="153">
        <v>4.9779999999999998E-2</v>
      </c>
      <c r="X176" s="151" t="s">
        <v>607</v>
      </c>
      <c r="Y176" s="151"/>
      <c r="Z176" s="152">
        <v>2310000</v>
      </c>
      <c r="AA176" s="152">
        <v>1</v>
      </c>
      <c r="AB176" s="152">
        <v>99.51</v>
      </c>
      <c r="AC176" s="151"/>
      <c r="AD176" s="152">
        <v>2298.681</v>
      </c>
      <c r="AE176" s="151"/>
      <c r="AF176" s="151"/>
      <c r="AG176" s="151"/>
      <c r="AH176" s="153">
        <v>8.0199999999999994E-3</v>
      </c>
      <c r="AI176" s="153">
        <v>1.5499999999999999E-3</v>
      </c>
      <c r="AJ176" s="154">
        <v>2.3000000000000001E-4</v>
      </c>
      <c r="AK176" s="174"/>
    </row>
    <row r="177" spans="1:37" x14ac:dyDescent="0.2">
      <c r="A177" s="150" t="s">
        <v>1264</v>
      </c>
      <c r="B177" s="151" t="s">
        <v>1264</v>
      </c>
      <c r="C177" s="151" t="s">
        <v>1728</v>
      </c>
      <c r="D177" s="151" t="s">
        <v>1729</v>
      </c>
      <c r="E177" s="151" t="s">
        <v>420</v>
      </c>
      <c r="F177" s="151" t="s">
        <v>1730</v>
      </c>
      <c r="G177" s="151" t="s">
        <v>1731</v>
      </c>
      <c r="H177" s="151" t="s">
        <v>75</v>
      </c>
      <c r="I177" s="151" t="s">
        <v>224</v>
      </c>
      <c r="J177" s="151" t="s">
        <v>52</v>
      </c>
      <c r="K177" s="151" t="s">
        <v>52</v>
      </c>
      <c r="L177" s="151" t="s">
        <v>775</v>
      </c>
      <c r="M177" s="151" t="s">
        <v>303</v>
      </c>
      <c r="N177" s="151" t="s">
        <v>138</v>
      </c>
      <c r="O177" s="151" t="s">
        <v>61</v>
      </c>
      <c r="P177" s="151" t="s">
        <v>1359</v>
      </c>
      <c r="Q177" s="151" t="s">
        <v>64</v>
      </c>
      <c r="R177" s="151" t="s">
        <v>56</v>
      </c>
      <c r="S177" s="151" t="s">
        <v>1255</v>
      </c>
      <c r="T177" s="152">
        <v>1.48</v>
      </c>
      <c r="U177" s="151" t="s">
        <v>1732</v>
      </c>
      <c r="V177" s="153">
        <v>4.2999999999999997E-2</v>
      </c>
      <c r="W177" s="153">
        <v>4.9200000000000001E-2</v>
      </c>
      <c r="X177" s="151" t="s">
        <v>607</v>
      </c>
      <c r="Y177" s="151"/>
      <c r="Z177" s="152">
        <v>2100000.81</v>
      </c>
      <c r="AA177" s="152">
        <v>1</v>
      </c>
      <c r="AB177" s="152">
        <v>100.08</v>
      </c>
      <c r="AC177" s="151"/>
      <c r="AD177" s="152">
        <v>2101.681</v>
      </c>
      <c r="AE177" s="151"/>
      <c r="AF177" s="151"/>
      <c r="AG177" s="151"/>
      <c r="AH177" s="153">
        <v>3.47E-3</v>
      </c>
      <c r="AI177" s="153">
        <v>1.42E-3</v>
      </c>
      <c r="AJ177" s="154">
        <v>2.1000000000000001E-4</v>
      </c>
      <c r="AK177" s="174"/>
    </row>
    <row r="178" spans="1:37" x14ac:dyDescent="0.2">
      <c r="A178" s="150" t="s">
        <v>1264</v>
      </c>
      <c r="B178" s="151" t="s">
        <v>1264</v>
      </c>
      <c r="C178" s="151" t="s">
        <v>1733</v>
      </c>
      <c r="D178" s="151" t="s">
        <v>1734</v>
      </c>
      <c r="E178" s="151" t="s">
        <v>420</v>
      </c>
      <c r="F178" s="151" t="s">
        <v>1735</v>
      </c>
      <c r="G178" s="151" t="s">
        <v>1736</v>
      </c>
      <c r="H178" s="151" t="s">
        <v>75</v>
      </c>
      <c r="I178" s="151" t="s">
        <v>225</v>
      </c>
      <c r="J178" s="151" t="s">
        <v>52</v>
      </c>
      <c r="K178" s="151" t="s">
        <v>52</v>
      </c>
      <c r="L178" s="151" t="s">
        <v>775</v>
      </c>
      <c r="M178" s="151" t="s">
        <v>303</v>
      </c>
      <c r="N178" s="151" t="s">
        <v>620</v>
      </c>
      <c r="O178" s="151" t="s">
        <v>61</v>
      </c>
      <c r="P178" s="151" t="s">
        <v>1359</v>
      </c>
      <c r="Q178" s="151" t="s">
        <v>64</v>
      </c>
      <c r="R178" s="151" t="s">
        <v>56</v>
      </c>
      <c r="S178" s="151" t="s">
        <v>1255</v>
      </c>
      <c r="T178" s="152">
        <v>1.02</v>
      </c>
      <c r="U178" s="151" t="s">
        <v>1737</v>
      </c>
      <c r="V178" s="153">
        <v>3.4599999999999999E-2</v>
      </c>
      <c r="W178" s="153">
        <v>2.1850000000000001E-2</v>
      </c>
      <c r="X178" s="151" t="s">
        <v>607</v>
      </c>
      <c r="Y178" s="151"/>
      <c r="Z178" s="152">
        <v>1507453.87</v>
      </c>
      <c r="AA178" s="152">
        <v>1</v>
      </c>
      <c r="AB178" s="152">
        <v>121.46</v>
      </c>
      <c r="AC178" s="151"/>
      <c r="AD178" s="152">
        <v>1830.953</v>
      </c>
      <c r="AE178" s="151"/>
      <c r="AF178" s="151"/>
      <c r="AG178" s="151"/>
      <c r="AH178" s="153">
        <v>1.048E-2</v>
      </c>
      <c r="AI178" s="153">
        <v>1.24E-3</v>
      </c>
      <c r="AJ178" s="154">
        <v>1.8000000000000001E-4</v>
      </c>
      <c r="AK178" s="174"/>
    </row>
    <row r="179" spans="1:37" x14ac:dyDescent="0.2">
      <c r="A179" s="150" t="s">
        <v>1264</v>
      </c>
      <c r="B179" s="151" t="s">
        <v>1264</v>
      </c>
      <c r="C179" s="151" t="s">
        <v>1738</v>
      </c>
      <c r="D179" s="151" t="s">
        <v>1739</v>
      </c>
      <c r="E179" s="151" t="s">
        <v>420</v>
      </c>
      <c r="F179" s="151" t="s">
        <v>1740</v>
      </c>
      <c r="G179" s="151" t="s">
        <v>1741</v>
      </c>
      <c r="H179" s="151" t="s">
        <v>75</v>
      </c>
      <c r="I179" s="151" t="s">
        <v>224</v>
      </c>
      <c r="J179" s="151" t="s">
        <v>52</v>
      </c>
      <c r="K179" s="151" t="s">
        <v>52</v>
      </c>
      <c r="L179" s="151" t="s">
        <v>775</v>
      </c>
      <c r="M179" s="151" t="s">
        <v>303</v>
      </c>
      <c r="N179" s="151" t="s">
        <v>262</v>
      </c>
      <c r="O179" s="151" t="s">
        <v>61</v>
      </c>
      <c r="P179" s="151" t="s">
        <v>1384</v>
      </c>
      <c r="Q179" s="151" t="s">
        <v>64</v>
      </c>
      <c r="R179" s="151" t="s">
        <v>56</v>
      </c>
      <c r="S179" s="151" t="s">
        <v>1255</v>
      </c>
      <c r="T179" s="152">
        <v>1.27</v>
      </c>
      <c r="U179" s="151" t="s">
        <v>1742</v>
      </c>
      <c r="V179" s="153">
        <v>5.28E-2</v>
      </c>
      <c r="W179" s="153">
        <v>4.913E-2</v>
      </c>
      <c r="X179" s="151" t="s">
        <v>607</v>
      </c>
      <c r="Y179" s="151"/>
      <c r="Z179" s="152">
        <v>1660125.07</v>
      </c>
      <c r="AA179" s="152">
        <v>1</v>
      </c>
      <c r="AB179" s="152">
        <v>101.46</v>
      </c>
      <c r="AC179" s="151"/>
      <c r="AD179" s="152">
        <v>1684.3630000000001</v>
      </c>
      <c r="AE179" s="151"/>
      <c r="AF179" s="151"/>
      <c r="AG179" s="151"/>
      <c r="AH179" s="153">
        <v>5.5599999999999998E-3</v>
      </c>
      <c r="AI179" s="153">
        <v>1.14E-3</v>
      </c>
      <c r="AJ179" s="154">
        <v>1.7000000000000001E-4</v>
      </c>
      <c r="AK179" s="174"/>
    </row>
    <row r="180" spans="1:37" x14ac:dyDescent="0.2">
      <c r="A180" s="150" t="s">
        <v>1264</v>
      </c>
      <c r="B180" s="151" t="s">
        <v>1264</v>
      </c>
      <c r="C180" s="151" t="s">
        <v>1695</v>
      </c>
      <c r="D180" s="151" t="s">
        <v>1696</v>
      </c>
      <c r="E180" s="151" t="s">
        <v>420</v>
      </c>
      <c r="F180" s="151" t="s">
        <v>1697</v>
      </c>
      <c r="G180" s="151" t="s">
        <v>1698</v>
      </c>
      <c r="H180" s="151" t="s">
        <v>75</v>
      </c>
      <c r="I180" s="151" t="s">
        <v>225</v>
      </c>
      <c r="J180" s="151" t="s">
        <v>52</v>
      </c>
      <c r="K180" s="151" t="s">
        <v>52</v>
      </c>
      <c r="L180" s="151" t="s">
        <v>775</v>
      </c>
      <c r="M180" s="151" t="s">
        <v>303</v>
      </c>
      <c r="N180" s="151" t="s">
        <v>1211</v>
      </c>
      <c r="O180" s="151" t="s">
        <v>61</v>
      </c>
      <c r="P180" s="151" t="s">
        <v>1473</v>
      </c>
      <c r="Q180" s="151" t="s">
        <v>64</v>
      </c>
      <c r="R180" s="151" t="s">
        <v>56</v>
      </c>
      <c r="S180" s="151" t="s">
        <v>1255</v>
      </c>
      <c r="T180" s="152">
        <v>1.1000000000000001</v>
      </c>
      <c r="U180" s="151" t="s">
        <v>1699</v>
      </c>
      <c r="V180" s="153">
        <v>3.2000000000000001E-2</v>
      </c>
      <c r="W180" s="153">
        <v>2.1770000000000001E-2</v>
      </c>
      <c r="X180" s="151" t="s">
        <v>607</v>
      </c>
      <c r="Y180" s="151"/>
      <c r="Z180" s="152">
        <v>1464749.93</v>
      </c>
      <c r="AA180" s="152">
        <v>1</v>
      </c>
      <c r="AB180" s="152">
        <v>111.1</v>
      </c>
      <c r="AC180" s="151"/>
      <c r="AD180" s="152">
        <v>1627.337</v>
      </c>
      <c r="AE180" s="151"/>
      <c r="AF180" s="151"/>
      <c r="AG180" s="151"/>
      <c r="AH180" s="153">
        <v>2.97E-3</v>
      </c>
      <c r="AI180" s="153">
        <v>1.1000000000000001E-3</v>
      </c>
      <c r="AJ180" s="154">
        <v>1.6000000000000001E-4</v>
      </c>
      <c r="AK180" s="174"/>
    </row>
    <row r="181" spans="1:37" x14ac:dyDescent="0.2">
      <c r="A181" s="150" t="s">
        <v>1264</v>
      </c>
      <c r="B181" s="151" t="s">
        <v>1264</v>
      </c>
      <c r="C181" s="151" t="s">
        <v>1398</v>
      </c>
      <c r="D181" s="151" t="s">
        <v>1399</v>
      </c>
      <c r="E181" s="151" t="s">
        <v>420</v>
      </c>
      <c r="F181" s="151" t="s">
        <v>1743</v>
      </c>
      <c r="G181" s="151" t="s">
        <v>1744</v>
      </c>
      <c r="H181" s="151" t="s">
        <v>75</v>
      </c>
      <c r="I181" s="151" t="s">
        <v>224</v>
      </c>
      <c r="J181" s="151" t="s">
        <v>52</v>
      </c>
      <c r="K181" s="151" t="s">
        <v>52</v>
      </c>
      <c r="L181" s="151" t="s">
        <v>775</v>
      </c>
      <c r="M181" s="151" t="s">
        <v>303</v>
      </c>
      <c r="N181" s="151" t="s">
        <v>1211</v>
      </c>
      <c r="O181" s="151" t="s">
        <v>61</v>
      </c>
      <c r="P181" s="151" t="s">
        <v>1384</v>
      </c>
      <c r="Q181" s="151" t="s">
        <v>64</v>
      </c>
      <c r="R181" s="151" t="s">
        <v>56</v>
      </c>
      <c r="S181" s="151" t="s">
        <v>1255</v>
      </c>
      <c r="T181" s="152">
        <v>2.74</v>
      </c>
      <c r="U181" s="151" t="s">
        <v>1402</v>
      </c>
      <c r="V181" s="153">
        <v>4.5600000000000002E-2</v>
      </c>
      <c r="W181" s="153">
        <v>4.6190000000000002E-2</v>
      </c>
      <c r="X181" s="151" t="s">
        <v>607</v>
      </c>
      <c r="Y181" s="151"/>
      <c r="Z181" s="152">
        <v>1394225.35</v>
      </c>
      <c r="AA181" s="152">
        <v>1</v>
      </c>
      <c r="AB181" s="152">
        <v>100.18</v>
      </c>
      <c r="AC181" s="151"/>
      <c r="AD181" s="152">
        <v>1396.7349999999999</v>
      </c>
      <c r="AE181" s="151"/>
      <c r="AF181" s="151"/>
      <c r="AG181" s="151"/>
      <c r="AH181" s="153">
        <v>1.6000000000000001E-3</v>
      </c>
      <c r="AI181" s="153">
        <v>9.3999999999999997E-4</v>
      </c>
      <c r="AJ181" s="154">
        <v>1.3999999999999999E-4</v>
      </c>
      <c r="AK181" s="174"/>
    </row>
    <row r="182" spans="1:37" x14ac:dyDescent="0.2">
      <c r="A182" s="150" t="s">
        <v>1264</v>
      </c>
      <c r="B182" s="151" t="s">
        <v>1264</v>
      </c>
      <c r="C182" s="151" t="s">
        <v>1700</v>
      </c>
      <c r="D182" s="151" t="s">
        <v>1701</v>
      </c>
      <c r="E182" s="151" t="s">
        <v>420</v>
      </c>
      <c r="F182" s="151" t="s">
        <v>1702</v>
      </c>
      <c r="G182" s="151" t="s">
        <v>1703</v>
      </c>
      <c r="H182" s="151" t="s">
        <v>75</v>
      </c>
      <c r="I182" s="151" t="s">
        <v>226</v>
      </c>
      <c r="J182" s="151" t="s">
        <v>52</v>
      </c>
      <c r="K182" s="151" t="s">
        <v>52</v>
      </c>
      <c r="L182" s="151" t="s">
        <v>775</v>
      </c>
      <c r="M182" s="151" t="s">
        <v>303</v>
      </c>
      <c r="N182" s="151" t="s">
        <v>260</v>
      </c>
      <c r="O182" s="151" t="s">
        <v>61</v>
      </c>
      <c r="P182" s="151" t="s">
        <v>1365</v>
      </c>
      <c r="Q182" s="151" t="s">
        <v>69</v>
      </c>
      <c r="R182" s="151" t="s">
        <v>56</v>
      </c>
      <c r="S182" s="151" t="s">
        <v>1255</v>
      </c>
      <c r="T182" s="152">
        <v>1.9</v>
      </c>
      <c r="U182" s="151" t="s">
        <v>1575</v>
      </c>
      <c r="V182" s="153">
        <v>5.4800000000000001E-2</v>
      </c>
      <c r="W182" s="153">
        <v>5.228E-2</v>
      </c>
      <c r="X182" s="151" t="s">
        <v>607</v>
      </c>
      <c r="Y182" s="151"/>
      <c r="Z182" s="152">
        <v>1085968.52</v>
      </c>
      <c r="AA182" s="152">
        <v>1</v>
      </c>
      <c r="AB182" s="152">
        <v>89.67</v>
      </c>
      <c r="AC182" s="151"/>
      <c r="AD182" s="152">
        <v>973.78800000000001</v>
      </c>
      <c r="AE182" s="151"/>
      <c r="AF182" s="151"/>
      <c r="AG182" s="151"/>
      <c r="AH182" s="153">
        <v>4.9899999999999996E-3</v>
      </c>
      <c r="AI182" s="153">
        <v>6.6E-4</v>
      </c>
      <c r="AJ182" s="154">
        <v>1E-4</v>
      </c>
      <c r="AK182" s="174"/>
    </row>
    <row r="183" spans="1:37" x14ac:dyDescent="0.2">
      <c r="A183" s="150" t="s">
        <v>1264</v>
      </c>
      <c r="B183" s="151" t="s">
        <v>1264</v>
      </c>
      <c r="C183" s="151" t="s">
        <v>1531</v>
      </c>
      <c r="D183" s="151" t="s">
        <v>1532</v>
      </c>
      <c r="E183" s="151" t="s">
        <v>420</v>
      </c>
      <c r="F183" s="151" t="s">
        <v>1704</v>
      </c>
      <c r="G183" s="151" t="s">
        <v>1705</v>
      </c>
      <c r="H183" s="151" t="s">
        <v>75</v>
      </c>
      <c r="I183" s="151" t="s">
        <v>224</v>
      </c>
      <c r="J183" s="151" t="s">
        <v>52</v>
      </c>
      <c r="K183" s="151" t="s">
        <v>52</v>
      </c>
      <c r="L183" s="151" t="s">
        <v>775</v>
      </c>
      <c r="M183" s="151" t="s">
        <v>303</v>
      </c>
      <c r="N183" s="151" t="s">
        <v>620</v>
      </c>
      <c r="O183" s="151" t="s">
        <v>61</v>
      </c>
      <c r="P183" s="151" t="s">
        <v>1436</v>
      </c>
      <c r="Q183" s="151" t="s">
        <v>69</v>
      </c>
      <c r="R183" s="151" t="s">
        <v>56</v>
      </c>
      <c r="S183" s="151" t="s">
        <v>1255</v>
      </c>
      <c r="T183" s="152">
        <v>1.2</v>
      </c>
      <c r="U183" s="151" t="s">
        <v>1604</v>
      </c>
      <c r="V183" s="153">
        <v>5.6500000000000002E-2</v>
      </c>
      <c r="W183" s="153">
        <v>4.6890000000000001E-2</v>
      </c>
      <c r="X183" s="151" t="s">
        <v>607</v>
      </c>
      <c r="Y183" s="151"/>
      <c r="Z183" s="152">
        <v>94794.39</v>
      </c>
      <c r="AA183" s="152">
        <v>1</v>
      </c>
      <c r="AB183" s="152">
        <v>102.62</v>
      </c>
      <c r="AC183" s="151"/>
      <c r="AD183" s="152">
        <v>97.278000000000006</v>
      </c>
      <c r="AE183" s="151"/>
      <c r="AF183" s="151"/>
      <c r="AG183" s="151"/>
      <c r="AH183" s="153">
        <v>8.0999999999999996E-4</v>
      </c>
      <c r="AI183" s="153">
        <v>6.9999999999999994E-5</v>
      </c>
      <c r="AJ183" s="154">
        <v>1.0000000000000001E-5</v>
      </c>
      <c r="AK183" s="174"/>
    </row>
    <row r="184" spans="1:37" x14ac:dyDescent="0.2">
      <c r="A184" s="150" t="s">
        <v>1264</v>
      </c>
      <c r="B184" s="151" t="s">
        <v>1264</v>
      </c>
      <c r="C184" s="151" t="s">
        <v>1745</v>
      </c>
      <c r="D184" s="151" t="s">
        <v>1746</v>
      </c>
      <c r="E184" s="151" t="s">
        <v>421</v>
      </c>
      <c r="F184" s="151" t="s">
        <v>1747</v>
      </c>
      <c r="G184" s="151" t="s">
        <v>1748</v>
      </c>
      <c r="H184" s="151" t="s">
        <v>75</v>
      </c>
      <c r="I184" s="151" t="s">
        <v>226</v>
      </c>
      <c r="J184" s="151" t="s">
        <v>60</v>
      </c>
      <c r="K184" s="151" t="s">
        <v>306</v>
      </c>
      <c r="L184" s="151" t="s">
        <v>775</v>
      </c>
      <c r="M184" s="151" t="s">
        <v>463</v>
      </c>
      <c r="N184" s="151" t="s">
        <v>855</v>
      </c>
      <c r="O184" s="151" t="s">
        <v>61</v>
      </c>
      <c r="P184" s="151" t="s">
        <v>1749</v>
      </c>
      <c r="Q184" s="151" t="s">
        <v>95</v>
      </c>
      <c r="R184" s="151" t="s">
        <v>56</v>
      </c>
      <c r="S184" s="151" t="s">
        <v>1256</v>
      </c>
      <c r="T184" s="152">
        <v>2.2749999999999999</v>
      </c>
      <c r="U184" s="151" t="s">
        <v>1750</v>
      </c>
      <c r="V184" s="153">
        <v>1.985E-2</v>
      </c>
      <c r="W184" s="153">
        <v>4.9639999999999997E-2</v>
      </c>
      <c r="X184" s="151" t="s">
        <v>607</v>
      </c>
      <c r="Y184" s="151"/>
      <c r="Z184" s="152">
        <v>2270000</v>
      </c>
      <c r="AA184" s="152">
        <v>3.165</v>
      </c>
      <c r="AB184" s="152">
        <v>93.373000000000005</v>
      </c>
      <c r="AC184" s="151"/>
      <c r="AD184" s="152">
        <v>6708.4589999999998</v>
      </c>
      <c r="AE184" s="151"/>
      <c r="AF184" s="151"/>
      <c r="AG184" s="151"/>
      <c r="AH184" s="153">
        <v>3.63E-3</v>
      </c>
      <c r="AI184" s="153">
        <v>4.5300000000000002E-3</v>
      </c>
      <c r="AJ184" s="154">
        <v>6.7000000000000002E-4</v>
      </c>
      <c r="AK184" s="174"/>
    </row>
    <row r="185" spans="1:37" x14ac:dyDescent="0.2">
      <c r="A185" s="150" t="s">
        <v>1251</v>
      </c>
      <c r="B185" s="151" t="s">
        <v>1262</v>
      </c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1"/>
      <c r="AH185" s="151"/>
      <c r="AI185" s="151"/>
      <c r="AJ185" s="160"/>
      <c r="AK185" s="174"/>
    </row>
    <row r="186" spans="1:37" x14ac:dyDescent="0.2">
      <c r="A186" s="150" t="s">
        <v>1251</v>
      </c>
      <c r="B186" s="151" t="s">
        <v>1263</v>
      </c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1"/>
      <c r="AH186" s="151"/>
      <c r="AI186" s="151"/>
      <c r="AJ186" s="160"/>
      <c r="AK186" s="174"/>
    </row>
    <row r="187" spans="1:37" x14ac:dyDescent="0.2">
      <c r="A187" s="150" t="s">
        <v>1264</v>
      </c>
      <c r="B187" s="151" t="s">
        <v>1265</v>
      </c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1"/>
      <c r="AH187" s="151"/>
      <c r="AI187" s="151"/>
      <c r="AJ187" s="160"/>
      <c r="AK187" s="174"/>
    </row>
    <row r="188" spans="1:37" x14ac:dyDescent="0.2">
      <c r="A188" s="155" t="s">
        <v>1264</v>
      </c>
      <c r="B188" s="156" t="s">
        <v>1266</v>
      </c>
      <c r="C188" s="156"/>
      <c r="D188" s="156"/>
      <c r="E188" s="156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  <c r="AA188" s="156"/>
      <c r="AB188" s="156"/>
      <c r="AC188" s="156"/>
      <c r="AD188" s="156"/>
      <c r="AE188" s="156"/>
      <c r="AF188" s="156"/>
      <c r="AG188" s="156"/>
      <c r="AH188" s="156"/>
      <c r="AI188" s="156"/>
      <c r="AJ188" s="161"/>
      <c r="AK188" s="174"/>
    </row>
    <row r="189" spans="1:37" x14ac:dyDescent="0.2">
      <c r="A189" s="174" t="s">
        <v>2521</v>
      </c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  <c r="AA189" s="174"/>
      <c r="AB189" s="174"/>
      <c r="AC189" s="174"/>
      <c r="AD189" s="174"/>
      <c r="AE189" s="174"/>
      <c r="AF189" s="174"/>
      <c r="AG189" s="174"/>
      <c r="AH189" s="174"/>
      <c r="AI189" s="174"/>
      <c r="AJ189" s="174"/>
    </row>
    <row r="190" spans="1:37" x14ac:dyDescent="0.2">
      <c r="A190" t="s">
        <v>2520</v>
      </c>
    </row>
    <row r="191" spans="1:37" x14ac:dyDescent="0.2">
      <c r="A19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89:AJ189"/>
    <mergeCell ref="AK2:AK188"/>
  </mergeCells>
  <pageMargins left="0.7" right="0.7" top="0.75" bottom="0.75" header="0.3" footer="0.3"/>
  <pageSetup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125"/>
  <sheetViews>
    <sheetView rightToLeft="1" topLeftCell="C7" zoomScaleNormal="100" workbookViewId="0">
      <selection activeCell="G101" sqref="G101:H101"/>
    </sheetView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4" width="11.625" customWidth="1"/>
    <col min="15" max="15" width="15.125" customWidth="1"/>
    <col min="16" max="16" width="11.75" customWidth="1"/>
    <col min="17" max="17" width="14.875" customWidth="1"/>
    <col min="18" max="18" width="11.625" customWidth="1"/>
    <col min="19" max="19" width="12.875" customWidth="1"/>
    <col min="20" max="20" width="22.25" customWidth="1"/>
    <col min="21" max="21" width="17.875" customWidth="1"/>
    <col min="22" max="22" width="19" customWidth="1"/>
    <col min="23" max="23" width="21.75" customWidth="1"/>
    <col min="24" max="24" width="20.125" customWidth="1"/>
    <col min="25" max="26" width="11.625" hidden="1" customWidth="1"/>
    <col min="27" max="16384" width="9" hidden="1"/>
  </cols>
  <sheetData>
    <row r="1" spans="1:25" x14ac:dyDescent="0.2">
      <c r="A1" t="s">
        <v>2529</v>
      </c>
    </row>
    <row r="2" spans="1:25" s="4" customFormat="1" x14ac:dyDescent="0.2">
      <c r="A2" s="147" t="s">
        <v>636</v>
      </c>
      <c r="B2" s="148" t="s">
        <v>0</v>
      </c>
      <c r="C2" s="148" t="s">
        <v>703</v>
      </c>
      <c r="D2" s="148" t="s">
        <v>2</v>
      </c>
      <c r="E2" s="148" t="s">
        <v>719</v>
      </c>
      <c r="F2" s="148" t="s">
        <v>1097</v>
      </c>
      <c r="G2" s="148" t="s">
        <v>28</v>
      </c>
      <c r="H2" s="148" t="s">
        <v>27</v>
      </c>
      <c r="I2" s="148" t="s">
        <v>1</v>
      </c>
      <c r="J2" s="148" t="s">
        <v>591</v>
      </c>
      <c r="K2" s="148" t="s">
        <v>592</v>
      </c>
      <c r="L2" s="148" t="s">
        <v>596</v>
      </c>
      <c r="M2" s="148" t="s">
        <v>4</v>
      </c>
      <c r="N2" s="148" t="s">
        <v>8</v>
      </c>
      <c r="O2" s="148" t="s">
        <v>593</v>
      </c>
      <c r="P2" s="148" t="s">
        <v>387</v>
      </c>
      <c r="Q2" s="148" t="s">
        <v>747</v>
      </c>
      <c r="R2" s="148" t="s">
        <v>10</v>
      </c>
      <c r="S2" s="148" t="s">
        <v>14</v>
      </c>
      <c r="T2" s="148" t="s">
        <v>895</v>
      </c>
      <c r="U2" s="148" t="s">
        <v>1105</v>
      </c>
      <c r="V2" s="148" t="s">
        <v>17</v>
      </c>
      <c r="W2" s="148" t="s">
        <v>18</v>
      </c>
      <c r="X2" s="149" t="s">
        <v>29</v>
      </c>
      <c r="Y2" s="176" t="s">
        <v>2522</v>
      </c>
    </row>
    <row r="3" spans="1:25" x14ac:dyDescent="0.2">
      <c r="A3" s="150" t="s">
        <v>1251</v>
      </c>
      <c r="B3" s="151" t="s">
        <v>1251</v>
      </c>
      <c r="C3" s="151" t="s">
        <v>1415</v>
      </c>
      <c r="D3" s="151" t="s">
        <v>1416</v>
      </c>
      <c r="E3" s="151" t="s">
        <v>420</v>
      </c>
      <c r="F3" s="151" t="s">
        <v>1751</v>
      </c>
      <c r="G3" s="151" t="s">
        <v>1752</v>
      </c>
      <c r="H3" s="151" t="s">
        <v>75</v>
      </c>
      <c r="I3" s="151" t="s">
        <v>72</v>
      </c>
      <c r="J3" s="151" t="s">
        <v>52</v>
      </c>
      <c r="K3" s="151" t="s">
        <v>52</v>
      </c>
      <c r="L3" s="151" t="s">
        <v>775</v>
      </c>
      <c r="M3" s="151" t="s">
        <v>303</v>
      </c>
      <c r="N3" s="151" t="s">
        <v>251</v>
      </c>
      <c r="O3" s="151" t="s">
        <v>61</v>
      </c>
      <c r="P3" s="151" t="s">
        <v>1255</v>
      </c>
      <c r="Q3" s="152">
        <v>144701</v>
      </c>
      <c r="R3" s="152">
        <v>1</v>
      </c>
      <c r="S3" s="152">
        <v>7332</v>
      </c>
      <c r="T3" s="151"/>
      <c r="U3" s="152">
        <v>10609.477000000001</v>
      </c>
      <c r="V3" s="153">
        <v>1.1E-4</v>
      </c>
      <c r="W3" s="153">
        <v>7.6579999999999995E-2</v>
      </c>
      <c r="X3" s="154">
        <v>1.4460000000000001E-2</v>
      </c>
      <c r="Y3" s="176"/>
    </row>
    <row r="4" spans="1:25" x14ac:dyDescent="0.2">
      <c r="A4" s="150" t="s">
        <v>1251</v>
      </c>
      <c r="B4" s="151" t="s">
        <v>1251</v>
      </c>
      <c r="C4" s="151" t="s">
        <v>1367</v>
      </c>
      <c r="D4" s="151" t="s">
        <v>1368</v>
      </c>
      <c r="E4" s="151" t="s">
        <v>420</v>
      </c>
      <c r="F4" s="151" t="s">
        <v>1753</v>
      </c>
      <c r="G4" s="151" t="s">
        <v>1754</v>
      </c>
      <c r="H4" s="151" t="s">
        <v>75</v>
      </c>
      <c r="I4" s="151" t="s">
        <v>72</v>
      </c>
      <c r="J4" s="151" t="s">
        <v>52</v>
      </c>
      <c r="K4" s="151" t="s">
        <v>52</v>
      </c>
      <c r="L4" s="151" t="s">
        <v>775</v>
      </c>
      <c r="M4" s="151" t="s">
        <v>303</v>
      </c>
      <c r="N4" s="151" t="s">
        <v>251</v>
      </c>
      <c r="O4" s="151" t="s">
        <v>61</v>
      </c>
      <c r="P4" s="151" t="s">
        <v>1255</v>
      </c>
      <c r="Q4" s="152">
        <v>148884</v>
      </c>
      <c r="R4" s="152">
        <v>1</v>
      </c>
      <c r="S4" s="152">
        <v>6979</v>
      </c>
      <c r="T4" s="151"/>
      <c r="U4" s="152">
        <v>10390.614</v>
      </c>
      <c r="V4" s="153">
        <v>9.0000000000000006E-5</v>
      </c>
      <c r="W4" s="153">
        <v>7.4999999999999997E-2</v>
      </c>
      <c r="X4" s="154">
        <v>1.4160000000000001E-2</v>
      </c>
      <c r="Y4" s="176"/>
    </row>
    <row r="5" spans="1:25" x14ac:dyDescent="0.2">
      <c r="A5" s="150" t="s">
        <v>1251</v>
      </c>
      <c r="B5" s="151" t="s">
        <v>1251</v>
      </c>
      <c r="C5" s="151" t="s">
        <v>1375</v>
      </c>
      <c r="D5" s="151" t="s">
        <v>1376</v>
      </c>
      <c r="E5" s="151" t="s">
        <v>420</v>
      </c>
      <c r="F5" s="151" t="s">
        <v>1755</v>
      </c>
      <c r="G5" s="151" t="s">
        <v>1756</v>
      </c>
      <c r="H5" s="151" t="s">
        <v>75</v>
      </c>
      <c r="I5" s="151" t="s">
        <v>72</v>
      </c>
      <c r="J5" s="151" t="s">
        <v>52</v>
      </c>
      <c r="K5" s="151" t="s">
        <v>52</v>
      </c>
      <c r="L5" s="151" t="s">
        <v>775</v>
      </c>
      <c r="M5" s="151" t="s">
        <v>303</v>
      </c>
      <c r="N5" s="151" t="s">
        <v>616</v>
      </c>
      <c r="O5" s="151" t="s">
        <v>61</v>
      </c>
      <c r="P5" s="151" t="s">
        <v>1255</v>
      </c>
      <c r="Q5" s="152">
        <v>34416.9</v>
      </c>
      <c r="R5" s="152">
        <v>1</v>
      </c>
      <c r="S5" s="152">
        <v>20930</v>
      </c>
      <c r="T5" s="151"/>
      <c r="U5" s="152">
        <v>7203.4570000000003</v>
      </c>
      <c r="V5" s="153">
        <v>2.5000000000000001E-4</v>
      </c>
      <c r="W5" s="153">
        <v>5.1999999999999998E-2</v>
      </c>
      <c r="X5" s="154">
        <v>9.8200000000000006E-3</v>
      </c>
      <c r="Y5" s="176"/>
    </row>
    <row r="6" spans="1:25" x14ac:dyDescent="0.2">
      <c r="A6" s="150" t="s">
        <v>1251</v>
      </c>
      <c r="B6" s="151" t="s">
        <v>1251</v>
      </c>
      <c r="C6" s="151" t="s">
        <v>1757</v>
      </c>
      <c r="D6" s="151" t="s">
        <v>1758</v>
      </c>
      <c r="E6" s="151" t="s">
        <v>420</v>
      </c>
      <c r="F6" s="151" t="s">
        <v>1759</v>
      </c>
      <c r="G6" s="151" t="s">
        <v>1760</v>
      </c>
      <c r="H6" s="151" t="s">
        <v>75</v>
      </c>
      <c r="I6" s="151" t="s">
        <v>72</v>
      </c>
      <c r="J6" s="151" t="s">
        <v>52</v>
      </c>
      <c r="K6" s="151" t="s">
        <v>52</v>
      </c>
      <c r="L6" s="151" t="s">
        <v>775</v>
      </c>
      <c r="M6" s="151" t="s">
        <v>303</v>
      </c>
      <c r="N6" s="151" t="s">
        <v>84</v>
      </c>
      <c r="O6" s="151" t="s">
        <v>61</v>
      </c>
      <c r="P6" s="151" t="s">
        <v>1255</v>
      </c>
      <c r="Q6" s="152">
        <v>74590</v>
      </c>
      <c r="R6" s="152">
        <v>1</v>
      </c>
      <c r="S6" s="152">
        <v>9239</v>
      </c>
      <c r="T6" s="151"/>
      <c r="U6" s="152">
        <v>6891.37</v>
      </c>
      <c r="V6" s="153">
        <v>6.0000000000000002E-5</v>
      </c>
      <c r="W6" s="153">
        <v>4.9750000000000003E-2</v>
      </c>
      <c r="X6" s="154">
        <v>9.3900000000000008E-3</v>
      </c>
      <c r="Y6" s="176"/>
    </row>
    <row r="7" spans="1:25" x14ac:dyDescent="0.2">
      <c r="A7" s="150" t="s">
        <v>1251</v>
      </c>
      <c r="B7" s="151" t="s">
        <v>1251</v>
      </c>
      <c r="C7" s="151" t="s">
        <v>1761</v>
      </c>
      <c r="D7" s="151" t="s">
        <v>1762</v>
      </c>
      <c r="E7" s="151" t="s">
        <v>420</v>
      </c>
      <c r="F7" s="151" t="s">
        <v>1763</v>
      </c>
      <c r="G7" s="151" t="s">
        <v>1764</v>
      </c>
      <c r="H7" s="151" t="s">
        <v>75</v>
      </c>
      <c r="I7" s="151" t="s">
        <v>72</v>
      </c>
      <c r="J7" s="151" t="s">
        <v>52</v>
      </c>
      <c r="K7" s="151" t="s">
        <v>52</v>
      </c>
      <c r="L7" s="151" t="s">
        <v>775</v>
      </c>
      <c r="M7" s="151" t="s">
        <v>303</v>
      </c>
      <c r="N7" s="151" t="s">
        <v>251</v>
      </c>
      <c r="O7" s="151" t="s">
        <v>61</v>
      </c>
      <c r="P7" s="151" t="s">
        <v>1255</v>
      </c>
      <c r="Q7" s="152">
        <v>212858</v>
      </c>
      <c r="R7" s="152">
        <v>1</v>
      </c>
      <c r="S7" s="152">
        <v>3148</v>
      </c>
      <c r="T7" s="152">
        <v>74.462000000000003</v>
      </c>
      <c r="U7" s="152">
        <v>6775.232</v>
      </c>
      <c r="V7" s="153">
        <v>1.7000000000000001E-4</v>
      </c>
      <c r="W7" s="153">
        <v>4.9439999999999998E-2</v>
      </c>
      <c r="X7" s="154">
        <v>9.3299999999999998E-3</v>
      </c>
      <c r="Y7" s="176"/>
    </row>
    <row r="8" spans="1:25" x14ac:dyDescent="0.2">
      <c r="A8" s="150" t="s">
        <v>1251</v>
      </c>
      <c r="B8" s="151" t="s">
        <v>1251</v>
      </c>
      <c r="C8" s="151" t="s">
        <v>1765</v>
      </c>
      <c r="D8" s="151" t="s">
        <v>1766</v>
      </c>
      <c r="E8" s="151" t="s">
        <v>420</v>
      </c>
      <c r="F8" s="151" t="s">
        <v>1767</v>
      </c>
      <c r="G8" s="151" t="s">
        <v>1768</v>
      </c>
      <c r="H8" s="151" t="s">
        <v>75</v>
      </c>
      <c r="I8" s="151" t="s">
        <v>72</v>
      </c>
      <c r="J8" s="151" t="s">
        <v>52</v>
      </c>
      <c r="K8" s="151" t="s">
        <v>52</v>
      </c>
      <c r="L8" s="151" t="s">
        <v>775</v>
      </c>
      <c r="M8" s="151" t="s">
        <v>303</v>
      </c>
      <c r="N8" s="151" t="s">
        <v>623</v>
      </c>
      <c r="O8" s="151" t="s">
        <v>61</v>
      </c>
      <c r="P8" s="151" t="s">
        <v>1255</v>
      </c>
      <c r="Q8" s="152">
        <v>2440</v>
      </c>
      <c r="R8" s="152">
        <v>1</v>
      </c>
      <c r="S8" s="152">
        <v>263700</v>
      </c>
      <c r="T8" s="151"/>
      <c r="U8" s="152">
        <v>6434.28</v>
      </c>
      <c r="V8" s="153">
        <v>5.0000000000000002E-5</v>
      </c>
      <c r="W8" s="153">
        <v>4.6449999999999998E-2</v>
      </c>
      <c r="X8" s="154">
        <v>8.77E-3</v>
      </c>
      <c r="Y8" s="176"/>
    </row>
    <row r="9" spans="1:25" x14ac:dyDescent="0.2">
      <c r="A9" s="150" t="s">
        <v>1251</v>
      </c>
      <c r="B9" s="151" t="s">
        <v>1251</v>
      </c>
      <c r="C9" s="151" t="s">
        <v>1769</v>
      </c>
      <c r="D9" s="151" t="s">
        <v>1770</v>
      </c>
      <c r="E9" s="151" t="s">
        <v>420</v>
      </c>
      <c r="F9" s="151" t="s">
        <v>1771</v>
      </c>
      <c r="G9" s="151" t="s">
        <v>1772</v>
      </c>
      <c r="H9" s="151" t="s">
        <v>75</v>
      </c>
      <c r="I9" s="151" t="s">
        <v>72</v>
      </c>
      <c r="J9" s="151" t="s">
        <v>52</v>
      </c>
      <c r="K9" s="151" t="s">
        <v>52</v>
      </c>
      <c r="L9" s="151" t="s">
        <v>775</v>
      </c>
      <c r="M9" s="151" t="s">
        <v>303</v>
      </c>
      <c r="N9" s="151" t="s">
        <v>260</v>
      </c>
      <c r="O9" s="151" t="s">
        <v>61</v>
      </c>
      <c r="P9" s="151" t="s">
        <v>1255</v>
      </c>
      <c r="Q9" s="152">
        <v>35991</v>
      </c>
      <c r="R9" s="152">
        <v>1</v>
      </c>
      <c r="S9" s="152">
        <v>12900</v>
      </c>
      <c r="T9" s="151"/>
      <c r="U9" s="152">
        <v>4642.8389999999999</v>
      </c>
      <c r="V9" s="153">
        <v>2.9999999999999997E-4</v>
      </c>
      <c r="W9" s="153">
        <v>3.3509999999999998E-2</v>
      </c>
      <c r="X9" s="154">
        <v>6.3299999999999997E-3</v>
      </c>
      <c r="Y9" s="176"/>
    </row>
    <row r="10" spans="1:25" x14ac:dyDescent="0.2">
      <c r="A10" s="150" t="s">
        <v>1251</v>
      </c>
      <c r="B10" s="151" t="s">
        <v>1251</v>
      </c>
      <c r="C10" s="151" t="s">
        <v>1773</v>
      </c>
      <c r="D10" s="151" t="s">
        <v>1774</v>
      </c>
      <c r="E10" s="151" t="s">
        <v>420</v>
      </c>
      <c r="F10" s="151" t="s">
        <v>1775</v>
      </c>
      <c r="G10" s="151" t="s">
        <v>1776</v>
      </c>
      <c r="H10" s="151" t="s">
        <v>75</v>
      </c>
      <c r="I10" s="151" t="s">
        <v>72</v>
      </c>
      <c r="J10" s="151" t="s">
        <v>52</v>
      </c>
      <c r="K10" s="151" t="s">
        <v>52</v>
      </c>
      <c r="L10" s="151" t="s">
        <v>775</v>
      </c>
      <c r="M10" s="151" t="s">
        <v>303</v>
      </c>
      <c r="N10" s="151" t="s">
        <v>623</v>
      </c>
      <c r="O10" s="151" t="s">
        <v>61</v>
      </c>
      <c r="P10" s="151" t="s">
        <v>1255</v>
      </c>
      <c r="Q10" s="152">
        <v>14540</v>
      </c>
      <c r="R10" s="152">
        <v>1</v>
      </c>
      <c r="S10" s="152">
        <v>30500</v>
      </c>
      <c r="T10" s="151"/>
      <c r="U10" s="152">
        <v>4434.7</v>
      </c>
      <c r="V10" s="153">
        <v>1.6000000000000001E-4</v>
      </c>
      <c r="W10" s="153">
        <v>3.2009999999999997E-2</v>
      </c>
      <c r="X10" s="154">
        <v>6.0400000000000002E-3</v>
      </c>
      <c r="Y10" s="176"/>
    </row>
    <row r="11" spans="1:25" x14ac:dyDescent="0.2">
      <c r="A11" s="150" t="s">
        <v>1251</v>
      </c>
      <c r="B11" s="151" t="s">
        <v>1251</v>
      </c>
      <c r="C11" s="151" t="s">
        <v>1777</v>
      </c>
      <c r="D11" s="151" t="s">
        <v>1778</v>
      </c>
      <c r="E11" s="151" t="s">
        <v>420</v>
      </c>
      <c r="F11" s="151" t="s">
        <v>1779</v>
      </c>
      <c r="G11" s="151" t="s">
        <v>1780</v>
      </c>
      <c r="H11" s="151" t="s">
        <v>75</v>
      </c>
      <c r="I11" s="151" t="s">
        <v>72</v>
      </c>
      <c r="J11" s="151" t="s">
        <v>52</v>
      </c>
      <c r="K11" s="151" t="s">
        <v>52</v>
      </c>
      <c r="L11" s="151" t="s">
        <v>775</v>
      </c>
      <c r="M11" s="151" t="s">
        <v>303</v>
      </c>
      <c r="N11" s="151" t="s">
        <v>262</v>
      </c>
      <c r="O11" s="151" t="s">
        <v>61</v>
      </c>
      <c r="P11" s="151" t="s">
        <v>1255</v>
      </c>
      <c r="Q11" s="152">
        <v>19400</v>
      </c>
      <c r="R11" s="152">
        <v>1</v>
      </c>
      <c r="S11" s="152">
        <v>22200</v>
      </c>
      <c r="T11" s="151"/>
      <c r="U11" s="152">
        <v>4306.8</v>
      </c>
      <c r="V11" s="153">
        <v>2.4000000000000001E-4</v>
      </c>
      <c r="W11" s="153">
        <v>3.109E-2</v>
      </c>
      <c r="X11" s="154">
        <v>5.8700000000000002E-3</v>
      </c>
      <c r="Y11" s="176"/>
    </row>
    <row r="12" spans="1:25" x14ac:dyDescent="0.2">
      <c r="A12" s="150" t="s">
        <v>1251</v>
      </c>
      <c r="B12" s="151" t="s">
        <v>1251</v>
      </c>
      <c r="C12" s="151" t="s">
        <v>1553</v>
      </c>
      <c r="D12" s="151" t="s">
        <v>1554</v>
      </c>
      <c r="E12" s="151" t="s">
        <v>420</v>
      </c>
      <c r="F12" s="151" t="s">
        <v>1781</v>
      </c>
      <c r="G12" s="151" t="s">
        <v>1782</v>
      </c>
      <c r="H12" s="151" t="s">
        <v>75</v>
      </c>
      <c r="I12" s="151" t="s">
        <v>72</v>
      </c>
      <c r="J12" s="151" t="s">
        <v>52</v>
      </c>
      <c r="K12" s="151" t="s">
        <v>52</v>
      </c>
      <c r="L12" s="151" t="s">
        <v>775</v>
      </c>
      <c r="M12" s="151" t="s">
        <v>303</v>
      </c>
      <c r="N12" s="151" t="s">
        <v>251</v>
      </c>
      <c r="O12" s="151" t="s">
        <v>61</v>
      </c>
      <c r="P12" s="151" t="s">
        <v>1255</v>
      </c>
      <c r="Q12" s="152">
        <v>18581</v>
      </c>
      <c r="R12" s="152">
        <v>1</v>
      </c>
      <c r="S12" s="152">
        <v>22780</v>
      </c>
      <c r="T12" s="151"/>
      <c r="U12" s="152">
        <v>4232.7520000000004</v>
      </c>
      <c r="V12" s="153">
        <v>6.9999999999999994E-5</v>
      </c>
      <c r="W12" s="153">
        <v>3.0550000000000001E-2</v>
      </c>
      <c r="X12" s="154">
        <v>5.77E-3</v>
      </c>
      <c r="Y12" s="176"/>
    </row>
    <row r="13" spans="1:25" x14ac:dyDescent="0.2">
      <c r="A13" s="150" t="s">
        <v>1251</v>
      </c>
      <c r="B13" s="151" t="s">
        <v>1251</v>
      </c>
      <c r="C13" s="151" t="s">
        <v>1783</v>
      </c>
      <c r="D13" s="151" t="s">
        <v>1784</v>
      </c>
      <c r="E13" s="151" t="s">
        <v>420</v>
      </c>
      <c r="F13" s="151" t="s">
        <v>1785</v>
      </c>
      <c r="G13" s="151" t="s">
        <v>1786</v>
      </c>
      <c r="H13" s="151" t="s">
        <v>75</v>
      </c>
      <c r="I13" s="151" t="s">
        <v>72</v>
      </c>
      <c r="J13" s="151" t="s">
        <v>52</v>
      </c>
      <c r="K13" s="151" t="s">
        <v>52</v>
      </c>
      <c r="L13" s="151" t="s">
        <v>775</v>
      </c>
      <c r="M13" s="151" t="s">
        <v>303</v>
      </c>
      <c r="N13" s="151" t="s">
        <v>253</v>
      </c>
      <c r="O13" s="151" t="s">
        <v>61</v>
      </c>
      <c r="P13" s="151" t="s">
        <v>1255</v>
      </c>
      <c r="Q13" s="152">
        <v>548194</v>
      </c>
      <c r="R13" s="152">
        <v>1</v>
      </c>
      <c r="S13" s="152">
        <v>749</v>
      </c>
      <c r="T13" s="151"/>
      <c r="U13" s="152">
        <v>4105.973</v>
      </c>
      <c r="V13" s="153">
        <v>2.0000000000000001E-4</v>
      </c>
      <c r="W13" s="153">
        <v>2.964E-2</v>
      </c>
      <c r="X13" s="154">
        <v>5.5999999999999999E-3</v>
      </c>
      <c r="Y13" s="176"/>
    </row>
    <row r="14" spans="1:25" x14ac:dyDescent="0.2">
      <c r="A14" s="150" t="s">
        <v>1251</v>
      </c>
      <c r="B14" s="151" t="s">
        <v>1251</v>
      </c>
      <c r="C14" s="151" t="s">
        <v>1738</v>
      </c>
      <c r="D14" s="151" t="s">
        <v>1739</v>
      </c>
      <c r="E14" s="151" t="s">
        <v>420</v>
      </c>
      <c r="F14" s="151" t="s">
        <v>1787</v>
      </c>
      <c r="G14" s="151" t="s">
        <v>1788</v>
      </c>
      <c r="H14" s="151" t="s">
        <v>75</v>
      </c>
      <c r="I14" s="151" t="s">
        <v>72</v>
      </c>
      <c r="J14" s="151" t="s">
        <v>52</v>
      </c>
      <c r="K14" s="151" t="s">
        <v>52</v>
      </c>
      <c r="L14" s="151" t="s">
        <v>775</v>
      </c>
      <c r="M14" s="151" t="s">
        <v>303</v>
      </c>
      <c r="N14" s="151" t="s">
        <v>262</v>
      </c>
      <c r="O14" s="151" t="s">
        <v>61</v>
      </c>
      <c r="P14" s="151" t="s">
        <v>1255</v>
      </c>
      <c r="Q14" s="152">
        <v>19703</v>
      </c>
      <c r="R14" s="152">
        <v>1</v>
      </c>
      <c r="S14" s="152">
        <v>16600</v>
      </c>
      <c r="T14" s="151"/>
      <c r="U14" s="152">
        <v>3270.6979999999999</v>
      </c>
      <c r="V14" s="153">
        <v>6.9999999999999994E-5</v>
      </c>
      <c r="W14" s="153">
        <v>2.3609999999999999E-2</v>
      </c>
      <c r="X14" s="154">
        <v>4.4600000000000004E-3</v>
      </c>
      <c r="Y14" s="176"/>
    </row>
    <row r="15" spans="1:25" x14ac:dyDescent="0.2">
      <c r="A15" s="150" t="s">
        <v>1251</v>
      </c>
      <c r="B15" s="151" t="s">
        <v>1251</v>
      </c>
      <c r="C15" s="151" t="s">
        <v>1789</v>
      </c>
      <c r="D15" s="151" t="s">
        <v>1790</v>
      </c>
      <c r="E15" s="151" t="s">
        <v>420</v>
      </c>
      <c r="F15" s="151" t="s">
        <v>1791</v>
      </c>
      <c r="G15" s="151" t="s">
        <v>1792</v>
      </c>
      <c r="H15" s="151" t="s">
        <v>75</v>
      </c>
      <c r="I15" s="151" t="s">
        <v>72</v>
      </c>
      <c r="J15" s="151" t="s">
        <v>52</v>
      </c>
      <c r="K15" s="151" t="s">
        <v>52</v>
      </c>
      <c r="L15" s="151" t="s">
        <v>775</v>
      </c>
      <c r="M15" s="151" t="s">
        <v>303</v>
      </c>
      <c r="N15" s="151" t="s">
        <v>249</v>
      </c>
      <c r="O15" s="151" t="s">
        <v>61</v>
      </c>
      <c r="P15" s="151" t="s">
        <v>1255</v>
      </c>
      <c r="Q15" s="152">
        <v>1952</v>
      </c>
      <c r="R15" s="152">
        <v>1</v>
      </c>
      <c r="S15" s="152">
        <v>135650</v>
      </c>
      <c r="T15" s="151"/>
      <c r="U15" s="152">
        <v>2647.8879999999999</v>
      </c>
      <c r="V15" s="153">
        <v>6.0000000000000002E-5</v>
      </c>
      <c r="W15" s="153">
        <v>1.9109999999999999E-2</v>
      </c>
      <c r="X15" s="154">
        <v>3.6099999999999999E-3</v>
      </c>
      <c r="Y15" s="176"/>
    </row>
    <row r="16" spans="1:25" x14ac:dyDescent="0.2">
      <c r="A16" s="150" t="s">
        <v>1251</v>
      </c>
      <c r="B16" s="151" t="s">
        <v>1251</v>
      </c>
      <c r="C16" s="151" t="s">
        <v>1380</v>
      </c>
      <c r="D16" s="151" t="s">
        <v>1381</v>
      </c>
      <c r="E16" s="151" t="s">
        <v>420</v>
      </c>
      <c r="F16" s="151" t="s">
        <v>1793</v>
      </c>
      <c r="G16" s="151" t="s">
        <v>1794</v>
      </c>
      <c r="H16" s="151" t="s">
        <v>75</v>
      </c>
      <c r="I16" s="151" t="s">
        <v>72</v>
      </c>
      <c r="J16" s="151" t="s">
        <v>52</v>
      </c>
      <c r="K16" s="151" t="s">
        <v>52</v>
      </c>
      <c r="L16" s="151" t="s">
        <v>775</v>
      </c>
      <c r="M16" s="151" t="s">
        <v>303</v>
      </c>
      <c r="N16" s="151" t="s">
        <v>620</v>
      </c>
      <c r="O16" s="151" t="s">
        <v>61</v>
      </c>
      <c r="P16" s="151" t="s">
        <v>1255</v>
      </c>
      <c r="Q16" s="152">
        <v>6066</v>
      </c>
      <c r="R16" s="152">
        <v>1</v>
      </c>
      <c r="S16" s="152">
        <v>40600</v>
      </c>
      <c r="T16" s="152">
        <v>11.446999999999999</v>
      </c>
      <c r="U16" s="152">
        <v>2474.2429999999999</v>
      </c>
      <c r="V16" s="153">
        <v>1.2999999999999999E-4</v>
      </c>
      <c r="W16" s="153">
        <v>1.7940000000000001E-2</v>
      </c>
      <c r="X16" s="154">
        <v>3.3899999999999998E-3</v>
      </c>
      <c r="Y16" s="176"/>
    </row>
    <row r="17" spans="1:25" x14ac:dyDescent="0.2">
      <c r="A17" s="150" t="s">
        <v>1251</v>
      </c>
      <c r="B17" s="151" t="s">
        <v>1251</v>
      </c>
      <c r="C17" s="151" t="s">
        <v>1795</v>
      </c>
      <c r="D17" s="151" t="s">
        <v>1796</v>
      </c>
      <c r="E17" s="151" t="s">
        <v>420</v>
      </c>
      <c r="F17" s="151" t="s">
        <v>1797</v>
      </c>
      <c r="G17" s="151" t="s">
        <v>1798</v>
      </c>
      <c r="H17" s="151" t="s">
        <v>75</v>
      </c>
      <c r="I17" s="151" t="s">
        <v>72</v>
      </c>
      <c r="J17" s="151" t="s">
        <v>52</v>
      </c>
      <c r="K17" s="151" t="s">
        <v>52</v>
      </c>
      <c r="L17" s="151" t="s">
        <v>775</v>
      </c>
      <c r="M17" s="151" t="s">
        <v>303</v>
      </c>
      <c r="N17" s="151" t="s">
        <v>249</v>
      </c>
      <c r="O17" s="151" t="s">
        <v>61</v>
      </c>
      <c r="P17" s="151" t="s">
        <v>1255</v>
      </c>
      <c r="Q17" s="152">
        <v>5282</v>
      </c>
      <c r="R17" s="152">
        <v>1</v>
      </c>
      <c r="S17" s="152">
        <v>46340</v>
      </c>
      <c r="T17" s="151"/>
      <c r="U17" s="152">
        <v>2447.6790000000001</v>
      </c>
      <c r="V17" s="153">
        <v>1.1E-4</v>
      </c>
      <c r="W17" s="153">
        <v>1.7670000000000002E-2</v>
      </c>
      <c r="X17" s="154">
        <v>3.3400000000000001E-3</v>
      </c>
      <c r="Y17" s="176"/>
    </row>
    <row r="18" spans="1:25" x14ac:dyDescent="0.2">
      <c r="A18" s="150" t="s">
        <v>1251</v>
      </c>
      <c r="B18" s="151" t="s">
        <v>1251</v>
      </c>
      <c r="C18" s="151" t="s">
        <v>1799</v>
      </c>
      <c r="D18" s="151" t="s">
        <v>1800</v>
      </c>
      <c r="E18" s="151" t="s">
        <v>420</v>
      </c>
      <c r="F18" s="151" t="s">
        <v>1801</v>
      </c>
      <c r="G18" s="151" t="s">
        <v>1802</v>
      </c>
      <c r="H18" s="151" t="s">
        <v>75</v>
      </c>
      <c r="I18" s="151" t="s">
        <v>72</v>
      </c>
      <c r="J18" s="151" t="s">
        <v>52</v>
      </c>
      <c r="K18" s="151" t="s">
        <v>52</v>
      </c>
      <c r="L18" s="151" t="s">
        <v>775</v>
      </c>
      <c r="M18" s="151" t="s">
        <v>303</v>
      </c>
      <c r="N18" s="151" t="s">
        <v>249</v>
      </c>
      <c r="O18" s="151" t="s">
        <v>61</v>
      </c>
      <c r="P18" s="151" t="s">
        <v>1255</v>
      </c>
      <c r="Q18" s="152">
        <v>4470</v>
      </c>
      <c r="R18" s="152">
        <v>1</v>
      </c>
      <c r="S18" s="152">
        <v>53870</v>
      </c>
      <c r="T18" s="151"/>
      <c r="U18" s="152">
        <v>2407.989</v>
      </c>
      <c r="V18" s="153">
        <v>4.0000000000000003E-5</v>
      </c>
      <c r="W18" s="153">
        <v>1.738E-2</v>
      </c>
      <c r="X18" s="154">
        <v>3.2799999999999999E-3</v>
      </c>
      <c r="Y18" s="176"/>
    </row>
    <row r="19" spans="1:25" x14ac:dyDescent="0.2">
      <c r="A19" s="150" t="s">
        <v>1251</v>
      </c>
      <c r="B19" s="151" t="s">
        <v>1251</v>
      </c>
      <c r="C19" s="151" t="s">
        <v>1803</v>
      </c>
      <c r="D19" s="151" t="s">
        <v>1804</v>
      </c>
      <c r="E19" s="151" t="s">
        <v>420</v>
      </c>
      <c r="F19" s="151" t="s">
        <v>1805</v>
      </c>
      <c r="G19" s="151" t="s">
        <v>1806</v>
      </c>
      <c r="H19" s="151" t="s">
        <v>75</v>
      </c>
      <c r="I19" s="151" t="s">
        <v>72</v>
      </c>
      <c r="J19" s="151" t="s">
        <v>52</v>
      </c>
      <c r="K19" s="151" t="s">
        <v>52</v>
      </c>
      <c r="L19" s="151" t="s">
        <v>775</v>
      </c>
      <c r="M19" s="151" t="s">
        <v>303</v>
      </c>
      <c r="N19" s="151" t="s">
        <v>253</v>
      </c>
      <c r="O19" s="151" t="s">
        <v>61</v>
      </c>
      <c r="P19" s="151" t="s">
        <v>1255</v>
      </c>
      <c r="Q19" s="152">
        <v>59000</v>
      </c>
      <c r="R19" s="152">
        <v>1</v>
      </c>
      <c r="S19" s="152">
        <v>3509</v>
      </c>
      <c r="T19" s="151"/>
      <c r="U19" s="152">
        <v>2070.31</v>
      </c>
      <c r="V19" s="153">
        <v>3.1E-4</v>
      </c>
      <c r="W19" s="153">
        <v>1.494E-2</v>
      </c>
      <c r="X19" s="154">
        <v>2.82E-3</v>
      </c>
      <c r="Y19" s="176"/>
    </row>
    <row r="20" spans="1:25" x14ac:dyDescent="0.2">
      <c r="A20" s="150" t="s">
        <v>1251</v>
      </c>
      <c r="B20" s="151" t="s">
        <v>1251</v>
      </c>
      <c r="C20" s="151" t="s">
        <v>1464</v>
      </c>
      <c r="D20" s="151" t="s">
        <v>1465</v>
      </c>
      <c r="E20" s="151" t="s">
        <v>420</v>
      </c>
      <c r="F20" s="151" t="s">
        <v>1807</v>
      </c>
      <c r="G20" s="151" t="s">
        <v>1808</v>
      </c>
      <c r="H20" s="151" t="s">
        <v>75</v>
      </c>
      <c r="I20" s="151" t="s">
        <v>72</v>
      </c>
      <c r="J20" s="151" t="s">
        <v>52</v>
      </c>
      <c r="K20" s="151" t="s">
        <v>52</v>
      </c>
      <c r="L20" s="151" t="s">
        <v>775</v>
      </c>
      <c r="M20" s="151" t="s">
        <v>303</v>
      </c>
      <c r="N20" s="151" t="s">
        <v>616</v>
      </c>
      <c r="O20" s="151" t="s">
        <v>61</v>
      </c>
      <c r="P20" s="151" t="s">
        <v>1255</v>
      </c>
      <c r="Q20" s="152">
        <v>99416</v>
      </c>
      <c r="R20" s="152">
        <v>1</v>
      </c>
      <c r="S20" s="152">
        <v>1890</v>
      </c>
      <c r="T20" s="151"/>
      <c r="U20" s="152">
        <v>1878.962</v>
      </c>
      <c r="V20" s="153">
        <v>1.7000000000000001E-4</v>
      </c>
      <c r="W20" s="153">
        <v>1.3559999999999999E-2</v>
      </c>
      <c r="X20" s="154">
        <v>2.5600000000000002E-3</v>
      </c>
      <c r="Y20" s="176"/>
    </row>
    <row r="21" spans="1:25" x14ac:dyDescent="0.2">
      <c r="A21" s="150" t="s">
        <v>1251</v>
      </c>
      <c r="B21" s="151" t="s">
        <v>1251</v>
      </c>
      <c r="C21" s="151" t="s">
        <v>1392</v>
      </c>
      <c r="D21" s="151" t="s">
        <v>1393</v>
      </c>
      <c r="E21" s="151" t="s">
        <v>420</v>
      </c>
      <c r="F21" s="151" t="s">
        <v>1809</v>
      </c>
      <c r="G21" s="151" t="s">
        <v>1810</v>
      </c>
      <c r="H21" s="151" t="s">
        <v>75</v>
      </c>
      <c r="I21" s="151" t="s">
        <v>72</v>
      </c>
      <c r="J21" s="151" t="s">
        <v>52</v>
      </c>
      <c r="K21" s="151" t="s">
        <v>52</v>
      </c>
      <c r="L21" s="151" t="s">
        <v>775</v>
      </c>
      <c r="M21" s="151" t="s">
        <v>303</v>
      </c>
      <c r="N21" s="151" t="s">
        <v>620</v>
      </c>
      <c r="O21" s="151" t="s">
        <v>61</v>
      </c>
      <c r="P21" s="151" t="s">
        <v>1255</v>
      </c>
      <c r="Q21" s="152">
        <v>4407</v>
      </c>
      <c r="R21" s="152">
        <v>1</v>
      </c>
      <c r="S21" s="152">
        <v>41870</v>
      </c>
      <c r="T21" s="151"/>
      <c r="U21" s="152">
        <v>1845.211</v>
      </c>
      <c r="V21" s="153">
        <v>4.0000000000000003E-5</v>
      </c>
      <c r="W21" s="153">
        <v>1.332E-2</v>
      </c>
      <c r="X21" s="154">
        <v>2.5100000000000001E-3</v>
      </c>
      <c r="Y21" s="176"/>
    </row>
    <row r="22" spans="1:25" x14ac:dyDescent="0.2">
      <c r="A22" s="150" t="s">
        <v>1251</v>
      </c>
      <c r="B22" s="151" t="s">
        <v>1251</v>
      </c>
      <c r="C22" s="151" t="s">
        <v>1543</v>
      </c>
      <c r="D22" s="151" t="s">
        <v>1544</v>
      </c>
      <c r="E22" s="151" t="s">
        <v>420</v>
      </c>
      <c r="F22" s="151" t="s">
        <v>1811</v>
      </c>
      <c r="G22" s="151" t="s">
        <v>1812</v>
      </c>
      <c r="H22" s="151" t="s">
        <v>75</v>
      </c>
      <c r="I22" s="151" t="s">
        <v>72</v>
      </c>
      <c r="J22" s="151" t="s">
        <v>52</v>
      </c>
      <c r="K22" s="151" t="s">
        <v>52</v>
      </c>
      <c r="L22" s="151" t="s">
        <v>775</v>
      </c>
      <c r="M22" s="151" t="s">
        <v>303</v>
      </c>
      <c r="N22" s="151" t="s">
        <v>620</v>
      </c>
      <c r="O22" s="151" t="s">
        <v>61</v>
      </c>
      <c r="P22" s="151" t="s">
        <v>1255</v>
      </c>
      <c r="Q22" s="152">
        <v>90000</v>
      </c>
      <c r="R22" s="152">
        <v>1</v>
      </c>
      <c r="S22" s="152">
        <v>1923</v>
      </c>
      <c r="T22" s="151"/>
      <c r="U22" s="152">
        <v>1730.7</v>
      </c>
      <c r="V22" s="153">
        <v>1.8000000000000001E-4</v>
      </c>
      <c r="W22" s="153">
        <v>1.2489999999999999E-2</v>
      </c>
      <c r="X22" s="154">
        <v>2.3600000000000001E-3</v>
      </c>
      <c r="Y22" s="176"/>
    </row>
    <row r="23" spans="1:25" x14ac:dyDescent="0.2">
      <c r="A23" s="150" t="s">
        <v>1251</v>
      </c>
      <c r="B23" s="151" t="s">
        <v>1251</v>
      </c>
      <c r="C23" s="151" t="s">
        <v>1719</v>
      </c>
      <c r="D23" s="151" t="s">
        <v>1720</v>
      </c>
      <c r="E23" s="151" t="s">
        <v>420</v>
      </c>
      <c r="F23" s="151" t="s">
        <v>1813</v>
      </c>
      <c r="G23" s="151" t="s">
        <v>1814</v>
      </c>
      <c r="H23" s="151" t="s">
        <v>75</v>
      </c>
      <c r="I23" s="151" t="s">
        <v>72</v>
      </c>
      <c r="J23" s="151" t="s">
        <v>52</v>
      </c>
      <c r="K23" s="151" t="s">
        <v>52</v>
      </c>
      <c r="L23" s="151" t="s">
        <v>775</v>
      </c>
      <c r="M23" s="151" t="s">
        <v>303</v>
      </c>
      <c r="N23" s="151" t="s">
        <v>620</v>
      </c>
      <c r="O23" s="151" t="s">
        <v>61</v>
      </c>
      <c r="P23" s="151" t="s">
        <v>1255</v>
      </c>
      <c r="Q23" s="152">
        <v>3250</v>
      </c>
      <c r="R23" s="152">
        <v>1</v>
      </c>
      <c r="S23" s="152">
        <v>50060</v>
      </c>
      <c r="T23" s="151"/>
      <c r="U23" s="152">
        <v>1626.95</v>
      </c>
      <c r="V23" s="153">
        <v>9.0000000000000006E-5</v>
      </c>
      <c r="W23" s="153">
        <v>1.174E-2</v>
      </c>
      <c r="X23" s="154">
        <v>2.2200000000000002E-3</v>
      </c>
      <c r="Y23" s="176"/>
    </row>
    <row r="24" spans="1:25" x14ac:dyDescent="0.2">
      <c r="A24" s="150" t="s">
        <v>1251</v>
      </c>
      <c r="B24" s="151" t="s">
        <v>1251</v>
      </c>
      <c r="C24" s="151" t="s">
        <v>1454</v>
      </c>
      <c r="D24" s="151" t="s">
        <v>1455</v>
      </c>
      <c r="E24" s="151" t="s">
        <v>420</v>
      </c>
      <c r="F24" s="151" t="s">
        <v>1815</v>
      </c>
      <c r="G24" s="151" t="s">
        <v>1816</v>
      </c>
      <c r="H24" s="151" t="s">
        <v>75</v>
      </c>
      <c r="I24" s="151" t="s">
        <v>72</v>
      </c>
      <c r="J24" s="151" t="s">
        <v>52</v>
      </c>
      <c r="K24" s="151" t="s">
        <v>52</v>
      </c>
      <c r="L24" s="151" t="s">
        <v>775</v>
      </c>
      <c r="M24" s="151" t="s">
        <v>303</v>
      </c>
      <c r="N24" s="151" t="s">
        <v>138</v>
      </c>
      <c r="O24" s="151" t="s">
        <v>61</v>
      </c>
      <c r="P24" s="151" t="s">
        <v>1255</v>
      </c>
      <c r="Q24" s="152">
        <v>3392</v>
      </c>
      <c r="R24" s="152">
        <v>1</v>
      </c>
      <c r="S24" s="152">
        <v>42240</v>
      </c>
      <c r="T24" s="151"/>
      <c r="U24" s="152">
        <v>1432.7809999999999</v>
      </c>
      <c r="V24" s="153">
        <v>1.4999999999999999E-4</v>
      </c>
      <c r="W24" s="153">
        <v>1.034E-2</v>
      </c>
      <c r="X24" s="154">
        <v>1.9499999999999999E-3</v>
      </c>
      <c r="Y24" s="176"/>
    </row>
    <row r="25" spans="1:25" x14ac:dyDescent="0.2">
      <c r="A25" s="150" t="s">
        <v>1251</v>
      </c>
      <c r="B25" s="151" t="s">
        <v>1251</v>
      </c>
      <c r="C25" s="151" t="s">
        <v>1361</v>
      </c>
      <c r="D25" s="151" t="s">
        <v>1362</v>
      </c>
      <c r="E25" s="151" t="s">
        <v>420</v>
      </c>
      <c r="F25" s="151" t="s">
        <v>1817</v>
      </c>
      <c r="G25" s="151" t="s">
        <v>1818</v>
      </c>
      <c r="H25" s="151" t="s">
        <v>75</v>
      </c>
      <c r="I25" s="151" t="s">
        <v>72</v>
      </c>
      <c r="J25" s="151" t="s">
        <v>52</v>
      </c>
      <c r="K25" s="151" t="s">
        <v>52</v>
      </c>
      <c r="L25" s="151" t="s">
        <v>775</v>
      </c>
      <c r="M25" s="151" t="s">
        <v>303</v>
      </c>
      <c r="N25" s="151" t="s">
        <v>620</v>
      </c>
      <c r="O25" s="151" t="s">
        <v>61</v>
      </c>
      <c r="P25" s="151" t="s">
        <v>1255</v>
      </c>
      <c r="Q25" s="152">
        <v>41932</v>
      </c>
      <c r="R25" s="152">
        <v>1</v>
      </c>
      <c r="S25" s="152">
        <v>3375</v>
      </c>
      <c r="T25" s="152">
        <v>15.983000000000001</v>
      </c>
      <c r="U25" s="152">
        <v>1431.1880000000001</v>
      </c>
      <c r="V25" s="153">
        <v>1.9000000000000001E-4</v>
      </c>
      <c r="W25" s="153">
        <v>1.0449999999999999E-2</v>
      </c>
      <c r="X25" s="154">
        <v>1.97E-3</v>
      </c>
      <c r="Y25" s="176"/>
    </row>
    <row r="26" spans="1:25" x14ac:dyDescent="0.2">
      <c r="A26" s="150" t="s">
        <v>1251</v>
      </c>
      <c r="B26" s="151" t="s">
        <v>1251</v>
      </c>
      <c r="C26" s="151" t="s">
        <v>1819</v>
      </c>
      <c r="D26" s="151" t="s">
        <v>1820</v>
      </c>
      <c r="E26" s="151" t="s">
        <v>420</v>
      </c>
      <c r="F26" s="151" t="s">
        <v>1821</v>
      </c>
      <c r="G26" s="151" t="s">
        <v>1822</v>
      </c>
      <c r="H26" s="151" t="s">
        <v>75</v>
      </c>
      <c r="I26" s="151" t="s">
        <v>72</v>
      </c>
      <c r="J26" s="151" t="s">
        <v>52</v>
      </c>
      <c r="K26" s="151" t="s">
        <v>52</v>
      </c>
      <c r="L26" s="151" t="s">
        <v>775</v>
      </c>
      <c r="M26" s="151" t="s">
        <v>303</v>
      </c>
      <c r="N26" s="151" t="s">
        <v>620</v>
      </c>
      <c r="O26" s="151" t="s">
        <v>61</v>
      </c>
      <c r="P26" s="151" t="s">
        <v>1255</v>
      </c>
      <c r="Q26" s="152">
        <v>669850</v>
      </c>
      <c r="R26" s="152">
        <v>1</v>
      </c>
      <c r="S26" s="152">
        <v>210</v>
      </c>
      <c r="T26" s="152">
        <v>21.904</v>
      </c>
      <c r="U26" s="152">
        <v>1428.5889999999999</v>
      </c>
      <c r="V26" s="153">
        <v>7.9000000000000001E-4</v>
      </c>
      <c r="W26" s="153">
        <v>1.047E-2</v>
      </c>
      <c r="X26" s="154">
        <v>1.98E-3</v>
      </c>
      <c r="Y26" s="176"/>
    </row>
    <row r="27" spans="1:25" x14ac:dyDescent="0.2">
      <c r="A27" s="150" t="s">
        <v>1251</v>
      </c>
      <c r="B27" s="151" t="s">
        <v>1251</v>
      </c>
      <c r="C27" s="151" t="s">
        <v>1823</v>
      </c>
      <c r="D27" s="151" t="s">
        <v>1824</v>
      </c>
      <c r="E27" s="151" t="s">
        <v>420</v>
      </c>
      <c r="F27" s="151" t="s">
        <v>1825</v>
      </c>
      <c r="G27" s="151" t="s">
        <v>1826</v>
      </c>
      <c r="H27" s="151" t="s">
        <v>75</v>
      </c>
      <c r="I27" s="151" t="s">
        <v>72</v>
      </c>
      <c r="J27" s="151" t="s">
        <v>52</v>
      </c>
      <c r="K27" s="151" t="s">
        <v>52</v>
      </c>
      <c r="L27" s="151" t="s">
        <v>775</v>
      </c>
      <c r="M27" s="151" t="s">
        <v>303</v>
      </c>
      <c r="N27" s="151" t="s">
        <v>260</v>
      </c>
      <c r="O27" s="151" t="s">
        <v>61</v>
      </c>
      <c r="P27" s="151" t="s">
        <v>1255</v>
      </c>
      <c r="Q27" s="152">
        <v>70000</v>
      </c>
      <c r="R27" s="152">
        <v>1</v>
      </c>
      <c r="S27" s="152">
        <v>1799</v>
      </c>
      <c r="T27" s="151"/>
      <c r="U27" s="152">
        <v>1259.3</v>
      </c>
      <c r="V27" s="153">
        <v>6.0000000000000002E-5</v>
      </c>
      <c r="W27" s="153">
        <v>9.0900000000000009E-3</v>
      </c>
      <c r="X27" s="154">
        <v>1.72E-3</v>
      </c>
      <c r="Y27" s="176"/>
    </row>
    <row r="28" spans="1:25" x14ac:dyDescent="0.2">
      <c r="A28" s="150" t="s">
        <v>1251</v>
      </c>
      <c r="B28" s="151" t="s">
        <v>1251</v>
      </c>
      <c r="C28" s="151" t="s">
        <v>1827</v>
      </c>
      <c r="D28" s="151" t="s">
        <v>1828</v>
      </c>
      <c r="E28" s="151" t="s">
        <v>420</v>
      </c>
      <c r="F28" s="151" t="s">
        <v>1829</v>
      </c>
      <c r="G28" s="151" t="s">
        <v>1830</v>
      </c>
      <c r="H28" s="151" t="s">
        <v>75</v>
      </c>
      <c r="I28" s="151" t="s">
        <v>72</v>
      </c>
      <c r="J28" s="151" t="s">
        <v>52</v>
      </c>
      <c r="K28" s="151" t="s">
        <v>52</v>
      </c>
      <c r="L28" s="151" t="s">
        <v>775</v>
      </c>
      <c r="M28" s="151" t="s">
        <v>303</v>
      </c>
      <c r="N28" s="151" t="s">
        <v>256</v>
      </c>
      <c r="O28" s="151" t="s">
        <v>61</v>
      </c>
      <c r="P28" s="151" t="s">
        <v>1255</v>
      </c>
      <c r="Q28" s="152">
        <v>139933</v>
      </c>
      <c r="R28" s="152">
        <v>1</v>
      </c>
      <c r="S28" s="152">
        <v>805.7</v>
      </c>
      <c r="T28" s="152">
        <v>24.253</v>
      </c>
      <c r="U28" s="152">
        <v>1151.694</v>
      </c>
      <c r="V28" s="153">
        <v>4.8999999999999998E-4</v>
      </c>
      <c r="W28" s="153">
        <v>8.4899999999999993E-3</v>
      </c>
      <c r="X28" s="154">
        <v>1.6000000000000001E-3</v>
      </c>
      <c r="Y28" s="176"/>
    </row>
    <row r="29" spans="1:25" x14ac:dyDescent="0.2">
      <c r="A29" s="150" t="s">
        <v>1251</v>
      </c>
      <c r="B29" s="151" t="s">
        <v>1251</v>
      </c>
      <c r="C29" s="151" t="s">
        <v>1831</v>
      </c>
      <c r="D29" s="151" t="s">
        <v>1832</v>
      </c>
      <c r="E29" s="151" t="s">
        <v>420</v>
      </c>
      <c r="F29" s="151" t="s">
        <v>1833</v>
      </c>
      <c r="G29" s="151" t="s">
        <v>1834</v>
      </c>
      <c r="H29" s="151" t="s">
        <v>75</v>
      </c>
      <c r="I29" s="151" t="s">
        <v>72</v>
      </c>
      <c r="J29" s="151" t="s">
        <v>52</v>
      </c>
      <c r="K29" s="151" t="s">
        <v>52</v>
      </c>
      <c r="L29" s="151" t="s">
        <v>775</v>
      </c>
      <c r="M29" s="151" t="s">
        <v>303</v>
      </c>
      <c r="N29" s="151" t="s">
        <v>138</v>
      </c>
      <c r="O29" s="151" t="s">
        <v>61</v>
      </c>
      <c r="P29" s="151" t="s">
        <v>1255</v>
      </c>
      <c r="Q29" s="152">
        <v>64687</v>
      </c>
      <c r="R29" s="152">
        <v>1</v>
      </c>
      <c r="S29" s="152">
        <v>1751</v>
      </c>
      <c r="T29" s="152">
        <v>4.7409999999999997</v>
      </c>
      <c r="U29" s="152">
        <v>1137.4100000000001</v>
      </c>
      <c r="V29" s="153">
        <v>1.9000000000000001E-4</v>
      </c>
      <c r="W29" s="153">
        <v>8.2400000000000008E-3</v>
      </c>
      <c r="X29" s="154">
        <v>1.56E-3</v>
      </c>
      <c r="Y29" s="176"/>
    </row>
    <row r="30" spans="1:25" x14ac:dyDescent="0.2">
      <c r="A30" s="150" t="s">
        <v>1251</v>
      </c>
      <c r="B30" s="151" t="s">
        <v>1251</v>
      </c>
      <c r="C30" s="151" t="s">
        <v>1835</v>
      </c>
      <c r="D30" s="151" t="s">
        <v>1836</v>
      </c>
      <c r="E30" s="151" t="s">
        <v>420</v>
      </c>
      <c r="F30" s="151" t="s">
        <v>1837</v>
      </c>
      <c r="G30" s="151" t="s">
        <v>1838</v>
      </c>
      <c r="H30" s="151" t="s">
        <v>75</v>
      </c>
      <c r="I30" s="151" t="s">
        <v>72</v>
      </c>
      <c r="J30" s="151" t="s">
        <v>52</v>
      </c>
      <c r="K30" s="151" t="s">
        <v>52</v>
      </c>
      <c r="L30" s="151" t="s">
        <v>775</v>
      </c>
      <c r="M30" s="151" t="s">
        <v>303</v>
      </c>
      <c r="N30" s="151" t="s">
        <v>255</v>
      </c>
      <c r="O30" s="151" t="s">
        <v>61</v>
      </c>
      <c r="P30" s="151" t="s">
        <v>1255</v>
      </c>
      <c r="Q30" s="152">
        <v>4300</v>
      </c>
      <c r="R30" s="152">
        <v>1</v>
      </c>
      <c r="S30" s="152">
        <v>26010</v>
      </c>
      <c r="T30" s="151"/>
      <c r="U30" s="152">
        <v>1118.43</v>
      </c>
      <c r="V30" s="153">
        <v>4.6999999999999999E-4</v>
      </c>
      <c r="W30" s="153">
        <v>8.0700000000000008E-3</v>
      </c>
      <c r="X30" s="154">
        <v>1.5200000000000001E-3</v>
      </c>
      <c r="Y30" s="176"/>
    </row>
    <row r="31" spans="1:25" x14ac:dyDescent="0.2">
      <c r="A31" s="150" t="s">
        <v>1251</v>
      </c>
      <c r="B31" s="151" t="s">
        <v>1251</v>
      </c>
      <c r="C31" s="151" t="s">
        <v>1839</v>
      </c>
      <c r="D31" s="151" t="s">
        <v>1840</v>
      </c>
      <c r="E31" s="151" t="s">
        <v>420</v>
      </c>
      <c r="F31" s="151" t="s">
        <v>1841</v>
      </c>
      <c r="G31" s="151" t="s">
        <v>1842</v>
      </c>
      <c r="H31" s="151" t="s">
        <v>75</v>
      </c>
      <c r="I31" s="151" t="s">
        <v>72</v>
      </c>
      <c r="J31" s="151" t="s">
        <v>52</v>
      </c>
      <c r="K31" s="151" t="s">
        <v>52</v>
      </c>
      <c r="L31" s="151" t="s">
        <v>775</v>
      </c>
      <c r="M31" s="151" t="s">
        <v>303</v>
      </c>
      <c r="N31" s="151" t="s">
        <v>248</v>
      </c>
      <c r="O31" s="151" t="s">
        <v>61</v>
      </c>
      <c r="P31" s="151" t="s">
        <v>1255</v>
      </c>
      <c r="Q31" s="152">
        <v>3164</v>
      </c>
      <c r="R31" s="152">
        <v>1</v>
      </c>
      <c r="S31" s="152">
        <v>34690</v>
      </c>
      <c r="T31" s="151"/>
      <c r="U31" s="152">
        <v>1097.5920000000001</v>
      </c>
      <c r="V31" s="153">
        <v>4.0000000000000003E-5</v>
      </c>
      <c r="W31" s="153">
        <v>7.92E-3</v>
      </c>
      <c r="X31" s="154">
        <v>1.5E-3</v>
      </c>
      <c r="Y31" s="176"/>
    </row>
    <row r="32" spans="1:25" x14ac:dyDescent="0.2">
      <c r="A32" s="150" t="s">
        <v>1251</v>
      </c>
      <c r="B32" s="151" t="s">
        <v>1251</v>
      </c>
      <c r="C32" s="151" t="s">
        <v>1843</v>
      </c>
      <c r="D32" s="151" t="s">
        <v>1844</v>
      </c>
      <c r="E32" s="151" t="s">
        <v>420</v>
      </c>
      <c r="F32" s="151" t="s">
        <v>1845</v>
      </c>
      <c r="G32" s="151" t="s">
        <v>1846</v>
      </c>
      <c r="H32" s="151" t="s">
        <v>75</v>
      </c>
      <c r="I32" s="151" t="s">
        <v>72</v>
      </c>
      <c r="J32" s="151" t="s">
        <v>52</v>
      </c>
      <c r="K32" s="151" t="s">
        <v>52</v>
      </c>
      <c r="L32" s="151" t="s">
        <v>775</v>
      </c>
      <c r="M32" s="151" t="s">
        <v>466</v>
      </c>
      <c r="N32" s="151" t="s">
        <v>249</v>
      </c>
      <c r="O32" s="151" t="s">
        <v>61</v>
      </c>
      <c r="P32" s="151" t="s">
        <v>1256</v>
      </c>
      <c r="Q32" s="152">
        <v>2400</v>
      </c>
      <c r="R32" s="152">
        <v>3.165</v>
      </c>
      <c r="S32" s="152">
        <v>14285</v>
      </c>
      <c r="T32" s="151"/>
      <c r="U32" s="152">
        <v>1085.0889999999999</v>
      </c>
      <c r="V32" s="153">
        <v>2.0000000000000002E-5</v>
      </c>
      <c r="W32" s="153">
        <v>7.8300000000000002E-3</v>
      </c>
      <c r="X32" s="154">
        <v>1.48E-3</v>
      </c>
      <c r="Y32" s="176"/>
    </row>
    <row r="33" spans="1:25" x14ac:dyDescent="0.2">
      <c r="A33" s="150" t="s">
        <v>1251</v>
      </c>
      <c r="B33" s="151" t="s">
        <v>1251</v>
      </c>
      <c r="C33" s="151" t="s">
        <v>1558</v>
      </c>
      <c r="D33" s="151" t="s">
        <v>1559</v>
      </c>
      <c r="E33" s="151" t="s">
        <v>420</v>
      </c>
      <c r="F33" s="151" t="s">
        <v>1847</v>
      </c>
      <c r="G33" s="151" t="s">
        <v>1848</v>
      </c>
      <c r="H33" s="151" t="s">
        <v>75</v>
      </c>
      <c r="I33" s="151" t="s">
        <v>72</v>
      </c>
      <c r="J33" s="151" t="s">
        <v>52</v>
      </c>
      <c r="K33" s="151" t="s">
        <v>52</v>
      </c>
      <c r="L33" s="151" t="s">
        <v>775</v>
      </c>
      <c r="M33" s="151" t="s">
        <v>303</v>
      </c>
      <c r="N33" s="151" t="s">
        <v>620</v>
      </c>
      <c r="O33" s="151" t="s">
        <v>61</v>
      </c>
      <c r="P33" s="151" t="s">
        <v>1255</v>
      </c>
      <c r="Q33" s="152">
        <v>1500</v>
      </c>
      <c r="R33" s="152">
        <v>1</v>
      </c>
      <c r="S33" s="152">
        <v>71680</v>
      </c>
      <c r="T33" s="151"/>
      <c r="U33" s="152">
        <v>1075.2</v>
      </c>
      <c r="V33" s="153">
        <v>6.0000000000000002E-5</v>
      </c>
      <c r="W33" s="153">
        <v>7.7600000000000004E-3</v>
      </c>
      <c r="X33" s="154">
        <v>1.47E-3</v>
      </c>
      <c r="Y33" s="176"/>
    </row>
    <row r="34" spans="1:25" x14ac:dyDescent="0.2">
      <c r="A34" s="150" t="s">
        <v>1251</v>
      </c>
      <c r="B34" s="151" t="s">
        <v>1251</v>
      </c>
      <c r="C34" s="151" t="s">
        <v>1849</v>
      </c>
      <c r="D34" s="151" t="s">
        <v>1850</v>
      </c>
      <c r="E34" s="151" t="s">
        <v>420</v>
      </c>
      <c r="F34" s="151" t="s">
        <v>1851</v>
      </c>
      <c r="G34" s="151" t="s">
        <v>1852</v>
      </c>
      <c r="H34" s="151" t="s">
        <v>75</v>
      </c>
      <c r="I34" s="151" t="s">
        <v>72</v>
      </c>
      <c r="J34" s="151" t="s">
        <v>52</v>
      </c>
      <c r="K34" s="151" t="s">
        <v>52</v>
      </c>
      <c r="L34" s="151" t="s">
        <v>775</v>
      </c>
      <c r="M34" s="151" t="s">
        <v>303</v>
      </c>
      <c r="N34" s="151" t="s">
        <v>1212</v>
      </c>
      <c r="O34" s="151" t="s">
        <v>61</v>
      </c>
      <c r="P34" s="151" t="s">
        <v>1255</v>
      </c>
      <c r="Q34" s="152">
        <v>7000</v>
      </c>
      <c r="R34" s="152">
        <v>1</v>
      </c>
      <c r="S34" s="152">
        <v>13860</v>
      </c>
      <c r="T34" s="151"/>
      <c r="U34" s="152">
        <v>970.2</v>
      </c>
      <c r="V34" s="153">
        <v>6.9999999999999994E-5</v>
      </c>
      <c r="W34" s="153">
        <v>7.0000000000000001E-3</v>
      </c>
      <c r="X34" s="154">
        <v>1.32E-3</v>
      </c>
      <c r="Y34" s="176"/>
    </row>
    <row r="35" spans="1:25" x14ac:dyDescent="0.2">
      <c r="A35" s="150" t="s">
        <v>1251</v>
      </c>
      <c r="B35" s="151" t="s">
        <v>1251</v>
      </c>
      <c r="C35" s="151" t="s">
        <v>1853</v>
      </c>
      <c r="D35" s="151" t="s">
        <v>1854</v>
      </c>
      <c r="E35" s="151" t="s">
        <v>420</v>
      </c>
      <c r="F35" s="151" t="s">
        <v>1855</v>
      </c>
      <c r="G35" s="151" t="s">
        <v>1856</v>
      </c>
      <c r="H35" s="151" t="s">
        <v>75</v>
      </c>
      <c r="I35" s="151" t="s">
        <v>72</v>
      </c>
      <c r="J35" s="151" t="s">
        <v>52</v>
      </c>
      <c r="K35" s="151" t="s">
        <v>52</v>
      </c>
      <c r="L35" s="151" t="s">
        <v>775</v>
      </c>
      <c r="M35" s="151" t="s">
        <v>303</v>
      </c>
      <c r="N35" s="151" t="s">
        <v>262</v>
      </c>
      <c r="O35" s="151" t="s">
        <v>61</v>
      </c>
      <c r="P35" s="151" t="s">
        <v>1255</v>
      </c>
      <c r="Q35" s="152">
        <v>1800</v>
      </c>
      <c r="R35" s="152">
        <v>1</v>
      </c>
      <c r="S35" s="152">
        <v>45370</v>
      </c>
      <c r="T35" s="151"/>
      <c r="U35" s="152">
        <v>816.66</v>
      </c>
      <c r="V35" s="153">
        <v>3.0000000000000001E-5</v>
      </c>
      <c r="W35" s="153">
        <v>5.8999999999999999E-3</v>
      </c>
      <c r="X35" s="154">
        <v>1.1100000000000001E-3</v>
      </c>
      <c r="Y35" s="176"/>
    </row>
    <row r="36" spans="1:25" x14ac:dyDescent="0.2">
      <c r="A36" s="150" t="s">
        <v>1251</v>
      </c>
      <c r="B36" s="151" t="s">
        <v>1251</v>
      </c>
      <c r="C36" s="151" t="s">
        <v>1857</v>
      </c>
      <c r="D36" s="151" t="s">
        <v>1858</v>
      </c>
      <c r="E36" s="151" t="s">
        <v>420</v>
      </c>
      <c r="F36" s="151" t="s">
        <v>1859</v>
      </c>
      <c r="G36" s="151" t="s">
        <v>1860</v>
      </c>
      <c r="H36" s="151" t="s">
        <v>75</v>
      </c>
      <c r="I36" s="151" t="s">
        <v>72</v>
      </c>
      <c r="J36" s="151" t="s">
        <v>52</v>
      </c>
      <c r="K36" s="151" t="s">
        <v>52</v>
      </c>
      <c r="L36" s="151" t="s">
        <v>775</v>
      </c>
      <c r="M36" s="151" t="s">
        <v>303</v>
      </c>
      <c r="N36" s="151" t="s">
        <v>1212</v>
      </c>
      <c r="O36" s="151" t="s">
        <v>61</v>
      </c>
      <c r="P36" s="151" t="s">
        <v>1255</v>
      </c>
      <c r="Q36" s="152">
        <v>23000</v>
      </c>
      <c r="R36" s="152">
        <v>1</v>
      </c>
      <c r="S36" s="152">
        <v>3525</v>
      </c>
      <c r="T36" s="151"/>
      <c r="U36" s="152">
        <v>810.75</v>
      </c>
      <c r="V36" s="153">
        <v>3.1E-4</v>
      </c>
      <c r="W36" s="153">
        <v>5.8500000000000002E-3</v>
      </c>
      <c r="X36" s="154">
        <v>1.1000000000000001E-3</v>
      </c>
      <c r="Y36" s="176"/>
    </row>
    <row r="37" spans="1:25" x14ac:dyDescent="0.2">
      <c r="A37" s="150" t="s">
        <v>1251</v>
      </c>
      <c r="B37" s="151" t="s">
        <v>1251</v>
      </c>
      <c r="C37" s="151" t="s">
        <v>1652</v>
      </c>
      <c r="D37" s="151" t="s">
        <v>1653</v>
      </c>
      <c r="E37" s="151" t="s">
        <v>420</v>
      </c>
      <c r="F37" s="151" t="s">
        <v>1861</v>
      </c>
      <c r="G37" s="151" t="s">
        <v>1862</v>
      </c>
      <c r="H37" s="151" t="s">
        <v>75</v>
      </c>
      <c r="I37" s="151" t="s">
        <v>72</v>
      </c>
      <c r="J37" s="151" t="s">
        <v>52</v>
      </c>
      <c r="K37" s="151" t="s">
        <v>52</v>
      </c>
      <c r="L37" s="151" t="s">
        <v>775</v>
      </c>
      <c r="M37" s="151" t="s">
        <v>303</v>
      </c>
      <c r="N37" s="151" t="s">
        <v>620</v>
      </c>
      <c r="O37" s="151" t="s">
        <v>61</v>
      </c>
      <c r="P37" s="151" t="s">
        <v>1255</v>
      </c>
      <c r="Q37" s="152">
        <v>19000</v>
      </c>
      <c r="R37" s="152">
        <v>1</v>
      </c>
      <c r="S37" s="152">
        <v>3584</v>
      </c>
      <c r="T37" s="151"/>
      <c r="U37" s="152">
        <v>680.96</v>
      </c>
      <c r="V37" s="153">
        <v>9.0000000000000006E-5</v>
      </c>
      <c r="W37" s="153">
        <v>4.9199999999999999E-3</v>
      </c>
      <c r="X37" s="154">
        <v>9.3000000000000005E-4</v>
      </c>
      <c r="Y37" s="176"/>
    </row>
    <row r="38" spans="1:25" x14ac:dyDescent="0.2">
      <c r="A38" s="150" t="s">
        <v>1251</v>
      </c>
      <c r="B38" s="151" t="s">
        <v>1251</v>
      </c>
      <c r="C38" s="151" t="s">
        <v>1863</v>
      </c>
      <c r="D38" s="151" t="s">
        <v>1864</v>
      </c>
      <c r="E38" s="151" t="s">
        <v>420</v>
      </c>
      <c r="F38" s="151" t="s">
        <v>1865</v>
      </c>
      <c r="G38" s="151" t="s">
        <v>1866</v>
      </c>
      <c r="H38" s="151" t="s">
        <v>75</v>
      </c>
      <c r="I38" s="151" t="s">
        <v>72</v>
      </c>
      <c r="J38" s="151" t="s">
        <v>52</v>
      </c>
      <c r="K38" s="151" t="s">
        <v>52</v>
      </c>
      <c r="L38" s="151" t="s">
        <v>775</v>
      </c>
      <c r="M38" s="151" t="s">
        <v>303</v>
      </c>
      <c r="N38" s="151" t="s">
        <v>1210</v>
      </c>
      <c r="O38" s="151" t="s">
        <v>61</v>
      </c>
      <c r="P38" s="151" t="s">
        <v>1255</v>
      </c>
      <c r="Q38" s="152">
        <v>5100</v>
      </c>
      <c r="R38" s="152">
        <v>1</v>
      </c>
      <c r="S38" s="152">
        <v>8714</v>
      </c>
      <c r="T38" s="151"/>
      <c r="U38" s="152">
        <v>444.41399999999999</v>
      </c>
      <c r="V38" s="153">
        <v>5.0000000000000002E-5</v>
      </c>
      <c r="W38" s="153">
        <v>3.2100000000000002E-3</v>
      </c>
      <c r="X38" s="154">
        <v>6.0999999999999997E-4</v>
      </c>
      <c r="Y38" s="176"/>
    </row>
    <row r="39" spans="1:25" x14ac:dyDescent="0.2">
      <c r="A39" s="150" t="s">
        <v>1251</v>
      </c>
      <c r="B39" s="151" t="s">
        <v>1251</v>
      </c>
      <c r="C39" s="151" t="s">
        <v>1867</v>
      </c>
      <c r="D39" s="151" t="s">
        <v>1868</v>
      </c>
      <c r="E39" s="151" t="s">
        <v>420</v>
      </c>
      <c r="F39" s="151" t="s">
        <v>1869</v>
      </c>
      <c r="G39" s="151" t="s">
        <v>1870</v>
      </c>
      <c r="H39" s="151" t="s">
        <v>75</v>
      </c>
      <c r="I39" s="151" t="s">
        <v>72</v>
      </c>
      <c r="J39" s="151" t="s">
        <v>52</v>
      </c>
      <c r="K39" s="151" t="s">
        <v>52</v>
      </c>
      <c r="L39" s="151" t="s">
        <v>53</v>
      </c>
      <c r="M39" s="151" t="s">
        <v>303</v>
      </c>
      <c r="N39" s="151" t="s">
        <v>138</v>
      </c>
      <c r="O39" s="151" t="s">
        <v>61</v>
      </c>
      <c r="P39" s="151" t="s">
        <v>1255</v>
      </c>
      <c r="Q39" s="152">
        <v>23816.7</v>
      </c>
      <c r="R39" s="152">
        <v>1</v>
      </c>
      <c r="S39" s="152">
        <v>673.7</v>
      </c>
      <c r="T39" s="151"/>
      <c r="U39" s="152">
        <v>160.453</v>
      </c>
      <c r="V39" s="153">
        <v>4.2999999999999999E-4</v>
      </c>
      <c r="W39" s="153">
        <v>1.16E-3</v>
      </c>
      <c r="X39" s="154">
        <v>2.2000000000000001E-4</v>
      </c>
      <c r="Y39" s="176"/>
    </row>
    <row r="40" spans="1:25" x14ac:dyDescent="0.2">
      <c r="A40" s="150" t="s">
        <v>1251</v>
      </c>
      <c r="B40" s="151" t="s">
        <v>1251</v>
      </c>
      <c r="C40" s="151" t="s">
        <v>1871</v>
      </c>
      <c r="D40" s="151" t="s">
        <v>1872</v>
      </c>
      <c r="E40" s="151" t="s">
        <v>420</v>
      </c>
      <c r="F40" s="151" t="s">
        <v>1871</v>
      </c>
      <c r="G40" s="151" t="s">
        <v>1873</v>
      </c>
      <c r="H40" s="151" t="s">
        <v>75</v>
      </c>
      <c r="I40" s="151" t="s">
        <v>72</v>
      </c>
      <c r="J40" s="151" t="s">
        <v>52</v>
      </c>
      <c r="K40" s="151" t="s">
        <v>306</v>
      </c>
      <c r="L40" s="151" t="s">
        <v>775</v>
      </c>
      <c r="M40" s="151" t="s">
        <v>466</v>
      </c>
      <c r="N40" s="151" t="s">
        <v>858</v>
      </c>
      <c r="O40" s="151" t="s">
        <v>61</v>
      </c>
      <c r="P40" s="151" t="s">
        <v>1256</v>
      </c>
      <c r="Q40" s="152">
        <v>15</v>
      </c>
      <c r="R40" s="152">
        <v>3.165</v>
      </c>
      <c r="S40" s="152">
        <v>4693</v>
      </c>
      <c r="T40" s="151"/>
      <c r="U40" s="152">
        <v>2.2280000000000002</v>
      </c>
      <c r="V40" s="153">
        <v>0</v>
      </c>
      <c r="W40" s="153">
        <v>2.0000000000000002E-5</v>
      </c>
      <c r="X40" s="154">
        <v>0</v>
      </c>
      <c r="Y40" s="176"/>
    </row>
    <row r="41" spans="1:25" x14ac:dyDescent="0.2">
      <c r="A41" s="150" t="s">
        <v>1251</v>
      </c>
      <c r="B41" s="151" t="s">
        <v>1251</v>
      </c>
      <c r="C41" s="151" t="s">
        <v>1867</v>
      </c>
      <c r="D41" s="151" t="s">
        <v>1868</v>
      </c>
      <c r="E41" s="151" t="s">
        <v>420</v>
      </c>
      <c r="F41" s="151" t="s">
        <v>1869</v>
      </c>
      <c r="G41" s="151" t="s">
        <v>1870</v>
      </c>
      <c r="H41" s="151" t="s">
        <v>75</v>
      </c>
      <c r="I41" s="151" t="s">
        <v>72</v>
      </c>
      <c r="J41" s="151" t="s">
        <v>52</v>
      </c>
      <c r="K41" s="151" t="s">
        <v>52</v>
      </c>
      <c r="L41" s="151" t="s">
        <v>775</v>
      </c>
      <c r="M41" s="151" t="s">
        <v>303</v>
      </c>
      <c r="N41" s="151" t="s">
        <v>138</v>
      </c>
      <c r="O41" s="151" t="s">
        <v>61</v>
      </c>
      <c r="P41" s="151" t="s">
        <v>1255</v>
      </c>
      <c r="Q41" s="152">
        <v>218.17</v>
      </c>
      <c r="R41" s="152">
        <v>1</v>
      </c>
      <c r="S41" s="152">
        <v>673.7</v>
      </c>
      <c r="T41" s="151"/>
      <c r="U41" s="152">
        <v>1.47</v>
      </c>
      <c r="V41" s="153">
        <v>0</v>
      </c>
      <c r="W41" s="153">
        <v>1.0000000000000001E-5</v>
      </c>
      <c r="X41" s="154">
        <v>0</v>
      </c>
      <c r="Y41" s="176"/>
    </row>
    <row r="42" spans="1:25" x14ac:dyDescent="0.2">
      <c r="A42" s="150" t="s">
        <v>1251</v>
      </c>
      <c r="B42" s="151" t="s">
        <v>1251</v>
      </c>
      <c r="C42" s="151" t="s">
        <v>1874</v>
      </c>
      <c r="D42" s="151" t="s">
        <v>1875</v>
      </c>
      <c r="E42" s="151" t="s">
        <v>420</v>
      </c>
      <c r="F42" s="151" t="s">
        <v>1876</v>
      </c>
      <c r="G42" s="151" t="s">
        <v>1877</v>
      </c>
      <c r="H42" s="151" t="s">
        <v>75</v>
      </c>
      <c r="I42" s="151" t="s">
        <v>72</v>
      </c>
      <c r="J42" s="151" t="s">
        <v>52</v>
      </c>
      <c r="K42" s="151" t="s">
        <v>52</v>
      </c>
      <c r="L42" s="151" t="s">
        <v>775</v>
      </c>
      <c r="M42" s="151" t="s">
        <v>466</v>
      </c>
      <c r="N42" s="151" t="s">
        <v>858</v>
      </c>
      <c r="O42" s="151" t="s">
        <v>61</v>
      </c>
      <c r="P42" s="151" t="s">
        <v>1256</v>
      </c>
      <c r="Q42" s="152">
        <v>6</v>
      </c>
      <c r="R42" s="152">
        <v>3.165</v>
      </c>
      <c r="S42" s="152">
        <v>6911</v>
      </c>
      <c r="T42" s="151"/>
      <c r="U42" s="152">
        <v>1.3120000000000001</v>
      </c>
      <c r="V42" s="153">
        <v>0</v>
      </c>
      <c r="W42" s="153">
        <v>1.0000000000000001E-5</v>
      </c>
      <c r="X42" s="154">
        <v>0</v>
      </c>
      <c r="Y42" s="176"/>
    </row>
    <row r="43" spans="1:25" x14ac:dyDescent="0.2">
      <c r="A43" s="150" t="s">
        <v>1251</v>
      </c>
      <c r="B43" s="151" t="s">
        <v>1251</v>
      </c>
      <c r="C43" s="151" t="s">
        <v>1878</v>
      </c>
      <c r="D43" s="151" t="s">
        <v>1879</v>
      </c>
      <c r="E43" s="151" t="s">
        <v>420</v>
      </c>
      <c r="F43" s="151" t="s">
        <v>1880</v>
      </c>
      <c r="G43" s="151" t="s">
        <v>1895</v>
      </c>
      <c r="H43" s="151" t="s">
        <v>75</v>
      </c>
      <c r="I43" s="151" t="s">
        <v>72</v>
      </c>
      <c r="J43" s="151" t="s">
        <v>52</v>
      </c>
      <c r="K43" s="151" t="s">
        <v>52</v>
      </c>
      <c r="L43" s="151" t="s">
        <v>775</v>
      </c>
      <c r="M43" s="151" t="s">
        <v>303</v>
      </c>
      <c r="N43" s="151" t="s">
        <v>616</v>
      </c>
      <c r="O43" s="151" t="s">
        <v>61</v>
      </c>
      <c r="P43" s="151" t="s">
        <v>1255</v>
      </c>
      <c r="Q43" s="152">
        <v>3100</v>
      </c>
      <c r="R43" s="152">
        <v>1</v>
      </c>
      <c r="S43" s="152">
        <v>35120</v>
      </c>
      <c r="T43" s="151"/>
      <c r="U43" s="152">
        <v>1088.72</v>
      </c>
      <c r="V43" s="153">
        <v>5.0000000000000002E-5</v>
      </c>
      <c r="W43" s="153">
        <v>7.8600000000000007E-3</v>
      </c>
      <c r="X43" s="154">
        <v>1.48E-3</v>
      </c>
      <c r="Y43" s="176"/>
    </row>
    <row r="44" spans="1:25" x14ac:dyDescent="0.2">
      <c r="A44" s="150" t="s">
        <v>1251</v>
      </c>
      <c r="B44" s="151" t="s">
        <v>1251</v>
      </c>
      <c r="C44" s="151" t="s">
        <v>1881</v>
      </c>
      <c r="D44" s="151" t="s">
        <v>1882</v>
      </c>
      <c r="E44" s="151" t="s">
        <v>421</v>
      </c>
      <c r="F44" s="151" t="s">
        <v>1883</v>
      </c>
      <c r="G44" s="151" t="s">
        <v>1884</v>
      </c>
      <c r="H44" s="151" t="s">
        <v>75</v>
      </c>
      <c r="I44" s="151" t="s">
        <v>72</v>
      </c>
      <c r="J44" s="151" t="s">
        <v>60</v>
      </c>
      <c r="K44" s="151" t="s">
        <v>156</v>
      </c>
      <c r="L44" s="151" t="s">
        <v>775</v>
      </c>
      <c r="M44" s="151" t="s">
        <v>466</v>
      </c>
      <c r="N44" s="151" t="s">
        <v>860</v>
      </c>
      <c r="O44" s="151" t="s">
        <v>61</v>
      </c>
      <c r="P44" s="151" t="s">
        <v>1256</v>
      </c>
      <c r="Q44" s="152">
        <v>894</v>
      </c>
      <c r="R44" s="152">
        <v>3.165</v>
      </c>
      <c r="S44" s="152">
        <v>132083</v>
      </c>
      <c r="T44" s="151"/>
      <c r="U44" s="152">
        <v>3737.3020000000001</v>
      </c>
      <c r="V44" s="153">
        <v>0</v>
      </c>
      <c r="W44" s="153">
        <v>2.6980000000000001E-2</v>
      </c>
      <c r="X44" s="154">
        <v>5.0899999999999999E-3</v>
      </c>
      <c r="Y44" s="176"/>
    </row>
    <row r="45" spans="1:25" x14ac:dyDescent="0.2">
      <c r="A45" s="150" t="s">
        <v>1251</v>
      </c>
      <c r="B45" s="151" t="s">
        <v>1251</v>
      </c>
      <c r="C45" s="151" t="s">
        <v>1885</v>
      </c>
      <c r="D45" s="151" t="s">
        <v>1886</v>
      </c>
      <c r="E45" s="151" t="s">
        <v>421</v>
      </c>
      <c r="F45" s="151" t="s">
        <v>1887</v>
      </c>
      <c r="G45" s="151" t="s">
        <v>1888</v>
      </c>
      <c r="H45" s="151" t="s">
        <v>75</v>
      </c>
      <c r="I45" s="151" t="s">
        <v>72</v>
      </c>
      <c r="J45" s="151" t="s">
        <v>60</v>
      </c>
      <c r="K45" s="151" t="s">
        <v>306</v>
      </c>
      <c r="L45" s="151" t="s">
        <v>775</v>
      </c>
      <c r="M45" s="151" t="s">
        <v>463</v>
      </c>
      <c r="N45" s="151" t="s">
        <v>860</v>
      </c>
      <c r="O45" s="151" t="s">
        <v>61</v>
      </c>
      <c r="P45" s="151" t="s">
        <v>1256</v>
      </c>
      <c r="Q45" s="152">
        <v>2600</v>
      </c>
      <c r="R45" s="152">
        <v>3.165</v>
      </c>
      <c r="S45" s="152">
        <v>33795</v>
      </c>
      <c r="T45" s="152">
        <v>2.4409999999999998</v>
      </c>
      <c r="U45" s="152">
        <v>2788.9549999999999</v>
      </c>
      <c r="V45" s="153">
        <v>0</v>
      </c>
      <c r="W45" s="153">
        <v>2.0150000000000001E-2</v>
      </c>
      <c r="X45" s="154">
        <v>3.8E-3</v>
      </c>
      <c r="Y45" s="176"/>
    </row>
    <row r="46" spans="1:25" x14ac:dyDescent="0.2">
      <c r="A46" s="150" t="s">
        <v>1251</v>
      </c>
      <c r="B46" s="151" t="s">
        <v>1251</v>
      </c>
      <c r="C46" s="151" t="s">
        <v>1889</v>
      </c>
      <c r="D46" s="151" t="s">
        <v>1890</v>
      </c>
      <c r="E46" s="151" t="s">
        <v>421</v>
      </c>
      <c r="F46" s="151" t="s">
        <v>1889</v>
      </c>
      <c r="G46" s="151" t="s">
        <v>1891</v>
      </c>
      <c r="H46" s="151" t="s">
        <v>75</v>
      </c>
      <c r="I46" s="151" t="s">
        <v>72</v>
      </c>
      <c r="J46" s="151" t="s">
        <v>60</v>
      </c>
      <c r="K46" s="151" t="s">
        <v>306</v>
      </c>
      <c r="L46" s="151" t="s">
        <v>775</v>
      </c>
      <c r="M46" s="151" t="s">
        <v>466</v>
      </c>
      <c r="N46" s="151" t="s">
        <v>860</v>
      </c>
      <c r="O46" s="151" t="s">
        <v>61</v>
      </c>
      <c r="P46" s="151" t="s">
        <v>1256</v>
      </c>
      <c r="Q46" s="152">
        <v>2380</v>
      </c>
      <c r="R46" s="152">
        <v>3.165</v>
      </c>
      <c r="S46" s="152">
        <v>37017</v>
      </c>
      <c r="T46" s="151"/>
      <c r="U46" s="152">
        <v>2788.38</v>
      </c>
      <c r="V46" s="153">
        <v>0</v>
      </c>
      <c r="W46" s="153">
        <v>2.0129999999999999E-2</v>
      </c>
      <c r="X46" s="154">
        <v>3.8E-3</v>
      </c>
      <c r="Y46" s="176"/>
    </row>
    <row r="47" spans="1:25" x14ac:dyDescent="0.2">
      <c r="A47" s="150" t="s">
        <v>1251</v>
      </c>
      <c r="B47" s="151" t="s">
        <v>1251</v>
      </c>
      <c r="C47" s="151" t="s">
        <v>1892</v>
      </c>
      <c r="D47" s="151" t="s">
        <v>1893</v>
      </c>
      <c r="E47" s="151" t="s">
        <v>420</v>
      </c>
      <c r="F47" s="151" t="s">
        <v>1894</v>
      </c>
      <c r="G47" s="151" t="s">
        <v>1895</v>
      </c>
      <c r="H47" s="151" t="s">
        <v>75</v>
      </c>
      <c r="I47" s="151" t="s">
        <v>72</v>
      </c>
      <c r="J47" s="151" t="s">
        <v>60</v>
      </c>
      <c r="K47" s="151" t="s">
        <v>52</v>
      </c>
      <c r="L47" s="151" t="s">
        <v>775</v>
      </c>
      <c r="M47" s="151" t="s">
        <v>463</v>
      </c>
      <c r="N47" s="151" t="s">
        <v>616</v>
      </c>
      <c r="O47" s="151" t="s">
        <v>61</v>
      </c>
      <c r="P47" s="151" t="s">
        <v>1256</v>
      </c>
      <c r="Q47" s="152">
        <v>7000</v>
      </c>
      <c r="R47" s="152">
        <v>3.165</v>
      </c>
      <c r="S47" s="152">
        <v>11192</v>
      </c>
      <c r="T47" s="151"/>
      <c r="U47" s="152">
        <v>2479.5880000000002</v>
      </c>
      <c r="V47" s="153">
        <v>1.2E-4</v>
      </c>
      <c r="W47" s="153">
        <v>1.7899999999999999E-2</v>
      </c>
      <c r="X47" s="154">
        <v>3.3800000000000002E-3</v>
      </c>
      <c r="Y47" s="176"/>
    </row>
    <row r="48" spans="1:25" x14ac:dyDescent="0.2">
      <c r="A48" s="150" t="s">
        <v>1251</v>
      </c>
      <c r="B48" s="151" t="s">
        <v>1251</v>
      </c>
      <c r="C48" s="151" t="s">
        <v>1896</v>
      </c>
      <c r="D48" s="151" t="s">
        <v>1897</v>
      </c>
      <c r="E48" s="151" t="s">
        <v>421</v>
      </c>
      <c r="F48" s="151" t="s">
        <v>1896</v>
      </c>
      <c r="G48" s="151" t="s">
        <v>1898</v>
      </c>
      <c r="H48" s="151" t="s">
        <v>75</v>
      </c>
      <c r="I48" s="151" t="s">
        <v>72</v>
      </c>
      <c r="J48" s="151" t="s">
        <v>60</v>
      </c>
      <c r="K48" s="151" t="s">
        <v>306</v>
      </c>
      <c r="L48" s="151" t="s">
        <v>775</v>
      </c>
      <c r="M48" s="151" t="s">
        <v>466</v>
      </c>
      <c r="N48" s="151" t="s">
        <v>860</v>
      </c>
      <c r="O48" s="151" t="s">
        <v>61</v>
      </c>
      <c r="P48" s="151" t="s">
        <v>1256</v>
      </c>
      <c r="Q48" s="152">
        <v>4480</v>
      </c>
      <c r="R48" s="152">
        <v>3.165</v>
      </c>
      <c r="S48" s="152">
        <v>17440</v>
      </c>
      <c r="T48" s="152">
        <v>3.1E-2</v>
      </c>
      <c r="U48" s="152">
        <v>2472.9499999999998</v>
      </c>
      <c r="V48" s="153">
        <v>0</v>
      </c>
      <c r="W48" s="153">
        <v>1.7850000000000001E-2</v>
      </c>
      <c r="X48" s="154">
        <v>3.3700000000000002E-3</v>
      </c>
      <c r="Y48" s="176"/>
    </row>
    <row r="49" spans="1:25" x14ac:dyDescent="0.2">
      <c r="A49" s="150" t="s">
        <v>1251</v>
      </c>
      <c r="B49" s="151" t="s">
        <v>1251</v>
      </c>
      <c r="C49" s="151" t="s">
        <v>1899</v>
      </c>
      <c r="D49" s="151" t="s">
        <v>1900</v>
      </c>
      <c r="E49" s="151" t="s">
        <v>421</v>
      </c>
      <c r="F49" s="151" t="s">
        <v>1901</v>
      </c>
      <c r="G49" s="151" t="s">
        <v>1902</v>
      </c>
      <c r="H49" s="151" t="s">
        <v>75</v>
      </c>
      <c r="I49" s="151" t="s">
        <v>72</v>
      </c>
      <c r="J49" s="151" t="s">
        <v>60</v>
      </c>
      <c r="K49" s="151" t="s">
        <v>306</v>
      </c>
      <c r="L49" s="151" t="s">
        <v>775</v>
      </c>
      <c r="M49" s="151" t="s">
        <v>466</v>
      </c>
      <c r="N49" s="151" t="s">
        <v>860</v>
      </c>
      <c r="O49" s="151" t="s">
        <v>61</v>
      </c>
      <c r="P49" s="151" t="s">
        <v>1256</v>
      </c>
      <c r="Q49" s="152">
        <v>2710</v>
      </c>
      <c r="R49" s="152">
        <v>3.165</v>
      </c>
      <c r="S49" s="152">
        <v>28756</v>
      </c>
      <c r="T49" s="151"/>
      <c r="U49" s="152">
        <v>2466.4450000000002</v>
      </c>
      <c r="V49" s="153">
        <v>0</v>
      </c>
      <c r="W49" s="153">
        <v>1.78E-2</v>
      </c>
      <c r="X49" s="154">
        <v>3.3600000000000001E-3</v>
      </c>
      <c r="Y49" s="176"/>
    </row>
    <row r="50" spans="1:25" x14ac:dyDescent="0.2">
      <c r="A50" s="150" t="s">
        <v>1251</v>
      </c>
      <c r="B50" s="151" t="s">
        <v>1251</v>
      </c>
      <c r="C50" s="151" t="s">
        <v>1903</v>
      </c>
      <c r="D50" s="151" t="s">
        <v>1904</v>
      </c>
      <c r="E50" s="151" t="s">
        <v>421</v>
      </c>
      <c r="F50" s="151" t="s">
        <v>1905</v>
      </c>
      <c r="G50" s="151" t="s">
        <v>1906</v>
      </c>
      <c r="H50" s="151" t="s">
        <v>75</v>
      </c>
      <c r="I50" s="151" t="s">
        <v>72</v>
      </c>
      <c r="J50" s="151" t="s">
        <v>60</v>
      </c>
      <c r="K50" s="151" t="s">
        <v>306</v>
      </c>
      <c r="L50" s="151" t="s">
        <v>775</v>
      </c>
      <c r="M50" s="151" t="s">
        <v>463</v>
      </c>
      <c r="N50" s="151" t="s">
        <v>855</v>
      </c>
      <c r="O50" s="151" t="s">
        <v>61</v>
      </c>
      <c r="P50" s="151" t="s">
        <v>1256</v>
      </c>
      <c r="Q50" s="152">
        <v>1265</v>
      </c>
      <c r="R50" s="152">
        <v>3.165</v>
      </c>
      <c r="S50" s="152">
        <v>49966</v>
      </c>
      <c r="T50" s="151"/>
      <c r="U50" s="152">
        <v>2000.501</v>
      </c>
      <c r="V50" s="153">
        <v>0</v>
      </c>
      <c r="W50" s="153">
        <v>1.444E-2</v>
      </c>
      <c r="X50" s="154">
        <v>2.7299999999999998E-3</v>
      </c>
      <c r="Y50" s="176"/>
    </row>
    <row r="51" spans="1:25" x14ac:dyDescent="0.2">
      <c r="A51" s="150" t="s">
        <v>1251</v>
      </c>
      <c r="B51" s="151" t="s">
        <v>1251</v>
      </c>
      <c r="C51" s="151" t="s">
        <v>1907</v>
      </c>
      <c r="D51" s="151" t="s">
        <v>1908</v>
      </c>
      <c r="E51" s="151" t="s">
        <v>421</v>
      </c>
      <c r="F51" s="151" t="s">
        <v>1907</v>
      </c>
      <c r="G51" s="151" t="s">
        <v>1909</v>
      </c>
      <c r="H51" s="151" t="s">
        <v>75</v>
      </c>
      <c r="I51" s="151" t="s">
        <v>72</v>
      </c>
      <c r="J51" s="151" t="s">
        <v>60</v>
      </c>
      <c r="K51" s="151" t="s">
        <v>306</v>
      </c>
      <c r="L51" s="151" t="s">
        <v>775</v>
      </c>
      <c r="M51" s="151" t="s">
        <v>466</v>
      </c>
      <c r="N51" s="151" t="s">
        <v>860</v>
      </c>
      <c r="O51" s="151" t="s">
        <v>61</v>
      </c>
      <c r="P51" s="151" t="s">
        <v>1256</v>
      </c>
      <c r="Q51" s="152">
        <v>1650</v>
      </c>
      <c r="R51" s="152">
        <v>3.165</v>
      </c>
      <c r="S51" s="152">
        <v>30951</v>
      </c>
      <c r="T51" s="152">
        <v>1.073</v>
      </c>
      <c r="U51" s="152">
        <v>1619.7329999999999</v>
      </c>
      <c r="V51" s="153">
        <v>0</v>
      </c>
      <c r="W51" s="153">
        <v>1.17E-2</v>
      </c>
      <c r="X51" s="154">
        <v>2.2100000000000002E-3</v>
      </c>
      <c r="Y51" s="176"/>
    </row>
    <row r="52" spans="1:25" x14ac:dyDescent="0.2">
      <c r="A52" s="150" t="s">
        <v>1251</v>
      </c>
      <c r="B52" s="151" t="s">
        <v>1251</v>
      </c>
      <c r="C52" s="151" t="s">
        <v>1910</v>
      </c>
      <c r="D52" s="151" t="s">
        <v>1911</v>
      </c>
      <c r="E52" s="151" t="s">
        <v>421</v>
      </c>
      <c r="F52" s="151" t="s">
        <v>1910</v>
      </c>
      <c r="G52" s="151" t="s">
        <v>1912</v>
      </c>
      <c r="H52" s="151" t="s">
        <v>75</v>
      </c>
      <c r="I52" s="151" t="s">
        <v>72</v>
      </c>
      <c r="J52" s="151" t="s">
        <v>60</v>
      </c>
      <c r="K52" s="151" t="s">
        <v>306</v>
      </c>
      <c r="L52" s="151" t="s">
        <v>775</v>
      </c>
      <c r="M52" s="151" t="s">
        <v>466</v>
      </c>
      <c r="N52" s="151" t="s">
        <v>844</v>
      </c>
      <c r="O52" s="151" t="s">
        <v>61</v>
      </c>
      <c r="P52" s="151" t="s">
        <v>1256</v>
      </c>
      <c r="Q52" s="152">
        <v>2150</v>
      </c>
      <c r="R52" s="152">
        <v>3.165</v>
      </c>
      <c r="S52" s="152">
        <v>20827</v>
      </c>
      <c r="T52" s="151"/>
      <c r="U52" s="152">
        <v>1417.2249999999999</v>
      </c>
      <c r="V52" s="153">
        <v>0</v>
      </c>
      <c r="W52" s="153">
        <v>1.023E-2</v>
      </c>
      <c r="X52" s="154">
        <v>1.9300000000000001E-3</v>
      </c>
      <c r="Y52" s="176"/>
    </row>
    <row r="53" spans="1:25" x14ac:dyDescent="0.2">
      <c r="A53" s="150" t="s">
        <v>1251</v>
      </c>
      <c r="B53" s="151" t="s">
        <v>1251</v>
      </c>
      <c r="C53" s="151" t="s">
        <v>1913</v>
      </c>
      <c r="D53" s="151" t="s">
        <v>1914</v>
      </c>
      <c r="E53" s="151" t="s">
        <v>421</v>
      </c>
      <c r="F53" s="151" t="s">
        <v>1913</v>
      </c>
      <c r="G53" s="151" t="s">
        <v>1915</v>
      </c>
      <c r="H53" s="151" t="s">
        <v>75</v>
      </c>
      <c r="I53" s="151" t="s">
        <v>72</v>
      </c>
      <c r="J53" s="151" t="s">
        <v>60</v>
      </c>
      <c r="K53" s="151" t="s">
        <v>151</v>
      </c>
      <c r="L53" s="151" t="s">
        <v>775</v>
      </c>
      <c r="M53" s="151" t="s">
        <v>475</v>
      </c>
      <c r="N53" s="151" t="s">
        <v>832</v>
      </c>
      <c r="O53" s="151" t="s">
        <v>61</v>
      </c>
      <c r="P53" s="151" t="s">
        <v>1258</v>
      </c>
      <c r="Q53" s="152">
        <v>260</v>
      </c>
      <c r="R53" s="152">
        <v>3.6360000000000001</v>
      </c>
      <c r="S53" s="152">
        <v>144450</v>
      </c>
      <c r="T53" s="151"/>
      <c r="U53" s="152">
        <v>1365.5730000000001</v>
      </c>
      <c r="V53" s="153">
        <v>1.0000000000000001E-5</v>
      </c>
      <c r="W53" s="153">
        <v>9.8600000000000007E-3</v>
      </c>
      <c r="X53" s="154">
        <v>1.8600000000000001E-3</v>
      </c>
      <c r="Y53" s="176"/>
    </row>
    <row r="54" spans="1:25" x14ac:dyDescent="0.2">
      <c r="A54" s="150" t="s">
        <v>1251</v>
      </c>
      <c r="B54" s="151" t="s">
        <v>1251</v>
      </c>
      <c r="C54" s="151" t="s">
        <v>1916</v>
      </c>
      <c r="D54" s="151" t="s">
        <v>1917</v>
      </c>
      <c r="E54" s="151" t="s">
        <v>421</v>
      </c>
      <c r="F54" s="151" t="s">
        <v>1916</v>
      </c>
      <c r="G54" s="151" t="s">
        <v>1918</v>
      </c>
      <c r="H54" s="151" t="s">
        <v>75</v>
      </c>
      <c r="I54" s="151" t="s">
        <v>72</v>
      </c>
      <c r="J54" s="151" t="s">
        <v>60</v>
      </c>
      <c r="K54" s="151" t="s">
        <v>306</v>
      </c>
      <c r="L54" s="151" t="s">
        <v>775</v>
      </c>
      <c r="M54" s="151" t="s">
        <v>466</v>
      </c>
      <c r="N54" s="151" t="s">
        <v>858</v>
      </c>
      <c r="O54" s="151" t="s">
        <v>61</v>
      </c>
      <c r="P54" s="151" t="s">
        <v>1256</v>
      </c>
      <c r="Q54" s="152">
        <v>2065</v>
      </c>
      <c r="R54" s="152">
        <v>3.165</v>
      </c>
      <c r="S54" s="152">
        <v>20343</v>
      </c>
      <c r="T54" s="151"/>
      <c r="U54" s="152">
        <v>1329.5630000000001</v>
      </c>
      <c r="V54" s="153">
        <v>0</v>
      </c>
      <c r="W54" s="153">
        <v>9.5999999999999992E-3</v>
      </c>
      <c r="X54" s="154">
        <v>1.81E-3</v>
      </c>
      <c r="Y54" s="176"/>
    </row>
    <row r="55" spans="1:25" x14ac:dyDescent="0.2">
      <c r="A55" s="150" t="s">
        <v>1251</v>
      </c>
      <c r="B55" s="151" t="s">
        <v>1251</v>
      </c>
      <c r="C55" s="151" t="s">
        <v>1919</v>
      </c>
      <c r="D55" s="151" t="s">
        <v>1920</v>
      </c>
      <c r="E55" s="151" t="s">
        <v>421</v>
      </c>
      <c r="F55" s="151" t="s">
        <v>1919</v>
      </c>
      <c r="G55" s="151" t="s">
        <v>1921</v>
      </c>
      <c r="H55" s="151" t="s">
        <v>75</v>
      </c>
      <c r="I55" s="151" t="s">
        <v>72</v>
      </c>
      <c r="J55" s="151" t="s">
        <v>60</v>
      </c>
      <c r="K55" s="151" t="s">
        <v>306</v>
      </c>
      <c r="L55" s="151" t="s">
        <v>775</v>
      </c>
      <c r="M55" s="151" t="s">
        <v>466</v>
      </c>
      <c r="N55" s="151" t="s">
        <v>844</v>
      </c>
      <c r="O55" s="151" t="s">
        <v>61</v>
      </c>
      <c r="P55" s="151" t="s">
        <v>1256</v>
      </c>
      <c r="Q55" s="152">
        <v>415</v>
      </c>
      <c r="R55" s="152">
        <v>3.165</v>
      </c>
      <c r="S55" s="152">
        <v>99643</v>
      </c>
      <c r="T55" s="151"/>
      <c r="U55" s="152">
        <v>1308.7860000000001</v>
      </c>
      <c r="V55" s="153">
        <v>0</v>
      </c>
      <c r="W55" s="153">
        <v>9.4500000000000001E-3</v>
      </c>
      <c r="X55" s="154">
        <v>1.7799999999999999E-3</v>
      </c>
      <c r="Y55" s="176"/>
    </row>
    <row r="56" spans="1:25" x14ac:dyDescent="0.2">
      <c r="A56" s="150" t="s">
        <v>1251</v>
      </c>
      <c r="B56" s="151" t="s">
        <v>1251</v>
      </c>
      <c r="C56" s="151" t="s">
        <v>1922</v>
      </c>
      <c r="D56" s="151" t="s">
        <v>1923</v>
      </c>
      <c r="E56" s="151" t="s">
        <v>421</v>
      </c>
      <c r="F56" s="151" t="s">
        <v>1922</v>
      </c>
      <c r="G56" s="151" t="s">
        <v>1924</v>
      </c>
      <c r="H56" s="151" t="s">
        <v>75</v>
      </c>
      <c r="I56" s="151" t="s">
        <v>72</v>
      </c>
      <c r="J56" s="151" t="s">
        <v>60</v>
      </c>
      <c r="K56" s="151" t="s">
        <v>306</v>
      </c>
      <c r="L56" s="151" t="s">
        <v>775</v>
      </c>
      <c r="M56" s="151" t="s">
        <v>466</v>
      </c>
      <c r="N56" s="151" t="s">
        <v>858</v>
      </c>
      <c r="O56" s="151" t="s">
        <v>61</v>
      </c>
      <c r="P56" s="151" t="s">
        <v>1256</v>
      </c>
      <c r="Q56" s="152">
        <v>660</v>
      </c>
      <c r="R56" s="152">
        <v>3.165</v>
      </c>
      <c r="S56" s="152">
        <v>57213</v>
      </c>
      <c r="T56" s="151"/>
      <c r="U56" s="152">
        <v>1195.1220000000001</v>
      </c>
      <c r="V56" s="153">
        <v>0</v>
      </c>
      <c r="W56" s="153">
        <v>8.6300000000000005E-3</v>
      </c>
      <c r="X56" s="154">
        <v>1.6299999999999999E-3</v>
      </c>
      <c r="Y56" s="176"/>
    </row>
    <row r="57" spans="1:25" x14ac:dyDescent="0.2">
      <c r="A57" s="150" t="s">
        <v>1251</v>
      </c>
      <c r="B57" s="151" t="s">
        <v>1251</v>
      </c>
      <c r="C57" s="151" t="s">
        <v>1925</v>
      </c>
      <c r="D57" s="151" t="s">
        <v>1926</v>
      </c>
      <c r="E57" s="151" t="s">
        <v>421</v>
      </c>
      <c r="F57" s="151" t="s">
        <v>1925</v>
      </c>
      <c r="G57" s="151" t="s">
        <v>1927</v>
      </c>
      <c r="H57" s="151" t="s">
        <v>75</v>
      </c>
      <c r="I57" s="151" t="s">
        <v>72</v>
      </c>
      <c r="J57" s="151" t="s">
        <v>60</v>
      </c>
      <c r="K57" s="151" t="s">
        <v>306</v>
      </c>
      <c r="L57" s="151" t="s">
        <v>775</v>
      </c>
      <c r="M57" s="151" t="s">
        <v>466</v>
      </c>
      <c r="N57" s="151" t="s">
        <v>858</v>
      </c>
      <c r="O57" s="151" t="s">
        <v>61</v>
      </c>
      <c r="P57" s="151" t="s">
        <v>1256</v>
      </c>
      <c r="Q57" s="152">
        <v>2300</v>
      </c>
      <c r="R57" s="152">
        <v>3.165</v>
      </c>
      <c r="S57" s="152">
        <v>16032</v>
      </c>
      <c r="T57" s="151"/>
      <c r="U57" s="152">
        <v>1167.049</v>
      </c>
      <c r="V57" s="153">
        <v>0</v>
      </c>
      <c r="W57" s="153">
        <v>8.4200000000000004E-3</v>
      </c>
      <c r="X57" s="154">
        <v>1.5900000000000001E-3</v>
      </c>
      <c r="Y57" s="176"/>
    </row>
    <row r="58" spans="1:25" x14ac:dyDescent="0.2">
      <c r="A58" s="150" t="s">
        <v>1251</v>
      </c>
      <c r="B58" s="151" t="s">
        <v>1251</v>
      </c>
      <c r="C58" s="151" t="s">
        <v>1928</v>
      </c>
      <c r="D58" s="151" t="s">
        <v>1929</v>
      </c>
      <c r="E58" s="151" t="s">
        <v>421</v>
      </c>
      <c r="F58" s="151" t="s">
        <v>1928</v>
      </c>
      <c r="G58" s="151" t="s">
        <v>1930</v>
      </c>
      <c r="H58" s="151" t="s">
        <v>75</v>
      </c>
      <c r="I58" s="151" t="s">
        <v>72</v>
      </c>
      <c r="J58" s="151" t="s">
        <v>60</v>
      </c>
      <c r="K58" s="151" t="s">
        <v>306</v>
      </c>
      <c r="L58" s="151" t="s">
        <v>775</v>
      </c>
      <c r="M58" s="151" t="s">
        <v>466</v>
      </c>
      <c r="N58" s="151" t="s">
        <v>843</v>
      </c>
      <c r="O58" s="151" t="s">
        <v>61</v>
      </c>
      <c r="P58" s="151" t="s">
        <v>1256</v>
      </c>
      <c r="Q58" s="152">
        <v>650</v>
      </c>
      <c r="R58" s="152">
        <v>3.165</v>
      </c>
      <c r="S58" s="152">
        <v>37175</v>
      </c>
      <c r="T58" s="151"/>
      <c r="U58" s="152">
        <v>764.78300000000002</v>
      </c>
      <c r="V58" s="153">
        <v>0</v>
      </c>
      <c r="W58" s="153">
        <v>5.5199999999999997E-3</v>
      </c>
      <c r="X58" s="154">
        <v>1.0399999999999999E-3</v>
      </c>
      <c r="Y58" s="176"/>
    </row>
    <row r="59" spans="1:25" x14ac:dyDescent="0.2">
      <c r="A59" s="150" t="s">
        <v>1251</v>
      </c>
      <c r="B59" s="151" t="s">
        <v>1251</v>
      </c>
      <c r="C59" s="151" t="s">
        <v>1931</v>
      </c>
      <c r="D59" s="151" t="s">
        <v>1932</v>
      </c>
      <c r="E59" s="151" t="s">
        <v>421</v>
      </c>
      <c r="F59" s="151" t="s">
        <v>1933</v>
      </c>
      <c r="G59" s="151" t="s">
        <v>1934</v>
      </c>
      <c r="H59" s="151" t="s">
        <v>75</v>
      </c>
      <c r="I59" s="151" t="s">
        <v>72</v>
      </c>
      <c r="J59" s="151" t="s">
        <v>60</v>
      </c>
      <c r="K59" s="151" t="s">
        <v>184</v>
      </c>
      <c r="L59" s="151" t="s">
        <v>775</v>
      </c>
      <c r="M59" s="151" t="s">
        <v>476</v>
      </c>
      <c r="N59" s="151" t="s">
        <v>844</v>
      </c>
      <c r="O59" s="151" t="s">
        <v>61</v>
      </c>
      <c r="P59" s="151" t="s">
        <v>1935</v>
      </c>
      <c r="Q59" s="152">
        <v>202</v>
      </c>
      <c r="R59" s="152">
        <v>0.40400000000000003</v>
      </c>
      <c r="S59" s="152">
        <v>11320</v>
      </c>
      <c r="T59" s="151"/>
      <c r="U59" s="152">
        <v>9.2309999999999999</v>
      </c>
      <c r="V59" s="153">
        <v>0</v>
      </c>
      <c r="W59" s="153">
        <v>6.9999999999999994E-5</v>
      </c>
      <c r="X59" s="154">
        <v>1.0000000000000001E-5</v>
      </c>
      <c r="Y59" s="176"/>
    </row>
    <row r="60" spans="1:25" x14ac:dyDescent="0.2">
      <c r="A60" s="150" t="s">
        <v>1251</v>
      </c>
      <c r="B60" s="151" t="s">
        <v>1251</v>
      </c>
      <c r="C60" s="151" t="s">
        <v>1936</v>
      </c>
      <c r="D60" s="151" t="s">
        <v>1937</v>
      </c>
      <c r="E60" s="151" t="s">
        <v>421</v>
      </c>
      <c r="F60" s="151" t="s">
        <v>1936</v>
      </c>
      <c r="G60" s="151" t="s">
        <v>1938</v>
      </c>
      <c r="H60" s="151" t="s">
        <v>75</v>
      </c>
      <c r="I60" s="151" t="s">
        <v>72</v>
      </c>
      <c r="J60" s="151" t="s">
        <v>60</v>
      </c>
      <c r="K60" s="151" t="s">
        <v>306</v>
      </c>
      <c r="L60" s="151" t="s">
        <v>775</v>
      </c>
      <c r="M60" s="151" t="s">
        <v>466</v>
      </c>
      <c r="N60" s="151" t="s">
        <v>858</v>
      </c>
      <c r="O60" s="151" t="s">
        <v>61</v>
      </c>
      <c r="P60" s="151" t="s">
        <v>1256</v>
      </c>
      <c r="Q60" s="152">
        <v>3</v>
      </c>
      <c r="R60" s="152">
        <v>3.165</v>
      </c>
      <c r="S60" s="152">
        <v>462</v>
      </c>
      <c r="T60" s="151"/>
      <c r="U60" s="152">
        <v>4.3999999999999997E-2</v>
      </c>
      <c r="V60" s="153">
        <v>0</v>
      </c>
      <c r="W60" s="153">
        <v>0</v>
      </c>
      <c r="X60" s="154">
        <v>0</v>
      </c>
      <c r="Y60" s="176"/>
    </row>
    <row r="61" spans="1:25" x14ac:dyDescent="0.2">
      <c r="A61" s="150" t="s">
        <v>1264</v>
      </c>
      <c r="B61" s="151" t="s">
        <v>1264</v>
      </c>
      <c r="C61" s="151" t="s">
        <v>1415</v>
      </c>
      <c r="D61" s="151" t="s">
        <v>1416</v>
      </c>
      <c r="E61" s="151" t="s">
        <v>420</v>
      </c>
      <c r="F61" s="151" t="s">
        <v>1751</v>
      </c>
      <c r="G61" s="151" t="s">
        <v>1752</v>
      </c>
      <c r="H61" s="151" t="s">
        <v>75</v>
      </c>
      <c r="I61" s="151" t="s">
        <v>72</v>
      </c>
      <c r="J61" s="151" t="s">
        <v>52</v>
      </c>
      <c r="K61" s="151" t="s">
        <v>52</v>
      </c>
      <c r="L61" s="151" t="s">
        <v>775</v>
      </c>
      <c r="M61" s="151" t="s">
        <v>303</v>
      </c>
      <c r="N61" s="151" t="s">
        <v>251</v>
      </c>
      <c r="O61" s="151" t="s">
        <v>61</v>
      </c>
      <c r="P61" s="151" t="s">
        <v>1255</v>
      </c>
      <c r="Q61" s="152">
        <v>1637614</v>
      </c>
      <c r="R61" s="152">
        <v>1</v>
      </c>
      <c r="S61" s="152">
        <v>7332</v>
      </c>
      <c r="T61" s="151"/>
      <c r="U61" s="152">
        <v>120069.85799999999</v>
      </c>
      <c r="V61" s="153">
        <v>1.2199999999999999E-3</v>
      </c>
      <c r="W61" s="153">
        <v>6.8650000000000003E-2</v>
      </c>
      <c r="X61" s="154">
        <v>1.2019999999999999E-2</v>
      </c>
      <c r="Y61" s="176"/>
    </row>
    <row r="62" spans="1:25" x14ac:dyDescent="0.2">
      <c r="A62" s="150" t="s">
        <v>1264</v>
      </c>
      <c r="B62" s="151" t="s">
        <v>1264</v>
      </c>
      <c r="C62" s="151" t="s">
        <v>1367</v>
      </c>
      <c r="D62" s="151" t="s">
        <v>1368</v>
      </c>
      <c r="E62" s="151" t="s">
        <v>420</v>
      </c>
      <c r="F62" s="151" t="s">
        <v>1753</v>
      </c>
      <c r="G62" s="151" t="s">
        <v>1754</v>
      </c>
      <c r="H62" s="151" t="s">
        <v>75</v>
      </c>
      <c r="I62" s="151" t="s">
        <v>72</v>
      </c>
      <c r="J62" s="151" t="s">
        <v>52</v>
      </c>
      <c r="K62" s="151" t="s">
        <v>52</v>
      </c>
      <c r="L62" s="151" t="s">
        <v>775</v>
      </c>
      <c r="M62" s="151" t="s">
        <v>303</v>
      </c>
      <c r="N62" s="151" t="s">
        <v>251</v>
      </c>
      <c r="O62" s="151" t="s">
        <v>61</v>
      </c>
      <c r="P62" s="151" t="s">
        <v>1255</v>
      </c>
      <c r="Q62" s="152">
        <v>1604670</v>
      </c>
      <c r="R62" s="152">
        <v>1</v>
      </c>
      <c r="S62" s="152">
        <v>6979</v>
      </c>
      <c r="T62" s="151"/>
      <c r="U62" s="152">
        <v>111989.91899999999</v>
      </c>
      <c r="V62" s="153">
        <v>9.8999999999999999E-4</v>
      </c>
      <c r="W62" s="153">
        <v>6.4030000000000004E-2</v>
      </c>
      <c r="X62" s="154">
        <v>1.1220000000000001E-2</v>
      </c>
      <c r="Y62" s="176"/>
    </row>
    <row r="63" spans="1:25" x14ac:dyDescent="0.2">
      <c r="A63" s="150" t="s">
        <v>1264</v>
      </c>
      <c r="B63" s="151" t="s">
        <v>1264</v>
      </c>
      <c r="C63" s="151" t="s">
        <v>1757</v>
      </c>
      <c r="D63" s="151" t="s">
        <v>1758</v>
      </c>
      <c r="E63" s="151" t="s">
        <v>420</v>
      </c>
      <c r="F63" s="151" t="s">
        <v>1759</v>
      </c>
      <c r="G63" s="151" t="s">
        <v>1760</v>
      </c>
      <c r="H63" s="151" t="s">
        <v>75</v>
      </c>
      <c r="I63" s="151" t="s">
        <v>72</v>
      </c>
      <c r="J63" s="151" t="s">
        <v>52</v>
      </c>
      <c r="K63" s="151" t="s">
        <v>52</v>
      </c>
      <c r="L63" s="151" t="s">
        <v>775</v>
      </c>
      <c r="M63" s="151" t="s">
        <v>303</v>
      </c>
      <c r="N63" s="151" t="s">
        <v>84</v>
      </c>
      <c r="O63" s="151" t="s">
        <v>61</v>
      </c>
      <c r="P63" s="151" t="s">
        <v>1255</v>
      </c>
      <c r="Q63" s="152">
        <v>983960</v>
      </c>
      <c r="R63" s="152">
        <v>1</v>
      </c>
      <c r="S63" s="152">
        <v>9239</v>
      </c>
      <c r="T63" s="151"/>
      <c r="U63" s="152">
        <v>90908.063999999998</v>
      </c>
      <c r="V63" s="153">
        <v>7.6999999999999996E-4</v>
      </c>
      <c r="W63" s="153">
        <v>5.1979999999999998E-2</v>
      </c>
      <c r="X63" s="154">
        <v>9.1000000000000004E-3</v>
      </c>
      <c r="Y63" s="176"/>
    </row>
    <row r="64" spans="1:25" x14ac:dyDescent="0.2">
      <c r="A64" s="150" t="s">
        <v>1264</v>
      </c>
      <c r="B64" s="151" t="s">
        <v>1264</v>
      </c>
      <c r="C64" s="151" t="s">
        <v>1761</v>
      </c>
      <c r="D64" s="151" t="s">
        <v>1762</v>
      </c>
      <c r="E64" s="151" t="s">
        <v>420</v>
      </c>
      <c r="F64" s="151" t="s">
        <v>1763</v>
      </c>
      <c r="G64" s="151" t="s">
        <v>1764</v>
      </c>
      <c r="H64" s="151" t="s">
        <v>75</v>
      </c>
      <c r="I64" s="151" t="s">
        <v>72</v>
      </c>
      <c r="J64" s="151" t="s">
        <v>52</v>
      </c>
      <c r="K64" s="151" t="s">
        <v>52</v>
      </c>
      <c r="L64" s="151" t="s">
        <v>775</v>
      </c>
      <c r="M64" s="151" t="s">
        <v>303</v>
      </c>
      <c r="N64" s="151" t="s">
        <v>251</v>
      </c>
      <c r="O64" s="151" t="s">
        <v>61</v>
      </c>
      <c r="P64" s="151" t="s">
        <v>1255</v>
      </c>
      <c r="Q64" s="152">
        <v>2785114</v>
      </c>
      <c r="R64" s="152">
        <v>1</v>
      </c>
      <c r="S64" s="152">
        <v>3148</v>
      </c>
      <c r="T64" s="152">
        <v>974.29200000000003</v>
      </c>
      <c r="U64" s="152">
        <v>88649.680999999997</v>
      </c>
      <c r="V64" s="153">
        <v>2.2499999999999998E-3</v>
      </c>
      <c r="W64" s="153">
        <v>5.1240000000000001E-2</v>
      </c>
      <c r="X64" s="154">
        <v>8.9800000000000001E-3</v>
      </c>
      <c r="Y64" s="176"/>
    </row>
    <row r="65" spans="1:25" x14ac:dyDescent="0.2">
      <c r="A65" s="150" t="s">
        <v>1264</v>
      </c>
      <c r="B65" s="151" t="s">
        <v>1264</v>
      </c>
      <c r="C65" s="151" t="s">
        <v>1375</v>
      </c>
      <c r="D65" s="151" t="s">
        <v>1376</v>
      </c>
      <c r="E65" s="151" t="s">
        <v>420</v>
      </c>
      <c r="F65" s="151" t="s">
        <v>1755</v>
      </c>
      <c r="G65" s="151" t="s">
        <v>1756</v>
      </c>
      <c r="H65" s="151" t="s">
        <v>75</v>
      </c>
      <c r="I65" s="151" t="s">
        <v>72</v>
      </c>
      <c r="J65" s="151" t="s">
        <v>52</v>
      </c>
      <c r="K65" s="151" t="s">
        <v>52</v>
      </c>
      <c r="L65" s="151" t="s">
        <v>775</v>
      </c>
      <c r="M65" s="151" t="s">
        <v>303</v>
      </c>
      <c r="N65" s="151" t="s">
        <v>616</v>
      </c>
      <c r="O65" s="151" t="s">
        <v>61</v>
      </c>
      <c r="P65" s="151" t="s">
        <v>1255</v>
      </c>
      <c r="Q65" s="152">
        <v>408538</v>
      </c>
      <c r="R65" s="152">
        <v>1</v>
      </c>
      <c r="S65" s="152">
        <v>20930</v>
      </c>
      <c r="T65" s="151"/>
      <c r="U65" s="152">
        <v>85507.002999999997</v>
      </c>
      <c r="V65" s="153">
        <v>2.9399999999999999E-3</v>
      </c>
      <c r="W65" s="153">
        <v>4.8890000000000003E-2</v>
      </c>
      <c r="X65" s="154">
        <v>8.5599999999999999E-3</v>
      </c>
      <c r="Y65" s="176"/>
    </row>
    <row r="66" spans="1:25" x14ac:dyDescent="0.2">
      <c r="A66" s="150" t="s">
        <v>1264</v>
      </c>
      <c r="B66" s="151" t="s">
        <v>1264</v>
      </c>
      <c r="C66" s="151" t="s">
        <v>1765</v>
      </c>
      <c r="D66" s="151" t="s">
        <v>1766</v>
      </c>
      <c r="E66" s="151" t="s">
        <v>420</v>
      </c>
      <c r="F66" s="151" t="s">
        <v>1767</v>
      </c>
      <c r="G66" s="151" t="s">
        <v>1768</v>
      </c>
      <c r="H66" s="151" t="s">
        <v>75</v>
      </c>
      <c r="I66" s="151" t="s">
        <v>72</v>
      </c>
      <c r="J66" s="151" t="s">
        <v>52</v>
      </c>
      <c r="K66" s="151" t="s">
        <v>52</v>
      </c>
      <c r="L66" s="151" t="s">
        <v>775</v>
      </c>
      <c r="M66" s="151" t="s">
        <v>303</v>
      </c>
      <c r="N66" s="151" t="s">
        <v>623</v>
      </c>
      <c r="O66" s="151" t="s">
        <v>61</v>
      </c>
      <c r="P66" s="151" t="s">
        <v>1255</v>
      </c>
      <c r="Q66" s="152">
        <v>32280</v>
      </c>
      <c r="R66" s="152">
        <v>1</v>
      </c>
      <c r="S66" s="152">
        <v>263700</v>
      </c>
      <c r="T66" s="151"/>
      <c r="U66" s="152">
        <v>85122.36</v>
      </c>
      <c r="V66" s="153">
        <v>6.8999999999999997E-4</v>
      </c>
      <c r="W66" s="153">
        <v>4.8669999999999998E-2</v>
      </c>
      <c r="X66" s="154">
        <v>8.5199999999999998E-3</v>
      </c>
      <c r="Y66" s="176"/>
    </row>
    <row r="67" spans="1:25" x14ac:dyDescent="0.2">
      <c r="A67" s="150" t="s">
        <v>1264</v>
      </c>
      <c r="B67" s="151" t="s">
        <v>1264</v>
      </c>
      <c r="C67" s="151" t="s">
        <v>1769</v>
      </c>
      <c r="D67" s="151" t="s">
        <v>1770</v>
      </c>
      <c r="E67" s="151" t="s">
        <v>420</v>
      </c>
      <c r="F67" s="151" t="s">
        <v>1771</v>
      </c>
      <c r="G67" s="151" t="s">
        <v>1772</v>
      </c>
      <c r="H67" s="151" t="s">
        <v>75</v>
      </c>
      <c r="I67" s="151" t="s">
        <v>72</v>
      </c>
      <c r="J67" s="151" t="s">
        <v>52</v>
      </c>
      <c r="K67" s="151" t="s">
        <v>52</v>
      </c>
      <c r="L67" s="151" t="s">
        <v>775</v>
      </c>
      <c r="M67" s="151" t="s">
        <v>303</v>
      </c>
      <c r="N67" s="151" t="s">
        <v>260</v>
      </c>
      <c r="O67" s="151" t="s">
        <v>61</v>
      </c>
      <c r="P67" s="151" t="s">
        <v>1255</v>
      </c>
      <c r="Q67" s="152">
        <v>472859</v>
      </c>
      <c r="R67" s="152">
        <v>1</v>
      </c>
      <c r="S67" s="152">
        <v>12900</v>
      </c>
      <c r="T67" s="151"/>
      <c r="U67" s="152">
        <v>60998.811000000002</v>
      </c>
      <c r="V67" s="153">
        <v>3.9899999999999996E-3</v>
      </c>
      <c r="W67" s="153">
        <v>3.4880000000000001E-2</v>
      </c>
      <c r="X67" s="154">
        <v>6.11E-3</v>
      </c>
      <c r="Y67" s="176"/>
    </row>
    <row r="68" spans="1:25" x14ac:dyDescent="0.2">
      <c r="A68" s="150" t="s">
        <v>1264</v>
      </c>
      <c r="B68" s="151" t="s">
        <v>1264</v>
      </c>
      <c r="C68" s="151" t="s">
        <v>1773</v>
      </c>
      <c r="D68" s="151" t="s">
        <v>1774</v>
      </c>
      <c r="E68" s="151" t="s">
        <v>420</v>
      </c>
      <c r="F68" s="151" t="s">
        <v>1775</v>
      </c>
      <c r="G68" s="151" t="s">
        <v>1776</v>
      </c>
      <c r="H68" s="151" t="s">
        <v>75</v>
      </c>
      <c r="I68" s="151" t="s">
        <v>72</v>
      </c>
      <c r="J68" s="151" t="s">
        <v>52</v>
      </c>
      <c r="K68" s="151" t="s">
        <v>52</v>
      </c>
      <c r="L68" s="151" t="s">
        <v>775</v>
      </c>
      <c r="M68" s="151" t="s">
        <v>303</v>
      </c>
      <c r="N68" s="151" t="s">
        <v>623</v>
      </c>
      <c r="O68" s="151" t="s">
        <v>61</v>
      </c>
      <c r="P68" s="151" t="s">
        <v>1255</v>
      </c>
      <c r="Q68" s="152">
        <v>197270</v>
      </c>
      <c r="R68" s="152">
        <v>1</v>
      </c>
      <c r="S68" s="152">
        <v>30500</v>
      </c>
      <c r="T68" s="151"/>
      <c r="U68" s="152">
        <v>60167.35</v>
      </c>
      <c r="V68" s="153">
        <v>2.16E-3</v>
      </c>
      <c r="W68" s="153">
        <v>3.44E-2</v>
      </c>
      <c r="X68" s="154">
        <v>6.0299999999999998E-3</v>
      </c>
      <c r="Y68" s="176"/>
    </row>
    <row r="69" spans="1:25" x14ac:dyDescent="0.2">
      <c r="A69" s="150" t="s">
        <v>1264</v>
      </c>
      <c r="B69" s="151" t="s">
        <v>1264</v>
      </c>
      <c r="C69" s="151" t="s">
        <v>1777</v>
      </c>
      <c r="D69" s="151" t="s">
        <v>1778</v>
      </c>
      <c r="E69" s="151" t="s">
        <v>420</v>
      </c>
      <c r="F69" s="151" t="s">
        <v>1779</v>
      </c>
      <c r="G69" s="151" t="s">
        <v>1780</v>
      </c>
      <c r="H69" s="151" t="s">
        <v>75</v>
      </c>
      <c r="I69" s="151" t="s">
        <v>72</v>
      </c>
      <c r="J69" s="151" t="s">
        <v>52</v>
      </c>
      <c r="K69" s="151" t="s">
        <v>52</v>
      </c>
      <c r="L69" s="151" t="s">
        <v>775</v>
      </c>
      <c r="M69" s="151" t="s">
        <v>303</v>
      </c>
      <c r="N69" s="151" t="s">
        <v>262</v>
      </c>
      <c r="O69" s="151" t="s">
        <v>61</v>
      </c>
      <c r="P69" s="151" t="s">
        <v>1255</v>
      </c>
      <c r="Q69" s="152">
        <v>239200</v>
      </c>
      <c r="R69" s="152">
        <v>1</v>
      </c>
      <c r="S69" s="152">
        <v>22200</v>
      </c>
      <c r="T69" s="151"/>
      <c r="U69" s="152">
        <v>53102.400000000001</v>
      </c>
      <c r="V69" s="153">
        <v>2.97E-3</v>
      </c>
      <c r="W69" s="153">
        <v>3.0360000000000002E-2</v>
      </c>
      <c r="X69" s="154">
        <v>5.3200000000000001E-3</v>
      </c>
      <c r="Y69" s="176"/>
    </row>
    <row r="70" spans="1:25" x14ac:dyDescent="0.2">
      <c r="A70" s="150" t="s">
        <v>1264</v>
      </c>
      <c r="B70" s="151" t="s">
        <v>1264</v>
      </c>
      <c r="C70" s="151" t="s">
        <v>1783</v>
      </c>
      <c r="D70" s="151" t="s">
        <v>1784</v>
      </c>
      <c r="E70" s="151" t="s">
        <v>420</v>
      </c>
      <c r="F70" s="151" t="s">
        <v>1785</v>
      </c>
      <c r="G70" s="151" t="s">
        <v>1786</v>
      </c>
      <c r="H70" s="151" t="s">
        <v>75</v>
      </c>
      <c r="I70" s="151" t="s">
        <v>72</v>
      </c>
      <c r="J70" s="151" t="s">
        <v>52</v>
      </c>
      <c r="K70" s="151" t="s">
        <v>52</v>
      </c>
      <c r="L70" s="151" t="s">
        <v>775</v>
      </c>
      <c r="M70" s="151" t="s">
        <v>303</v>
      </c>
      <c r="N70" s="151" t="s">
        <v>253</v>
      </c>
      <c r="O70" s="151" t="s">
        <v>61</v>
      </c>
      <c r="P70" s="151" t="s">
        <v>1255</v>
      </c>
      <c r="Q70" s="152">
        <v>6864219</v>
      </c>
      <c r="R70" s="152">
        <v>1</v>
      </c>
      <c r="S70" s="152">
        <v>749</v>
      </c>
      <c r="T70" s="151"/>
      <c r="U70" s="152">
        <v>51413</v>
      </c>
      <c r="V70" s="153">
        <v>2.47E-3</v>
      </c>
      <c r="W70" s="153">
        <v>2.9399999999999999E-2</v>
      </c>
      <c r="X70" s="154">
        <v>5.1500000000000001E-3</v>
      </c>
      <c r="Y70" s="176"/>
    </row>
    <row r="71" spans="1:25" x14ac:dyDescent="0.2">
      <c r="A71" s="150" t="s">
        <v>1264</v>
      </c>
      <c r="B71" s="151" t="s">
        <v>1264</v>
      </c>
      <c r="C71" s="151" t="s">
        <v>1553</v>
      </c>
      <c r="D71" s="151" t="s">
        <v>1554</v>
      </c>
      <c r="E71" s="151" t="s">
        <v>420</v>
      </c>
      <c r="F71" s="151" t="s">
        <v>1781</v>
      </c>
      <c r="G71" s="151" t="s">
        <v>1782</v>
      </c>
      <c r="H71" s="151" t="s">
        <v>75</v>
      </c>
      <c r="I71" s="151" t="s">
        <v>72</v>
      </c>
      <c r="J71" s="151" t="s">
        <v>52</v>
      </c>
      <c r="K71" s="151" t="s">
        <v>52</v>
      </c>
      <c r="L71" s="151" t="s">
        <v>775</v>
      </c>
      <c r="M71" s="151" t="s">
        <v>303</v>
      </c>
      <c r="N71" s="151" t="s">
        <v>251</v>
      </c>
      <c r="O71" s="151" t="s">
        <v>61</v>
      </c>
      <c r="P71" s="151" t="s">
        <v>1255</v>
      </c>
      <c r="Q71" s="152">
        <v>224002</v>
      </c>
      <c r="R71" s="152">
        <v>1</v>
      </c>
      <c r="S71" s="152">
        <v>22780</v>
      </c>
      <c r="T71" s="151"/>
      <c r="U71" s="152">
        <v>51027.656000000003</v>
      </c>
      <c r="V71" s="153">
        <v>8.5999999999999998E-4</v>
      </c>
      <c r="W71" s="153">
        <v>2.9180000000000001E-2</v>
      </c>
      <c r="X71" s="154">
        <v>5.11E-3</v>
      </c>
      <c r="Y71" s="176"/>
    </row>
    <row r="72" spans="1:25" x14ac:dyDescent="0.2">
      <c r="A72" s="150" t="s">
        <v>1264</v>
      </c>
      <c r="B72" s="151" t="s">
        <v>1264</v>
      </c>
      <c r="C72" s="151" t="s">
        <v>1738</v>
      </c>
      <c r="D72" s="151" t="s">
        <v>1739</v>
      </c>
      <c r="E72" s="151" t="s">
        <v>420</v>
      </c>
      <c r="F72" s="151" t="s">
        <v>1787</v>
      </c>
      <c r="G72" s="151" t="s">
        <v>1788</v>
      </c>
      <c r="H72" s="151" t="s">
        <v>75</v>
      </c>
      <c r="I72" s="151" t="s">
        <v>72</v>
      </c>
      <c r="J72" s="151" t="s">
        <v>52</v>
      </c>
      <c r="K72" s="151" t="s">
        <v>52</v>
      </c>
      <c r="L72" s="151" t="s">
        <v>775</v>
      </c>
      <c r="M72" s="151" t="s">
        <v>303</v>
      </c>
      <c r="N72" s="151" t="s">
        <v>262</v>
      </c>
      <c r="O72" s="151" t="s">
        <v>61</v>
      </c>
      <c r="P72" s="151" t="s">
        <v>1255</v>
      </c>
      <c r="Q72" s="152">
        <v>250770</v>
      </c>
      <c r="R72" s="152">
        <v>1</v>
      </c>
      <c r="S72" s="152">
        <v>16600</v>
      </c>
      <c r="T72" s="151"/>
      <c r="U72" s="152">
        <v>41627.82</v>
      </c>
      <c r="V72" s="153">
        <v>9.5E-4</v>
      </c>
      <c r="W72" s="153">
        <v>2.3800000000000002E-2</v>
      </c>
      <c r="X72" s="154">
        <v>4.1700000000000001E-3</v>
      </c>
      <c r="Y72" s="176"/>
    </row>
    <row r="73" spans="1:25" x14ac:dyDescent="0.2">
      <c r="A73" s="150" t="s">
        <v>1264</v>
      </c>
      <c r="B73" s="151" t="s">
        <v>1264</v>
      </c>
      <c r="C73" s="151" t="s">
        <v>1392</v>
      </c>
      <c r="D73" s="151" t="s">
        <v>1393</v>
      </c>
      <c r="E73" s="151" t="s">
        <v>420</v>
      </c>
      <c r="F73" s="151" t="s">
        <v>1809</v>
      </c>
      <c r="G73" s="151" t="s">
        <v>1810</v>
      </c>
      <c r="H73" s="151" t="s">
        <v>75</v>
      </c>
      <c r="I73" s="151" t="s">
        <v>72</v>
      </c>
      <c r="J73" s="151" t="s">
        <v>52</v>
      </c>
      <c r="K73" s="151" t="s">
        <v>52</v>
      </c>
      <c r="L73" s="151" t="s">
        <v>775</v>
      </c>
      <c r="M73" s="151" t="s">
        <v>303</v>
      </c>
      <c r="N73" s="151" t="s">
        <v>620</v>
      </c>
      <c r="O73" s="151" t="s">
        <v>61</v>
      </c>
      <c r="P73" s="151" t="s">
        <v>1255</v>
      </c>
      <c r="Q73" s="152">
        <v>83615</v>
      </c>
      <c r="R73" s="152">
        <v>1</v>
      </c>
      <c r="S73" s="152">
        <v>41870</v>
      </c>
      <c r="T73" s="151"/>
      <c r="U73" s="152">
        <v>35009.601000000002</v>
      </c>
      <c r="V73" s="153">
        <v>6.8999999999999997E-4</v>
      </c>
      <c r="W73" s="153">
        <v>2.002E-2</v>
      </c>
      <c r="X73" s="154">
        <v>3.5100000000000001E-3</v>
      </c>
      <c r="Y73" s="176"/>
    </row>
    <row r="74" spans="1:25" x14ac:dyDescent="0.2">
      <c r="A74" s="150" t="s">
        <v>1264</v>
      </c>
      <c r="B74" s="151" t="s">
        <v>1264</v>
      </c>
      <c r="C74" s="151" t="s">
        <v>1789</v>
      </c>
      <c r="D74" s="151" t="s">
        <v>1790</v>
      </c>
      <c r="E74" s="151" t="s">
        <v>420</v>
      </c>
      <c r="F74" s="151" t="s">
        <v>1791</v>
      </c>
      <c r="G74" s="151" t="s">
        <v>1792</v>
      </c>
      <c r="H74" s="151" t="s">
        <v>75</v>
      </c>
      <c r="I74" s="151" t="s">
        <v>72</v>
      </c>
      <c r="J74" s="151" t="s">
        <v>52</v>
      </c>
      <c r="K74" s="151" t="s">
        <v>52</v>
      </c>
      <c r="L74" s="151" t="s">
        <v>775</v>
      </c>
      <c r="M74" s="151" t="s">
        <v>303</v>
      </c>
      <c r="N74" s="151" t="s">
        <v>249</v>
      </c>
      <c r="O74" s="151" t="s">
        <v>61</v>
      </c>
      <c r="P74" s="151" t="s">
        <v>1255</v>
      </c>
      <c r="Q74" s="152">
        <v>25141</v>
      </c>
      <c r="R74" s="152">
        <v>1</v>
      </c>
      <c r="S74" s="152">
        <v>135650</v>
      </c>
      <c r="T74" s="151"/>
      <c r="U74" s="152">
        <v>34103.767</v>
      </c>
      <c r="V74" s="153">
        <v>8.1999999999999998E-4</v>
      </c>
      <c r="W74" s="153">
        <v>1.95E-2</v>
      </c>
      <c r="X74" s="154">
        <v>3.4199999999999999E-3</v>
      </c>
      <c r="Y74" s="176"/>
    </row>
    <row r="75" spans="1:25" x14ac:dyDescent="0.2">
      <c r="A75" s="150" t="s">
        <v>1264</v>
      </c>
      <c r="B75" s="151" t="s">
        <v>1264</v>
      </c>
      <c r="C75" s="151" t="s">
        <v>1380</v>
      </c>
      <c r="D75" s="151" t="s">
        <v>1381</v>
      </c>
      <c r="E75" s="151" t="s">
        <v>420</v>
      </c>
      <c r="F75" s="151" t="s">
        <v>1793</v>
      </c>
      <c r="G75" s="151" t="s">
        <v>1794</v>
      </c>
      <c r="H75" s="151" t="s">
        <v>75</v>
      </c>
      <c r="I75" s="151" t="s">
        <v>72</v>
      </c>
      <c r="J75" s="151" t="s">
        <v>52</v>
      </c>
      <c r="K75" s="151" t="s">
        <v>52</v>
      </c>
      <c r="L75" s="151" t="s">
        <v>775</v>
      </c>
      <c r="M75" s="151" t="s">
        <v>303</v>
      </c>
      <c r="N75" s="151" t="s">
        <v>620</v>
      </c>
      <c r="O75" s="151" t="s">
        <v>61</v>
      </c>
      <c r="P75" s="151" t="s">
        <v>1255</v>
      </c>
      <c r="Q75" s="152">
        <v>81805</v>
      </c>
      <c r="R75" s="152">
        <v>1</v>
      </c>
      <c r="S75" s="152">
        <v>40600</v>
      </c>
      <c r="T75" s="152">
        <v>154.374</v>
      </c>
      <c r="U75" s="152">
        <v>33367.203999999998</v>
      </c>
      <c r="V75" s="153">
        <v>1.72E-3</v>
      </c>
      <c r="W75" s="153">
        <v>1.917E-2</v>
      </c>
      <c r="X75" s="154">
        <v>3.3600000000000001E-3</v>
      </c>
      <c r="Y75" s="176"/>
    </row>
    <row r="76" spans="1:25" x14ac:dyDescent="0.2">
      <c r="A76" s="150" t="s">
        <v>1264</v>
      </c>
      <c r="B76" s="151" t="s">
        <v>1264</v>
      </c>
      <c r="C76" s="151" t="s">
        <v>1799</v>
      </c>
      <c r="D76" s="151" t="s">
        <v>1800</v>
      </c>
      <c r="E76" s="151" t="s">
        <v>420</v>
      </c>
      <c r="F76" s="151" t="s">
        <v>1801</v>
      </c>
      <c r="G76" s="151" t="s">
        <v>1802</v>
      </c>
      <c r="H76" s="151" t="s">
        <v>75</v>
      </c>
      <c r="I76" s="151" t="s">
        <v>72</v>
      </c>
      <c r="J76" s="151" t="s">
        <v>52</v>
      </c>
      <c r="K76" s="151" t="s">
        <v>52</v>
      </c>
      <c r="L76" s="151" t="s">
        <v>775</v>
      </c>
      <c r="M76" s="151" t="s">
        <v>303</v>
      </c>
      <c r="N76" s="151" t="s">
        <v>249</v>
      </c>
      <c r="O76" s="151" t="s">
        <v>61</v>
      </c>
      <c r="P76" s="151" t="s">
        <v>1255</v>
      </c>
      <c r="Q76" s="152">
        <v>61000</v>
      </c>
      <c r="R76" s="152">
        <v>1</v>
      </c>
      <c r="S76" s="152">
        <v>53870</v>
      </c>
      <c r="T76" s="151"/>
      <c r="U76" s="152">
        <v>32860.699999999997</v>
      </c>
      <c r="V76" s="153">
        <v>5.4000000000000001E-4</v>
      </c>
      <c r="W76" s="153">
        <v>1.8790000000000001E-2</v>
      </c>
      <c r="X76" s="154">
        <v>3.29E-3</v>
      </c>
      <c r="Y76" s="176"/>
    </row>
    <row r="77" spans="1:25" x14ac:dyDescent="0.2">
      <c r="A77" s="150" t="s">
        <v>1264</v>
      </c>
      <c r="B77" s="151" t="s">
        <v>1264</v>
      </c>
      <c r="C77" s="151" t="s">
        <v>1803</v>
      </c>
      <c r="D77" s="151" t="s">
        <v>1804</v>
      </c>
      <c r="E77" s="151" t="s">
        <v>420</v>
      </c>
      <c r="F77" s="151" t="s">
        <v>1805</v>
      </c>
      <c r="G77" s="151" t="s">
        <v>1806</v>
      </c>
      <c r="H77" s="151" t="s">
        <v>75</v>
      </c>
      <c r="I77" s="151" t="s">
        <v>72</v>
      </c>
      <c r="J77" s="151" t="s">
        <v>52</v>
      </c>
      <c r="K77" s="151" t="s">
        <v>52</v>
      </c>
      <c r="L77" s="151" t="s">
        <v>775</v>
      </c>
      <c r="M77" s="151" t="s">
        <v>303</v>
      </c>
      <c r="N77" s="151" t="s">
        <v>253</v>
      </c>
      <c r="O77" s="151" t="s">
        <v>61</v>
      </c>
      <c r="P77" s="151" t="s">
        <v>1255</v>
      </c>
      <c r="Q77" s="152">
        <v>785000</v>
      </c>
      <c r="R77" s="152">
        <v>1</v>
      </c>
      <c r="S77" s="152">
        <v>3509</v>
      </c>
      <c r="T77" s="151"/>
      <c r="U77" s="152">
        <v>27545.65</v>
      </c>
      <c r="V77" s="153">
        <v>4.0800000000000003E-3</v>
      </c>
      <c r="W77" s="153">
        <v>1.575E-2</v>
      </c>
      <c r="X77" s="154">
        <v>2.7599999999999999E-3</v>
      </c>
      <c r="Y77" s="176"/>
    </row>
    <row r="78" spans="1:25" x14ac:dyDescent="0.2">
      <c r="A78" s="150" t="s">
        <v>1264</v>
      </c>
      <c r="B78" s="151" t="s">
        <v>1264</v>
      </c>
      <c r="C78" s="151" t="s">
        <v>1795</v>
      </c>
      <c r="D78" s="151" t="s">
        <v>1796</v>
      </c>
      <c r="E78" s="151" t="s">
        <v>420</v>
      </c>
      <c r="F78" s="151" t="s">
        <v>1797</v>
      </c>
      <c r="G78" s="151" t="s">
        <v>1798</v>
      </c>
      <c r="H78" s="151" t="s">
        <v>75</v>
      </c>
      <c r="I78" s="151" t="s">
        <v>72</v>
      </c>
      <c r="J78" s="151" t="s">
        <v>52</v>
      </c>
      <c r="K78" s="151" t="s">
        <v>52</v>
      </c>
      <c r="L78" s="151" t="s">
        <v>775</v>
      </c>
      <c r="M78" s="151" t="s">
        <v>303</v>
      </c>
      <c r="N78" s="151" t="s">
        <v>249</v>
      </c>
      <c r="O78" s="151" t="s">
        <v>61</v>
      </c>
      <c r="P78" s="151" t="s">
        <v>1255</v>
      </c>
      <c r="Q78" s="152">
        <v>59045</v>
      </c>
      <c r="R78" s="152">
        <v>1</v>
      </c>
      <c r="S78" s="152">
        <v>46340</v>
      </c>
      <c r="T78" s="151"/>
      <c r="U78" s="152">
        <v>27361.453000000001</v>
      </c>
      <c r="V78" s="153">
        <v>1.23E-3</v>
      </c>
      <c r="W78" s="153">
        <v>1.5640000000000001E-2</v>
      </c>
      <c r="X78" s="154">
        <v>2.7399999999999998E-3</v>
      </c>
      <c r="Y78" s="176"/>
    </row>
    <row r="79" spans="1:25" x14ac:dyDescent="0.2">
      <c r="A79" s="150" t="s">
        <v>1264</v>
      </c>
      <c r="B79" s="151" t="s">
        <v>1264</v>
      </c>
      <c r="C79" s="151" t="s">
        <v>1464</v>
      </c>
      <c r="D79" s="151" t="s">
        <v>1465</v>
      </c>
      <c r="E79" s="151" t="s">
        <v>420</v>
      </c>
      <c r="F79" s="151" t="s">
        <v>1807</v>
      </c>
      <c r="G79" s="151" t="s">
        <v>1808</v>
      </c>
      <c r="H79" s="151" t="s">
        <v>75</v>
      </c>
      <c r="I79" s="151" t="s">
        <v>72</v>
      </c>
      <c r="J79" s="151" t="s">
        <v>52</v>
      </c>
      <c r="K79" s="151" t="s">
        <v>52</v>
      </c>
      <c r="L79" s="151" t="s">
        <v>775</v>
      </c>
      <c r="M79" s="151" t="s">
        <v>303</v>
      </c>
      <c r="N79" s="151" t="s">
        <v>616</v>
      </c>
      <c r="O79" s="151" t="s">
        <v>61</v>
      </c>
      <c r="P79" s="151" t="s">
        <v>1255</v>
      </c>
      <c r="Q79" s="152">
        <v>1272704</v>
      </c>
      <c r="R79" s="152">
        <v>1</v>
      </c>
      <c r="S79" s="152">
        <v>1890</v>
      </c>
      <c r="T79" s="151"/>
      <c r="U79" s="152">
        <v>24054.106</v>
      </c>
      <c r="V79" s="153">
        <v>2.2000000000000001E-3</v>
      </c>
      <c r="W79" s="153">
        <v>1.375E-2</v>
      </c>
      <c r="X79" s="154">
        <v>2.4099999999999998E-3</v>
      </c>
      <c r="Y79" s="176"/>
    </row>
    <row r="80" spans="1:25" x14ac:dyDescent="0.2">
      <c r="A80" s="150" t="s">
        <v>1264</v>
      </c>
      <c r="B80" s="151" t="s">
        <v>1264</v>
      </c>
      <c r="C80" s="151" t="s">
        <v>1719</v>
      </c>
      <c r="D80" s="151" t="s">
        <v>1720</v>
      </c>
      <c r="E80" s="151" t="s">
        <v>420</v>
      </c>
      <c r="F80" s="151" t="s">
        <v>1813</v>
      </c>
      <c r="G80" s="151" t="s">
        <v>1814</v>
      </c>
      <c r="H80" s="151" t="s">
        <v>75</v>
      </c>
      <c r="I80" s="151" t="s">
        <v>72</v>
      </c>
      <c r="J80" s="151" t="s">
        <v>52</v>
      </c>
      <c r="K80" s="151" t="s">
        <v>52</v>
      </c>
      <c r="L80" s="151" t="s">
        <v>775</v>
      </c>
      <c r="M80" s="151" t="s">
        <v>303</v>
      </c>
      <c r="N80" s="151" t="s">
        <v>620</v>
      </c>
      <c r="O80" s="151" t="s">
        <v>61</v>
      </c>
      <c r="P80" s="151" t="s">
        <v>1255</v>
      </c>
      <c r="Q80" s="152">
        <v>43700</v>
      </c>
      <c r="R80" s="152">
        <v>1</v>
      </c>
      <c r="S80" s="152">
        <v>50060</v>
      </c>
      <c r="T80" s="151"/>
      <c r="U80" s="152">
        <v>21876.22</v>
      </c>
      <c r="V80" s="153">
        <v>1.15E-3</v>
      </c>
      <c r="W80" s="153">
        <v>1.251E-2</v>
      </c>
      <c r="X80" s="154">
        <v>2.1900000000000001E-3</v>
      </c>
      <c r="Y80" s="176"/>
    </row>
    <row r="81" spans="1:25" x14ac:dyDescent="0.2">
      <c r="A81" s="150" t="s">
        <v>1264</v>
      </c>
      <c r="B81" s="151" t="s">
        <v>1264</v>
      </c>
      <c r="C81" s="151" t="s">
        <v>1543</v>
      </c>
      <c r="D81" s="151" t="s">
        <v>1544</v>
      </c>
      <c r="E81" s="151" t="s">
        <v>420</v>
      </c>
      <c r="F81" s="151" t="s">
        <v>1811</v>
      </c>
      <c r="G81" s="151" t="s">
        <v>1812</v>
      </c>
      <c r="H81" s="151" t="s">
        <v>75</v>
      </c>
      <c r="I81" s="151" t="s">
        <v>72</v>
      </c>
      <c r="J81" s="151" t="s">
        <v>52</v>
      </c>
      <c r="K81" s="151" t="s">
        <v>52</v>
      </c>
      <c r="L81" s="151" t="s">
        <v>775</v>
      </c>
      <c r="M81" s="151" t="s">
        <v>303</v>
      </c>
      <c r="N81" s="151" t="s">
        <v>620</v>
      </c>
      <c r="O81" s="151" t="s">
        <v>61</v>
      </c>
      <c r="P81" s="151" t="s">
        <v>1255</v>
      </c>
      <c r="Q81" s="152">
        <v>1094750</v>
      </c>
      <c r="R81" s="152">
        <v>1</v>
      </c>
      <c r="S81" s="152">
        <v>1923</v>
      </c>
      <c r="T81" s="151"/>
      <c r="U81" s="152">
        <v>21052.043000000001</v>
      </c>
      <c r="V81" s="153">
        <v>2.2200000000000002E-3</v>
      </c>
      <c r="W81" s="153">
        <v>1.204E-2</v>
      </c>
      <c r="X81" s="154">
        <v>2.1099999999999999E-3</v>
      </c>
      <c r="Y81" s="176"/>
    </row>
    <row r="82" spans="1:25" x14ac:dyDescent="0.2">
      <c r="A82" s="150" t="s">
        <v>1264</v>
      </c>
      <c r="B82" s="151" t="s">
        <v>1264</v>
      </c>
      <c r="C82" s="151" t="s">
        <v>1454</v>
      </c>
      <c r="D82" s="151" t="s">
        <v>1455</v>
      </c>
      <c r="E82" s="151" t="s">
        <v>420</v>
      </c>
      <c r="F82" s="151" t="s">
        <v>1815</v>
      </c>
      <c r="G82" s="151" t="s">
        <v>1816</v>
      </c>
      <c r="H82" s="151" t="s">
        <v>75</v>
      </c>
      <c r="I82" s="151" t="s">
        <v>72</v>
      </c>
      <c r="J82" s="151" t="s">
        <v>52</v>
      </c>
      <c r="K82" s="151" t="s">
        <v>52</v>
      </c>
      <c r="L82" s="151" t="s">
        <v>775</v>
      </c>
      <c r="M82" s="151" t="s">
        <v>303</v>
      </c>
      <c r="N82" s="151" t="s">
        <v>138</v>
      </c>
      <c r="O82" s="151" t="s">
        <v>61</v>
      </c>
      <c r="P82" s="151" t="s">
        <v>1255</v>
      </c>
      <c r="Q82" s="152">
        <v>42932</v>
      </c>
      <c r="R82" s="152">
        <v>1</v>
      </c>
      <c r="S82" s="152">
        <v>42240</v>
      </c>
      <c r="T82" s="151"/>
      <c r="U82" s="152">
        <v>18134.476999999999</v>
      </c>
      <c r="V82" s="153">
        <v>1.9400000000000001E-3</v>
      </c>
      <c r="W82" s="153">
        <v>1.0370000000000001E-2</v>
      </c>
      <c r="X82" s="154">
        <v>1.82E-3</v>
      </c>
      <c r="Y82" s="176"/>
    </row>
    <row r="83" spans="1:25" x14ac:dyDescent="0.2">
      <c r="A83" s="150" t="s">
        <v>1264</v>
      </c>
      <c r="B83" s="151" t="s">
        <v>1264</v>
      </c>
      <c r="C83" s="151" t="s">
        <v>1361</v>
      </c>
      <c r="D83" s="151" t="s">
        <v>1362</v>
      </c>
      <c r="E83" s="151" t="s">
        <v>420</v>
      </c>
      <c r="F83" s="151" t="s">
        <v>1817</v>
      </c>
      <c r="G83" s="151" t="s">
        <v>1818</v>
      </c>
      <c r="H83" s="151" t="s">
        <v>75</v>
      </c>
      <c r="I83" s="151" t="s">
        <v>72</v>
      </c>
      <c r="J83" s="151" t="s">
        <v>52</v>
      </c>
      <c r="K83" s="151" t="s">
        <v>52</v>
      </c>
      <c r="L83" s="151" t="s">
        <v>775</v>
      </c>
      <c r="M83" s="151" t="s">
        <v>303</v>
      </c>
      <c r="N83" s="151" t="s">
        <v>620</v>
      </c>
      <c r="O83" s="151" t="s">
        <v>61</v>
      </c>
      <c r="P83" s="151" t="s">
        <v>1255</v>
      </c>
      <c r="Q83" s="152">
        <v>522919</v>
      </c>
      <c r="R83" s="152">
        <v>1</v>
      </c>
      <c r="S83" s="152">
        <v>3375</v>
      </c>
      <c r="T83" s="152">
        <v>205.73</v>
      </c>
      <c r="U83" s="152">
        <v>17854.245999999999</v>
      </c>
      <c r="V83" s="153">
        <v>2.31E-3</v>
      </c>
      <c r="W83" s="153">
        <v>1.0330000000000001E-2</v>
      </c>
      <c r="X83" s="154">
        <v>1.81E-3</v>
      </c>
      <c r="Y83" s="176"/>
    </row>
    <row r="84" spans="1:25" x14ac:dyDescent="0.2">
      <c r="A84" s="150" t="s">
        <v>1264</v>
      </c>
      <c r="B84" s="151" t="s">
        <v>1264</v>
      </c>
      <c r="C84" s="151" t="s">
        <v>1823</v>
      </c>
      <c r="D84" s="151" t="s">
        <v>1824</v>
      </c>
      <c r="E84" s="151" t="s">
        <v>420</v>
      </c>
      <c r="F84" s="151" t="s">
        <v>1825</v>
      </c>
      <c r="G84" s="151" t="s">
        <v>1826</v>
      </c>
      <c r="H84" s="151" t="s">
        <v>75</v>
      </c>
      <c r="I84" s="151" t="s">
        <v>72</v>
      </c>
      <c r="J84" s="151" t="s">
        <v>52</v>
      </c>
      <c r="K84" s="151" t="s">
        <v>52</v>
      </c>
      <c r="L84" s="151" t="s">
        <v>775</v>
      </c>
      <c r="M84" s="151" t="s">
        <v>303</v>
      </c>
      <c r="N84" s="151" t="s">
        <v>260</v>
      </c>
      <c r="O84" s="151" t="s">
        <v>61</v>
      </c>
      <c r="P84" s="151" t="s">
        <v>1255</v>
      </c>
      <c r="Q84" s="152">
        <v>953000</v>
      </c>
      <c r="R84" s="152">
        <v>1</v>
      </c>
      <c r="S84" s="152">
        <v>1799</v>
      </c>
      <c r="T84" s="151"/>
      <c r="U84" s="152">
        <v>17144.47</v>
      </c>
      <c r="V84" s="153">
        <v>8.0999999999999996E-4</v>
      </c>
      <c r="W84" s="153">
        <v>9.7999999999999997E-3</v>
      </c>
      <c r="X84" s="154">
        <v>1.72E-3</v>
      </c>
      <c r="Y84" s="176"/>
    </row>
    <row r="85" spans="1:25" x14ac:dyDescent="0.2">
      <c r="A85" s="150" t="s">
        <v>1264</v>
      </c>
      <c r="B85" s="151" t="s">
        <v>1264</v>
      </c>
      <c r="C85" s="151" t="s">
        <v>1835</v>
      </c>
      <c r="D85" s="151" t="s">
        <v>1836</v>
      </c>
      <c r="E85" s="151" t="s">
        <v>420</v>
      </c>
      <c r="F85" s="151" t="s">
        <v>1837</v>
      </c>
      <c r="G85" s="151" t="s">
        <v>1838</v>
      </c>
      <c r="H85" s="151" t="s">
        <v>75</v>
      </c>
      <c r="I85" s="151" t="s">
        <v>72</v>
      </c>
      <c r="J85" s="151" t="s">
        <v>52</v>
      </c>
      <c r="K85" s="151" t="s">
        <v>52</v>
      </c>
      <c r="L85" s="151" t="s">
        <v>775</v>
      </c>
      <c r="M85" s="151" t="s">
        <v>303</v>
      </c>
      <c r="N85" s="151" t="s">
        <v>255</v>
      </c>
      <c r="O85" s="151" t="s">
        <v>61</v>
      </c>
      <c r="P85" s="151" t="s">
        <v>1255</v>
      </c>
      <c r="Q85" s="152">
        <v>64740</v>
      </c>
      <c r="R85" s="152">
        <v>1</v>
      </c>
      <c r="S85" s="152">
        <v>26010</v>
      </c>
      <c r="T85" s="151"/>
      <c r="U85" s="152">
        <v>16838.874</v>
      </c>
      <c r="V85" s="153">
        <v>7.0400000000000003E-3</v>
      </c>
      <c r="W85" s="153">
        <v>9.6299999999999997E-3</v>
      </c>
      <c r="X85" s="154">
        <v>1.6900000000000001E-3</v>
      </c>
      <c r="Y85" s="176"/>
    </row>
    <row r="86" spans="1:25" x14ac:dyDescent="0.2">
      <c r="A86" s="150" t="s">
        <v>1264</v>
      </c>
      <c r="B86" s="151" t="s">
        <v>1264</v>
      </c>
      <c r="C86" s="151" t="s">
        <v>1819</v>
      </c>
      <c r="D86" s="151" t="s">
        <v>1820</v>
      </c>
      <c r="E86" s="151" t="s">
        <v>420</v>
      </c>
      <c r="F86" s="151" t="s">
        <v>1821</v>
      </c>
      <c r="G86" s="151" t="s">
        <v>1822</v>
      </c>
      <c r="H86" s="151" t="s">
        <v>75</v>
      </c>
      <c r="I86" s="151" t="s">
        <v>72</v>
      </c>
      <c r="J86" s="151" t="s">
        <v>52</v>
      </c>
      <c r="K86" s="151" t="s">
        <v>52</v>
      </c>
      <c r="L86" s="151" t="s">
        <v>775</v>
      </c>
      <c r="M86" s="151" t="s">
        <v>303</v>
      </c>
      <c r="N86" s="151" t="s">
        <v>620</v>
      </c>
      <c r="O86" s="151" t="s">
        <v>61</v>
      </c>
      <c r="P86" s="151" t="s">
        <v>1255</v>
      </c>
      <c r="Q86" s="152">
        <v>7468649</v>
      </c>
      <c r="R86" s="152">
        <v>1</v>
      </c>
      <c r="S86" s="152">
        <v>210</v>
      </c>
      <c r="T86" s="152">
        <v>244.22499999999999</v>
      </c>
      <c r="U86" s="152">
        <v>15928.388000000001</v>
      </c>
      <c r="V86" s="153">
        <v>8.7899999999999992E-3</v>
      </c>
      <c r="W86" s="153">
        <v>9.2499999999999995E-3</v>
      </c>
      <c r="X86" s="154">
        <v>1.6199999999999999E-3</v>
      </c>
      <c r="Y86" s="176"/>
    </row>
    <row r="87" spans="1:25" x14ac:dyDescent="0.2">
      <c r="A87" s="150" t="s">
        <v>1264</v>
      </c>
      <c r="B87" s="151" t="s">
        <v>1264</v>
      </c>
      <c r="C87" s="151" t="s">
        <v>1827</v>
      </c>
      <c r="D87" s="151" t="s">
        <v>1828</v>
      </c>
      <c r="E87" s="151" t="s">
        <v>420</v>
      </c>
      <c r="F87" s="151" t="s">
        <v>1829</v>
      </c>
      <c r="G87" s="151" t="s">
        <v>1830</v>
      </c>
      <c r="H87" s="151" t="s">
        <v>75</v>
      </c>
      <c r="I87" s="151" t="s">
        <v>72</v>
      </c>
      <c r="J87" s="151" t="s">
        <v>52</v>
      </c>
      <c r="K87" s="151" t="s">
        <v>52</v>
      </c>
      <c r="L87" s="151" t="s">
        <v>775</v>
      </c>
      <c r="M87" s="151" t="s">
        <v>303</v>
      </c>
      <c r="N87" s="151" t="s">
        <v>256</v>
      </c>
      <c r="O87" s="151" t="s">
        <v>61</v>
      </c>
      <c r="P87" s="151" t="s">
        <v>1255</v>
      </c>
      <c r="Q87" s="152">
        <v>1836619</v>
      </c>
      <c r="R87" s="152">
        <v>1</v>
      </c>
      <c r="S87" s="152">
        <v>805.7</v>
      </c>
      <c r="T87" s="152">
        <v>318.327</v>
      </c>
      <c r="U87" s="152">
        <v>15115.966</v>
      </c>
      <c r="V87" s="153">
        <v>6.3699999999999998E-3</v>
      </c>
      <c r="W87" s="153">
        <v>8.8199999999999997E-3</v>
      </c>
      <c r="X87" s="154">
        <v>1.5499999999999999E-3</v>
      </c>
      <c r="Y87" s="176"/>
    </row>
    <row r="88" spans="1:25" x14ac:dyDescent="0.2">
      <c r="A88" s="150" t="s">
        <v>1264</v>
      </c>
      <c r="B88" s="151" t="s">
        <v>1264</v>
      </c>
      <c r="C88" s="151" t="s">
        <v>1843</v>
      </c>
      <c r="D88" s="151" t="s">
        <v>1844</v>
      </c>
      <c r="E88" s="151" t="s">
        <v>420</v>
      </c>
      <c r="F88" s="151" t="s">
        <v>1845</v>
      </c>
      <c r="G88" s="151" t="s">
        <v>1846</v>
      </c>
      <c r="H88" s="151" t="s">
        <v>75</v>
      </c>
      <c r="I88" s="151" t="s">
        <v>72</v>
      </c>
      <c r="J88" s="151" t="s">
        <v>52</v>
      </c>
      <c r="K88" s="151" t="s">
        <v>52</v>
      </c>
      <c r="L88" s="151" t="s">
        <v>775</v>
      </c>
      <c r="M88" s="151" t="s">
        <v>466</v>
      </c>
      <c r="N88" s="151" t="s">
        <v>249</v>
      </c>
      <c r="O88" s="151" t="s">
        <v>61</v>
      </c>
      <c r="P88" s="151" t="s">
        <v>1256</v>
      </c>
      <c r="Q88" s="152">
        <v>32700</v>
      </c>
      <c r="R88" s="152">
        <v>3.165</v>
      </c>
      <c r="S88" s="152">
        <v>14285</v>
      </c>
      <c r="T88" s="151"/>
      <c r="U88" s="152">
        <v>14784.332</v>
      </c>
      <c r="V88" s="153">
        <v>2.9999999999999997E-4</v>
      </c>
      <c r="W88" s="153">
        <v>8.4499999999999992E-3</v>
      </c>
      <c r="X88" s="154">
        <v>1.48E-3</v>
      </c>
      <c r="Y88" s="176"/>
    </row>
    <row r="89" spans="1:25" x14ac:dyDescent="0.2">
      <c r="A89" s="150" t="s">
        <v>1264</v>
      </c>
      <c r="B89" s="151" t="s">
        <v>1264</v>
      </c>
      <c r="C89" s="151" t="s">
        <v>1558</v>
      </c>
      <c r="D89" s="151" t="s">
        <v>1559</v>
      </c>
      <c r="E89" s="151" t="s">
        <v>420</v>
      </c>
      <c r="F89" s="151" t="s">
        <v>1847</v>
      </c>
      <c r="G89" s="151" t="s">
        <v>1848</v>
      </c>
      <c r="H89" s="151" t="s">
        <v>75</v>
      </c>
      <c r="I89" s="151" t="s">
        <v>72</v>
      </c>
      <c r="J89" s="151" t="s">
        <v>52</v>
      </c>
      <c r="K89" s="151" t="s">
        <v>52</v>
      </c>
      <c r="L89" s="151" t="s">
        <v>775</v>
      </c>
      <c r="M89" s="151" t="s">
        <v>303</v>
      </c>
      <c r="N89" s="151" t="s">
        <v>620</v>
      </c>
      <c r="O89" s="151" t="s">
        <v>61</v>
      </c>
      <c r="P89" s="151" t="s">
        <v>1255</v>
      </c>
      <c r="Q89" s="152">
        <v>20500</v>
      </c>
      <c r="R89" s="152">
        <v>1</v>
      </c>
      <c r="S89" s="152">
        <v>71680</v>
      </c>
      <c r="T89" s="151"/>
      <c r="U89" s="152">
        <v>14694.4</v>
      </c>
      <c r="V89" s="153">
        <v>8.0999999999999996E-4</v>
      </c>
      <c r="W89" s="153">
        <v>8.3999999999999995E-3</v>
      </c>
      <c r="X89" s="154">
        <v>1.47E-3</v>
      </c>
      <c r="Y89" s="176"/>
    </row>
    <row r="90" spans="1:25" x14ac:dyDescent="0.2">
      <c r="A90" s="150" t="s">
        <v>1264</v>
      </c>
      <c r="B90" s="151" t="s">
        <v>1264</v>
      </c>
      <c r="C90" s="151" t="s">
        <v>1831</v>
      </c>
      <c r="D90" s="151" t="s">
        <v>1832</v>
      </c>
      <c r="E90" s="151" t="s">
        <v>420</v>
      </c>
      <c r="F90" s="151" t="s">
        <v>1833</v>
      </c>
      <c r="G90" s="151" t="s">
        <v>1834</v>
      </c>
      <c r="H90" s="151" t="s">
        <v>75</v>
      </c>
      <c r="I90" s="151" t="s">
        <v>72</v>
      </c>
      <c r="J90" s="151" t="s">
        <v>52</v>
      </c>
      <c r="K90" s="151" t="s">
        <v>52</v>
      </c>
      <c r="L90" s="151" t="s">
        <v>775</v>
      </c>
      <c r="M90" s="151" t="s">
        <v>303</v>
      </c>
      <c r="N90" s="151" t="s">
        <v>138</v>
      </c>
      <c r="O90" s="151" t="s">
        <v>61</v>
      </c>
      <c r="P90" s="151" t="s">
        <v>1255</v>
      </c>
      <c r="Q90" s="152">
        <v>816593</v>
      </c>
      <c r="R90" s="152">
        <v>1</v>
      </c>
      <c r="S90" s="152">
        <v>1751</v>
      </c>
      <c r="T90" s="152">
        <v>59.847999999999999</v>
      </c>
      <c r="U90" s="152">
        <v>14358.392</v>
      </c>
      <c r="V90" s="153">
        <v>2.3900000000000002E-3</v>
      </c>
      <c r="W90" s="153">
        <v>8.2400000000000008E-3</v>
      </c>
      <c r="X90" s="154">
        <v>1.4400000000000001E-3</v>
      </c>
      <c r="Y90" s="176"/>
    </row>
    <row r="91" spans="1:25" x14ac:dyDescent="0.2">
      <c r="A91" s="150" t="s">
        <v>1264</v>
      </c>
      <c r="B91" s="151" t="s">
        <v>1264</v>
      </c>
      <c r="C91" s="151" t="s">
        <v>1839</v>
      </c>
      <c r="D91" s="151" t="s">
        <v>1840</v>
      </c>
      <c r="E91" s="151" t="s">
        <v>420</v>
      </c>
      <c r="F91" s="151" t="s">
        <v>1841</v>
      </c>
      <c r="G91" s="151" t="s">
        <v>1842</v>
      </c>
      <c r="H91" s="151" t="s">
        <v>75</v>
      </c>
      <c r="I91" s="151" t="s">
        <v>72</v>
      </c>
      <c r="J91" s="151" t="s">
        <v>52</v>
      </c>
      <c r="K91" s="151" t="s">
        <v>52</v>
      </c>
      <c r="L91" s="151" t="s">
        <v>775</v>
      </c>
      <c r="M91" s="151" t="s">
        <v>303</v>
      </c>
      <c r="N91" s="151" t="s">
        <v>248</v>
      </c>
      <c r="O91" s="151" t="s">
        <v>61</v>
      </c>
      <c r="P91" s="151" t="s">
        <v>1255</v>
      </c>
      <c r="Q91" s="152">
        <v>40844</v>
      </c>
      <c r="R91" s="152">
        <v>1</v>
      </c>
      <c r="S91" s="152">
        <v>34690</v>
      </c>
      <c r="T91" s="151"/>
      <c r="U91" s="152">
        <v>14168.784</v>
      </c>
      <c r="V91" s="153">
        <v>5.5000000000000003E-4</v>
      </c>
      <c r="W91" s="153">
        <v>8.0999999999999996E-3</v>
      </c>
      <c r="X91" s="154">
        <v>1.42E-3</v>
      </c>
      <c r="Y91" s="176"/>
    </row>
    <row r="92" spans="1:25" x14ac:dyDescent="0.2">
      <c r="A92" s="150" t="s">
        <v>1264</v>
      </c>
      <c r="B92" s="151" t="s">
        <v>1264</v>
      </c>
      <c r="C92" s="151" t="s">
        <v>1849</v>
      </c>
      <c r="D92" s="151" t="s">
        <v>1850</v>
      </c>
      <c r="E92" s="151" t="s">
        <v>420</v>
      </c>
      <c r="F92" s="151" t="s">
        <v>1851</v>
      </c>
      <c r="G92" s="151" t="s">
        <v>1852</v>
      </c>
      <c r="H92" s="151" t="s">
        <v>75</v>
      </c>
      <c r="I92" s="151" t="s">
        <v>72</v>
      </c>
      <c r="J92" s="151" t="s">
        <v>52</v>
      </c>
      <c r="K92" s="151" t="s">
        <v>52</v>
      </c>
      <c r="L92" s="151" t="s">
        <v>775</v>
      </c>
      <c r="M92" s="151" t="s">
        <v>303</v>
      </c>
      <c r="N92" s="151" t="s">
        <v>1212</v>
      </c>
      <c r="O92" s="151" t="s">
        <v>61</v>
      </c>
      <c r="P92" s="151" t="s">
        <v>1255</v>
      </c>
      <c r="Q92" s="152">
        <v>92300</v>
      </c>
      <c r="R92" s="152">
        <v>1</v>
      </c>
      <c r="S92" s="152">
        <v>13860</v>
      </c>
      <c r="T92" s="151"/>
      <c r="U92" s="152">
        <v>12792.78</v>
      </c>
      <c r="V92" s="153">
        <v>8.5999999999999998E-4</v>
      </c>
      <c r="W92" s="153">
        <v>7.3099999999999997E-3</v>
      </c>
      <c r="X92" s="154">
        <v>1.2800000000000001E-3</v>
      </c>
      <c r="Y92" s="176"/>
    </row>
    <row r="93" spans="1:25" x14ac:dyDescent="0.2">
      <c r="A93" s="150" t="s">
        <v>1264</v>
      </c>
      <c r="B93" s="151" t="s">
        <v>1264</v>
      </c>
      <c r="C93" s="151" t="s">
        <v>1857</v>
      </c>
      <c r="D93" s="151" t="s">
        <v>1858</v>
      </c>
      <c r="E93" s="151" t="s">
        <v>420</v>
      </c>
      <c r="F93" s="151" t="s">
        <v>1859</v>
      </c>
      <c r="G93" s="151" t="s">
        <v>1860</v>
      </c>
      <c r="H93" s="151" t="s">
        <v>75</v>
      </c>
      <c r="I93" s="151" t="s">
        <v>72</v>
      </c>
      <c r="J93" s="151" t="s">
        <v>52</v>
      </c>
      <c r="K93" s="151" t="s">
        <v>52</v>
      </c>
      <c r="L93" s="151" t="s">
        <v>775</v>
      </c>
      <c r="M93" s="151" t="s">
        <v>303</v>
      </c>
      <c r="N93" s="151" t="s">
        <v>1212</v>
      </c>
      <c r="O93" s="151" t="s">
        <v>61</v>
      </c>
      <c r="P93" s="151" t="s">
        <v>1255</v>
      </c>
      <c r="Q93" s="152">
        <v>304400</v>
      </c>
      <c r="R93" s="152">
        <v>1</v>
      </c>
      <c r="S93" s="152">
        <v>3525</v>
      </c>
      <c r="T93" s="151"/>
      <c r="U93" s="152">
        <v>10730.1</v>
      </c>
      <c r="V93" s="153">
        <v>4.1200000000000004E-3</v>
      </c>
      <c r="W93" s="153">
        <v>6.1399999999999996E-3</v>
      </c>
      <c r="X93" s="154">
        <v>1.07E-3</v>
      </c>
      <c r="Y93" s="176"/>
    </row>
    <row r="94" spans="1:25" x14ac:dyDescent="0.2">
      <c r="A94" s="150" t="s">
        <v>1264</v>
      </c>
      <c r="B94" s="151" t="s">
        <v>1264</v>
      </c>
      <c r="C94" s="151" t="s">
        <v>1853</v>
      </c>
      <c r="D94" s="151" t="s">
        <v>1854</v>
      </c>
      <c r="E94" s="151" t="s">
        <v>420</v>
      </c>
      <c r="F94" s="151" t="s">
        <v>1855</v>
      </c>
      <c r="G94" s="151" t="s">
        <v>1856</v>
      </c>
      <c r="H94" s="151" t="s">
        <v>75</v>
      </c>
      <c r="I94" s="151" t="s">
        <v>72</v>
      </c>
      <c r="J94" s="151" t="s">
        <v>52</v>
      </c>
      <c r="K94" s="151" t="s">
        <v>52</v>
      </c>
      <c r="L94" s="151" t="s">
        <v>775</v>
      </c>
      <c r="M94" s="151" t="s">
        <v>303</v>
      </c>
      <c r="N94" s="151" t="s">
        <v>262</v>
      </c>
      <c r="O94" s="151" t="s">
        <v>61</v>
      </c>
      <c r="P94" s="151" t="s">
        <v>1255</v>
      </c>
      <c r="Q94" s="152">
        <v>22500</v>
      </c>
      <c r="R94" s="152">
        <v>1</v>
      </c>
      <c r="S94" s="152">
        <v>45370</v>
      </c>
      <c r="T94" s="151"/>
      <c r="U94" s="152">
        <v>10208.25</v>
      </c>
      <c r="V94" s="153">
        <v>3.6000000000000002E-4</v>
      </c>
      <c r="W94" s="153">
        <v>5.8399999999999997E-3</v>
      </c>
      <c r="X94" s="154">
        <v>1.0200000000000001E-3</v>
      </c>
      <c r="Y94" s="176"/>
    </row>
    <row r="95" spans="1:25" x14ac:dyDescent="0.2">
      <c r="A95" s="150" t="s">
        <v>1264</v>
      </c>
      <c r="B95" s="151" t="s">
        <v>1264</v>
      </c>
      <c r="C95" s="151" t="s">
        <v>1652</v>
      </c>
      <c r="D95" s="151" t="s">
        <v>1653</v>
      </c>
      <c r="E95" s="151" t="s">
        <v>420</v>
      </c>
      <c r="F95" s="151" t="s">
        <v>1861</v>
      </c>
      <c r="G95" s="151" t="s">
        <v>1862</v>
      </c>
      <c r="H95" s="151" t="s">
        <v>75</v>
      </c>
      <c r="I95" s="151" t="s">
        <v>72</v>
      </c>
      <c r="J95" s="151" t="s">
        <v>52</v>
      </c>
      <c r="K95" s="151" t="s">
        <v>52</v>
      </c>
      <c r="L95" s="151" t="s">
        <v>775</v>
      </c>
      <c r="M95" s="151" t="s">
        <v>303</v>
      </c>
      <c r="N95" s="151" t="s">
        <v>620</v>
      </c>
      <c r="O95" s="151" t="s">
        <v>61</v>
      </c>
      <c r="P95" s="151" t="s">
        <v>1255</v>
      </c>
      <c r="Q95" s="152">
        <v>260000</v>
      </c>
      <c r="R95" s="152">
        <v>1</v>
      </c>
      <c r="S95" s="152">
        <v>3584</v>
      </c>
      <c r="T95" s="151"/>
      <c r="U95" s="152">
        <v>9318.4</v>
      </c>
      <c r="V95" s="153">
        <v>1.1800000000000001E-3</v>
      </c>
      <c r="W95" s="153">
        <v>5.3299999999999997E-3</v>
      </c>
      <c r="X95" s="154">
        <v>9.3000000000000005E-4</v>
      </c>
      <c r="Y95" s="176"/>
    </row>
    <row r="96" spans="1:25" x14ac:dyDescent="0.2">
      <c r="A96" s="150" t="s">
        <v>1264</v>
      </c>
      <c r="B96" s="151" t="s">
        <v>1264</v>
      </c>
      <c r="C96" s="151" t="s">
        <v>1863</v>
      </c>
      <c r="D96" s="151" t="s">
        <v>1864</v>
      </c>
      <c r="E96" s="151" t="s">
        <v>420</v>
      </c>
      <c r="F96" s="151" t="s">
        <v>1865</v>
      </c>
      <c r="G96" s="151" t="s">
        <v>1866</v>
      </c>
      <c r="H96" s="151" t="s">
        <v>75</v>
      </c>
      <c r="I96" s="151" t="s">
        <v>72</v>
      </c>
      <c r="J96" s="151" t="s">
        <v>52</v>
      </c>
      <c r="K96" s="151" t="s">
        <v>52</v>
      </c>
      <c r="L96" s="151" t="s">
        <v>775</v>
      </c>
      <c r="M96" s="151" t="s">
        <v>303</v>
      </c>
      <c r="N96" s="151" t="s">
        <v>1210</v>
      </c>
      <c r="O96" s="151" t="s">
        <v>61</v>
      </c>
      <c r="P96" s="151" t="s">
        <v>1255</v>
      </c>
      <c r="Q96" s="152">
        <v>70000</v>
      </c>
      <c r="R96" s="152">
        <v>1</v>
      </c>
      <c r="S96" s="152">
        <v>8714</v>
      </c>
      <c r="T96" s="151"/>
      <c r="U96" s="152">
        <v>6099.8</v>
      </c>
      <c r="V96" s="153">
        <v>7.5000000000000002E-4</v>
      </c>
      <c r="W96" s="153">
        <v>3.49E-3</v>
      </c>
      <c r="X96" s="154">
        <v>6.0999999999999997E-4</v>
      </c>
      <c r="Y96" s="176"/>
    </row>
    <row r="97" spans="1:25" x14ac:dyDescent="0.2">
      <c r="A97" s="150" t="s">
        <v>1264</v>
      </c>
      <c r="B97" s="151" t="s">
        <v>1264</v>
      </c>
      <c r="C97" s="151" t="s">
        <v>1867</v>
      </c>
      <c r="D97" s="151" t="s">
        <v>1868</v>
      </c>
      <c r="E97" s="151" t="s">
        <v>420</v>
      </c>
      <c r="F97" s="151" t="s">
        <v>1869</v>
      </c>
      <c r="G97" s="151" t="s">
        <v>1870</v>
      </c>
      <c r="H97" s="151" t="s">
        <v>75</v>
      </c>
      <c r="I97" s="151" t="s">
        <v>72</v>
      </c>
      <c r="J97" s="151" t="s">
        <v>52</v>
      </c>
      <c r="K97" s="151" t="s">
        <v>52</v>
      </c>
      <c r="L97" s="151" t="s">
        <v>53</v>
      </c>
      <c r="M97" s="151" t="s">
        <v>303</v>
      </c>
      <c r="N97" s="151" t="s">
        <v>138</v>
      </c>
      <c r="O97" s="151" t="s">
        <v>61</v>
      </c>
      <c r="P97" s="151" t="s">
        <v>1255</v>
      </c>
      <c r="Q97" s="152">
        <v>214350.3</v>
      </c>
      <c r="R97" s="152">
        <v>1</v>
      </c>
      <c r="S97" s="152">
        <v>673.7</v>
      </c>
      <c r="T97" s="151"/>
      <c r="U97" s="152">
        <v>1444.078</v>
      </c>
      <c r="V97" s="153">
        <v>3.8999999999999998E-3</v>
      </c>
      <c r="W97" s="153">
        <v>8.3000000000000001E-4</v>
      </c>
      <c r="X97" s="154">
        <v>1.3999999999999999E-4</v>
      </c>
      <c r="Y97" s="176"/>
    </row>
    <row r="98" spans="1:25" x14ac:dyDescent="0.2">
      <c r="A98" s="150" t="s">
        <v>1264</v>
      </c>
      <c r="B98" s="151" t="s">
        <v>1264</v>
      </c>
      <c r="C98" s="151" t="s">
        <v>1871</v>
      </c>
      <c r="D98" s="151" t="s">
        <v>1872</v>
      </c>
      <c r="E98" s="151" t="s">
        <v>420</v>
      </c>
      <c r="F98" s="151" t="s">
        <v>1871</v>
      </c>
      <c r="G98" s="151" t="s">
        <v>1873</v>
      </c>
      <c r="H98" s="151" t="s">
        <v>75</v>
      </c>
      <c r="I98" s="151" t="s">
        <v>72</v>
      </c>
      <c r="J98" s="151" t="s">
        <v>52</v>
      </c>
      <c r="K98" s="151" t="s">
        <v>306</v>
      </c>
      <c r="L98" s="151" t="s">
        <v>775</v>
      </c>
      <c r="M98" s="151" t="s">
        <v>466</v>
      </c>
      <c r="N98" s="151" t="s">
        <v>858</v>
      </c>
      <c r="O98" s="151" t="s">
        <v>61</v>
      </c>
      <c r="P98" s="151" t="s">
        <v>1256</v>
      </c>
      <c r="Q98" s="152">
        <v>138</v>
      </c>
      <c r="R98" s="152">
        <v>3.165</v>
      </c>
      <c r="S98" s="152">
        <v>4693</v>
      </c>
      <c r="T98" s="151"/>
      <c r="U98" s="152">
        <v>20.498000000000001</v>
      </c>
      <c r="V98" s="153">
        <v>0</v>
      </c>
      <c r="W98" s="153">
        <v>1.0000000000000001E-5</v>
      </c>
      <c r="X98" s="154">
        <v>0</v>
      </c>
      <c r="Y98" s="176"/>
    </row>
    <row r="99" spans="1:25" x14ac:dyDescent="0.2">
      <c r="A99" s="150" t="s">
        <v>1264</v>
      </c>
      <c r="B99" s="151" t="s">
        <v>1264</v>
      </c>
      <c r="C99" s="151" t="s">
        <v>1867</v>
      </c>
      <c r="D99" s="151" t="s">
        <v>1868</v>
      </c>
      <c r="E99" s="151" t="s">
        <v>420</v>
      </c>
      <c r="F99" s="151" t="s">
        <v>1869</v>
      </c>
      <c r="G99" s="151" t="s">
        <v>1870</v>
      </c>
      <c r="H99" s="151" t="s">
        <v>75</v>
      </c>
      <c r="I99" s="151" t="s">
        <v>72</v>
      </c>
      <c r="J99" s="151" t="s">
        <v>52</v>
      </c>
      <c r="K99" s="151" t="s">
        <v>52</v>
      </c>
      <c r="L99" s="151" t="s">
        <v>775</v>
      </c>
      <c r="M99" s="151" t="s">
        <v>303</v>
      </c>
      <c r="N99" s="151" t="s">
        <v>138</v>
      </c>
      <c r="O99" s="151" t="s">
        <v>61</v>
      </c>
      <c r="P99" s="151" t="s">
        <v>1255</v>
      </c>
      <c r="Q99" s="152">
        <v>1963.5</v>
      </c>
      <c r="R99" s="152">
        <v>1</v>
      </c>
      <c r="S99" s="152">
        <v>673.7</v>
      </c>
      <c r="T99" s="151"/>
      <c r="U99" s="152">
        <v>13.228</v>
      </c>
      <c r="V99" s="153">
        <v>4.0000000000000003E-5</v>
      </c>
      <c r="W99" s="153">
        <v>1.0000000000000001E-5</v>
      </c>
      <c r="X99" s="154">
        <v>0</v>
      </c>
      <c r="Y99" s="176"/>
    </row>
    <row r="100" spans="1:25" x14ac:dyDescent="0.2">
      <c r="A100" s="150" t="s">
        <v>1264</v>
      </c>
      <c r="B100" s="151" t="s">
        <v>1264</v>
      </c>
      <c r="C100" s="151" t="s">
        <v>1874</v>
      </c>
      <c r="D100" s="151" t="s">
        <v>1875</v>
      </c>
      <c r="E100" s="151" t="s">
        <v>420</v>
      </c>
      <c r="F100" s="151" t="s">
        <v>1876</v>
      </c>
      <c r="G100" s="151" t="s">
        <v>1877</v>
      </c>
      <c r="H100" s="151" t="s">
        <v>75</v>
      </c>
      <c r="I100" s="151" t="s">
        <v>72</v>
      </c>
      <c r="J100" s="151" t="s">
        <v>52</v>
      </c>
      <c r="K100" s="151" t="s">
        <v>52</v>
      </c>
      <c r="L100" s="151" t="s">
        <v>775</v>
      </c>
      <c r="M100" s="151" t="s">
        <v>466</v>
      </c>
      <c r="N100" s="151" t="s">
        <v>858</v>
      </c>
      <c r="O100" s="151" t="s">
        <v>61</v>
      </c>
      <c r="P100" s="151" t="s">
        <v>1256</v>
      </c>
      <c r="Q100" s="152">
        <v>57</v>
      </c>
      <c r="R100" s="152">
        <v>3.165</v>
      </c>
      <c r="S100" s="152">
        <v>6911</v>
      </c>
      <c r="T100" s="151"/>
      <c r="U100" s="152">
        <v>12.468</v>
      </c>
      <c r="V100" s="153">
        <v>0</v>
      </c>
      <c r="W100" s="153">
        <v>1.0000000000000001E-5</v>
      </c>
      <c r="X100" s="154">
        <v>0</v>
      </c>
      <c r="Y100" s="176"/>
    </row>
    <row r="101" spans="1:25" x14ac:dyDescent="0.2">
      <c r="A101" s="150" t="s">
        <v>1264</v>
      </c>
      <c r="B101" s="151" t="s">
        <v>1264</v>
      </c>
      <c r="C101" s="151" t="s">
        <v>1878</v>
      </c>
      <c r="D101" s="151" t="s">
        <v>1879</v>
      </c>
      <c r="E101" s="151" t="s">
        <v>420</v>
      </c>
      <c r="F101" s="151" t="s">
        <v>1880</v>
      </c>
      <c r="G101" s="151" t="s">
        <v>1895</v>
      </c>
      <c r="H101" s="151" t="s">
        <v>75</v>
      </c>
      <c r="I101" s="151" t="s">
        <v>72</v>
      </c>
      <c r="J101" s="151" t="s">
        <v>52</v>
      </c>
      <c r="K101" s="151" t="s">
        <v>52</v>
      </c>
      <c r="L101" s="151" t="s">
        <v>775</v>
      </c>
      <c r="M101" s="151" t="s">
        <v>303</v>
      </c>
      <c r="N101" s="151" t="s">
        <v>616</v>
      </c>
      <c r="O101" s="151" t="s">
        <v>61</v>
      </c>
      <c r="P101" s="151" t="s">
        <v>1255</v>
      </c>
      <c r="Q101" s="152">
        <v>37750</v>
      </c>
      <c r="R101" s="152">
        <v>1</v>
      </c>
      <c r="S101" s="152">
        <v>35120</v>
      </c>
      <c r="T101" s="151"/>
      <c r="U101" s="152">
        <v>13257.8</v>
      </c>
      <c r="V101" s="153">
        <v>6.6E-4</v>
      </c>
      <c r="W101" s="153">
        <v>7.5799999999999999E-3</v>
      </c>
      <c r="X101" s="154">
        <v>1.33E-3</v>
      </c>
      <c r="Y101" s="176"/>
    </row>
    <row r="102" spans="1:25" x14ac:dyDescent="0.2">
      <c r="A102" s="150" t="s">
        <v>1264</v>
      </c>
      <c r="B102" s="151" t="s">
        <v>1264</v>
      </c>
      <c r="C102" s="151" t="s">
        <v>1881</v>
      </c>
      <c r="D102" s="151" t="s">
        <v>1882</v>
      </c>
      <c r="E102" s="151" t="s">
        <v>421</v>
      </c>
      <c r="F102" s="151" t="s">
        <v>1883</v>
      </c>
      <c r="G102" s="151" t="s">
        <v>1884</v>
      </c>
      <c r="H102" s="151" t="s">
        <v>75</v>
      </c>
      <c r="I102" s="151" t="s">
        <v>72</v>
      </c>
      <c r="J102" s="151" t="s">
        <v>60</v>
      </c>
      <c r="K102" s="151" t="s">
        <v>156</v>
      </c>
      <c r="L102" s="151" t="s">
        <v>775</v>
      </c>
      <c r="M102" s="151" t="s">
        <v>466</v>
      </c>
      <c r="N102" s="151" t="s">
        <v>860</v>
      </c>
      <c r="O102" s="151" t="s">
        <v>61</v>
      </c>
      <c r="P102" s="151" t="s">
        <v>1256</v>
      </c>
      <c r="Q102" s="152">
        <v>11716</v>
      </c>
      <c r="R102" s="152">
        <v>3.165</v>
      </c>
      <c r="S102" s="152">
        <v>132083</v>
      </c>
      <c r="T102" s="151"/>
      <c r="U102" s="152">
        <v>48977.881999999998</v>
      </c>
      <c r="V102" s="153">
        <v>3.0000000000000001E-5</v>
      </c>
      <c r="W102" s="153">
        <v>2.8000000000000001E-2</v>
      </c>
      <c r="X102" s="154">
        <v>4.9100000000000003E-3</v>
      </c>
      <c r="Y102" s="176"/>
    </row>
    <row r="103" spans="1:25" x14ac:dyDescent="0.2">
      <c r="A103" s="150" t="s">
        <v>1264</v>
      </c>
      <c r="B103" s="151" t="s">
        <v>1264</v>
      </c>
      <c r="C103" s="151" t="s">
        <v>1889</v>
      </c>
      <c r="D103" s="151" t="s">
        <v>1890</v>
      </c>
      <c r="E103" s="151" t="s">
        <v>421</v>
      </c>
      <c r="F103" s="151" t="s">
        <v>1889</v>
      </c>
      <c r="G103" s="151" t="s">
        <v>1891</v>
      </c>
      <c r="H103" s="151" t="s">
        <v>75</v>
      </c>
      <c r="I103" s="151" t="s">
        <v>72</v>
      </c>
      <c r="J103" s="151" t="s">
        <v>60</v>
      </c>
      <c r="K103" s="151" t="s">
        <v>306</v>
      </c>
      <c r="L103" s="151" t="s">
        <v>775</v>
      </c>
      <c r="M103" s="151" t="s">
        <v>466</v>
      </c>
      <c r="N103" s="151" t="s">
        <v>860</v>
      </c>
      <c r="O103" s="151" t="s">
        <v>61</v>
      </c>
      <c r="P103" s="151" t="s">
        <v>1256</v>
      </c>
      <c r="Q103" s="152">
        <v>32482</v>
      </c>
      <c r="R103" s="152">
        <v>3.165</v>
      </c>
      <c r="S103" s="152">
        <v>37017</v>
      </c>
      <c r="T103" s="151"/>
      <c r="U103" s="152">
        <v>38055.523000000001</v>
      </c>
      <c r="V103" s="153">
        <v>0</v>
      </c>
      <c r="W103" s="153">
        <v>2.1760000000000002E-2</v>
      </c>
      <c r="X103" s="154">
        <v>3.81E-3</v>
      </c>
      <c r="Y103" s="176"/>
    </row>
    <row r="104" spans="1:25" x14ac:dyDescent="0.2">
      <c r="A104" s="150" t="s">
        <v>1264</v>
      </c>
      <c r="B104" s="151" t="s">
        <v>1264</v>
      </c>
      <c r="C104" s="151" t="s">
        <v>1885</v>
      </c>
      <c r="D104" s="151" t="s">
        <v>1886</v>
      </c>
      <c r="E104" s="151" t="s">
        <v>421</v>
      </c>
      <c r="F104" s="151" t="s">
        <v>1887</v>
      </c>
      <c r="G104" s="151" t="s">
        <v>1888</v>
      </c>
      <c r="H104" s="151" t="s">
        <v>75</v>
      </c>
      <c r="I104" s="151" t="s">
        <v>72</v>
      </c>
      <c r="J104" s="151" t="s">
        <v>60</v>
      </c>
      <c r="K104" s="151" t="s">
        <v>306</v>
      </c>
      <c r="L104" s="151" t="s">
        <v>775</v>
      </c>
      <c r="M104" s="151" t="s">
        <v>463</v>
      </c>
      <c r="N104" s="151" t="s">
        <v>860</v>
      </c>
      <c r="O104" s="151" t="s">
        <v>61</v>
      </c>
      <c r="P104" s="151" t="s">
        <v>1256</v>
      </c>
      <c r="Q104" s="152">
        <v>34000</v>
      </c>
      <c r="R104" s="152">
        <v>3.165</v>
      </c>
      <c r="S104" s="152">
        <v>33795</v>
      </c>
      <c r="T104" s="152">
        <v>31.925000000000001</v>
      </c>
      <c r="U104" s="152">
        <v>36470.944000000003</v>
      </c>
      <c r="V104" s="153">
        <v>1.0000000000000001E-5</v>
      </c>
      <c r="W104" s="153">
        <v>2.087E-2</v>
      </c>
      <c r="X104" s="154">
        <v>3.6600000000000001E-3</v>
      </c>
      <c r="Y104" s="176"/>
    </row>
    <row r="105" spans="1:25" x14ac:dyDescent="0.2">
      <c r="A105" s="150" t="s">
        <v>1264</v>
      </c>
      <c r="B105" s="151" t="s">
        <v>1264</v>
      </c>
      <c r="C105" s="151" t="s">
        <v>1896</v>
      </c>
      <c r="D105" s="151" t="s">
        <v>1897</v>
      </c>
      <c r="E105" s="151" t="s">
        <v>421</v>
      </c>
      <c r="F105" s="151" t="s">
        <v>1896</v>
      </c>
      <c r="G105" s="151" t="s">
        <v>1898</v>
      </c>
      <c r="H105" s="151" t="s">
        <v>75</v>
      </c>
      <c r="I105" s="151" t="s">
        <v>72</v>
      </c>
      <c r="J105" s="151" t="s">
        <v>60</v>
      </c>
      <c r="K105" s="151" t="s">
        <v>306</v>
      </c>
      <c r="L105" s="151" t="s">
        <v>775</v>
      </c>
      <c r="M105" s="151" t="s">
        <v>466</v>
      </c>
      <c r="N105" s="151" t="s">
        <v>860</v>
      </c>
      <c r="O105" s="151" t="s">
        <v>61</v>
      </c>
      <c r="P105" s="151" t="s">
        <v>1256</v>
      </c>
      <c r="Q105" s="152">
        <v>57800</v>
      </c>
      <c r="R105" s="152">
        <v>3.165</v>
      </c>
      <c r="S105" s="152">
        <v>17440</v>
      </c>
      <c r="T105" s="152">
        <v>0.38800000000000001</v>
      </c>
      <c r="U105" s="152">
        <v>31905.440999999999</v>
      </c>
      <c r="V105" s="153">
        <v>0</v>
      </c>
      <c r="W105" s="153">
        <v>1.8239999999999999E-2</v>
      </c>
      <c r="X105" s="154">
        <v>3.2000000000000002E-3</v>
      </c>
      <c r="Y105" s="176"/>
    </row>
    <row r="106" spans="1:25" x14ac:dyDescent="0.2">
      <c r="A106" s="150" t="s">
        <v>1264</v>
      </c>
      <c r="B106" s="151" t="s">
        <v>1264</v>
      </c>
      <c r="C106" s="151" t="s">
        <v>1892</v>
      </c>
      <c r="D106" s="151" t="s">
        <v>1893</v>
      </c>
      <c r="E106" s="151" t="s">
        <v>420</v>
      </c>
      <c r="F106" s="151" t="s">
        <v>1894</v>
      </c>
      <c r="G106" s="151" t="s">
        <v>1895</v>
      </c>
      <c r="H106" s="151" t="s">
        <v>75</v>
      </c>
      <c r="I106" s="151" t="s">
        <v>72</v>
      </c>
      <c r="J106" s="151" t="s">
        <v>60</v>
      </c>
      <c r="K106" s="151" t="s">
        <v>52</v>
      </c>
      <c r="L106" s="151" t="s">
        <v>775</v>
      </c>
      <c r="M106" s="151" t="s">
        <v>463</v>
      </c>
      <c r="N106" s="151" t="s">
        <v>616</v>
      </c>
      <c r="O106" s="151" t="s">
        <v>61</v>
      </c>
      <c r="P106" s="151" t="s">
        <v>1256</v>
      </c>
      <c r="Q106" s="152">
        <v>87500</v>
      </c>
      <c r="R106" s="152">
        <v>3.165</v>
      </c>
      <c r="S106" s="152">
        <v>11192</v>
      </c>
      <c r="T106" s="151"/>
      <c r="U106" s="152">
        <v>30994.845000000001</v>
      </c>
      <c r="V106" s="153">
        <v>1.4499999999999999E-3</v>
      </c>
      <c r="W106" s="153">
        <v>1.772E-2</v>
      </c>
      <c r="X106" s="154">
        <v>3.0999999999999999E-3</v>
      </c>
      <c r="Y106" s="176"/>
    </row>
    <row r="107" spans="1:25" x14ac:dyDescent="0.2">
      <c r="A107" s="150" t="s">
        <v>1264</v>
      </c>
      <c r="B107" s="151" t="s">
        <v>1264</v>
      </c>
      <c r="C107" s="151" t="s">
        <v>1899</v>
      </c>
      <c r="D107" s="151" t="s">
        <v>1900</v>
      </c>
      <c r="E107" s="151" t="s">
        <v>421</v>
      </c>
      <c r="F107" s="151" t="s">
        <v>1901</v>
      </c>
      <c r="G107" s="151" t="s">
        <v>1902</v>
      </c>
      <c r="H107" s="151" t="s">
        <v>75</v>
      </c>
      <c r="I107" s="151" t="s">
        <v>72</v>
      </c>
      <c r="J107" s="151" t="s">
        <v>60</v>
      </c>
      <c r="K107" s="151" t="s">
        <v>306</v>
      </c>
      <c r="L107" s="151" t="s">
        <v>775</v>
      </c>
      <c r="M107" s="151" t="s">
        <v>466</v>
      </c>
      <c r="N107" s="151" t="s">
        <v>860</v>
      </c>
      <c r="O107" s="151" t="s">
        <v>61</v>
      </c>
      <c r="P107" s="151" t="s">
        <v>1256</v>
      </c>
      <c r="Q107" s="152">
        <v>30160</v>
      </c>
      <c r="R107" s="152">
        <v>3.165</v>
      </c>
      <c r="S107" s="152">
        <v>28756</v>
      </c>
      <c r="T107" s="151"/>
      <c r="U107" s="152">
        <v>27449.441999999999</v>
      </c>
      <c r="V107" s="153">
        <v>1.0000000000000001E-5</v>
      </c>
      <c r="W107" s="153">
        <v>1.5689999999999999E-2</v>
      </c>
      <c r="X107" s="154">
        <v>2.7499999999999998E-3</v>
      </c>
      <c r="Y107" s="176"/>
    </row>
    <row r="108" spans="1:25" x14ac:dyDescent="0.2">
      <c r="A108" s="150" t="s">
        <v>1264</v>
      </c>
      <c r="B108" s="151" t="s">
        <v>1264</v>
      </c>
      <c r="C108" s="151" t="s">
        <v>1903</v>
      </c>
      <c r="D108" s="151" t="s">
        <v>1904</v>
      </c>
      <c r="E108" s="151" t="s">
        <v>421</v>
      </c>
      <c r="F108" s="151" t="s">
        <v>1905</v>
      </c>
      <c r="G108" s="151" t="s">
        <v>1906</v>
      </c>
      <c r="H108" s="151" t="s">
        <v>75</v>
      </c>
      <c r="I108" s="151" t="s">
        <v>72</v>
      </c>
      <c r="J108" s="151" t="s">
        <v>60</v>
      </c>
      <c r="K108" s="151" t="s">
        <v>306</v>
      </c>
      <c r="L108" s="151" t="s">
        <v>775</v>
      </c>
      <c r="M108" s="151" t="s">
        <v>463</v>
      </c>
      <c r="N108" s="151" t="s">
        <v>855</v>
      </c>
      <c r="O108" s="151" t="s">
        <v>61</v>
      </c>
      <c r="P108" s="151" t="s">
        <v>1256</v>
      </c>
      <c r="Q108" s="152">
        <v>14415</v>
      </c>
      <c r="R108" s="152">
        <v>3.165</v>
      </c>
      <c r="S108" s="152">
        <v>49966</v>
      </c>
      <c r="T108" s="151"/>
      <c r="U108" s="152">
        <v>22796.225999999999</v>
      </c>
      <c r="V108" s="153">
        <v>2.0000000000000002E-5</v>
      </c>
      <c r="W108" s="153">
        <v>1.303E-2</v>
      </c>
      <c r="X108" s="154">
        <v>2.2799999999999999E-3</v>
      </c>
      <c r="Y108" s="176"/>
    </row>
    <row r="109" spans="1:25" x14ac:dyDescent="0.2">
      <c r="A109" s="150" t="s">
        <v>1264</v>
      </c>
      <c r="B109" s="151" t="s">
        <v>1264</v>
      </c>
      <c r="C109" s="151" t="s">
        <v>1907</v>
      </c>
      <c r="D109" s="151" t="s">
        <v>1908</v>
      </c>
      <c r="E109" s="151" t="s">
        <v>421</v>
      </c>
      <c r="F109" s="151" t="s">
        <v>1907</v>
      </c>
      <c r="G109" s="151" t="s">
        <v>1909</v>
      </c>
      <c r="H109" s="151" t="s">
        <v>75</v>
      </c>
      <c r="I109" s="151" t="s">
        <v>72</v>
      </c>
      <c r="J109" s="151" t="s">
        <v>60</v>
      </c>
      <c r="K109" s="151" t="s">
        <v>306</v>
      </c>
      <c r="L109" s="151" t="s">
        <v>775</v>
      </c>
      <c r="M109" s="151" t="s">
        <v>466</v>
      </c>
      <c r="N109" s="151" t="s">
        <v>860</v>
      </c>
      <c r="O109" s="151" t="s">
        <v>61</v>
      </c>
      <c r="P109" s="151" t="s">
        <v>1256</v>
      </c>
      <c r="Q109" s="152">
        <v>20550</v>
      </c>
      <c r="R109" s="152">
        <v>3.165</v>
      </c>
      <c r="S109" s="152">
        <v>30951</v>
      </c>
      <c r="T109" s="152">
        <v>13.358000000000001</v>
      </c>
      <c r="U109" s="152">
        <v>20173.039000000001</v>
      </c>
      <c r="V109" s="153">
        <v>0</v>
      </c>
      <c r="W109" s="153">
        <v>1.154E-2</v>
      </c>
      <c r="X109" s="154">
        <v>2.0200000000000001E-3</v>
      </c>
      <c r="Y109" s="176"/>
    </row>
    <row r="110" spans="1:25" x14ac:dyDescent="0.2">
      <c r="A110" s="150" t="s">
        <v>1264</v>
      </c>
      <c r="B110" s="151" t="s">
        <v>1264</v>
      </c>
      <c r="C110" s="151" t="s">
        <v>1913</v>
      </c>
      <c r="D110" s="151" t="s">
        <v>1914</v>
      </c>
      <c r="E110" s="151" t="s">
        <v>421</v>
      </c>
      <c r="F110" s="151" t="s">
        <v>1913</v>
      </c>
      <c r="G110" s="151" t="s">
        <v>1915</v>
      </c>
      <c r="H110" s="151" t="s">
        <v>75</v>
      </c>
      <c r="I110" s="151" t="s">
        <v>72</v>
      </c>
      <c r="J110" s="151" t="s">
        <v>60</v>
      </c>
      <c r="K110" s="151" t="s">
        <v>151</v>
      </c>
      <c r="L110" s="151" t="s">
        <v>775</v>
      </c>
      <c r="M110" s="151" t="s">
        <v>475</v>
      </c>
      <c r="N110" s="151" t="s">
        <v>832</v>
      </c>
      <c r="O110" s="151" t="s">
        <v>61</v>
      </c>
      <c r="P110" s="151" t="s">
        <v>1258</v>
      </c>
      <c r="Q110" s="152">
        <v>3500</v>
      </c>
      <c r="R110" s="152">
        <v>3.6360000000000001</v>
      </c>
      <c r="S110" s="152">
        <v>144450</v>
      </c>
      <c r="T110" s="151"/>
      <c r="U110" s="152">
        <v>18382.706999999999</v>
      </c>
      <c r="V110" s="153">
        <v>8.0000000000000007E-5</v>
      </c>
      <c r="W110" s="153">
        <v>1.051E-2</v>
      </c>
      <c r="X110" s="154">
        <v>1.8400000000000001E-3</v>
      </c>
      <c r="Y110" s="176"/>
    </row>
    <row r="111" spans="1:25" x14ac:dyDescent="0.2">
      <c r="A111" s="150" t="s">
        <v>1264</v>
      </c>
      <c r="B111" s="151" t="s">
        <v>1264</v>
      </c>
      <c r="C111" s="151" t="s">
        <v>1910</v>
      </c>
      <c r="D111" s="151" t="s">
        <v>1911</v>
      </c>
      <c r="E111" s="151" t="s">
        <v>421</v>
      </c>
      <c r="F111" s="151" t="s">
        <v>1910</v>
      </c>
      <c r="G111" s="151" t="s">
        <v>1912</v>
      </c>
      <c r="H111" s="151" t="s">
        <v>75</v>
      </c>
      <c r="I111" s="151" t="s">
        <v>72</v>
      </c>
      <c r="J111" s="151" t="s">
        <v>60</v>
      </c>
      <c r="K111" s="151" t="s">
        <v>306</v>
      </c>
      <c r="L111" s="151" t="s">
        <v>775</v>
      </c>
      <c r="M111" s="151" t="s">
        <v>466</v>
      </c>
      <c r="N111" s="151" t="s">
        <v>844</v>
      </c>
      <c r="O111" s="151" t="s">
        <v>61</v>
      </c>
      <c r="P111" s="151" t="s">
        <v>1256</v>
      </c>
      <c r="Q111" s="152">
        <v>27500</v>
      </c>
      <c r="R111" s="152">
        <v>3.165</v>
      </c>
      <c r="S111" s="152">
        <v>20827</v>
      </c>
      <c r="T111" s="151"/>
      <c r="U111" s="152">
        <v>18127.3</v>
      </c>
      <c r="V111" s="153">
        <v>0</v>
      </c>
      <c r="W111" s="153">
        <v>1.0359999999999999E-2</v>
      </c>
      <c r="X111" s="154">
        <v>1.82E-3</v>
      </c>
      <c r="Y111" s="176"/>
    </row>
    <row r="112" spans="1:25" x14ac:dyDescent="0.2">
      <c r="A112" s="150" t="s">
        <v>1264</v>
      </c>
      <c r="B112" s="151" t="s">
        <v>1264</v>
      </c>
      <c r="C112" s="151" t="s">
        <v>1916</v>
      </c>
      <c r="D112" s="151" t="s">
        <v>1917</v>
      </c>
      <c r="E112" s="151" t="s">
        <v>421</v>
      </c>
      <c r="F112" s="151" t="s">
        <v>1916</v>
      </c>
      <c r="G112" s="151" t="s">
        <v>1918</v>
      </c>
      <c r="H112" s="151" t="s">
        <v>75</v>
      </c>
      <c r="I112" s="151" t="s">
        <v>72</v>
      </c>
      <c r="J112" s="151" t="s">
        <v>60</v>
      </c>
      <c r="K112" s="151" t="s">
        <v>306</v>
      </c>
      <c r="L112" s="151" t="s">
        <v>775</v>
      </c>
      <c r="M112" s="151" t="s">
        <v>466</v>
      </c>
      <c r="N112" s="151" t="s">
        <v>858</v>
      </c>
      <c r="O112" s="151" t="s">
        <v>61</v>
      </c>
      <c r="P112" s="151" t="s">
        <v>1256</v>
      </c>
      <c r="Q112" s="152">
        <v>26500</v>
      </c>
      <c r="R112" s="152">
        <v>3.165</v>
      </c>
      <c r="S112" s="152">
        <v>20343</v>
      </c>
      <c r="T112" s="151"/>
      <c r="U112" s="152">
        <v>17062.183000000001</v>
      </c>
      <c r="V112" s="153">
        <v>2.0000000000000002E-5</v>
      </c>
      <c r="W112" s="153">
        <v>9.7599999999999996E-3</v>
      </c>
      <c r="X112" s="154">
        <v>1.7099999999999999E-3</v>
      </c>
      <c r="Y112" s="176"/>
    </row>
    <row r="113" spans="1:25" x14ac:dyDescent="0.2">
      <c r="A113" s="150" t="s">
        <v>1264</v>
      </c>
      <c r="B113" s="151" t="s">
        <v>1264</v>
      </c>
      <c r="C113" s="151" t="s">
        <v>1919</v>
      </c>
      <c r="D113" s="151" t="s">
        <v>1920</v>
      </c>
      <c r="E113" s="151" t="s">
        <v>421</v>
      </c>
      <c r="F113" s="151" t="s">
        <v>1919</v>
      </c>
      <c r="G113" s="151" t="s">
        <v>1921</v>
      </c>
      <c r="H113" s="151" t="s">
        <v>75</v>
      </c>
      <c r="I113" s="151" t="s">
        <v>72</v>
      </c>
      <c r="J113" s="151" t="s">
        <v>60</v>
      </c>
      <c r="K113" s="151" t="s">
        <v>306</v>
      </c>
      <c r="L113" s="151" t="s">
        <v>775</v>
      </c>
      <c r="M113" s="151" t="s">
        <v>466</v>
      </c>
      <c r="N113" s="151" t="s">
        <v>844</v>
      </c>
      <c r="O113" s="151" t="s">
        <v>61</v>
      </c>
      <c r="P113" s="151" t="s">
        <v>1256</v>
      </c>
      <c r="Q113" s="152">
        <v>5400</v>
      </c>
      <c r="R113" s="152">
        <v>3.165</v>
      </c>
      <c r="S113" s="152">
        <v>99643</v>
      </c>
      <c r="T113" s="151"/>
      <c r="U113" s="152">
        <v>17029.985000000001</v>
      </c>
      <c r="V113" s="153">
        <v>1.0000000000000001E-5</v>
      </c>
      <c r="W113" s="153">
        <v>9.7400000000000004E-3</v>
      </c>
      <c r="X113" s="154">
        <v>1.7099999999999999E-3</v>
      </c>
      <c r="Y113" s="176"/>
    </row>
    <row r="114" spans="1:25" x14ac:dyDescent="0.2">
      <c r="A114" s="150" t="s">
        <v>1264</v>
      </c>
      <c r="B114" s="151" t="s">
        <v>1264</v>
      </c>
      <c r="C114" s="151" t="s">
        <v>1922</v>
      </c>
      <c r="D114" s="151" t="s">
        <v>1923</v>
      </c>
      <c r="E114" s="151" t="s">
        <v>421</v>
      </c>
      <c r="F114" s="151" t="s">
        <v>1922</v>
      </c>
      <c r="G114" s="151" t="s">
        <v>1924</v>
      </c>
      <c r="H114" s="151" t="s">
        <v>75</v>
      </c>
      <c r="I114" s="151" t="s">
        <v>72</v>
      </c>
      <c r="J114" s="151" t="s">
        <v>60</v>
      </c>
      <c r="K114" s="151" t="s">
        <v>306</v>
      </c>
      <c r="L114" s="151" t="s">
        <v>775</v>
      </c>
      <c r="M114" s="151" t="s">
        <v>466</v>
      </c>
      <c r="N114" s="151" t="s">
        <v>858</v>
      </c>
      <c r="O114" s="151" t="s">
        <v>61</v>
      </c>
      <c r="P114" s="151" t="s">
        <v>1256</v>
      </c>
      <c r="Q114" s="152">
        <v>9000</v>
      </c>
      <c r="R114" s="152">
        <v>3.165</v>
      </c>
      <c r="S114" s="152">
        <v>57213</v>
      </c>
      <c r="T114" s="151"/>
      <c r="U114" s="152">
        <v>16297.123</v>
      </c>
      <c r="V114" s="153">
        <v>0</v>
      </c>
      <c r="W114" s="153">
        <v>9.3200000000000002E-3</v>
      </c>
      <c r="X114" s="154">
        <v>1.6299999999999999E-3</v>
      </c>
      <c r="Y114" s="176"/>
    </row>
    <row r="115" spans="1:25" x14ac:dyDescent="0.2">
      <c r="A115" s="150" t="s">
        <v>1264</v>
      </c>
      <c r="B115" s="151" t="s">
        <v>1264</v>
      </c>
      <c r="C115" s="151" t="s">
        <v>1925</v>
      </c>
      <c r="D115" s="151" t="s">
        <v>1926</v>
      </c>
      <c r="E115" s="151" t="s">
        <v>421</v>
      </c>
      <c r="F115" s="151" t="s">
        <v>1925</v>
      </c>
      <c r="G115" s="151" t="s">
        <v>1927</v>
      </c>
      <c r="H115" s="151" t="s">
        <v>75</v>
      </c>
      <c r="I115" s="151" t="s">
        <v>72</v>
      </c>
      <c r="J115" s="151" t="s">
        <v>60</v>
      </c>
      <c r="K115" s="151" t="s">
        <v>306</v>
      </c>
      <c r="L115" s="151" t="s">
        <v>775</v>
      </c>
      <c r="M115" s="151" t="s">
        <v>466</v>
      </c>
      <c r="N115" s="151" t="s">
        <v>858</v>
      </c>
      <c r="O115" s="151" t="s">
        <v>61</v>
      </c>
      <c r="P115" s="151" t="s">
        <v>1256</v>
      </c>
      <c r="Q115" s="152">
        <v>29800</v>
      </c>
      <c r="R115" s="152">
        <v>3.165</v>
      </c>
      <c r="S115" s="152">
        <v>16032</v>
      </c>
      <c r="T115" s="151"/>
      <c r="U115" s="152">
        <v>15120.901</v>
      </c>
      <c r="V115" s="153">
        <v>5.0000000000000002E-5</v>
      </c>
      <c r="W115" s="153">
        <v>8.6499999999999997E-3</v>
      </c>
      <c r="X115" s="154">
        <v>1.5100000000000001E-3</v>
      </c>
      <c r="Y115" s="176"/>
    </row>
    <row r="116" spans="1:25" x14ac:dyDescent="0.2">
      <c r="A116" s="150" t="s">
        <v>1264</v>
      </c>
      <c r="B116" s="151" t="s">
        <v>1264</v>
      </c>
      <c r="C116" s="151" t="s">
        <v>1928</v>
      </c>
      <c r="D116" s="151" t="s">
        <v>1929</v>
      </c>
      <c r="E116" s="151" t="s">
        <v>421</v>
      </c>
      <c r="F116" s="151" t="s">
        <v>1928</v>
      </c>
      <c r="G116" s="151" t="s">
        <v>1930</v>
      </c>
      <c r="H116" s="151" t="s">
        <v>75</v>
      </c>
      <c r="I116" s="151" t="s">
        <v>72</v>
      </c>
      <c r="J116" s="151" t="s">
        <v>60</v>
      </c>
      <c r="K116" s="151" t="s">
        <v>306</v>
      </c>
      <c r="L116" s="151" t="s">
        <v>775</v>
      </c>
      <c r="M116" s="151" t="s">
        <v>466</v>
      </c>
      <c r="N116" s="151" t="s">
        <v>843</v>
      </c>
      <c r="O116" s="151" t="s">
        <v>61</v>
      </c>
      <c r="P116" s="151" t="s">
        <v>1256</v>
      </c>
      <c r="Q116" s="152">
        <v>7900</v>
      </c>
      <c r="R116" s="152">
        <v>3.165</v>
      </c>
      <c r="S116" s="152">
        <v>37175</v>
      </c>
      <c r="T116" s="151"/>
      <c r="U116" s="152">
        <v>9295.0509999999995</v>
      </c>
      <c r="V116" s="153">
        <v>0</v>
      </c>
      <c r="W116" s="153">
        <v>5.3099999999999996E-3</v>
      </c>
      <c r="X116" s="154">
        <v>9.3000000000000005E-4</v>
      </c>
      <c r="Y116" s="176"/>
    </row>
    <row r="117" spans="1:25" x14ac:dyDescent="0.2">
      <c r="A117" s="150" t="s">
        <v>1264</v>
      </c>
      <c r="B117" s="151" t="s">
        <v>1264</v>
      </c>
      <c r="C117" s="151" t="s">
        <v>1931</v>
      </c>
      <c r="D117" s="151" t="s">
        <v>1932</v>
      </c>
      <c r="E117" s="151" t="s">
        <v>421</v>
      </c>
      <c r="F117" s="151" t="s">
        <v>1933</v>
      </c>
      <c r="G117" s="151" t="s">
        <v>1934</v>
      </c>
      <c r="H117" s="151" t="s">
        <v>75</v>
      </c>
      <c r="I117" s="151" t="s">
        <v>72</v>
      </c>
      <c r="J117" s="151" t="s">
        <v>60</v>
      </c>
      <c r="K117" s="151" t="s">
        <v>184</v>
      </c>
      <c r="L117" s="151" t="s">
        <v>775</v>
      </c>
      <c r="M117" s="151" t="s">
        <v>476</v>
      </c>
      <c r="N117" s="151" t="s">
        <v>844</v>
      </c>
      <c r="O117" s="151" t="s">
        <v>61</v>
      </c>
      <c r="P117" s="151" t="s">
        <v>1935</v>
      </c>
      <c r="Q117" s="152">
        <v>2409</v>
      </c>
      <c r="R117" s="152">
        <v>0.40400000000000003</v>
      </c>
      <c r="S117" s="152">
        <v>11320</v>
      </c>
      <c r="T117" s="151"/>
      <c r="U117" s="152">
        <v>110.089</v>
      </c>
      <c r="V117" s="153">
        <v>0</v>
      </c>
      <c r="W117" s="153">
        <v>6.0000000000000002E-5</v>
      </c>
      <c r="X117" s="154">
        <v>1.0000000000000001E-5</v>
      </c>
      <c r="Y117" s="176"/>
    </row>
    <row r="118" spans="1:25" x14ac:dyDescent="0.2">
      <c r="A118" s="150" t="s">
        <v>1264</v>
      </c>
      <c r="B118" s="151" t="s">
        <v>1264</v>
      </c>
      <c r="C118" s="151" t="s">
        <v>1936</v>
      </c>
      <c r="D118" s="151" t="s">
        <v>1937</v>
      </c>
      <c r="E118" s="151" t="s">
        <v>421</v>
      </c>
      <c r="F118" s="151" t="s">
        <v>1936</v>
      </c>
      <c r="G118" s="151" t="s">
        <v>1938</v>
      </c>
      <c r="H118" s="151" t="s">
        <v>75</v>
      </c>
      <c r="I118" s="151" t="s">
        <v>72</v>
      </c>
      <c r="J118" s="151" t="s">
        <v>60</v>
      </c>
      <c r="K118" s="151" t="s">
        <v>306</v>
      </c>
      <c r="L118" s="151" t="s">
        <v>775</v>
      </c>
      <c r="M118" s="151" t="s">
        <v>466</v>
      </c>
      <c r="N118" s="151" t="s">
        <v>858</v>
      </c>
      <c r="O118" s="151" t="s">
        <v>61</v>
      </c>
      <c r="P118" s="151" t="s">
        <v>1256</v>
      </c>
      <c r="Q118" s="152">
        <v>28</v>
      </c>
      <c r="R118" s="152">
        <v>3.165</v>
      </c>
      <c r="S118" s="152">
        <v>462</v>
      </c>
      <c r="T118" s="151"/>
      <c r="U118" s="152">
        <v>0.40899999999999997</v>
      </c>
      <c r="V118" s="153">
        <v>0</v>
      </c>
      <c r="W118" s="153">
        <v>0</v>
      </c>
      <c r="X118" s="154">
        <v>0</v>
      </c>
      <c r="Y118" s="176"/>
    </row>
    <row r="119" spans="1:25" x14ac:dyDescent="0.2">
      <c r="A119" s="150" t="s">
        <v>1251</v>
      </c>
      <c r="B119" s="151" t="s">
        <v>1262</v>
      </c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60"/>
      <c r="Y119" s="176"/>
    </row>
    <row r="120" spans="1:25" x14ac:dyDescent="0.2">
      <c r="A120" s="150" t="s">
        <v>1251</v>
      </c>
      <c r="B120" s="151" t="s">
        <v>1263</v>
      </c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60"/>
      <c r="Y120" s="176"/>
    </row>
    <row r="121" spans="1:25" x14ac:dyDescent="0.2">
      <c r="A121" s="150" t="s">
        <v>1264</v>
      </c>
      <c r="B121" s="151" t="s">
        <v>1265</v>
      </c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60"/>
      <c r="Y121" s="176"/>
    </row>
    <row r="122" spans="1:25" x14ac:dyDescent="0.2">
      <c r="A122" s="155" t="s">
        <v>1264</v>
      </c>
      <c r="B122" s="156" t="s">
        <v>1266</v>
      </c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61"/>
      <c r="Y122" s="176"/>
    </row>
    <row r="123" spans="1:25" x14ac:dyDescent="0.2">
      <c r="A123" s="174" t="s">
        <v>2521</v>
      </c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</row>
    <row r="124" spans="1:25" x14ac:dyDescent="0.2">
      <c r="A124" t="s">
        <v>2520</v>
      </c>
    </row>
    <row r="125" spans="1:25" x14ac:dyDescent="0.2">
      <c r="A125" s="1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  <pageSetup orientation="portrait"/>
    </customSheetView>
  </customSheetViews>
  <mergeCells count="2">
    <mergeCell ref="A123:X123"/>
    <mergeCell ref="Y2:Y122"/>
  </mergeCells>
  <pageMargins left="0.7" right="0.7" top="0.75" bottom="0.75" header="0.3" footer="0.3"/>
  <pageSetup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112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3" width="11.625" customWidth="1"/>
    <col min="14" max="14" width="15.125" customWidth="1"/>
    <col min="15" max="15" width="11.75" customWidth="1"/>
    <col min="16" max="16" width="14.875" customWidth="1"/>
    <col min="17" max="17" width="11.625" customWidth="1"/>
    <col min="18" max="18" width="12.875" customWidth="1"/>
    <col min="19" max="19" width="22.25" customWidth="1"/>
    <col min="20" max="20" width="17.875" customWidth="1"/>
    <col min="21" max="21" width="19" customWidth="1"/>
    <col min="22" max="22" width="21.75" customWidth="1"/>
    <col min="23" max="23" width="20.125" customWidth="1"/>
    <col min="24" max="24" width="11.625" hidden="1" customWidth="1"/>
    <col min="25" max="16384" width="9" hidden="1"/>
  </cols>
  <sheetData>
    <row r="1" spans="1:24" x14ac:dyDescent="0.2">
      <c r="A1" t="s">
        <v>2530</v>
      </c>
    </row>
    <row r="2" spans="1:24" s="2" customFormat="1" x14ac:dyDescent="0.2">
      <c r="A2" s="147" t="s">
        <v>636</v>
      </c>
      <c r="B2" s="148" t="s">
        <v>0</v>
      </c>
      <c r="C2" s="148" t="s">
        <v>703</v>
      </c>
      <c r="D2" s="148" t="s">
        <v>2</v>
      </c>
      <c r="E2" s="148" t="s">
        <v>719</v>
      </c>
      <c r="F2" s="148" t="s">
        <v>1097</v>
      </c>
      <c r="G2" s="148" t="s">
        <v>28</v>
      </c>
      <c r="H2" s="148" t="s">
        <v>27</v>
      </c>
      <c r="I2" s="148" t="s">
        <v>1</v>
      </c>
      <c r="J2" s="148" t="s">
        <v>591</v>
      </c>
      <c r="K2" s="148" t="s">
        <v>592</v>
      </c>
      <c r="L2" s="148" t="s">
        <v>4</v>
      </c>
      <c r="M2" s="148" t="s">
        <v>292</v>
      </c>
      <c r="N2" s="148" t="s">
        <v>593</v>
      </c>
      <c r="O2" s="148" t="s">
        <v>387</v>
      </c>
      <c r="P2" s="148" t="s">
        <v>747</v>
      </c>
      <c r="Q2" s="148" t="s">
        <v>10</v>
      </c>
      <c r="R2" s="148" t="s">
        <v>14</v>
      </c>
      <c r="S2" s="148" t="s">
        <v>895</v>
      </c>
      <c r="T2" s="148" t="s">
        <v>1105</v>
      </c>
      <c r="U2" s="148" t="s">
        <v>17</v>
      </c>
      <c r="V2" s="148" t="s">
        <v>18</v>
      </c>
      <c r="W2" s="149" t="s">
        <v>29</v>
      </c>
      <c r="X2" s="174" t="s">
        <v>2522</v>
      </c>
    </row>
    <row r="3" spans="1:24" x14ac:dyDescent="0.2">
      <c r="A3" s="150" t="s">
        <v>1251</v>
      </c>
      <c r="B3" s="151" t="s">
        <v>1251</v>
      </c>
      <c r="C3" s="151" t="s">
        <v>1939</v>
      </c>
      <c r="D3" s="151" t="s">
        <v>1940</v>
      </c>
      <c r="E3" s="151" t="s">
        <v>420</v>
      </c>
      <c r="F3" s="151" t="s">
        <v>1941</v>
      </c>
      <c r="G3" s="151" t="s">
        <v>1942</v>
      </c>
      <c r="H3" s="151" t="s">
        <v>75</v>
      </c>
      <c r="I3" s="151" t="s">
        <v>230</v>
      </c>
      <c r="J3" s="151" t="s">
        <v>52</v>
      </c>
      <c r="K3" s="151" t="s">
        <v>52</v>
      </c>
      <c r="L3" s="151" t="s">
        <v>303</v>
      </c>
      <c r="M3" s="151" t="s">
        <v>1018</v>
      </c>
      <c r="N3" s="151" t="s">
        <v>61</v>
      </c>
      <c r="O3" s="151" t="s">
        <v>1255</v>
      </c>
      <c r="P3" s="152">
        <v>157400</v>
      </c>
      <c r="Q3" s="152">
        <v>1</v>
      </c>
      <c r="R3" s="152">
        <v>6157</v>
      </c>
      <c r="S3" s="151"/>
      <c r="T3" s="152">
        <v>9691.1180000000004</v>
      </c>
      <c r="U3" s="153">
        <v>1.5E-3</v>
      </c>
      <c r="V3" s="153">
        <v>4.811E-2</v>
      </c>
      <c r="W3" s="154">
        <v>1.321E-2</v>
      </c>
      <c r="X3" s="174"/>
    </row>
    <row r="4" spans="1:24" x14ac:dyDescent="0.2">
      <c r="A4" s="150" t="s">
        <v>1251</v>
      </c>
      <c r="B4" s="151" t="s">
        <v>1251</v>
      </c>
      <c r="C4" s="151" t="s">
        <v>1939</v>
      </c>
      <c r="D4" s="151" t="s">
        <v>1940</v>
      </c>
      <c r="E4" s="151" t="s">
        <v>420</v>
      </c>
      <c r="F4" s="151" t="s">
        <v>1943</v>
      </c>
      <c r="G4" s="151" t="s">
        <v>1944</v>
      </c>
      <c r="H4" s="151" t="s">
        <v>75</v>
      </c>
      <c r="I4" s="151" t="s">
        <v>230</v>
      </c>
      <c r="J4" s="151" t="s">
        <v>52</v>
      </c>
      <c r="K4" s="151" t="s">
        <v>52</v>
      </c>
      <c r="L4" s="151" t="s">
        <v>303</v>
      </c>
      <c r="M4" s="151" t="s">
        <v>1015</v>
      </c>
      <c r="N4" s="151" t="s">
        <v>61</v>
      </c>
      <c r="O4" s="151" t="s">
        <v>1255</v>
      </c>
      <c r="P4" s="152">
        <v>165000</v>
      </c>
      <c r="Q4" s="152">
        <v>1</v>
      </c>
      <c r="R4" s="152">
        <v>5146</v>
      </c>
      <c r="S4" s="151"/>
      <c r="T4" s="152">
        <v>8490.9</v>
      </c>
      <c r="U4" s="153">
        <v>2.3600000000000001E-3</v>
      </c>
      <c r="V4" s="153">
        <v>4.215E-2</v>
      </c>
      <c r="W4" s="154">
        <v>1.157E-2</v>
      </c>
      <c r="X4" s="174"/>
    </row>
    <row r="5" spans="1:24" x14ac:dyDescent="0.2">
      <c r="A5" s="150" t="s">
        <v>1251</v>
      </c>
      <c r="B5" s="151" t="s">
        <v>1251</v>
      </c>
      <c r="C5" s="151" t="s">
        <v>1945</v>
      </c>
      <c r="D5" s="151" t="s">
        <v>1946</v>
      </c>
      <c r="E5" s="151" t="s">
        <v>420</v>
      </c>
      <c r="F5" s="151" t="s">
        <v>1947</v>
      </c>
      <c r="G5" s="151" t="s">
        <v>1948</v>
      </c>
      <c r="H5" s="151" t="s">
        <v>75</v>
      </c>
      <c r="I5" s="151" t="s">
        <v>230</v>
      </c>
      <c r="J5" s="151" t="s">
        <v>52</v>
      </c>
      <c r="K5" s="151" t="s">
        <v>52</v>
      </c>
      <c r="L5" s="151" t="s">
        <v>303</v>
      </c>
      <c r="M5" s="151" t="s">
        <v>1018</v>
      </c>
      <c r="N5" s="151" t="s">
        <v>61</v>
      </c>
      <c r="O5" s="151" t="s">
        <v>1255</v>
      </c>
      <c r="P5" s="152">
        <v>186824</v>
      </c>
      <c r="Q5" s="152">
        <v>1</v>
      </c>
      <c r="R5" s="152">
        <v>3929</v>
      </c>
      <c r="S5" s="151"/>
      <c r="T5" s="152">
        <v>7340.3149999999996</v>
      </c>
      <c r="U5" s="153">
        <v>4.2999999999999999E-4</v>
      </c>
      <c r="V5" s="153">
        <v>3.644E-2</v>
      </c>
      <c r="W5" s="154">
        <v>0.01</v>
      </c>
      <c r="X5" s="174"/>
    </row>
    <row r="6" spans="1:24" x14ac:dyDescent="0.2">
      <c r="A6" s="150" t="s">
        <v>1251</v>
      </c>
      <c r="B6" s="151" t="s">
        <v>1251</v>
      </c>
      <c r="C6" s="151" t="s">
        <v>1949</v>
      </c>
      <c r="D6" s="151" t="s">
        <v>1950</v>
      </c>
      <c r="E6" s="151" t="s">
        <v>420</v>
      </c>
      <c r="F6" s="151" t="s">
        <v>1951</v>
      </c>
      <c r="G6" s="151" t="s">
        <v>1952</v>
      </c>
      <c r="H6" s="151" t="s">
        <v>75</v>
      </c>
      <c r="I6" s="151" t="s">
        <v>231</v>
      </c>
      <c r="J6" s="151" t="s">
        <v>52</v>
      </c>
      <c r="K6" s="151" t="s">
        <v>306</v>
      </c>
      <c r="L6" s="151" t="s">
        <v>303</v>
      </c>
      <c r="M6" s="151" t="s">
        <v>1056</v>
      </c>
      <c r="N6" s="151" t="s">
        <v>61</v>
      </c>
      <c r="O6" s="151" t="s">
        <v>1255</v>
      </c>
      <c r="P6" s="152">
        <v>31400</v>
      </c>
      <c r="Q6" s="152">
        <v>1</v>
      </c>
      <c r="R6" s="152">
        <v>22480</v>
      </c>
      <c r="S6" s="151"/>
      <c r="T6" s="152">
        <v>7058.72</v>
      </c>
      <c r="U6" s="153">
        <v>1.07E-3</v>
      </c>
      <c r="V6" s="153">
        <v>3.5040000000000002E-2</v>
      </c>
      <c r="W6" s="154">
        <v>9.6200000000000001E-3</v>
      </c>
      <c r="X6" s="174"/>
    </row>
    <row r="7" spans="1:24" x14ac:dyDescent="0.2">
      <c r="A7" s="150" t="s">
        <v>1251</v>
      </c>
      <c r="B7" s="151" t="s">
        <v>1251</v>
      </c>
      <c r="C7" s="151" t="s">
        <v>1945</v>
      </c>
      <c r="D7" s="151" t="s">
        <v>1946</v>
      </c>
      <c r="E7" s="151" t="s">
        <v>420</v>
      </c>
      <c r="F7" s="151" t="s">
        <v>1953</v>
      </c>
      <c r="G7" s="151" t="s">
        <v>1954</v>
      </c>
      <c r="H7" s="151" t="s">
        <v>75</v>
      </c>
      <c r="I7" s="151" t="s">
        <v>230</v>
      </c>
      <c r="J7" s="151" t="s">
        <v>52</v>
      </c>
      <c r="K7" s="151" t="s">
        <v>52</v>
      </c>
      <c r="L7" s="151" t="s">
        <v>303</v>
      </c>
      <c r="M7" s="151" t="s">
        <v>1015</v>
      </c>
      <c r="N7" s="151" t="s">
        <v>61</v>
      </c>
      <c r="O7" s="151" t="s">
        <v>1255</v>
      </c>
      <c r="P7" s="152">
        <v>161858</v>
      </c>
      <c r="Q7" s="152">
        <v>1</v>
      </c>
      <c r="R7" s="152">
        <v>3413</v>
      </c>
      <c r="S7" s="151"/>
      <c r="T7" s="152">
        <v>5524.2139999999999</v>
      </c>
      <c r="U7" s="153">
        <v>4.0000000000000002E-4</v>
      </c>
      <c r="V7" s="153">
        <v>2.742E-2</v>
      </c>
      <c r="W7" s="154">
        <v>7.5300000000000002E-3</v>
      </c>
      <c r="X7" s="174"/>
    </row>
    <row r="8" spans="1:24" x14ac:dyDescent="0.2">
      <c r="A8" s="150" t="s">
        <v>1251</v>
      </c>
      <c r="B8" s="151" t="s">
        <v>1251</v>
      </c>
      <c r="C8" s="151" t="s">
        <v>1955</v>
      </c>
      <c r="D8" s="151" t="s">
        <v>1956</v>
      </c>
      <c r="E8" s="151" t="s">
        <v>420</v>
      </c>
      <c r="F8" s="151" t="s">
        <v>1957</v>
      </c>
      <c r="G8" s="151" t="s">
        <v>1958</v>
      </c>
      <c r="H8" s="151" t="s">
        <v>75</v>
      </c>
      <c r="I8" s="151" t="s">
        <v>231</v>
      </c>
      <c r="J8" s="151" t="s">
        <v>52</v>
      </c>
      <c r="K8" s="151" t="s">
        <v>889</v>
      </c>
      <c r="L8" s="151" t="s">
        <v>303</v>
      </c>
      <c r="M8" s="151" t="s">
        <v>1056</v>
      </c>
      <c r="N8" s="151" t="s">
        <v>61</v>
      </c>
      <c r="O8" s="151" t="s">
        <v>1255</v>
      </c>
      <c r="P8" s="152">
        <v>43100</v>
      </c>
      <c r="Q8" s="152">
        <v>1</v>
      </c>
      <c r="R8" s="152">
        <v>10200</v>
      </c>
      <c r="S8" s="151"/>
      <c r="T8" s="152">
        <v>4396.2</v>
      </c>
      <c r="U8" s="153">
        <v>6.3000000000000003E-4</v>
      </c>
      <c r="V8" s="153">
        <v>2.1819999999999999E-2</v>
      </c>
      <c r="W8" s="154">
        <v>5.9899999999999997E-3</v>
      </c>
      <c r="X8" s="174"/>
    </row>
    <row r="9" spans="1:24" x14ac:dyDescent="0.2">
      <c r="A9" s="150" t="s">
        <v>1251</v>
      </c>
      <c r="B9" s="151" t="s">
        <v>1251</v>
      </c>
      <c r="C9" s="151" t="s">
        <v>1955</v>
      </c>
      <c r="D9" s="151" t="s">
        <v>1956</v>
      </c>
      <c r="E9" s="151" t="s">
        <v>420</v>
      </c>
      <c r="F9" s="151" t="s">
        <v>1959</v>
      </c>
      <c r="G9" s="151" t="s">
        <v>1960</v>
      </c>
      <c r="H9" s="151" t="s">
        <v>75</v>
      </c>
      <c r="I9" s="151" t="s">
        <v>230</v>
      </c>
      <c r="J9" s="151" t="s">
        <v>52</v>
      </c>
      <c r="K9" s="151" t="s">
        <v>52</v>
      </c>
      <c r="L9" s="151" t="s">
        <v>303</v>
      </c>
      <c r="M9" s="151" t="s">
        <v>1018</v>
      </c>
      <c r="N9" s="151" t="s">
        <v>61</v>
      </c>
      <c r="O9" s="151" t="s">
        <v>1255</v>
      </c>
      <c r="P9" s="152">
        <v>35000</v>
      </c>
      <c r="Q9" s="152">
        <v>1</v>
      </c>
      <c r="R9" s="152">
        <v>10810</v>
      </c>
      <c r="S9" s="151"/>
      <c r="T9" s="152">
        <v>3783.5</v>
      </c>
      <c r="U9" s="153">
        <v>1.89E-3</v>
      </c>
      <c r="V9" s="153">
        <v>1.8780000000000002E-2</v>
      </c>
      <c r="W9" s="154">
        <v>5.1599999999999997E-3</v>
      </c>
      <c r="X9" s="174"/>
    </row>
    <row r="10" spans="1:24" x14ac:dyDescent="0.2">
      <c r="A10" s="150" t="s">
        <v>1251</v>
      </c>
      <c r="B10" s="151" t="s">
        <v>1251</v>
      </c>
      <c r="C10" s="151" t="s">
        <v>1949</v>
      </c>
      <c r="D10" s="151" t="s">
        <v>1950</v>
      </c>
      <c r="E10" s="151" t="s">
        <v>420</v>
      </c>
      <c r="F10" s="151" t="s">
        <v>1961</v>
      </c>
      <c r="G10" s="151" t="s">
        <v>1962</v>
      </c>
      <c r="H10" s="151" t="s">
        <v>75</v>
      </c>
      <c r="I10" s="151" t="s">
        <v>232</v>
      </c>
      <c r="J10" s="151" t="s">
        <v>52</v>
      </c>
      <c r="K10" s="151" t="s">
        <v>52</v>
      </c>
      <c r="L10" s="151" t="s">
        <v>303</v>
      </c>
      <c r="M10" s="151" t="s">
        <v>937</v>
      </c>
      <c r="N10" s="151" t="s">
        <v>61</v>
      </c>
      <c r="O10" s="151" t="s">
        <v>1255</v>
      </c>
      <c r="P10" s="152">
        <v>87000</v>
      </c>
      <c r="Q10" s="152">
        <v>1</v>
      </c>
      <c r="R10" s="152">
        <v>4269.79</v>
      </c>
      <c r="S10" s="151"/>
      <c r="T10" s="152">
        <v>3714.7170000000001</v>
      </c>
      <c r="U10" s="153">
        <v>1.6100000000000001E-3</v>
      </c>
      <c r="V10" s="153">
        <v>1.8440000000000002E-2</v>
      </c>
      <c r="W10" s="154">
        <v>5.0600000000000003E-3</v>
      </c>
      <c r="X10" s="174"/>
    </row>
    <row r="11" spans="1:24" x14ac:dyDescent="0.2">
      <c r="A11" s="150" t="s">
        <v>1251</v>
      </c>
      <c r="B11" s="151" t="s">
        <v>1251</v>
      </c>
      <c r="C11" s="151" t="s">
        <v>1939</v>
      </c>
      <c r="D11" s="151" t="s">
        <v>1940</v>
      </c>
      <c r="E11" s="151" t="s">
        <v>420</v>
      </c>
      <c r="F11" s="151" t="s">
        <v>1963</v>
      </c>
      <c r="G11" s="151" t="s">
        <v>1964</v>
      </c>
      <c r="H11" s="151" t="s">
        <v>75</v>
      </c>
      <c r="I11" s="151" t="s">
        <v>231</v>
      </c>
      <c r="J11" s="151" t="s">
        <v>52</v>
      </c>
      <c r="K11" s="151" t="s">
        <v>306</v>
      </c>
      <c r="L11" s="151" t="s">
        <v>303</v>
      </c>
      <c r="M11" s="151" t="s">
        <v>1066</v>
      </c>
      <c r="N11" s="151" t="s">
        <v>61</v>
      </c>
      <c r="O11" s="151" t="s">
        <v>1255</v>
      </c>
      <c r="P11" s="152">
        <v>43000</v>
      </c>
      <c r="Q11" s="152">
        <v>1</v>
      </c>
      <c r="R11" s="152">
        <v>8146</v>
      </c>
      <c r="S11" s="151"/>
      <c r="T11" s="152">
        <v>3502.78</v>
      </c>
      <c r="U11" s="153">
        <v>1.39E-3</v>
      </c>
      <c r="V11" s="153">
        <v>1.7389999999999999E-2</v>
      </c>
      <c r="W11" s="154">
        <v>4.7699999999999999E-3</v>
      </c>
      <c r="X11" s="174"/>
    </row>
    <row r="12" spans="1:24" x14ac:dyDescent="0.2">
      <c r="A12" s="150" t="s">
        <v>1251</v>
      </c>
      <c r="B12" s="151" t="s">
        <v>1251</v>
      </c>
      <c r="C12" s="151" t="s">
        <v>1965</v>
      </c>
      <c r="D12" s="151" t="s">
        <v>1966</v>
      </c>
      <c r="E12" s="151" t="s">
        <v>420</v>
      </c>
      <c r="F12" s="151" t="s">
        <v>1967</v>
      </c>
      <c r="G12" s="151" t="s">
        <v>1968</v>
      </c>
      <c r="H12" s="151" t="s">
        <v>75</v>
      </c>
      <c r="I12" s="151" t="s">
        <v>230</v>
      </c>
      <c r="J12" s="151" t="s">
        <v>52</v>
      </c>
      <c r="K12" s="151" t="s">
        <v>52</v>
      </c>
      <c r="L12" s="151" t="s">
        <v>303</v>
      </c>
      <c r="M12" s="151" t="s">
        <v>1015</v>
      </c>
      <c r="N12" s="151" t="s">
        <v>61</v>
      </c>
      <c r="O12" s="151" t="s">
        <v>1255</v>
      </c>
      <c r="P12" s="152">
        <v>69404</v>
      </c>
      <c r="Q12" s="152">
        <v>1</v>
      </c>
      <c r="R12" s="152">
        <v>3438</v>
      </c>
      <c r="S12" s="151"/>
      <c r="T12" s="152">
        <v>2386.11</v>
      </c>
      <c r="U12" s="153">
        <v>2.7999999999999998E-4</v>
      </c>
      <c r="V12" s="153">
        <v>1.184E-2</v>
      </c>
      <c r="W12" s="154">
        <v>3.2499999999999999E-3</v>
      </c>
      <c r="X12" s="174"/>
    </row>
    <row r="13" spans="1:24" x14ac:dyDescent="0.2">
      <c r="A13" s="150" t="s">
        <v>1251</v>
      </c>
      <c r="B13" s="151" t="s">
        <v>1251</v>
      </c>
      <c r="C13" s="151" t="s">
        <v>1949</v>
      </c>
      <c r="D13" s="151" t="s">
        <v>1950</v>
      </c>
      <c r="E13" s="151" t="s">
        <v>420</v>
      </c>
      <c r="F13" s="151" t="s">
        <v>1969</v>
      </c>
      <c r="G13" s="151" t="s">
        <v>1970</v>
      </c>
      <c r="H13" s="151" t="s">
        <v>75</v>
      </c>
      <c r="I13" s="151" t="s">
        <v>232</v>
      </c>
      <c r="J13" s="151" t="s">
        <v>52</v>
      </c>
      <c r="K13" s="151" t="s">
        <v>52</v>
      </c>
      <c r="L13" s="151" t="s">
        <v>303</v>
      </c>
      <c r="M13" s="151" t="s">
        <v>937</v>
      </c>
      <c r="N13" s="151" t="s">
        <v>61</v>
      </c>
      <c r="O13" s="151" t="s">
        <v>1255</v>
      </c>
      <c r="P13" s="152">
        <v>53000</v>
      </c>
      <c r="Q13" s="152">
        <v>1</v>
      </c>
      <c r="R13" s="152">
        <v>4348.16</v>
      </c>
      <c r="S13" s="151"/>
      <c r="T13" s="152">
        <v>2304.5250000000001</v>
      </c>
      <c r="U13" s="153">
        <v>1.3600000000000001E-3</v>
      </c>
      <c r="V13" s="153">
        <v>1.1440000000000001E-2</v>
      </c>
      <c r="W13" s="154">
        <v>3.14E-3</v>
      </c>
      <c r="X13" s="174"/>
    </row>
    <row r="14" spans="1:24" x14ac:dyDescent="0.2">
      <c r="A14" s="150" t="s">
        <v>1251</v>
      </c>
      <c r="B14" s="151" t="s">
        <v>1251</v>
      </c>
      <c r="C14" s="151" t="s">
        <v>1949</v>
      </c>
      <c r="D14" s="151" t="s">
        <v>1950</v>
      </c>
      <c r="E14" s="151" t="s">
        <v>420</v>
      </c>
      <c r="F14" s="151" t="s">
        <v>1971</v>
      </c>
      <c r="G14" s="151" t="s">
        <v>1972</v>
      </c>
      <c r="H14" s="151" t="s">
        <v>75</v>
      </c>
      <c r="I14" s="151" t="s">
        <v>230</v>
      </c>
      <c r="J14" s="151" t="s">
        <v>52</v>
      </c>
      <c r="K14" s="151" t="s">
        <v>52</v>
      </c>
      <c r="L14" s="151" t="s">
        <v>303</v>
      </c>
      <c r="M14" s="151" t="s">
        <v>1051</v>
      </c>
      <c r="N14" s="151" t="s">
        <v>61</v>
      </c>
      <c r="O14" s="151" t="s">
        <v>1255</v>
      </c>
      <c r="P14" s="152">
        <v>14070</v>
      </c>
      <c r="Q14" s="152">
        <v>1</v>
      </c>
      <c r="R14" s="152">
        <v>13120</v>
      </c>
      <c r="S14" s="151"/>
      <c r="T14" s="152">
        <v>1845.9839999999999</v>
      </c>
      <c r="U14" s="153">
        <v>1.5399999999999999E-3</v>
      </c>
      <c r="V14" s="153">
        <v>9.1599999999999997E-3</v>
      </c>
      <c r="W14" s="154">
        <v>2.5200000000000001E-3</v>
      </c>
      <c r="X14" s="174"/>
    </row>
    <row r="15" spans="1:24" x14ac:dyDescent="0.2">
      <c r="A15" s="150" t="s">
        <v>1251</v>
      </c>
      <c r="B15" s="151" t="s">
        <v>1251</v>
      </c>
      <c r="C15" s="151" t="s">
        <v>1939</v>
      </c>
      <c r="D15" s="151" t="s">
        <v>1940</v>
      </c>
      <c r="E15" s="151" t="s">
        <v>420</v>
      </c>
      <c r="F15" s="151" t="s">
        <v>1973</v>
      </c>
      <c r="G15" s="151" t="s">
        <v>1974</v>
      </c>
      <c r="H15" s="151" t="s">
        <v>75</v>
      </c>
      <c r="I15" s="151" t="s">
        <v>232</v>
      </c>
      <c r="J15" s="151" t="s">
        <v>52</v>
      </c>
      <c r="K15" s="151" t="s">
        <v>52</v>
      </c>
      <c r="L15" s="151" t="s">
        <v>303</v>
      </c>
      <c r="M15" s="151" t="s">
        <v>937</v>
      </c>
      <c r="N15" s="151" t="s">
        <v>61</v>
      </c>
      <c r="O15" s="151" t="s">
        <v>1255</v>
      </c>
      <c r="P15" s="152">
        <v>128000</v>
      </c>
      <c r="Q15" s="152">
        <v>1</v>
      </c>
      <c r="R15" s="152">
        <v>497.26</v>
      </c>
      <c r="S15" s="151"/>
      <c r="T15" s="152">
        <v>636.49300000000005</v>
      </c>
      <c r="U15" s="153">
        <v>5.1999999999999995E-4</v>
      </c>
      <c r="V15" s="153">
        <v>3.16E-3</v>
      </c>
      <c r="W15" s="154">
        <v>8.7000000000000001E-4</v>
      </c>
      <c r="X15" s="174"/>
    </row>
    <row r="16" spans="1:24" x14ac:dyDescent="0.2">
      <c r="A16" s="150" t="s">
        <v>1251</v>
      </c>
      <c r="B16" s="151" t="s">
        <v>1251</v>
      </c>
      <c r="C16" s="151" t="s">
        <v>1975</v>
      </c>
      <c r="D16" s="151" t="s">
        <v>1976</v>
      </c>
      <c r="E16" s="151" t="s">
        <v>421</v>
      </c>
      <c r="F16" s="151" t="s">
        <v>1975</v>
      </c>
      <c r="G16" s="151" t="s">
        <v>1977</v>
      </c>
      <c r="H16" s="151" t="s">
        <v>75</v>
      </c>
      <c r="I16" s="151" t="s">
        <v>231</v>
      </c>
      <c r="J16" s="151" t="s">
        <v>60</v>
      </c>
      <c r="K16" s="151" t="s">
        <v>306</v>
      </c>
      <c r="L16" s="151" t="s">
        <v>463</v>
      </c>
      <c r="M16" s="151" t="s">
        <v>1026</v>
      </c>
      <c r="N16" s="151" t="s">
        <v>61</v>
      </c>
      <c r="O16" s="151" t="s">
        <v>1256</v>
      </c>
      <c r="P16" s="152">
        <v>96833</v>
      </c>
      <c r="Q16" s="152">
        <v>3.165</v>
      </c>
      <c r="R16" s="152">
        <v>7654</v>
      </c>
      <c r="S16" s="151"/>
      <c r="T16" s="152">
        <v>23457.706999999999</v>
      </c>
      <c r="U16" s="153">
        <v>1.2E-4</v>
      </c>
      <c r="V16" s="153">
        <v>0.11645</v>
      </c>
      <c r="W16" s="154">
        <v>3.1969999999999998E-2</v>
      </c>
      <c r="X16" s="174"/>
    </row>
    <row r="17" spans="1:24" x14ac:dyDescent="0.2">
      <c r="A17" s="150" t="s">
        <v>1251</v>
      </c>
      <c r="B17" s="151" t="s">
        <v>1251</v>
      </c>
      <c r="C17" s="151" t="s">
        <v>1978</v>
      </c>
      <c r="D17" s="151" t="s">
        <v>1979</v>
      </c>
      <c r="E17" s="151" t="s">
        <v>421</v>
      </c>
      <c r="F17" s="151" t="s">
        <v>1978</v>
      </c>
      <c r="G17" s="151" t="s">
        <v>1980</v>
      </c>
      <c r="H17" s="151" t="s">
        <v>75</v>
      </c>
      <c r="I17" s="151" t="s">
        <v>231</v>
      </c>
      <c r="J17" s="151" t="s">
        <v>60</v>
      </c>
      <c r="K17" s="151" t="s">
        <v>306</v>
      </c>
      <c r="L17" s="151" t="s">
        <v>481</v>
      </c>
      <c r="M17" s="151" t="s">
        <v>1026</v>
      </c>
      <c r="N17" s="151" t="s">
        <v>61</v>
      </c>
      <c r="O17" s="151" t="s">
        <v>1256</v>
      </c>
      <c r="P17" s="152">
        <v>483000</v>
      </c>
      <c r="Q17" s="152">
        <v>3.165</v>
      </c>
      <c r="R17" s="152">
        <v>1287</v>
      </c>
      <c r="S17" s="151"/>
      <c r="T17" s="152">
        <v>19674.305</v>
      </c>
      <c r="U17" s="153">
        <v>0</v>
      </c>
      <c r="V17" s="153">
        <v>9.7659999999999997E-2</v>
      </c>
      <c r="W17" s="154">
        <v>2.681E-2</v>
      </c>
      <c r="X17" s="174"/>
    </row>
    <row r="18" spans="1:24" x14ac:dyDescent="0.2">
      <c r="A18" s="150" t="s">
        <v>1251</v>
      </c>
      <c r="B18" s="151" t="s">
        <v>1251</v>
      </c>
      <c r="C18" s="151" t="s">
        <v>1981</v>
      </c>
      <c r="D18" s="151" t="s">
        <v>1982</v>
      </c>
      <c r="E18" s="151" t="s">
        <v>421</v>
      </c>
      <c r="F18" s="151" t="s">
        <v>1983</v>
      </c>
      <c r="G18" s="151" t="s">
        <v>1984</v>
      </c>
      <c r="H18" s="151" t="s">
        <v>75</v>
      </c>
      <c r="I18" s="151" t="s">
        <v>231</v>
      </c>
      <c r="J18" s="151" t="s">
        <v>60</v>
      </c>
      <c r="K18" s="151" t="s">
        <v>306</v>
      </c>
      <c r="L18" s="151" t="s">
        <v>481</v>
      </c>
      <c r="M18" s="151" t="s">
        <v>1026</v>
      </c>
      <c r="N18" s="151" t="s">
        <v>61</v>
      </c>
      <c r="O18" s="151" t="s">
        <v>1256</v>
      </c>
      <c r="P18" s="152">
        <v>12499</v>
      </c>
      <c r="Q18" s="152">
        <v>3.165</v>
      </c>
      <c r="R18" s="152">
        <v>46624</v>
      </c>
      <c r="S18" s="151"/>
      <c r="T18" s="152">
        <v>18444.144</v>
      </c>
      <c r="U18" s="153">
        <v>4.2000000000000002E-4</v>
      </c>
      <c r="V18" s="153">
        <v>9.1560000000000002E-2</v>
      </c>
      <c r="W18" s="154">
        <v>2.5139999999999999E-2</v>
      </c>
      <c r="X18" s="174"/>
    </row>
    <row r="19" spans="1:24" x14ac:dyDescent="0.2">
      <c r="A19" s="150" t="s">
        <v>1251</v>
      </c>
      <c r="B19" s="151" t="s">
        <v>1251</v>
      </c>
      <c r="C19" s="151" t="s">
        <v>1985</v>
      </c>
      <c r="D19" s="151" t="s">
        <v>1986</v>
      </c>
      <c r="E19" s="151" t="s">
        <v>421</v>
      </c>
      <c r="F19" s="151" t="s">
        <v>1987</v>
      </c>
      <c r="G19" s="151" t="s">
        <v>1988</v>
      </c>
      <c r="H19" s="151" t="s">
        <v>75</v>
      </c>
      <c r="I19" s="151" t="s">
        <v>231</v>
      </c>
      <c r="J19" s="151" t="s">
        <v>60</v>
      </c>
      <c r="K19" s="151" t="s">
        <v>305</v>
      </c>
      <c r="L19" s="151" t="s">
        <v>475</v>
      </c>
      <c r="M19" s="151" t="s">
        <v>1006</v>
      </c>
      <c r="N19" s="151" t="s">
        <v>61</v>
      </c>
      <c r="O19" s="151" t="s">
        <v>1258</v>
      </c>
      <c r="P19" s="152">
        <v>45410</v>
      </c>
      <c r="Q19" s="152">
        <v>3.6360000000000001</v>
      </c>
      <c r="R19" s="152">
        <v>5614</v>
      </c>
      <c r="S19" s="151"/>
      <c r="T19" s="152">
        <v>9269.3179999999993</v>
      </c>
      <c r="U19" s="153">
        <v>3.4000000000000002E-4</v>
      </c>
      <c r="V19" s="153">
        <v>4.6010000000000002E-2</v>
      </c>
      <c r="W19" s="154">
        <v>1.2630000000000001E-2</v>
      </c>
      <c r="X19" s="174"/>
    </row>
    <row r="20" spans="1:24" x14ac:dyDescent="0.2">
      <c r="A20" s="150" t="s">
        <v>1251</v>
      </c>
      <c r="B20" s="151" t="s">
        <v>1251</v>
      </c>
      <c r="C20" s="151" t="s">
        <v>1989</v>
      </c>
      <c r="D20" s="151" t="s">
        <v>1990</v>
      </c>
      <c r="E20" s="151" t="s">
        <v>421</v>
      </c>
      <c r="F20" s="151" t="s">
        <v>1989</v>
      </c>
      <c r="G20" s="151" t="s">
        <v>1991</v>
      </c>
      <c r="H20" s="151" t="s">
        <v>75</v>
      </c>
      <c r="I20" s="151" t="s">
        <v>231</v>
      </c>
      <c r="J20" s="151" t="s">
        <v>60</v>
      </c>
      <c r="K20" s="151" t="s">
        <v>306</v>
      </c>
      <c r="L20" s="151" t="s">
        <v>463</v>
      </c>
      <c r="M20" s="151" t="s">
        <v>1026</v>
      </c>
      <c r="N20" s="151" t="s">
        <v>61</v>
      </c>
      <c r="O20" s="151" t="s">
        <v>1256</v>
      </c>
      <c r="P20" s="152">
        <v>3980</v>
      </c>
      <c r="Q20" s="152">
        <v>3.165</v>
      </c>
      <c r="R20" s="152">
        <v>65321</v>
      </c>
      <c r="S20" s="151"/>
      <c r="T20" s="152">
        <v>8228.2900000000009</v>
      </c>
      <c r="U20" s="153">
        <v>0</v>
      </c>
      <c r="V20" s="153">
        <v>4.0849999999999997E-2</v>
      </c>
      <c r="W20" s="154">
        <v>1.1209999999999999E-2</v>
      </c>
      <c r="X20" s="174"/>
    </row>
    <row r="21" spans="1:24" x14ac:dyDescent="0.2">
      <c r="A21" s="150" t="s">
        <v>1251</v>
      </c>
      <c r="B21" s="151" t="s">
        <v>1251</v>
      </c>
      <c r="C21" s="151" t="s">
        <v>1992</v>
      </c>
      <c r="D21" s="151" t="s">
        <v>1993</v>
      </c>
      <c r="E21" s="151" t="s">
        <v>421</v>
      </c>
      <c r="F21" s="151" t="s">
        <v>1992</v>
      </c>
      <c r="G21" s="151" t="s">
        <v>1994</v>
      </c>
      <c r="H21" s="151" t="s">
        <v>75</v>
      </c>
      <c r="I21" s="151" t="s">
        <v>231</v>
      </c>
      <c r="J21" s="151" t="s">
        <v>60</v>
      </c>
      <c r="K21" s="151" t="s">
        <v>306</v>
      </c>
      <c r="L21" s="151" t="s">
        <v>463</v>
      </c>
      <c r="M21" s="151" t="s">
        <v>1026</v>
      </c>
      <c r="N21" s="151" t="s">
        <v>61</v>
      </c>
      <c r="O21" s="151" t="s">
        <v>1256</v>
      </c>
      <c r="P21" s="152">
        <v>3984</v>
      </c>
      <c r="Q21" s="152">
        <v>3.165</v>
      </c>
      <c r="R21" s="152">
        <v>59755</v>
      </c>
      <c r="S21" s="152">
        <v>7.46</v>
      </c>
      <c r="T21" s="152">
        <v>7558.3329999999996</v>
      </c>
      <c r="U21" s="153">
        <v>0</v>
      </c>
      <c r="V21" s="153">
        <v>3.7560000000000003E-2</v>
      </c>
      <c r="W21" s="154">
        <v>1.031E-2</v>
      </c>
      <c r="X21" s="174"/>
    </row>
    <row r="22" spans="1:24" x14ac:dyDescent="0.2">
      <c r="A22" s="150" t="s">
        <v>1251</v>
      </c>
      <c r="B22" s="151" t="s">
        <v>1251</v>
      </c>
      <c r="C22" s="151" t="s">
        <v>1995</v>
      </c>
      <c r="D22" s="151" t="s">
        <v>1996</v>
      </c>
      <c r="E22" s="151" t="s">
        <v>421</v>
      </c>
      <c r="F22" s="151" t="s">
        <v>1995</v>
      </c>
      <c r="G22" s="151" t="s">
        <v>1997</v>
      </c>
      <c r="H22" s="151" t="s">
        <v>75</v>
      </c>
      <c r="I22" s="151" t="s">
        <v>231</v>
      </c>
      <c r="J22" s="151" t="s">
        <v>60</v>
      </c>
      <c r="K22" s="151" t="s">
        <v>151</v>
      </c>
      <c r="L22" s="151" t="s">
        <v>475</v>
      </c>
      <c r="M22" s="151" t="s">
        <v>1001</v>
      </c>
      <c r="N22" s="151" t="s">
        <v>61</v>
      </c>
      <c r="O22" s="151" t="s">
        <v>1258</v>
      </c>
      <c r="P22" s="152">
        <v>8430</v>
      </c>
      <c r="Q22" s="152">
        <v>3.6360000000000001</v>
      </c>
      <c r="R22" s="152">
        <v>20695</v>
      </c>
      <c r="S22" s="151"/>
      <c r="T22" s="152">
        <v>6343.3239999999996</v>
      </c>
      <c r="U22" s="153">
        <v>1.82E-3</v>
      </c>
      <c r="V22" s="153">
        <v>3.1489999999999997E-2</v>
      </c>
      <c r="W22" s="154">
        <v>8.6400000000000001E-3</v>
      </c>
      <c r="X22" s="174"/>
    </row>
    <row r="23" spans="1:24" x14ac:dyDescent="0.2">
      <c r="A23" s="150" t="s">
        <v>1251</v>
      </c>
      <c r="B23" s="151" t="s">
        <v>1251</v>
      </c>
      <c r="C23" s="151" t="s">
        <v>1998</v>
      </c>
      <c r="D23" s="151" t="s">
        <v>1999</v>
      </c>
      <c r="E23" s="151" t="s">
        <v>421</v>
      </c>
      <c r="F23" s="151" t="s">
        <v>1998</v>
      </c>
      <c r="G23" s="151" t="s">
        <v>2000</v>
      </c>
      <c r="H23" s="151" t="s">
        <v>75</v>
      </c>
      <c r="I23" s="151" t="s">
        <v>231</v>
      </c>
      <c r="J23" s="151" t="s">
        <v>60</v>
      </c>
      <c r="K23" s="151" t="s">
        <v>306</v>
      </c>
      <c r="L23" s="151" t="s">
        <v>481</v>
      </c>
      <c r="M23" s="151" t="s">
        <v>1026</v>
      </c>
      <c r="N23" s="151" t="s">
        <v>61</v>
      </c>
      <c r="O23" s="151" t="s">
        <v>1256</v>
      </c>
      <c r="P23" s="152">
        <v>99550</v>
      </c>
      <c r="Q23" s="152">
        <v>3.165</v>
      </c>
      <c r="R23" s="152">
        <v>1586.8</v>
      </c>
      <c r="S23" s="151"/>
      <c r="T23" s="152">
        <v>4999.6220000000003</v>
      </c>
      <c r="U23" s="153">
        <v>9.6000000000000002E-4</v>
      </c>
      <c r="V23" s="153">
        <v>2.4819999999999998E-2</v>
      </c>
      <c r="W23" s="154">
        <v>6.8100000000000001E-3</v>
      </c>
      <c r="X23" s="174"/>
    </row>
    <row r="24" spans="1:24" x14ac:dyDescent="0.2">
      <c r="A24" s="150" t="s">
        <v>1251</v>
      </c>
      <c r="B24" s="151" t="s">
        <v>1251</v>
      </c>
      <c r="C24" s="151" t="s">
        <v>2001</v>
      </c>
      <c r="D24" s="151" t="s">
        <v>2002</v>
      </c>
      <c r="E24" s="151" t="s">
        <v>421</v>
      </c>
      <c r="F24" s="151" t="s">
        <v>2001</v>
      </c>
      <c r="G24" s="151" t="s">
        <v>2003</v>
      </c>
      <c r="H24" s="151" t="s">
        <v>75</v>
      </c>
      <c r="I24" s="151" t="s">
        <v>231</v>
      </c>
      <c r="J24" s="151" t="s">
        <v>60</v>
      </c>
      <c r="K24" s="151" t="s">
        <v>306</v>
      </c>
      <c r="L24" s="151" t="s">
        <v>481</v>
      </c>
      <c r="M24" s="151" t="s">
        <v>1033</v>
      </c>
      <c r="N24" s="151" t="s">
        <v>61</v>
      </c>
      <c r="O24" s="151" t="s">
        <v>1256</v>
      </c>
      <c r="P24" s="152">
        <v>9750</v>
      </c>
      <c r="Q24" s="152">
        <v>3.165</v>
      </c>
      <c r="R24" s="152">
        <v>13582</v>
      </c>
      <c r="S24" s="151"/>
      <c r="T24" s="152">
        <v>4191.2349999999997</v>
      </c>
      <c r="U24" s="153">
        <v>1.0399999999999999E-3</v>
      </c>
      <c r="V24" s="153">
        <v>2.0809999999999999E-2</v>
      </c>
      <c r="W24" s="154">
        <v>5.7099999999999998E-3</v>
      </c>
      <c r="X24" s="174"/>
    </row>
    <row r="25" spans="1:24" x14ac:dyDescent="0.2">
      <c r="A25" s="150" t="s">
        <v>1251</v>
      </c>
      <c r="B25" s="151" t="s">
        <v>1251</v>
      </c>
      <c r="C25" s="151" t="s">
        <v>2004</v>
      </c>
      <c r="D25" s="151" t="s">
        <v>2005</v>
      </c>
      <c r="E25" s="151" t="s">
        <v>421</v>
      </c>
      <c r="F25" s="151" t="s">
        <v>2004</v>
      </c>
      <c r="G25" s="151" t="s">
        <v>2006</v>
      </c>
      <c r="H25" s="151" t="s">
        <v>75</v>
      </c>
      <c r="I25" s="151" t="s">
        <v>233</v>
      </c>
      <c r="J25" s="151" t="s">
        <v>60</v>
      </c>
      <c r="K25" s="151" t="s">
        <v>306</v>
      </c>
      <c r="L25" s="151" t="s">
        <v>101</v>
      </c>
      <c r="M25" s="151" t="s">
        <v>1037</v>
      </c>
      <c r="N25" s="151" t="s">
        <v>61</v>
      </c>
      <c r="O25" s="151" t="s">
        <v>1256</v>
      </c>
      <c r="P25" s="152">
        <v>69200</v>
      </c>
      <c r="Q25" s="152">
        <v>3.165</v>
      </c>
      <c r="R25" s="152">
        <v>1896.8</v>
      </c>
      <c r="S25" s="151"/>
      <c r="T25" s="152">
        <v>4154.3329999999996</v>
      </c>
      <c r="U25" s="153">
        <v>1.17E-3</v>
      </c>
      <c r="V25" s="153">
        <v>2.0619999999999999E-2</v>
      </c>
      <c r="W25" s="154">
        <v>5.6600000000000001E-3</v>
      </c>
      <c r="X25" s="174"/>
    </row>
    <row r="26" spans="1:24" x14ac:dyDescent="0.2">
      <c r="A26" s="150" t="s">
        <v>1251</v>
      </c>
      <c r="B26" s="151" t="s">
        <v>1251</v>
      </c>
      <c r="C26" s="151" t="s">
        <v>2007</v>
      </c>
      <c r="D26" s="151" t="s">
        <v>2008</v>
      </c>
      <c r="E26" s="151" t="s">
        <v>421</v>
      </c>
      <c r="F26" s="151" t="s">
        <v>2007</v>
      </c>
      <c r="G26" s="151" t="s">
        <v>2009</v>
      </c>
      <c r="H26" s="151" t="s">
        <v>75</v>
      </c>
      <c r="I26" s="151" t="s">
        <v>231</v>
      </c>
      <c r="J26" s="151" t="s">
        <v>60</v>
      </c>
      <c r="K26" s="151" t="s">
        <v>164</v>
      </c>
      <c r="L26" s="151" t="s">
        <v>481</v>
      </c>
      <c r="M26" s="151" t="s">
        <v>1021</v>
      </c>
      <c r="N26" s="151" t="s">
        <v>61</v>
      </c>
      <c r="O26" s="151" t="s">
        <v>1256</v>
      </c>
      <c r="P26" s="152">
        <v>17600</v>
      </c>
      <c r="Q26" s="152">
        <v>3.165</v>
      </c>
      <c r="R26" s="152">
        <v>6192.5</v>
      </c>
      <c r="S26" s="151"/>
      <c r="T26" s="152">
        <v>3449.47</v>
      </c>
      <c r="U26" s="153">
        <v>1.1E-4</v>
      </c>
      <c r="V26" s="153">
        <v>1.712E-2</v>
      </c>
      <c r="W26" s="154">
        <v>4.7000000000000002E-3</v>
      </c>
      <c r="X26" s="174"/>
    </row>
    <row r="27" spans="1:24" x14ac:dyDescent="0.2">
      <c r="A27" s="150" t="s">
        <v>1251</v>
      </c>
      <c r="B27" s="151" t="s">
        <v>1251</v>
      </c>
      <c r="C27" s="151" t="s">
        <v>2010</v>
      </c>
      <c r="D27" s="151" t="s">
        <v>2011</v>
      </c>
      <c r="E27" s="151" t="s">
        <v>101</v>
      </c>
      <c r="F27" s="151" t="s">
        <v>2010</v>
      </c>
      <c r="G27" s="151" t="s">
        <v>2012</v>
      </c>
      <c r="H27" s="151" t="s">
        <v>75</v>
      </c>
      <c r="I27" s="151" t="s">
        <v>231</v>
      </c>
      <c r="J27" s="151" t="s">
        <v>60</v>
      </c>
      <c r="K27" s="151" t="s">
        <v>306</v>
      </c>
      <c r="L27" s="151" t="s">
        <v>481</v>
      </c>
      <c r="M27" s="151" t="s">
        <v>1011</v>
      </c>
      <c r="N27" s="151" t="s">
        <v>61</v>
      </c>
      <c r="O27" s="151" t="s">
        <v>1256</v>
      </c>
      <c r="P27" s="152">
        <v>24000</v>
      </c>
      <c r="Q27" s="152">
        <v>3.165</v>
      </c>
      <c r="R27" s="152">
        <v>4504.25</v>
      </c>
      <c r="S27" s="151"/>
      <c r="T27" s="152">
        <v>3421.4279999999999</v>
      </c>
      <c r="U27" s="153">
        <v>5.45E-3</v>
      </c>
      <c r="V27" s="153">
        <v>1.6979999999999999E-2</v>
      </c>
      <c r="W27" s="154">
        <v>4.6600000000000001E-3</v>
      </c>
      <c r="X27" s="174"/>
    </row>
    <row r="28" spans="1:24" x14ac:dyDescent="0.2">
      <c r="A28" s="150" t="s">
        <v>1251</v>
      </c>
      <c r="B28" s="151" t="s">
        <v>1251</v>
      </c>
      <c r="C28" s="151" t="s">
        <v>2013</v>
      </c>
      <c r="D28" s="151" t="s">
        <v>2014</v>
      </c>
      <c r="E28" s="151" t="s">
        <v>101</v>
      </c>
      <c r="F28" s="151" t="s">
        <v>2013</v>
      </c>
      <c r="G28" s="151" t="s">
        <v>2015</v>
      </c>
      <c r="H28" s="151" t="s">
        <v>75</v>
      </c>
      <c r="I28" s="151" t="s">
        <v>231</v>
      </c>
      <c r="J28" s="151" t="s">
        <v>60</v>
      </c>
      <c r="K28" s="151" t="s">
        <v>199</v>
      </c>
      <c r="L28" s="151" t="s">
        <v>473</v>
      </c>
      <c r="M28" s="151" t="s">
        <v>1032</v>
      </c>
      <c r="N28" s="151" t="s">
        <v>61</v>
      </c>
      <c r="O28" s="151" t="s">
        <v>1258</v>
      </c>
      <c r="P28" s="152">
        <v>3100</v>
      </c>
      <c r="Q28" s="152">
        <v>3.6360000000000001</v>
      </c>
      <c r="R28" s="152">
        <v>29271.9</v>
      </c>
      <c r="S28" s="151"/>
      <c r="T28" s="152">
        <v>3299.4110000000001</v>
      </c>
      <c r="U28" s="153">
        <v>3.3E-4</v>
      </c>
      <c r="V28" s="153">
        <v>1.6379999999999999E-2</v>
      </c>
      <c r="W28" s="154">
        <v>4.4999999999999997E-3</v>
      </c>
      <c r="X28" s="174"/>
    </row>
    <row r="29" spans="1:24" x14ac:dyDescent="0.2">
      <c r="A29" s="150" t="s">
        <v>1251</v>
      </c>
      <c r="B29" s="151" t="s">
        <v>1251</v>
      </c>
      <c r="C29" s="151" t="s">
        <v>2016</v>
      </c>
      <c r="D29" s="151" t="s">
        <v>2017</v>
      </c>
      <c r="E29" s="151" t="s">
        <v>421</v>
      </c>
      <c r="F29" s="151" t="s">
        <v>2016</v>
      </c>
      <c r="G29" s="151" t="s">
        <v>2018</v>
      </c>
      <c r="H29" s="151" t="s">
        <v>75</v>
      </c>
      <c r="I29" s="151" t="s">
        <v>231</v>
      </c>
      <c r="J29" s="151" t="s">
        <v>60</v>
      </c>
      <c r="K29" s="151" t="s">
        <v>306</v>
      </c>
      <c r="L29" s="151" t="s">
        <v>481</v>
      </c>
      <c r="M29" s="151" t="s">
        <v>1023</v>
      </c>
      <c r="N29" s="151" t="s">
        <v>61</v>
      </c>
      <c r="O29" s="151" t="s">
        <v>1256</v>
      </c>
      <c r="P29" s="152">
        <v>128745</v>
      </c>
      <c r="Q29" s="152">
        <v>3.165</v>
      </c>
      <c r="R29" s="152">
        <v>724.2</v>
      </c>
      <c r="S29" s="151"/>
      <c r="T29" s="152">
        <v>2950.9549999999999</v>
      </c>
      <c r="U29" s="153">
        <v>1.32E-3</v>
      </c>
      <c r="V29" s="153">
        <v>1.465E-2</v>
      </c>
      <c r="W29" s="154">
        <v>4.0200000000000001E-3</v>
      </c>
      <c r="X29" s="174"/>
    </row>
    <row r="30" spans="1:24" x14ac:dyDescent="0.2">
      <c r="A30" s="150" t="s">
        <v>1251</v>
      </c>
      <c r="B30" s="151" t="s">
        <v>1251</v>
      </c>
      <c r="C30" s="151" t="s">
        <v>2019</v>
      </c>
      <c r="D30" s="151" t="s">
        <v>2020</v>
      </c>
      <c r="E30" s="151" t="s">
        <v>421</v>
      </c>
      <c r="F30" s="151" t="s">
        <v>2019</v>
      </c>
      <c r="G30" s="151" t="s">
        <v>2021</v>
      </c>
      <c r="H30" s="151" t="s">
        <v>75</v>
      </c>
      <c r="I30" s="151" t="s">
        <v>231</v>
      </c>
      <c r="J30" s="151" t="s">
        <v>60</v>
      </c>
      <c r="K30" s="151" t="s">
        <v>164</v>
      </c>
      <c r="L30" s="151" t="s">
        <v>490</v>
      </c>
      <c r="M30" s="151" t="s">
        <v>1021</v>
      </c>
      <c r="N30" s="151" t="s">
        <v>61</v>
      </c>
      <c r="O30" s="151" t="s">
        <v>1259</v>
      </c>
      <c r="P30" s="152">
        <v>37200</v>
      </c>
      <c r="Q30" s="152">
        <v>0.02</v>
      </c>
      <c r="R30" s="152">
        <v>371400</v>
      </c>
      <c r="S30" s="151"/>
      <c r="T30" s="152">
        <v>2743.5970000000002</v>
      </c>
      <c r="U30" s="153">
        <v>0</v>
      </c>
      <c r="V30" s="153">
        <v>1.362E-2</v>
      </c>
      <c r="W30" s="154">
        <v>3.7399999999999998E-3</v>
      </c>
      <c r="X30" s="174"/>
    </row>
    <row r="31" spans="1:24" x14ac:dyDescent="0.2">
      <c r="A31" s="150" t="s">
        <v>1251</v>
      </c>
      <c r="B31" s="151" t="s">
        <v>1251</v>
      </c>
      <c r="C31" s="151" t="s">
        <v>2022</v>
      </c>
      <c r="D31" s="151" t="s">
        <v>2023</v>
      </c>
      <c r="E31" s="151" t="s">
        <v>421</v>
      </c>
      <c r="F31" s="151" t="s">
        <v>2022</v>
      </c>
      <c r="G31" s="151" t="s">
        <v>2024</v>
      </c>
      <c r="H31" s="151" t="s">
        <v>75</v>
      </c>
      <c r="I31" s="151" t="s">
        <v>231</v>
      </c>
      <c r="J31" s="151" t="s">
        <v>60</v>
      </c>
      <c r="K31" s="151" t="s">
        <v>306</v>
      </c>
      <c r="L31" s="151" t="s">
        <v>466</v>
      </c>
      <c r="M31" s="151" t="s">
        <v>1019</v>
      </c>
      <c r="N31" s="151" t="s">
        <v>61</v>
      </c>
      <c r="O31" s="151" t="s">
        <v>1256</v>
      </c>
      <c r="P31" s="152">
        <v>5140</v>
      </c>
      <c r="Q31" s="152">
        <v>3.165</v>
      </c>
      <c r="R31" s="152">
        <v>16358</v>
      </c>
      <c r="S31" s="151"/>
      <c r="T31" s="152">
        <v>2661.136</v>
      </c>
      <c r="U31" s="153">
        <v>2.9999999999999997E-4</v>
      </c>
      <c r="V31" s="153">
        <v>1.321E-2</v>
      </c>
      <c r="W31" s="154">
        <v>3.63E-3</v>
      </c>
      <c r="X31" s="174"/>
    </row>
    <row r="32" spans="1:24" x14ac:dyDescent="0.2">
      <c r="A32" s="150" t="s">
        <v>1251</v>
      </c>
      <c r="B32" s="151" t="s">
        <v>1251</v>
      </c>
      <c r="C32" s="151" t="s">
        <v>2025</v>
      </c>
      <c r="D32" s="151" t="s">
        <v>2026</v>
      </c>
      <c r="E32" s="151" t="s">
        <v>421</v>
      </c>
      <c r="F32" s="151" t="s">
        <v>2025</v>
      </c>
      <c r="G32" s="151" t="s">
        <v>2027</v>
      </c>
      <c r="H32" s="151" t="s">
        <v>75</v>
      </c>
      <c r="I32" s="151" t="s">
        <v>231</v>
      </c>
      <c r="J32" s="151" t="s">
        <v>60</v>
      </c>
      <c r="K32" s="151" t="s">
        <v>306</v>
      </c>
      <c r="L32" s="151" t="s">
        <v>473</v>
      </c>
      <c r="M32" s="151" t="s">
        <v>1026</v>
      </c>
      <c r="N32" s="151" t="s">
        <v>61</v>
      </c>
      <c r="O32" s="151" t="s">
        <v>1256</v>
      </c>
      <c r="P32" s="152">
        <v>6550</v>
      </c>
      <c r="Q32" s="152">
        <v>3.165</v>
      </c>
      <c r="R32" s="152">
        <v>12803.94</v>
      </c>
      <c r="S32" s="151"/>
      <c r="T32" s="152">
        <v>2654.3530000000001</v>
      </c>
      <c r="U32" s="153">
        <v>1.9000000000000001E-4</v>
      </c>
      <c r="V32" s="153">
        <v>1.3180000000000001E-2</v>
      </c>
      <c r="W32" s="154">
        <v>3.62E-3</v>
      </c>
      <c r="X32" s="174"/>
    </row>
    <row r="33" spans="1:24" x14ac:dyDescent="0.2">
      <c r="A33" s="150" t="s">
        <v>1251</v>
      </c>
      <c r="B33" s="151" t="s">
        <v>1251</v>
      </c>
      <c r="C33" s="151" t="s">
        <v>2028</v>
      </c>
      <c r="D33" s="151" t="s">
        <v>2029</v>
      </c>
      <c r="E33" s="151" t="s">
        <v>421</v>
      </c>
      <c r="F33" s="151" t="s">
        <v>2028</v>
      </c>
      <c r="G33" s="151" t="s">
        <v>2030</v>
      </c>
      <c r="H33" s="151" t="s">
        <v>75</v>
      </c>
      <c r="I33" s="151" t="s">
        <v>231</v>
      </c>
      <c r="J33" s="151" t="s">
        <v>60</v>
      </c>
      <c r="K33" s="151" t="s">
        <v>309</v>
      </c>
      <c r="L33" s="151" t="s">
        <v>481</v>
      </c>
      <c r="M33" s="151" t="s">
        <v>1018</v>
      </c>
      <c r="N33" s="151" t="s">
        <v>61</v>
      </c>
      <c r="O33" s="151" t="s">
        <v>1256</v>
      </c>
      <c r="P33" s="152">
        <v>8200</v>
      </c>
      <c r="Q33" s="152">
        <v>3.165</v>
      </c>
      <c r="R33" s="152">
        <v>8602</v>
      </c>
      <c r="S33" s="151"/>
      <c r="T33" s="152">
        <v>2232.4769999999999</v>
      </c>
      <c r="U33" s="153">
        <v>1.5200000000000001E-3</v>
      </c>
      <c r="V33" s="153">
        <v>1.108E-2</v>
      </c>
      <c r="W33" s="154">
        <v>3.0400000000000002E-3</v>
      </c>
      <c r="X33" s="174"/>
    </row>
    <row r="34" spans="1:24" x14ac:dyDescent="0.2">
      <c r="A34" s="150" t="s">
        <v>1251</v>
      </c>
      <c r="B34" s="151" t="s">
        <v>1251</v>
      </c>
      <c r="C34" s="151" t="s">
        <v>2031</v>
      </c>
      <c r="D34" s="151" t="s">
        <v>2032</v>
      </c>
      <c r="E34" s="151" t="s">
        <v>421</v>
      </c>
      <c r="F34" s="151" t="s">
        <v>2033</v>
      </c>
      <c r="G34" s="151" t="s">
        <v>2034</v>
      </c>
      <c r="H34" s="151" t="s">
        <v>75</v>
      </c>
      <c r="I34" s="151" t="s">
        <v>231</v>
      </c>
      <c r="J34" s="151" t="s">
        <v>60</v>
      </c>
      <c r="K34" s="151" t="s">
        <v>164</v>
      </c>
      <c r="L34" s="151" t="s">
        <v>463</v>
      </c>
      <c r="M34" s="151" t="s">
        <v>1021</v>
      </c>
      <c r="N34" s="151" t="s">
        <v>61</v>
      </c>
      <c r="O34" s="151" t="s">
        <v>1256</v>
      </c>
      <c r="P34" s="152">
        <v>4000</v>
      </c>
      <c r="Q34" s="152">
        <v>3.165</v>
      </c>
      <c r="R34" s="152">
        <v>15858</v>
      </c>
      <c r="S34" s="151"/>
      <c r="T34" s="152">
        <v>2007.623</v>
      </c>
      <c r="U34" s="153">
        <v>1.1E-4</v>
      </c>
      <c r="V34" s="153">
        <v>9.9699999999999997E-3</v>
      </c>
      <c r="W34" s="154">
        <v>2.7399999999999998E-3</v>
      </c>
      <c r="X34" s="174"/>
    </row>
    <row r="35" spans="1:24" x14ac:dyDescent="0.2">
      <c r="A35" s="150" t="s">
        <v>1251</v>
      </c>
      <c r="B35" s="151" t="s">
        <v>1251</v>
      </c>
      <c r="C35" s="151" t="s">
        <v>2035</v>
      </c>
      <c r="D35" s="151" t="s">
        <v>2036</v>
      </c>
      <c r="E35" s="151" t="s">
        <v>421</v>
      </c>
      <c r="F35" s="151" t="s">
        <v>2037</v>
      </c>
      <c r="G35" s="151" t="s">
        <v>2038</v>
      </c>
      <c r="H35" s="151" t="s">
        <v>75</v>
      </c>
      <c r="I35" s="151" t="s">
        <v>231</v>
      </c>
      <c r="J35" s="151" t="s">
        <v>60</v>
      </c>
      <c r="K35" s="151" t="s">
        <v>306</v>
      </c>
      <c r="L35" s="151" t="s">
        <v>463</v>
      </c>
      <c r="M35" s="151" t="s">
        <v>1034</v>
      </c>
      <c r="N35" s="151" t="s">
        <v>61</v>
      </c>
      <c r="O35" s="151" t="s">
        <v>1256</v>
      </c>
      <c r="P35" s="152">
        <v>7500</v>
      </c>
      <c r="Q35" s="152">
        <v>3.165</v>
      </c>
      <c r="R35" s="152">
        <v>8005</v>
      </c>
      <c r="S35" s="151"/>
      <c r="T35" s="152">
        <v>1900.1869999999999</v>
      </c>
      <c r="U35" s="153">
        <v>8.0000000000000007E-5</v>
      </c>
      <c r="V35" s="153">
        <v>9.4299999999999991E-3</v>
      </c>
      <c r="W35" s="154">
        <v>2.5899999999999999E-3</v>
      </c>
      <c r="X35" s="174"/>
    </row>
    <row r="36" spans="1:24" x14ac:dyDescent="0.2">
      <c r="A36" s="150" t="s">
        <v>1251</v>
      </c>
      <c r="B36" s="151" t="s">
        <v>1251</v>
      </c>
      <c r="C36" s="151" t="s">
        <v>2039</v>
      </c>
      <c r="D36" s="151" t="s">
        <v>2040</v>
      </c>
      <c r="E36" s="151" t="s">
        <v>421</v>
      </c>
      <c r="F36" s="151" t="s">
        <v>2039</v>
      </c>
      <c r="G36" s="151" t="s">
        <v>2041</v>
      </c>
      <c r="H36" s="151" t="s">
        <v>75</v>
      </c>
      <c r="I36" s="151" t="s">
        <v>231</v>
      </c>
      <c r="J36" s="151" t="s">
        <v>60</v>
      </c>
      <c r="K36" s="151" t="s">
        <v>306</v>
      </c>
      <c r="L36" s="151" t="s">
        <v>481</v>
      </c>
      <c r="M36" s="151" t="s">
        <v>1060</v>
      </c>
      <c r="N36" s="151" t="s">
        <v>61</v>
      </c>
      <c r="O36" s="151" t="s">
        <v>1256</v>
      </c>
      <c r="P36" s="152">
        <v>10900</v>
      </c>
      <c r="Q36" s="152">
        <v>3.165</v>
      </c>
      <c r="R36" s="152">
        <v>5043.5</v>
      </c>
      <c r="S36" s="151"/>
      <c r="T36" s="152">
        <v>1739.932</v>
      </c>
      <c r="U36" s="153">
        <v>4.8000000000000001E-4</v>
      </c>
      <c r="V36" s="153">
        <v>8.6400000000000001E-3</v>
      </c>
      <c r="W36" s="154">
        <v>2.3700000000000001E-3</v>
      </c>
      <c r="X36" s="174"/>
    </row>
    <row r="37" spans="1:24" x14ac:dyDescent="0.2">
      <c r="A37" s="150" t="s">
        <v>1251</v>
      </c>
      <c r="B37" s="151" t="s">
        <v>1251</v>
      </c>
      <c r="C37" s="151" t="s">
        <v>2042</v>
      </c>
      <c r="D37" s="151" t="s">
        <v>2043</v>
      </c>
      <c r="E37" s="151" t="s">
        <v>421</v>
      </c>
      <c r="F37" s="151" t="s">
        <v>2042</v>
      </c>
      <c r="G37" s="151" t="s">
        <v>2044</v>
      </c>
      <c r="H37" s="151" t="s">
        <v>75</v>
      </c>
      <c r="I37" s="151" t="s">
        <v>231</v>
      </c>
      <c r="J37" s="151" t="s">
        <v>60</v>
      </c>
      <c r="K37" s="151" t="s">
        <v>306</v>
      </c>
      <c r="L37" s="151" t="s">
        <v>463</v>
      </c>
      <c r="M37" s="151" t="s">
        <v>1008</v>
      </c>
      <c r="N37" s="151" t="s">
        <v>61</v>
      </c>
      <c r="O37" s="151" t="s">
        <v>1256</v>
      </c>
      <c r="P37" s="152">
        <v>3200</v>
      </c>
      <c r="Q37" s="152">
        <v>3.165</v>
      </c>
      <c r="R37" s="152">
        <v>16418</v>
      </c>
      <c r="S37" s="151"/>
      <c r="T37" s="152">
        <v>1662.8150000000001</v>
      </c>
      <c r="U37" s="153">
        <v>7.7999999999999999E-4</v>
      </c>
      <c r="V37" s="153">
        <v>8.2500000000000004E-3</v>
      </c>
      <c r="W37" s="154">
        <v>2.2699999999999999E-3</v>
      </c>
      <c r="X37" s="174"/>
    </row>
    <row r="38" spans="1:24" x14ac:dyDescent="0.2">
      <c r="A38" s="150" t="s">
        <v>1251</v>
      </c>
      <c r="B38" s="151" t="s">
        <v>1251</v>
      </c>
      <c r="C38" s="151" t="s">
        <v>2045</v>
      </c>
      <c r="D38" s="151" t="s">
        <v>2046</v>
      </c>
      <c r="E38" s="151" t="s">
        <v>421</v>
      </c>
      <c r="F38" s="151" t="s">
        <v>2045</v>
      </c>
      <c r="G38" s="151" t="s">
        <v>2047</v>
      </c>
      <c r="H38" s="151" t="s">
        <v>75</v>
      </c>
      <c r="I38" s="151" t="s">
        <v>231</v>
      </c>
      <c r="J38" s="151" t="s">
        <v>60</v>
      </c>
      <c r="K38" s="151" t="s">
        <v>306</v>
      </c>
      <c r="L38" s="151" t="s">
        <v>481</v>
      </c>
      <c r="M38" s="151" t="s">
        <v>1019</v>
      </c>
      <c r="N38" s="151" t="s">
        <v>61</v>
      </c>
      <c r="O38" s="151" t="s">
        <v>1256</v>
      </c>
      <c r="P38" s="152">
        <v>375</v>
      </c>
      <c r="Q38" s="152">
        <v>3.165</v>
      </c>
      <c r="R38" s="152">
        <v>133900</v>
      </c>
      <c r="S38" s="151"/>
      <c r="T38" s="152">
        <v>1589.2260000000001</v>
      </c>
      <c r="U38" s="153">
        <v>3.0000000000000001E-5</v>
      </c>
      <c r="V38" s="153">
        <v>7.8899999999999994E-3</v>
      </c>
      <c r="W38" s="154">
        <v>2.1700000000000001E-3</v>
      </c>
      <c r="X38" s="174"/>
    </row>
    <row r="39" spans="1:24" x14ac:dyDescent="0.2">
      <c r="A39" s="150" t="s">
        <v>1251</v>
      </c>
      <c r="B39" s="151" t="s">
        <v>1251</v>
      </c>
      <c r="C39" s="151" t="s">
        <v>2048</v>
      </c>
      <c r="D39" s="151" t="s">
        <v>2049</v>
      </c>
      <c r="E39" s="151" t="s">
        <v>421</v>
      </c>
      <c r="F39" s="151" t="s">
        <v>2048</v>
      </c>
      <c r="G39" s="151" t="s">
        <v>2050</v>
      </c>
      <c r="H39" s="151" t="s">
        <v>75</v>
      </c>
      <c r="I39" s="151" t="s">
        <v>231</v>
      </c>
      <c r="J39" s="151" t="s">
        <v>60</v>
      </c>
      <c r="K39" s="151" t="s">
        <v>184</v>
      </c>
      <c r="L39" s="151" t="s">
        <v>463</v>
      </c>
      <c r="M39" s="151" t="s">
        <v>1010</v>
      </c>
      <c r="N39" s="151" t="s">
        <v>61</v>
      </c>
      <c r="O39" s="151" t="s">
        <v>1256</v>
      </c>
      <c r="P39" s="152">
        <v>16100</v>
      </c>
      <c r="Q39" s="152">
        <v>3.165</v>
      </c>
      <c r="R39" s="152">
        <v>2843</v>
      </c>
      <c r="S39" s="151"/>
      <c r="T39" s="152">
        <v>1448.693</v>
      </c>
      <c r="U39" s="153">
        <v>9.0000000000000006E-5</v>
      </c>
      <c r="V39" s="153">
        <v>7.1900000000000002E-3</v>
      </c>
      <c r="W39" s="154">
        <v>1.97E-3</v>
      </c>
      <c r="X39" s="174"/>
    </row>
    <row r="40" spans="1:24" x14ac:dyDescent="0.2">
      <c r="A40" s="150" t="s">
        <v>1251</v>
      </c>
      <c r="B40" s="151" t="s">
        <v>1251</v>
      </c>
      <c r="C40" s="151" t="s">
        <v>2051</v>
      </c>
      <c r="D40" s="151" t="s">
        <v>2029</v>
      </c>
      <c r="E40" s="151" t="s">
        <v>421</v>
      </c>
      <c r="F40" s="151" t="s">
        <v>2051</v>
      </c>
      <c r="G40" s="151" t="s">
        <v>2052</v>
      </c>
      <c r="H40" s="151" t="s">
        <v>75</v>
      </c>
      <c r="I40" s="151" t="s">
        <v>233</v>
      </c>
      <c r="J40" s="151" t="s">
        <v>60</v>
      </c>
      <c r="K40" s="151" t="s">
        <v>306</v>
      </c>
      <c r="L40" s="151" t="s">
        <v>481</v>
      </c>
      <c r="M40" s="151" t="s">
        <v>1037</v>
      </c>
      <c r="N40" s="151" t="s">
        <v>61</v>
      </c>
      <c r="O40" s="151" t="s">
        <v>1256</v>
      </c>
      <c r="P40" s="152">
        <v>19000</v>
      </c>
      <c r="Q40" s="152">
        <v>3.165</v>
      </c>
      <c r="R40" s="152">
        <v>1147.9000000000001</v>
      </c>
      <c r="S40" s="151"/>
      <c r="T40" s="152">
        <v>690.29</v>
      </c>
      <c r="U40" s="153">
        <v>1.1199999999999999E-3</v>
      </c>
      <c r="V40" s="153">
        <v>3.4299999999999999E-3</v>
      </c>
      <c r="W40" s="154">
        <v>9.3999999999999997E-4</v>
      </c>
      <c r="X40" s="174"/>
    </row>
    <row r="41" spans="1:24" x14ac:dyDescent="0.2">
      <c r="A41" s="150" t="s">
        <v>1251</v>
      </c>
      <c r="B41" s="151" t="s">
        <v>1262</v>
      </c>
      <c r="C41" s="151" t="s">
        <v>1965</v>
      </c>
      <c r="D41" s="151" t="s">
        <v>1966</v>
      </c>
      <c r="E41" s="151" t="s">
        <v>420</v>
      </c>
      <c r="F41" s="151" t="s">
        <v>2053</v>
      </c>
      <c r="G41" s="151" t="s">
        <v>2054</v>
      </c>
      <c r="H41" s="151" t="s">
        <v>75</v>
      </c>
      <c r="I41" s="151" t="s">
        <v>232</v>
      </c>
      <c r="J41" s="151" t="s">
        <v>52</v>
      </c>
      <c r="K41" s="151" t="s">
        <v>52</v>
      </c>
      <c r="L41" s="151" t="s">
        <v>303</v>
      </c>
      <c r="M41" s="151" t="s">
        <v>937</v>
      </c>
      <c r="N41" s="151" t="s">
        <v>61</v>
      </c>
      <c r="O41" s="151" t="s">
        <v>1255</v>
      </c>
      <c r="P41" s="152">
        <v>28400</v>
      </c>
      <c r="Q41" s="152">
        <v>1</v>
      </c>
      <c r="R41" s="152">
        <v>432.92</v>
      </c>
      <c r="S41" s="151"/>
      <c r="T41" s="152">
        <v>122.949</v>
      </c>
      <c r="U41" s="153">
        <v>1.2999999999999999E-4</v>
      </c>
      <c r="V41" s="153">
        <v>0.16855000000000001</v>
      </c>
      <c r="W41" s="154">
        <v>5.509E-2</v>
      </c>
      <c r="X41" s="174"/>
    </row>
    <row r="42" spans="1:24" x14ac:dyDescent="0.2">
      <c r="A42" s="150" t="s">
        <v>1251</v>
      </c>
      <c r="B42" s="151" t="s">
        <v>1262</v>
      </c>
      <c r="C42" s="151" t="s">
        <v>1949</v>
      </c>
      <c r="D42" s="151" t="s">
        <v>1950</v>
      </c>
      <c r="E42" s="151" t="s">
        <v>420</v>
      </c>
      <c r="F42" s="151" t="s">
        <v>1969</v>
      </c>
      <c r="G42" s="151" t="s">
        <v>1970</v>
      </c>
      <c r="H42" s="151" t="s">
        <v>75</v>
      </c>
      <c r="I42" s="151" t="s">
        <v>232</v>
      </c>
      <c r="J42" s="151" t="s">
        <v>52</v>
      </c>
      <c r="K42" s="151" t="s">
        <v>52</v>
      </c>
      <c r="L42" s="151" t="s">
        <v>303</v>
      </c>
      <c r="M42" s="151" t="s">
        <v>937</v>
      </c>
      <c r="N42" s="151" t="s">
        <v>61</v>
      </c>
      <c r="O42" s="151" t="s">
        <v>1255</v>
      </c>
      <c r="P42" s="152">
        <v>2715.19</v>
      </c>
      <c r="Q42" s="152">
        <v>1</v>
      </c>
      <c r="R42" s="152">
        <v>4348.16</v>
      </c>
      <c r="S42" s="151"/>
      <c r="T42" s="152">
        <v>118.06100000000001</v>
      </c>
      <c r="U42" s="153">
        <v>6.9999999999999994E-5</v>
      </c>
      <c r="V42" s="153">
        <v>0.16184999999999999</v>
      </c>
      <c r="W42" s="154">
        <v>5.2900000000000003E-2</v>
      </c>
      <c r="X42" s="174"/>
    </row>
    <row r="43" spans="1:24" x14ac:dyDescent="0.2">
      <c r="A43" s="150" t="s">
        <v>1251</v>
      </c>
      <c r="B43" s="151" t="s">
        <v>1262</v>
      </c>
      <c r="C43" s="151" t="s">
        <v>1965</v>
      </c>
      <c r="D43" s="151" t="s">
        <v>1966</v>
      </c>
      <c r="E43" s="151" t="s">
        <v>420</v>
      </c>
      <c r="F43" s="151" t="s">
        <v>2055</v>
      </c>
      <c r="G43" s="151" t="s">
        <v>2056</v>
      </c>
      <c r="H43" s="151" t="s">
        <v>75</v>
      </c>
      <c r="I43" s="151" t="s">
        <v>232</v>
      </c>
      <c r="J43" s="151" t="s">
        <v>52</v>
      </c>
      <c r="K43" s="151" t="s">
        <v>52</v>
      </c>
      <c r="L43" s="151" t="s">
        <v>303</v>
      </c>
      <c r="M43" s="151" t="s">
        <v>934</v>
      </c>
      <c r="N43" s="151" t="s">
        <v>61</v>
      </c>
      <c r="O43" s="151" t="s">
        <v>1255</v>
      </c>
      <c r="P43" s="152">
        <v>25910</v>
      </c>
      <c r="Q43" s="152">
        <v>1</v>
      </c>
      <c r="R43" s="152">
        <v>393.81</v>
      </c>
      <c r="S43" s="151"/>
      <c r="T43" s="152">
        <v>102.036</v>
      </c>
      <c r="U43" s="153">
        <v>8.0000000000000007E-5</v>
      </c>
      <c r="V43" s="153">
        <v>0.13988</v>
      </c>
      <c r="W43" s="154">
        <v>4.5719999999999997E-2</v>
      </c>
      <c r="X43" s="174"/>
    </row>
    <row r="44" spans="1:24" x14ac:dyDescent="0.2">
      <c r="A44" s="150" t="s">
        <v>1251</v>
      </c>
      <c r="B44" s="151" t="s">
        <v>1262</v>
      </c>
      <c r="C44" s="151" t="s">
        <v>1945</v>
      </c>
      <c r="D44" s="151" t="s">
        <v>1946</v>
      </c>
      <c r="E44" s="151" t="s">
        <v>420</v>
      </c>
      <c r="F44" s="151" t="s">
        <v>2057</v>
      </c>
      <c r="G44" s="151" t="s">
        <v>2058</v>
      </c>
      <c r="H44" s="151" t="s">
        <v>75</v>
      </c>
      <c r="I44" s="151" t="s">
        <v>232</v>
      </c>
      <c r="J44" s="151" t="s">
        <v>52</v>
      </c>
      <c r="K44" s="151" t="s">
        <v>52</v>
      </c>
      <c r="L44" s="151" t="s">
        <v>303</v>
      </c>
      <c r="M44" s="151" t="s">
        <v>934</v>
      </c>
      <c r="N44" s="151" t="s">
        <v>61</v>
      </c>
      <c r="O44" s="151" t="s">
        <v>1255</v>
      </c>
      <c r="P44" s="152">
        <v>24971.77</v>
      </c>
      <c r="Q44" s="152">
        <v>1</v>
      </c>
      <c r="R44" s="152">
        <v>394.8</v>
      </c>
      <c r="S44" s="151"/>
      <c r="T44" s="152">
        <v>98.588999999999999</v>
      </c>
      <c r="U44" s="153">
        <v>2.0000000000000002E-5</v>
      </c>
      <c r="V44" s="153">
        <v>0.13516</v>
      </c>
      <c r="W44" s="154">
        <v>4.4179999999999997E-2</v>
      </c>
      <c r="X44" s="174"/>
    </row>
    <row r="45" spans="1:24" x14ac:dyDescent="0.2">
      <c r="A45" s="150" t="s">
        <v>1251</v>
      </c>
      <c r="B45" s="151" t="s">
        <v>1262</v>
      </c>
      <c r="C45" s="151" t="s">
        <v>1939</v>
      </c>
      <c r="D45" s="151" t="s">
        <v>1940</v>
      </c>
      <c r="E45" s="151" t="s">
        <v>420</v>
      </c>
      <c r="F45" s="151" t="s">
        <v>2059</v>
      </c>
      <c r="G45" s="151" t="s">
        <v>2060</v>
      </c>
      <c r="H45" s="151" t="s">
        <v>75</v>
      </c>
      <c r="I45" s="151" t="s">
        <v>232</v>
      </c>
      <c r="J45" s="151" t="s">
        <v>52</v>
      </c>
      <c r="K45" s="151" t="s">
        <v>52</v>
      </c>
      <c r="L45" s="151" t="s">
        <v>303</v>
      </c>
      <c r="M45" s="151" t="s">
        <v>934</v>
      </c>
      <c r="N45" s="151" t="s">
        <v>61</v>
      </c>
      <c r="O45" s="151" t="s">
        <v>1255</v>
      </c>
      <c r="P45" s="152">
        <v>17300</v>
      </c>
      <c r="Q45" s="152">
        <v>1</v>
      </c>
      <c r="R45" s="152">
        <v>503.22</v>
      </c>
      <c r="S45" s="151"/>
      <c r="T45" s="152">
        <v>87.057000000000002</v>
      </c>
      <c r="U45" s="153">
        <v>8.0000000000000007E-5</v>
      </c>
      <c r="V45" s="153">
        <v>0.11935</v>
      </c>
      <c r="W45" s="154">
        <v>3.9010000000000003E-2</v>
      </c>
      <c r="X45" s="174"/>
    </row>
    <row r="46" spans="1:24" x14ac:dyDescent="0.2">
      <c r="A46" s="150" t="s">
        <v>1251</v>
      </c>
      <c r="B46" s="151" t="s">
        <v>1262</v>
      </c>
      <c r="C46" s="151" t="s">
        <v>1949</v>
      </c>
      <c r="D46" s="151" t="s">
        <v>1950</v>
      </c>
      <c r="E46" s="151" t="s">
        <v>420</v>
      </c>
      <c r="F46" s="151" t="s">
        <v>2061</v>
      </c>
      <c r="G46" s="151" t="s">
        <v>2062</v>
      </c>
      <c r="H46" s="151" t="s">
        <v>75</v>
      </c>
      <c r="I46" s="151" t="s">
        <v>232</v>
      </c>
      <c r="J46" s="151" t="s">
        <v>52</v>
      </c>
      <c r="K46" s="151" t="s">
        <v>52</v>
      </c>
      <c r="L46" s="151" t="s">
        <v>303</v>
      </c>
      <c r="M46" s="151" t="s">
        <v>934</v>
      </c>
      <c r="N46" s="151" t="s">
        <v>61</v>
      </c>
      <c r="O46" s="151" t="s">
        <v>1255</v>
      </c>
      <c r="P46" s="152">
        <v>2150</v>
      </c>
      <c r="Q46" s="152">
        <v>1</v>
      </c>
      <c r="R46" s="152">
        <v>3934.51</v>
      </c>
      <c r="S46" s="151"/>
      <c r="T46" s="152">
        <v>84.591999999999999</v>
      </c>
      <c r="U46" s="153">
        <v>3.0000000000000001E-5</v>
      </c>
      <c r="V46" s="153">
        <v>0.11597</v>
      </c>
      <c r="W46" s="154">
        <v>3.7900000000000003E-2</v>
      </c>
      <c r="X46" s="174"/>
    </row>
    <row r="47" spans="1:24" x14ac:dyDescent="0.2">
      <c r="A47" s="150" t="s">
        <v>1251</v>
      </c>
      <c r="B47" s="151" t="s">
        <v>1262</v>
      </c>
      <c r="C47" s="151" t="s">
        <v>1945</v>
      </c>
      <c r="D47" s="151" t="s">
        <v>1946</v>
      </c>
      <c r="E47" s="151" t="s">
        <v>420</v>
      </c>
      <c r="F47" s="151" t="s">
        <v>2063</v>
      </c>
      <c r="G47" s="151" t="s">
        <v>2064</v>
      </c>
      <c r="H47" s="151" t="s">
        <v>75</v>
      </c>
      <c r="I47" s="151" t="s">
        <v>232</v>
      </c>
      <c r="J47" s="151" t="s">
        <v>52</v>
      </c>
      <c r="K47" s="151" t="s">
        <v>52</v>
      </c>
      <c r="L47" s="151" t="s">
        <v>303</v>
      </c>
      <c r="M47" s="151" t="s">
        <v>937</v>
      </c>
      <c r="N47" s="151" t="s">
        <v>61</v>
      </c>
      <c r="O47" s="151" t="s">
        <v>1255</v>
      </c>
      <c r="P47" s="152">
        <v>13470.22</v>
      </c>
      <c r="Q47" s="152">
        <v>1</v>
      </c>
      <c r="R47" s="152">
        <v>429.5</v>
      </c>
      <c r="S47" s="151"/>
      <c r="T47" s="152">
        <v>57.854999999999997</v>
      </c>
      <c r="U47" s="153">
        <v>2.0000000000000002E-5</v>
      </c>
      <c r="V47" s="153">
        <v>7.9310000000000005E-2</v>
      </c>
      <c r="W47" s="154">
        <v>2.5919999999999999E-2</v>
      </c>
      <c r="X47" s="174"/>
    </row>
    <row r="48" spans="1:24" x14ac:dyDescent="0.2">
      <c r="A48" s="150" t="s">
        <v>1251</v>
      </c>
      <c r="B48" s="151" t="s">
        <v>1262</v>
      </c>
      <c r="C48" s="151" t="s">
        <v>1939</v>
      </c>
      <c r="D48" s="151" t="s">
        <v>1940</v>
      </c>
      <c r="E48" s="151" t="s">
        <v>420</v>
      </c>
      <c r="F48" s="151" t="s">
        <v>1973</v>
      </c>
      <c r="G48" s="151" t="s">
        <v>1974</v>
      </c>
      <c r="H48" s="151" t="s">
        <v>75</v>
      </c>
      <c r="I48" s="151" t="s">
        <v>232</v>
      </c>
      <c r="J48" s="151" t="s">
        <v>52</v>
      </c>
      <c r="K48" s="151" t="s">
        <v>52</v>
      </c>
      <c r="L48" s="151" t="s">
        <v>303</v>
      </c>
      <c r="M48" s="151" t="s">
        <v>937</v>
      </c>
      <c r="N48" s="151" t="s">
        <v>61</v>
      </c>
      <c r="O48" s="151" t="s">
        <v>1255</v>
      </c>
      <c r="P48" s="152">
        <v>3300</v>
      </c>
      <c r="Q48" s="152">
        <v>1</v>
      </c>
      <c r="R48" s="152">
        <v>497.26</v>
      </c>
      <c r="S48" s="151"/>
      <c r="T48" s="152">
        <v>16.41</v>
      </c>
      <c r="U48" s="153">
        <v>1.0000000000000001E-5</v>
      </c>
      <c r="V48" s="153">
        <v>2.2499999999999999E-2</v>
      </c>
      <c r="W48" s="154">
        <v>7.3499999999999998E-3</v>
      </c>
      <c r="X48" s="174"/>
    </row>
    <row r="49" spans="1:24" x14ac:dyDescent="0.2">
      <c r="A49" s="150" t="s">
        <v>1251</v>
      </c>
      <c r="B49" s="151" t="s">
        <v>1262</v>
      </c>
      <c r="C49" s="151" t="s">
        <v>2004</v>
      </c>
      <c r="D49" s="151" t="s">
        <v>2005</v>
      </c>
      <c r="E49" s="151" t="s">
        <v>421</v>
      </c>
      <c r="F49" s="151" t="s">
        <v>2004</v>
      </c>
      <c r="G49" s="151" t="s">
        <v>2006</v>
      </c>
      <c r="H49" s="151" t="s">
        <v>75</v>
      </c>
      <c r="I49" s="151" t="s">
        <v>233</v>
      </c>
      <c r="J49" s="151" t="s">
        <v>60</v>
      </c>
      <c r="K49" s="151" t="s">
        <v>306</v>
      </c>
      <c r="L49" s="151" t="s">
        <v>101</v>
      </c>
      <c r="M49" s="151" t="s">
        <v>1037</v>
      </c>
      <c r="N49" s="151" t="s">
        <v>61</v>
      </c>
      <c r="O49" s="151" t="s">
        <v>1256</v>
      </c>
      <c r="P49" s="152">
        <v>270</v>
      </c>
      <c r="Q49" s="152">
        <v>3.165</v>
      </c>
      <c r="R49" s="152">
        <v>1896.8</v>
      </c>
      <c r="S49" s="151"/>
      <c r="T49" s="152">
        <v>16.209</v>
      </c>
      <c r="U49" s="153">
        <v>0</v>
      </c>
      <c r="V49" s="153">
        <v>2.222E-2</v>
      </c>
      <c r="W49" s="154">
        <v>7.26E-3</v>
      </c>
      <c r="X49" s="174"/>
    </row>
    <row r="50" spans="1:24" x14ac:dyDescent="0.2">
      <c r="A50" s="150" t="s">
        <v>1251</v>
      </c>
      <c r="B50" s="151" t="s">
        <v>1262</v>
      </c>
      <c r="C50" s="151" t="s">
        <v>2065</v>
      </c>
      <c r="D50" s="151" t="s">
        <v>2066</v>
      </c>
      <c r="E50" s="151" t="s">
        <v>421</v>
      </c>
      <c r="F50" s="151" t="s">
        <v>2067</v>
      </c>
      <c r="G50" s="151" t="s">
        <v>2068</v>
      </c>
      <c r="H50" s="151" t="s">
        <v>75</v>
      </c>
      <c r="I50" s="151" t="s">
        <v>233</v>
      </c>
      <c r="J50" s="151" t="s">
        <v>60</v>
      </c>
      <c r="K50" s="151" t="s">
        <v>306</v>
      </c>
      <c r="L50" s="151" t="s">
        <v>481</v>
      </c>
      <c r="M50" s="151" t="s">
        <v>1037</v>
      </c>
      <c r="N50" s="151" t="s">
        <v>61</v>
      </c>
      <c r="O50" s="151" t="s">
        <v>1256</v>
      </c>
      <c r="P50" s="152">
        <v>80</v>
      </c>
      <c r="Q50" s="152">
        <v>3.165</v>
      </c>
      <c r="R50" s="152">
        <v>6069.6</v>
      </c>
      <c r="S50" s="151"/>
      <c r="T50" s="152">
        <v>15.368</v>
      </c>
      <c r="U50" s="153">
        <v>2.0000000000000002E-5</v>
      </c>
      <c r="V50" s="153">
        <v>2.1069999999999998E-2</v>
      </c>
      <c r="W50" s="154">
        <v>6.8900000000000003E-3</v>
      </c>
      <c r="X50" s="174"/>
    </row>
    <row r="51" spans="1:24" x14ac:dyDescent="0.2">
      <c r="A51" s="150" t="s">
        <v>1251</v>
      </c>
      <c r="B51" s="151" t="s">
        <v>1262</v>
      </c>
      <c r="C51" s="151" t="s">
        <v>2069</v>
      </c>
      <c r="D51" s="151" t="s">
        <v>2070</v>
      </c>
      <c r="E51" s="151" t="s">
        <v>421</v>
      </c>
      <c r="F51" s="151" t="s">
        <v>2069</v>
      </c>
      <c r="G51" s="151" t="s">
        <v>2071</v>
      </c>
      <c r="H51" s="151" t="s">
        <v>75</v>
      </c>
      <c r="I51" s="151" t="s">
        <v>233</v>
      </c>
      <c r="J51" s="151" t="s">
        <v>60</v>
      </c>
      <c r="K51" s="151" t="s">
        <v>306</v>
      </c>
      <c r="L51" s="151" t="s">
        <v>481</v>
      </c>
      <c r="M51" s="151" t="s">
        <v>1037</v>
      </c>
      <c r="N51" s="151" t="s">
        <v>61</v>
      </c>
      <c r="O51" s="151" t="s">
        <v>1256</v>
      </c>
      <c r="P51" s="152">
        <v>85</v>
      </c>
      <c r="Q51" s="152">
        <v>3.165</v>
      </c>
      <c r="R51" s="152">
        <v>3017.75</v>
      </c>
      <c r="S51" s="151"/>
      <c r="T51" s="152">
        <v>8.1189999999999998</v>
      </c>
      <c r="U51" s="153">
        <v>0</v>
      </c>
      <c r="V51" s="153">
        <v>1.1129999999999999E-2</v>
      </c>
      <c r="W51" s="154">
        <v>3.64E-3</v>
      </c>
      <c r="X51" s="174"/>
    </row>
    <row r="52" spans="1:24" x14ac:dyDescent="0.2">
      <c r="A52" s="150" t="s">
        <v>1251</v>
      </c>
      <c r="B52" s="151" t="s">
        <v>1262</v>
      </c>
      <c r="C52" s="151" t="s">
        <v>2072</v>
      </c>
      <c r="D52" s="151" t="s">
        <v>2043</v>
      </c>
      <c r="E52" s="151" t="s">
        <v>421</v>
      </c>
      <c r="F52" s="151" t="s">
        <v>2072</v>
      </c>
      <c r="G52" s="151" t="s">
        <v>2073</v>
      </c>
      <c r="H52" s="151" t="s">
        <v>75</v>
      </c>
      <c r="I52" s="151" t="s">
        <v>233</v>
      </c>
      <c r="J52" s="151" t="s">
        <v>60</v>
      </c>
      <c r="K52" s="151" t="s">
        <v>306</v>
      </c>
      <c r="L52" s="151" t="s">
        <v>481</v>
      </c>
      <c r="M52" s="151" t="s">
        <v>1014</v>
      </c>
      <c r="N52" s="151" t="s">
        <v>61</v>
      </c>
      <c r="O52" s="151" t="s">
        <v>1256</v>
      </c>
      <c r="P52" s="152">
        <v>110</v>
      </c>
      <c r="Q52" s="152">
        <v>3.165</v>
      </c>
      <c r="R52" s="152">
        <v>632.29999999999995</v>
      </c>
      <c r="S52" s="151"/>
      <c r="T52" s="152">
        <v>2.2010000000000001</v>
      </c>
      <c r="U52" s="153">
        <v>0</v>
      </c>
      <c r="V52" s="153">
        <v>3.0200000000000001E-3</v>
      </c>
      <c r="W52" s="154">
        <v>9.8999999999999999E-4</v>
      </c>
      <c r="X52" s="174"/>
    </row>
    <row r="53" spans="1:24" x14ac:dyDescent="0.2">
      <c r="A53" s="150" t="s">
        <v>1251</v>
      </c>
      <c r="B53" s="151" t="s">
        <v>1263</v>
      </c>
      <c r="C53" s="151" t="s">
        <v>1965</v>
      </c>
      <c r="D53" s="151" t="s">
        <v>1966</v>
      </c>
      <c r="E53" s="151" t="s">
        <v>420</v>
      </c>
      <c r="F53" s="151" t="s">
        <v>2074</v>
      </c>
      <c r="G53" s="151" t="s">
        <v>2075</v>
      </c>
      <c r="H53" s="151" t="s">
        <v>75</v>
      </c>
      <c r="I53" s="151" t="s">
        <v>231</v>
      </c>
      <c r="J53" s="151" t="s">
        <v>52</v>
      </c>
      <c r="K53" s="151" t="s">
        <v>306</v>
      </c>
      <c r="L53" s="151" t="s">
        <v>303</v>
      </c>
      <c r="M53" s="151" t="s">
        <v>1056</v>
      </c>
      <c r="N53" s="151" t="s">
        <v>61</v>
      </c>
      <c r="O53" s="151" t="s">
        <v>1255</v>
      </c>
      <c r="P53" s="152">
        <v>31820</v>
      </c>
      <c r="Q53" s="152">
        <v>1</v>
      </c>
      <c r="R53" s="152">
        <v>3561</v>
      </c>
      <c r="S53" s="151"/>
      <c r="T53" s="152">
        <v>1133.1099999999999</v>
      </c>
      <c r="U53" s="153">
        <v>1.5100000000000001E-3</v>
      </c>
      <c r="V53" s="153">
        <v>0.76888999999999996</v>
      </c>
      <c r="W53" s="154">
        <v>8.0329999999999999E-2</v>
      </c>
      <c r="X53" s="174"/>
    </row>
    <row r="54" spans="1:24" x14ac:dyDescent="0.2">
      <c r="A54" s="150" t="s">
        <v>1251</v>
      </c>
      <c r="B54" s="151" t="s">
        <v>1263</v>
      </c>
      <c r="C54" s="151" t="s">
        <v>1965</v>
      </c>
      <c r="D54" s="151" t="s">
        <v>1966</v>
      </c>
      <c r="E54" s="151" t="s">
        <v>420</v>
      </c>
      <c r="F54" s="151" t="s">
        <v>2076</v>
      </c>
      <c r="G54" s="151" t="s">
        <v>2077</v>
      </c>
      <c r="H54" s="151" t="s">
        <v>75</v>
      </c>
      <c r="I54" s="151" t="s">
        <v>231</v>
      </c>
      <c r="J54" s="151" t="s">
        <v>52</v>
      </c>
      <c r="K54" s="151" t="s">
        <v>306</v>
      </c>
      <c r="L54" s="151" t="s">
        <v>303</v>
      </c>
      <c r="M54" s="151" t="s">
        <v>1066</v>
      </c>
      <c r="N54" s="151" t="s">
        <v>61</v>
      </c>
      <c r="O54" s="151" t="s">
        <v>1255</v>
      </c>
      <c r="P54" s="152">
        <v>4130</v>
      </c>
      <c r="Q54" s="152">
        <v>1</v>
      </c>
      <c r="R54" s="152">
        <v>6160</v>
      </c>
      <c r="S54" s="151"/>
      <c r="T54" s="152">
        <v>254.40799999999999</v>
      </c>
      <c r="U54" s="153">
        <v>3.0000000000000001E-5</v>
      </c>
      <c r="V54" s="153">
        <v>0.17263000000000001</v>
      </c>
      <c r="W54" s="154">
        <v>1.804E-2</v>
      </c>
      <c r="X54" s="174"/>
    </row>
    <row r="55" spans="1:24" x14ac:dyDescent="0.2">
      <c r="A55" s="150" t="s">
        <v>1251</v>
      </c>
      <c r="B55" s="151" t="s">
        <v>1263</v>
      </c>
      <c r="C55" s="151" t="s">
        <v>1965</v>
      </c>
      <c r="D55" s="151" t="s">
        <v>1966</v>
      </c>
      <c r="E55" s="151" t="s">
        <v>420</v>
      </c>
      <c r="F55" s="151" t="s">
        <v>2078</v>
      </c>
      <c r="G55" s="151" t="s">
        <v>2079</v>
      </c>
      <c r="H55" s="151" t="s">
        <v>75</v>
      </c>
      <c r="I55" s="151" t="s">
        <v>231</v>
      </c>
      <c r="J55" s="151" t="s">
        <v>52</v>
      </c>
      <c r="K55" s="151" t="s">
        <v>306</v>
      </c>
      <c r="L55" s="151" t="s">
        <v>303</v>
      </c>
      <c r="M55" s="151" t="s">
        <v>1056</v>
      </c>
      <c r="N55" s="151" t="s">
        <v>61</v>
      </c>
      <c r="O55" s="151" t="s">
        <v>1255</v>
      </c>
      <c r="P55" s="152">
        <v>1100</v>
      </c>
      <c r="Q55" s="152">
        <v>1</v>
      </c>
      <c r="R55" s="152">
        <v>7835</v>
      </c>
      <c r="S55" s="151"/>
      <c r="T55" s="152">
        <v>86.185000000000002</v>
      </c>
      <c r="U55" s="153">
        <v>1.0000000000000001E-5</v>
      </c>
      <c r="V55" s="153">
        <v>5.8479999999999997E-2</v>
      </c>
      <c r="W55" s="154">
        <v>6.11E-3</v>
      </c>
      <c r="X55" s="174"/>
    </row>
    <row r="56" spans="1:24" x14ac:dyDescent="0.2">
      <c r="A56" s="150" t="s">
        <v>1264</v>
      </c>
      <c r="B56" s="151" t="s">
        <v>1264</v>
      </c>
      <c r="C56" s="151" t="s">
        <v>1949</v>
      </c>
      <c r="D56" s="151" t="s">
        <v>1950</v>
      </c>
      <c r="E56" s="151" t="s">
        <v>420</v>
      </c>
      <c r="F56" s="151" t="s">
        <v>1951</v>
      </c>
      <c r="G56" s="151" t="s">
        <v>1952</v>
      </c>
      <c r="H56" s="151" t="s">
        <v>75</v>
      </c>
      <c r="I56" s="151" t="s">
        <v>231</v>
      </c>
      <c r="J56" s="151" t="s">
        <v>52</v>
      </c>
      <c r="K56" s="151" t="s">
        <v>306</v>
      </c>
      <c r="L56" s="151" t="s">
        <v>303</v>
      </c>
      <c r="M56" s="151" t="s">
        <v>1056</v>
      </c>
      <c r="N56" s="151" t="s">
        <v>61</v>
      </c>
      <c r="O56" s="151" t="s">
        <v>1255</v>
      </c>
      <c r="P56" s="152">
        <v>600000</v>
      </c>
      <c r="Q56" s="152">
        <v>1</v>
      </c>
      <c r="R56" s="152">
        <v>22480</v>
      </c>
      <c r="S56" s="151"/>
      <c r="T56" s="152">
        <v>134880</v>
      </c>
      <c r="U56" s="153">
        <v>2.044E-2</v>
      </c>
      <c r="V56" s="153">
        <v>4.761E-2</v>
      </c>
      <c r="W56" s="154">
        <v>1.3509999999999999E-2</v>
      </c>
      <c r="X56" s="174"/>
    </row>
    <row r="57" spans="1:24" x14ac:dyDescent="0.2">
      <c r="A57" s="150" t="s">
        <v>1264</v>
      </c>
      <c r="B57" s="151" t="s">
        <v>1264</v>
      </c>
      <c r="C57" s="151" t="s">
        <v>1939</v>
      </c>
      <c r="D57" s="151" t="s">
        <v>1940</v>
      </c>
      <c r="E57" s="151" t="s">
        <v>420</v>
      </c>
      <c r="F57" s="151" t="s">
        <v>1941</v>
      </c>
      <c r="G57" s="151" t="s">
        <v>1942</v>
      </c>
      <c r="H57" s="151" t="s">
        <v>75</v>
      </c>
      <c r="I57" s="151" t="s">
        <v>230</v>
      </c>
      <c r="J57" s="151" t="s">
        <v>52</v>
      </c>
      <c r="K57" s="151" t="s">
        <v>52</v>
      </c>
      <c r="L57" s="151" t="s">
        <v>303</v>
      </c>
      <c r="M57" s="151" t="s">
        <v>1018</v>
      </c>
      <c r="N57" s="151" t="s">
        <v>61</v>
      </c>
      <c r="O57" s="151" t="s">
        <v>1255</v>
      </c>
      <c r="P57" s="152">
        <v>2038500</v>
      </c>
      <c r="Q57" s="152">
        <v>1</v>
      </c>
      <c r="R57" s="152">
        <v>6157</v>
      </c>
      <c r="S57" s="151"/>
      <c r="T57" s="152">
        <v>125510.44500000001</v>
      </c>
      <c r="U57" s="153">
        <v>1.941E-2</v>
      </c>
      <c r="V57" s="153">
        <v>4.4299999999999999E-2</v>
      </c>
      <c r="W57" s="154">
        <v>1.257E-2</v>
      </c>
      <c r="X57" s="174"/>
    </row>
    <row r="58" spans="1:24" x14ac:dyDescent="0.2">
      <c r="A58" s="150" t="s">
        <v>1264</v>
      </c>
      <c r="B58" s="151" t="s">
        <v>1264</v>
      </c>
      <c r="C58" s="151" t="s">
        <v>1939</v>
      </c>
      <c r="D58" s="151" t="s">
        <v>1940</v>
      </c>
      <c r="E58" s="151" t="s">
        <v>420</v>
      </c>
      <c r="F58" s="151" t="s">
        <v>1943</v>
      </c>
      <c r="G58" s="151" t="s">
        <v>1944</v>
      </c>
      <c r="H58" s="151" t="s">
        <v>75</v>
      </c>
      <c r="I58" s="151" t="s">
        <v>230</v>
      </c>
      <c r="J58" s="151" t="s">
        <v>52</v>
      </c>
      <c r="K58" s="151" t="s">
        <v>52</v>
      </c>
      <c r="L58" s="151" t="s">
        <v>303</v>
      </c>
      <c r="M58" s="151" t="s">
        <v>1015</v>
      </c>
      <c r="N58" s="151" t="s">
        <v>61</v>
      </c>
      <c r="O58" s="151" t="s">
        <v>1255</v>
      </c>
      <c r="P58" s="152">
        <v>2129990</v>
      </c>
      <c r="Q58" s="152">
        <v>1</v>
      </c>
      <c r="R58" s="152">
        <v>5146</v>
      </c>
      <c r="S58" s="151"/>
      <c r="T58" s="152">
        <v>109609.285</v>
      </c>
      <c r="U58" s="153">
        <v>3.0429999999999999E-2</v>
      </c>
      <c r="V58" s="153">
        <v>3.8690000000000002E-2</v>
      </c>
      <c r="W58" s="154">
        <v>1.098E-2</v>
      </c>
      <c r="X58" s="174"/>
    </row>
    <row r="59" spans="1:24" x14ac:dyDescent="0.2">
      <c r="A59" s="150" t="s">
        <v>1264</v>
      </c>
      <c r="B59" s="151" t="s">
        <v>1264</v>
      </c>
      <c r="C59" s="151" t="s">
        <v>1965</v>
      </c>
      <c r="D59" s="151" t="s">
        <v>1966</v>
      </c>
      <c r="E59" s="151" t="s">
        <v>420</v>
      </c>
      <c r="F59" s="151" t="s">
        <v>1967</v>
      </c>
      <c r="G59" s="151" t="s">
        <v>1968</v>
      </c>
      <c r="H59" s="151" t="s">
        <v>75</v>
      </c>
      <c r="I59" s="151" t="s">
        <v>230</v>
      </c>
      <c r="J59" s="151" t="s">
        <v>52</v>
      </c>
      <c r="K59" s="151" t="s">
        <v>52</v>
      </c>
      <c r="L59" s="151" t="s">
        <v>303</v>
      </c>
      <c r="M59" s="151" t="s">
        <v>1015</v>
      </c>
      <c r="N59" s="151" t="s">
        <v>61</v>
      </c>
      <c r="O59" s="151" t="s">
        <v>1255</v>
      </c>
      <c r="P59" s="152">
        <v>2807996</v>
      </c>
      <c r="Q59" s="152">
        <v>1</v>
      </c>
      <c r="R59" s="152">
        <v>3438</v>
      </c>
      <c r="S59" s="151"/>
      <c r="T59" s="152">
        <v>96538.902000000002</v>
      </c>
      <c r="U59" s="153">
        <v>1.123E-2</v>
      </c>
      <c r="V59" s="153">
        <v>3.4070000000000003E-2</v>
      </c>
      <c r="W59" s="154">
        <v>9.6699999999999998E-3</v>
      </c>
      <c r="X59" s="174"/>
    </row>
    <row r="60" spans="1:24" x14ac:dyDescent="0.2">
      <c r="A60" s="150" t="s">
        <v>1264</v>
      </c>
      <c r="B60" s="151" t="s">
        <v>1264</v>
      </c>
      <c r="C60" s="151" t="s">
        <v>1955</v>
      </c>
      <c r="D60" s="151" t="s">
        <v>1956</v>
      </c>
      <c r="E60" s="151" t="s">
        <v>420</v>
      </c>
      <c r="F60" s="151" t="s">
        <v>1959</v>
      </c>
      <c r="G60" s="151" t="s">
        <v>1960</v>
      </c>
      <c r="H60" s="151" t="s">
        <v>75</v>
      </c>
      <c r="I60" s="151" t="s">
        <v>230</v>
      </c>
      <c r="J60" s="151" t="s">
        <v>52</v>
      </c>
      <c r="K60" s="151" t="s">
        <v>52</v>
      </c>
      <c r="L60" s="151" t="s">
        <v>303</v>
      </c>
      <c r="M60" s="151" t="s">
        <v>1018</v>
      </c>
      <c r="N60" s="151" t="s">
        <v>61</v>
      </c>
      <c r="O60" s="151" t="s">
        <v>1255</v>
      </c>
      <c r="P60" s="152">
        <v>715000</v>
      </c>
      <c r="Q60" s="152">
        <v>1</v>
      </c>
      <c r="R60" s="152">
        <v>10810</v>
      </c>
      <c r="S60" s="151"/>
      <c r="T60" s="152">
        <v>77291.5</v>
      </c>
      <c r="U60" s="153">
        <v>3.8649999999999997E-2</v>
      </c>
      <c r="V60" s="153">
        <v>2.7279999999999999E-2</v>
      </c>
      <c r="W60" s="154">
        <v>7.7400000000000004E-3</v>
      </c>
      <c r="X60" s="174"/>
    </row>
    <row r="61" spans="1:24" x14ac:dyDescent="0.2">
      <c r="A61" s="150" t="s">
        <v>1264</v>
      </c>
      <c r="B61" s="151" t="s">
        <v>1264</v>
      </c>
      <c r="C61" s="151" t="s">
        <v>1945</v>
      </c>
      <c r="D61" s="151" t="s">
        <v>1946</v>
      </c>
      <c r="E61" s="151" t="s">
        <v>420</v>
      </c>
      <c r="F61" s="151" t="s">
        <v>1953</v>
      </c>
      <c r="G61" s="151" t="s">
        <v>1954</v>
      </c>
      <c r="H61" s="151" t="s">
        <v>75</v>
      </c>
      <c r="I61" s="151" t="s">
        <v>230</v>
      </c>
      <c r="J61" s="151" t="s">
        <v>52</v>
      </c>
      <c r="K61" s="151" t="s">
        <v>52</v>
      </c>
      <c r="L61" s="151" t="s">
        <v>303</v>
      </c>
      <c r="M61" s="151" t="s">
        <v>1015</v>
      </c>
      <c r="N61" s="151" t="s">
        <v>61</v>
      </c>
      <c r="O61" s="151" t="s">
        <v>1255</v>
      </c>
      <c r="P61" s="152">
        <v>2101582</v>
      </c>
      <c r="Q61" s="152">
        <v>1</v>
      </c>
      <c r="R61" s="152">
        <v>3413</v>
      </c>
      <c r="S61" s="151"/>
      <c r="T61" s="152">
        <v>71726.994000000006</v>
      </c>
      <c r="U61" s="153">
        <v>5.1500000000000001E-3</v>
      </c>
      <c r="V61" s="153">
        <v>2.5319999999999999E-2</v>
      </c>
      <c r="W61" s="154">
        <v>7.1799999999999998E-3</v>
      </c>
      <c r="X61" s="174"/>
    </row>
    <row r="62" spans="1:24" x14ac:dyDescent="0.2">
      <c r="A62" s="150" t="s">
        <v>1264</v>
      </c>
      <c r="B62" s="151" t="s">
        <v>1264</v>
      </c>
      <c r="C62" s="151" t="s">
        <v>1945</v>
      </c>
      <c r="D62" s="151" t="s">
        <v>1946</v>
      </c>
      <c r="E62" s="151" t="s">
        <v>420</v>
      </c>
      <c r="F62" s="151" t="s">
        <v>1947</v>
      </c>
      <c r="G62" s="151" t="s">
        <v>1948</v>
      </c>
      <c r="H62" s="151" t="s">
        <v>75</v>
      </c>
      <c r="I62" s="151" t="s">
        <v>230</v>
      </c>
      <c r="J62" s="151" t="s">
        <v>52</v>
      </c>
      <c r="K62" s="151" t="s">
        <v>52</v>
      </c>
      <c r="L62" s="151" t="s">
        <v>303</v>
      </c>
      <c r="M62" s="151" t="s">
        <v>1018</v>
      </c>
      <c r="N62" s="151" t="s">
        <v>61</v>
      </c>
      <c r="O62" s="151" t="s">
        <v>1255</v>
      </c>
      <c r="P62" s="152">
        <v>1550088</v>
      </c>
      <c r="Q62" s="152">
        <v>1</v>
      </c>
      <c r="R62" s="152">
        <v>3929</v>
      </c>
      <c r="S62" s="151"/>
      <c r="T62" s="152">
        <v>60902.957999999999</v>
      </c>
      <c r="U62" s="153">
        <v>3.5300000000000002E-3</v>
      </c>
      <c r="V62" s="153">
        <v>2.1499999999999998E-2</v>
      </c>
      <c r="W62" s="154">
        <v>6.1000000000000004E-3</v>
      </c>
      <c r="X62" s="174"/>
    </row>
    <row r="63" spans="1:24" x14ac:dyDescent="0.2">
      <c r="A63" s="150" t="s">
        <v>1264</v>
      </c>
      <c r="B63" s="151" t="s">
        <v>1264</v>
      </c>
      <c r="C63" s="151" t="s">
        <v>1949</v>
      </c>
      <c r="D63" s="151" t="s">
        <v>1950</v>
      </c>
      <c r="E63" s="151" t="s">
        <v>420</v>
      </c>
      <c r="F63" s="151" t="s">
        <v>1969</v>
      </c>
      <c r="G63" s="151" t="s">
        <v>1970</v>
      </c>
      <c r="H63" s="151" t="s">
        <v>75</v>
      </c>
      <c r="I63" s="151" t="s">
        <v>232</v>
      </c>
      <c r="J63" s="151" t="s">
        <v>52</v>
      </c>
      <c r="K63" s="151" t="s">
        <v>52</v>
      </c>
      <c r="L63" s="151" t="s">
        <v>303</v>
      </c>
      <c r="M63" s="151" t="s">
        <v>937</v>
      </c>
      <c r="N63" s="151" t="s">
        <v>61</v>
      </c>
      <c r="O63" s="151" t="s">
        <v>1255</v>
      </c>
      <c r="P63" s="152">
        <v>1210000</v>
      </c>
      <c r="Q63" s="152">
        <v>1</v>
      </c>
      <c r="R63" s="152">
        <v>4348.16</v>
      </c>
      <c r="S63" s="151"/>
      <c r="T63" s="152">
        <v>52612.735999999997</v>
      </c>
      <c r="U63" s="153">
        <v>3.1009999999999999E-2</v>
      </c>
      <c r="V63" s="153">
        <v>1.857E-2</v>
      </c>
      <c r="W63" s="154">
        <v>5.2700000000000004E-3</v>
      </c>
      <c r="X63" s="174"/>
    </row>
    <row r="64" spans="1:24" x14ac:dyDescent="0.2">
      <c r="A64" s="150" t="s">
        <v>1264</v>
      </c>
      <c r="B64" s="151" t="s">
        <v>1264</v>
      </c>
      <c r="C64" s="151" t="s">
        <v>1949</v>
      </c>
      <c r="D64" s="151" t="s">
        <v>1950</v>
      </c>
      <c r="E64" s="151" t="s">
        <v>420</v>
      </c>
      <c r="F64" s="151" t="s">
        <v>1961</v>
      </c>
      <c r="G64" s="151" t="s">
        <v>1962</v>
      </c>
      <c r="H64" s="151" t="s">
        <v>75</v>
      </c>
      <c r="I64" s="151" t="s">
        <v>232</v>
      </c>
      <c r="J64" s="151" t="s">
        <v>52</v>
      </c>
      <c r="K64" s="151" t="s">
        <v>52</v>
      </c>
      <c r="L64" s="151" t="s">
        <v>303</v>
      </c>
      <c r="M64" s="151" t="s">
        <v>937</v>
      </c>
      <c r="N64" s="151" t="s">
        <v>61</v>
      </c>
      <c r="O64" s="151" t="s">
        <v>1255</v>
      </c>
      <c r="P64" s="152">
        <v>1150000</v>
      </c>
      <c r="Q64" s="152">
        <v>1</v>
      </c>
      <c r="R64" s="152">
        <v>4269.79</v>
      </c>
      <c r="S64" s="151"/>
      <c r="T64" s="152">
        <v>49102.584999999999</v>
      </c>
      <c r="U64" s="153">
        <v>2.1299999999999999E-2</v>
      </c>
      <c r="V64" s="153">
        <v>1.7330000000000002E-2</v>
      </c>
      <c r="W64" s="154">
        <v>4.9199999999999999E-3</v>
      </c>
      <c r="X64" s="174"/>
    </row>
    <row r="65" spans="1:24" x14ac:dyDescent="0.2">
      <c r="A65" s="150" t="s">
        <v>1264</v>
      </c>
      <c r="B65" s="151" t="s">
        <v>1264</v>
      </c>
      <c r="C65" s="151" t="s">
        <v>1939</v>
      </c>
      <c r="D65" s="151" t="s">
        <v>1940</v>
      </c>
      <c r="E65" s="151" t="s">
        <v>420</v>
      </c>
      <c r="F65" s="151" t="s">
        <v>1963</v>
      </c>
      <c r="G65" s="151" t="s">
        <v>1964</v>
      </c>
      <c r="H65" s="151" t="s">
        <v>75</v>
      </c>
      <c r="I65" s="151" t="s">
        <v>231</v>
      </c>
      <c r="J65" s="151" t="s">
        <v>52</v>
      </c>
      <c r="K65" s="151" t="s">
        <v>306</v>
      </c>
      <c r="L65" s="151" t="s">
        <v>303</v>
      </c>
      <c r="M65" s="151" t="s">
        <v>1066</v>
      </c>
      <c r="N65" s="151" t="s">
        <v>61</v>
      </c>
      <c r="O65" s="151" t="s">
        <v>1255</v>
      </c>
      <c r="P65" s="152">
        <v>590000</v>
      </c>
      <c r="Q65" s="152">
        <v>1</v>
      </c>
      <c r="R65" s="152">
        <v>8146</v>
      </c>
      <c r="S65" s="151"/>
      <c r="T65" s="152">
        <v>48061.4</v>
      </c>
      <c r="U65" s="153">
        <v>1.9029999999999998E-2</v>
      </c>
      <c r="V65" s="153">
        <v>1.6959999999999999E-2</v>
      </c>
      <c r="W65" s="154">
        <v>4.81E-3</v>
      </c>
      <c r="X65" s="174"/>
    </row>
    <row r="66" spans="1:24" x14ac:dyDescent="0.2">
      <c r="A66" s="150" t="s">
        <v>1264</v>
      </c>
      <c r="B66" s="151" t="s">
        <v>1264</v>
      </c>
      <c r="C66" s="151" t="s">
        <v>1965</v>
      </c>
      <c r="D66" s="151" t="s">
        <v>1966</v>
      </c>
      <c r="E66" s="151" t="s">
        <v>420</v>
      </c>
      <c r="F66" s="151" t="s">
        <v>2080</v>
      </c>
      <c r="G66" s="151" t="s">
        <v>2081</v>
      </c>
      <c r="H66" s="151" t="s">
        <v>75</v>
      </c>
      <c r="I66" s="151" t="s">
        <v>230</v>
      </c>
      <c r="J66" s="151" t="s">
        <v>52</v>
      </c>
      <c r="K66" s="151" t="s">
        <v>52</v>
      </c>
      <c r="L66" s="151" t="s">
        <v>303</v>
      </c>
      <c r="M66" s="151" t="s">
        <v>1018</v>
      </c>
      <c r="N66" s="151" t="s">
        <v>61</v>
      </c>
      <c r="O66" s="151" t="s">
        <v>1255</v>
      </c>
      <c r="P66" s="152">
        <v>1142300</v>
      </c>
      <c r="Q66" s="152">
        <v>1</v>
      </c>
      <c r="R66" s="152">
        <v>3922</v>
      </c>
      <c r="S66" s="151"/>
      <c r="T66" s="152">
        <v>44801.006000000001</v>
      </c>
      <c r="U66" s="153">
        <v>5.5300000000000002E-3</v>
      </c>
      <c r="V66" s="153">
        <v>1.5810000000000001E-2</v>
      </c>
      <c r="W66" s="154">
        <v>4.4900000000000001E-3</v>
      </c>
      <c r="X66" s="174"/>
    </row>
    <row r="67" spans="1:24" x14ac:dyDescent="0.2">
      <c r="A67" s="150" t="s">
        <v>1264</v>
      </c>
      <c r="B67" s="151" t="s">
        <v>1264</v>
      </c>
      <c r="C67" s="151" t="s">
        <v>1955</v>
      </c>
      <c r="D67" s="151" t="s">
        <v>1956</v>
      </c>
      <c r="E67" s="151" t="s">
        <v>420</v>
      </c>
      <c r="F67" s="151" t="s">
        <v>1957</v>
      </c>
      <c r="G67" s="151" t="s">
        <v>1958</v>
      </c>
      <c r="H67" s="151" t="s">
        <v>75</v>
      </c>
      <c r="I67" s="151" t="s">
        <v>231</v>
      </c>
      <c r="J67" s="151" t="s">
        <v>52</v>
      </c>
      <c r="K67" s="151" t="s">
        <v>889</v>
      </c>
      <c r="L67" s="151" t="s">
        <v>303</v>
      </c>
      <c r="M67" s="151" t="s">
        <v>1056</v>
      </c>
      <c r="N67" s="151" t="s">
        <v>61</v>
      </c>
      <c r="O67" s="151" t="s">
        <v>1255</v>
      </c>
      <c r="P67" s="152">
        <v>409500</v>
      </c>
      <c r="Q67" s="152">
        <v>1</v>
      </c>
      <c r="R67" s="152">
        <v>10200</v>
      </c>
      <c r="S67" s="151"/>
      <c r="T67" s="152">
        <v>41769</v>
      </c>
      <c r="U67" s="153">
        <v>5.9800000000000001E-3</v>
      </c>
      <c r="V67" s="153">
        <v>1.474E-2</v>
      </c>
      <c r="W67" s="154">
        <v>4.1799999999999997E-3</v>
      </c>
      <c r="X67" s="174"/>
    </row>
    <row r="68" spans="1:24" x14ac:dyDescent="0.2">
      <c r="A68" s="150" t="s">
        <v>1264</v>
      </c>
      <c r="B68" s="151" t="s">
        <v>1264</v>
      </c>
      <c r="C68" s="151" t="s">
        <v>1939</v>
      </c>
      <c r="D68" s="151" t="s">
        <v>1940</v>
      </c>
      <c r="E68" s="151" t="s">
        <v>420</v>
      </c>
      <c r="F68" s="151" t="s">
        <v>1973</v>
      </c>
      <c r="G68" s="151" t="s">
        <v>1974</v>
      </c>
      <c r="H68" s="151" t="s">
        <v>75</v>
      </c>
      <c r="I68" s="151" t="s">
        <v>232</v>
      </c>
      <c r="J68" s="151" t="s">
        <v>52</v>
      </c>
      <c r="K68" s="151" t="s">
        <v>52</v>
      </c>
      <c r="L68" s="151" t="s">
        <v>303</v>
      </c>
      <c r="M68" s="151" t="s">
        <v>937</v>
      </c>
      <c r="N68" s="151" t="s">
        <v>61</v>
      </c>
      <c r="O68" s="151" t="s">
        <v>1255</v>
      </c>
      <c r="P68" s="152">
        <v>8145000</v>
      </c>
      <c r="Q68" s="152">
        <v>1</v>
      </c>
      <c r="R68" s="152">
        <v>497.26</v>
      </c>
      <c r="S68" s="151"/>
      <c r="T68" s="152">
        <v>40501.826999999997</v>
      </c>
      <c r="U68" s="153">
        <v>3.3079999999999998E-2</v>
      </c>
      <c r="V68" s="153">
        <v>1.4290000000000001E-2</v>
      </c>
      <c r="W68" s="154">
        <v>4.0600000000000002E-3</v>
      </c>
      <c r="X68" s="174"/>
    </row>
    <row r="69" spans="1:24" x14ac:dyDescent="0.2">
      <c r="A69" s="150" t="s">
        <v>1264</v>
      </c>
      <c r="B69" s="151" t="s">
        <v>1264</v>
      </c>
      <c r="C69" s="151" t="s">
        <v>1949</v>
      </c>
      <c r="D69" s="151" t="s">
        <v>1950</v>
      </c>
      <c r="E69" s="151" t="s">
        <v>420</v>
      </c>
      <c r="F69" s="151" t="s">
        <v>1971</v>
      </c>
      <c r="G69" s="151" t="s">
        <v>1972</v>
      </c>
      <c r="H69" s="151" t="s">
        <v>75</v>
      </c>
      <c r="I69" s="151" t="s">
        <v>230</v>
      </c>
      <c r="J69" s="151" t="s">
        <v>52</v>
      </c>
      <c r="K69" s="151" t="s">
        <v>52</v>
      </c>
      <c r="L69" s="151" t="s">
        <v>303</v>
      </c>
      <c r="M69" s="151" t="s">
        <v>1051</v>
      </c>
      <c r="N69" s="151" t="s">
        <v>61</v>
      </c>
      <c r="O69" s="151" t="s">
        <v>1255</v>
      </c>
      <c r="P69" s="152">
        <v>162800</v>
      </c>
      <c r="Q69" s="152">
        <v>1</v>
      </c>
      <c r="R69" s="152">
        <v>13120</v>
      </c>
      <c r="S69" s="151"/>
      <c r="T69" s="152">
        <v>21359.360000000001</v>
      </c>
      <c r="U69" s="153">
        <v>1.7780000000000001E-2</v>
      </c>
      <c r="V69" s="153">
        <v>7.5399999999999998E-3</v>
      </c>
      <c r="W69" s="154">
        <v>2.14E-3</v>
      </c>
      <c r="X69" s="174"/>
    </row>
    <row r="70" spans="1:24" x14ac:dyDescent="0.2">
      <c r="A70" s="150" t="s">
        <v>1264</v>
      </c>
      <c r="B70" s="151" t="s">
        <v>1264</v>
      </c>
      <c r="C70" s="151" t="s">
        <v>1975</v>
      </c>
      <c r="D70" s="151" t="s">
        <v>1976</v>
      </c>
      <c r="E70" s="151" t="s">
        <v>421</v>
      </c>
      <c r="F70" s="151" t="s">
        <v>1975</v>
      </c>
      <c r="G70" s="151" t="s">
        <v>1977</v>
      </c>
      <c r="H70" s="151" t="s">
        <v>75</v>
      </c>
      <c r="I70" s="151" t="s">
        <v>231</v>
      </c>
      <c r="J70" s="151" t="s">
        <v>60</v>
      </c>
      <c r="K70" s="151" t="s">
        <v>306</v>
      </c>
      <c r="L70" s="151" t="s">
        <v>463</v>
      </c>
      <c r="M70" s="151" t="s">
        <v>1026</v>
      </c>
      <c r="N70" s="151" t="s">
        <v>61</v>
      </c>
      <c r="O70" s="151" t="s">
        <v>1256</v>
      </c>
      <c r="P70" s="152">
        <v>1295061</v>
      </c>
      <c r="Q70" s="152">
        <v>3.165</v>
      </c>
      <c r="R70" s="152">
        <v>7654</v>
      </c>
      <c r="S70" s="151"/>
      <c r="T70" s="152">
        <v>313727.36200000002</v>
      </c>
      <c r="U70" s="153">
        <v>1.67E-3</v>
      </c>
      <c r="V70" s="153">
        <v>0.11073</v>
      </c>
      <c r="W70" s="154">
        <v>3.1419999999999997E-2</v>
      </c>
      <c r="X70" s="174"/>
    </row>
    <row r="71" spans="1:24" x14ac:dyDescent="0.2">
      <c r="A71" s="150" t="s">
        <v>1264</v>
      </c>
      <c r="B71" s="151" t="s">
        <v>1264</v>
      </c>
      <c r="C71" s="151" t="s">
        <v>1978</v>
      </c>
      <c r="D71" s="151" t="s">
        <v>1979</v>
      </c>
      <c r="E71" s="151" t="s">
        <v>421</v>
      </c>
      <c r="F71" s="151" t="s">
        <v>1978</v>
      </c>
      <c r="G71" s="151" t="s">
        <v>1980</v>
      </c>
      <c r="H71" s="151" t="s">
        <v>75</v>
      </c>
      <c r="I71" s="151" t="s">
        <v>231</v>
      </c>
      <c r="J71" s="151" t="s">
        <v>60</v>
      </c>
      <c r="K71" s="151" t="s">
        <v>306</v>
      </c>
      <c r="L71" s="151" t="s">
        <v>481</v>
      </c>
      <c r="M71" s="151" t="s">
        <v>1026</v>
      </c>
      <c r="N71" s="151" t="s">
        <v>61</v>
      </c>
      <c r="O71" s="151" t="s">
        <v>1256</v>
      </c>
      <c r="P71" s="152">
        <v>7464200</v>
      </c>
      <c r="Q71" s="152">
        <v>3.165</v>
      </c>
      <c r="R71" s="152">
        <v>1287</v>
      </c>
      <c r="S71" s="151"/>
      <c r="T71" s="152">
        <v>304043.364</v>
      </c>
      <c r="U71" s="153">
        <v>0</v>
      </c>
      <c r="V71" s="153">
        <v>0.10731</v>
      </c>
      <c r="W71" s="154">
        <v>3.0450000000000001E-2</v>
      </c>
      <c r="X71" s="174"/>
    </row>
    <row r="72" spans="1:24" x14ac:dyDescent="0.2">
      <c r="A72" s="150" t="s">
        <v>1264</v>
      </c>
      <c r="B72" s="151" t="s">
        <v>1264</v>
      </c>
      <c r="C72" s="151" t="s">
        <v>1981</v>
      </c>
      <c r="D72" s="151" t="s">
        <v>1982</v>
      </c>
      <c r="E72" s="151" t="s">
        <v>421</v>
      </c>
      <c r="F72" s="151" t="s">
        <v>1983</v>
      </c>
      <c r="G72" s="151" t="s">
        <v>1984</v>
      </c>
      <c r="H72" s="151" t="s">
        <v>75</v>
      </c>
      <c r="I72" s="151" t="s">
        <v>231</v>
      </c>
      <c r="J72" s="151" t="s">
        <v>60</v>
      </c>
      <c r="K72" s="151" t="s">
        <v>306</v>
      </c>
      <c r="L72" s="151" t="s">
        <v>481</v>
      </c>
      <c r="M72" s="151" t="s">
        <v>1026</v>
      </c>
      <c r="N72" s="151" t="s">
        <v>61</v>
      </c>
      <c r="O72" s="151" t="s">
        <v>1256</v>
      </c>
      <c r="P72" s="152">
        <v>145093</v>
      </c>
      <c r="Q72" s="152">
        <v>3.165</v>
      </c>
      <c r="R72" s="152">
        <v>46624</v>
      </c>
      <c r="S72" s="151"/>
      <c r="T72" s="152">
        <v>214106.427</v>
      </c>
      <c r="U72" s="153">
        <v>4.9100000000000003E-3</v>
      </c>
      <c r="V72" s="153">
        <v>7.5569999999999998E-2</v>
      </c>
      <c r="W72" s="154">
        <v>2.1440000000000001E-2</v>
      </c>
      <c r="X72" s="174"/>
    </row>
    <row r="73" spans="1:24" x14ac:dyDescent="0.2">
      <c r="A73" s="150" t="s">
        <v>1264</v>
      </c>
      <c r="B73" s="151" t="s">
        <v>1264</v>
      </c>
      <c r="C73" s="151" t="s">
        <v>1992</v>
      </c>
      <c r="D73" s="151" t="s">
        <v>1993</v>
      </c>
      <c r="E73" s="151" t="s">
        <v>421</v>
      </c>
      <c r="F73" s="151" t="s">
        <v>1992</v>
      </c>
      <c r="G73" s="151" t="s">
        <v>1994</v>
      </c>
      <c r="H73" s="151" t="s">
        <v>75</v>
      </c>
      <c r="I73" s="151" t="s">
        <v>231</v>
      </c>
      <c r="J73" s="151" t="s">
        <v>60</v>
      </c>
      <c r="K73" s="151" t="s">
        <v>306</v>
      </c>
      <c r="L73" s="151" t="s">
        <v>463</v>
      </c>
      <c r="M73" s="151" t="s">
        <v>1026</v>
      </c>
      <c r="N73" s="151" t="s">
        <v>61</v>
      </c>
      <c r="O73" s="151" t="s">
        <v>1256</v>
      </c>
      <c r="P73" s="152">
        <v>67541</v>
      </c>
      <c r="Q73" s="152">
        <v>3.165</v>
      </c>
      <c r="R73" s="152">
        <v>59755</v>
      </c>
      <c r="S73" s="152">
        <v>126.464</v>
      </c>
      <c r="T73" s="152">
        <v>128136.887</v>
      </c>
      <c r="U73" s="153">
        <v>6.0000000000000002E-5</v>
      </c>
      <c r="V73" s="153">
        <v>4.5269999999999998E-2</v>
      </c>
      <c r="W73" s="154">
        <v>1.285E-2</v>
      </c>
      <c r="X73" s="174"/>
    </row>
    <row r="74" spans="1:24" x14ac:dyDescent="0.2">
      <c r="A74" s="150" t="s">
        <v>1264</v>
      </c>
      <c r="B74" s="151" t="s">
        <v>1264</v>
      </c>
      <c r="C74" s="151" t="s">
        <v>1985</v>
      </c>
      <c r="D74" s="151" t="s">
        <v>1986</v>
      </c>
      <c r="E74" s="151" t="s">
        <v>421</v>
      </c>
      <c r="F74" s="151" t="s">
        <v>1987</v>
      </c>
      <c r="G74" s="151" t="s">
        <v>1988</v>
      </c>
      <c r="H74" s="151" t="s">
        <v>75</v>
      </c>
      <c r="I74" s="151" t="s">
        <v>231</v>
      </c>
      <c r="J74" s="151" t="s">
        <v>60</v>
      </c>
      <c r="K74" s="151" t="s">
        <v>305</v>
      </c>
      <c r="L74" s="151" t="s">
        <v>475</v>
      </c>
      <c r="M74" s="151" t="s">
        <v>1006</v>
      </c>
      <c r="N74" s="151" t="s">
        <v>61</v>
      </c>
      <c r="O74" s="151" t="s">
        <v>1258</v>
      </c>
      <c r="P74" s="152">
        <v>545116</v>
      </c>
      <c r="Q74" s="152">
        <v>3.6360000000000001</v>
      </c>
      <c r="R74" s="152">
        <v>5614</v>
      </c>
      <c r="S74" s="151"/>
      <c r="T74" s="152">
        <v>111271.825</v>
      </c>
      <c r="U74" s="153">
        <v>4.13E-3</v>
      </c>
      <c r="V74" s="153">
        <v>3.9269999999999999E-2</v>
      </c>
      <c r="W74" s="154">
        <v>1.1140000000000001E-2</v>
      </c>
      <c r="X74" s="174"/>
    </row>
    <row r="75" spans="1:24" x14ac:dyDescent="0.2">
      <c r="A75" s="150" t="s">
        <v>1264</v>
      </c>
      <c r="B75" s="151" t="s">
        <v>1264</v>
      </c>
      <c r="C75" s="151" t="s">
        <v>1995</v>
      </c>
      <c r="D75" s="151" t="s">
        <v>1996</v>
      </c>
      <c r="E75" s="151" t="s">
        <v>421</v>
      </c>
      <c r="F75" s="151" t="s">
        <v>1995</v>
      </c>
      <c r="G75" s="151" t="s">
        <v>1997</v>
      </c>
      <c r="H75" s="151" t="s">
        <v>75</v>
      </c>
      <c r="I75" s="151" t="s">
        <v>231</v>
      </c>
      <c r="J75" s="151" t="s">
        <v>60</v>
      </c>
      <c r="K75" s="151" t="s">
        <v>151</v>
      </c>
      <c r="L75" s="151" t="s">
        <v>475</v>
      </c>
      <c r="M75" s="151" t="s">
        <v>1001</v>
      </c>
      <c r="N75" s="151" t="s">
        <v>61</v>
      </c>
      <c r="O75" s="151" t="s">
        <v>1258</v>
      </c>
      <c r="P75" s="152">
        <v>112440</v>
      </c>
      <c r="Q75" s="152">
        <v>3.6360000000000001</v>
      </c>
      <c r="R75" s="152">
        <v>20695</v>
      </c>
      <c r="S75" s="151"/>
      <c r="T75" s="152">
        <v>84607.748999999996</v>
      </c>
      <c r="U75" s="153">
        <v>2.4209999999999999E-2</v>
      </c>
      <c r="V75" s="153">
        <v>2.9860000000000001E-2</v>
      </c>
      <c r="W75" s="154">
        <v>8.4700000000000001E-3</v>
      </c>
      <c r="X75" s="174"/>
    </row>
    <row r="76" spans="1:24" x14ac:dyDescent="0.2">
      <c r="A76" s="150" t="s">
        <v>1264</v>
      </c>
      <c r="B76" s="151" t="s">
        <v>1264</v>
      </c>
      <c r="C76" s="151" t="s">
        <v>1998</v>
      </c>
      <c r="D76" s="151" t="s">
        <v>1999</v>
      </c>
      <c r="E76" s="151" t="s">
        <v>421</v>
      </c>
      <c r="F76" s="151" t="s">
        <v>1998</v>
      </c>
      <c r="G76" s="151" t="s">
        <v>2000</v>
      </c>
      <c r="H76" s="151" t="s">
        <v>75</v>
      </c>
      <c r="I76" s="151" t="s">
        <v>231</v>
      </c>
      <c r="J76" s="151" t="s">
        <v>60</v>
      </c>
      <c r="K76" s="151" t="s">
        <v>306</v>
      </c>
      <c r="L76" s="151" t="s">
        <v>481</v>
      </c>
      <c r="M76" s="151" t="s">
        <v>1026</v>
      </c>
      <c r="N76" s="151" t="s">
        <v>61</v>
      </c>
      <c r="O76" s="151" t="s">
        <v>1256</v>
      </c>
      <c r="P76" s="152">
        <v>1467460</v>
      </c>
      <c r="Q76" s="152">
        <v>3.165</v>
      </c>
      <c r="R76" s="152">
        <v>1586.8</v>
      </c>
      <c r="S76" s="151"/>
      <c r="T76" s="152">
        <v>73699.099000000002</v>
      </c>
      <c r="U76" s="153">
        <v>1.414E-2</v>
      </c>
      <c r="V76" s="153">
        <v>2.6009999999999998E-2</v>
      </c>
      <c r="W76" s="154">
        <v>7.3800000000000003E-3</v>
      </c>
      <c r="X76" s="174"/>
    </row>
    <row r="77" spans="1:24" x14ac:dyDescent="0.2">
      <c r="A77" s="150" t="s">
        <v>1264</v>
      </c>
      <c r="B77" s="151" t="s">
        <v>1264</v>
      </c>
      <c r="C77" s="151" t="s">
        <v>1989</v>
      </c>
      <c r="D77" s="151" t="s">
        <v>1990</v>
      </c>
      <c r="E77" s="151" t="s">
        <v>421</v>
      </c>
      <c r="F77" s="151" t="s">
        <v>1989</v>
      </c>
      <c r="G77" s="151" t="s">
        <v>1991</v>
      </c>
      <c r="H77" s="151" t="s">
        <v>75</v>
      </c>
      <c r="I77" s="151" t="s">
        <v>231</v>
      </c>
      <c r="J77" s="151" t="s">
        <v>60</v>
      </c>
      <c r="K77" s="151" t="s">
        <v>306</v>
      </c>
      <c r="L77" s="151" t="s">
        <v>463</v>
      </c>
      <c r="M77" s="151" t="s">
        <v>1026</v>
      </c>
      <c r="N77" s="151" t="s">
        <v>61</v>
      </c>
      <c r="O77" s="151" t="s">
        <v>1256</v>
      </c>
      <c r="P77" s="152">
        <v>33070</v>
      </c>
      <c r="Q77" s="152">
        <v>3.165</v>
      </c>
      <c r="R77" s="152">
        <v>65321</v>
      </c>
      <c r="S77" s="151"/>
      <c r="T77" s="152">
        <v>68369.236999999994</v>
      </c>
      <c r="U77" s="153">
        <v>3.0000000000000001E-5</v>
      </c>
      <c r="V77" s="153">
        <v>2.4129999999999999E-2</v>
      </c>
      <c r="W77" s="154">
        <v>6.8500000000000002E-3</v>
      </c>
      <c r="X77" s="174"/>
    </row>
    <row r="78" spans="1:24" x14ac:dyDescent="0.2">
      <c r="A78" s="150" t="s">
        <v>1264</v>
      </c>
      <c r="B78" s="151" t="s">
        <v>1264</v>
      </c>
      <c r="C78" s="151" t="s">
        <v>2001</v>
      </c>
      <c r="D78" s="151" t="s">
        <v>2002</v>
      </c>
      <c r="E78" s="151" t="s">
        <v>421</v>
      </c>
      <c r="F78" s="151" t="s">
        <v>2001</v>
      </c>
      <c r="G78" s="151" t="s">
        <v>2003</v>
      </c>
      <c r="H78" s="151" t="s">
        <v>75</v>
      </c>
      <c r="I78" s="151" t="s">
        <v>231</v>
      </c>
      <c r="J78" s="151" t="s">
        <v>60</v>
      </c>
      <c r="K78" s="151" t="s">
        <v>306</v>
      </c>
      <c r="L78" s="151" t="s">
        <v>481</v>
      </c>
      <c r="M78" s="151" t="s">
        <v>1033</v>
      </c>
      <c r="N78" s="151" t="s">
        <v>61</v>
      </c>
      <c r="O78" s="151" t="s">
        <v>1256</v>
      </c>
      <c r="P78" s="152">
        <v>126900</v>
      </c>
      <c r="Q78" s="152">
        <v>3.165</v>
      </c>
      <c r="R78" s="152">
        <v>13582</v>
      </c>
      <c r="S78" s="151"/>
      <c r="T78" s="152">
        <v>54550.540999999997</v>
      </c>
      <c r="U78" s="153">
        <v>1.35E-2</v>
      </c>
      <c r="V78" s="153">
        <v>1.925E-2</v>
      </c>
      <c r="W78" s="154">
        <v>5.4599999999999996E-3</v>
      </c>
      <c r="X78" s="174"/>
    </row>
    <row r="79" spans="1:24" x14ac:dyDescent="0.2">
      <c r="A79" s="150" t="s">
        <v>1264</v>
      </c>
      <c r="B79" s="151" t="s">
        <v>1264</v>
      </c>
      <c r="C79" s="151" t="s">
        <v>2004</v>
      </c>
      <c r="D79" s="151" t="s">
        <v>2005</v>
      </c>
      <c r="E79" s="151" t="s">
        <v>421</v>
      </c>
      <c r="F79" s="151" t="s">
        <v>2004</v>
      </c>
      <c r="G79" s="151" t="s">
        <v>2006</v>
      </c>
      <c r="H79" s="151" t="s">
        <v>75</v>
      </c>
      <c r="I79" s="151" t="s">
        <v>233</v>
      </c>
      <c r="J79" s="151" t="s">
        <v>60</v>
      </c>
      <c r="K79" s="151" t="s">
        <v>306</v>
      </c>
      <c r="L79" s="151" t="s">
        <v>101</v>
      </c>
      <c r="M79" s="151" t="s">
        <v>1037</v>
      </c>
      <c r="N79" s="151" t="s">
        <v>61</v>
      </c>
      <c r="O79" s="151" t="s">
        <v>1256</v>
      </c>
      <c r="P79" s="152">
        <v>861600</v>
      </c>
      <c r="Q79" s="152">
        <v>3.165</v>
      </c>
      <c r="R79" s="152">
        <v>1896.8</v>
      </c>
      <c r="S79" s="151"/>
      <c r="T79" s="152">
        <v>51725.053</v>
      </c>
      <c r="U79" s="153">
        <v>1.46E-2</v>
      </c>
      <c r="V79" s="153">
        <v>1.8259999999999998E-2</v>
      </c>
      <c r="W79" s="154">
        <v>5.1799999999999997E-3</v>
      </c>
      <c r="X79" s="174"/>
    </row>
    <row r="80" spans="1:24" x14ac:dyDescent="0.2">
      <c r="A80" s="150" t="s">
        <v>1264</v>
      </c>
      <c r="B80" s="151" t="s">
        <v>1264</v>
      </c>
      <c r="C80" s="151" t="s">
        <v>2010</v>
      </c>
      <c r="D80" s="151" t="s">
        <v>2011</v>
      </c>
      <c r="E80" s="151" t="s">
        <v>101</v>
      </c>
      <c r="F80" s="151" t="s">
        <v>2010</v>
      </c>
      <c r="G80" s="151" t="s">
        <v>2012</v>
      </c>
      <c r="H80" s="151" t="s">
        <v>75</v>
      </c>
      <c r="I80" s="151" t="s">
        <v>231</v>
      </c>
      <c r="J80" s="151" t="s">
        <v>60</v>
      </c>
      <c r="K80" s="151" t="s">
        <v>306</v>
      </c>
      <c r="L80" s="151" t="s">
        <v>481</v>
      </c>
      <c r="M80" s="151" t="s">
        <v>1011</v>
      </c>
      <c r="N80" s="151" t="s">
        <v>61</v>
      </c>
      <c r="O80" s="151" t="s">
        <v>1256</v>
      </c>
      <c r="P80" s="152">
        <v>320000</v>
      </c>
      <c r="Q80" s="152">
        <v>3.165</v>
      </c>
      <c r="R80" s="152">
        <v>4504.25</v>
      </c>
      <c r="S80" s="151"/>
      <c r="T80" s="152">
        <v>45619.044000000002</v>
      </c>
      <c r="U80" s="153">
        <v>7.2730000000000003E-2</v>
      </c>
      <c r="V80" s="153">
        <v>1.61E-2</v>
      </c>
      <c r="W80" s="154">
        <v>4.5700000000000003E-3</v>
      </c>
      <c r="X80" s="174"/>
    </row>
    <row r="81" spans="1:24" x14ac:dyDescent="0.2">
      <c r="A81" s="150" t="s">
        <v>1264</v>
      </c>
      <c r="B81" s="151" t="s">
        <v>1264</v>
      </c>
      <c r="C81" s="151" t="s">
        <v>2013</v>
      </c>
      <c r="D81" s="151" t="s">
        <v>2014</v>
      </c>
      <c r="E81" s="151" t="s">
        <v>101</v>
      </c>
      <c r="F81" s="151" t="s">
        <v>2013</v>
      </c>
      <c r="G81" s="151" t="s">
        <v>2015</v>
      </c>
      <c r="H81" s="151" t="s">
        <v>75</v>
      </c>
      <c r="I81" s="151" t="s">
        <v>231</v>
      </c>
      <c r="J81" s="151" t="s">
        <v>60</v>
      </c>
      <c r="K81" s="151" t="s">
        <v>199</v>
      </c>
      <c r="L81" s="151" t="s">
        <v>473</v>
      </c>
      <c r="M81" s="151" t="s">
        <v>1032</v>
      </c>
      <c r="N81" s="151" t="s">
        <v>61</v>
      </c>
      <c r="O81" s="151" t="s">
        <v>1258</v>
      </c>
      <c r="P81" s="152">
        <v>42000</v>
      </c>
      <c r="Q81" s="152">
        <v>3.6360000000000001</v>
      </c>
      <c r="R81" s="152">
        <v>29271.9</v>
      </c>
      <c r="S81" s="151"/>
      <c r="T81" s="152">
        <v>44701.703999999998</v>
      </c>
      <c r="U81" s="153">
        <v>4.5399999999999998E-3</v>
      </c>
      <c r="V81" s="153">
        <v>1.5779999999999999E-2</v>
      </c>
      <c r="W81" s="154">
        <v>4.4799999999999996E-3</v>
      </c>
      <c r="X81" s="174"/>
    </row>
    <row r="82" spans="1:24" x14ac:dyDescent="0.2">
      <c r="A82" s="150" t="s">
        <v>1264</v>
      </c>
      <c r="B82" s="151" t="s">
        <v>1264</v>
      </c>
      <c r="C82" s="151" t="s">
        <v>2007</v>
      </c>
      <c r="D82" s="151" t="s">
        <v>2008</v>
      </c>
      <c r="E82" s="151" t="s">
        <v>421</v>
      </c>
      <c r="F82" s="151" t="s">
        <v>2007</v>
      </c>
      <c r="G82" s="151" t="s">
        <v>2009</v>
      </c>
      <c r="H82" s="151" t="s">
        <v>75</v>
      </c>
      <c r="I82" s="151" t="s">
        <v>231</v>
      </c>
      <c r="J82" s="151" t="s">
        <v>60</v>
      </c>
      <c r="K82" s="151" t="s">
        <v>164</v>
      </c>
      <c r="L82" s="151" t="s">
        <v>481</v>
      </c>
      <c r="M82" s="151" t="s">
        <v>1021</v>
      </c>
      <c r="N82" s="151" t="s">
        <v>61</v>
      </c>
      <c r="O82" s="151" t="s">
        <v>1256</v>
      </c>
      <c r="P82" s="152">
        <v>228000</v>
      </c>
      <c r="Q82" s="152">
        <v>3.165</v>
      </c>
      <c r="R82" s="152">
        <v>6192.5</v>
      </c>
      <c r="S82" s="151"/>
      <c r="T82" s="152">
        <v>44686.319000000003</v>
      </c>
      <c r="U82" s="153">
        <v>1.4499999999999999E-3</v>
      </c>
      <c r="V82" s="153">
        <v>1.5769999999999999E-2</v>
      </c>
      <c r="W82" s="154">
        <v>4.4799999999999996E-3</v>
      </c>
      <c r="X82" s="174"/>
    </row>
    <row r="83" spans="1:24" x14ac:dyDescent="0.2">
      <c r="A83" s="150" t="s">
        <v>1264</v>
      </c>
      <c r="B83" s="151" t="s">
        <v>1264</v>
      </c>
      <c r="C83" s="151" t="s">
        <v>2016</v>
      </c>
      <c r="D83" s="151" t="s">
        <v>2017</v>
      </c>
      <c r="E83" s="151" t="s">
        <v>421</v>
      </c>
      <c r="F83" s="151" t="s">
        <v>2016</v>
      </c>
      <c r="G83" s="151" t="s">
        <v>2018</v>
      </c>
      <c r="H83" s="151" t="s">
        <v>75</v>
      </c>
      <c r="I83" s="151" t="s">
        <v>231</v>
      </c>
      <c r="J83" s="151" t="s">
        <v>60</v>
      </c>
      <c r="K83" s="151" t="s">
        <v>306</v>
      </c>
      <c r="L83" s="151" t="s">
        <v>481</v>
      </c>
      <c r="M83" s="151" t="s">
        <v>1023</v>
      </c>
      <c r="N83" s="151" t="s">
        <v>61</v>
      </c>
      <c r="O83" s="151" t="s">
        <v>1256</v>
      </c>
      <c r="P83" s="152">
        <v>1671390</v>
      </c>
      <c r="Q83" s="152">
        <v>3.165</v>
      </c>
      <c r="R83" s="152">
        <v>724.2</v>
      </c>
      <c r="S83" s="151"/>
      <c r="T83" s="152">
        <v>38309.813000000002</v>
      </c>
      <c r="U83" s="153">
        <v>1.7080000000000001E-2</v>
      </c>
      <c r="V83" s="153">
        <v>1.3520000000000001E-2</v>
      </c>
      <c r="W83" s="154">
        <v>3.8400000000000001E-3</v>
      </c>
      <c r="X83" s="174"/>
    </row>
    <row r="84" spans="1:24" x14ac:dyDescent="0.2">
      <c r="A84" s="150" t="s">
        <v>1264</v>
      </c>
      <c r="B84" s="151" t="s">
        <v>1264</v>
      </c>
      <c r="C84" s="151" t="s">
        <v>2022</v>
      </c>
      <c r="D84" s="151" t="s">
        <v>2023</v>
      </c>
      <c r="E84" s="151" t="s">
        <v>421</v>
      </c>
      <c r="F84" s="151" t="s">
        <v>2022</v>
      </c>
      <c r="G84" s="151" t="s">
        <v>2024</v>
      </c>
      <c r="H84" s="151" t="s">
        <v>75</v>
      </c>
      <c r="I84" s="151" t="s">
        <v>231</v>
      </c>
      <c r="J84" s="151" t="s">
        <v>60</v>
      </c>
      <c r="K84" s="151" t="s">
        <v>306</v>
      </c>
      <c r="L84" s="151" t="s">
        <v>466</v>
      </c>
      <c r="M84" s="151" t="s">
        <v>1019</v>
      </c>
      <c r="N84" s="151" t="s">
        <v>61</v>
      </c>
      <c r="O84" s="151" t="s">
        <v>1256</v>
      </c>
      <c r="P84" s="152">
        <v>70000</v>
      </c>
      <c r="Q84" s="152">
        <v>3.165</v>
      </c>
      <c r="R84" s="152">
        <v>16358</v>
      </c>
      <c r="S84" s="151"/>
      <c r="T84" s="152">
        <v>36241.148999999998</v>
      </c>
      <c r="U84" s="153">
        <v>4.0899999999999999E-3</v>
      </c>
      <c r="V84" s="153">
        <v>1.2789999999999999E-2</v>
      </c>
      <c r="W84" s="154">
        <v>3.63E-3</v>
      </c>
      <c r="X84" s="174"/>
    </row>
    <row r="85" spans="1:24" x14ac:dyDescent="0.2">
      <c r="A85" s="150" t="s">
        <v>1264</v>
      </c>
      <c r="B85" s="151" t="s">
        <v>1264</v>
      </c>
      <c r="C85" s="151" t="s">
        <v>2045</v>
      </c>
      <c r="D85" s="151" t="s">
        <v>2046</v>
      </c>
      <c r="E85" s="151" t="s">
        <v>421</v>
      </c>
      <c r="F85" s="151" t="s">
        <v>2045</v>
      </c>
      <c r="G85" s="151" t="s">
        <v>2047</v>
      </c>
      <c r="H85" s="151" t="s">
        <v>75</v>
      </c>
      <c r="I85" s="151" t="s">
        <v>231</v>
      </c>
      <c r="J85" s="151" t="s">
        <v>60</v>
      </c>
      <c r="K85" s="151" t="s">
        <v>306</v>
      </c>
      <c r="L85" s="151" t="s">
        <v>481</v>
      </c>
      <c r="M85" s="151" t="s">
        <v>1019</v>
      </c>
      <c r="N85" s="151" t="s">
        <v>61</v>
      </c>
      <c r="O85" s="151" t="s">
        <v>1256</v>
      </c>
      <c r="P85" s="152">
        <v>7240</v>
      </c>
      <c r="Q85" s="152">
        <v>3.165</v>
      </c>
      <c r="R85" s="152">
        <v>133900</v>
      </c>
      <c r="S85" s="151"/>
      <c r="T85" s="152">
        <v>30682.649000000001</v>
      </c>
      <c r="U85" s="153">
        <v>6.4000000000000005E-4</v>
      </c>
      <c r="V85" s="153">
        <v>1.0829999999999999E-2</v>
      </c>
      <c r="W85" s="154">
        <v>3.0699999999999998E-3</v>
      </c>
      <c r="X85" s="174"/>
    </row>
    <row r="86" spans="1:24" x14ac:dyDescent="0.2">
      <c r="A86" s="150" t="s">
        <v>1264</v>
      </c>
      <c r="B86" s="151" t="s">
        <v>1264</v>
      </c>
      <c r="C86" s="151" t="s">
        <v>2025</v>
      </c>
      <c r="D86" s="151" t="s">
        <v>2026</v>
      </c>
      <c r="E86" s="151" t="s">
        <v>421</v>
      </c>
      <c r="F86" s="151" t="s">
        <v>2025</v>
      </c>
      <c r="G86" s="151" t="s">
        <v>2027</v>
      </c>
      <c r="H86" s="151" t="s">
        <v>75</v>
      </c>
      <c r="I86" s="151" t="s">
        <v>231</v>
      </c>
      <c r="J86" s="151" t="s">
        <v>60</v>
      </c>
      <c r="K86" s="151" t="s">
        <v>306</v>
      </c>
      <c r="L86" s="151" t="s">
        <v>473</v>
      </c>
      <c r="M86" s="151" t="s">
        <v>1026</v>
      </c>
      <c r="N86" s="151" t="s">
        <v>61</v>
      </c>
      <c r="O86" s="151" t="s">
        <v>1256</v>
      </c>
      <c r="P86" s="152">
        <v>75300</v>
      </c>
      <c r="Q86" s="152">
        <v>3.165</v>
      </c>
      <c r="R86" s="152">
        <v>12803.94</v>
      </c>
      <c r="S86" s="151"/>
      <c r="T86" s="152">
        <v>30514.925999999999</v>
      </c>
      <c r="U86" s="153">
        <v>2.14E-3</v>
      </c>
      <c r="V86" s="153">
        <v>1.077E-2</v>
      </c>
      <c r="W86" s="154">
        <v>3.0599999999999998E-3</v>
      </c>
      <c r="X86" s="174"/>
    </row>
    <row r="87" spans="1:24" x14ac:dyDescent="0.2">
      <c r="A87" s="150" t="s">
        <v>1264</v>
      </c>
      <c r="B87" s="151" t="s">
        <v>1264</v>
      </c>
      <c r="C87" s="151" t="s">
        <v>2019</v>
      </c>
      <c r="D87" s="151" t="s">
        <v>2020</v>
      </c>
      <c r="E87" s="151" t="s">
        <v>421</v>
      </c>
      <c r="F87" s="151" t="s">
        <v>2019</v>
      </c>
      <c r="G87" s="151" t="s">
        <v>2021</v>
      </c>
      <c r="H87" s="151" t="s">
        <v>75</v>
      </c>
      <c r="I87" s="151" t="s">
        <v>231</v>
      </c>
      <c r="J87" s="151" t="s">
        <v>60</v>
      </c>
      <c r="K87" s="151" t="s">
        <v>164</v>
      </c>
      <c r="L87" s="151" t="s">
        <v>490</v>
      </c>
      <c r="M87" s="151" t="s">
        <v>1021</v>
      </c>
      <c r="N87" s="151" t="s">
        <v>61</v>
      </c>
      <c r="O87" s="151" t="s">
        <v>1259</v>
      </c>
      <c r="P87" s="152">
        <v>413500</v>
      </c>
      <c r="Q87" s="152">
        <v>0.02</v>
      </c>
      <c r="R87" s="152">
        <v>371400</v>
      </c>
      <c r="S87" s="151"/>
      <c r="T87" s="152">
        <v>30496.705000000002</v>
      </c>
      <c r="U87" s="153">
        <v>5.0000000000000002E-5</v>
      </c>
      <c r="V87" s="153">
        <v>1.076E-2</v>
      </c>
      <c r="W87" s="154">
        <v>3.0500000000000002E-3</v>
      </c>
      <c r="X87" s="174"/>
    </row>
    <row r="88" spans="1:24" x14ac:dyDescent="0.2">
      <c r="A88" s="150" t="s">
        <v>1264</v>
      </c>
      <c r="B88" s="151" t="s">
        <v>1264</v>
      </c>
      <c r="C88" s="151" t="s">
        <v>2028</v>
      </c>
      <c r="D88" s="151" t="s">
        <v>2029</v>
      </c>
      <c r="E88" s="151" t="s">
        <v>421</v>
      </c>
      <c r="F88" s="151" t="s">
        <v>2028</v>
      </c>
      <c r="G88" s="151" t="s">
        <v>2030</v>
      </c>
      <c r="H88" s="151" t="s">
        <v>75</v>
      </c>
      <c r="I88" s="151" t="s">
        <v>231</v>
      </c>
      <c r="J88" s="151" t="s">
        <v>60</v>
      </c>
      <c r="K88" s="151" t="s">
        <v>309</v>
      </c>
      <c r="L88" s="151" t="s">
        <v>481</v>
      </c>
      <c r="M88" s="151" t="s">
        <v>1018</v>
      </c>
      <c r="N88" s="151" t="s">
        <v>61</v>
      </c>
      <c r="O88" s="151" t="s">
        <v>1256</v>
      </c>
      <c r="P88" s="152">
        <v>110000</v>
      </c>
      <c r="Q88" s="152">
        <v>3.165</v>
      </c>
      <c r="R88" s="152">
        <v>8602</v>
      </c>
      <c r="S88" s="151"/>
      <c r="T88" s="152">
        <v>29947.863000000001</v>
      </c>
      <c r="U88" s="153">
        <v>2.0369999999999999E-2</v>
      </c>
      <c r="V88" s="153">
        <v>1.057E-2</v>
      </c>
      <c r="W88" s="154">
        <v>3.0000000000000001E-3</v>
      </c>
      <c r="X88" s="174"/>
    </row>
    <row r="89" spans="1:24" x14ac:dyDescent="0.2">
      <c r="A89" s="150" t="s">
        <v>1264</v>
      </c>
      <c r="B89" s="151" t="s">
        <v>1264</v>
      </c>
      <c r="C89" s="151" t="s">
        <v>2031</v>
      </c>
      <c r="D89" s="151" t="s">
        <v>2032</v>
      </c>
      <c r="E89" s="151" t="s">
        <v>421</v>
      </c>
      <c r="F89" s="151" t="s">
        <v>2033</v>
      </c>
      <c r="G89" s="151" t="s">
        <v>2034</v>
      </c>
      <c r="H89" s="151" t="s">
        <v>75</v>
      </c>
      <c r="I89" s="151" t="s">
        <v>231</v>
      </c>
      <c r="J89" s="151" t="s">
        <v>60</v>
      </c>
      <c r="K89" s="151" t="s">
        <v>164</v>
      </c>
      <c r="L89" s="151" t="s">
        <v>463</v>
      </c>
      <c r="M89" s="151" t="s">
        <v>1021</v>
      </c>
      <c r="N89" s="151" t="s">
        <v>61</v>
      </c>
      <c r="O89" s="151" t="s">
        <v>1256</v>
      </c>
      <c r="P89" s="152">
        <v>51500</v>
      </c>
      <c r="Q89" s="152">
        <v>3.165</v>
      </c>
      <c r="R89" s="152">
        <v>15858</v>
      </c>
      <c r="S89" s="151"/>
      <c r="T89" s="152">
        <v>25848.144</v>
      </c>
      <c r="U89" s="153">
        <v>1.47E-3</v>
      </c>
      <c r="V89" s="153">
        <v>9.1199999999999996E-3</v>
      </c>
      <c r="W89" s="154">
        <v>2.5899999999999999E-3</v>
      </c>
      <c r="X89" s="174"/>
    </row>
    <row r="90" spans="1:24" x14ac:dyDescent="0.2">
      <c r="A90" s="150" t="s">
        <v>1264</v>
      </c>
      <c r="B90" s="151" t="s">
        <v>1264</v>
      </c>
      <c r="C90" s="151" t="s">
        <v>2035</v>
      </c>
      <c r="D90" s="151" t="s">
        <v>2036</v>
      </c>
      <c r="E90" s="151" t="s">
        <v>421</v>
      </c>
      <c r="F90" s="151" t="s">
        <v>2037</v>
      </c>
      <c r="G90" s="151" t="s">
        <v>2038</v>
      </c>
      <c r="H90" s="151" t="s">
        <v>75</v>
      </c>
      <c r="I90" s="151" t="s">
        <v>231</v>
      </c>
      <c r="J90" s="151" t="s">
        <v>60</v>
      </c>
      <c r="K90" s="151" t="s">
        <v>306</v>
      </c>
      <c r="L90" s="151" t="s">
        <v>463</v>
      </c>
      <c r="M90" s="151" t="s">
        <v>1034</v>
      </c>
      <c r="N90" s="151" t="s">
        <v>61</v>
      </c>
      <c r="O90" s="151" t="s">
        <v>1256</v>
      </c>
      <c r="P90" s="152">
        <v>100000</v>
      </c>
      <c r="Q90" s="152">
        <v>3.165</v>
      </c>
      <c r="R90" s="152">
        <v>8005</v>
      </c>
      <c r="S90" s="151"/>
      <c r="T90" s="152">
        <v>25335.825000000001</v>
      </c>
      <c r="U90" s="153">
        <v>1.07E-3</v>
      </c>
      <c r="V90" s="153">
        <v>8.94E-3</v>
      </c>
      <c r="W90" s="154">
        <v>2.5400000000000002E-3</v>
      </c>
      <c r="X90" s="174"/>
    </row>
    <row r="91" spans="1:24" x14ac:dyDescent="0.2">
      <c r="A91" s="150" t="s">
        <v>1264</v>
      </c>
      <c r="B91" s="151" t="s">
        <v>1264</v>
      </c>
      <c r="C91" s="151" t="s">
        <v>2042</v>
      </c>
      <c r="D91" s="151" t="s">
        <v>2043</v>
      </c>
      <c r="E91" s="151" t="s">
        <v>421</v>
      </c>
      <c r="F91" s="151" t="s">
        <v>2042</v>
      </c>
      <c r="G91" s="151" t="s">
        <v>2044</v>
      </c>
      <c r="H91" s="151" t="s">
        <v>75</v>
      </c>
      <c r="I91" s="151" t="s">
        <v>231</v>
      </c>
      <c r="J91" s="151" t="s">
        <v>60</v>
      </c>
      <c r="K91" s="151" t="s">
        <v>306</v>
      </c>
      <c r="L91" s="151" t="s">
        <v>463</v>
      </c>
      <c r="M91" s="151" t="s">
        <v>1008</v>
      </c>
      <c r="N91" s="151" t="s">
        <v>61</v>
      </c>
      <c r="O91" s="151" t="s">
        <v>1256</v>
      </c>
      <c r="P91" s="152">
        <v>46000</v>
      </c>
      <c r="Q91" s="152">
        <v>3.165</v>
      </c>
      <c r="R91" s="152">
        <v>16418</v>
      </c>
      <c r="S91" s="151"/>
      <c r="T91" s="152">
        <v>23902.966</v>
      </c>
      <c r="U91" s="153">
        <v>1.1220000000000001E-2</v>
      </c>
      <c r="V91" s="153">
        <v>8.4399999999999996E-3</v>
      </c>
      <c r="W91" s="154">
        <v>2.3900000000000002E-3</v>
      </c>
      <c r="X91" s="174"/>
    </row>
    <row r="92" spans="1:24" x14ac:dyDescent="0.2">
      <c r="A92" s="150" t="s">
        <v>1264</v>
      </c>
      <c r="B92" s="151" t="s">
        <v>1264</v>
      </c>
      <c r="C92" s="151" t="s">
        <v>2039</v>
      </c>
      <c r="D92" s="151" t="s">
        <v>2040</v>
      </c>
      <c r="E92" s="151" t="s">
        <v>421</v>
      </c>
      <c r="F92" s="151" t="s">
        <v>2039</v>
      </c>
      <c r="G92" s="151" t="s">
        <v>2041</v>
      </c>
      <c r="H92" s="151" t="s">
        <v>75</v>
      </c>
      <c r="I92" s="151" t="s">
        <v>231</v>
      </c>
      <c r="J92" s="151" t="s">
        <v>60</v>
      </c>
      <c r="K92" s="151" t="s">
        <v>306</v>
      </c>
      <c r="L92" s="151" t="s">
        <v>481</v>
      </c>
      <c r="M92" s="151" t="s">
        <v>1060</v>
      </c>
      <c r="N92" s="151" t="s">
        <v>61</v>
      </c>
      <c r="O92" s="151" t="s">
        <v>1256</v>
      </c>
      <c r="P92" s="152">
        <v>144700</v>
      </c>
      <c r="Q92" s="152">
        <v>3.165</v>
      </c>
      <c r="R92" s="152">
        <v>5043.5</v>
      </c>
      <c r="S92" s="151"/>
      <c r="T92" s="152">
        <v>23097.993999999999</v>
      </c>
      <c r="U92" s="153">
        <v>6.4200000000000004E-3</v>
      </c>
      <c r="V92" s="153">
        <v>8.1499999999999993E-3</v>
      </c>
      <c r="W92" s="154">
        <v>2.31E-3</v>
      </c>
      <c r="X92" s="174"/>
    </row>
    <row r="93" spans="1:24" x14ac:dyDescent="0.2">
      <c r="A93" s="150" t="s">
        <v>1264</v>
      </c>
      <c r="B93" s="151" t="s">
        <v>1264</v>
      </c>
      <c r="C93" s="151" t="s">
        <v>2048</v>
      </c>
      <c r="D93" s="151" t="s">
        <v>2049</v>
      </c>
      <c r="E93" s="151" t="s">
        <v>421</v>
      </c>
      <c r="F93" s="151" t="s">
        <v>2048</v>
      </c>
      <c r="G93" s="151" t="s">
        <v>2050</v>
      </c>
      <c r="H93" s="151" t="s">
        <v>75</v>
      </c>
      <c r="I93" s="151" t="s">
        <v>231</v>
      </c>
      <c r="J93" s="151" t="s">
        <v>60</v>
      </c>
      <c r="K93" s="151" t="s">
        <v>184</v>
      </c>
      <c r="L93" s="151" t="s">
        <v>463</v>
      </c>
      <c r="M93" s="151" t="s">
        <v>1010</v>
      </c>
      <c r="N93" s="151" t="s">
        <v>61</v>
      </c>
      <c r="O93" s="151" t="s">
        <v>1256</v>
      </c>
      <c r="P93" s="152">
        <v>211400</v>
      </c>
      <c r="Q93" s="152">
        <v>3.165</v>
      </c>
      <c r="R93" s="152">
        <v>2843</v>
      </c>
      <c r="S93" s="151"/>
      <c r="T93" s="152">
        <v>19021.973000000002</v>
      </c>
      <c r="U93" s="153">
        <v>1.15E-3</v>
      </c>
      <c r="V93" s="153">
        <v>6.7099999999999998E-3</v>
      </c>
      <c r="W93" s="154">
        <v>1.91E-3</v>
      </c>
      <c r="X93" s="174"/>
    </row>
    <row r="94" spans="1:24" x14ac:dyDescent="0.2">
      <c r="A94" s="150" t="s">
        <v>1264</v>
      </c>
      <c r="B94" s="151" t="s">
        <v>1264</v>
      </c>
      <c r="C94" s="151" t="s">
        <v>2051</v>
      </c>
      <c r="D94" s="151" t="s">
        <v>2029</v>
      </c>
      <c r="E94" s="151" t="s">
        <v>421</v>
      </c>
      <c r="F94" s="151" t="s">
        <v>2051</v>
      </c>
      <c r="G94" s="151" t="s">
        <v>2052</v>
      </c>
      <c r="H94" s="151" t="s">
        <v>75</v>
      </c>
      <c r="I94" s="151" t="s">
        <v>233</v>
      </c>
      <c r="J94" s="151" t="s">
        <v>60</v>
      </c>
      <c r="K94" s="151" t="s">
        <v>306</v>
      </c>
      <c r="L94" s="151" t="s">
        <v>481</v>
      </c>
      <c r="M94" s="151" t="s">
        <v>1037</v>
      </c>
      <c r="N94" s="151" t="s">
        <v>61</v>
      </c>
      <c r="O94" s="151" t="s">
        <v>1256</v>
      </c>
      <c r="P94" s="152">
        <v>165000</v>
      </c>
      <c r="Q94" s="152">
        <v>3.165</v>
      </c>
      <c r="R94" s="152">
        <v>1147.9000000000001</v>
      </c>
      <c r="S94" s="151"/>
      <c r="T94" s="152">
        <v>5994.6210000000001</v>
      </c>
      <c r="U94" s="153">
        <v>9.7099999999999999E-3</v>
      </c>
      <c r="V94" s="153">
        <v>2.1199999999999999E-3</v>
      </c>
      <c r="W94" s="154">
        <v>5.9999999999999995E-4</v>
      </c>
      <c r="X94" s="174"/>
    </row>
    <row r="95" spans="1:24" x14ac:dyDescent="0.2">
      <c r="A95" s="150" t="s">
        <v>1264</v>
      </c>
      <c r="B95" s="151" t="s">
        <v>1265</v>
      </c>
      <c r="C95" s="151" t="s">
        <v>1949</v>
      </c>
      <c r="D95" s="151" t="s">
        <v>1950</v>
      </c>
      <c r="E95" s="151" t="s">
        <v>420</v>
      </c>
      <c r="F95" s="151" t="s">
        <v>1969</v>
      </c>
      <c r="G95" s="151" t="s">
        <v>1970</v>
      </c>
      <c r="H95" s="151" t="s">
        <v>75</v>
      </c>
      <c r="I95" s="151" t="s">
        <v>232</v>
      </c>
      <c r="J95" s="151" t="s">
        <v>52</v>
      </c>
      <c r="K95" s="151" t="s">
        <v>52</v>
      </c>
      <c r="L95" s="151" t="s">
        <v>303</v>
      </c>
      <c r="M95" s="151" t="s">
        <v>937</v>
      </c>
      <c r="N95" s="151" t="s">
        <v>61</v>
      </c>
      <c r="O95" s="151" t="s">
        <v>1255</v>
      </c>
      <c r="P95" s="152">
        <v>6552.86</v>
      </c>
      <c r="Q95" s="152">
        <v>1</v>
      </c>
      <c r="R95" s="152">
        <v>4348.16</v>
      </c>
      <c r="S95" s="151"/>
      <c r="T95" s="152">
        <v>284.92899999999997</v>
      </c>
      <c r="U95" s="153">
        <v>1.7000000000000001E-4</v>
      </c>
      <c r="V95" s="153">
        <v>0.2301</v>
      </c>
      <c r="W95" s="154">
        <v>7.7039999999999997E-2</v>
      </c>
      <c r="X95" s="174"/>
    </row>
    <row r="96" spans="1:24" x14ac:dyDescent="0.2">
      <c r="A96" s="150" t="s">
        <v>1264</v>
      </c>
      <c r="B96" s="151" t="s">
        <v>1265</v>
      </c>
      <c r="C96" s="151" t="s">
        <v>1965</v>
      </c>
      <c r="D96" s="151" t="s">
        <v>1966</v>
      </c>
      <c r="E96" s="151" t="s">
        <v>420</v>
      </c>
      <c r="F96" s="151" t="s">
        <v>2053</v>
      </c>
      <c r="G96" s="151" t="s">
        <v>2054</v>
      </c>
      <c r="H96" s="151" t="s">
        <v>75</v>
      </c>
      <c r="I96" s="151" t="s">
        <v>232</v>
      </c>
      <c r="J96" s="151" t="s">
        <v>52</v>
      </c>
      <c r="K96" s="151" t="s">
        <v>52</v>
      </c>
      <c r="L96" s="151" t="s">
        <v>303</v>
      </c>
      <c r="M96" s="151" t="s">
        <v>937</v>
      </c>
      <c r="N96" s="151" t="s">
        <v>61</v>
      </c>
      <c r="O96" s="151" t="s">
        <v>1255</v>
      </c>
      <c r="P96" s="152">
        <v>55100</v>
      </c>
      <c r="Q96" s="152">
        <v>1</v>
      </c>
      <c r="R96" s="152">
        <v>432.92</v>
      </c>
      <c r="S96" s="151"/>
      <c r="T96" s="152">
        <v>238.53899999999999</v>
      </c>
      <c r="U96" s="153">
        <v>2.5999999999999998E-4</v>
      </c>
      <c r="V96" s="153">
        <v>0.19264000000000001</v>
      </c>
      <c r="W96" s="154">
        <v>6.4490000000000006E-2</v>
      </c>
      <c r="X96" s="174"/>
    </row>
    <row r="97" spans="1:24" x14ac:dyDescent="0.2">
      <c r="A97" s="150" t="s">
        <v>1264</v>
      </c>
      <c r="B97" s="151" t="s">
        <v>1265</v>
      </c>
      <c r="C97" s="151" t="s">
        <v>1945</v>
      </c>
      <c r="D97" s="151" t="s">
        <v>1946</v>
      </c>
      <c r="E97" s="151" t="s">
        <v>420</v>
      </c>
      <c r="F97" s="151" t="s">
        <v>2057</v>
      </c>
      <c r="G97" s="151" t="s">
        <v>2058</v>
      </c>
      <c r="H97" s="151" t="s">
        <v>75</v>
      </c>
      <c r="I97" s="151" t="s">
        <v>232</v>
      </c>
      <c r="J97" s="151" t="s">
        <v>52</v>
      </c>
      <c r="K97" s="151" t="s">
        <v>52</v>
      </c>
      <c r="L97" s="151" t="s">
        <v>303</v>
      </c>
      <c r="M97" s="151" t="s">
        <v>934</v>
      </c>
      <c r="N97" s="151" t="s">
        <v>61</v>
      </c>
      <c r="O97" s="151" t="s">
        <v>1255</v>
      </c>
      <c r="P97" s="152">
        <v>59700.19</v>
      </c>
      <c r="Q97" s="152">
        <v>1</v>
      </c>
      <c r="R97" s="152">
        <v>394.8</v>
      </c>
      <c r="S97" s="151"/>
      <c r="T97" s="152">
        <v>235.696</v>
      </c>
      <c r="U97" s="153">
        <v>4.0000000000000003E-5</v>
      </c>
      <c r="V97" s="153">
        <v>0.19034000000000001</v>
      </c>
      <c r="W97" s="154">
        <v>6.3729999999999995E-2</v>
      </c>
      <c r="X97" s="174"/>
    </row>
    <row r="98" spans="1:24" x14ac:dyDescent="0.2">
      <c r="A98" s="150" t="s">
        <v>1264</v>
      </c>
      <c r="B98" s="151" t="s">
        <v>1265</v>
      </c>
      <c r="C98" s="151" t="s">
        <v>1939</v>
      </c>
      <c r="D98" s="151" t="s">
        <v>1940</v>
      </c>
      <c r="E98" s="151" t="s">
        <v>420</v>
      </c>
      <c r="F98" s="151" t="s">
        <v>2059</v>
      </c>
      <c r="G98" s="151" t="s">
        <v>2060</v>
      </c>
      <c r="H98" s="151" t="s">
        <v>75</v>
      </c>
      <c r="I98" s="151" t="s">
        <v>232</v>
      </c>
      <c r="J98" s="151" t="s">
        <v>52</v>
      </c>
      <c r="K98" s="151" t="s">
        <v>52</v>
      </c>
      <c r="L98" s="151" t="s">
        <v>303</v>
      </c>
      <c r="M98" s="151" t="s">
        <v>934</v>
      </c>
      <c r="N98" s="151" t="s">
        <v>61</v>
      </c>
      <c r="O98" s="151" t="s">
        <v>1255</v>
      </c>
      <c r="P98" s="152">
        <v>34000</v>
      </c>
      <c r="Q98" s="152">
        <v>1</v>
      </c>
      <c r="R98" s="152">
        <v>503.22</v>
      </c>
      <c r="S98" s="151"/>
      <c r="T98" s="152">
        <v>171.095</v>
      </c>
      <c r="U98" s="153">
        <v>1.6000000000000001E-4</v>
      </c>
      <c r="V98" s="153">
        <v>0.13816999999999999</v>
      </c>
      <c r="W98" s="154">
        <v>4.6260000000000003E-2</v>
      </c>
      <c r="X98" s="174"/>
    </row>
    <row r="99" spans="1:24" x14ac:dyDescent="0.2">
      <c r="A99" s="150" t="s">
        <v>1264</v>
      </c>
      <c r="B99" s="151" t="s">
        <v>1265</v>
      </c>
      <c r="C99" s="151" t="s">
        <v>1965</v>
      </c>
      <c r="D99" s="151" t="s">
        <v>1966</v>
      </c>
      <c r="E99" s="151" t="s">
        <v>420</v>
      </c>
      <c r="F99" s="151" t="s">
        <v>2055</v>
      </c>
      <c r="G99" s="151" t="s">
        <v>2056</v>
      </c>
      <c r="H99" s="151" t="s">
        <v>75</v>
      </c>
      <c r="I99" s="151" t="s">
        <v>232</v>
      </c>
      <c r="J99" s="151" t="s">
        <v>52</v>
      </c>
      <c r="K99" s="151" t="s">
        <v>52</v>
      </c>
      <c r="L99" s="151" t="s">
        <v>303</v>
      </c>
      <c r="M99" s="151" t="s">
        <v>934</v>
      </c>
      <c r="N99" s="151" t="s">
        <v>61</v>
      </c>
      <c r="O99" s="151" t="s">
        <v>1255</v>
      </c>
      <c r="P99" s="152">
        <v>33905</v>
      </c>
      <c r="Q99" s="152">
        <v>1</v>
      </c>
      <c r="R99" s="152">
        <v>393.81</v>
      </c>
      <c r="S99" s="151"/>
      <c r="T99" s="152">
        <v>133.52099999999999</v>
      </c>
      <c r="U99" s="153">
        <v>1.1E-4</v>
      </c>
      <c r="V99" s="153">
        <v>0.10783</v>
      </c>
      <c r="W99" s="154">
        <v>3.61E-2</v>
      </c>
      <c r="X99" s="174"/>
    </row>
    <row r="100" spans="1:24" x14ac:dyDescent="0.2">
      <c r="A100" s="150" t="s">
        <v>1264</v>
      </c>
      <c r="B100" s="151" t="s">
        <v>1265</v>
      </c>
      <c r="C100" s="151" t="s">
        <v>1945</v>
      </c>
      <c r="D100" s="151" t="s">
        <v>1946</v>
      </c>
      <c r="E100" s="151" t="s">
        <v>420</v>
      </c>
      <c r="F100" s="151" t="s">
        <v>2063</v>
      </c>
      <c r="G100" s="151" t="s">
        <v>2064</v>
      </c>
      <c r="H100" s="151" t="s">
        <v>75</v>
      </c>
      <c r="I100" s="151" t="s">
        <v>232</v>
      </c>
      <c r="J100" s="151" t="s">
        <v>52</v>
      </c>
      <c r="K100" s="151" t="s">
        <v>52</v>
      </c>
      <c r="L100" s="151" t="s">
        <v>303</v>
      </c>
      <c r="M100" s="151" t="s">
        <v>937</v>
      </c>
      <c r="N100" s="151" t="s">
        <v>61</v>
      </c>
      <c r="O100" s="151" t="s">
        <v>1255</v>
      </c>
      <c r="P100" s="152">
        <v>20600.46</v>
      </c>
      <c r="Q100" s="152">
        <v>1</v>
      </c>
      <c r="R100" s="152">
        <v>429.5</v>
      </c>
      <c r="S100" s="151"/>
      <c r="T100" s="152">
        <v>88.478999999999999</v>
      </c>
      <c r="U100" s="153">
        <v>3.0000000000000001E-5</v>
      </c>
      <c r="V100" s="153">
        <v>7.145E-2</v>
      </c>
      <c r="W100" s="154">
        <v>2.392E-2</v>
      </c>
      <c r="X100" s="174"/>
    </row>
    <row r="101" spans="1:24" x14ac:dyDescent="0.2">
      <c r="A101" s="150" t="s">
        <v>1264</v>
      </c>
      <c r="B101" s="151" t="s">
        <v>1265</v>
      </c>
      <c r="C101" s="151" t="s">
        <v>2065</v>
      </c>
      <c r="D101" s="151" t="s">
        <v>2066</v>
      </c>
      <c r="E101" s="151" t="s">
        <v>421</v>
      </c>
      <c r="F101" s="151" t="s">
        <v>2067</v>
      </c>
      <c r="G101" s="151" t="s">
        <v>2068</v>
      </c>
      <c r="H101" s="151" t="s">
        <v>75</v>
      </c>
      <c r="I101" s="151" t="s">
        <v>233</v>
      </c>
      <c r="J101" s="151" t="s">
        <v>60</v>
      </c>
      <c r="K101" s="151" t="s">
        <v>306</v>
      </c>
      <c r="L101" s="151" t="s">
        <v>481</v>
      </c>
      <c r="M101" s="151" t="s">
        <v>1037</v>
      </c>
      <c r="N101" s="151" t="s">
        <v>61</v>
      </c>
      <c r="O101" s="151" t="s">
        <v>1256</v>
      </c>
      <c r="P101" s="152">
        <v>215</v>
      </c>
      <c r="Q101" s="152">
        <v>3.165</v>
      </c>
      <c r="R101" s="152">
        <v>6069.6</v>
      </c>
      <c r="S101" s="151"/>
      <c r="T101" s="152">
        <v>41.302</v>
      </c>
      <c r="U101" s="153">
        <v>6.0000000000000002E-5</v>
      </c>
      <c r="V101" s="153">
        <v>3.3349999999999998E-2</v>
      </c>
      <c r="W101" s="154">
        <v>1.1169999999999999E-2</v>
      </c>
      <c r="X101" s="174"/>
    </row>
    <row r="102" spans="1:24" x14ac:dyDescent="0.2">
      <c r="A102" s="150" t="s">
        <v>1264</v>
      </c>
      <c r="B102" s="151" t="s">
        <v>1265</v>
      </c>
      <c r="C102" s="151" t="s">
        <v>2004</v>
      </c>
      <c r="D102" s="151" t="s">
        <v>2005</v>
      </c>
      <c r="E102" s="151" t="s">
        <v>421</v>
      </c>
      <c r="F102" s="151" t="s">
        <v>2004</v>
      </c>
      <c r="G102" s="151" t="s">
        <v>2006</v>
      </c>
      <c r="H102" s="151" t="s">
        <v>75</v>
      </c>
      <c r="I102" s="151" t="s">
        <v>233</v>
      </c>
      <c r="J102" s="151" t="s">
        <v>60</v>
      </c>
      <c r="K102" s="151" t="s">
        <v>306</v>
      </c>
      <c r="L102" s="151" t="s">
        <v>101</v>
      </c>
      <c r="M102" s="151" t="s">
        <v>1037</v>
      </c>
      <c r="N102" s="151" t="s">
        <v>61</v>
      </c>
      <c r="O102" s="151" t="s">
        <v>1256</v>
      </c>
      <c r="P102" s="152">
        <v>390</v>
      </c>
      <c r="Q102" s="152">
        <v>3.165</v>
      </c>
      <c r="R102" s="152">
        <v>1896.8</v>
      </c>
      <c r="S102" s="151"/>
      <c r="T102" s="152">
        <v>23.413</v>
      </c>
      <c r="U102" s="153">
        <v>1.0000000000000001E-5</v>
      </c>
      <c r="V102" s="153">
        <v>1.891E-2</v>
      </c>
      <c r="W102" s="154">
        <v>6.3299999999999997E-3</v>
      </c>
      <c r="X102" s="174"/>
    </row>
    <row r="103" spans="1:24" x14ac:dyDescent="0.2">
      <c r="A103" s="150" t="s">
        <v>1264</v>
      </c>
      <c r="B103" s="151" t="s">
        <v>1265</v>
      </c>
      <c r="C103" s="151" t="s">
        <v>2069</v>
      </c>
      <c r="D103" s="151" t="s">
        <v>2070</v>
      </c>
      <c r="E103" s="151" t="s">
        <v>421</v>
      </c>
      <c r="F103" s="151" t="s">
        <v>2069</v>
      </c>
      <c r="G103" s="151" t="s">
        <v>2071</v>
      </c>
      <c r="H103" s="151" t="s">
        <v>75</v>
      </c>
      <c r="I103" s="151" t="s">
        <v>233</v>
      </c>
      <c r="J103" s="151" t="s">
        <v>60</v>
      </c>
      <c r="K103" s="151" t="s">
        <v>306</v>
      </c>
      <c r="L103" s="151" t="s">
        <v>481</v>
      </c>
      <c r="M103" s="151" t="s">
        <v>1037</v>
      </c>
      <c r="N103" s="151" t="s">
        <v>61</v>
      </c>
      <c r="O103" s="151" t="s">
        <v>1256</v>
      </c>
      <c r="P103" s="152">
        <v>175</v>
      </c>
      <c r="Q103" s="152">
        <v>3.165</v>
      </c>
      <c r="R103" s="152">
        <v>3017.75</v>
      </c>
      <c r="S103" s="151"/>
      <c r="T103" s="152">
        <v>16.715</v>
      </c>
      <c r="U103" s="153">
        <v>0</v>
      </c>
      <c r="V103" s="153">
        <v>1.35E-2</v>
      </c>
      <c r="W103" s="154">
        <v>4.5199999999999997E-3</v>
      </c>
      <c r="X103" s="174"/>
    </row>
    <row r="104" spans="1:24" x14ac:dyDescent="0.2">
      <c r="A104" s="150" t="s">
        <v>1264</v>
      </c>
      <c r="B104" s="151" t="s">
        <v>1265</v>
      </c>
      <c r="C104" s="151" t="s">
        <v>2072</v>
      </c>
      <c r="D104" s="151" t="s">
        <v>2043</v>
      </c>
      <c r="E104" s="151" t="s">
        <v>421</v>
      </c>
      <c r="F104" s="151" t="s">
        <v>2072</v>
      </c>
      <c r="G104" s="151" t="s">
        <v>2073</v>
      </c>
      <c r="H104" s="151" t="s">
        <v>75</v>
      </c>
      <c r="I104" s="151" t="s">
        <v>233</v>
      </c>
      <c r="J104" s="151" t="s">
        <v>60</v>
      </c>
      <c r="K104" s="151" t="s">
        <v>306</v>
      </c>
      <c r="L104" s="151" t="s">
        <v>481</v>
      </c>
      <c r="M104" s="151" t="s">
        <v>1014</v>
      </c>
      <c r="N104" s="151" t="s">
        <v>61</v>
      </c>
      <c r="O104" s="151" t="s">
        <v>1256</v>
      </c>
      <c r="P104" s="152">
        <v>230</v>
      </c>
      <c r="Q104" s="152">
        <v>3.165</v>
      </c>
      <c r="R104" s="152">
        <v>632.29999999999995</v>
      </c>
      <c r="S104" s="151"/>
      <c r="T104" s="152">
        <v>4.6029999999999998</v>
      </c>
      <c r="U104" s="153">
        <v>0</v>
      </c>
      <c r="V104" s="153">
        <v>3.7200000000000002E-3</v>
      </c>
      <c r="W104" s="154">
        <v>1.24E-3</v>
      </c>
      <c r="X104" s="174"/>
    </row>
    <row r="105" spans="1:24" x14ac:dyDescent="0.2">
      <c r="A105" s="150" t="s">
        <v>1264</v>
      </c>
      <c r="B105" s="151" t="s">
        <v>1266</v>
      </c>
      <c r="C105" s="151" t="s">
        <v>1965</v>
      </c>
      <c r="D105" s="151" t="s">
        <v>1966</v>
      </c>
      <c r="E105" s="151" t="s">
        <v>420</v>
      </c>
      <c r="F105" s="151" t="s">
        <v>2074</v>
      </c>
      <c r="G105" s="151" t="s">
        <v>2075</v>
      </c>
      <c r="H105" s="151" t="s">
        <v>75</v>
      </c>
      <c r="I105" s="151" t="s">
        <v>231</v>
      </c>
      <c r="J105" s="151" t="s">
        <v>52</v>
      </c>
      <c r="K105" s="151" t="s">
        <v>306</v>
      </c>
      <c r="L105" s="151" t="s">
        <v>303</v>
      </c>
      <c r="M105" s="151" t="s">
        <v>1056</v>
      </c>
      <c r="N105" s="151" t="s">
        <v>61</v>
      </c>
      <c r="O105" s="151" t="s">
        <v>1255</v>
      </c>
      <c r="P105" s="152">
        <v>754000</v>
      </c>
      <c r="Q105" s="152">
        <v>1</v>
      </c>
      <c r="R105" s="152">
        <v>3561</v>
      </c>
      <c r="S105" s="151"/>
      <c r="T105" s="152">
        <v>26849.94</v>
      </c>
      <c r="U105" s="153">
        <v>3.5779999999999999E-2</v>
      </c>
      <c r="V105" s="153">
        <v>0.53686999999999996</v>
      </c>
      <c r="W105" s="154">
        <v>7.7539999999999998E-2</v>
      </c>
      <c r="X105" s="174"/>
    </row>
    <row r="106" spans="1:24" x14ac:dyDescent="0.2">
      <c r="A106" s="150" t="s">
        <v>1264</v>
      </c>
      <c r="B106" s="151" t="s">
        <v>1266</v>
      </c>
      <c r="C106" s="151" t="s">
        <v>1965</v>
      </c>
      <c r="D106" s="151" t="s">
        <v>1966</v>
      </c>
      <c r="E106" s="151" t="s">
        <v>420</v>
      </c>
      <c r="F106" s="151" t="s">
        <v>2076</v>
      </c>
      <c r="G106" s="151" t="s">
        <v>2077</v>
      </c>
      <c r="H106" s="151" t="s">
        <v>75</v>
      </c>
      <c r="I106" s="151" t="s">
        <v>231</v>
      </c>
      <c r="J106" s="151" t="s">
        <v>52</v>
      </c>
      <c r="K106" s="151" t="s">
        <v>306</v>
      </c>
      <c r="L106" s="151" t="s">
        <v>303</v>
      </c>
      <c r="M106" s="151" t="s">
        <v>1066</v>
      </c>
      <c r="N106" s="151" t="s">
        <v>61</v>
      </c>
      <c r="O106" s="151" t="s">
        <v>1255</v>
      </c>
      <c r="P106" s="152">
        <v>167000</v>
      </c>
      <c r="Q106" s="152">
        <v>1</v>
      </c>
      <c r="R106" s="152">
        <v>6160</v>
      </c>
      <c r="S106" s="151"/>
      <c r="T106" s="152">
        <v>10287.200000000001</v>
      </c>
      <c r="U106" s="153">
        <v>1.3699999999999999E-3</v>
      </c>
      <c r="V106" s="153">
        <v>0.20569999999999999</v>
      </c>
      <c r="W106" s="154">
        <v>2.971E-2</v>
      </c>
      <c r="X106" s="174"/>
    </row>
    <row r="107" spans="1:24" x14ac:dyDescent="0.2">
      <c r="A107" s="150" t="s">
        <v>1264</v>
      </c>
      <c r="B107" s="151" t="s">
        <v>1266</v>
      </c>
      <c r="C107" s="151" t="s">
        <v>1949</v>
      </c>
      <c r="D107" s="151" t="s">
        <v>1950</v>
      </c>
      <c r="E107" s="151" t="s">
        <v>420</v>
      </c>
      <c r="F107" s="151" t="s">
        <v>1951</v>
      </c>
      <c r="G107" s="151" t="s">
        <v>1952</v>
      </c>
      <c r="H107" s="151" t="s">
        <v>75</v>
      </c>
      <c r="I107" s="151" t="s">
        <v>231</v>
      </c>
      <c r="J107" s="151" t="s">
        <v>52</v>
      </c>
      <c r="K107" s="151" t="s">
        <v>306</v>
      </c>
      <c r="L107" s="151" t="s">
        <v>303</v>
      </c>
      <c r="M107" s="151" t="s">
        <v>1056</v>
      </c>
      <c r="N107" s="151" t="s">
        <v>61</v>
      </c>
      <c r="O107" s="151" t="s">
        <v>1255</v>
      </c>
      <c r="P107" s="152">
        <v>27700</v>
      </c>
      <c r="Q107" s="152">
        <v>1</v>
      </c>
      <c r="R107" s="152">
        <v>22480</v>
      </c>
      <c r="S107" s="151"/>
      <c r="T107" s="152">
        <v>6226.96</v>
      </c>
      <c r="U107" s="153">
        <v>9.3999999999999997E-4</v>
      </c>
      <c r="V107" s="153">
        <v>0.12451</v>
      </c>
      <c r="W107" s="154">
        <v>1.7979999999999999E-2</v>
      </c>
      <c r="X107" s="174"/>
    </row>
    <row r="108" spans="1:24" x14ac:dyDescent="0.2">
      <c r="A108" s="150" t="s">
        <v>1264</v>
      </c>
      <c r="B108" s="151" t="s">
        <v>1266</v>
      </c>
      <c r="C108" s="151" t="s">
        <v>1949</v>
      </c>
      <c r="D108" s="151" t="s">
        <v>1950</v>
      </c>
      <c r="E108" s="151" t="s">
        <v>420</v>
      </c>
      <c r="F108" s="151" t="s">
        <v>2082</v>
      </c>
      <c r="G108" s="151" t="s">
        <v>2083</v>
      </c>
      <c r="H108" s="151" t="s">
        <v>75</v>
      </c>
      <c r="I108" s="151" t="s">
        <v>231</v>
      </c>
      <c r="J108" s="151" t="s">
        <v>52</v>
      </c>
      <c r="K108" s="151" t="s">
        <v>306</v>
      </c>
      <c r="L108" s="151" t="s">
        <v>303</v>
      </c>
      <c r="M108" s="151" t="s">
        <v>1066</v>
      </c>
      <c r="N108" s="151" t="s">
        <v>61</v>
      </c>
      <c r="O108" s="151" t="s">
        <v>1255</v>
      </c>
      <c r="P108" s="152">
        <v>75000</v>
      </c>
      <c r="Q108" s="152">
        <v>1</v>
      </c>
      <c r="R108" s="152">
        <v>6064</v>
      </c>
      <c r="S108" s="151"/>
      <c r="T108" s="152">
        <v>4548</v>
      </c>
      <c r="U108" s="153">
        <v>1.2899999999999999E-3</v>
      </c>
      <c r="V108" s="153">
        <v>9.0939999999999993E-2</v>
      </c>
      <c r="W108" s="154">
        <v>1.3129999999999999E-2</v>
      </c>
      <c r="X108" s="174"/>
    </row>
    <row r="109" spans="1:24" x14ac:dyDescent="0.2">
      <c r="A109" s="155" t="s">
        <v>1264</v>
      </c>
      <c r="B109" s="156" t="s">
        <v>1266</v>
      </c>
      <c r="C109" s="156" t="s">
        <v>1965</v>
      </c>
      <c r="D109" s="156" t="s">
        <v>1966</v>
      </c>
      <c r="E109" s="156" t="s">
        <v>420</v>
      </c>
      <c r="F109" s="156" t="s">
        <v>2078</v>
      </c>
      <c r="G109" s="156" t="s">
        <v>2079</v>
      </c>
      <c r="H109" s="156" t="s">
        <v>75</v>
      </c>
      <c r="I109" s="156" t="s">
        <v>231</v>
      </c>
      <c r="J109" s="156" t="s">
        <v>52</v>
      </c>
      <c r="K109" s="156" t="s">
        <v>306</v>
      </c>
      <c r="L109" s="156" t="s">
        <v>303</v>
      </c>
      <c r="M109" s="156" t="s">
        <v>1056</v>
      </c>
      <c r="N109" s="156" t="s">
        <v>61</v>
      </c>
      <c r="O109" s="156" t="s">
        <v>1255</v>
      </c>
      <c r="P109" s="157">
        <v>26800</v>
      </c>
      <c r="Q109" s="157">
        <v>1</v>
      </c>
      <c r="R109" s="157">
        <v>7835</v>
      </c>
      <c r="S109" s="156"/>
      <c r="T109" s="157">
        <v>2099.7800000000002</v>
      </c>
      <c r="U109" s="158">
        <v>2.7E-4</v>
      </c>
      <c r="V109" s="158">
        <v>4.199E-2</v>
      </c>
      <c r="W109" s="159">
        <v>6.0600000000000003E-3</v>
      </c>
      <c r="X109" s="174"/>
    </row>
    <row r="110" spans="1:24" x14ac:dyDescent="0.2">
      <c r="A110" s="174" t="s">
        <v>2521</v>
      </c>
      <c r="B110" s="174"/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</row>
    <row r="111" spans="1:24" x14ac:dyDescent="0.2">
      <c r="A111" t="s">
        <v>2520</v>
      </c>
    </row>
    <row r="112" spans="1:24" x14ac:dyDescent="0.2">
      <c r="A112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0:W110"/>
    <mergeCell ref="X2:X109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29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4" width="11.625" customWidth="1"/>
    <col min="15" max="15" width="15.125" customWidth="1"/>
    <col min="16" max="16" width="11.75" customWidth="1"/>
    <col min="17" max="17" width="14.875" customWidth="1"/>
    <col min="18" max="18" width="11.625" customWidth="1"/>
    <col min="19" max="19" width="12.875" customWidth="1"/>
    <col min="20" max="20" width="17.875" customWidth="1"/>
    <col min="21" max="21" width="19" customWidth="1"/>
    <col min="22" max="22" width="21.75" customWidth="1"/>
    <col min="23" max="23" width="20.125" customWidth="1"/>
    <col min="24" max="24" width="11.625" hidden="1" customWidth="1"/>
    <col min="25" max="16384" width="9" hidden="1"/>
  </cols>
  <sheetData>
    <row r="1" spans="1:24" x14ac:dyDescent="0.2">
      <c r="A1" t="s">
        <v>2531</v>
      </c>
    </row>
    <row r="2" spans="1:24" s="4" customFormat="1" x14ac:dyDescent="0.2">
      <c r="A2" s="147" t="s">
        <v>636</v>
      </c>
      <c r="B2" s="148" t="s">
        <v>0</v>
      </c>
      <c r="C2" s="148" t="s">
        <v>703</v>
      </c>
      <c r="D2" s="148" t="s">
        <v>2</v>
      </c>
      <c r="E2" s="148" t="s">
        <v>719</v>
      </c>
      <c r="F2" s="148" t="s">
        <v>1097</v>
      </c>
      <c r="G2" s="148" t="s">
        <v>28</v>
      </c>
      <c r="H2" s="148" t="s">
        <v>27</v>
      </c>
      <c r="I2" s="148" t="s">
        <v>1</v>
      </c>
      <c r="J2" s="148" t="s">
        <v>591</v>
      </c>
      <c r="K2" s="148" t="s">
        <v>592</v>
      </c>
      <c r="L2" s="148" t="s">
        <v>596</v>
      </c>
      <c r="M2" s="148" t="s">
        <v>4</v>
      </c>
      <c r="N2" s="148" t="s">
        <v>292</v>
      </c>
      <c r="O2" s="148" t="s">
        <v>593</v>
      </c>
      <c r="P2" s="148" t="s">
        <v>387</v>
      </c>
      <c r="Q2" s="148" t="s">
        <v>747</v>
      </c>
      <c r="R2" s="148" t="s">
        <v>10</v>
      </c>
      <c r="S2" s="148" t="s">
        <v>14</v>
      </c>
      <c r="T2" s="148" t="s">
        <v>1105</v>
      </c>
      <c r="U2" s="148" t="s">
        <v>17</v>
      </c>
      <c r="V2" s="148" t="s">
        <v>18</v>
      </c>
      <c r="W2" s="149" t="s">
        <v>29</v>
      </c>
      <c r="X2" s="176" t="s">
        <v>2522</v>
      </c>
    </row>
    <row r="3" spans="1:24" x14ac:dyDescent="0.2">
      <c r="A3" s="150" t="s">
        <v>1251</v>
      </c>
      <c r="B3" s="151" t="s">
        <v>1251</v>
      </c>
      <c r="C3" s="151" t="s">
        <v>2084</v>
      </c>
      <c r="D3" s="151" t="s">
        <v>2085</v>
      </c>
      <c r="E3" s="151" t="s">
        <v>420</v>
      </c>
      <c r="F3" s="151" t="s">
        <v>2086</v>
      </c>
      <c r="G3" s="151" t="s">
        <v>2087</v>
      </c>
      <c r="H3" s="151" t="s">
        <v>75</v>
      </c>
      <c r="I3" s="151" t="s">
        <v>72</v>
      </c>
      <c r="J3" s="151" t="s">
        <v>52</v>
      </c>
      <c r="K3" s="151" t="s">
        <v>889</v>
      </c>
      <c r="L3" s="151" t="s">
        <v>775</v>
      </c>
      <c r="M3" s="151" t="s">
        <v>303</v>
      </c>
      <c r="N3" s="151" t="s">
        <v>1050</v>
      </c>
      <c r="O3" s="151" t="s">
        <v>54</v>
      </c>
      <c r="P3" s="151" t="s">
        <v>1255</v>
      </c>
      <c r="Q3" s="152">
        <v>524655.37</v>
      </c>
      <c r="R3" s="152">
        <v>1</v>
      </c>
      <c r="S3" s="152">
        <v>109.1</v>
      </c>
      <c r="T3" s="152">
        <v>572.399</v>
      </c>
      <c r="U3" s="153">
        <v>1.4300000000000001E-3</v>
      </c>
      <c r="V3" s="153">
        <v>2.8469999999999999E-2</v>
      </c>
      <c r="W3" s="154">
        <v>7.7999999999999999E-4</v>
      </c>
      <c r="X3" s="176"/>
    </row>
    <row r="4" spans="1:24" x14ac:dyDescent="0.2">
      <c r="A4" s="150" t="s">
        <v>1251</v>
      </c>
      <c r="B4" s="151" t="s">
        <v>1251</v>
      </c>
      <c r="C4" s="151" t="s">
        <v>2088</v>
      </c>
      <c r="D4" s="151" t="s">
        <v>2089</v>
      </c>
      <c r="E4" s="151" t="s">
        <v>421</v>
      </c>
      <c r="F4" s="151" t="s">
        <v>2088</v>
      </c>
      <c r="G4" s="151" t="s">
        <v>2090</v>
      </c>
      <c r="H4" s="151" t="s">
        <v>75</v>
      </c>
      <c r="I4" s="151" t="s">
        <v>72</v>
      </c>
      <c r="J4" s="151" t="s">
        <v>60</v>
      </c>
      <c r="K4" s="151" t="s">
        <v>305</v>
      </c>
      <c r="L4" s="151" t="s">
        <v>775</v>
      </c>
      <c r="M4" s="151" t="s">
        <v>481</v>
      </c>
      <c r="N4" s="151" t="s">
        <v>735</v>
      </c>
      <c r="O4" s="151" t="s">
        <v>61</v>
      </c>
      <c r="P4" s="151" t="s">
        <v>1257</v>
      </c>
      <c r="Q4" s="152">
        <v>119000</v>
      </c>
      <c r="R4" s="152">
        <v>4.1870000000000003</v>
      </c>
      <c r="S4" s="152">
        <v>887.99</v>
      </c>
      <c r="T4" s="152">
        <v>4424.7539999999999</v>
      </c>
      <c r="U4" s="153">
        <v>1.1199999999999999E-3</v>
      </c>
      <c r="V4" s="153">
        <v>0.22008</v>
      </c>
      <c r="W4" s="154">
        <v>6.0299999999999998E-3</v>
      </c>
      <c r="X4" s="176"/>
    </row>
    <row r="5" spans="1:24" x14ac:dyDescent="0.2">
      <c r="A5" s="150" t="s">
        <v>1251</v>
      </c>
      <c r="B5" s="151" t="s">
        <v>1251</v>
      </c>
      <c r="C5" s="151" t="s">
        <v>2091</v>
      </c>
      <c r="D5" s="151" t="s">
        <v>2092</v>
      </c>
      <c r="E5" s="151" t="s">
        <v>421</v>
      </c>
      <c r="F5" s="151" t="s">
        <v>2091</v>
      </c>
      <c r="G5" s="151" t="s">
        <v>2093</v>
      </c>
      <c r="H5" s="151" t="s">
        <v>75</v>
      </c>
      <c r="I5" s="151" t="s">
        <v>72</v>
      </c>
      <c r="J5" s="151" t="s">
        <v>60</v>
      </c>
      <c r="K5" s="151" t="s">
        <v>309</v>
      </c>
      <c r="L5" s="151" t="s">
        <v>775</v>
      </c>
      <c r="M5" s="151" t="s">
        <v>101</v>
      </c>
      <c r="N5" s="151" t="s">
        <v>1018</v>
      </c>
      <c r="O5" s="151" t="s">
        <v>61</v>
      </c>
      <c r="P5" s="151" t="s">
        <v>1256</v>
      </c>
      <c r="Q5" s="152">
        <v>460000</v>
      </c>
      <c r="R5" s="152">
        <v>3.165</v>
      </c>
      <c r="S5" s="152">
        <v>204.72</v>
      </c>
      <c r="T5" s="152">
        <v>2980.518</v>
      </c>
      <c r="U5" s="153">
        <v>1.3799999999999999E-3</v>
      </c>
      <c r="V5" s="153">
        <v>0.14824999999999999</v>
      </c>
      <c r="W5" s="154">
        <v>4.0600000000000002E-3</v>
      </c>
      <c r="X5" s="176"/>
    </row>
    <row r="6" spans="1:24" x14ac:dyDescent="0.2">
      <c r="A6" s="150" t="s">
        <v>1251</v>
      </c>
      <c r="B6" s="151" t="s">
        <v>1251</v>
      </c>
      <c r="C6" s="151" t="s">
        <v>2094</v>
      </c>
      <c r="D6" s="151" t="s">
        <v>2095</v>
      </c>
      <c r="E6" s="151" t="s">
        <v>421</v>
      </c>
      <c r="F6" s="151" t="s">
        <v>2094</v>
      </c>
      <c r="G6" s="151" t="s">
        <v>2096</v>
      </c>
      <c r="H6" s="151" t="s">
        <v>75</v>
      </c>
      <c r="I6" s="151" t="s">
        <v>207</v>
      </c>
      <c r="J6" s="151" t="s">
        <v>60</v>
      </c>
      <c r="K6" s="151" t="s">
        <v>169</v>
      </c>
      <c r="L6" s="151" t="s">
        <v>775</v>
      </c>
      <c r="M6" s="151" t="s">
        <v>101</v>
      </c>
      <c r="N6" s="151" t="s">
        <v>1038</v>
      </c>
      <c r="O6" s="151" t="s">
        <v>61</v>
      </c>
      <c r="P6" s="151" t="s">
        <v>1256</v>
      </c>
      <c r="Q6" s="152">
        <v>3300</v>
      </c>
      <c r="R6" s="152">
        <v>3.165</v>
      </c>
      <c r="S6" s="152">
        <v>19370</v>
      </c>
      <c r="T6" s="152">
        <v>2023.1</v>
      </c>
      <c r="U6" s="153">
        <v>4.0000000000000002E-4</v>
      </c>
      <c r="V6" s="153">
        <v>0.10063</v>
      </c>
      <c r="W6" s="154">
        <v>2.7599999999999999E-3</v>
      </c>
      <c r="X6" s="176"/>
    </row>
    <row r="7" spans="1:24" x14ac:dyDescent="0.2">
      <c r="A7" s="150" t="s">
        <v>1251</v>
      </c>
      <c r="B7" s="151" t="s">
        <v>1251</v>
      </c>
      <c r="C7" s="151" t="s">
        <v>2097</v>
      </c>
      <c r="D7" s="151" t="s">
        <v>2098</v>
      </c>
      <c r="E7" s="151" t="s">
        <v>421</v>
      </c>
      <c r="F7" s="151" t="s">
        <v>2097</v>
      </c>
      <c r="G7" s="151" t="s">
        <v>2099</v>
      </c>
      <c r="H7" s="151" t="s">
        <v>75</v>
      </c>
      <c r="I7" s="151" t="s">
        <v>72</v>
      </c>
      <c r="J7" s="151" t="s">
        <v>60</v>
      </c>
      <c r="K7" s="151" t="s">
        <v>155</v>
      </c>
      <c r="L7" s="151" t="s">
        <v>775</v>
      </c>
      <c r="M7" s="151" t="s">
        <v>101</v>
      </c>
      <c r="N7" s="151" t="s">
        <v>1000</v>
      </c>
      <c r="O7" s="151" t="s">
        <v>61</v>
      </c>
      <c r="P7" s="151" t="s">
        <v>1256</v>
      </c>
      <c r="Q7" s="152">
        <v>21138</v>
      </c>
      <c r="R7" s="152">
        <v>3.165</v>
      </c>
      <c r="S7" s="152">
        <v>2887.09</v>
      </c>
      <c r="T7" s="152">
        <v>1931.5139999999999</v>
      </c>
      <c r="U7" s="153">
        <v>1.14E-3</v>
      </c>
      <c r="V7" s="153">
        <v>9.6070000000000003E-2</v>
      </c>
      <c r="W7" s="154">
        <v>2.63E-3</v>
      </c>
      <c r="X7" s="176"/>
    </row>
    <row r="8" spans="1:24" x14ac:dyDescent="0.2">
      <c r="A8" s="150" t="s">
        <v>1251</v>
      </c>
      <c r="B8" s="151" t="s">
        <v>1251</v>
      </c>
      <c r="C8" s="151" t="s">
        <v>2100</v>
      </c>
      <c r="D8" s="151" t="s">
        <v>2101</v>
      </c>
      <c r="E8" s="151" t="s">
        <v>421</v>
      </c>
      <c r="F8" s="151" t="s">
        <v>2100</v>
      </c>
      <c r="G8" s="151" t="s">
        <v>2102</v>
      </c>
      <c r="H8" s="151" t="s">
        <v>75</v>
      </c>
      <c r="I8" s="151" t="s">
        <v>72</v>
      </c>
      <c r="J8" s="151" t="s">
        <v>60</v>
      </c>
      <c r="K8" s="151" t="s">
        <v>155</v>
      </c>
      <c r="L8" s="151" t="s">
        <v>775</v>
      </c>
      <c r="M8" s="151" t="s">
        <v>101</v>
      </c>
      <c r="N8" s="151" t="s">
        <v>1000</v>
      </c>
      <c r="O8" s="151" t="s">
        <v>61</v>
      </c>
      <c r="P8" s="151" t="s">
        <v>1256</v>
      </c>
      <c r="Q8" s="152">
        <v>2666</v>
      </c>
      <c r="R8" s="152">
        <v>3.165</v>
      </c>
      <c r="S8" s="152">
        <v>21495</v>
      </c>
      <c r="T8" s="152">
        <v>1813.7239999999999</v>
      </c>
      <c r="U8" s="153">
        <v>0</v>
      </c>
      <c r="V8" s="153">
        <v>9.0209999999999999E-2</v>
      </c>
      <c r="W8" s="154">
        <v>2.47E-3</v>
      </c>
      <c r="X8" s="176"/>
    </row>
    <row r="9" spans="1:24" x14ac:dyDescent="0.2">
      <c r="A9" s="150" t="s">
        <v>1251</v>
      </c>
      <c r="B9" s="151" t="s">
        <v>1251</v>
      </c>
      <c r="C9" s="151" t="s">
        <v>2103</v>
      </c>
      <c r="D9" s="151" t="s">
        <v>2104</v>
      </c>
      <c r="E9" s="151" t="s">
        <v>421</v>
      </c>
      <c r="F9" s="151" t="s">
        <v>2103</v>
      </c>
      <c r="G9" s="151" t="s">
        <v>2105</v>
      </c>
      <c r="H9" s="151" t="s">
        <v>75</v>
      </c>
      <c r="I9" s="151" t="s">
        <v>72</v>
      </c>
      <c r="J9" s="151" t="s">
        <v>60</v>
      </c>
      <c r="K9" s="151" t="s">
        <v>308</v>
      </c>
      <c r="L9" s="151" t="s">
        <v>775</v>
      </c>
      <c r="M9" s="151" t="s">
        <v>101</v>
      </c>
      <c r="N9" s="151" t="s">
        <v>1059</v>
      </c>
      <c r="O9" s="151" t="s">
        <v>61</v>
      </c>
      <c r="P9" s="151" t="s">
        <v>1256</v>
      </c>
      <c r="Q9" s="152">
        <v>670</v>
      </c>
      <c r="R9" s="152">
        <v>3.165</v>
      </c>
      <c r="S9" s="152">
        <v>82928.3</v>
      </c>
      <c r="T9" s="152">
        <v>1758.5360000000001</v>
      </c>
      <c r="U9" s="153">
        <v>6.3000000000000003E-4</v>
      </c>
      <c r="V9" s="153">
        <v>8.7470000000000006E-2</v>
      </c>
      <c r="W9" s="154">
        <v>2.3999999999999998E-3</v>
      </c>
      <c r="X9" s="176"/>
    </row>
    <row r="10" spans="1:24" x14ac:dyDescent="0.2">
      <c r="A10" s="150" t="s">
        <v>1251</v>
      </c>
      <c r="B10" s="151" t="s">
        <v>1251</v>
      </c>
      <c r="C10" s="151" t="s">
        <v>2106</v>
      </c>
      <c r="D10" s="151" t="s">
        <v>2107</v>
      </c>
      <c r="E10" s="151" t="s">
        <v>421</v>
      </c>
      <c r="F10" s="151" t="s">
        <v>2106</v>
      </c>
      <c r="G10" s="151" t="s">
        <v>2108</v>
      </c>
      <c r="H10" s="151" t="s">
        <v>75</v>
      </c>
      <c r="I10" s="151" t="s">
        <v>72</v>
      </c>
      <c r="J10" s="151" t="s">
        <v>60</v>
      </c>
      <c r="K10" s="151" t="s">
        <v>1120</v>
      </c>
      <c r="L10" s="151" t="s">
        <v>775</v>
      </c>
      <c r="M10" s="151" t="s">
        <v>101</v>
      </c>
      <c r="N10" s="151" t="s">
        <v>1059</v>
      </c>
      <c r="O10" s="151" t="s">
        <v>61</v>
      </c>
      <c r="P10" s="151" t="s">
        <v>1256</v>
      </c>
      <c r="Q10" s="152">
        <v>24000</v>
      </c>
      <c r="R10" s="152">
        <v>3.165</v>
      </c>
      <c r="S10" s="152">
        <v>2092.7399999999998</v>
      </c>
      <c r="T10" s="152">
        <v>1589.645</v>
      </c>
      <c r="U10" s="153">
        <v>2.49E-3</v>
      </c>
      <c r="V10" s="153">
        <v>7.9070000000000001E-2</v>
      </c>
      <c r="W10" s="154">
        <v>2.1700000000000001E-3</v>
      </c>
      <c r="X10" s="176"/>
    </row>
    <row r="11" spans="1:24" x14ac:dyDescent="0.2">
      <c r="A11" s="150" t="s">
        <v>1251</v>
      </c>
      <c r="B11" s="151" t="s">
        <v>1251</v>
      </c>
      <c r="C11" s="151" t="s">
        <v>2109</v>
      </c>
      <c r="D11" s="151" t="s">
        <v>2020</v>
      </c>
      <c r="E11" s="151" t="s">
        <v>421</v>
      </c>
      <c r="F11" s="151" t="s">
        <v>2109</v>
      </c>
      <c r="G11" s="151" t="s">
        <v>2110</v>
      </c>
      <c r="H11" s="151" t="s">
        <v>75</v>
      </c>
      <c r="I11" s="151" t="s">
        <v>207</v>
      </c>
      <c r="J11" s="151" t="s">
        <v>60</v>
      </c>
      <c r="K11" s="151" t="s">
        <v>306</v>
      </c>
      <c r="L11" s="151" t="s">
        <v>775</v>
      </c>
      <c r="M11" s="151" t="s">
        <v>101</v>
      </c>
      <c r="N11" s="151" t="s">
        <v>1035</v>
      </c>
      <c r="O11" s="151" t="s">
        <v>61</v>
      </c>
      <c r="P11" s="151" t="s">
        <v>1256</v>
      </c>
      <c r="Q11" s="152">
        <v>1113</v>
      </c>
      <c r="R11" s="152">
        <v>3.165</v>
      </c>
      <c r="S11" s="152">
        <v>43341.49</v>
      </c>
      <c r="T11" s="152">
        <v>1526.7670000000001</v>
      </c>
      <c r="U11" s="153">
        <v>2.4000000000000001E-4</v>
      </c>
      <c r="V11" s="153">
        <v>7.5939999999999994E-2</v>
      </c>
      <c r="W11" s="154">
        <v>2.0799999999999998E-3</v>
      </c>
      <c r="X11" s="176"/>
    </row>
    <row r="12" spans="1:24" x14ac:dyDescent="0.2">
      <c r="A12" s="150" t="s">
        <v>1251</v>
      </c>
      <c r="B12" s="151" t="s">
        <v>1251</v>
      </c>
      <c r="C12" s="151" t="s">
        <v>2111</v>
      </c>
      <c r="D12" s="151" t="s">
        <v>2112</v>
      </c>
      <c r="E12" s="151" t="s">
        <v>421</v>
      </c>
      <c r="F12" s="151" t="s">
        <v>2111</v>
      </c>
      <c r="G12" s="151" t="s">
        <v>2113</v>
      </c>
      <c r="H12" s="151" t="s">
        <v>75</v>
      </c>
      <c r="I12" s="151" t="s">
        <v>207</v>
      </c>
      <c r="J12" s="151" t="s">
        <v>60</v>
      </c>
      <c r="K12" s="151" t="s">
        <v>306</v>
      </c>
      <c r="L12" s="151" t="s">
        <v>775</v>
      </c>
      <c r="M12" s="151" t="s">
        <v>101</v>
      </c>
      <c r="N12" s="151" t="s">
        <v>1035</v>
      </c>
      <c r="O12" s="151" t="s">
        <v>61</v>
      </c>
      <c r="P12" s="151" t="s">
        <v>1256</v>
      </c>
      <c r="Q12" s="152">
        <v>25079</v>
      </c>
      <c r="R12" s="152">
        <v>3.165</v>
      </c>
      <c r="S12" s="152">
        <v>1870</v>
      </c>
      <c r="T12" s="152">
        <v>1484.3130000000001</v>
      </c>
      <c r="U12" s="153">
        <v>5.5000000000000003E-4</v>
      </c>
      <c r="V12" s="153">
        <v>7.3830000000000007E-2</v>
      </c>
      <c r="W12" s="154">
        <v>2.0200000000000001E-3</v>
      </c>
      <c r="X12" s="176"/>
    </row>
    <row r="13" spans="1:24" x14ac:dyDescent="0.2">
      <c r="A13" s="150" t="s">
        <v>1251</v>
      </c>
      <c r="B13" s="151" t="s">
        <v>1263</v>
      </c>
      <c r="C13" s="151" t="s">
        <v>1965</v>
      </c>
      <c r="D13" s="151" t="s">
        <v>1966</v>
      </c>
      <c r="E13" s="151" t="s">
        <v>420</v>
      </c>
      <c r="F13" s="151" t="s">
        <v>2114</v>
      </c>
      <c r="G13" s="151" t="s">
        <v>2115</v>
      </c>
      <c r="H13" s="151" t="s">
        <v>75</v>
      </c>
      <c r="I13" s="151" t="s">
        <v>72</v>
      </c>
      <c r="J13" s="151" t="s">
        <v>52</v>
      </c>
      <c r="K13" s="151" t="s">
        <v>157</v>
      </c>
      <c r="L13" s="151" t="s">
        <v>775</v>
      </c>
      <c r="M13" s="151" t="s">
        <v>303</v>
      </c>
      <c r="N13" s="151" t="s">
        <v>1059</v>
      </c>
      <c r="O13" s="151" t="s">
        <v>61</v>
      </c>
      <c r="P13" s="151" t="s">
        <v>1255</v>
      </c>
      <c r="Q13" s="152">
        <v>3200</v>
      </c>
      <c r="R13" s="152">
        <v>1</v>
      </c>
      <c r="S13" s="152">
        <v>1382.42</v>
      </c>
      <c r="T13" s="152">
        <v>44.237000000000002</v>
      </c>
      <c r="U13" s="153">
        <v>1E-4</v>
      </c>
      <c r="V13" s="153">
        <v>1</v>
      </c>
      <c r="W13" s="154">
        <v>3.14E-3</v>
      </c>
      <c r="X13" s="176"/>
    </row>
    <row r="14" spans="1:24" x14ac:dyDescent="0.2">
      <c r="A14" s="150" t="s">
        <v>1264</v>
      </c>
      <c r="B14" s="151" t="s">
        <v>1264</v>
      </c>
      <c r="C14" s="151" t="s">
        <v>2084</v>
      </c>
      <c r="D14" s="151" t="s">
        <v>2085</v>
      </c>
      <c r="E14" s="151" t="s">
        <v>420</v>
      </c>
      <c r="F14" s="151" t="s">
        <v>2086</v>
      </c>
      <c r="G14" s="151" t="s">
        <v>2087</v>
      </c>
      <c r="H14" s="151" t="s">
        <v>75</v>
      </c>
      <c r="I14" s="151" t="s">
        <v>72</v>
      </c>
      <c r="J14" s="151" t="s">
        <v>52</v>
      </c>
      <c r="K14" s="151" t="s">
        <v>889</v>
      </c>
      <c r="L14" s="151" t="s">
        <v>775</v>
      </c>
      <c r="M14" s="151" t="s">
        <v>303</v>
      </c>
      <c r="N14" s="151" t="s">
        <v>1050</v>
      </c>
      <c r="O14" s="151" t="s">
        <v>54</v>
      </c>
      <c r="P14" s="151" t="s">
        <v>1255</v>
      </c>
      <c r="Q14" s="152">
        <v>5478213.4100000001</v>
      </c>
      <c r="R14" s="152">
        <v>1</v>
      </c>
      <c r="S14" s="152">
        <v>109.1</v>
      </c>
      <c r="T14" s="152">
        <v>5976.7309999999998</v>
      </c>
      <c r="U14" s="153">
        <v>1.4959999999999999E-2</v>
      </c>
      <c r="V14" s="153">
        <v>2.3539999999999998E-2</v>
      </c>
      <c r="W14" s="154">
        <v>5.9999999999999995E-4</v>
      </c>
      <c r="X14" s="176"/>
    </row>
    <row r="15" spans="1:24" x14ac:dyDescent="0.2">
      <c r="A15" s="150" t="s">
        <v>1264</v>
      </c>
      <c r="B15" s="151" t="s">
        <v>1264</v>
      </c>
      <c r="C15" s="151" t="s">
        <v>2088</v>
      </c>
      <c r="D15" s="151" t="s">
        <v>2089</v>
      </c>
      <c r="E15" s="151" t="s">
        <v>421</v>
      </c>
      <c r="F15" s="151" t="s">
        <v>2088</v>
      </c>
      <c r="G15" s="151" t="s">
        <v>2090</v>
      </c>
      <c r="H15" s="151" t="s">
        <v>75</v>
      </c>
      <c r="I15" s="151" t="s">
        <v>72</v>
      </c>
      <c r="J15" s="151" t="s">
        <v>60</v>
      </c>
      <c r="K15" s="151" t="s">
        <v>305</v>
      </c>
      <c r="L15" s="151" t="s">
        <v>775</v>
      </c>
      <c r="M15" s="151" t="s">
        <v>481</v>
      </c>
      <c r="N15" s="151" t="s">
        <v>735</v>
      </c>
      <c r="O15" s="151" t="s">
        <v>61</v>
      </c>
      <c r="P15" s="151" t="s">
        <v>1257</v>
      </c>
      <c r="Q15" s="152">
        <v>1745000</v>
      </c>
      <c r="R15" s="152">
        <v>4.1870000000000003</v>
      </c>
      <c r="S15" s="152">
        <v>887.99</v>
      </c>
      <c r="T15" s="152">
        <v>64883.995000000003</v>
      </c>
      <c r="U15" s="153">
        <v>1.636E-2</v>
      </c>
      <c r="V15" s="153">
        <v>0.2555</v>
      </c>
      <c r="W15" s="154">
        <v>6.4999999999999997E-3</v>
      </c>
      <c r="X15" s="176"/>
    </row>
    <row r="16" spans="1:24" x14ac:dyDescent="0.2">
      <c r="A16" s="150" t="s">
        <v>1264</v>
      </c>
      <c r="B16" s="151" t="s">
        <v>1264</v>
      </c>
      <c r="C16" s="151" t="s">
        <v>2091</v>
      </c>
      <c r="D16" s="151" t="s">
        <v>2092</v>
      </c>
      <c r="E16" s="151" t="s">
        <v>421</v>
      </c>
      <c r="F16" s="151" t="s">
        <v>2091</v>
      </c>
      <c r="G16" s="151" t="s">
        <v>2093</v>
      </c>
      <c r="H16" s="151" t="s">
        <v>75</v>
      </c>
      <c r="I16" s="151" t="s">
        <v>72</v>
      </c>
      <c r="J16" s="151" t="s">
        <v>60</v>
      </c>
      <c r="K16" s="151" t="s">
        <v>309</v>
      </c>
      <c r="L16" s="151" t="s">
        <v>775</v>
      </c>
      <c r="M16" s="151" t="s">
        <v>101</v>
      </c>
      <c r="N16" s="151" t="s">
        <v>1018</v>
      </c>
      <c r="O16" s="151" t="s">
        <v>61</v>
      </c>
      <c r="P16" s="151" t="s">
        <v>1256</v>
      </c>
      <c r="Q16" s="152">
        <v>6200000</v>
      </c>
      <c r="R16" s="152">
        <v>3.165</v>
      </c>
      <c r="S16" s="152">
        <v>204.72</v>
      </c>
      <c r="T16" s="152">
        <v>40172.205999999998</v>
      </c>
      <c r="U16" s="153">
        <v>1.8540000000000001E-2</v>
      </c>
      <c r="V16" s="153">
        <v>0.15819</v>
      </c>
      <c r="W16" s="154">
        <v>4.0200000000000001E-3</v>
      </c>
      <c r="X16" s="176"/>
    </row>
    <row r="17" spans="1:24" x14ac:dyDescent="0.2">
      <c r="A17" s="150" t="s">
        <v>1264</v>
      </c>
      <c r="B17" s="151" t="s">
        <v>1264</v>
      </c>
      <c r="C17" s="151" t="s">
        <v>2097</v>
      </c>
      <c r="D17" s="151" t="s">
        <v>2098</v>
      </c>
      <c r="E17" s="151" t="s">
        <v>421</v>
      </c>
      <c r="F17" s="151" t="s">
        <v>2097</v>
      </c>
      <c r="G17" s="151" t="s">
        <v>2099</v>
      </c>
      <c r="H17" s="151" t="s">
        <v>75</v>
      </c>
      <c r="I17" s="151" t="s">
        <v>72</v>
      </c>
      <c r="J17" s="151" t="s">
        <v>60</v>
      </c>
      <c r="K17" s="151" t="s">
        <v>155</v>
      </c>
      <c r="L17" s="151" t="s">
        <v>775</v>
      </c>
      <c r="M17" s="151" t="s">
        <v>101</v>
      </c>
      <c r="N17" s="151" t="s">
        <v>1000</v>
      </c>
      <c r="O17" s="151" t="s">
        <v>61</v>
      </c>
      <c r="P17" s="151" t="s">
        <v>1256</v>
      </c>
      <c r="Q17" s="152">
        <v>265250</v>
      </c>
      <c r="R17" s="152">
        <v>3.165</v>
      </c>
      <c r="S17" s="152">
        <v>2887.09</v>
      </c>
      <c r="T17" s="152">
        <v>24237.59</v>
      </c>
      <c r="U17" s="153">
        <v>1.434E-2</v>
      </c>
      <c r="V17" s="153">
        <v>9.5439999999999997E-2</v>
      </c>
      <c r="W17" s="154">
        <v>2.4299999999999999E-3</v>
      </c>
      <c r="X17" s="176"/>
    </row>
    <row r="18" spans="1:24" x14ac:dyDescent="0.2">
      <c r="A18" s="150" t="s">
        <v>1264</v>
      </c>
      <c r="B18" s="151" t="s">
        <v>1264</v>
      </c>
      <c r="C18" s="151" t="s">
        <v>2100</v>
      </c>
      <c r="D18" s="151" t="s">
        <v>2101</v>
      </c>
      <c r="E18" s="151" t="s">
        <v>421</v>
      </c>
      <c r="F18" s="151" t="s">
        <v>2100</v>
      </c>
      <c r="G18" s="151" t="s">
        <v>2102</v>
      </c>
      <c r="H18" s="151" t="s">
        <v>75</v>
      </c>
      <c r="I18" s="151" t="s">
        <v>72</v>
      </c>
      <c r="J18" s="151" t="s">
        <v>60</v>
      </c>
      <c r="K18" s="151" t="s">
        <v>155</v>
      </c>
      <c r="L18" s="151" t="s">
        <v>775</v>
      </c>
      <c r="M18" s="151" t="s">
        <v>101</v>
      </c>
      <c r="N18" s="151" t="s">
        <v>1000</v>
      </c>
      <c r="O18" s="151" t="s">
        <v>61</v>
      </c>
      <c r="P18" s="151" t="s">
        <v>1256</v>
      </c>
      <c r="Q18" s="152">
        <v>33646</v>
      </c>
      <c r="R18" s="152">
        <v>3.165</v>
      </c>
      <c r="S18" s="152">
        <v>21495</v>
      </c>
      <c r="T18" s="152">
        <v>22889.937000000002</v>
      </c>
      <c r="U18" s="153">
        <v>0</v>
      </c>
      <c r="V18" s="153">
        <v>9.0139999999999998E-2</v>
      </c>
      <c r="W18" s="154">
        <v>2.2899999999999999E-3</v>
      </c>
      <c r="X18" s="176"/>
    </row>
    <row r="19" spans="1:24" x14ac:dyDescent="0.2">
      <c r="A19" s="150" t="s">
        <v>1264</v>
      </c>
      <c r="B19" s="151" t="s">
        <v>1264</v>
      </c>
      <c r="C19" s="151" t="s">
        <v>2106</v>
      </c>
      <c r="D19" s="151" t="s">
        <v>2107</v>
      </c>
      <c r="E19" s="151" t="s">
        <v>421</v>
      </c>
      <c r="F19" s="151" t="s">
        <v>2106</v>
      </c>
      <c r="G19" s="151" t="s">
        <v>2108</v>
      </c>
      <c r="H19" s="151" t="s">
        <v>75</v>
      </c>
      <c r="I19" s="151" t="s">
        <v>72</v>
      </c>
      <c r="J19" s="151" t="s">
        <v>60</v>
      </c>
      <c r="K19" s="151" t="s">
        <v>1120</v>
      </c>
      <c r="L19" s="151" t="s">
        <v>775</v>
      </c>
      <c r="M19" s="151" t="s">
        <v>101</v>
      </c>
      <c r="N19" s="151" t="s">
        <v>1059</v>
      </c>
      <c r="O19" s="151" t="s">
        <v>61</v>
      </c>
      <c r="P19" s="151" t="s">
        <v>1256</v>
      </c>
      <c r="Q19" s="152">
        <v>320000</v>
      </c>
      <c r="R19" s="152">
        <v>3.165</v>
      </c>
      <c r="S19" s="152">
        <v>2092.7399999999998</v>
      </c>
      <c r="T19" s="152">
        <v>21195.271000000001</v>
      </c>
      <c r="U19" s="153">
        <v>3.3140000000000003E-2</v>
      </c>
      <c r="V19" s="153">
        <v>8.3460000000000006E-2</v>
      </c>
      <c r="W19" s="154">
        <v>2.1199999999999999E-3</v>
      </c>
      <c r="X19" s="176"/>
    </row>
    <row r="20" spans="1:24" x14ac:dyDescent="0.2">
      <c r="A20" s="150" t="s">
        <v>1264</v>
      </c>
      <c r="B20" s="151" t="s">
        <v>1264</v>
      </c>
      <c r="C20" s="151" t="s">
        <v>2094</v>
      </c>
      <c r="D20" s="151" t="s">
        <v>2095</v>
      </c>
      <c r="E20" s="151" t="s">
        <v>421</v>
      </c>
      <c r="F20" s="151" t="s">
        <v>2094</v>
      </c>
      <c r="G20" s="151" t="s">
        <v>2096</v>
      </c>
      <c r="H20" s="151" t="s">
        <v>75</v>
      </c>
      <c r="I20" s="151" t="s">
        <v>207</v>
      </c>
      <c r="J20" s="151" t="s">
        <v>60</v>
      </c>
      <c r="K20" s="151" t="s">
        <v>169</v>
      </c>
      <c r="L20" s="151" t="s">
        <v>775</v>
      </c>
      <c r="M20" s="151" t="s">
        <v>101</v>
      </c>
      <c r="N20" s="151" t="s">
        <v>1038</v>
      </c>
      <c r="O20" s="151" t="s">
        <v>61</v>
      </c>
      <c r="P20" s="151" t="s">
        <v>1256</v>
      </c>
      <c r="Q20" s="152">
        <v>33800</v>
      </c>
      <c r="R20" s="152">
        <v>3.165</v>
      </c>
      <c r="S20" s="152">
        <v>19370</v>
      </c>
      <c r="T20" s="152">
        <v>20721.445</v>
      </c>
      <c r="U20" s="153">
        <v>4.0600000000000002E-3</v>
      </c>
      <c r="V20" s="153">
        <v>8.1600000000000006E-2</v>
      </c>
      <c r="W20" s="154">
        <v>2.0799999999999998E-3</v>
      </c>
      <c r="X20" s="176"/>
    </row>
    <row r="21" spans="1:24" x14ac:dyDescent="0.2">
      <c r="A21" s="150" t="s">
        <v>1264</v>
      </c>
      <c r="B21" s="151" t="s">
        <v>1264</v>
      </c>
      <c r="C21" s="151" t="s">
        <v>2109</v>
      </c>
      <c r="D21" s="151" t="s">
        <v>2020</v>
      </c>
      <c r="E21" s="151" t="s">
        <v>421</v>
      </c>
      <c r="F21" s="151" t="s">
        <v>2109</v>
      </c>
      <c r="G21" s="151" t="s">
        <v>2110</v>
      </c>
      <c r="H21" s="151" t="s">
        <v>75</v>
      </c>
      <c r="I21" s="151" t="s">
        <v>207</v>
      </c>
      <c r="J21" s="151" t="s">
        <v>60</v>
      </c>
      <c r="K21" s="151" t="s">
        <v>306</v>
      </c>
      <c r="L21" s="151" t="s">
        <v>775</v>
      </c>
      <c r="M21" s="151" t="s">
        <v>101</v>
      </c>
      <c r="N21" s="151" t="s">
        <v>1035</v>
      </c>
      <c r="O21" s="151" t="s">
        <v>61</v>
      </c>
      <c r="P21" s="151" t="s">
        <v>1256</v>
      </c>
      <c r="Q21" s="152">
        <v>13706</v>
      </c>
      <c r="R21" s="152">
        <v>3.165</v>
      </c>
      <c r="S21" s="152">
        <v>43341.49</v>
      </c>
      <c r="T21" s="152">
        <v>18801.316999999999</v>
      </c>
      <c r="U21" s="153">
        <v>3.0100000000000001E-3</v>
      </c>
      <c r="V21" s="153">
        <v>7.4039999999999995E-2</v>
      </c>
      <c r="W21" s="154">
        <v>1.8799999999999999E-3</v>
      </c>
      <c r="X21" s="176"/>
    </row>
    <row r="22" spans="1:24" x14ac:dyDescent="0.2">
      <c r="A22" s="150" t="s">
        <v>1264</v>
      </c>
      <c r="B22" s="151" t="s">
        <v>1264</v>
      </c>
      <c r="C22" s="151" t="s">
        <v>2111</v>
      </c>
      <c r="D22" s="151" t="s">
        <v>2112</v>
      </c>
      <c r="E22" s="151" t="s">
        <v>421</v>
      </c>
      <c r="F22" s="151" t="s">
        <v>2111</v>
      </c>
      <c r="G22" s="151" t="s">
        <v>2113</v>
      </c>
      <c r="H22" s="151" t="s">
        <v>75</v>
      </c>
      <c r="I22" s="151" t="s">
        <v>207</v>
      </c>
      <c r="J22" s="151" t="s">
        <v>60</v>
      </c>
      <c r="K22" s="151" t="s">
        <v>306</v>
      </c>
      <c r="L22" s="151" t="s">
        <v>775</v>
      </c>
      <c r="M22" s="151" t="s">
        <v>101</v>
      </c>
      <c r="N22" s="151" t="s">
        <v>1035</v>
      </c>
      <c r="O22" s="151" t="s">
        <v>61</v>
      </c>
      <c r="P22" s="151" t="s">
        <v>1256</v>
      </c>
      <c r="Q22" s="152">
        <v>308669</v>
      </c>
      <c r="R22" s="152">
        <v>3.165</v>
      </c>
      <c r="S22" s="152">
        <v>1870</v>
      </c>
      <c r="T22" s="152">
        <v>18268.728999999999</v>
      </c>
      <c r="U22" s="153">
        <v>6.8100000000000001E-3</v>
      </c>
      <c r="V22" s="153">
        <v>7.1940000000000004E-2</v>
      </c>
      <c r="W22" s="154">
        <v>1.83E-3</v>
      </c>
      <c r="X22" s="176"/>
    </row>
    <row r="23" spans="1:24" x14ac:dyDescent="0.2">
      <c r="A23" s="150" t="s">
        <v>1264</v>
      </c>
      <c r="B23" s="151" t="s">
        <v>1264</v>
      </c>
      <c r="C23" s="151" t="s">
        <v>2103</v>
      </c>
      <c r="D23" s="151" t="s">
        <v>2104</v>
      </c>
      <c r="E23" s="151" t="s">
        <v>421</v>
      </c>
      <c r="F23" s="151" t="s">
        <v>2103</v>
      </c>
      <c r="G23" s="151" t="s">
        <v>2105</v>
      </c>
      <c r="H23" s="151" t="s">
        <v>75</v>
      </c>
      <c r="I23" s="151" t="s">
        <v>72</v>
      </c>
      <c r="J23" s="151" t="s">
        <v>60</v>
      </c>
      <c r="K23" s="151" t="s">
        <v>308</v>
      </c>
      <c r="L23" s="151" t="s">
        <v>775</v>
      </c>
      <c r="M23" s="151" t="s">
        <v>101</v>
      </c>
      <c r="N23" s="151" t="s">
        <v>1059</v>
      </c>
      <c r="O23" s="151" t="s">
        <v>61</v>
      </c>
      <c r="P23" s="151" t="s">
        <v>1256</v>
      </c>
      <c r="Q23" s="152">
        <v>6400</v>
      </c>
      <c r="R23" s="152">
        <v>3.165</v>
      </c>
      <c r="S23" s="152">
        <v>82928.3</v>
      </c>
      <c r="T23" s="152">
        <v>16797.955999999998</v>
      </c>
      <c r="U23" s="153">
        <v>6.0099999999999997E-3</v>
      </c>
      <c r="V23" s="153">
        <v>6.615E-2</v>
      </c>
      <c r="W23" s="154">
        <v>1.6800000000000001E-3</v>
      </c>
      <c r="X23" s="176"/>
    </row>
    <row r="24" spans="1:24" x14ac:dyDescent="0.2">
      <c r="A24" s="150" t="s">
        <v>1264</v>
      </c>
      <c r="B24" s="151" t="s">
        <v>1266</v>
      </c>
      <c r="C24" s="151" t="s">
        <v>1965</v>
      </c>
      <c r="D24" s="151" t="s">
        <v>1966</v>
      </c>
      <c r="E24" s="151" t="s">
        <v>420</v>
      </c>
      <c r="F24" s="151" t="s">
        <v>2114</v>
      </c>
      <c r="G24" s="151" t="s">
        <v>2115</v>
      </c>
      <c r="H24" s="151" t="s">
        <v>75</v>
      </c>
      <c r="I24" s="151" t="s">
        <v>72</v>
      </c>
      <c r="J24" s="151" t="s">
        <v>52</v>
      </c>
      <c r="K24" s="151" t="s">
        <v>157</v>
      </c>
      <c r="L24" s="151" t="s">
        <v>775</v>
      </c>
      <c r="M24" s="151" t="s">
        <v>303</v>
      </c>
      <c r="N24" s="151" t="s">
        <v>1059</v>
      </c>
      <c r="O24" s="151" t="s">
        <v>61</v>
      </c>
      <c r="P24" s="151" t="s">
        <v>1255</v>
      </c>
      <c r="Q24" s="152">
        <v>56000</v>
      </c>
      <c r="R24" s="152">
        <v>1</v>
      </c>
      <c r="S24" s="152">
        <v>1382.42</v>
      </c>
      <c r="T24" s="152">
        <v>774.15499999999997</v>
      </c>
      <c r="U24" s="153">
        <v>1.67E-3</v>
      </c>
      <c r="V24" s="153">
        <v>1</v>
      </c>
      <c r="W24" s="154">
        <v>2.2399999999999998E-3</v>
      </c>
      <c r="X24" s="176"/>
    </row>
    <row r="25" spans="1:24" x14ac:dyDescent="0.2">
      <c r="A25" s="150" t="s">
        <v>1251</v>
      </c>
      <c r="B25" s="151" t="s">
        <v>1262</v>
      </c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60"/>
      <c r="X25" s="176"/>
    </row>
    <row r="26" spans="1:24" x14ac:dyDescent="0.2">
      <c r="A26" s="155" t="s">
        <v>1264</v>
      </c>
      <c r="B26" s="156" t="s">
        <v>1265</v>
      </c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61"/>
      <c r="X26" s="176"/>
    </row>
    <row r="27" spans="1:24" x14ac:dyDescent="0.2">
      <c r="A27" s="174" t="s">
        <v>2521</v>
      </c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</row>
    <row r="28" spans="1:24" x14ac:dyDescent="0.2">
      <c r="A28" t="s">
        <v>2520</v>
      </c>
    </row>
    <row r="29" spans="1:24" x14ac:dyDescent="0.2">
      <c r="A29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27:W27"/>
    <mergeCell ref="X2:X26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9" width="11.625" customWidth="1"/>
    <col min="10" max="10" width="19.875" customWidth="1"/>
    <col min="11" max="11" width="13.75" customWidth="1"/>
    <col min="12" max="12" width="11.625" customWidth="1"/>
    <col min="13" max="13" width="18.625" customWidth="1"/>
    <col min="14" max="14" width="11.625" customWidth="1"/>
    <col min="15" max="15" width="12" customWidth="1"/>
    <col min="16" max="16" width="15.125" customWidth="1"/>
    <col min="17" max="17" width="11.75" customWidth="1"/>
    <col min="18" max="19" width="11.625" customWidth="1"/>
    <col min="20" max="20" width="14.875" customWidth="1"/>
    <col min="21" max="21" width="11.625" customWidth="1"/>
    <col min="22" max="22" width="12.875" customWidth="1"/>
    <col min="23" max="23" width="17.875" customWidth="1"/>
    <col min="24" max="24" width="21.75" customWidth="1"/>
    <col min="25" max="25" width="20.125" customWidth="1"/>
    <col min="26" max="27" width="11.625" hidden="1" customWidth="1"/>
    <col min="28" max="16384" width="9" hidden="1"/>
  </cols>
  <sheetData>
    <row r="1" spans="1:26" x14ac:dyDescent="0.2">
      <c r="A1" t="s">
        <v>2532</v>
      </c>
    </row>
    <row r="2" spans="1:26" s="2" customFormat="1" x14ac:dyDescent="0.2">
      <c r="A2" s="147" t="s">
        <v>636</v>
      </c>
      <c r="B2" s="148" t="s">
        <v>0</v>
      </c>
      <c r="C2" s="148" t="s">
        <v>703</v>
      </c>
      <c r="D2" s="148" t="s">
        <v>2</v>
      </c>
      <c r="E2" s="148" t="s">
        <v>719</v>
      </c>
      <c r="F2" s="148" t="s">
        <v>1097</v>
      </c>
      <c r="G2" s="148" t="s">
        <v>28</v>
      </c>
      <c r="H2" s="148" t="s">
        <v>27</v>
      </c>
      <c r="I2" s="148" t="s">
        <v>591</v>
      </c>
      <c r="J2" s="148" t="s">
        <v>592</v>
      </c>
      <c r="K2" s="148" t="s">
        <v>596</v>
      </c>
      <c r="L2" s="148" t="s">
        <v>4</v>
      </c>
      <c r="M2" s="148" t="s">
        <v>717</v>
      </c>
      <c r="N2" s="148" t="s">
        <v>8</v>
      </c>
      <c r="O2" s="148" t="s">
        <v>651</v>
      </c>
      <c r="P2" s="148" t="s">
        <v>593</v>
      </c>
      <c r="Q2" s="148" t="s">
        <v>387</v>
      </c>
      <c r="R2" s="148" t="s">
        <v>22</v>
      </c>
      <c r="S2" s="148" t="s">
        <v>600</v>
      </c>
      <c r="T2" s="148" t="s">
        <v>747</v>
      </c>
      <c r="U2" s="148" t="s">
        <v>10</v>
      </c>
      <c r="V2" s="148" t="s">
        <v>14</v>
      </c>
      <c r="W2" s="148" t="s">
        <v>1105</v>
      </c>
      <c r="X2" s="148" t="s">
        <v>18</v>
      </c>
      <c r="Y2" s="149" t="s">
        <v>29</v>
      </c>
      <c r="Z2" s="174" t="s">
        <v>2522</v>
      </c>
    </row>
    <row r="3" spans="1:26" x14ac:dyDescent="0.2">
      <c r="A3" s="150" t="s">
        <v>1251</v>
      </c>
      <c r="B3" s="151" t="s">
        <v>1251</v>
      </c>
      <c r="C3" s="151" t="s">
        <v>1558</v>
      </c>
      <c r="D3" s="151" t="s">
        <v>1559</v>
      </c>
      <c r="E3" s="151" t="s">
        <v>420</v>
      </c>
      <c r="F3" s="151" t="s">
        <v>2116</v>
      </c>
      <c r="G3" s="151" t="s">
        <v>2117</v>
      </c>
      <c r="H3" s="151" t="s">
        <v>75</v>
      </c>
      <c r="I3" s="151" t="s">
        <v>52</v>
      </c>
      <c r="J3" s="151" t="s">
        <v>52</v>
      </c>
      <c r="K3" s="151" t="s">
        <v>775</v>
      </c>
      <c r="L3" s="151" t="s">
        <v>303</v>
      </c>
      <c r="M3" s="151" t="s">
        <v>1848</v>
      </c>
      <c r="N3" s="151" t="s">
        <v>620</v>
      </c>
      <c r="O3" s="151" t="s">
        <v>2118</v>
      </c>
      <c r="P3" s="151" t="s">
        <v>61</v>
      </c>
      <c r="Q3" s="151" t="s">
        <v>1255</v>
      </c>
      <c r="R3" s="152">
        <v>58000</v>
      </c>
      <c r="S3" s="152">
        <v>1</v>
      </c>
      <c r="T3" s="152">
        <v>1525</v>
      </c>
      <c r="U3" s="152">
        <v>1</v>
      </c>
      <c r="V3" s="152">
        <v>15190</v>
      </c>
      <c r="W3" s="152">
        <v>231.648</v>
      </c>
      <c r="X3" s="153">
        <v>1</v>
      </c>
      <c r="Y3" s="154">
        <v>3.2000000000000003E-4</v>
      </c>
      <c r="Z3" s="174"/>
    </row>
    <row r="4" spans="1:26" x14ac:dyDescent="0.2">
      <c r="A4" s="150" t="s">
        <v>1264</v>
      </c>
      <c r="B4" s="151" t="s">
        <v>1264</v>
      </c>
      <c r="C4" s="151" t="s">
        <v>1558</v>
      </c>
      <c r="D4" s="151" t="s">
        <v>1559</v>
      </c>
      <c r="E4" s="151" t="s">
        <v>420</v>
      </c>
      <c r="F4" s="151" t="s">
        <v>2116</v>
      </c>
      <c r="G4" s="151" t="s">
        <v>2117</v>
      </c>
      <c r="H4" s="151" t="s">
        <v>75</v>
      </c>
      <c r="I4" s="151" t="s">
        <v>52</v>
      </c>
      <c r="J4" s="151" t="s">
        <v>52</v>
      </c>
      <c r="K4" s="151" t="s">
        <v>775</v>
      </c>
      <c r="L4" s="151" t="s">
        <v>303</v>
      </c>
      <c r="M4" s="151" t="s">
        <v>1848</v>
      </c>
      <c r="N4" s="151" t="s">
        <v>620</v>
      </c>
      <c r="O4" s="151" t="s">
        <v>2118</v>
      </c>
      <c r="P4" s="151" t="s">
        <v>61</v>
      </c>
      <c r="Q4" s="151" t="s">
        <v>1255</v>
      </c>
      <c r="R4" s="152">
        <v>58000</v>
      </c>
      <c r="S4" s="152">
        <v>1</v>
      </c>
      <c r="T4" s="152">
        <v>19827</v>
      </c>
      <c r="U4" s="152">
        <v>1</v>
      </c>
      <c r="V4" s="152">
        <v>15190</v>
      </c>
      <c r="W4" s="152">
        <v>3011.721</v>
      </c>
      <c r="X4" s="153">
        <v>1</v>
      </c>
      <c r="Y4" s="154">
        <v>2.9999999999999997E-4</v>
      </c>
      <c r="Z4" s="174"/>
    </row>
    <row r="5" spans="1:26" x14ac:dyDescent="0.2">
      <c r="A5" s="150" t="s">
        <v>1251</v>
      </c>
      <c r="B5" s="151" t="s">
        <v>1262</v>
      </c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60"/>
      <c r="Z5" s="174"/>
    </row>
    <row r="6" spans="1:26" x14ac:dyDescent="0.2">
      <c r="A6" s="150" t="s">
        <v>1251</v>
      </c>
      <c r="B6" s="151" t="s">
        <v>1263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60"/>
      <c r="Z6" s="174"/>
    </row>
    <row r="7" spans="1:26" x14ac:dyDescent="0.2">
      <c r="A7" s="150" t="s">
        <v>1264</v>
      </c>
      <c r="B7" s="151" t="s">
        <v>1265</v>
      </c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60"/>
      <c r="Z7" s="174"/>
    </row>
    <row r="8" spans="1:26" x14ac:dyDescent="0.2">
      <c r="A8" s="155" t="s">
        <v>1264</v>
      </c>
      <c r="B8" s="156" t="s">
        <v>1266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61"/>
      <c r="Z8" s="174"/>
    </row>
    <row r="9" spans="1:26" x14ac:dyDescent="0.2">
      <c r="A9" s="174" t="s">
        <v>2521</v>
      </c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</row>
    <row r="10" spans="1:26" x14ac:dyDescent="0.2">
      <c r="A10" t="s">
        <v>2520</v>
      </c>
    </row>
    <row r="11" spans="1:26" x14ac:dyDescent="0.2">
      <c r="A11" s="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Y9"/>
    <mergeCell ref="Z2:Z8"/>
  </mergeCells>
  <pageMargins left="0.7" right="0.7" top="0.75" bottom="0.75" header="0.3" footer="0.3"/>
  <pageSetup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13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4" width="11.625" customWidth="1"/>
    <col min="15" max="15" width="12" customWidth="1"/>
    <col min="16" max="16" width="15.125" customWidth="1"/>
    <col min="17" max="17" width="11.75" customWidth="1"/>
    <col min="18" max="18" width="11.625" customWidth="1"/>
    <col min="19" max="19" width="14.875" customWidth="1"/>
    <col min="20" max="20" width="11.625" customWidth="1"/>
    <col min="21" max="21" width="12.875" customWidth="1"/>
    <col min="22" max="22" width="17.875" customWidth="1"/>
    <col min="23" max="23" width="21.75" customWidth="1"/>
    <col min="24" max="24" width="20.125" customWidth="1"/>
    <col min="25" max="25" width="11.625" hidden="1" customWidth="1"/>
    <col min="26" max="16384" width="9" hidden="1"/>
  </cols>
  <sheetData>
    <row r="1" spans="1:25" x14ac:dyDescent="0.2">
      <c r="A1" t="s">
        <v>2533</v>
      </c>
    </row>
    <row r="2" spans="1:25" s="2" customFormat="1" x14ac:dyDescent="0.2">
      <c r="A2" s="147" t="s">
        <v>636</v>
      </c>
      <c r="B2" s="148" t="s">
        <v>0</v>
      </c>
      <c r="C2" s="148" t="s">
        <v>703</v>
      </c>
      <c r="D2" s="148" t="s">
        <v>2</v>
      </c>
      <c r="E2" s="148" t="s">
        <v>719</v>
      </c>
      <c r="F2" s="148" t="s">
        <v>1097</v>
      </c>
      <c r="G2" s="148" t="s">
        <v>28</v>
      </c>
      <c r="H2" s="148" t="s">
        <v>27</v>
      </c>
      <c r="I2" s="148" t="s">
        <v>1</v>
      </c>
      <c r="J2" s="148" t="s">
        <v>591</v>
      </c>
      <c r="K2" s="148" t="s">
        <v>592</v>
      </c>
      <c r="L2" s="148" t="s">
        <v>4</v>
      </c>
      <c r="M2" s="148" t="s">
        <v>8</v>
      </c>
      <c r="N2" s="148" t="s">
        <v>9</v>
      </c>
      <c r="O2" s="148" t="s">
        <v>651</v>
      </c>
      <c r="P2" s="148" t="s">
        <v>593</v>
      </c>
      <c r="Q2" s="148" t="s">
        <v>387</v>
      </c>
      <c r="R2" s="148" t="s">
        <v>22</v>
      </c>
      <c r="S2" s="148" t="s">
        <v>747</v>
      </c>
      <c r="T2" s="148" t="s">
        <v>10</v>
      </c>
      <c r="U2" s="148" t="s">
        <v>14</v>
      </c>
      <c r="V2" s="148" t="s">
        <v>1105</v>
      </c>
      <c r="W2" s="148" t="s">
        <v>18</v>
      </c>
      <c r="X2" s="149" t="s">
        <v>29</v>
      </c>
      <c r="Y2" s="174" t="s">
        <v>2522</v>
      </c>
    </row>
    <row r="3" spans="1:25" x14ac:dyDescent="0.2">
      <c r="A3" s="150" t="s">
        <v>1251</v>
      </c>
      <c r="B3" s="151" t="s">
        <v>1263</v>
      </c>
      <c r="C3" s="151" t="s">
        <v>1849</v>
      </c>
      <c r="D3" s="151" t="s">
        <v>1850</v>
      </c>
      <c r="E3" s="151" t="s">
        <v>420</v>
      </c>
      <c r="F3" s="151" t="s">
        <v>2119</v>
      </c>
      <c r="G3" s="151" t="s">
        <v>2120</v>
      </c>
      <c r="H3" s="151" t="s">
        <v>75</v>
      </c>
      <c r="I3" s="151" t="s">
        <v>1219</v>
      </c>
      <c r="J3" s="151" t="s">
        <v>52</v>
      </c>
      <c r="K3" s="151" t="s">
        <v>52</v>
      </c>
      <c r="L3" s="151" t="s">
        <v>303</v>
      </c>
      <c r="M3" s="151" t="s">
        <v>101</v>
      </c>
      <c r="N3" s="151" t="s">
        <v>96</v>
      </c>
      <c r="O3" s="151" t="s">
        <v>2121</v>
      </c>
      <c r="P3" s="151" t="s">
        <v>61</v>
      </c>
      <c r="Q3" s="151" t="s">
        <v>1255</v>
      </c>
      <c r="R3" s="152">
        <v>4300</v>
      </c>
      <c r="S3" s="152">
        <v>16</v>
      </c>
      <c r="T3" s="152">
        <v>1</v>
      </c>
      <c r="U3" s="152">
        <v>17500000</v>
      </c>
      <c r="V3" s="152">
        <v>28</v>
      </c>
      <c r="W3" s="153">
        <v>-0.18396000000000001</v>
      </c>
      <c r="X3" s="154">
        <v>1.98E-3</v>
      </c>
      <c r="Y3" s="174"/>
    </row>
    <row r="4" spans="1:25" x14ac:dyDescent="0.2">
      <c r="A4" s="150" t="s">
        <v>1251</v>
      </c>
      <c r="B4" s="151" t="s">
        <v>1263</v>
      </c>
      <c r="C4" s="151" t="s">
        <v>1849</v>
      </c>
      <c r="D4" s="151" t="s">
        <v>1850</v>
      </c>
      <c r="E4" s="151" t="s">
        <v>420</v>
      </c>
      <c r="F4" s="151" t="s">
        <v>2122</v>
      </c>
      <c r="G4" s="151" t="s">
        <v>2123</v>
      </c>
      <c r="H4" s="151" t="s">
        <v>75</v>
      </c>
      <c r="I4" s="151" t="s">
        <v>1219</v>
      </c>
      <c r="J4" s="151" t="s">
        <v>52</v>
      </c>
      <c r="K4" s="151" t="s">
        <v>52</v>
      </c>
      <c r="L4" s="151" t="s">
        <v>303</v>
      </c>
      <c r="M4" s="151" t="s">
        <v>101</v>
      </c>
      <c r="N4" s="151" t="s">
        <v>96</v>
      </c>
      <c r="O4" s="151" t="s">
        <v>2121</v>
      </c>
      <c r="P4" s="151" t="s">
        <v>61</v>
      </c>
      <c r="Q4" s="151" t="s">
        <v>1255</v>
      </c>
      <c r="R4" s="152">
        <v>4300</v>
      </c>
      <c r="S4" s="152">
        <v>-16</v>
      </c>
      <c r="T4" s="152">
        <v>1</v>
      </c>
      <c r="U4" s="152">
        <v>112630000</v>
      </c>
      <c r="V4" s="152">
        <v>-180.208</v>
      </c>
      <c r="W4" s="153">
        <v>1.1839599999999999</v>
      </c>
      <c r="X4" s="154">
        <v>-1.278E-2</v>
      </c>
      <c r="Y4" s="174"/>
    </row>
    <row r="5" spans="1:25" x14ac:dyDescent="0.2">
      <c r="A5" s="150" t="s">
        <v>1264</v>
      </c>
      <c r="B5" s="151" t="s">
        <v>1266</v>
      </c>
      <c r="C5" s="151" t="s">
        <v>1849</v>
      </c>
      <c r="D5" s="151" t="s">
        <v>1850</v>
      </c>
      <c r="E5" s="151" t="s">
        <v>420</v>
      </c>
      <c r="F5" s="151" t="s">
        <v>2119</v>
      </c>
      <c r="G5" s="151" t="s">
        <v>2120</v>
      </c>
      <c r="H5" s="151" t="s">
        <v>75</v>
      </c>
      <c r="I5" s="151" t="s">
        <v>1219</v>
      </c>
      <c r="J5" s="151" t="s">
        <v>52</v>
      </c>
      <c r="K5" s="151" t="s">
        <v>52</v>
      </c>
      <c r="L5" s="151" t="s">
        <v>303</v>
      </c>
      <c r="M5" s="151" t="s">
        <v>101</v>
      </c>
      <c r="N5" s="151" t="s">
        <v>96</v>
      </c>
      <c r="O5" s="151" t="s">
        <v>2121</v>
      </c>
      <c r="P5" s="151" t="s">
        <v>61</v>
      </c>
      <c r="Q5" s="151" t="s">
        <v>1255</v>
      </c>
      <c r="R5" s="152">
        <v>4300</v>
      </c>
      <c r="S5" s="152">
        <v>380</v>
      </c>
      <c r="T5" s="152">
        <v>1</v>
      </c>
      <c r="U5" s="152">
        <v>17500000</v>
      </c>
      <c r="V5" s="152">
        <v>665</v>
      </c>
      <c r="W5" s="153">
        <v>-0.18396000000000001</v>
      </c>
      <c r="X5" s="154">
        <v>1.92E-3</v>
      </c>
      <c r="Y5" s="174"/>
    </row>
    <row r="6" spans="1:25" x14ac:dyDescent="0.2">
      <c r="A6" s="150" t="s">
        <v>1264</v>
      </c>
      <c r="B6" s="151" t="s">
        <v>1266</v>
      </c>
      <c r="C6" s="151" t="s">
        <v>1849</v>
      </c>
      <c r="D6" s="151" t="s">
        <v>1850</v>
      </c>
      <c r="E6" s="151" t="s">
        <v>420</v>
      </c>
      <c r="F6" s="151" t="s">
        <v>2122</v>
      </c>
      <c r="G6" s="151" t="s">
        <v>2123</v>
      </c>
      <c r="H6" s="151" t="s">
        <v>75</v>
      </c>
      <c r="I6" s="151" t="s">
        <v>1219</v>
      </c>
      <c r="J6" s="151" t="s">
        <v>52</v>
      </c>
      <c r="K6" s="151" t="s">
        <v>52</v>
      </c>
      <c r="L6" s="151" t="s">
        <v>303</v>
      </c>
      <c r="M6" s="151" t="s">
        <v>101</v>
      </c>
      <c r="N6" s="151" t="s">
        <v>96</v>
      </c>
      <c r="O6" s="151" t="s">
        <v>2121</v>
      </c>
      <c r="P6" s="151" t="s">
        <v>61</v>
      </c>
      <c r="Q6" s="151" t="s">
        <v>1255</v>
      </c>
      <c r="R6" s="152">
        <v>4300</v>
      </c>
      <c r="S6" s="152">
        <v>-380</v>
      </c>
      <c r="T6" s="152">
        <v>1</v>
      </c>
      <c r="U6" s="152">
        <v>112630000</v>
      </c>
      <c r="V6" s="152">
        <v>-4279.9399999999996</v>
      </c>
      <c r="W6" s="153">
        <v>1.1839599999999999</v>
      </c>
      <c r="X6" s="154">
        <v>-1.2359999999999999E-2</v>
      </c>
      <c r="Y6" s="174"/>
    </row>
    <row r="7" spans="1:25" x14ac:dyDescent="0.2">
      <c r="A7" s="150" t="s">
        <v>1251</v>
      </c>
      <c r="B7" s="151" t="s">
        <v>1251</v>
      </c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60"/>
      <c r="Y7" s="174"/>
    </row>
    <row r="8" spans="1:25" x14ac:dyDescent="0.2">
      <c r="A8" s="150" t="s">
        <v>1251</v>
      </c>
      <c r="B8" s="151" t="s">
        <v>1262</v>
      </c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60"/>
      <c r="Y8" s="174"/>
    </row>
    <row r="9" spans="1:25" x14ac:dyDescent="0.2">
      <c r="A9" s="150" t="s">
        <v>1264</v>
      </c>
      <c r="B9" s="151" t="s">
        <v>1264</v>
      </c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60"/>
      <c r="Y9" s="174"/>
    </row>
    <row r="10" spans="1:25" x14ac:dyDescent="0.2">
      <c r="A10" s="155" t="s">
        <v>1264</v>
      </c>
      <c r="B10" s="156" t="s">
        <v>1265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61"/>
      <c r="Y10" s="174"/>
    </row>
    <row r="11" spans="1:25" x14ac:dyDescent="0.2">
      <c r="A11" s="174" t="s">
        <v>2521</v>
      </c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</row>
    <row r="12" spans="1:25" x14ac:dyDescent="0.2">
      <c r="A12" t="s">
        <v>2520</v>
      </c>
    </row>
    <row r="13" spans="1:25" x14ac:dyDescent="0.2">
      <c r="A13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X11"/>
    <mergeCell ref="Y2:Y10"/>
  </mergeCells>
  <pageMargins left="0.7" right="0.7" top="0.75" bottom="0.75" header="0.3" footer="0.3"/>
  <pageSetup orientation="portrait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U13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9" width="11.625" customWidth="1"/>
    <col min="10" max="10" width="19.875" customWidth="1"/>
    <col min="11" max="12" width="11.625" customWidth="1"/>
    <col min="13" max="13" width="15.125" customWidth="1"/>
    <col min="14" max="14" width="11.75" customWidth="1"/>
    <col min="15" max="15" width="14.875" customWidth="1"/>
    <col min="16" max="16" width="11.625" customWidth="1"/>
    <col min="17" max="17" width="12.875" customWidth="1"/>
    <col min="18" max="18" width="17.875" customWidth="1"/>
    <col min="19" max="19" width="21.75" customWidth="1"/>
    <col min="20" max="20" width="20.125" customWidth="1"/>
    <col min="21" max="16384" width="9" hidden="1"/>
  </cols>
  <sheetData>
    <row r="1" spans="1:21" x14ac:dyDescent="0.2">
      <c r="A1" t="s">
        <v>2534</v>
      </c>
    </row>
    <row r="2" spans="1:21" s="2" customFormat="1" x14ac:dyDescent="0.2">
      <c r="A2" s="147" t="s">
        <v>636</v>
      </c>
      <c r="B2" s="148" t="s">
        <v>0</v>
      </c>
      <c r="C2" s="148" t="s">
        <v>703</v>
      </c>
      <c r="D2" s="148" t="s">
        <v>2</v>
      </c>
      <c r="E2" s="148" t="s">
        <v>719</v>
      </c>
      <c r="F2" s="148" t="s">
        <v>1097</v>
      </c>
      <c r="G2" s="148" t="s">
        <v>28</v>
      </c>
      <c r="H2" s="148" t="s">
        <v>27</v>
      </c>
      <c r="I2" s="148" t="s">
        <v>591</v>
      </c>
      <c r="J2" s="148" t="s">
        <v>592</v>
      </c>
      <c r="K2" s="148" t="s">
        <v>4</v>
      </c>
      <c r="L2" s="148" t="s">
        <v>9</v>
      </c>
      <c r="M2" s="148" t="s">
        <v>593</v>
      </c>
      <c r="N2" s="148" t="s">
        <v>387</v>
      </c>
      <c r="O2" s="148" t="s">
        <v>747</v>
      </c>
      <c r="P2" s="148" t="s">
        <v>10</v>
      </c>
      <c r="Q2" s="148" t="s">
        <v>14</v>
      </c>
      <c r="R2" s="148" t="s">
        <v>1105</v>
      </c>
      <c r="S2" s="148" t="s">
        <v>18</v>
      </c>
      <c r="T2" s="149" t="s">
        <v>29</v>
      </c>
      <c r="U2" s="174" t="s">
        <v>2522</v>
      </c>
    </row>
    <row r="3" spans="1:21" x14ac:dyDescent="0.2">
      <c r="A3" s="150" t="s">
        <v>1251</v>
      </c>
      <c r="B3" s="151" t="s">
        <v>1263</v>
      </c>
      <c r="C3" s="151" t="s">
        <v>2124</v>
      </c>
      <c r="D3" s="151" t="s">
        <v>2125</v>
      </c>
      <c r="E3" s="151" t="s">
        <v>420</v>
      </c>
      <c r="F3" s="151" t="s">
        <v>2126</v>
      </c>
      <c r="G3" s="151" t="s">
        <v>2127</v>
      </c>
      <c r="H3" s="151" t="s">
        <v>77</v>
      </c>
      <c r="I3" s="151" t="s">
        <v>52</v>
      </c>
      <c r="J3" s="151" t="s">
        <v>52</v>
      </c>
      <c r="K3" s="151"/>
      <c r="L3" s="151" t="s">
        <v>101</v>
      </c>
      <c r="M3" s="151" t="s">
        <v>61</v>
      </c>
      <c r="N3" s="151" t="s">
        <v>1256</v>
      </c>
      <c r="O3" s="152">
        <v>-714490</v>
      </c>
      <c r="P3" s="152">
        <v>3.165</v>
      </c>
      <c r="Q3" s="152">
        <v>100</v>
      </c>
      <c r="R3" s="152">
        <v>-2261.3609999999999</v>
      </c>
      <c r="S3" s="153">
        <v>23.205259999999999</v>
      </c>
      <c r="T3" s="154">
        <v>-0.16031000000000001</v>
      </c>
      <c r="U3" s="174"/>
    </row>
    <row r="4" spans="1:21" x14ac:dyDescent="0.2">
      <c r="A4" s="150" t="s">
        <v>1251</v>
      </c>
      <c r="B4" s="151" t="s">
        <v>1263</v>
      </c>
      <c r="C4" s="151" t="s">
        <v>2128</v>
      </c>
      <c r="D4" s="151" t="s">
        <v>2129</v>
      </c>
      <c r="E4" s="151" t="s">
        <v>101</v>
      </c>
      <c r="F4" s="151" t="s">
        <v>2130</v>
      </c>
      <c r="G4" s="151" t="s">
        <v>2131</v>
      </c>
      <c r="H4" s="151" t="s">
        <v>77</v>
      </c>
      <c r="I4" s="151" t="s">
        <v>60</v>
      </c>
      <c r="J4" s="151" t="s">
        <v>309</v>
      </c>
      <c r="K4" s="151" t="s">
        <v>474</v>
      </c>
      <c r="L4" s="151" t="s">
        <v>96</v>
      </c>
      <c r="M4" s="151" t="s">
        <v>61</v>
      </c>
      <c r="N4" s="151" t="s">
        <v>1256</v>
      </c>
      <c r="O4" s="152">
        <v>5</v>
      </c>
      <c r="P4" s="152">
        <v>3.165</v>
      </c>
      <c r="Q4" s="152">
        <v>13674000</v>
      </c>
      <c r="R4" s="152">
        <v>2163.9110000000001</v>
      </c>
      <c r="S4" s="153">
        <v>-22.205259999999999</v>
      </c>
      <c r="T4" s="154">
        <v>0.15340000000000001</v>
      </c>
      <c r="U4" s="174"/>
    </row>
    <row r="5" spans="1:21" x14ac:dyDescent="0.2">
      <c r="A5" s="150" t="s">
        <v>1264</v>
      </c>
      <c r="B5" s="151" t="s">
        <v>1266</v>
      </c>
      <c r="C5" s="151" t="s">
        <v>2124</v>
      </c>
      <c r="D5" s="151" t="s">
        <v>2125</v>
      </c>
      <c r="E5" s="151" t="s">
        <v>420</v>
      </c>
      <c r="F5" s="151" t="s">
        <v>2126</v>
      </c>
      <c r="G5" s="151" t="s">
        <v>2127</v>
      </c>
      <c r="H5" s="151" t="s">
        <v>77</v>
      </c>
      <c r="I5" s="151" t="s">
        <v>52</v>
      </c>
      <c r="J5" s="151" t="s">
        <v>52</v>
      </c>
      <c r="K5" s="151"/>
      <c r="L5" s="151" t="s">
        <v>101</v>
      </c>
      <c r="M5" s="151" t="s">
        <v>61</v>
      </c>
      <c r="N5" s="151" t="s">
        <v>1256</v>
      </c>
      <c r="O5" s="152">
        <v>-12861160</v>
      </c>
      <c r="P5" s="152">
        <v>3.165</v>
      </c>
      <c r="Q5" s="152">
        <v>100</v>
      </c>
      <c r="R5" s="152">
        <v>-40705.571000000004</v>
      </c>
      <c r="S5" s="153">
        <v>23.191649999999999</v>
      </c>
      <c r="T5" s="154">
        <v>-0.11755</v>
      </c>
      <c r="U5" s="174"/>
    </row>
    <row r="6" spans="1:21" x14ac:dyDescent="0.2">
      <c r="A6" s="150" t="s">
        <v>1264</v>
      </c>
      <c r="B6" s="151" t="s">
        <v>1266</v>
      </c>
      <c r="C6" s="151" t="s">
        <v>2128</v>
      </c>
      <c r="D6" s="151" t="s">
        <v>2129</v>
      </c>
      <c r="E6" s="151" t="s">
        <v>101</v>
      </c>
      <c r="F6" s="151" t="s">
        <v>2130</v>
      </c>
      <c r="G6" s="151" t="s">
        <v>2131</v>
      </c>
      <c r="H6" s="151" t="s">
        <v>77</v>
      </c>
      <c r="I6" s="151" t="s">
        <v>60</v>
      </c>
      <c r="J6" s="151" t="s">
        <v>309</v>
      </c>
      <c r="K6" s="151" t="s">
        <v>474</v>
      </c>
      <c r="L6" s="151" t="s">
        <v>96</v>
      </c>
      <c r="M6" s="151" t="s">
        <v>61</v>
      </c>
      <c r="N6" s="151" t="s">
        <v>1256</v>
      </c>
      <c r="O6" s="152">
        <v>90</v>
      </c>
      <c r="P6" s="152">
        <v>3.165</v>
      </c>
      <c r="Q6" s="152">
        <v>13674000</v>
      </c>
      <c r="R6" s="152">
        <v>38950.389000000003</v>
      </c>
      <c r="S6" s="153">
        <v>-22.191649999999999</v>
      </c>
      <c r="T6" s="154">
        <v>0.11248</v>
      </c>
      <c r="U6" s="174"/>
    </row>
    <row r="7" spans="1:21" x14ac:dyDescent="0.2">
      <c r="A7" s="150" t="s">
        <v>1251</v>
      </c>
      <c r="B7" s="151" t="s">
        <v>1251</v>
      </c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60"/>
      <c r="U7" s="174"/>
    </row>
    <row r="8" spans="1:21" x14ac:dyDescent="0.2">
      <c r="A8" s="150" t="s">
        <v>1251</v>
      </c>
      <c r="B8" s="151" t="s">
        <v>1262</v>
      </c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60"/>
      <c r="U8" s="174"/>
    </row>
    <row r="9" spans="1:21" x14ac:dyDescent="0.2">
      <c r="A9" s="150" t="s">
        <v>1264</v>
      </c>
      <c r="B9" s="151" t="s">
        <v>1264</v>
      </c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60"/>
      <c r="U9" s="174"/>
    </row>
    <row r="10" spans="1:21" x14ac:dyDescent="0.2">
      <c r="A10" s="155" t="s">
        <v>1264</v>
      </c>
      <c r="B10" s="156" t="s">
        <v>1265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61"/>
      <c r="U10" s="174"/>
    </row>
    <row r="11" spans="1:21" x14ac:dyDescent="0.2">
      <c r="A11" s="174" t="s">
        <v>2521</v>
      </c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</row>
    <row r="12" spans="1:21" x14ac:dyDescent="0.2">
      <c r="A12" t="s">
        <v>2520</v>
      </c>
    </row>
    <row r="13" spans="1:21" x14ac:dyDescent="0.2">
      <c r="A13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T11"/>
    <mergeCell ref="U2:U10"/>
  </mergeCells>
  <pageMargins left="0.7" right="0.7" top="0.75" bottom="0.75" header="0.3" footer="0.3"/>
  <pageSetup orientation="portrait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C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4" width="11.625" customWidth="1"/>
    <col min="15" max="15" width="15.125" customWidth="1"/>
    <col min="16" max="17" width="11.625" customWidth="1"/>
    <col min="18" max="18" width="12.25" customWidth="1"/>
    <col min="19" max="20" width="11.625" customWidth="1"/>
    <col min="21" max="21" width="19" customWidth="1"/>
    <col min="22" max="22" width="11.75" customWidth="1"/>
    <col min="23" max="23" width="14.875" customWidth="1"/>
    <col min="24" max="24" width="11.625" customWidth="1"/>
    <col min="25" max="25" width="12.875" customWidth="1"/>
    <col min="26" max="26" width="17.875" customWidth="1"/>
    <col min="27" max="27" width="21.75" customWidth="1"/>
    <col min="28" max="28" width="20.125" customWidth="1"/>
    <col min="29" max="16384" width="9" hidden="1"/>
  </cols>
  <sheetData>
    <row r="1" spans="1:29" x14ac:dyDescent="0.2">
      <c r="A1" t="s">
        <v>2535</v>
      </c>
    </row>
    <row r="2" spans="1:29" s="2" customFormat="1" x14ac:dyDescent="0.2">
      <c r="A2" s="147" t="s">
        <v>636</v>
      </c>
      <c r="B2" s="148" t="s">
        <v>0</v>
      </c>
      <c r="C2" s="148" t="s">
        <v>703</v>
      </c>
      <c r="D2" s="148" t="s">
        <v>2</v>
      </c>
      <c r="E2" s="148" t="s">
        <v>719</v>
      </c>
      <c r="F2" s="148" t="s">
        <v>1097</v>
      </c>
      <c r="G2" s="148" t="s">
        <v>28</v>
      </c>
      <c r="H2" s="148" t="s">
        <v>27</v>
      </c>
      <c r="I2" s="148" t="s">
        <v>1</v>
      </c>
      <c r="J2" s="148" t="s">
        <v>591</v>
      </c>
      <c r="K2" s="148" t="s">
        <v>592</v>
      </c>
      <c r="L2" s="148" t="s">
        <v>596</v>
      </c>
      <c r="M2" s="148" t="s">
        <v>4</v>
      </c>
      <c r="N2" s="148" t="s">
        <v>9</v>
      </c>
      <c r="O2" s="148" t="s">
        <v>593</v>
      </c>
      <c r="P2" s="148" t="s">
        <v>12</v>
      </c>
      <c r="Q2" s="148" t="s">
        <v>13</v>
      </c>
      <c r="R2" s="148" t="s">
        <v>608</v>
      </c>
      <c r="S2" s="148" t="s">
        <v>5</v>
      </c>
      <c r="T2" s="148" t="s">
        <v>7</v>
      </c>
      <c r="U2" s="148" t="s">
        <v>1098</v>
      </c>
      <c r="V2" s="148" t="s">
        <v>387</v>
      </c>
      <c r="W2" s="148" t="s">
        <v>747</v>
      </c>
      <c r="X2" s="148" t="s">
        <v>10</v>
      </c>
      <c r="Y2" s="148" t="s">
        <v>14</v>
      </c>
      <c r="Z2" s="148" t="s">
        <v>1105</v>
      </c>
      <c r="AA2" s="148" t="s">
        <v>18</v>
      </c>
      <c r="AB2" s="149" t="s">
        <v>29</v>
      </c>
      <c r="AC2" s="174" t="s">
        <v>2522</v>
      </c>
    </row>
    <row r="3" spans="1:29" x14ac:dyDescent="0.2">
      <c r="A3" s="150" t="s">
        <v>1251</v>
      </c>
      <c r="B3" s="151" t="s">
        <v>1251</v>
      </c>
      <c r="C3" s="151" t="s">
        <v>2132</v>
      </c>
      <c r="D3" s="151" t="s">
        <v>2133</v>
      </c>
      <c r="E3" s="151" t="s">
        <v>420</v>
      </c>
      <c r="F3" s="151" t="s">
        <v>2134</v>
      </c>
      <c r="G3" s="151" t="s">
        <v>2135</v>
      </c>
      <c r="H3" s="151" t="s">
        <v>75</v>
      </c>
      <c r="I3" s="151" t="s">
        <v>235</v>
      </c>
      <c r="J3" s="151" t="s">
        <v>52</v>
      </c>
      <c r="K3" s="151" t="s">
        <v>52</v>
      </c>
      <c r="L3" s="151" t="s">
        <v>775</v>
      </c>
      <c r="M3" s="151" t="s">
        <v>303</v>
      </c>
      <c r="N3" s="151" t="s">
        <v>373</v>
      </c>
      <c r="O3" s="151" t="s">
        <v>61</v>
      </c>
      <c r="P3" s="152">
        <v>0.04</v>
      </c>
      <c r="Q3" s="153">
        <v>5.4949999999999999E-2</v>
      </c>
      <c r="R3" s="153">
        <v>8.4339999999999998E-2</v>
      </c>
      <c r="S3" s="151" t="s">
        <v>1419</v>
      </c>
      <c r="T3" s="151" t="s">
        <v>64</v>
      </c>
      <c r="U3" s="151" t="s">
        <v>56</v>
      </c>
      <c r="V3" s="151" t="s">
        <v>1255</v>
      </c>
      <c r="W3" s="152">
        <v>1530000</v>
      </c>
      <c r="X3" s="152">
        <v>1</v>
      </c>
      <c r="Y3" s="152">
        <v>92.15</v>
      </c>
      <c r="Z3" s="152">
        <v>1409.895</v>
      </c>
      <c r="AA3" s="153">
        <v>1</v>
      </c>
      <c r="AB3" s="154">
        <v>1.92E-3</v>
      </c>
      <c r="AC3" s="174"/>
    </row>
    <row r="4" spans="1:29" x14ac:dyDescent="0.2">
      <c r="A4" s="150" t="s">
        <v>1264</v>
      </c>
      <c r="B4" s="151" t="s">
        <v>1264</v>
      </c>
      <c r="C4" s="151" t="s">
        <v>2132</v>
      </c>
      <c r="D4" s="151" t="s">
        <v>2133</v>
      </c>
      <c r="E4" s="151" t="s">
        <v>420</v>
      </c>
      <c r="F4" s="151" t="s">
        <v>2134</v>
      </c>
      <c r="G4" s="151" t="s">
        <v>2135</v>
      </c>
      <c r="H4" s="151" t="s">
        <v>75</v>
      </c>
      <c r="I4" s="151" t="s">
        <v>235</v>
      </c>
      <c r="J4" s="151" t="s">
        <v>52</v>
      </c>
      <c r="K4" s="151" t="s">
        <v>52</v>
      </c>
      <c r="L4" s="151" t="s">
        <v>775</v>
      </c>
      <c r="M4" s="151" t="s">
        <v>303</v>
      </c>
      <c r="N4" s="151" t="s">
        <v>373</v>
      </c>
      <c r="O4" s="151" t="s">
        <v>61</v>
      </c>
      <c r="P4" s="152">
        <v>0.04</v>
      </c>
      <c r="Q4" s="153">
        <v>5.4949999999999999E-2</v>
      </c>
      <c r="R4" s="153">
        <v>8.4339999999999998E-2</v>
      </c>
      <c r="S4" s="151" t="s">
        <v>1419</v>
      </c>
      <c r="T4" s="151" t="s">
        <v>64</v>
      </c>
      <c r="U4" s="151" t="s">
        <v>56</v>
      </c>
      <c r="V4" s="151" t="s">
        <v>1255</v>
      </c>
      <c r="W4" s="152">
        <v>19400000</v>
      </c>
      <c r="X4" s="152">
        <v>1</v>
      </c>
      <c r="Y4" s="152">
        <v>92.15</v>
      </c>
      <c r="Z4" s="152">
        <v>17877.099999999999</v>
      </c>
      <c r="AA4" s="153">
        <v>1</v>
      </c>
      <c r="AB4" s="154">
        <v>1.7899999999999999E-3</v>
      </c>
      <c r="AC4" s="174"/>
    </row>
    <row r="5" spans="1:29" x14ac:dyDescent="0.2">
      <c r="A5" s="150" t="s">
        <v>1251</v>
      </c>
      <c r="B5" s="151" t="s">
        <v>1262</v>
      </c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60"/>
      <c r="AC5" s="174"/>
    </row>
    <row r="6" spans="1:29" x14ac:dyDescent="0.2">
      <c r="A6" s="150" t="s">
        <v>1251</v>
      </c>
      <c r="B6" s="151" t="s">
        <v>1263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60"/>
      <c r="AC6" s="174"/>
    </row>
    <row r="7" spans="1:29" x14ac:dyDescent="0.2">
      <c r="A7" s="150" t="s">
        <v>1264</v>
      </c>
      <c r="B7" s="151" t="s">
        <v>1265</v>
      </c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60"/>
      <c r="AC7" s="174"/>
    </row>
    <row r="8" spans="1:29" x14ac:dyDescent="0.2">
      <c r="A8" s="155" t="s">
        <v>1264</v>
      </c>
      <c r="B8" s="156" t="s">
        <v>1266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61"/>
      <c r="AC8" s="174"/>
    </row>
    <row r="9" spans="1:29" x14ac:dyDescent="0.2">
      <c r="A9" s="174" t="s">
        <v>2521</v>
      </c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</row>
    <row r="10" spans="1:29" x14ac:dyDescent="0.2">
      <c r="A10" t="s">
        <v>2520</v>
      </c>
    </row>
    <row r="11" spans="1:29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AB9"/>
    <mergeCell ref="AC2:AC8"/>
  </mergeCells>
  <pageMargins left="0.7" right="0.7" top="0.75" bottom="0.75" header="0.3" footer="0.3"/>
  <pageSetup orientation="portrait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Z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2.75" customWidth="1"/>
    <col min="6" max="6" width="15.5" customWidth="1"/>
    <col min="7" max="8" width="11.625" customWidth="1"/>
    <col min="9" max="9" width="19.875" customWidth="1"/>
    <col min="10" max="10" width="12" customWidth="1"/>
    <col min="11" max="12" width="11.625" customWidth="1"/>
    <col min="13" max="13" width="11.75" customWidth="1"/>
    <col min="14" max="16" width="11.625" customWidth="1"/>
    <col min="17" max="17" width="12.25" customWidth="1"/>
    <col min="18" max="18" width="14.875" customWidth="1"/>
    <col min="19" max="19" width="11.62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21.75" customWidth="1"/>
    <col min="25" max="25" width="20.125" customWidth="1"/>
    <col min="26" max="16384" width="9" hidden="1"/>
  </cols>
  <sheetData>
    <row r="1" spans="1:26" x14ac:dyDescent="0.2">
      <c r="A1" t="s">
        <v>2536</v>
      </c>
    </row>
    <row r="2" spans="1:26" x14ac:dyDescent="0.2">
      <c r="A2" s="147" t="s">
        <v>636</v>
      </c>
      <c r="B2" s="148" t="s">
        <v>0</v>
      </c>
      <c r="C2" s="148" t="s">
        <v>703</v>
      </c>
      <c r="D2" s="148" t="s">
        <v>1097</v>
      </c>
      <c r="E2" s="148" t="s">
        <v>28</v>
      </c>
      <c r="F2" s="148" t="s">
        <v>27</v>
      </c>
      <c r="G2" s="148" t="s">
        <v>1</v>
      </c>
      <c r="H2" s="148" t="s">
        <v>591</v>
      </c>
      <c r="I2" s="148" t="s">
        <v>592</v>
      </c>
      <c r="J2" s="148" t="s">
        <v>11</v>
      </c>
      <c r="K2" s="148" t="s">
        <v>5</v>
      </c>
      <c r="L2" s="148" t="s">
        <v>7</v>
      </c>
      <c r="M2" s="148" t="s">
        <v>387</v>
      </c>
      <c r="N2" s="148" t="s">
        <v>12</v>
      </c>
      <c r="O2" s="148" t="s">
        <v>412</v>
      </c>
      <c r="P2" s="148" t="s">
        <v>13</v>
      </c>
      <c r="Q2" s="148" t="s">
        <v>608</v>
      </c>
      <c r="R2" s="148" t="s">
        <v>747</v>
      </c>
      <c r="S2" s="148" t="s">
        <v>10</v>
      </c>
      <c r="T2" s="148" t="s">
        <v>14</v>
      </c>
      <c r="U2" s="148" t="s">
        <v>1105</v>
      </c>
      <c r="V2" s="148" t="s">
        <v>1106</v>
      </c>
      <c r="W2" s="148" t="s">
        <v>25</v>
      </c>
      <c r="X2" s="148" t="s">
        <v>18</v>
      </c>
      <c r="Y2" s="149" t="s">
        <v>29</v>
      </c>
      <c r="Z2" s="174" t="s">
        <v>2522</v>
      </c>
    </row>
    <row r="3" spans="1:26" x14ac:dyDescent="0.2">
      <c r="A3" s="150" t="s">
        <v>1251</v>
      </c>
      <c r="B3" s="151" t="s">
        <v>1251</v>
      </c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60"/>
      <c r="Z3" s="174"/>
    </row>
    <row r="4" spans="1:26" x14ac:dyDescent="0.2">
      <c r="A4" s="150" t="s">
        <v>1251</v>
      </c>
      <c r="B4" s="151" t="s">
        <v>1262</v>
      </c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60"/>
      <c r="Z4" s="174"/>
    </row>
    <row r="5" spans="1:26" x14ac:dyDescent="0.2">
      <c r="A5" s="150" t="s">
        <v>1251</v>
      </c>
      <c r="B5" s="151" t="s">
        <v>1263</v>
      </c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60"/>
      <c r="Z5" s="174"/>
    </row>
    <row r="6" spans="1:26" x14ac:dyDescent="0.2">
      <c r="A6" s="150" t="s">
        <v>1264</v>
      </c>
      <c r="B6" s="151" t="s">
        <v>1264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60"/>
      <c r="Z6" s="174"/>
    </row>
    <row r="7" spans="1:26" x14ac:dyDescent="0.2">
      <c r="A7" s="150" t="s">
        <v>1264</v>
      </c>
      <c r="B7" s="151" t="s">
        <v>1265</v>
      </c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60"/>
      <c r="Z7" s="174"/>
    </row>
    <row r="8" spans="1:26" x14ac:dyDescent="0.2">
      <c r="A8" s="155" t="s">
        <v>1264</v>
      </c>
      <c r="B8" s="156" t="s">
        <v>1266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61"/>
      <c r="Z8" s="174"/>
    </row>
    <row r="9" spans="1:26" x14ac:dyDescent="0.2">
      <c r="A9" s="174" t="s">
        <v>2521</v>
      </c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</row>
    <row r="10" spans="1:26" x14ac:dyDescent="0.2">
      <c r="A10" t="s">
        <v>2520</v>
      </c>
    </row>
    <row r="11" spans="1:26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Y9"/>
    <mergeCell ref="Z2:Z8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2.75" customWidth="1"/>
    <col min="6" max="6" width="12" customWidth="1"/>
    <col min="7" max="10" width="11.625" customWidth="1"/>
    <col min="11" max="11" width="12.25" customWidth="1"/>
    <col min="12" max="12" width="14.875" customWidth="1"/>
    <col min="13" max="13" width="12.875" customWidth="1"/>
    <col min="14" max="14" width="17.875" customWidth="1"/>
    <col min="15" max="15" width="21.375" customWidth="1"/>
    <col min="16" max="16" width="22" customWidth="1"/>
    <col min="17" max="17" width="21.75" customWidth="1"/>
    <col min="18" max="18" width="20.125" customWidth="1"/>
    <col min="19" max="16384" width="9" hidden="1"/>
  </cols>
  <sheetData>
    <row r="1" spans="1:19" x14ac:dyDescent="0.2">
      <c r="A1" t="s">
        <v>2537</v>
      </c>
    </row>
    <row r="2" spans="1:19" s="2" customFormat="1" x14ac:dyDescent="0.2">
      <c r="A2" s="147" t="s">
        <v>636</v>
      </c>
      <c r="B2" s="148" t="s">
        <v>0</v>
      </c>
      <c r="C2" s="148" t="s">
        <v>1</v>
      </c>
      <c r="D2" s="148" t="s">
        <v>1097</v>
      </c>
      <c r="E2" s="148" t="s">
        <v>28</v>
      </c>
      <c r="F2" s="148" t="s">
        <v>11</v>
      </c>
      <c r="G2" s="148" t="s">
        <v>12</v>
      </c>
      <c r="H2" s="148" t="s">
        <v>275</v>
      </c>
      <c r="I2" s="148" t="s">
        <v>412</v>
      </c>
      <c r="J2" s="148" t="s">
        <v>13</v>
      </c>
      <c r="K2" s="148" t="s">
        <v>608</v>
      </c>
      <c r="L2" s="148" t="s">
        <v>747</v>
      </c>
      <c r="M2" s="148" t="s">
        <v>14</v>
      </c>
      <c r="N2" s="148" t="s">
        <v>1105</v>
      </c>
      <c r="O2" s="148" t="s">
        <v>1106</v>
      </c>
      <c r="P2" s="148" t="s">
        <v>25</v>
      </c>
      <c r="Q2" s="148" t="s">
        <v>18</v>
      </c>
      <c r="R2" s="149" t="s">
        <v>29</v>
      </c>
      <c r="S2" s="174" t="s">
        <v>2522</v>
      </c>
    </row>
    <row r="3" spans="1:19" x14ac:dyDescent="0.2">
      <c r="A3" s="150" t="s">
        <v>1251</v>
      </c>
      <c r="B3" s="151" t="s">
        <v>1251</v>
      </c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60"/>
      <c r="S3" s="174"/>
    </row>
    <row r="4" spans="1:19" x14ac:dyDescent="0.2">
      <c r="A4" s="150" t="s">
        <v>1251</v>
      </c>
      <c r="B4" s="151" t="s">
        <v>1262</v>
      </c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60"/>
      <c r="S4" s="174"/>
    </row>
    <row r="5" spans="1:19" x14ac:dyDescent="0.2">
      <c r="A5" s="150" t="s">
        <v>1251</v>
      </c>
      <c r="B5" s="151" t="s">
        <v>1263</v>
      </c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60"/>
      <c r="S5" s="174"/>
    </row>
    <row r="6" spans="1:19" x14ac:dyDescent="0.2">
      <c r="A6" s="150" t="s">
        <v>1264</v>
      </c>
      <c r="B6" s="151" t="s">
        <v>1264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60"/>
      <c r="S6" s="174"/>
    </row>
    <row r="7" spans="1:19" x14ac:dyDescent="0.2">
      <c r="A7" s="150" t="s">
        <v>1264</v>
      </c>
      <c r="B7" s="151" t="s">
        <v>1265</v>
      </c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60"/>
      <c r="S7" s="174"/>
    </row>
    <row r="8" spans="1:19" x14ac:dyDescent="0.2">
      <c r="A8" s="155" t="s">
        <v>1264</v>
      </c>
      <c r="B8" s="156" t="s">
        <v>1266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61"/>
      <c r="S8" s="174"/>
    </row>
    <row r="9" spans="1:19" x14ac:dyDescent="0.2">
      <c r="A9" s="174" t="s">
        <v>2521</v>
      </c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</row>
    <row r="10" spans="1:19" x14ac:dyDescent="0.2">
      <c r="A10" t="s">
        <v>2520</v>
      </c>
    </row>
    <row r="11" spans="1:19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R9"/>
    <mergeCell ref="S2:S8"/>
  </mergeCells>
  <pageMargins left="0.7" right="0.7" top="0.75" bottom="0.75" header="0.3" footer="0.3"/>
  <pageSetup orientation="portrait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11"/>
  <sheetViews>
    <sheetView rightToLeft="1" workbookViewId="0"/>
  </sheetViews>
  <sheetFormatPr defaultColWidth="0" defaultRowHeight="14.25" x14ac:dyDescent="0.2"/>
  <cols>
    <col min="1" max="3" width="11.625" customWidth="1"/>
    <col min="4" max="4" width="16" customWidth="1"/>
    <col min="5" max="5" width="12.125" customWidth="1"/>
    <col min="6" max="6" width="24.875" customWidth="1"/>
    <col min="7" max="7" width="20.125" customWidth="1"/>
    <col min="8" max="16384" width="9" hidden="1"/>
  </cols>
  <sheetData>
    <row r="1" spans="1:8" x14ac:dyDescent="0.2">
      <c r="A1" t="s">
        <v>2538</v>
      </c>
    </row>
    <row r="2" spans="1:8" s="2" customFormat="1" x14ac:dyDescent="0.2">
      <c r="A2" s="147" t="s">
        <v>756</v>
      </c>
      <c r="B2" s="148" t="s">
        <v>0</v>
      </c>
      <c r="C2" s="148" t="s">
        <v>1</v>
      </c>
      <c r="D2" s="148" t="s">
        <v>734</v>
      </c>
      <c r="E2" s="148" t="s">
        <v>733</v>
      </c>
      <c r="F2" s="148" t="s">
        <v>1112</v>
      </c>
      <c r="G2" s="149" t="s">
        <v>29</v>
      </c>
      <c r="H2" s="174" t="s">
        <v>2522</v>
      </c>
    </row>
    <row r="3" spans="1:8" x14ac:dyDescent="0.2">
      <c r="A3" s="150" t="s">
        <v>1251</v>
      </c>
      <c r="B3" s="151" t="s">
        <v>1251</v>
      </c>
      <c r="C3" s="151"/>
      <c r="D3" s="151"/>
      <c r="E3" s="151"/>
      <c r="F3" s="151"/>
      <c r="G3" s="160"/>
      <c r="H3" s="174"/>
    </row>
    <row r="4" spans="1:8" x14ac:dyDescent="0.2">
      <c r="A4" s="150" t="s">
        <v>1251</v>
      </c>
      <c r="B4" s="151" t="s">
        <v>1262</v>
      </c>
      <c r="C4" s="151"/>
      <c r="D4" s="151"/>
      <c r="E4" s="151"/>
      <c r="F4" s="151"/>
      <c r="G4" s="160"/>
      <c r="H4" s="174"/>
    </row>
    <row r="5" spans="1:8" x14ac:dyDescent="0.2">
      <c r="A5" s="150" t="s">
        <v>1251</v>
      </c>
      <c r="B5" s="151" t="s">
        <v>1263</v>
      </c>
      <c r="C5" s="151"/>
      <c r="D5" s="151"/>
      <c r="E5" s="151"/>
      <c r="F5" s="151"/>
      <c r="G5" s="160"/>
      <c r="H5" s="174"/>
    </row>
    <row r="6" spans="1:8" x14ac:dyDescent="0.2">
      <c r="A6" s="150" t="s">
        <v>1264</v>
      </c>
      <c r="B6" s="151" t="s">
        <v>1264</v>
      </c>
      <c r="C6" s="151"/>
      <c r="D6" s="151"/>
      <c r="E6" s="151"/>
      <c r="F6" s="151"/>
      <c r="G6" s="160"/>
      <c r="H6" s="174"/>
    </row>
    <row r="7" spans="1:8" x14ac:dyDescent="0.2">
      <c r="A7" s="150" t="s">
        <v>1264</v>
      </c>
      <c r="B7" s="151" t="s">
        <v>1265</v>
      </c>
      <c r="C7" s="151"/>
      <c r="D7" s="151"/>
      <c r="E7" s="151"/>
      <c r="F7" s="151"/>
      <c r="G7" s="160"/>
      <c r="H7" s="174"/>
    </row>
    <row r="8" spans="1:8" x14ac:dyDescent="0.2">
      <c r="A8" s="155" t="s">
        <v>1264</v>
      </c>
      <c r="B8" s="156" t="s">
        <v>1266</v>
      </c>
      <c r="C8" s="156"/>
      <c r="D8" s="156"/>
      <c r="E8" s="156"/>
      <c r="F8" s="156"/>
      <c r="G8" s="161"/>
      <c r="H8" s="174"/>
    </row>
    <row r="9" spans="1:8" x14ac:dyDescent="0.2">
      <c r="A9" s="174" t="s">
        <v>2521</v>
      </c>
      <c r="B9" s="174"/>
      <c r="C9" s="174"/>
      <c r="D9" s="174"/>
      <c r="E9" s="174"/>
      <c r="F9" s="174"/>
      <c r="G9" s="174"/>
    </row>
    <row r="10" spans="1:8" x14ac:dyDescent="0.2">
      <c r="A10" t="s">
        <v>2520</v>
      </c>
    </row>
    <row r="11" spans="1:8" x14ac:dyDescent="0.2">
      <c r="A11" s="1"/>
    </row>
  </sheetData>
  <sheetProtection formatColumns="0"/>
  <mergeCells count="2">
    <mergeCell ref="A9:G9"/>
    <mergeCell ref="H2:H8"/>
  </mergeCells>
  <pageMargins left="0.7" right="0.7" top="0.75" bottom="0.75" header="0.3" footer="0.3"/>
  <pageSetup orientation="portrait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O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1.625" customWidth="1"/>
    <col min="13" max="13" width="15.125" customWidth="1"/>
    <col min="14" max="14" width="12" customWidth="1"/>
    <col min="15" max="16" width="11.625" customWidth="1"/>
    <col min="17" max="17" width="19" customWidth="1"/>
    <col min="18" max="18" width="11.75" customWidth="1"/>
    <col min="19" max="23" width="11.625" customWidth="1"/>
    <col min="24" max="24" width="12.25" customWidth="1"/>
    <col min="25" max="25" width="11.875" customWidth="1"/>
    <col min="26" max="26" width="17.5" customWidth="1"/>
    <col min="27" max="27" width="14" customWidth="1"/>
    <col min="28" max="28" width="18.625" customWidth="1"/>
    <col min="29" max="29" width="14" customWidth="1"/>
    <col min="30" max="30" width="16.375" customWidth="1"/>
    <col min="31" max="31" width="30" customWidth="1"/>
    <col min="32" max="32" width="14.875" customWidth="1"/>
    <col min="33" max="33" width="11.625" customWidth="1"/>
    <col min="34" max="34" width="12.875" customWidth="1"/>
    <col min="35" max="35" width="17.875" customWidth="1"/>
    <col min="36" max="36" width="21.375" customWidth="1"/>
    <col min="37" max="37" width="24.625" customWidth="1"/>
    <col min="38" max="38" width="22" customWidth="1"/>
    <col min="39" max="39" width="21.75" customWidth="1"/>
    <col min="40" max="40" width="20.125" customWidth="1"/>
    <col min="41" max="16384" width="9" hidden="1"/>
  </cols>
  <sheetData>
    <row r="1" spans="1:41" x14ac:dyDescent="0.2">
      <c r="A1" t="s">
        <v>2539</v>
      </c>
    </row>
    <row r="2" spans="1:41" x14ac:dyDescent="0.2">
      <c r="A2" s="147" t="s">
        <v>636</v>
      </c>
      <c r="B2" s="148" t="s">
        <v>0</v>
      </c>
      <c r="C2" s="148" t="s">
        <v>703</v>
      </c>
      <c r="D2" s="148" t="s">
        <v>2</v>
      </c>
      <c r="E2" s="148" t="s">
        <v>719</v>
      </c>
      <c r="F2" s="148" t="s">
        <v>1097</v>
      </c>
      <c r="G2" s="148" t="s">
        <v>28</v>
      </c>
      <c r="H2" s="148" t="s">
        <v>27</v>
      </c>
      <c r="I2" s="148" t="s">
        <v>1</v>
      </c>
      <c r="J2" s="148" t="s">
        <v>591</v>
      </c>
      <c r="K2" s="148" t="s">
        <v>592</v>
      </c>
      <c r="L2" s="148" t="s">
        <v>8</v>
      </c>
      <c r="M2" s="148" t="s">
        <v>593</v>
      </c>
      <c r="N2" s="148" t="s">
        <v>11</v>
      </c>
      <c r="O2" s="148" t="s">
        <v>5</v>
      </c>
      <c r="P2" s="148" t="s">
        <v>7</v>
      </c>
      <c r="Q2" s="148" t="s">
        <v>1098</v>
      </c>
      <c r="R2" s="148" t="s">
        <v>387</v>
      </c>
      <c r="S2" s="148" t="s">
        <v>12</v>
      </c>
      <c r="T2" s="148" t="s">
        <v>275</v>
      </c>
      <c r="U2" s="148" t="s">
        <v>301</v>
      </c>
      <c r="V2" s="148" t="s">
        <v>412</v>
      </c>
      <c r="W2" s="148" t="s">
        <v>13</v>
      </c>
      <c r="X2" s="148" t="s">
        <v>608</v>
      </c>
      <c r="Y2" s="148" t="s">
        <v>884</v>
      </c>
      <c r="Z2" s="148" t="s">
        <v>654</v>
      </c>
      <c r="AA2" s="148" t="s">
        <v>876</v>
      </c>
      <c r="AB2" s="148" t="s">
        <v>363</v>
      </c>
      <c r="AC2" s="148" t="s">
        <v>710</v>
      </c>
      <c r="AD2" s="148" t="s">
        <v>15</v>
      </c>
      <c r="AE2" s="148" t="s">
        <v>1099</v>
      </c>
      <c r="AF2" s="148" t="s">
        <v>747</v>
      </c>
      <c r="AG2" s="148" t="s">
        <v>10</v>
      </c>
      <c r="AH2" s="148" t="s">
        <v>14</v>
      </c>
      <c r="AI2" s="148" t="s">
        <v>1105</v>
      </c>
      <c r="AJ2" s="148" t="s">
        <v>1106</v>
      </c>
      <c r="AK2" s="148" t="s">
        <v>760</v>
      </c>
      <c r="AL2" s="148" t="s">
        <v>25</v>
      </c>
      <c r="AM2" s="148" t="s">
        <v>18</v>
      </c>
      <c r="AN2" s="149" t="s">
        <v>29</v>
      </c>
      <c r="AO2" s="174" t="s">
        <v>2522</v>
      </c>
    </row>
    <row r="3" spans="1:41" x14ac:dyDescent="0.2">
      <c r="A3" s="150" t="s">
        <v>1251</v>
      </c>
      <c r="B3" s="151" t="s">
        <v>1251</v>
      </c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60"/>
      <c r="AO3" s="174"/>
    </row>
    <row r="4" spans="1:41" x14ac:dyDescent="0.2">
      <c r="A4" s="150" t="s">
        <v>1251</v>
      </c>
      <c r="B4" s="151" t="s">
        <v>1262</v>
      </c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60"/>
      <c r="AO4" s="174"/>
    </row>
    <row r="5" spans="1:41" x14ac:dyDescent="0.2">
      <c r="A5" s="150" t="s">
        <v>1251</v>
      </c>
      <c r="B5" s="151" t="s">
        <v>1263</v>
      </c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1"/>
      <c r="AN5" s="160"/>
      <c r="AO5" s="174"/>
    </row>
    <row r="6" spans="1:41" x14ac:dyDescent="0.2">
      <c r="A6" s="150" t="s">
        <v>1264</v>
      </c>
      <c r="B6" s="151" t="s">
        <v>1264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60"/>
      <c r="AO6" s="174"/>
    </row>
    <row r="7" spans="1:41" x14ac:dyDescent="0.2">
      <c r="A7" s="150" t="s">
        <v>1264</v>
      </c>
      <c r="B7" s="151" t="s">
        <v>1265</v>
      </c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60"/>
      <c r="AO7" s="174"/>
    </row>
    <row r="8" spans="1:41" x14ac:dyDescent="0.2">
      <c r="A8" s="155" t="s">
        <v>1264</v>
      </c>
      <c r="B8" s="156" t="s">
        <v>1266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  <c r="AM8" s="156"/>
      <c r="AN8" s="161"/>
      <c r="AO8" s="174"/>
    </row>
    <row r="9" spans="1:41" x14ac:dyDescent="0.2">
      <c r="A9" s="174" t="s">
        <v>2521</v>
      </c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  <c r="AC9" s="174"/>
      <c r="AD9" s="174"/>
      <c r="AE9" s="174"/>
      <c r="AF9" s="174"/>
      <c r="AG9" s="174"/>
      <c r="AH9" s="174"/>
      <c r="AI9" s="174"/>
      <c r="AJ9" s="174"/>
      <c r="AK9" s="174"/>
      <c r="AL9" s="174"/>
      <c r="AM9" s="174"/>
      <c r="AN9" s="174"/>
    </row>
    <row r="10" spans="1:41" x14ac:dyDescent="0.2">
      <c r="A10" t="s">
        <v>2520</v>
      </c>
    </row>
    <row r="11" spans="1:41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AN9"/>
    <mergeCell ref="AO2:AO8"/>
  </mergeCells>
  <pageMargins left="0.7" right="0.7" top="0.75" bottom="0.75" header="0.3" footer="0.3"/>
  <pageSetup orientation="portrait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M33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3" width="11.625" customWidth="1"/>
    <col min="14" max="14" width="15.125" customWidth="1"/>
    <col min="15" max="15" width="12" customWidth="1"/>
    <col min="16" max="17" width="11.625" customWidth="1"/>
    <col min="18" max="18" width="19" customWidth="1"/>
    <col min="19" max="19" width="11.75" customWidth="1"/>
    <col min="20" max="21" width="11.625" customWidth="1"/>
    <col min="22" max="22" width="12.25" customWidth="1"/>
    <col min="23" max="23" width="11.625" customWidth="1"/>
    <col min="24" max="24" width="11.875" customWidth="1"/>
    <col min="25" max="25" width="17.5" customWidth="1"/>
    <col min="26" max="26" width="14" customWidth="1"/>
    <col min="27" max="27" width="18.625" customWidth="1"/>
    <col min="28" max="28" width="16.375" customWidth="1"/>
    <col min="29" max="29" width="30" customWidth="1"/>
    <col min="30" max="30" width="14.875" customWidth="1"/>
    <col min="31" max="31" width="11.625" customWidth="1"/>
    <col min="32" max="32" width="12.875" customWidth="1"/>
    <col min="33" max="33" width="17.875" customWidth="1"/>
    <col min="34" max="34" width="21.375" customWidth="1"/>
    <col min="35" max="35" width="24.625" customWidth="1"/>
    <col min="36" max="36" width="22" customWidth="1"/>
    <col min="37" max="37" width="21.75" customWidth="1"/>
    <col min="38" max="38" width="20.125" customWidth="1"/>
    <col min="39" max="16384" width="9" hidden="1"/>
  </cols>
  <sheetData>
    <row r="1" spans="1:39" x14ac:dyDescent="0.2">
      <c r="A1" t="s">
        <v>2540</v>
      </c>
    </row>
    <row r="2" spans="1:39" s="2" customFormat="1" x14ac:dyDescent="0.2">
      <c r="A2" s="147" t="s">
        <v>636</v>
      </c>
      <c r="B2" s="148" t="s">
        <v>0</v>
      </c>
      <c r="C2" s="148" t="s">
        <v>703</v>
      </c>
      <c r="D2" s="148" t="s">
        <v>2</v>
      </c>
      <c r="E2" s="148" t="s">
        <v>719</v>
      </c>
      <c r="F2" s="148" t="s">
        <v>1097</v>
      </c>
      <c r="G2" s="148" t="s">
        <v>28</v>
      </c>
      <c r="H2" s="148" t="s">
        <v>27</v>
      </c>
      <c r="I2" s="148" t="s">
        <v>1</v>
      </c>
      <c r="J2" s="148" t="s">
        <v>591</v>
      </c>
      <c r="K2" s="148" t="s">
        <v>592</v>
      </c>
      <c r="L2" s="148" t="s">
        <v>596</v>
      </c>
      <c r="M2" s="148" t="s">
        <v>8</v>
      </c>
      <c r="N2" s="148" t="s">
        <v>593</v>
      </c>
      <c r="O2" s="148" t="s">
        <v>11</v>
      </c>
      <c r="P2" s="148" t="s">
        <v>5</v>
      </c>
      <c r="Q2" s="148" t="s">
        <v>7</v>
      </c>
      <c r="R2" s="148" t="s">
        <v>1098</v>
      </c>
      <c r="S2" s="148" t="s">
        <v>387</v>
      </c>
      <c r="T2" s="148" t="s">
        <v>12</v>
      </c>
      <c r="U2" s="148" t="s">
        <v>412</v>
      </c>
      <c r="V2" s="148" t="s">
        <v>608</v>
      </c>
      <c r="W2" s="148" t="s">
        <v>13</v>
      </c>
      <c r="X2" s="148" t="s">
        <v>884</v>
      </c>
      <c r="Y2" s="148" t="s">
        <v>654</v>
      </c>
      <c r="Z2" s="148" t="s">
        <v>876</v>
      </c>
      <c r="AA2" s="148" t="s">
        <v>363</v>
      </c>
      <c r="AB2" s="148" t="s">
        <v>15</v>
      </c>
      <c r="AC2" s="148" t="s">
        <v>1099</v>
      </c>
      <c r="AD2" s="148" t="s">
        <v>747</v>
      </c>
      <c r="AE2" s="148" t="s">
        <v>10</v>
      </c>
      <c r="AF2" s="148" t="s">
        <v>14</v>
      </c>
      <c r="AG2" s="148" t="s">
        <v>1105</v>
      </c>
      <c r="AH2" s="148" t="s">
        <v>1106</v>
      </c>
      <c r="AI2" s="148" t="s">
        <v>760</v>
      </c>
      <c r="AJ2" s="148" t="s">
        <v>25</v>
      </c>
      <c r="AK2" s="148" t="s">
        <v>18</v>
      </c>
      <c r="AL2" s="149" t="s">
        <v>29</v>
      </c>
      <c r="AM2" s="174" t="s">
        <v>2522</v>
      </c>
    </row>
    <row r="3" spans="1:39" x14ac:dyDescent="0.2">
      <c r="A3" s="150" t="s">
        <v>1251</v>
      </c>
      <c r="B3" s="151" t="s">
        <v>1251</v>
      </c>
      <c r="C3" s="151" t="s">
        <v>2136</v>
      </c>
      <c r="D3" s="151" t="s">
        <v>2137</v>
      </c>
      <c r="E3" s="151" t="s">
        <v>420</v>
      </c>
      <c r="F3" s="151" t="s">
        <v>2138</v>
      </c>
      <c r="G3" s="151" t="s">
        <v>2139</v>
      </c>
      <c r="H3" s="151" t="s">
        <v>75</v>
      </c>
      <c r="I3" s="151" t="s">
        <v>224</v>
      </c>
      <c r="J3" s="151" t="s">
        <v>52</v>
      </c>
      <c r="K3" s="151" t="s">
        <v>52</v>
      </c>
      <c r="L3" s="151" t="s">
        <v>101</v>
      </c>
      <c r="M3" s="151" t="s">
        <v>1212</v>
      </c>
      <c r="N3" s="151" t="s">
        <v>61</v>
      </c>
      <c r="O3" s="151" t="s">
        <v>2140</v>
      </c>
      <c r="P3" s="151" t="s">
        <v>1407</v>
      </c>
      <c r="Q3" s="151" t="s">
        <v>69</v>
      </c>
      <c r="R3" s="151" t="s">
        <v>56</v>
      </c>
      <c r="S3" s="151" t="s">
        <v>1255</v>
      </c>
      <c r="T3" s="152">
        <v>2.31</v>
      </c>
      <c r="U3" s="151" t="s">
        <v>2141</v>
      </c>
      <c r="V3" s="153">
        <v>5.5599999999999997E-2</v>
      </c>
      <c r="W3" s="153">
        <v>7.3300000000000004E-2</v>
      </c>
      <c r="X3" s="151" t="s">
        <v>607</v>
      </c>
      <c r="Y3" s="151"/>
      <c r="Z3" s="151" t="s">
        <v>749</v>
      </c>
      <c r="AA3" s="151" t="s">
        <v>297</v>
      </c>
      <c r="AB3" s="162">
        <v>46112</v>
      </c>
      <c r="AC3" s="162">
        <v>46112</v>
      </c>
      <c r="AD3" s="152">
        <v>1350000</v>
      </c>
      <c r="AE3" s="152">
        <v>1</v>
      </c>
      <c r="AF3" s="152">
        <v>109.23</v>
      </c>
      <c r="AG3" s="152">
        <v>1474.605</v>
      </c>
      <c r="AH3" s="151"/>
      <c r="AI3" s="151"/>
      <c r="AJ3" s="151"/>
      <c r="AK3" s="153">
        <v>0.19422</v>
      </c>
      <c r="AL3" s="154">
        <v>2.0100000000000001E-3</v>
      </c>
      <c r="AM3" s="174"/>
    </row>
    <row r="4" spans="1:39" x14ac:dyDescent="0.2">
      <c r="A4" s="150" t="s">
        <v>1251</v>
      </c>
      <c r="B4" s="151" t="s">
        <v>1251</v>
      </c>
      <c r="C4" s="151" t="s">
        <v>1415</v>
      </c>
      <c r="D4" s="151" t="s">
        <v>1416</v>
      </c>
      <c r="E4" s="151" t="s">
        <v>420</v>
      </c>
      <c r="F4" s="151" t="s">
        <v>2142</v>
      </c>
      <c r="G4" s="151" t="s">
        <v>2143</v>
      </c>
      <c r="H4" s="151" t="s">
        <v>75</v>
      </c>
      <c r="I4" s="151" t="s">
        <v>224</v>
      </c>
      <c r="J4" s="151" t="s">
        <v>52</v>
      </c>
      <c r="K4" s="151" t="s">
        <v>52</v>
      </c>
      <c r="L4" s="151" t="s">
        <v>101</v>
      </c>
      <c r="M4" s="151" t="s">
        <v>251</v>
      </c>
      <c r="N4" s="151" t="s">
        <v>61</v>
      </c>
      <c r="O4" s="151" t="s">
        <v>2144</v>
      </c>
      <c r="P4" s="151" t="s">
        <v>1419</v>
      </c>
      <c r="Q4" s="151" t="s">
        <v>64</v>
      </c>
      <c r="R4" s="151" t="s">
        <v>63</v>
      </c>
      <c r="S4" s="151" t="s">
        <v>1255</v>
      </c>
      <c r="T4" s="152">
        <v>1.46</v>
      </c>
      <c r="U4" s="151" t="s">
        <v>2145</v>
      </c>
      <c r="V4" s="153">
        <v>5.8500000000000003E-2</v>
      </c>
      <c r="W4" s="153">
        <v>6.25E-2</v>
      </c>
      <c r="X4" s="151" t="s">
        <v>607</v>
      </c>
      <c r="Y4" s="151"/>
      <c r="Z4" s="151" t="s">
        <v>749</v>
      </c>
      <c r="AA4" s="151" t="s">
        <v>297</v>
      </c>
      <c r="AB4" s="162">
        <v>46112</v>
      </c>
      <c r="AC4" s="162">
        <v>46112</v>
      </c>
      <c r="AD4" s="152">
        <v>1076969.78</v>
      </c>
      <c r="AE4" s="152">
        <v>1</v>
      </c>
      <c r="AF4" s="152">
        <v>100.67</v>
      </c>
      <c r="AG4" s="152">
        <v>1084.1849999999999</v>
      </c>
      <c r="AH4" s="151"/>
      <c r="AI4" s="151"/>
      <c r="AJ4" s="151"/>
      <c r="AK4" s="153">
        <v>0.14280000000000001</v>
      </c>
      <c r="AL4" s="154">
        <v>1.48E-3</v>
      </c>
      <c r="AM4" s="174"/>
    </row>
    <row r="5" spans="1:39" x14ac:dyDescent="0.2">
      <c r="A5" s="150" t="s">
        <v>1251</v>
      </c>
      <c r="B5" s="151" t="s">
        <v>1251</v>
      </c>
      <c r="C5" s="151" t="s">
        <v>2146</v>
      </c>
      <c r="D5" s="151" t="s">
        <v>2147</v>
      </c>
      <c r="E5" s="151" t="s">
        <v>420</v>
      </c>
      <c r="F5" s="151" t="s">
        <v>2148</v>
      </c>
      <c r="G5" s="151" t="s">
        <v>2149</v>
      </c>
      <c r="H5" s="151" t="s">
        <v>75</v>
      </c>
      <c r="I5" s="151" t="s">
        <v>225</v>
      </c>
      <c r="J5" s="151" t="s">
        <v>52</v>
      </c>
      <c r="K5" s="151" t="s">
        <v>52</v>
      </c>
      <c r="L5" s="151" t="s">
        <v>911</v>
      </c>
      <c r="M5" s="151" t="s">
        <v>1211</v>
      </c>
      <c r="N5" s="151" t="s">
        <v>61</v>
      </c>
      <c r="O5" s="151" t="s">
        <v>2150</v>
      </c>
      <c r="P5" s="151" t="s">
        <v>1254</v>
      </c>
      <c r="Q5" s="151" t="s">
        <v>69</v>
      </c>
      <c r="R5" s="151" t="s">
        <v>56</v>
      </c>
      <c r="S5" s="151" t="s">
        <v>1255</v>
      </c>
      <c r="T5" s="152">
        <v>6.1</v>
      </c>
      <c r="U5" s="151" t="s">
        <v>2151</v>
      </c>
      <c r="V5" s="153">
        <v>2.7699999999999999E-2</v>
      </c>
      <c r="W5" s="153">
        <v>1.7500000000000002E-2</v>
      </c>
      <c r="X5" s="151" t="s">
        <v>607</v>
      </c>
      <c r="Y5" s="151"/>
      <c r="Z5" s="151" t="s">
        <v>749</v>
      </c>
      <c r="AA5" s="151" t="s">
        <v>297</v>
      </c>
      <c r="AB5" s="162">
        <v>46112</v>
      </c>
      <c r="AC5" s="162">
        <v>46112</v>
      </c>
      <c r="AD5" s="152">
        <v>944444.4</v>
      </c>
      <c r="AE5" s="152">
        <v>1</v>
      </c>
      <c r="AF5" s="152">
        <v>105.42</v>
      </c>
      <c r="AG5" s="152">
        <v>995.63300000000004</v>
      </c>
      <c r="AH5" s="151"/>
      <c r="AI5" s="151"/>
      <c r="AJ5" s="151"/>
      <c r="AK5" s="153">
        <v>0.13113</v>
      </c>
      <c r="AL5" s="154">
        <v>1.3600000000000001E-3</v>
      </c>
      <c r="AM5" s="174"/>
    </row>
    <row r="6" spans="1:39" x14ac:dyDescent="0.2">
      <c r="A6" s="150" t="s">
        <v>1251</v>
      </c>
      <c r="B6" s="151" t="s">
        <v>1251</v>
      </c>
      <c r="C6" s="151" t="s">
        <v>2152</v>
      </c>
      <c r="D6" s="151" t="s">
        <v>2153</v>
      </c>
      <c r="E6" s="151" t="s">
        <v>420</v>
      </c>
      <c r="F6" s="151" t="s">
        <v>2154</v>
      </c>
      <c r="G6" s="151" t="s">
        <v>2155</v>
      </c>
      <c r="H6" s="151" t="s">
        <v>75</v>
      </c>
      <c r="I6" s="151" t="s">
        <v>1185</v>
      </c>
      <c r="J6" s="151" t="s">
        <v>52</v>
      </c>
      <c r="K6" s="151" t="s">
        <v>52</v>
      </c>
      <c r="L6" s="151" t="s">
        <v>911</v>
      </c>
      <c r="M6" s="151" t="s">
        <v>1211</v>
      </c>
      <c r="N6" s="151" t="s">
        <v>61</v>
      </c>
      <c r="O6" s="151" t="s">
        <v>2156</v>
      </c>
      <c r="P6" s="151" t="s">
        <v>1419</v>
      </c>
      <c r="Q6" s="151" t="s">
        <v>64</v>
      </c>
      <c r="R6" s="151" t="s">
        <v>56</v>
      </c>
      <c r="S6" s="151" t="s">
        <v>1255</v>
      </c>
      <c r="T6" s="152">
        <v>8.9</v>
      </c>
      <c r="U6" s="151" t="s">
        <v>2157</v>
      </c>
      <c r="V6" s="153">
        <v>2.9100000000000001E-2</v>
      </c>
      <c r="W6" s="153">
        <v>4.1000000000000002E-2</v>
      </c>
      <c r="X6" s="151" t="s">
        <v>607</v>
      </c>
      <c r="Y6" s="151"/>
      <c r="Z6" s="151" t="s">
        <v>749</v>
      </c>
      <c r="AA6" s="151" t="s">
        <v>297</v>
      </c>
      <c r="AB6" s="162">
        <v>46112</v>
      </c>
      <c r="AC6" s="162">
        <v>46112</v>
      </c>
      <c r="AD6" s="152">
        <v>661214.76</v>
      </c>
      <c r="AE6" s="152">
        <v>1</v>
      </c>
      <c r="AF6" s="152">
        <v>138.87</v>
      </c>
      <c r="AG6" s="152">
        <v>918.22900000000004</v>
      </c>
      <c r="AH6" s="151"/>
      <c r="AI6" s="151"/>
      <c r="AJ6" s="151"/>
      <c r="AK6" s="153">
        <v>0.12094000000000001</v>
      </c>
      <c r="AL6" s="154">
        <v>1.25E-3</v>
      </c>
      <c r="AM6" s="174"/>
    </row>
    <row r="7" spans="1:39" x14ac:dyDescent="0.2">
      <c r="A7" s="150" t="s">
        <v>1251</v>
      </c>
      <c r="B7" s="151" t="s">
        <v>1251</v>
      </c>
      <c r="C7" s="151" t="s">
        <v>2158</v>
      </c>
      <c r="D7" s="151" t="s">
        <v>2159</v>
      </c>
      <c r="E7" s="151" t="s">
        <v>420</v>
      </c>
      <c r="F7" s="151" t="s">
        <v>2160</v>
      </c>
      <c r="G7" s="151" t="s">
        <v>2161</v>
      </c>
      <c r="H7" s="151" t="s">
        <v>75</v>
      </c>
      <c r="I7" s="151" t="s">
        <v>224</v>
      </c>
      <c r="J7" s="151" t="s">
        <v>52</v>
      </c>
      <c r="K7" s="151" t="s">
        <v>52</v>
      </c>
      <c r="L7" s="151" t="s">
        <v>101</v>
      </c>
      <c r="M7" s="151" t="s">
        <v>623</v>
      </c>
      <c r="N7" s="151" t="s">
        <v>61</v>
      </c>
      <c r="O7" s="151" t="s">
        <v>2162</v>
      </c>
      <c r="P7" s="151" t="s">
        <v>1254</v>
      </c>
      <c r="Q7" s="151" t="s">
        <v>69</v>
      </c>
      <c r="R7" s="151" t="s">
        <v>56</v>
      </c>
      <c r="S7" s="151" t="s">
        <v>1255</v>
      </c>
      <c r="T7" s="152">
        <v>4</v>
      </c>
      <c r="U7" s="151" t="s">
        <v>2163</v>
      </c>
      <c r="V7" s="153">
        <v>4.41E-2</v>
      </c>
      <c r="W7" s="153">
        <v>3.7400000000000003E-2</v>
      </c>
      <c r="X7" s="151" t="s">
        <v>607</v>
      </c>
      <c r="Y7" s="151"/>
      <c r="Z7" s="151" t="s">
        <v>749</v>
      </c>
      <c r="AA7" s="151" t="s">
        <v>297</v>
      </c>
      <c r="AB7" s="162">
        <v>46112</v>
      </c>
      <c r="AC7" s="162">
        <v>46112</v>
      </c>
      <c r="AD7" s="152">
        <v>707563.84</v>
      </c>
      <c r="AE7" s="152">
        <v>1</v>
      </c>
      <c r="AF7" s="152">
        <v>97.69</v>
      </c>
      <c r="AG7" s="152">
        <v>691.21900000000005</v>
      </c>
      <c r="AH7" s="151"/>
      <c r="AI7" s="151"/>
      <c r="AJ7" s="151"/>
      <c r="AK7" s="153">
        <v>9.1039999999999996E-2</v>
      </c>
      <c r="AL7" s="154">
        <v>9.3999999999999997E-4</v>
      </c>
      <c r="AM7" s="174"/>
    </row>
    <row r="8" spans="1:39" x14ac:dyDescent="0.2">
      <c r="A8" s="150" t="s">
        <v>1251</v>
      </c>
      <c r="B8" s="151" t="s">
        <v>1251</v>
      </c>
      <c r="C8" s="151" t="s">
        <v>1878</v>
      </c>
      <c r="D8" s="151" t="s">
        <v>1879</v>
      </c>
      <c r="E8" s="151" t="s">
        <v>420</v>
      </c>
      <c r="F8" s="151" t="s">
        <v>2164</v>
      </c>
      <c r="G8" s="151" t="s">
        <v>2165</v>
      </c>
      <c r="H8" s="151" t="s">
        <v>75</v>
      </c>
      <c r="I8" s="151" t="s">
        <v>224</v>
      </c>
      <c r="J8" s="151" t="s">
        <v>52</v>
      </c>
      <c r="K8" s="151" t="s">
        <v>52</v>
      </c>
      <c r="L8" s="151" t="s">
        <v>101</v>
      </c>
      <c r="M8" s="151" t="s">
        <v>616</v>
      </c>
      <c r="N8" s="151" t="s">
        <v>61</v>
      </c>
      <c r="O8" s="151" t="s">
        <v>2166</v>
      </c>
      <c r="P8" s="151" t="s">
        <v>1371</v>
      </c>
      <c r="Q8" s="151" t="s">
        <v>64</v>
      </c>
      <c r="R8" s="151" t="s">
        <v>56</v>
      </c>
      <c r="S8" s="151" t="s">
        <v>1255</v>
      </c>
      <c r="T8" s="152">
        <v>2.5</v>
      </c>
      <c r="U8" s="151" t="s">
        <v>2167</v>
      </c>
      <c r="V8" s="153">
        <v>4.9299999999999997E-2</v>
      </c>
      <c r="W8" s="153">
        <v>3.3500000000000002E-2</v>
      </c>
      <c r="X8" s="151" t="s">
        <v>607</v>
      </c>
      <c r="Y8" s="151"/>
      <c r="Z8" s="151" t="s">
        <v>749</v>
      </c>
      <c r="AA8" s="151" t="s">
        <v>297</v>
      </c>
      <c r="AB8" s="162">
        <v>46112</v>
      </c>
      <c r="AC8" s="162">
        <v>46112</v>
      </c>
      <c r="AD8" s="152">
        <v>575288.43999999994</v>
      </c>
      <c r="AE8" s="152">
        <v>1</v>
      </c>
      <c r="AF8" s="152">
        <v>97.24</v>
      </c>
      <c r="AG8" s="152">
        <v>559.41</v>
      </c>
      <c r="AH8" s="151"/>
      <c r="AI8" s="151"/>
      <c r="AJ8" s="151"/>
      <c r="AK8" s="153">
        <v>7.3679999999999995E-2</v>
      </c>
      <c r="AL8" s="154">
        <v>7.6000000000000004E-4</v>
      </c>
      <c r="AM8" s="174"/>
    </row>
    <row r="9" spans="1:39" x14ac:dyDescent="0.2">
      <c r="A9" s="150" t="s">
        <v>1251</v>
      </c>
      <c r="B9" s="151" t="s">
        <v>1251</v>
      </c>
      <c r="C9" s="151" t="s">
        <v>2168</v>
      </c>
      <c r="D9" s="151" t="s">
        <v>2169</v>
      </c>
      <c r="E9" s="151" t="s">
        <v>420</v>
      </c>
      <c r="F9" s="151" t="s">
        <v>2170</v>
      </c>
      <c r="G9" s="151" t="s">
        <v>2171</v>
      </c>
      <c r="H9" s="151" t="s">
        <v>75</v>
      </c>
      <c r="I9" s="151" t="s">
        <v>224</v>
      </c>
      <c r="J9" s="151" t="s">
        <v>52</v>
      </c>
      <c r="K9" s="151" t="s">
        <v>52</v>
      </c>
      <c r="L9" s="151" t="s">
        <v>101</v>
      </c>
      <c r="M9" s="151" t="s">
        <v>675</v>
      </c>
      <c r="N9" s="151" t="s">
        <v>61</v>
      </c>
      <c r="O9" s="151" t="s">
        <v>2172</v>
      </c>
      <c r="P9" s="151" t="s">
        <v>1503</v>
      </c>
      <c r="Q9" s="151" t="s">
        <v>69</v>
      </c>
      <c r="R9" s="151" t="s">
        <v>56</v>
      </c>
      <c r="S9" s="151" t="s">
        <v>1255</v>
      </c>
      <c r="T9" s="152">
        <v>1.1000000000000001</v>
      </c>
      <c r="U9" s="151" t="s">
        <v>1540</v>
      </c>
      <c r="V9" s="153">
        <v>5.1299999999999998E-2</v>
      </c>
      <c r="W9" s="153">
        <v>4.4699999999999997E-2</v>
      </c>
      <c r="X9" s="151" t="s">
        <v>607</v>
      </c>
      <c r="Y9" s="151"/>
      <c r="Z9" s="151" t="s">
        <v>749</v>
      </c>
      <c r="AA9" s="151" t="s">
        <v>297</v>
      </c>
      <c r="AB9" s="162">
        <v>46112</v>
      </c>
      <c r="AC9" s="162">
        <v>46112</v>
      </c>
      <c r="AD9" s="152">
        <v>556615.73</v>
      </c>
      <c r="AE9" s="152">
        <v>1</v>
      </c>
      <c r="AF9" s="152">
        <v>100.47</v>
      </c>
      <c r="AG9" s="152">
        <v>559.23199999999997</v>
      </c>
      <c r="AH9" s="151"/>
      <c r="AI9" s="151"/>
      <c r="AJ9" s="151"/>
      <c r="AK9" s="153">
        <v>7.3660000000000003E-2</v>
      </c>
      <c r="AL9" s="154">
        <v>7.6000000000000004E-4</v>
      </c>
      <c r="AM9" s="174"/>
    </row>
    <row r="10" spans="1:39" x14ac:dyDescent="0.2">
      <c r="A10" s="150" t="s">
        <v>1251</v>
      </c>
      <c r="B10" s="151" t="s">
        <v>1251</v>
      </c>
      <c r="C10" s="151" t="s">
        <v>2173</v>
      </c>
      <c r="D10" s="151" t="s">
        <v>2174</v>
      </c>
      <c r="E10" s="151" t="s">
        <v>420</v>
      </c>
      <c r="F10" s="151" t="s">
        <v>2175</v>
      </c>
      <c r="G10" s="151" t="s">
        <v>2176</v>
      </c>
      <c r="H10" s="151" t="s">
        <v>75</v>
      </c>
      <c r="I10" s="151" t="s">
        <v>225</v>
      </c>
      <c r="J10" s="151" t="s">
        <v>52</v>
      </c>
      <c r="K10" s="151" t="s">
        <v>52</v>
      </c>
      <c r="L10" s="151" t="s">
        <v>101</v>
      </c>
      <c r="M10" s="151" t="s">
        <v>618</v>
      </c>
      <c r="N10" s="151" t="s">
        <v>61</v>
      </c>
      <c r="O10" s="151" t="s">
        <v>2177</v>
      </c>
      <c r="P10" s="151" t="s">
        <v>1390</v>
      </c>
      <c r="Q10" s="151" t="s">
        <v>69</v>
      </c>
      <c r="R10" s="151" t="s">
        <v>56</v>
      </c>
      <c r="S10" s="151" t="s">
        <v>1255</v>
      </c>
      <c r="T10" s="152">
        <v>2.94</v>
      </c>
      <c r="U10" s="151" t="s">
        <v>2178</v>
      </c>
      <c r="V10" s="153">
        <v>4.8000000000000001E-2</v>
      </c>
      <c r="W10" s="153">
        <v>4.4499999999999998E-2</v>
      </c>
      <c r="X10" s="151" t="s">
        <v>607</v>
      </c>
      <c r="Y10" s="151"/>
      <c r="Z10" s="151" t="s">
        <v>749</v>
      </c>
      <c r="AA10" s="151" t="s">
        <v>297</v>
      </c>
      <c r="AB10" s="162">
        <v>46112</v>
      </c>
      <c r="AC10" s="162">
        <v>46112</v>
      </c>
      <c r="AD10" s="152">
        <v>527000.02</v>
      </c>
      <c r="AE10" s="152">
        <v>1</v>
      </c>
      <c r="AF10" s="152">
        <v>104.03</v>
      </c>
      <c r="AG10" s="152">
        <v>548.23800000000006</v>
      </c>
      <c r="AH10" s="151"/>
      <c r="AI10" s="151"/>
      <c r="AJ10" s="151"/>
      <c r="AK10" s="153">
        <v>7.2209999999999996E-2</v>
      </c>
      <c r="AL10" s="154">
        <v>7.5000000000000002E-4</v>
      </c>
      <c r="AM10" s="174"/>
    </row>
    <row r="11" spans="1:39" x14ac:dyDescent="0.2">
      <c r="A11" s="150" t="s">
        <v>1251</v>
      </c>
      <c r="B11" s="151" t="s">
        <v>1251</v>
      </c>
      <c r="C11" s="151" t="s">
        <v>2158</v>
      </c>
      <c r="D11" s="151" t="s">
        <v>2159</v>
      </c>
      <c r="E11" s="151" t="s">
        <v>420</v>
      </c>
      <c r="F11" s="151" t="s">
        <v>2179</v>
      </c>
      <c r="G11" s="151" t="s">
        <v>2180</v>
      </c>
      <c r="H11" s="151" t="s">
        <v>75</v>
      </c>
      <c r="I11" s="151" t="s">
        <v>225</v>
      </c>
      <c r="J11" s="151" t="s">
        <v>52</v>
      </c>
      <c r="K11" s="151" t="s">
        <v>52</v>
      </c>
      <c r="L11" s="151" t="s">
        <v>101</v>
      </c>
      <c r="M11" s="151" t="s">
        <v>623</v>
      </c>
      <c r="N11" s="151" t="s">
        <v>61</v>
      </c>
      <c r="O11" s="151" t="s">
        <v>2162</v>
      </c>
      <c r="P11" s="151" t="s">
        <v>1254</v>
      </c>
      <c r="Q11" s="151" t="s">
        <v>69</v>
      </c>
      <c r="R11" s="151" t="s">
        <v>56</v>
      </c>
      <c r="S11" s="151" t="s">
        <v>1255</v>
      </c>
      <c r="T11" s="152">
        <v>4.2</v>
      </c>
      <c r="U11" s="151" t="s">
        <v>2163</v>
      </c>
      <c r="V11" s="153">
        <v>2.4299999999999999E-2</v>
      </c>
      <c r="W11" s="153">
        <v>2.1399999999999999E-2</v>
      </c>
      <c r="X11" s="151" t="s">
        <v>607</v>
      </c>
      <c r="Y11" s="151"/>
      <c r="Z11" s="151" t="s">
        <v>749</v>
      </c>
      <c r="AA11" s="151" t="s">
        <v>297</v>
      </c>
      <c r="AB11" s="162">
        <v>46112</v>
      </c>
      <c r="AC11" s="162">
        <v>46112</v>
      </c>
      <c r="AD11" s="152">
        <v>326765.84000000003</v>
      </c>
      <c r="AE11" s="152">
        <v>1</v>
      </c>
      <c r="AF11" s="152">
        <v>118.21</v>
      </c>
      <c r="AG11" s="152">
        <v>386.27</v>
      </c>
      <c r="AH11" s="151"/>
      <c r="AI11" s="151"/>
      <c r="AJ11" s="151"/>
      <c r="AK11" s="153">
        <v>5.0880000000000002E-2</v>
      </c>
      <c r="AL11" s="154">
        <v>5.2999999999999998E-4</v>
      </c>
      <c r="AM11" s="174"/>
    </row>
    <row r="12" spans="1:39" x14ac:dyDescent="0.2">
      <c r="A12" s="150" t="s">
        <v>1251</v>
      </c>
      <c r="B12" s="151" t="s">
        <v>1251</v>
      </c>
      <c r="C12" s="151" t="s">
        <v>2181</v>
      </c>
      <c r="D12" s="151" t="s">
        <v>2182</v>
      </c>
      <c r="E12" s="151" t="s">
        <v>420</v>
      </c>
      <c r="F12" s="151" t="s">
        <v>2183</v>
      </c>
      <c r="G12" s="151" t="s">
        <v>2184</v>
      </c>
      <c r="H12" s="151" t="s">
        <v>75</v>
      </c>
      <c r="I12" s="151" t="s">
        <v>224</v>
      </c>
      <c r="J12" s="151" t="s">
        <v>52</v>
      </c>
      <c r="K12" s="151" t="s">
        <v>52</v>
      </c>
      <c r="L12" s="151" t="s">
        <v>101</v>
      </c>
      <c r="M12" s="151" t="s">
        <v>675</v>
      </c>
      <c r="N12" s="151" t="s">
        <v>61</v>
      </c>
      <c r="O12" s="151" t="s">
        <v>2185</v>
      </c>
      <c r="P12" s="151" t="s">
        <v>1407</v>
      </c>
      <c r="Q12" s="151" t="s">
        <v>69</v>
      </c>
      <c r="R12" s="151" t="s">
        <v>56</v>
      </c>
      <c r="S12" s="151" t="s">
        <v>1255</v>
      </c>
      <c r="T12" s="152">
        <v>1.36</v>
      </c>
      <c r="U12" s="151" t="s">
        <v>2186</v>
      </c>
      <c r="V12" s="153">
        <v>4.48E-2</v>
      </c>
      <c r="W12" s="153">
        <v>2.1000000000000001E-2</v>
      </c>
      <c r="X12" s="151" t="s">
        <v>607</v>
      </c>
      <c r="Y12" s="151"/>
      <c r="Z12" s="151" t="s">
        <v>749</v>
      </c>
      <c r="AA12" s="151" t="s">
        <v>297</v>
      </c>
      <c r="AB12" s="162">
        <v>46112</v>
      </c>
      <c r="AC12" s="162">
        <v>46112</v>
      </c>
      <c r="AD12" s="152">
        <v>229429.15</v>
      </c>
      <c r="AE12" s="152">
        <v>1</v>
      </c>
      <c r="AF12" s="152">
        <v>97.14</v>
      </c>
      <c r="AG12" s="152">
        <v>222.86699999999999</v>
      </c>
      <c r="AH12" s="151"/>
      <c r="AI12" s="151"/>
      <c r="AJ12" s="151"/>
      <c r="AK12" s="153">
        <v>2.9350000000000001E-2</v>
      </c>
      <c r="AL12" s="154">
        <v>2.9999999999999997E-4</v>
      </c>
      <c r="AM12" s="174"/>
    </row>
    <row r="13" spans="1:39" x14ac:dyDescent="0.2">
      <c r="A13" s="150" t="s">
        <v>1251</v>
      </c>
      <c r="B13" s="151" t="s">
        <v>1251</v>
      </c>
      <c r="C13" s="151" t="s">
        <v>1367</v>
      </c>
      <c r="D13" s="151" t="s">
        <v>1368</v>
      </c>
      <c r="E13" s="151" t="s">
        <v>420</v>
      </c>
      <c r="F13" s="151" t="s">
        <v>2187</v>
      </c>
      <c r="G13" s="151" t="s">
        <v>2188</v>
      </c>
      <c r="H13" s="151" t="s">
        <v>75</v>
      </c>
      <c r="I13" s="151" t="s">
        <v>224</v>
      </c>
      <c r="J13" s="151" t="s">
        <v>52</v>
      </c>
      <c r="K13" s="151" t="s">
        <v>52</v>
      </c>
      <c r="L13" s="151" t="s">
        <v>101</v>
      </c>
      <c r="M13" s="151" t="s">
        <v>251</v>
      </c>
      <c r="N13" s="151" t="s">
        <v>61</v>
      </c>
      <c r="O13" s="151" t="s">
        <v>2189</v>
      </c>
      <c r="P13" s="151" t="s">
        <v>1578</v>
      </c>
      <c r="Q13" s="151" t="s">
        <v>69</v>
      </c>
      <c r="R13" s="151" t="s">
        <v>63</v>
      </c>
      <c r="S13" s="151" t="s">
        <v>1255</v>
      </c>
      <c r="T13" s="152">
        <v>0.72</v>
      </c>
      <c r="U13" s="151" t="s">
        <v>2190</v>
      </c>
      <c r="V13" s="153">
        <v>6.7299999999999999E-2</v>
      </c>
      <c r="W13" s="153">
        <v>6.3E-2</v>
      </c>
      <c r="X13" s="151" t="s">
        <v>607</v>
      </c>
      <c r="Y13" s="151"/>
      <c r="Z13" s="151" t="s">
        <v>749</v>
      </c>
      <c r="AA13" s="151" t="s">
        <v>297</v>
      </c>
      <c r="AB13" s="162">
        <v>46112</v>
      </c>
      <c r="AC13" s="162">
        <v>46112</v>
      </c>
      <c r="AD13" s="152">
        <v>125041.47</v>
      </c>
      <c r="AE13" s="152">
        <v>1</v>
      </c>
      <c r="AF13" s="152">
        <v>99.95</v>
      </c>
      <c r="AG13" s="152">
        <v>124.979</v>
      </c>
      <c r="AH13" s="151"/>
      <c r="AI13" s="151"/>
      <c r="AJ13" s="151"/>
      <c r="AK13" s="153">
        <v>1.6459999999999999E-2</v>
      </c>
      <c r="AL13" s="154">
        <v>1.7000000000000001E-4</v>
      </c>
      <c r="AM13" s="174"/>
    </row>
    <row r="14" spans="1:39" x14ac:dyDescent="0.2">
      <c r="A14" s="150" t="s">
        <v>1251</v>
      </c>
      <c r="B14" s="151" t="s">
        <v>1251</v>
      </c>
      <c r="C14" s="151" t="s">
        <v>2191</v>
      </c>
      <c r="D14" s="151" t="s">
        <v>2192</v>
      </c>
      <c r="E14" s="151" t="s">
        <v>420</v>
      </c>
      <c r="F14" s="151" t="s">
        <v>2193</v>
      </c>
      <c r="G14" s="151" t="s">
        <v>2194</v>
      </c>
      <c r="H14" s="151" t="s">
        <v>75</v>
      </c>
      <c r="I14" s="151" t="s">
        <v>225</v>
      </c>
      <c r="J14" s="151" t="s">
        <v>52</v>
      </c>
      <c r="K14" s="151" t="s">
        <v>52</v>
      </c>
      <c r="L14" s="151" t="s">
        <v>911</v>
      </c>
      <c r="M14" s="151" t="s">
        <v>675</v>
      </c>
      <c r="N14" s="151" t="s">
        <v>61</v>
      </c>
      <c r="O14" s="151" t="s">
        <v>2195</v>
      </c>
      <c r="P14" s="151" t="s">
        <v>290</v>
      </c>
      <c r="Q14" s="151" t="s">
        <v>290</v>
      </c>
      <c r="R14" s="151" t="s">
        <v>290</v>
      </c>
      <c r="S14" s="151" t="s">
        <v>1255</v>
      </c>
      <c r="T14" s="152">
        <v>0.8</v>
      </c>
      <c r="U14" s="151" t="s">
        <v>2196</v>
      </c>
      <c r="V14" s="153">
        <v>1.8700000000000001E-2</v>
      </c>
      <c r="W14" s="153">
        <v>5.6000000000000001E-2</v>
      </c>
      <c r="X14" s="151" t="s">
        <v>607</v>
      </c>
      <c r="Y14" s="151"/>
      <c r="Z14" s="151" t="s">
        <v>294</v>
      </c>
      <c r="AA14" s="151" t="s">
        <v>296</v>
      </c>
      <c r="AB14" s="162">
        <v>46022</v>
      </c>
      <c r="AC14" s="162">
        <v>46022</v>
      </c>
      <c r="AD14" s="152">
        <v>208941.63</v>
      </c>
      <c r="AE14" s="152">
        <v>1</v>
      </c>
      <c r="AF14" s="152">
        <v>13.23</v>
      </c>
      <c r="AG14" s="152">
        <v>27.643000000000001</v>
      </c>
      <c r="AH14" s="151"/>
      <c r="AI14" s="151"/>
      <c r="AJ14" s="151"/>
      <c r="AK14" s="153">
        <v>3.64E-3</v>
      </c>
      <c r="AL14" s="154">
        <v>4.0000000000000003E-5</v>
      </c>
      <c r="AM14" s="174"/>
    </row>
    <row r="15" spans="1:39" x14ac:dyDescent="0.2">
      <c r="A15" s="150" t="s">
        <v>1264</v>
      </c>
      <c r="B15" s="151" t="s">
        <v>1264</v>
      </c>
      <c r="C15" s="151" t="s">
        <v>2136</v>
      </c>
      <c r="D15" s="151" t="s">
        <v>2137</v>
      </c>
      <c r="E15" s="151" t="s">
        <v>420</v>
      </c>
      <c r="F15" s="151" t="s">
        <v>2138</v>
      </c>
      <c r="G15" s="151" t="s">
        <v>2139</v>
      </c>
      <c r="H15" s="151" t="s">
        <v>75</v>
      </c>
      <c r="I15" s="151" t="s">
        <v>224</v>
      </c>
      <c r="J15" s="151" t="s">
        <v>52</v>
      </c>
      <c r="K15" s="151" t="s">
        <v>52</v>
      </c>
      <c r="L15" s="151" t="s">
        <v>101</v>
      </c>
      <c r="M15" s="151" t="s">
        <v>1212</v>
      </c>
      <c r="N15" s="151" t="s">
        <v>61</v>
      </c>
      <c r="O15" s="151" t="s">
        <v>2140</v>
      </c>
      <c r="P15" s="151" t="s">
        <v>1407</v>
      </c>
      <c r="Q15" s="151" t="s">
        <v>69</v>
      </c>
      <c r="R15" s="151" t="s">
        <v>56</v>
      </c>
      <c r="S15" s="151" t="s">
        <v>1255</v>
      </c>
      <c r="T15" s="152">
        <v>2.31</v>
      </c>
      <c r="U15" s="151" t="s">
        <v>2141</v>
      </c>
      <c r="V15" s="153">
        <v>5.5599999999999997E-2</v>
      </c>
      <c r="W15" s="153">
        <v>7.3300000000000004E-2</v>
      </c>
      <c r="X15" s="151" t="s">
        <v>607</v>
      </c>
      <c r="Y15" s="151"/>
      <c r="Z15" s="151" t="s">
        <v>749</v>
      </c>
      <c r="AA15" s="151" t="s">
        <v>297</v>
      </c>
      <c r="AB15" s="162">
        <v>46112</v>
      </c>
      <c r="AC15" s="162">
        <v>46112</v>
      </c>
      <c r="AD15" s="152">
        <v>17200000</v>
      </c>
      <c r="AE15" s="152">
        <v>1</v>
      </c>
      <c r="AF15" s="152">
        <v>109.23</v>
      </c>
      <c r="AG15" s="152">
        <v>18787.560000000001</v>
      </c>
      <c r="AH15" s="151"/>
      <c r="AI15" s="151"/>
      <c r="AJ15" s="151"/>
      <c r="AK15" s="153">
        <v>0.20016</v>
      </c>
      <c r="AL15" s="154">
        <v>1.8799999999999999E-3</v>
      </c>
      <c r="AM15" s="174"/>
    </row>
    <row r="16" spans="1:39" x14ac:dyDescent="0.2">
      <c r="A16" s="150" t="s">
        <v>1264</v>
      </c>
      <c r="B16" s="151" t="s">
        <v>1264</v>
      </c>
      <c r="C16" s="151" t="s">
        <v>1415</v>
      </c>
      <c r="D16" s="151" t="s">
        <v>1416</v>
      </c>
      <c r="E16" s="151" t="s">
        <v>420</v>
      </c>
      <c r="F16" s="151" t="s">
        <v>2142</v>
      </c>
      <c r="G16" s="151" t="s">
        <v>2143</v>
      </c>
      <c r="H16" s="151" t="s">
        <v>75</v>
      </c>
      <c r="I16" s="151" t="s">
        <v>224</v>
      </c>
      <c r="J16" s="151" t="s">
        <v>52</v>
      </c>
      <c r="K16" s="151" t="s">
        <v>52</v>
      </c>
      <c r="L16" s="151" t="s">
        <v>101</v>
      </c>
      <c r="M16" s="151" t="s">
        <v>251</v>
      </c>
      <c r="N16" s="151" t="s">
        <v>61</v>
      </c>
      <c r="O16" s="151" t="s">
        <v>2144</v>
      </c>
      <c r="P16" s="151" t="s">
        <v>1419</v>
      </c>
      <c r="Q16" s="151" t="s">
        <v>64</v>
      </c>
      <c r="R16" s="151" t="s">
        <v>63</v>
      </c>
      <c r="S16" s="151" t="s">
        <v>1255</v>
      </c>
      <c r="T16" s="152">
        <v>1.46</v>
      </c>
      <c r="U16" s="151" t="s">
        <v>2145</v>
      </c>
      <c r="V16" s="153">
        <v>5.8500000000000003E-2</v>
      </c>
      <c r="W16" s="153">
        <v>6.25E-2</v>
      </c>
      <c r="X16" s="151" t="s">
        <v>607</v>
      </c>
      <c r="Y16" s="151"/>
      <c r="Z16" s="151" t="s">
        <v>749</v>
      </c>
      <c r="AA16" s="151" t="s">
        <v>297</v>
      </c>
      <c r="AB16" s="162">
        <v>46112</v>
      </c>
      <c r="AC16" s="162">
        <v>46112</v>
      </c>
      <c r="AD16" s="152">
        <v>14243793.970000001</v>
      </c>
      <c r="AE16" s="152">
        <v>1</v>
      </c>
      <c r="AF16" s="152">
        <v>100.67</v>
      </c>
      <c r="AG16" s="152">
        <v>14339.227000000001</v>
      </c>
      <c r="AH16" s="151"/>
      <c r="AI16" s="151"/>
      <c r="AJ16" s="151"/>
      <c r="AK16" s="153">
        <v>0.15276999999999999</v>
      </c>
      <c r="AL16" s="154">
        <v>1.4400000000000001E-3</v>
      </c>
      <c r="AM16" s="174"/>
    </row>
    <row r="17" spans="1:39" x14ac:dyDescent="0.2">
      <c r="A17" s="150" t="s">
        <v>1264</v>
      </c>
      <c r="B17" s="151" t="s">
        <v>1264</v>
      </c>
      <c r="C17" s="151" t="s">
        <v>2146</v>
      </c>
      <c r="D17" s="151" t="s">
        <v>2147</v>
      </c>
      <c r="E17" s="151" t="s">
        <v>420</v>
      </c>
      <c r="F17" s="151" t="s">
        <v>2148</v>
      </c>
      <c r="G17" s="151" t="s">
        <v>2149</v>
      </c>
      <c r="H17" s="151" t="s">
        <v>75</v>
      </c>
      <c r="I17" s="151" t="s">
        <v>225</v>
      </c>
      <c r="J17" s="151" t="s">
        <v>52</v>
      </c>
      <c r="K17" s="151" t="s">
        <v>52</v>
      </c>
      <c r="L17" s="151" t="s">
        <v>911</v>
      </c>
      <c r="M17" s="151" t="s">
        <v>1211</v>
      </c>
      <c r="N17" s="151" t="s">
        <v>61</v>
      </c>
      <c r="O17" s="151" t="s">
        <v>2150</v>
      </c>
      <c r="P17" s="151" t="s">
        <v>1254</v>
      </c>
      <c r="Q17" s="151" t="s">
        <v>69</v>
      </c>
      <c r="R17" s="151" t="s">
        <v>56</v>
      </c>
      <c r="S17" s="151" t="s">
        <v>1255</v>
      </c>
      <c r="T17" s="152">
        <v>6.1</v>
      </c>
      <c r="U17" s="151" t="s">
        <v>2151</v>
      </c>
      <c r="V17" s="153">
        <v>2.7699999999999999E-2</v>
      </c>
      <c r="W17" s="153">
        <v>1.7500000000000002E-2</v>
      </c>
      <c r="X17" s="151" t="s">
        <v>607</v>
      </c>
      <c r="Y17" s="151"/>
      <c r="Z17" s="151" t="s">
        <v>749</v>
      </c>
      <c r="AA17" s="151" t="s">
        <v>297</v>
      </c>
      <c r="AB17" s="162">
        <v>46112</v>
      </c>
      <c r="AC17" s="162">
        <v>46112</v>
      </c>
      <c r="AD17" s="152">
        <v>12938888.279999999</v>
      </c>
      <c r="AE17" s="152">
        <v>1</v>
      </c>
      <c r="AF17" s="152">
        <v>105.42</v>
      </c>
      <c r="AG17" s="152">
        <v>13640.175999999999</v>
      </c>
      <c r="AH17" s="151"/>
      <c r="AI17" s="151"/>
      <c r="AJ17" s="151"/>
      <c r="AK17" s="153">
        <v>0.14532</v>
      </c>
      <c r="AL17" s="154">
        <v>1.3699999999999999E-3</v>
      </c>
      <c r="AM17" s="174"/>
    </row>
    <row r="18" spans="1:39" x14ac:dyDescent="0.2">
      <c r="A18" s="150" t="s">
        <v>1264</v>
      </c>
      <c r="B18" s="151" t="s">
        <v>1264</v>
      </c>
      <c r="C18" s="151" t="s">
        <v>2152</v>
      </c>
      <c r="D18" s="151" t="s">
        <v>2153</v>
      </c>
      <c r="E18" s="151" t="s">
        <v>420</v>
      </c>
      <c r="F18" s="151" t="s">
        <v>2154</v>
      </c>
      <c r="G18" s="151" t="s">
        <v>2155</v>
      </c>
      <c r="H18" s="151" t="s">
        <v>75</v>
      </c>
      <c r="I18" s="151" t="s">
        <v>1185</v>
      </c>
      <c r="J18" s="151" t="s">
        <v>52</v>
      </c>
      <c r="K18" s="151" t="s">
        <v>52</v>
      </c>
      <c r="L18" s="151" t="s">
        <v>911</v>
      </c>
      <c r="M18" s="151" t="s">
        <v>1211</v>
      </c>
      <c r="N18" s="151" t="s">
        <v>61</v>
      </c>
      <c r="O18" s="151" t="s">
        <v>2156</v>
      </c>
      <c r="P18" s="151" t="s">
        <v>1419</v>
      </c>
      <c r="Q18" s="151" t="s">
        <v>64</v>
      </c>
      <c r="R18" s="151" t="s">
        <v>56</v>
      </c>
      <c r="S18" s="151" t="s">
        <v>1255</v>
      </c>
      <c r="T18" s="152">
        <v>8.9</v>
      </c>
      <c r="U18" s="151" t="s">
        <v>2157</v>
      </c>
      <c r="V18" s="153">
        <v>2.9100000000000001E-2</v>
      </c>
      <c r="W18" s="153">
        <v>4.1000000000000002E-2</v>
      </c>
      <c r="X18" s="151" t="s">
        <v>607</v>
      </c>
      <c r="Y18" s="151"/>
      <c r="Z18" s="151" t="s">
        <v>749</v>
      </c>
      <c r="AA18" s="151" t="s">
        <v>297</v>
      </c>
      <c r="AB18" s="162">
        <v>46112</v>
      </c>
      <c r="AC18" s="162">
        <v>46112</v>
      </c>
      <c r="AD18" s="152">
        <v>8155456.7400000002</v>
      </c>
      <c r="AE18" s="152">
        <v>1</v>
      </c>
      <c r="AF18" s="152">
        <v>138.87</v>
      </c>
      <c r="AG18" s="152">
        <v>11325.483</v>
      </c>
      <c r="AH18" s="151"/>
      <c r="AI18" s="151"/>
      <c r="AJ18" s="151"/>
      <c r="AK18" s="153">
        <v>0.12066</v>
      </c>
      <c r="AL18" s="154">
        <v>1.1299999999999999E-3</v>
      </c>
      <c r="AM18" s="174"/>
    </row>
    <row r="19" spans="1:39" x14ac:dyDescent="0.2">
      <c r="A19" s="150" t="s">
        <v>1264</v>
      </c>
      <c r="B19" s="151" t="s">
        <v>1264</v>
      </c>
      <c r="C19" s="151" t="s">
        <v>2158</v>
      </c>
      <c r="D19" s="151" t="s">
        <v>2159</v>
      </c>
      <c r="E19" s="151" t="s">
        <v>420</v>
      </c>
      <c r="F19" s="151" t="s">
        <v>2160</v>
      </c>
      <c r="G19" s="151" t="s">
        <v>2161</v>
      </c>
      <c r="H19" s="151" t="s">
        <v>75</v>
      </c>
      <c r="I19" s="151" t="s">
        <v>224</v>
      </c>
      <c r="J19" s="151" t="s">
        <v>52</v>
      </c>
      <c r="K19" s="151" t="s">
        <v>52</v>
      </c>
      <c r="L19" s="151" t="s">
        <v>101</v>
      </c>
      <c r="M19" s="151" t="s">
        <v>623</v>
      </c>
      <c r="N19" s="151" t="s">
        <v>61</v>
      </c>
      <c r="O19" s="151" t="s">
        <v>2162</v>
      </c>
      <c r="P19" s="151" t="s">
        <v>1254</v>
      </c>
      <c r="Q19" s="151" t="s">
        <v>69</v>
      </c>
      <c r="R19" s="151" t="s">
        <v>56</v>
      </c>
      <c r="S19" s="151" t="s">
        <v>1255</v>
      </c>
      <c r="T19" s="152">
        <v>4</v>
      </c>
      <c r="U19" s="151" t="s">
        <v>2163</v>
      </c>
      <c r="V19" s="153">
        <v>4.41E-2</v>
      </c>
      <c r="W19" s="153">
        <v>3.7400000000000003E-2</v>
      </c>
      <c r="X19" s="151" t="s">
        <v>607</v>
      </c>
      <c r="Y19" s="151"/>
      <c r="Z19" s="151" t="s">
        <v>749</v>
      </c>
      <c r="AA19" s="151" t="s">
        <v>297</v>
      </c>
      <c r="AB19" s="162">
        <v>46112</v>
      </c>
      <c r="AC19" s="162">
        <v>46112</v>
      </c>
      <c r="AD19" s="152">
        <v>8362118.04</v>
      </c>
      <c r="AE19" s="152">
        <v>1</v>
      </c>
      <c r="AF19" s="152">
        <v>97.69</v>
      </c>
      <c r="AG19" s="152">
        <v>8168.9530000000004</v>
      </c>
      <c r="AH19" s="151"/>
      <c r="AI19" s="151"/>
      <c r="AJ19" s="151"/>
      <c r="AK19" s="153">
        <v>8.7029999999999996E-2</v>
      </c>
      <c r="AL19" s="154">
        <v>8.1999999999999998E-4</v>
      </c>
      <c r="AM19" s="174"/>
    </row>
    <row r="20" spans="1:39" x14ac:dyDescent="0.2">
      <c r="A20" s="150" t="s">
        <v>1264</v>
      </c>
      <c r="B20" s="151" t="s">
        <v>1264</v>
      </c>
      <c r="C20" s="151" t="s">
        <v>2173</v>
      </c>
      <c r="D20" s="151" t="s">
        <v>2174</v>
      </c>
      <c r="E20" s="151" t="s">
        <v>420</v>
      </c>
      <c r="F20" s="151" t="s">
        <v>2175</v>
      </c>
      <c r="G20" s="151" t="s">
        <v>2176</v>
      </c>
      <c r="H20" s="151" t="s">
        <v>75</v>
      </c>
      <c r="I20" s="151" t="s">
        <v>225</v>
      </c>
      <c r="J20" s="151" t="s">
        <v>52</v>
      </c>
      <c r="K20" s="151" t="s">
        <v>52</v>
      </c>
      <c r="L20" s="151" t="s">
        <v>101</v>
      </c>
      <c r="M20" s="151" t="s">
        <v>618</v>
      </c>
      <c r="N20" s="151" t="s">
        <v>61</v>
      </c>
      <c r="O20" s="151" t="s">
        <v>2177</v>
      </c>
      <c r="P20" s="151" t="s">
        <v>1390</v>
      </c>
      <c r="Q20" s="151" t="s">
        <v>69</v>
      </c>
      <c r="R20" s="151" t="s">
        <v>56</v>
      </c>
      <c r="S20" s="151" t="s">
        <v>1255</v>
      </c>
      <c r="T20" s="152">
        <v>2.94</v>
      </c>
      <c r="U20" s="151" t="s">
        <v>2178</v>
      </c>
      <c r="V20" s="153">
        <v>4.8000000000000001E-2</v>
      </c>
      <c r="W20" s="153">
        <v>4.4499999999999998E-2</v>
      </c>
      <c r="X20" s="151" t="s">
        <v>607</v>
      </c>
      <c r="Y20" s="151"/>
      <c r="Z20" s="151" t="s">
        <v>749</v>
      </c>
      <c r="AA20" s="151" t="s">
        <v>297</v>
      </c>
      <c r="AB20" s="162">
        <v>46112</v>
      </c>
      <c r="AC20" s="162">
        <v>46112</v>
      </c>
      <c r="AD20" s="152">
        <v>6800000.25</v>
      </c>
      <c r="AE20" s="152">
        <v>1</v>
      </c>
      <c r="AF20" s="152">
        <v>104.03</v>
      </c>
      <c r="AG20" s="152">
        <v>7074.04</v>
      </c>
      <c r="AH20" s="151"/>
      <c r="AI20" s="151"/>
      <c r="AJ20" s="151"/>
      <c r="AK20" s="153">
        <v>7.5370000000000006E-2</v>
      </c>
      <c r="AL20" s="154">
        <v>7.1000000000000002E-4</v>
      </c>
      <c r="AM20" s="174"/>
    </row>
    <row r="21" spans="1:39" x14ac:dyDescent="0.2">
      <c r="A21" s="150" t="s">
        <v>1264</v>
      </c>
      <c r="B21" s="151" t="s">
        <v>1264</v>
      </c>
      <c r="C21" s="151" t="s">
        <v>1878</v>
      </c>
      <c r="D21" s="151" t="s">
        <v>1879</v>
      </c>
      <c r="E21" s="151" t="s">
        <v>420</v>
      </c>
      <c r="F21" s="151" t="s">
        <v>2164</v>
      </c>
      <c r="G21" s="151" t="s">
        <v>2165</v>
      </c>
      <c r="H21" s="151" t="s">
        <v>75</v>
      </c>
      <c r="I21" s="151" t="s">
        <v>224</v>
      </c>
      <c r="J21" s="151" t="s">
        <v>52</v>
      </c>
      <c r="K21" s="151" t="s">
        <v>52</v>
      </c>
      <c r="L21" s="151" t="s">
        <v>101</v>
      </c>
      <c r="M21" s="151" t="s">
        <v>616</v>
      </c>
      <c r="N21" s="151" t="s">
        <v>61</v>
      </c>
      <c r="O21" s="151" t="s">
        <v>2166</v>
      </c>
      <c r="P21" s="151" t="s">
        <v>1371</v>
      </c>
      <c r="Q21" s="151" t="s">
        <v>64</v>
      </c>
      <c r="R21" s="151" t="s">
        <v>56</v>
      </c>
      <c r="S21" s="151" t="s">
        <v>1255</v>
      </c>
      <c r="T21" s="152">
        <v>2.5</v>
      </c>
      <c r="U21" s="151" t="s">
        <v>2167</v>
      </c>
      <c r="V21" s="153">
        <v>4.9299999999999997E-2</v>
      </c>
      <c r="W21" s="153">
        <v>3.3500000000000002E-2</v>
      </c>
      <c r="X21" s="151" t="s">
        <v>607</v>
      </c>
      <c r="Y21" s="151"/>
      <c r="Z21" s="151" t="s">
        <v>749</v>
      </c>
      <c r="AA21" s="151" t="s">
        <v>297</v>
      </c>
      <c r="AB21" s="162">
        <v>46112</v>
      </c>
      <c r="AC21" s="162">
        <v>46112</v>
      </c>
      <c r="AD21" s="152">
        <v>6163805.79</v>
      </c>
      <c r="AE21" s="152">
        <v>1</v>
      </c>
      <c r="AF21" s="152">
        <v>97.24</v>
      </c>
      <c r="AG21" s="152">
        <v>5993.6850000000004</v>
      </c>
      <c r="AH21" s="151"/>
      <c r="AI21" s="151"/>
      <c r="AJ21" s="151"/>
      <c r="AK21" s="153">
        <v>6.386E-2</v>
      </c>
      <c r="AL21" s="154">
        <v>5.9999999999999995E-4</v>
      </c>
      <c r="AM21" s="174"/>
    </row>
    <row r="22" spans="1:39" x14ac:dyDescent="0.2">
      <c r="A22" s="150" t="s">
        <v>1264</v>
      </c>
      <c r="B22" s="151" t="s">
        <v>1264</v>
      </c>
      <c r="C22" s="151" t="s">
        <v>2168</v>
      </c>
      <c r="D22" s="151" t="s">
        <v>2169</v>
      </c>
      <c r="E22" s="151" t="s">
        <v>420</v>
      </c>
      <c r="F22" s="151" t="s">
        <v>2170</v>
      </c>
      <c r="G22" s="151" t="s">
        <v>2171</v>
      </c>
      <c r="H22" s="151" t="s">
        <v>75</v>
      </c>
      <c r="I22" s="151" t="s">
        <v>224</v>
      </c>
      <c r="J22" s="151" t="s">
        <v>52</v>
      </c>
      <c r="K22" s="151" t="s">
        <v>52</v>
      </c>
      <c r="L22" s="151" t="s">
        <v>101</v>
      </c>
      <c r="M22" s="151" t="s">
        <v>675</v>
      </c>
      <c r="N22" s="151" t="s">
        <v>61</v>
      </c>
      <c r="O22" s="151" t="s">
        <v>2172</v>
      </c>
      <c r="P22" s="151" t="s">
        <v>1503</v>
      </c>
      <c r="Q22" s="151" t="s">
        <v>69</v>
      </c>
      <c r="R22" s="151" t="s">
        <v>56</v>
      </c>
      <c r="S22" s="151" t="s">
        <v>1255</v>
      </c>
      <c r="T22" s="152">
        <v>1.1000000000000001</v>
      </c>
      <c r="U22" s="151" t="s">
        <v>1540</v>
      </c>
      <c r="V22" s="153">
        <v>5.1299999999999998E-2</v>
      </c>
      <c r="W22" s="153">
        <v>4.4699999999999997E-2</v>
      </c>
      <c r="X22" s="151" t="s">
        <v>607</v>
      </c>
      <c r="Y22" s="151"/>
      <c r="Z22" s="151" t="s">
        <v>749</v>
      </c>
      <c r="AA22" s="151" t="s">
        <v>297</v>
      </c>
      <c r="AB22" s="162">
        <v>46112</v>
      </c>
      <c r="AC22" s="162">
        <v>46112</v>
      </c>
      <c r="AD22" s="152">
        <v>5566157.2400000002</v>
      </c>
      <c r="AE22" s="152">
        <v>1</v>
      </c>
      <c r="AF22" s="152">
        <v>100.47</v>
      </c>
      <c r="AG22" s="152">
        <v>5592.3180000000002</v>
      </c>
      <c r="AH22" s="151"/>
      <c r="AI22" s="151"/>
      <c r="AJ22" s="151"/>
      <c r="AK22" s="153">
        <v>5.9580000000000001E-2</v>
      </c>
      <c r="AL22" s="154">
        <v>5.5999999999999995E-4</v>
      </c>
      <c r="AM22" s="174"/>
    </row>
    <row r="23" spans="1:39" x14ac:dyDescent="0.2">
      <c r="A23" s="150" t="s">
        <v>1264</v>
      </c>
      <c r="B23" s="151" t="s">
        <v>1264</v>
      </c>
      <c r="C23" s="151" t="s">
        <v>2158</v>
      </c>
      <c r="D23" s="151" t="s">
        <v>2159</v>
      </c>
      <c r="E23" s="151" t="s">
        <v>420</v>
      </c>
      <c r="F23" s="151" t="s">
        <v>2179</v>
      </c>
      <c r="G23" s="151" t="s">
        <v>2180</v>
      </c>
      <c r="H23" s="151" t="s">
        <v>75</v>
      </c>
      <c r="I23" s="151" t="s">
        <v>225</v>
      </c>
      <c r="J23" s="151" t="s">
        <v>52</v>
      </c>
      <c r="K23" s="151" t="s">
        <v>52</v>
      </c>
      <c r="L23" s="151" t="s">
        <v>101</v>
      </c>
      <c r="M23" s="151" t="s">
        <v>623</v>
      </c>
      <c r="N23" s="151" t="s">
        <v>61</v>
      </c>
      <c r="O23" s="151" t="s">
        <v>2162</v>
      </c>
      <c r="P23" s="151" t="s">
        <v>1254</v>
      </c>
      <c r="Q23" s="151" t="s">
        <v>69</v>
      </c>
      <c r="R23" s="151" t="s">
        <v>56</v>
      </c>
      <c r="S23" s="151" t="s">
        <v>1255</v>
      </c>
      <c r="T23" s="152">
        <v>4.2</v>
      </c>
      <c r="U23" s="151" t="s">
        <v>2163</v>
      </c>
      <c r="V23" s="153">
        <v>2.4299999999999999E-2</v>
      </c>
      <c r="W23" s="153">
        <v>2.1399999999999999E-2</v>
      </c>
      <c r="X23" s="151" t="s">
        <v>607</v>
      </c>
      <c r="Y23" s="151"/>
      <c r="Z23" s="151" t="s">
        <v>749</v>
      </c>
      <c r="AA23" s="151" t="s">
        <v>297</v>
      </c>
      <c r="AB23" s="162">
        <v>46112</v>
      </c>
      <c r="AC23" s="162">
        <v>46112</v>
      </c>
      <c r="AD23" s="152">
        <v>3800904.28</v>
      </c>
      <c r="AE23" s="152">
        <v>1</v>
      </c>
      <c r="AF23" s="152">
        <v>118.21</v>
      </c>
      <c r="AG23" s="152">
        <v>4493.049</v>
      </c>
      <c r="AH23" s="151"/>
      <c r="AI23" s="151"/>
      <c r="AJ23" s="151"/>
      <c r="AK23" s="153">
        <v>4.7870000000000003E-2</v>
      </c>
      <c r="AL23" s="154">
        <v>4.4999999999999999E-4</v>
      </c>
      <c r="AM23" s="174"/>
    </row>
    <row r="24" spans="1:39" x14ac:dyDescent="0.2">
      <c r="A24" s="150" t="s">
        <v>1264</v>
      </c>
      <c r="B24" s="151" t="s">
        <v>1264</v>
      </c>
      <c r="C24" s="151" t="s">
        <v>2181</v>
      </c>
      <c r="D24" s="151" t="s">
        <v>2182</v>
      </c>
      <c r="E24" s="151" t="s">
        <v>420</v>
      </c>
      <c r="F24" s="151" t="s">
        <v>2183</v>
      </c>
      <c r="G24" s="151" t="s">
        <v>2184</v>
      </c>
      <c r="H24" s="151" t="s">
        <v>75</v>
      </c>
      <c r="I24" s="151" t="s">
        <v>224</v>
      </c>
      <c r="J24" s="151" t="s">
        <v>52</v>
      </c>
      <c r="K24" s="151" t="s">
        <v>52</v>
      </c>
      <c r="L24" s="151" t="s">
        <v>101</v>
      </c>
      <c r="M24" s="151" t="s">
        <v>675</v>
      </c>
      <c r="N24" s="151" t="s">
        <v>61</v>
      </c>
      <c r="O24" s="151" t="s">
        <v>2185</v>
      </c>
      <c r="P24" s="151" t="s">
        <v>1407</v>
      </c>
      <c r="Q24" s="151" t="s">
        <v>69</v>
      </c>
      <c r="R24" s="151" t="s">
        <v>56</v>
      </c>
      <c r="S24" s="151" t="s">
        <v>1255</v>
      </c>
      <c r="T24" s="152">
        <v>1.36</v>
      </c>
      <c r="U24" s="151" t="s">
        <v>2186</v>
      </c>
      <c r="V24" s="153">
        <v>4.48E-2</v>
      </c>
      <c r="W24" s="153">
        <v>2.1000000000000001E-2</v>
      </c>
      <c r="X24" s="151" t="s">
        <v>607</v>
      </c>
      <c r="Y24" s="151"/>
      <c r="Z24" s="151" t="s">
        <v>749</v>
      </c>
      <c r="AA24" s="151" t="s">
        <v>297</v>
      </c>
      <c r="AB24" s="162">
        <v>46112</v>
      </c>
      <c r="AC24" s="162">
        <v>46112</v>
      </c>
      <c r="AD24" s="152">
        <v>2613149.38</v>
      </c>
      <c r="AE24" s="152">
        <v>1</v>
      </c>
      <c r="AF24" s="152">
        <v>97.14</v>
      </c>
      <c r="AG24" s="152">
        <v>2538.413</v>
      </c>
      <c r="AH24" s="151"/>
      <c r="AI24" s="151"/>
      <c r="AJ24" s="151"/>
      <c r="AK24" s="153">
        <v>2.7040000000000002E-2</v>
      </c>
      <c r="AL24" s="154">
        <v>2.5000000000000001E-4</v>
      </c>
      <c r="AM24" s="174"/>
    </row>
    <row r="25" spans="1:39" x14ac:dyDescent="0.2">
      <c r="A25" s="150" t="s">
        <v>1264</v>
      </c>
      <c r="B25" s="151" t="s">
        <v>1264</v>
      </c>
      <c r="C25" s="151" t="s">
        <v>1367</v>
      </c>
      <c r="D25" s="151" t="s">
        <v>1368</v>
      </c>
      <c r="E25" s="151" t="s">
        <v>420</v>
      </c>
      <c r="F25" s="151" t="s">
        <v>2187</v>
      </c>
      <c r="G25" s="151" t="s">
        <v>2188</v>
      </c>
      <c r="H25" s="151" t="s">
        <v>75</v>
      </c>
      <c r="I25" s="151" t="s">
        <v>224</v>
      </c>
      <c r="J25" s="151" t="s">
        <v>52</v>
      </c>
      <c r="K25" s="151" t="s">
        <v>52</v>
      </c>
      <c r="L25" s="151" t="s">
        <v>101</v>
      </c>
      <c r="M25" s="151" t="s">
        <v>251</v>
      </c>
      <c r="N25" s="151" t="s">
        <v>61</v>
      </c>
      <c r="O25" s="151" t="s">
        <v>2189</v>
      </c>
      <c r="P25" s="151" t="s">
        <v>1578</v>
      </c>
      <c r="Q25" s="151" t="s">
        <v>69</v>
      </c>
      <c r="R25" s="151" t="s">
        <v>63</v>
      </c>
      <c r="S25" s="151" t="s">
        <v>1255</v>
      </c>
      <c r="T25" s="152">
        <v>0.72</v>
      </c>
      <c r="U25" s="151" t="s">
        <v>2190</v>
      </c>
      <c r="V25" s="153">
        <v>6.7299999999999999E-2</v>
      </c>
      <c r="W25" s="153">
        <v>6.3E-2</v>
      </c>
      <c r="X25" s="151" t="s">
        <v>607</v>
      </c>
      <c r="Y25" s="151"/>
      <c r="Z25" s="151" t="s">
        <v>749</v>
      </c>
      <c r="AA25" s="151" t="s">
        <v>297</v>
      </c>
      <c r="AB25" s="162">
        <v>46112</v>
      </c>
      <c r="AC25" s="162">
        <v>46112</v>
      </c>
      <c r="AD25" s="152">
        <v>1661265.24</v>
      </c>
      <c r="AE25" s="152">
        <v>1</v>
      </c>
      <c r="AF25" s="152">
        <v>99.95</v>
      </c>
      <c r="AG25" s="152">
        <v>1660.4349999999999</v>
      </c>
      <c r="AH25" s="151"/>
      <c r="AI25" s="151"/>
      <c r="AJ25" s="151"/>
      <c r="AK25" s="153">
        <v>1.7690000000000001E-2</v>
      </c>
      <c r="AL25" s="154">
        <v>1.7000000000000001E-4</v>
      </c>
      <c r="AM25" s="174"/>
    </row>
    <row r="26" spans="1:39" x14ac:dyDescent="0.2">
      <c r="A26" s="150" t="s">
        <v>1264</v>
      </c>
      <c r="B26" s="151" t="s">
        <v>1264</v>
      </c>
      <c r="C26" s="151" t="s">
        <v>2191</v>
      </c>
      <c r="D26" s="151" t="s">
        <v>2192</v>
      </c>
      <c r="E26" s="151" t="s">
        <v>420</v>
      </c>
      <c r="F26" s="151" t="s">
        <v>2193</v>
      </c>
      <c r="G26" s="151" t="s">
        <v>2194</v>
      </c>
      <c r="H26" s="151" t="s">
        <v>75</v>
      </c>
      <c r="I26" s="151" t="s">
        <v>225</v>
      </c>
      <c r="J26" s="151" t="s">
        <v>52</v>
      </c>
      <c r="K26" s="151" t="s">
        <v>52</v>
      </c>
      <c r="L26" s="151" t="s">
        <v>911</v>
      </c>
      <c r="M26" s="151" t="s">
        <v>675</v>
      </c>
      <c r="N26" s="151" t="s">
        <v>61</v>
      </c>
      <c r="O26" s="151" t="s">
        <v>2195</v>
      </c>
      <c r="P26" s="151" t="s">
        <v>290</v>
      </c>
      <c r="Q26" s="151" t="s">
        <v>290</v>
      </c>
      <c r="R26" s="151" t="s">
        <v>290</v>
      </c>
      <c r="S26" s="151" t="s">
        <v>1255</v>
      </c>
      <c r="T26" s="152">
        <v>0.8</v>
      </c>
      <c r="U26" s="151" t="s">
        <v>2196</v>
      </c>
      <c r="V26" s="153">
        <v>1.8700000000000001E-2</v>
      </c>
      <c r="W26" s="153">
        <v>5.6000000000000001E-2</v>
      </c>
      <c r="X26" s="151" t="s">
        <v>607</v>
      </c>
      <c r="Y26" s="151"/>
      <c r="Z26" s="151" t="s">
        <v>294</v>
      </c>
      <c r="AA26" s="151" t="s">
        <v>296</v>
      </c>
      <c r="AB26" s="162">
        <v>46022</v>
      </c>
      <c r="AC26" s="162">
        <v>46022</v>
      </c>
      <c r="AD26" s="152">
        <v>1880474.58</v>
      </c>
      <c r="AE26" s="152">
        <v>1</v>
      </c>
      <c r="AF26" s="152">
        <v>13.23</v>
      </c>
      <c r="AG26" s="152">
        <v>248.78700000000001</v>
      </c>
      <c r="AH26" s="151"/>
      <c r="AI26" s="151"/>
      <c r="AJ26" s="151"/>
      <c r="AK26" s="153">
        <v>2.65E-3</v>
      </c>
      <c r="AL26" s="154">
        <v>2.0000000000000002E-5</v>
      </c>
      <c r="AM26" s="174"/>
    </row>
    <row r="27" spans="1:39" x14ac:dyDescent="0.2">
      <c r="A27" s="150" t="s">
        <v>1251</v>
      </c>
      <c r="B27" s="151" t="s">
        <v>1262</v>
      </c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60"/>
      <c r="AM27" s="174"/>
    </row>
    <row r="28" spans="1:39" x14ac:dyDescent="0.2">
      <c r="A28" s="150" t="s">
        <v>1251</v>
      </c>
      <c r="B28" s="151" t="s">
        <v>1263</v>
      </c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60"/>
      <c r="AM28" s="174"/>
    </row>
    <row r="29" spans="1:39" x14ac:dyDescent="0.2">
      <c r="A29" s="150" t="s">
        <v>1264</v>
      </c>
      <c r="B29" s="151" t="s">
        <v>1265</v>
      </c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60"/>
      <c r="AM29" s="174"/>
    </row>
    <row r="30" spans="1:39" x14ac:dyDescent="0.2">
      <c r="A30" s="155" t="s">
        <v>1264</v>
      </c>
      <c r="B30" s="156" t="s">
        <v>1266</v>
      </c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156"/>
      <c r="AI30" s="156"/>
      <c r="AJ30" s="156"/>
      <c r="AK30" s="156"/>
      <c r="AL30" s="161"/>
      <c r="AM30" s="174"/>
    </row>
    <row r="31" spans="1:39" x14ac:dyDescent="0.2">
      <c r="A31" s="174" t="s">
        <v>2521</v>
      </c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</row>
    <row r="32" spans="1:39" x14ac:dyDescent="0.2">
      <c r="A32" t="s">
        <v>2520</v>
      </c>
    </row>
    <row r="33" spans="1:1" x14ac:dyDescent="0.2">
      <c r="A33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31:AL31"/>
    <mergeCell ref="AM2:AM30"/>
  </mergeCells>
  <pageMargins left="0.7" right="0.7" top="0.75" bottom="0.75" header="0.3" footer="0.3"/>
  <pageSetup orientation="portrait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A15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3" width="11.625" customWidth="1"/>
    <col min="14" max="14" width="15.125" customWidth="1"/>
    <col min="15" max="15" width="12" customWidth="1"/>
    <col min="16" max="16" width="11.75" customWidth="1"/>
    <col min="17" max="17" width="14" customWidth="1"/>
    <col min="18" max="18" width="18.625" customWidth="1"/>
    <col min="19" max="19" width="16.375" customWidth="1"/>
    <col min="20" max="20" width="30" customWidth="1"/>
    <col min="21" max="21" width="14.875" customWidth="1"/>
    <col min="22" max="22" width="11.625" customWidth="1"/>
    <col min="23" max="23" width="12.875" customWidth="1"/>
    <col min="24" max="24" width="17.875" customWidth="1"/>
    <col min="25" max="25" width="21.75" customWidth="1"/>
    <col min="26" max="26" width="20.125" customWidth="1"/>
    <col min="27" max="16384" width="9" hidden="1"/>
  </cols>
  <sheetData>
    <row r="1" spans="1:27" x14ac:dyDescent="0.2">
      <c r="A1" t="s">
        <v>2541</v>
      </c>
    </row>
    <row r="2" spans="1:27" s="2" customFormat="1" x14ac:dyDescent="0.2">
      <c r="A2" s="147" t="s">
        <v>636</v>
      </c>
      <c r="B2" s="148" t="s">
        <v>0</v>
      </c>
      <c r="C2" s="148" t="s">
        <v>703</v>
      </c>
      <c r="D2" s="148" t="s">
        <v>2</v>
      </c>
      <c r="E2" s="148" t="s">
        <v>719</v>
      </c>
      <c r="F2" s="148" t="s">
        <v>1097</v>
      </c>
      <c r="G2" s="148" t="s">
        <v>28</v>
      </c>
      <c r="H2" s="148" t="s">
        <v>27</v>
      </c>
      <c r="I2" s="148" t="s">
        <v>1</v>
      </c>
      <c r="J2" s="148" t="s">
        <v>591</v>
      </c>
      <c r="K2" s="148" t="s">
        <v>592</v>
      </c>
      <c r="L2" s="148" t="s">
        <v>596</v>
      </c>
      <c r="M2" s="148" t="s">
        <v>8</v>
      </c>
      <c r="N2" s="148" t="s">
        <v>593</v>
      </c>
      <c r="O2" s="148" t="s">
        <v>11</v>
      </c>
      <c r="P2" s="148" t="s">
        <v>387</v>
      </c>
      <c r="Q2" s="148" t="s">
        <v>876</v>
      </c>
      <c r="R2" s="148" t="s">
        <v>363</v>
      </c>
      <c r="S2" s="148" t="s">
        <v>15</v>
      </c>
      <c r="T2" s="148" t="s">
        <v>1099</v>
      </c>
      <c r="U2" s="148" t="s">
        <v>747</v>
      </c>
      <c r="V2" s="148" t="s">
        <v>10</v>
      </c>
      <c r="W2" s="148" t="s">
        <v>14</v>
      </c>
      <c r="X2" s="148" t="s">
        <v>1105</v>
      </c>
      <c r="Y2" s="148" t="s">
        <v>18</v>
      </c>
      <c r="Z2" s="149" t="s">
        <v>29</v>
      </c>
      <c r="AA2" s="174" t="s">
        <v>2522</v>
      </c>
    </row>
    <row r="3" spans="1:27" x14ac:dyDescent="0.2">
      <c r="A3" s="150" t="s">
        <v>1251</v>
      </c>
      <c r="B3" s="151" t="s">
        <v>1251</v>
      </c>
      <c r="C3" s="151" t="s">
        <v>2197</v>
      </c>
      <c r="D3" s="151" t="s">
        <v>2198</v>
      </c>
      <c r="E3" s="151" t="s">
        <v>101</v>
      </c>
      <c r="F3" s="151" t="s">
        <v>2199</v>
      </c>
      <c r="G3" s="151" t="s">
        <v>2200</v>
      </c>
      <c r="H3" s="151" t="s">
        <v>77</v>
      </c>
      <c r="I3" s="151" t="s">
        <v>452</v>
      </c>
      <c r="J3" s="151" t="s">
        <v>52</v>
      </c>
      <c r="K3" s="151" t="s">
        <v>52</v>
      </c>
      <c r="L3" s="151" t="s">
        <v>101</v>
      </c>
      <c r="M3" s="151" t="s">
        <v>161</v>
      </c>
      <c r="N3" s="151" t="s">
        <v>61</v>
      </c>
      <c r="O3" s="151" t="s">
        <v>2201</v>
      </c>
      <c r="P3" s="151" t="s">
        <v>1255</v>
      </c>
      <c r="Q3" s="151" t="s">
        <v>293</v>
      </c>
      <c r="R3" s="151" t="s">
        <v>297</v>
      </c>
      <c r="S3" s="162">
        <v>46079</v>
      </c>
      <c r="T3" s="162">
        <v>46079</v>
      </c>
      <c r="U3" s="152">
        <v>132.5</v>
      </c>
      <c r="V3" s="152">
        <v>1</v>
      </c>
      <c r="W3" s="152">
        <v>128556.679</v>
      </c>
      <c r="X3" s="152">
        <v>170.33799999999999</v>
      </c>
      <c r="Y3" s="153">
        <v>0.70606000000000002</v>
      </c>
      <c r="Z3" s="154">
        <v>2.3000000000000001E-4</v>
      </c>
      <c r="AA3" s="174"/>
    </row>
    <row r="4" spans="1:27" x14ac:dyDescent="0.2">
      <c r="A4" s="150" t="s">
        <v>1251</v>
      </c>
      <c r="B4" s="151" t="s">
        <v>1251</v>
      </c>
      <c r="C4" s="151" t="s">
        <v>2202</v>
      </c>
      <c r="D4" s="151" t="s">
        <v>2203</v>
      </c>
      <c r="E4" s="151" t="s">
        <v>101</v>
      </c>
      <c r="F4" s="151" t="s">
        <v>2204</v>
      </c>
      <c r="G4" s="151" t="s">
        <v>2205</v>
      </c>
      <c r="H4" s="151" t="s">
        <v>77</v>
      </c>
      <c r="I4" s="151" t="s">
        <v>452</v>
      </c>
      <c r="J4" s="151" t="s">
        <v>52</v>
      </c>
      <c r="K4" s="151" t="s">
        <v>52</v>
      </c>
      <c r="L4" s="151" t="s">
        <v>101</v>
      </c>
      <c r="M4" s="151" t="s">
        <v>138</v>
      </c>
      <c r="N4" s="151" t="s">
        <v>61</v>
      </c>
      <c r="O4" s="151" t="s">
        <v>2206</v>
      </c>
      <c r="P4" s="151" t="s">
        <v>1255</v>
      </c>
      <c r="Q4" s="151" t="s">
        <v>293</v>
      </c>
      <c r="R4" s="151" t="s">
        <v>297</v>
      </c>
      <c r="S4" s="162">
        <v>46112</v>
      </c>
      <c r="T4" s="162">
        <v>46112</v>
      </c>
      <c r="U4" s="152">
        <v>13.7</v>
      </c>
      <c r="V4" s="152">
        <v>1</v>
      </c>
      <c r="W4" s="152">
        <v>517613.86900000001</v>
      </c>
      <c r="X4" s="152">
        <v>70.912999999999997</v>
      </c>
      <c r="Y4" s="153">
        <v>0.29393999999999998</v>
      </c>
      <c r="Z4" s="154">
        <v>1E-4</v>
      </c>
      <c r="AA4" s="174"/>
    </row>
    <row r="5" spans="1:27" x14ac:dyDescent="0.2">
      <c r="A5" s="150" t="s">
        <v>1251</v>
      </c>
      <c r="B5" s="151" t="s">
        <v>1251</v>
      </c>
      <c r="C5" s="151" t="s">
        <v>2207</v>
      </c>
      <c r="D5" s="151" t="s">
        <v>2208</v>
      </c>
      <c r="E5" s="151" t="s">
        <v>420</v>
      </c>
      <c r="F5" s="151" t="s">
        <v>2209</v>
      </c>
      <c r="G5" s="151" t="s">
        <v>2210</v>
      </c>
      <c r="H5" s="151" t="s">
        <v>77</v>
      </c>
      <c r="I5" s="151" t="s">
        <v>452</v>
      </c>
      <c r="J5" s="151" t="s">
        <v>52</v>
      </c>
      <c r="K5" s="151" t="s">
        <v>52</v>
      </c>
      <c r="L5" s="151" t="s">
        <v>101</v>
      </c>
      <c r="M5" s="151" t="s">
        <v>257</v>
      </c>
      <c r="N5" s="151" t="s">
        <v>61</v>
      </c>
      <c r="O5" s="151" t="s">
        <v>2211</v>
      </c>
      <c r="P5" s="151" t="s">
        <v>1255</v>
      </c>
      <c r="Q5" s="151" t="s">
        <v>293</v>
      </c>
      <c r="R5" s="151" t="s">
        <v>297</v>
      </c>
      <c r="S5" s="162">
        <v>46112</v>
      </c>
      <c r="T5" s="162">
        <v>46112</v>
      </c>
      <c r="U5" s="152">
        <v>4432.25</v>
      </c>
      <c r="V5" s="152">
        <v>1</v>
      </c>
      <c r="W5" s="152">
        <v>0</v>
      </c>
      <c r="X5" s="152">
        <v>0</v>
      </c>
      <c r="Y5" s="151"/>
      <c r="Z5" s="160"/>
      <c r="AA5" s="174"/>
    </row>
    <row r="6" spans="1:27" x14ac:dyDescent="0.2">
      <c r="A6" s="150" t="s">
        <v>1264</v>
      </c>
      <c r="B6" s="151" t="s">
        <v>1264</v>
      </c>
      <c r="C6" s="151" t="s">
        <v>2197</v>
      </c>
      <c r="D6" s="151" t="s">
        <v>2198</v>
      </c>
      <c r="E6" s="151" t="s">
        <v>101</v>
      </c>
      <c r="F6" s="151" t="s">
        <v>2199</v>
      </c>
      <c r="G6" s="151" t="s">
        <v>2200</v>
      </c>
      <c r="H6" s="151" t="s">
        <v>77</v>
      </c>
      <c r="I6" s="151" t="s">
        <v>452</v>
      </c>
      <c r="J6" s="151" t="s">
        <v>52</v>
      </c>
      <c r="K6" s="151" t="s">
        <v>52</v>
      </c>
      <c r="L6" s="151" t="s">
        <v>101</v>
      </c>
      <c r="M6" s="151" t="s">
        <v>161</v>
      </c>
      <c r="N6" s="151" t="s">
        <v>61</v>
      </c>
      <c r="O6" s="151" t="s">
        <v>2201</v>
      </c>
      <c r="P6" s="151" t="s">
        <v>1255</v>
      </c>
      <c r="Q6" s="151" t="s">
        <v>293</v>
      </c>
      <c r="R6" s="151" t="s">
        <v>297</v>
      </c>
      <c r="S6" s="162">
        <v>46079</v>
      </c>
      <c r="T6" s="162">
        <v>46079</v>
      </c>
      <c r="U6" s="152">
        <v>1192.5</v>
      </c>
      <c r="V6" s="152">
        <v>1</v>
      </c>
      <c r="W6" s="152">
        <v>128556.679</v>
      </c>
      <c r="X6" s="152">
        <v>1533.038</v>
      </c>
      <c r="Y6" s="153">
        <v>0.70606000000000002</v>
      </c>
      <c r="Z6" s="154">
        <v>1.4999999999999999E-4</v>
      </c>
      <c r="AA6" s="174"/>
    </row>
    <row r="7" spans="1:27" x14ac:dyDescent="0.2">
      <c r="A7" s="150" t="s">
        <v>1264</v>
      </c>
      <c r="B7" s="151" t="s">
        <v>1264</v>
      </c>
      <c r="C7" s="151" t="s">
        <v>2202</v>
      </c>
      <c r="D7" s="151" t="s">
        <v>2203</v>
      </c>
      <c r="E7" s="151" t="s">
        <v>101</v>
      </c>
      <c r="F7" s="151" t="s">
        <v>2204</v>
      </c>
      <c r="G7" s="151" t="s">
        <v>2205</v>
      </c>
      <c r="H7" s="151" t="s">
        <v>77</v>
      </c>
      <c r="I7" s="151" t="s">
        <v>452</v>
      </c>
      <c r="J7" s="151" t="s">
        <v>52</v>
      </c>
      <c r="K7" s="151" t="s">
        <v>52</v>
      </c>
      <c r="L7" s="151" t="s">
        <v>101</v>
      </c>
      <c r="M7" s="151" t="s">
        <v>138</v>
      </c>
      <c r="N7" s="151" t="s">
        <v>61</v>
      </c>
      <c r="O7" s="151" t="s">
        <v>2206</v>
      </c>
      <c r="P7" s="151" t="s">
        <v>1255</v>
      </c>
      <c r="Q7" s="151" t="s">
        <v>293</v>
      </c>
      <c r="R7" s="151" t="s">
        <v>297</v>
      </c>
      <c r="S7" s="162">
        <v>46112</v>
      </c>
      <c r="T7" s="162">
        <v>46112</v>
      </c>
      <c r="U7" s="152">
        <v>123.3</v>
      </c>
      <c r="V7" s="152">
        <v>1</v>
      </c>
      <c r="W7" s="152">
        <v>517613.86900000001</v>
      </c>
      <c r="X7" s="152">
        <v>638.21799999999996</v>
      </c>
      <c r="Y7" s="153">
        <v>0.29393999999999998</v>
      </c>
      <c r="Z7" s="154">
        <v>6.0000000000000002E-5</v>
      </c>
      <c r="AA7" s="174"/>
    </row>
    <row r="8" spans="1:27" x14ac:dyDescent="0.2">
      <c r="A8" s="150" t="s">
        <v>1264</v>
      </c>
      <c r="B8" s="151" t="s">
        <v>1264</v>
      </c>
      <c r="C8" s="151" t="s">
        <v>2207</v>
      </c>
      <c r="D8" s="151" t="s">
        <v>2208</v>
      </c>
      <c r="E8" s="151" t="s">
        <v>420</v>
      </c>
      <c r="F8" s="151" t="s">
        <v>2209</v>
      </c>
      <c r="G8" s="151" t="s">
        <v>2210</v>
      </c>
      <c r="H8" s="151" t="s">
        <v>77</v>
      </c>
      <c r="I8" s="151" t="s">
        <v>452</v>
      </c>
      <c r="J8" s="151" t="s">
        <v>52</v>
      </c>
      <c r="K8" s="151" t="s">
        <v>52</v>
      </c>
      <c r="L8" s="151" t="s">
        <v>101</v>
      </c>
      <c r="M8" s="151" t="s">
        <v>257</v>
      </c>
      <c r="N8" s="151" t="s">
        <v>61</v>
      </c>
      <c r="O8" s="151" t="s">
        <v>2211</v>
      </c>
      <c r="P8" s="151" t="s">
        <v>1255</v>
      </c>
      <c r="Q8" s="151" t="s">
        <v>293</v>
      </c>
      <c r="R8" s="151" t="s">
        <v>297</v>
      </c>
      <c r="S8" s="162">
        <v>46112</v>
      </c>
      <c r="T8" s="162">
        <v>46112</v>
      </c>
      <c r="U8" s="152">
        <v>20500</v>
      </c>
      <c r="V8" s="152">
        <v>1</v>
      </c>
      <c r="W8" s="152">
        <v>0</v>
      </c>
      <c r="X8" s="152">
        <v>0</v>
      </c>
      <c r="Y8" s="153">
        <v>0</v>
      </c>
      <c r="Z8" s="154">
        <v>0</v>
      </c>
      <c r="AA8" s="174"/>
    </row>
    <row r="9" spans="1:27" x14ac:dyDescent="0.2">
      <c r="A9" s="150" t="s">
        <v>1251</v>
      </c>
      <c r="B9" s="151" t="s">
        <v>1262</v>
      </c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60"/>
      <c r="AA9" s="174"/>
    </row>
    <row r="10" spans="1:27" x14ac:dyDescent="0.2">
      <c r="A10" s="150" t="s">
        <v>1251</v>
      </c>
      <c r="B10" s="151" t="s">
        <v>1263</v>
      </c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60"/>
      <c r="AA10" s="174"/>
    </row>
    <row r="11" spans="1:27" x14ac:dyDescent="0.2">
      <c r="A11" s="150" t="s">
        <v>1264</v>
      </c>
      <c r="B11" s="151" t="s">
        <v>1265</v>
      </c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60"/>
      <c r="AA11" s="174"/>
    </row>
    <row r="12" spans="1:27" x14ac:dyDescent="0.2">
      <c r="A12" s="155" t="s">
        <v>1264</v>
      </c>
      <c r="B12" s="156" t="s">
        <v>1266</v>
      </c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61"/>
      <c r="AA12" s="174"/>
    </row>
    <row r="13" spans="1:27" x14ac:dyDescent="0.2">
      <c r="A13" s="174" t="s">
        <v>2521</v>
      </c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</row>
    <row r="14" spans="1:27" x14ac:dyDescent="0.2">
      <c r="A14" t="s">
        <v>2520</v>
      </c>
    </row>
    <row r="15" spans="1:27" x14ac:dyDescent="0.2">
      <c r="A15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3:Z13"/>
    <mergeCell ref="AA2:AA12"/>
  </mergeCells>
  <pageMargins left="0.7" right="0.7" top="0.75" bottom="0.75" header="0.3" footer="0.3"/>
  <pageSetup orientation="portrait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200"/>
  <sheetViews>
    <sheetView rightToLeft="1" workbookViewId="0"/>
  </sheetViews>
  <sheetFormatPr defaultColWidth="0" defaultRowHeight="14.25" x14ac:dyDescent="0.2"/>
  <cols>
    <col min="1" max="1" width="29.375" customWidth="1"/>
    <col min="2" max="2" width="11.625" customWidth="1"/>
    <col min="3" max="3" width="21.75" customWidth="1"/>
    <col min="4" max="4" width="27.5" customWidth="1"/>
    <col min="5" max="5" width="30.25" customWidth="1"/>
    <col min="6" max="6" width="13.5" customWidth="1"/>
    <col min="7" max="7" width="19.25" customWidth="1"/>
    <col min="8" max="8" width="22.625" customWidth="1"/>
    <col min="9" max="9" width="11.625" customWidth="1"/>
    <col min="10" max="10" width="20" customWidth="1"/>
    <col min="11" max="11" width="11.625" customWidth="1"/>
    <col min="12" max="12" width="22.25" customWidth="1"/>
    <col min="13" max="13" width="20.875" customWidth="1"/>
    <col min="14" max="14" width="19.875" customWidth="1"/>
    <col min="15" max="15" width="15.125" customWidth="1"/>
    <col min="16" max="16" width="12" customWidth="1"/>
    <col min="17" max="17" width="11.75" customWidth="1"/>
    <col min="18" max="18" width="14" customWidth="1"/>
    <col min="19" max="19" width="18.625" customWidth="1"/>
    <col min="20" max="20" width="16.375" customWidth="1"/>
    <col min="21" max="21" width="11.625" customWidth="1"/>
    <col min="22" max="22" width="29.125" customWidth="1"/>
    <col min="23" max="23" width="17.875" customWidth="1"/>
    <col min="24" max="24" width="21.25" customWidth="1"/>
    <col min="25" max="25" width="21.75" customWidth="1"/>
    <col min="26" max="26" width="20.125" customWidth="1"/>
    <col min="27" max="16384" width="9" hidden="1"/>
  </cols>
  <sheetData>
    <row r="1" spans="1:27" x14ac:dyDescent="0.2">
      <c r="A1" t="s">
        <v>2542</v>
      </c>
    </row>
    <row r="2" spans="1:27" s="2" customFormat="1" x14ac:dyDescent="0.2">
      <c r="A2" s="147" t="s">
        <v>636</v>
      </c>
      <c r="B2" s="148" t="s">
        <v>0</v>
      </c>
      <c r="C2" s="148" t="s">
        <v>753</v>
      </c>
      <c r="D2" s="148" t="s">
        <v>763</v>
      </c>
      <c r="E2" s="148" t="s">
        <v>754</v>
      </c>
      <c r="F2" s="148" t="s">
        <v>726</v>
      </c>
      <c r="G2" s="148" t="s">
        <v>725</v>
      </c>
      <c r="H2" s="148" t="s">
        <v>730</v>
      </c>
      <c r="I2" s="148" t="s">
        <v>1</v>
      </c>
      <c r="J2" s="148" t="s">
        <v>282</v>
      </c>
      <c r="K2" s="148" t="s">
        <v>591</v>
      </c>
      <c r="L2" s="148" t="s">
        <v>718</v>
      </c>
      <c r="M2" s="148" t="s">
        <v>731</v>
      </c>
      <c r="N2" s="148" t="s">
        <v>592</v>
      </c>
      <c r="O2" s="148" t="s">
        <v>593</v>
      </c>
      <c r="P2" s="148" t="s">
        <v>11</v>
      </c>
      <c r="Q2" s="148" t="s">
        <v>387</v>
      </c>
      <c r="R2" s="148" t="s">
        <v>876</v>
      </c>
      <c r="S2" s="148" t="s">
        <v>363</v>
      </c>
      <c r="T2" s="148" t="s">
        <v>15</v>
      </c>
      <c r="U2" s="148" t="s">
        <v>10</v>
      </c>
      <c r="V2" s="163" t="s">
        <v>894</v>
      </c>
      <c r="W2" s="148" t="s">
        <v>1105</v>
      </c>
      <c r="X2" s="148" t="s">
        <v>715</v>
      </c>
      <c r="Y2" s="148" t="s">
        <v>18</v>
      </c>
      <c r="Z2" s="149" t="s">
        <v>29</v>
      </c>
      <c r="AA2" s="174" t="s">
        <v>2522</v>
      </c>
    </row>
    <row r="3" spans="1:27" x14ac:dyDescent="0.2">
      <c r="A3" s="150" t="s">
        <v>1251</v>
      </c>
      <c r="B3" s="151" t="s">
        <v>1251</v>
      </c>
      <c r="C3" s="151" t="s">
        <v>2212</v>
      </c>
      <c r="D3" s="151"/>
      <c r="E3" s="151"/>
      <c r="F3" s="151" t="s">
        <v>2213</v>
      </c>
      <c r="G3" s="151" t="s">
        <v>2214</v>
      </c>
      <c r="H3" s="151" t="s">
        <v>101</v>
      </c>
      <c r="I3" s="151" t="s">
        <v>274</v>
      </c>
      <c r="J3" s="151"/>
      <c r="K3" s="151" t="s">
        <v>52</v>
      </c>
      <c r="L3" s="151"/>
      <c r="M3" s="151"/>
      <c r="N3" s="151" t="s">
        <v>52</v>
      </c>
      <c r="O3" s="151" t="s">
        <v>61</v>
      </c>
      <c r="P3" s="162">
        <v>42884</v>
      </c>
      <c r="Q3" s="151" t="s">
        <v>1255</v>
      </c>
      <c r="R3" s="151" t="s">
        <v>293</v>
      </c>
      <c r="S3" s="151" t="s">
        <v>297</v>
      </c>
      <c r="T3" s="162">
        <v>46111</v>
      </c>
      <c r="U3" s="152">
        <v>1</v>
      </c>
      <c r="V3" s="164">
        <v>2714.203</v>
      </c>
      <c r="W3" s="152">
        <v>2714.203</v>
      </c>
      <c r="X3" s="153">
        <v>1.91E-3</v>
      </c>
      <c r="Y3" s="153">
        <v>2.0930000000000001E-2</v>
      </c>
      <c r="Z3" s="154">
        <v>3.7000000000000002E-3</v>
      </c>
      <c r="AA3" s="174"/>
    </row>
    <row r="4" spans="1:27" x14ac:dyDescent="0.2">
      <c r="A4" s="150" t="s">
        <v>1251</v>
      </c>
      <c r="B4" s="151" t="s">
        <v>1251</v>
      </c>
      <c r="C4" s="151" t="s">
        <v>2215</v>
      </c>
      <c r="D4" s="151"/>
      <c r="E4" s="151"/>
      <c r="F4" s="151" t="s">
        <v>2216</v>
      </c>
      <c r="G4" s="151" t="s">
        <v>2217</v>
      </c>
      <c r="H4" s="151" t="s">
        <v>101</v>
      </c>
      <c r="I4" s="151" t="s">
        <v>273</v>
      </c>
      <c r="J4" s="151"/>
      <c r="K4" s="151" t="s">
        <v>52</v>
      </c>
      <c r="L4" s="151"/>
      <c r="M4" s="151"/>
      <c r="N4" s="151" t="s">
        <v>52</v>
      </c>
      <c r="O4" s="151" t="s">
        <v>61</v>
      </c>
      <c r="P4" s="162">
        <v>45046</v>
      </c>
      <c r="Q4" s="151" t="s">
        <v>1255</v>
      </c>
      <c r="R4" s="151" t="s">
        <v>293</v>
      </c>
      <c r="S4" s="151" t="s">
        <v>297</v>
      </c>
      <c r="T4" s="162">
        <v>46111</v>
      </c>
      <c r="U4" s="152">
        <v>1</v>
      </c>
      <c r="V4" s="164">
        <v>2097.7179999999998</v>
      </c>
      <c r="W4" s="152">
        <v>2097.7179999999998</v>
      </c>
      <c r="X4" s="153">
        <v>2.2200000000000002E-3</v>
      </c>
      <c r="Y4" s="153">
        <v>1.617E-2</v>
      </c>
      <c r="Z4" s="154">
        <v>2.8600000000000001E-3</v>
      </c>
      <c r="AA4" s="174"/>
    </row>
    <row r="5" spans="1:27" x14ac:dyDescent="0.2">
      <c r="A5" s="150" t="s">
        <v>1251</v>
      </c>
      <c r="B5" s="151" t="s">
        <v>1251</v>
      </c>
      <c r="C5" s="151" t="s">
        <v>2218</v>
      </c>
      <c r="D5" s="151"/>
      <c r="E5" s="151"/>
      <c r="F5" s="151" t="s">
        <v>2219</v>
      </c>
      <c r="G5" s="151" t="s">
        <v>2220</v>
      </c>
      <c r="H5" s="151" t="s">
        <v>101</v>
      </c>
      <c r="I5" s="151" t="s">
        <v>273</v>
      </c>
      <c r="J5" s="151"/>
      <c r="K5" s="151" t="s">
        <v>52</v>
      </c>
      <c r="L5" s="151"/>
      <c r="M5" s="151"/>
      <c r="N5" s="151" t="s">
        <v>52</v>
      </c>
      <c r="O5" s="151" t="s">
        <v>61</v>
      </c>
      <c r="P5" s="162">
        <v>45034</v>
      </c>
      <c r="Q5" s="151" t="s">
        <v>1255</v>
      </c>
      <c r="R5" s="151" t="s">
        <v>295</v>
      </c>
      <c r="S5" s="151" t="s">
        <v>296</v>
      </c>
      <c r="T5" s="162">
        <v>46112</v>
      </c>
      <c r="U5" s="152">
        <v>1</v>
      </c>
      <c r="V5" s="164">
        <v>1923.1079999999999</v>
      </c>
      <c r="W5" s="152">
        <v>1923.1079999999999</v>
      </c>
      <c r="X5" s="153">
        <v>5.4000000000000001E-4</v>
      </c>
      <c r="Y5" s="153">
        <v>1.4829999999999999E-2</v>
      </c>
      <c r="Z5" s="154">
        <v>2.6199999999999999E-3</v>
      </c>
      <c r="AA5" s="174"/>
    </row>
    <row r="6" spans="1:27" x14ac:dyDescent="0.2">
      <c r="A6" s="150" t="s">
        <v>1251</v>
      </c>
      <c r="B6" s="151" t="s">
        <v>1251</v>
      </c>
      <c r="C6" s="151" t="s">
        <v>2221</v>
      </c>
      <c r="D6" s="151"/>
      <c r="E6" s="151"/>
      <c r="F6" s="151" t="s">
        <v>2222</v>
      </c>
      <c r="G6" s="151" t="s">
        <v>2223</v>
      </c>
      <c r="H6" s="151" t="s">
        <v>101</v>
      </c>
      <c r="I6" s="151" t="s">
        <v>273</v>
      </c>
      <c r="J6" s="151"/>
      <c r="K6" s="151" t="s">
        <v>52</v>
      </c>
      <c r="L6" s="151"/>
      <c r="M6" s="151"/>
      <c r="N6" s="151" t="s">
        <v>52</v>
      </c>
      <c r="O6" s="151" t="s">
        <v>61</v>
      </c>
      <c r="P6" s="162">
        <v>43801</v>
      </c>
      <c r="Q6" s="151" t="s">
        <v>1255</v>
      </c>
      <c r="R6" s="151" t="s">
        <v>293</v>
      </c>
      <c r="S6" s="151" t="s">
        <v>297</v>
      </c>
      <c r="T6" s="162">
        <v>46112</v>
      </c>
      <c r="U6" s="152">
        <v>1</v>
      </c>
      <c r="V6" s="164">
        <v>1496.4349999999999</v>
      </c>
      <c r="W6" s="152">
        <v>1496.4349999999999</v>
      </c>
      <c r="X6" s="153">
        <v>8.8000000000000003E-4</v>
      </c>
      <c r="Y6" s="153">
        <v>1.154E-2</v>
      </c>
      <c r="Z6" s="154">
        <v>2.0400000000000001E-3</v>
      </c>
      <c r="AA6" s="174"/>
    </row>
    <row r="7" spans="1:27" x14ac:dyDescent="0.2">
      <c r="A7" s="150" t="s">
        <v>1251</v>
      </c>
      <c r="B7" s="151" t="s">
        <v>1251</v>
      </c>
      <c r="C7" s="151" t="s">
        <v>2224</v>
      </c>
      <c r="D7" s="151"/>
      <c r="E7" s="151"/>
      <c r="F7" s="151" t="s">
        <v>2225</v>
      </c>
      <c r="G7" s="151" t="s">
        <v>2226</v>
      </c>
      <c r="H7" s="151" t="s">
        <v>101</v>
      </c>
      <c r="I7" s="151" t="s">
        <v>273</v>
      </c>
      <c r="J7" s="151"/>
      <c r="K7" s="151" t="s">
        <v>52</v>
      </c>
      <c r="L7" s="151"/>
      <c r="M7" s="151"/>
      <c r="N7" s="151" t="s">
        <v>52</v>
      </c>
      <c r="O7" s="151" t="s">
        <v>61</v>
      </c>
      <c r="P7" s="162">
        <v>44608</v>
      </c>
      <c r="Q7" s="151" t="s">
        <v>1255</v>
      </c>
      <c r="R7" s="151" t="s">
        <v>295</v>
      </c>
      <c r="S7" s="151" t="s">
        <v>296</v>
      </c>
      <c r="T7" s="162">
        <v>46058</v>
      </c>
      <c r="U7" s="152">
        <v>1</v>
      </c>
      <c r="V7" s="164">
        <v>1211.4580000000001</v>
      </c>
      <c r="W7" s="152">
        <v>1211.4580000000001</v>
      </c>
      <c r="X7" s="153">
        <v>1.14E-3</v>
      </c>
      <c r="Y7" s="153">
        <v>9.3399999999999993E-3</v>
      </c>
      <c r="Z7" s="154">
        <v>1.65E-3</v>
      </c>
      <c r="AA7" s="174"/>
    </row>
    <row r="8" spans="1:27" x14ac:dyDescent="0.2">
      <c r="A8" s="150" t="s">
        <v>1251</v>
      </c>
      <c r="B8" s="151" t="s">
        <v>1251</v>
      </c>
      <c r="C8" s="151" t="s">
        <v>2227</v>
      </c>
      <c r="D8" s="151"/>
      <c r="E8" s="151"/>
      <c r="F8" s="151" t="s">
        <v>2228</v>
      </c>
      <c r="G8" s="151" t="s">
        <v>2229</v>
      </c>
      <c r="H8" s="151" t="s">
        <v>101</v>
      </c>
      <c r="I8" s="151" t="s">
        <v>728</v>
      </c>
      <c r="J8" s="151"/>
      <c r="K8" s="151" t="s">
        <v>52</v>
      </c>
      <c r="L8" s="151"/>
      <c r="M8" s="151"/>
      <c r="N8" s="151" t="s">
        <v>52</v>
      </c>
      <c r="O8" s="151" t="s">
        <v>61</v>
      </c>
      <c r="P8" s="162">
        <v>43572</v>
      </c>
      <c r="Q8" s="151" t="s">
        <v>1256</v>
      </c>
      <c r="R8" s="151" t="s">
        <v>295</v>
      </c>
      <c r="S8" s="151" t="s">
        <v>296</v>
      </c>
      <c r="T8" s="162">
        <v>46112</v>
      </c>
      <c r="U8" s="152">
        <v>3.165</v>
      </c>
      <c r="V8" s="164">
        <v>320.74849921011059</v>
      </c>
      <c r="W8" s="152">
        <v>1015.169</v>
      </c>
      <c r="X8" s="153">
        <v>1.08E-3</v>
      </c>
      <c r="Y8" s="153">
        <v>7.8300000000000002E-3</v>
      </c>
      <c r="Z8" s="154">
        <v>1.3799999999999999E-3</v>
      </c>
      <c r="AA8" s="174"/>
    </row>
    <row r="9" spans="1:27" x14ac:dyDescent="0.2">
      <c r="A9" s="150" t="s">
        <v>1251</v>
      </c>
      <c r="B9" s="151" t="s">
        <v>1251</v>
      </c>
      <c r="C9" s="151" t="s">
        <v>2230</v>
      </c>
      <c r="D9" s="151"/>
      <c r="E9" s="151"/>
      <c r="F9" s="151" t="s">
        <v>2231</v>
      </c>
      <c r="G9" s="151" t="s">
        <v>2232</v>
      </c>
      <c r="H9" s="151" t="s">
        <v>101</v>
      </c>
      <c r="I9" s="151" t="s">
        <v>728</v>
      </c>
      <c r="J9" s="151"/>
      <c r="K9" s="151" t="s">
        <v>52</v>
      </c>
      <c r="L9" s="151"/>
      <c r="M9" s="151"/>
      <c r="N9" s="151" t="s">
        <v>52</v>
      </c>
      <c r="O9" s="151" t="s">
        <v>61</v>
      </c>
      <c r="P9" s="162">
        <v>42019</v>
      </c>
      <c r="Q9" s="151" t="s">
        <v>1256</v>
      </c>
      <c r="R9" s="151" t="s">
        <v>295</v>
      </c>
      <c r="S9" s="151" t="s">
        <v>296</v>
      </c>
      <c r="T9" s="162">
        <v>46099</v>
      </c>
      <c r="U9" s="152">
        <v>3.165</v>
      </c>
      <c r="V9" s="164">
        <v>318.4211690363349</v>
      </c>
      <c r="W9" s="152">
        <v>1007.803</v>
      </c>
      <c r="X9" s="153">
        <v>1.01E-3</v>
      </c>
      <c r="Y9" s="153">
        <v>7.77E-3</v>
      </c>
      <c r="Z9" s="154">
        <v>1.3699999999999999E-3</v>
      </c>
      <c r="AA9" s="174"/>
    </row>
    <row r="10" spans="1:27" x14ac:dyDescent="0.2">
      <c r="A10" s="150" t="s">
        <v>1251</v>
      </c>
      <c r="B10" s="151" t="s">
        <v>1251</v>
      </c>
      <c r="C10" s="151" t="s">
        <v>2233</v>
      </c>
      <c r="D10" s="151"/>
      <c r="E10" s="151"/>
      <c r="F10" s="151" t="s">
        <v>2234</v>
      </c>
      <c r="G10" s="151" t="s">
        <v>2235</v>
      </c>
      <c r="H10" s="151" t="s">
        <v>101</v>
      </c>
      <c r="I10" s="151" t="s">
        <v>728</v>
      </c>
      <c r="J10" s="151"/>
      <c r="K10" s="151" t="s">
        <v>52</v>
      </c>
      <c r="L10" s="151"/>
      <c r="M10" s="151"/>
      <c r="N10" s="151" t="s">
        <v>52</v>
      </c>
      <c r="O10" s="151" t="s">
        <v>61</v>
      </c>
      <c r="P10" s="162">
        <v>44836</v>
      </c>
      <c r="Q10" s="151" t="s">
        <v>1256</v>
      </c>
      <c r="R10" s="151" t="s">
        <v>295</v>
      </c>
      <c r="S10" s="151" t="s">
        <v>296</v>
      </c>
      <c r="T10" s="162">
        <v>46093</v>
      </c>
      <c r="U10" s="152">
        <v>3.165</v>
      </c>
      <c r="V10" s="164">
        <v>315.32164296998423</v>
      </c>
      <c r="W10" s="152">
        <v>997.99300000000005</v>
      </c>
      <c r="X10" s="153">
        <v>6.4000000000000005E-4</v>
      </c>
      <c r="Y10" s="153">
        <v>7.6899999999999998E-3</v>
      </c>
      <c r="Z10" s="154">
        <v>1.3600000000000001E-3</v>
      </c>
      <c r="AA10" s="174"/>
    </row>
    <row r="11" spans="1:27" x14ac:dyDescent="0.2">
      <c r="A11" s="150" t="s">
        <v>1251</v>
      </c>
      <c r="B11" s="151" t="s">
        <v>1251</v>
      </c>
      <c r="C11" s="151" t="s">
        <v>2236</v>
      </c>
      <c r="D11" s="151"/>
      <c r="E11" s="151"/>
      <c r="F11" s="151" t="s">
        <v>2236</v>
      </c>
      <c r="G11" s="151" t="s">
        <v>2237</v>
      </c>
      <c r="H11" s="151" t="s">
        <v>101</v>
      </c>
      <c r="I11" s="151" t="s">
        <v>273</v>
      </c>
      <c r="J11" s="151"/>
      <c r="K11" s="151" t="s">
        <v>52</v>
      </c>
      <c r="L11" s="151"/>
      <c r="M11" s="151"/>
      <c r="N11" s="151" t="s">
        <v>309</v>
      </c>
      <c r="O11" s="151" t="s">
        <v>61</v>
      </c>
      <c r="P11" s="162">
        <v>45215</v>
      </c>
      <c r="Q11" s="151" t="s">
        <v>1256</v>
      </c>
      <c r="R11" s="151" t="s">
        <v>293</v>
      </c>
      <c r="S11" s="151" t="s">
        <v>297</v>
      </c>
      <c r="T11" s="162">
        <v>46090</v>
      </c>
      <c r="U11" s="152">
        <v>3.165</v>
      </c>
      <c r="V11" s="164">
        <v>304.03823064770933</v>
      </c>
      <c r="W11" s="152">
        <v>962.28099999999995</v>
      </c>
      <c r="X11" s="153">
        <v>1.07E-3</v>
      </c>
      <c r="Y11" s="153">
        <v>7.4200000000000004E-3</v>
      </c>
      <c r="Z11" s="154">
        <v>1.31E-3</v>
      </c>
      <c r="AA11" s="174"/>
    </row>
    <row r="12" spans="1:27" x14ac:dyDescent="0.2">
      <c r="A12" s="150" t="s">
        <v>1251</v>
      </c>
      <c r="B12" s="151" t="s">
        <v>1251</v>
      </c>
      <c r="C12" s="151" t="s">
        <v>2238</v>
      </c>
      <c r="D12" s="151"/>
      <c r="E12" s="151"/>
      <c r="F12" s="151" t="s">
        <v>2239</v>
      </c>
      <c r="G12" s="151" t="s">
        <v>2240</v>
      </c>
      <c r="H12" s="151" t="s">
        <v>101</v>
      </c>
      <c r="I12" s="151" t="s">
        <v>728</v>
      </c>
      <c r="J12" s="151"/>
      <c r="K12" s="151" t="s">
        <v>52</v>
      </c>
      <c r="L12" s="151"/>
      <c r="M12" s="151"/>
      <c r="N12" s="151" t="s">
        <v>52</v>
      </c>
      <c r="O12" s="151" t="s">
        <v>61</v>
      </c>
      <c r="P12" s="162">
        <v>42352</v>
      </c>
      <c r="Q12" s="151" t="s">
        <v>1256</v>
      </c>
      <c r="R12" s="151" t="s">
        <v>293</v>
      </c>
      <c r="S12" s="151" t="s">
        <v>297</v>
      </c>
      <c r="T12" s="162">
        <v>46097</v>
      </c>
      <c r="U12" s="152">
        <v>3.165</v>
      </c>
      <c r="V12" s="164">
        <v>221.60947867298577</v>
      </c>
      <c r="W12" s="152">
        <v>701.39400000000001</v>
      </c>
      <c r="X12" s="153">
        <v>6.3000000000000003E-4</v>
      </c>
      <c r="Y12" s="153">
        <v>5.4099999999999999E-3</v>
      </c>
      <c r="Z12" s="154">
        <v>9.6000000000000002E-4</v>
      </c>
      <c r="AA12" s="174"/>
    </row>
    <row r="13" spans="1:27" x14ac:dyDescent="0.2">
      <c r="A13" s="150" t="s">
        <v>1251</v>
      </c>
      <c r="B13" s="151" t="s">
        <v>1251</v>
      </c>
      <c r="C13" s="151" t="s">
        <v>2241</v>
      </c>
      <c r="D13" s="151"/>
      <c r="E13" s="151"/>
      <c r="F13" s="151" t="s">
        <v>2242</v>
      </c>
      <c r="G13" s="151" t="s">
        <v>2243</v>
      </c>
      <c r="H13" s="151" t="s">
        <v>101</v>
      </c>
      <c r="I13" s="151" t="s">
        <v>885</v>
      </c>
      <c r="J13" s="151"/>
      <c r="K13" s="151" t="s">
        <v>52</v>
      </c>
      <c r="L13" s="151"/>
      <c r="M13" s="151"/>
      <c r="N13" s="151" t="s">
        <v>52</v>
      </c>
      <c r="O13" s="151" t="s">
        <v>61</v>
      </c>
      <c r="P13" s="162">
        <v>44970</v>
      </c>
      <c r="Q13" s="151" t="s">
        <v>1256</v>
      </c>
      <c r="R13" s="151" t="s">
        <v>295</v>
      </c>
      <c r="S13" s="151" t="s">
        <v>296</v>
      </c>
      <c r="T13" s="162">
        <v>46086</v>
      </c>
      <c r="U13" s="152">
        <v>3.165</v>
      </c>
      <c r="V13" s="164">
        <v>212.39778830963667</v>
      </c>
      <c r="W13" s="152">
        <v>672.23900000000003</v>
      </c>
      <c r="X13" s="153">
        <v>2.0600000000000002E-3</v>
      </c>
      <c r="Y13" s="153">
        <v>5.1799999999999997E-3</v>
      </c>
      <c r="Z13" s="154">
        <v>9.2000000000000003E-4</v>
      </c>
      <c r="AA13" s="174"/>
    </row>
    <row r="14" spans="1:27" x14ac:dyDescent="0.2">
      <c r="A14" s="150" t="s">
        <v>1251</v>
      </c>
      <c r="B14" s="151" t="s">
        <v>1251</v>
      </c>
      <c r="C14" s="151" t="s">
        <v>2241</v>
      </c>
      <c r="D14" s="151"/>
      <c r="E14" s="151"/>
      <c r="F14" s="151" t="s">
        <v>2244</v>
      </c>
      <c r="G14" s="151" t="s">
        <v>2245</v>
      </c>
      <c r="H14" s="151" t="s">
        <v>101</v>
      </c>
      <c r="I14" s="151" t="s">
        <v>885</v>
      </c>
      <c r="J14" s="151"/>
      <c r="K14" s="151" t="s">
        <v>52</v>
      </c>
      <c r="L14" s="151"/>
      <c r="M14" s="151"/>
      <c r="N14" s="151" t="s">
        <v>52</v>
      </c>
      <c r="O14" s="151" t="s">
        <v>61</v>
      </c>
      <c r="P14" s="162">
        <v>43487</v>
      </c>
      <c r="Q14" s="151" t="s">
        <v>1256</v>
      </c>
      <c r="R14" s="151" t="s">
        <v>295</v>
      </c>
      <c r="S14" s="151" t="s">
        <v>296</v>
      </c>
      <c r="T14" s="162">
        <v>46086</v>
      </c>
      <c r="U14" s="152">
        <v>3.165</v>
      </c>
      <c r="V14" s="164">
        <v>210.76050552922592</v>
      </c>
      <c r="W14" s="152">
        <v>667.05700000000002</v>
      </c>
      <c r="X14" s="153">
        <v>1.8799999999999999E-3</v>
      </c>
      <c r="Y14" s="153">
        <v>5.1399999999999996E-3</v>
      </c>
      <c r="Z14" s="154">
        <v>9.1E-4</v>
      </c>
      <c r="AA14" s="174"/>
    </row>
    <row r="15" spans="1:27" x14ac:dyDescent="0.2">
      <c r="A15" s="150" t="s">
        <v>1251</v>
      </c>
      <c r="B15" s="151" t="s">
        <v>1251</v>
      </c>
      <c r="C15" s="151" t="s">
        <v>2212</v>
      </c>
      <c r="D15" s="151"/>
      <c r="E15" s="151"/>
      <c r="F15" s="151" t="s">
        <v>2246</v>
      </c>
      <c r="G15" s="151" t="s">
        <v>2247</v>
      </c>
      <c r="H15" s="151" t="s">
        <v>101</v>
      </c>
      <c r="I15" s="151" t="s">
        <v>274</v>
      </c>
      <c r="J15" s="151"/>
      <c r="K15" s="151" t="s">
        <v>52</v>
      </c>
      <c r="L15" s="151"/>
      <c r="M15" s="151"/>
      <c r="N15" s="151" t="s">
        <v>52</v>
      </c>
      <c r="O15" s="151" t="s">
        <v>61</v>
      </c>
      <c r="P15" s="162">
        <v>43984</v>
      </c>
      <c r="Q15" s="151" t="s">
        <v>1255</v>
      </c>
      <c r="R15" s="151" t="s">
        <v>293</v>
      </c>
      <c r="S15" s="151" t="s">
        <v>297</v>
      </c>
      <c r="T15" s="162">
        <v>46111</v>
      </c>
      <c r="U15" s="152">
        <v>1</v>
      </c>
      <c r="V15" s="164">
        <v>625.55700000000002</v>
      </c>
      <c r="W15" s="152">
        <v>625.55700000000002</v>
      </c>
      <c r="X15" s="153">
        <v>4.4000000000000002E-4</v>
      </c>
      <c r="Y15" s="153">
        <v>4.8199999999999996E-3</v>
      </c>
      <c r="Z15" s="154">
        <v>8.4999999999999995E-4</v>
      </c>
      <c r="AA15" s="174"/>
    </row>
    <row r="16" spans="1:27" x14ac:dyDescent="0.2">
      <c r="A16" s="150" t="s">
        <v>1251</v>
      </c>
      <c r="B16" s="151" t="s">
        <v>1251</v>
      </c>
      <c r="C16" s="151" t="s">
        <v>2218</v>
      </c>
      <c r="D16" s="151"/>
      <c r="E16" s="151"/>
      <c r="F16" s="151" t="s">
        <v>2248</v>
      </c>
      <c r="G16" s="151" t="s">
        <v>2249</v>
      </c>
      <c r="H16" s="151" t="s">
        <v>101</v>
      </c>
      <c r="I16" s="151" t="s">
        <v>273</v>
      </c>
      <c r="J16" s="151"/>
      <c r="K16" s="151" t="s">
        <v>52</v>
      </c>
      <c r="L16" s="151"/>
      <c r="M16" s="151"/>
      <c r="N16" s="151" t="s">
        <v>52</v>
      </c>
      <c r="O16" s="151" t="s">
        <v>61</v>
      </c>
      <c r="P16" s="162">
        <v>43782</v>
      </c>
      <c r="Q16" s="151" t="s">
        <v>1255</v>
      </c>
      <c r="R16" s="151" t="s">
        <v>295</v>
      </c>
      <c r="S16" s="151" t="s">
        <v>296</v>
      </c>
      <c r="T16" s="162">
        <v>46093</v>
      </c>
      <c r="U16" s="152">
        <v>1</v>
      </c>
      <c r="V16" s="164">
        <v>578.86199999999997</v>
      </c>
      <c r="W16" s="152">
        <v>578.86199999999997</v>
      </c>
      <c r="X16" s="153">
        <v>1.07E-3</v>
      </c>
      <c r="Y16" s="153">
        <v>4.4600000000000004E-3</v>
      </c>
      <c r="Z16" s="154">
        <v>7.9000000000000001E-4</v>
      </c>
      <c r="AA16" s="174"/>
    </row>
    <row r="17" spans="1:27" x14ac:dyDescent="0.2">
      <c r="A17" s="150" t="s">
        <v>1251</v>
      </c>
      <c r="B17" s="151" t="s">
        <v>1251</v>
      </c>
      <c r="C17" s="151" t="s">
        <v>2227</v>
      </c>
      <c r="D17" s="151"/>
      <c r="E17" s="151"/>
      <c r="F17" s="151" t="s">
        <v>2250</v>
      </c>
      <c r="G17" s="151" t="s">
        <v>2251</v>
      </c>
      <c r="H17" s="151" t="s">
        <v>101</v>
      </c>
      <c r="I17" s="151" t="s">
        <v>728</v>
      </c>
      <c r="J17" s="151"/>
      <c r="K17" s="151" t="s">
        <v>52</v>
      </c>
      <c r="L17" s="151"/>
      <c r="M17" s="151"/>
      <c r="N17" s="151" t="s">
        <v>52</v>
      </c>
      <c r="O17" s="151" t="s">
        <v>61</v>
      </c>
      <c r="P17" s="162">
        <v>45595</v>
      </c>
      <c r="Q17" s="151" t="s">
        <v>1256</v>
      </c>
      <c r="R17" s="151" t="s">
        <v>295</v>
      </c>
      <c r="S17" s="151" t="s">
        <v>296</v>
      </c>
      <c r="T17" s="162">
        <v>46112</v>
      </c>
      <c r="U17" s="152">
        <v>3.165</v>
      </c>
      <c r="V17" s="164">
        <v>129.3124802527646</v>
      </c>
      <c r="W17" s="152">
        <v>409.274</v>
      </c>
      <c r="X17" s="153">
        <v>3.2000000000000003E-4</v>
      </c>
      <c r="Y17" s="153">
        <v>3.16E-3</v>
      </c>
      <c r="Z17" s="154">
        <v>5.5999999999999995E-4</v>
      </c>
      <c r="AA17" s="174"/>
    </row>
    <row r="18" spans="1:27" x14ac:dyDescent="0.2">
      <c r="A18" s="150" t="s">
        <v>1251</v>
      </c>
      <c r="B18" s="151" t="s">
        <v>1251</v>
      </c>
      <c r="C18" s="151" t="s">
        <v>2252</v>
      </c>
      <c r="D18" s="151"/>
      <c r="E18" s="151"/>
      <c r="F18" s="151" t="s">
        <v>2253</v>
      </c>
      <c r="G18" s="151" t="s">
        <v>2254</v>
      </c>
      <c r="H18" s="151" t="s">
        <v>101</v>
      </c>
      <c r="I18" s="151" t="s">
        <v>885</v>
      </c>
      <c r="J18" s="151"/>
      <c r="K18" s="151" t="s">
        <v>52</v>
      </c>
      <c r="L18" s="151"/>
      <c r="M18" s="151"/>
      <c r="N18" s="151" t="s">
        <v>52</v>
      </c>
      <c r="O18" s="151" t="s">
        <v>61</v>
      </c>
      <c r="P18" s="162">
        <v>42768</v>
      </c>
      <c r="Q18" s="151" t="s">
        <v>1256</v>
      </c>
      <c r="R18" s="151" t="s">
        <v>293</v>
      </c>
      <c r="S18" s="151" t="s">
        <v>297</v>
      </c>
      <c r="T18" s="162">
        <v>46111</v>
      </c>
      <c r="U18" s="152">
        <v>3.165</v>
      </c>
      <c r="V18" s="164">
        <v>117.20442338072669</v>
      </c>
      <c r="W18" s="152">
        <v>370.952</v>
      </c>
      <c r="X18" s="153">
        <v>3.4099999999999998E-3</v>
      </c>
      <c r="Y18" s="153">
        <v>2.8600000000000001E-3</v>
      </c>
      <c r="Z18" s="154">
        <v>5.1000000000000004E-4</v>
      </c>
      <c r="AA18" s="174"/>
    </row>
    <row r="19" spans="1:27" x14ac:dyDescent="0.2">
      <c r="A19" s="150" t="s">
        <v>1251</v>
      </c>
      <c r="B19" s="151" t="s">
        <v>1251</v>
      </c>
      <c r="C19" s="151" t="s">
        <v>2238</v>
      </c>
      <c r="D19" s="151"/>
      <c r="E19" s="151"/>
      <c r="F19" s="151" t="s">
        <v>2255</v>
      </c>
      <c r="G19" s="151" t="s">
        <v>2256</v>
      </c>
      <c r="H19" s="151" t="s">
        <v>101</v>
      </c>
      <c r="I19" s="151" t="s">
        <v>728</v>
      </c>
      <c r="J19" s="151"/>
      <c r="K19" s="151" t="s">
        <v>52</v>
      </c>
      <c r="L19" s="151"/>
      <c r="M19" s="151"/>
      <c r="N19" s="151" t="s">
        <v>52</v>
      </c>
      <c r="O19" s="151" t="s">
        <v>61</v>
      </c>
      <c r="P19" s="162">
        <v>45267</v>
      </c>
      <c r="Q19" s="151" t="s">
        <v>1256</v>
      </c>
      <c r="R19" s="151" t="s">
        <v>293</v>
      </c>
      <c r="S19" s="151" t="s">
        <v>297</v>
      </c>
      <c r="T19" s="162">
        <v>46105</v>
      </c>
      <c r="U19" s="152">
        <v>3.165</v>
      </c>
      <c r="V19" s="164">
        <v>37.800947867298575</v>
      </c>
      <c r="W19" s="152">
        <v>119.64</v>
      </c>
      <c r="X19" s="153">
        <v>1E-4</v>
      </c>
      <c r="Y19" s="153">
        <v>9.2000000000000003E-4</v>
      </c>
      <c r="Z19" s="154">
        <v>1.6000000000000001E-4</v>
      </c>
      <c r="AA19" s="174"/>
    </row>
    <row r="20" spans="1:27" x14ac:dyDescent="0.2">
      <c r="A20" s="150" t="s">
        <v>1251</v>
      </c>
      <c r="B20" s="151" t="s">
        <v>1251</v>
      </c>
      <c r="C20" s="151" t="s">
        <v>2257</v>
      </c>
      <c r="D20" s="151"/>
      <c r="E20" s="151"/>
      <c r="F20" s="151" t="s">
        <v>2258</v>
      </c>
      <c r="G20" s="151" t="s">
        <v>2259</v>
      </c>
      <c r="H20" s="151" t="s">
        <v>101</v>
      </c>
      <c r="I20" s="151" t="s">
        <v>274</v>
      </c>
      <c r="J20" s="151"/>
      <c r="K20" s="151" t="s">
        <v>52</v>
      </c>
      <c r="L20" s="151"/>
      <c r="M20" s="151"/>
      <c r="N20" s="151" t="s">
        <v>52</v>
      </c>
      <c r="O20" s="151" t="s">
        <v>61</v>
      </c>
      <c r="P20" s="162">
        <v>45351</v>
      </c>
      <c r="Q20" s="151" t="s">
        <v>1255</v>
      </c>
      <c r="R20" s="151" t="s">
        <v>293</v>
      </c>
      <c r="S20" s="151" t="s">
        <v>297</v>
      </c>
      <c r="T20" s="162">
        <v>46112</v>
      </c>
      <c r="U20" s="152">
        <v>1</v>
      </c>
      <c r="V20" s="164">
        <v>73.971000000000004</v>
      </c>
      <c r="W20" s="152">
        <v>73.971000000000004</v>
      </c>
      <c r="X20" s="153">
        <v>2.2000000000000001E-4</v>
      </c>
      <c r="Y20" s="153">
        <v>5.6999999999999998E-4</v>
      </c>
      <c r="Z20" s="154">
        <v>1E-4</v>
      </c>
      <c r="AA20" s="174"/>
    </row>
    <row r="21" spans="1:27" x14ac:dyDescent="0.2">
      <c r="A21" s="150" t="s">
        <v>1251</v>
      </c>
      <c r="B21" s="151" t="s">
        <v>1251</v>
      </c>
      <c r="C21" s="151" t="s">
        <v>2260</v>
      </c>
      <c r="D21" s="151"/>
      <c r="E21" s="151"/>
      <c r="F21" s="151" t="s">
        <v>2261</v>
      </c>
      <c r="G21" s="151" t="s">
        <v>2262</v>
      </c>
      <c r="H21" s="151" t="s">
        <v>101</v>
      </c>
      <c r="I21" s="151" t="s">
        <v>885</v>
      </c>
      <c r="J21" s="151"/>
      <c r="K21" s="151" t="s">
        <v>52</v>
      </c>
      <c r="L21" s="151"/>
      <c r="M21" s="151"/>
      <c r="N21" s="151" t="s">
        <v>52</v>
      </c>
      <c r="O21" s="151" t="s">
        <v>61</v>
      </c>
      <c r="P21" s="162">
        <v>42521</v>
      </c>
      <c r="Q21" s="151" t="s">
        <v>1256</v>
      </c>
      <c r="R21" s="151" t="s">
        <v>295</v>
      </c>
      <c r="S21" s="151" t="s">
        <v>296</v>
      </c>
      <c r="T21" s="162">
        <v>46112</v>
      </c>
      <c r="U21" s="152">
        <v>3.165</v>
      </c>
      <c r="V21" s="164">
        <v>2.8436018957345972</v>
      </c>
      <c r="W21" s="152">
        <v>9</v>
      </c>
      <c r="X21" s="153">
        <v>1.9E-3</v>
      </c>
      <c r="Y21" s="153">
        <v>6.9999999999999994E-5</v>
      </c>
      <c r="Z21" s="154">
        <v>1.0000000000000001E-5</v>
      </c>
      <c r="AA21" s="174"/>
    </row>
    <row r="22" spans="1:27" x14ac:dyDescent="0.2">
      <c r="A22" s="150" t="s">
        <v>1251</v>
      </c>
      <c r="B22" s="151" t="s">
        <v>1251</v>
      </c>
      <c r="C22" s="151" t="s">
        <v>2263</v>
      </c>
      <c r="D22" s="151"/>
      <c r="E22" s="151"/>
      <c r="F22" s="151" t="s">
        <v>2264</v>
      </c>
      <c r="G22" s="151" t="s">
        <v>2265</v>
      </c>
      <c r="H22" s="151" t="s">
        <v>101</v>
      </c>
      <c r="I22" s="151" t="s">
        <v>728</v>
      </c>
      <c r="J22" s="151"/>
      <c r="K22" s="151" t="s">
        <v>60</v>
      </c>
      <c r="L22" s="151"/>
      <c r="M22" s="151"/>
      <c r="N22" s="151" t="s">
        <v>306</v>
      </c>
      <c r="O22" s="151" t="s">
        <v>61</v>
      </c>
      <c r="P22" s="162">
        <v>44255</v>
      </c>
      <c r="Q22" s="151" t="s">
        <v>1256</v>
      </c>
      <c r="R22" s="151" t="s">
        <v>295</v>
      </c>
      <c r="S22" s="151" t="s">
        <v>296</v>
      </c>
      <c r="T22" s="162">
        <v>46112</v>
      </c>
      <c r="U22" s="152">
        <v>3.165</v>
      </c>
      <c r="V22" s="164">
        <v>5558.4748815165876</v>
      </c>
      <c r="W22" s="152">
        <v>17592.573</v>
      </c>
      <c r="X22" s="153">
        <v>6.3400000000000001E-3</v>
      </c>
      <c r="Y22" s="153">
        <v>0.13564000000000001</v>
      </c>
      <c r="Z22" s="154">
        <v>2.3970000000000002E-2</v>
      </c>
      <c r="AA22" s="174"/>
    </row>
    <row r="23" spans="1:27" x14ac:dyDescent="0.2">
      <c r="A23" s="150" t="s">
        <v>1251</v>
      </c>
      <c r="B23" s="151" t="s">
        <v>1251</v>
      </c>
      <c r="C23" s="151" t="s">
        <v>2266</v>
      </c>
      <c r="D23" s="151"/>
      <c r="E23" s="151"/>
      <c r="F23" s="151" t="s">
        <v>2267</v>
      </c>
      <c r="G23" s="151" t="s">
        <v>2268</v>
      </c>
      <c r="H23" s="151" t="s">
        <v>101</v>
      </c>
      <c r="I23" s="151" t="s">
        <v>273</v>
      </c>
      <c r="J23" s="151"/>
      <c r="K23" s="151" t="s">
        <v>60</v>
      </c>
      <c r="L23" s="151"/>
      <c r="M23" s="151"/>
      <c r="N23" s="151" t="s">
        <v>305</v>
      </c>
      <c r="O23" s="151" t="s">
        <v>61</v>
      </c>
      <c r="P23" s="162">
        <v>44769</v>
      </c>
      <c r="Q23" s="151" t="s">
        <v>1258</v>
      </c>
      <c r="R23" s="151" t="s">
        <v>293</v>
      </c>
      <c r="S23" s="151" t="s">
        <v>297</v>
      </c>
      <c r="T23" s="162">
        <v>46079</v>
      </c>
      <c r="U23" s="152">
        <v>3.6360000000000001</v>
      </c>
      <c r="V23" s="164">
        <v>1136.3014301430142</v>
      </c>
      <c r="W23" s="152">
        <v>4131.5919999999996</v>
      </c>
      <c r="X23" s="153">
        <v>6.2E-4</v>
      </c>
      <c r="Y23" s="153">
        <v>3.1859999999999999E-2</v>
      </c>
      <c r="Z23" s="154">
        <v>5.6299999999999996E-3</v>
      </c>
      <c r="AA23" s="174"/>
    </row>
    <row r="24" spans="1:27" x14ac:dyDescent="0.2">
      <c r="A24" s="150" t="s">
        <v>1251</v>
      </c>
      <c r="B24" s="151" t="s">
        <v>1251</v>
      </c>
      <c r="C24" s="151" t="s">
        <v>2269</v>
      </c>
      <c r="D24" s="151"/>
      <c r="E24" s="151"/>
      <c r="F24" s="151" t="s">
        <v>2270</v>
      </c>
      <c r="G24" s="151" t="s">
        <v>2271</v>
      </c>
      <c r="H24" s="151" t="s">
        <v>101</v>
      </c>
      <c r="I24" s="151" t="s">
        <v>273</v>
      </c>
      <c r="J24" s="151"/>
      <c r="K24" s="151" t="s">
        <v>60</v>
      </c>
      <c r="L24" s="151"/>
      <c r="M24" s="151"/>
      <c r="N24" s="151" t="s">
        <v>306</v>
      </c>
      <c r="O24" s="151" t="s">
        <v>61</v>
      </c>
      <c r="P24" s="162">
        <v>44537</v>
      </c>
      <c r="Q24" s="151" t="s">
        <v>1256</v>
      </c>
      <c r="R24" s="151" t="s">
        <v>293</v>
      </c>
      <c r="S24" s="151" t="s">
        <v>297</v>
      </c>
      <c r="T24" s="162">
        <v>46056</v>
      </c>
      <c r="U24" s="152">
        <v>3.165</v>
      </c>
      <c r="V24" s="164">
        <v>1247.4862559241706</v>
      </c>
      <c r="W24" s="152">
        <v>3948.2939999999999</v>
      </c>
      <c r="X24" s="153">
        <v>2.8900000000000002E-3</v>
      </c>
      <c r="Y24" s="153">
        <v>3.0439999999999998E-2</v>
      </c>
      <c r="Z24" s="154">
        <v>5.3800000000000002E-3</v>
      </c>
      <c r="AA24" s="174"/>
    </row>
    <row r="25" spans="1:27" x14ac:dyDescent="0.2">
      <c r="A25" s="150" t="s">
        <v>1251</v>
      </c>
      <c r="B25" s="151" t="s">
        <v>1251</v>
      </c>
      <c r="C25" s="151" t="s">
        <v>2272</v>
      </c>
      <c r="D25" s="151"/>
      <c r="E25" s="151"/>
      <c r="F25" s="151" t="s">
        <v>2273</v>
      </c>
      <c r="G25" s="151" t="s">
        <v>2274</v>
      </c>
      <c r="H25" s="151" t="s">
        <v>101</v>
      </c>
      <c r="I25" s="151" t="s">
        <v>273</v>
      </c>
      <c r="J25" s="151"/>
      <c r="K25" s="151" t="s">
        <v>60</v>
      </c>
      <c r="L25" s="151"/>
      <c r="M25" s="151"/>
      <c r="N25" s="151" t="s">
        <v>305</v>
      </c>
      <c r="O25" s="151" t="s">
        <v>61</v>
      </c>
      <c r="P25" s="162">
        <v>44910</v>
      </c>
      <c r="Q25" s="151" t="s">
        <v>1258</v>
      </c>
      <c r="R25" s="151" t="s">
        <v>293</v>
      </c>
      <c r="S25" s="151" t="s">
        <v>297</v>
      </c>
      <c r="T25" s="162">
        <v>46105</v>
      </c>
      <c r="U25" s="152">
        <v>3.6360000000000001</v>
      </c>
      <c r="V25" s="164">
        <v>894.8624862486248</v>
      </c>
      <c r="W25" s="152">
        <v>3253.72</v>
      </c>
      <c r="X25" s="153">
        <v>3.6000000000000002E-4</v>
      </c>
      <c r="Y25" s="153">
        <v>2.5090000000000001E-2</v>
      </c>
      <c r="Z25" s="154">
        <v>4.4299999999999999E-3</v>
      </c>
      <c r="AA25" s="174"/>
    </row>
    <row r="26" spans="1:27" x14ac:dyDescent="0.2">
      <c r="A26" s="150" t="s">
        <v>1251</v>
      </c>
      <c r="B26" s="151" t="s">
        <v>1251</v>
      </c>
      <c r="C26" s="151" t="s">
        <v>2275</v>
      </c>
      <c r="D26" s="151"/>
      <c r="E26" s="151"/>
      <c r="F26" s="151" t="s">
        <v>2276</v>
      </c>
      <c r="G26" s="151" t="s">
        <v>2277</v>
      </c>
      <c r="H26" s="151" t="s">
        <v>101</v>
      </c>
      <c r="I26" s="151" t="s">
        <v>238</v>
      </c>
      <c r="J26" s="151"/>
      <c r="K26" s="151" t="s">
        <v>60</v>
      </c>
      <c r="L26" s="151"/>
      <c r="M26" s="151"/>
      <c r="N26" s="151" t="s">
        <v>108</v>
      </c>
      <c r="O26" s="151" t="s">
        <v>61</v>
      </c>
      <c r="P26" s="162">
        <v>43860</v>
      </c>
      <c r="Q26" s="151" t="s">
        <v>1256</v>
      </c>
      <c r="R26" s="151" t="s">
        <v>295</v>
      </c>
      <c r="S26" s="151" t="s">
        <v>296</v>
      </c>
      <c r="T26" s="162">
        <v>46111</v>
      </c>
      <c r="U26" s="152">
        <v>3.165</v>
      </c>
      <c r="V26" s="164">
        <v>850.62211690363347</v>
      </c>
      <c r="W26" s="152">
        <v>2692.2190000000001</v>
      </c>
      <c r="X26" s="153">
        <v>3.0000000000000001E-3</v>
      </c>
      <c r="Y26" s="153">
        <v>2.0760000000000001E-2</v>
      </c>
      <c r="Z26" s="154">
        <v>3.6700000000000001E-3</v>
      </c>
      <c r="AA26" s="174"/>
    </row>
    <row r="27" spans="1:27" x14ac:dyDescent="0.2">
      <c r="A27" s="150" t="s">
        <v>1251</v>
      </c>
      <c r="B27" s="151" t="s">
        <v>1251</v>
      </c>
      <c r="C27" s="151" t="s">
        <v>2278</v>
      </c>
      <c r="D27" s="151"/>
      <c r="E27" s="151"/>
      <c r="F27" s="151" t="s">
        <v>2279</v>
      </c>
      <c r="G27" s="151" t="s">
        <v>2280</v>
      </c>
      <c r="H27" s="151" t="s">
        <v>101</v>
      </c>
      <c r="I27" s="151" t="s">
        <v>885</v>
      </c>
      <c r="J27" s="151"/>
      <c r="K27" s="151" t="s">
        <v>60</v>
      </c>
      <c r="L27" s="151"/>
      <c r="M27" s="151"/>
      <c r="N27" s="151" t="s">
        <v>889</v>
      </c>
      <c r="O27" s="151" t="s">
        <v>61</v>
      </c>
      <c r="P27" s="162">
        <v>44389</v>
      </c>
      <c r="Q27" s="151" t="s">
        <v>1256</v>
      </c>
      <c r="R27" s="151" t="s">
        <v>295</v>
      </c>
      <c r="S27" s="151" t="s">
        <v>296</v>
      </c>
      <c r="T27" s="162">
        <v>46086</v>
      </c>
      <c r="U27" s="152">
        <v>3.165</v>
      </c>
      <c r="V27" s="164">
        <v>847.08120063191154</v>
      </c>
      <c r="W27" s="152">
        <v>2681.0120000000002</v>
      </c>
      <c r="X27" s="153">
        <v>9.0000000000000006E-5</v>
      </c>
      <c r="Y27" s="153">
        <v>2.0670000000000001E-2</v>
      </c>
      <c r="Z27" s="154">
        <v>3.65E-3</v>
      </c>
      <c r="AA27" s="174"/>
    </row>
    <row r="28" spans="1:27" x14ac:dyDescent="0.2">
      <c r="A28" s="150" t="s">
        <v>1251</v>
      </c>
      <c r="B28" s="151" t="s">
        <v>1251</v>
      </c>
      <c r="C28" s="151" t="s">
        <v>2281</v>
      </c>
      <c r="D28" s="151"/>
      <c r="E28" s="151"/>
      <c r="F28" s="151" t="s">
        <v>2282</v>
      </c>
      <c r="G28" s="151" t="s">
        <v>2283</v>
      </c>
      <c r="H28" s="151" t="s">
        <v>101</v>
      </c>
      <c r="I28" s="151" t="s">
        <v>728</v>
      </c>
      <c r="J28" s="151"/>
      <c r="K28" s="151" t="s">
        <v>60</v>
      </c>
      <c r="L28" s="151"/>
      <c r="M28" s="151"/>
      <c r="N28" s="151" t="s">
        <v>306</v>
      </c>
      <c r="O28" s="151" t="s">
        <v>61</v>
      </c>
      <c r="P28" s="162">
        <v>44537</v>
      </c>
      <c r="Q28" s="151" t="s">
        <v>1256</v>
      </c>
      <c r="R28" s="151" t="s">
        <v>295</v>
      </c>
      <c r="S28" s="151" t="s">
        <v>296</v>
      </c>
      <c r="T28" s="162">
        <v>46112</v>
      </c>
      <c r="U28" s="152">
        <v>3.165</v>
      </c>
      <c r="V28" s="164">
        <v>846.32764612954179</v>
      </c>
      <c r="W28" s="152">
        <v>2678.627</v>
      </c>
      <c r="X28" s="153">
        <v>4.5100000000000001E-3</v>
      </c>
      <c r="Y28" s="153">
        <v>2.0650000000000002E-2</v>
      </c>
      <c r="Z28" s="154">
        <v>3.65E-3</v>
      </c>
      <c r="AA28" s="174"/>
    </row>
    <row r="29" spans="1:27" x14ac:dyDescent="0.2">
      <c r="A29" s="150" t="s">
        <v>1251</v>
      </c>
      <c r="B29" s="151" t="s">
        <v>1251</v>
      </c>
      <c r="C29" s="151" t="s">
        <v>2284</v>
      </c>
      <c r="D29" s="151"/>
      <c r="E29" s="151"/>
      <c r="F29" s="151" t="s">
        <v>2285</v>
      </c>
      <c r="G29" s="151" t="s">
        <v>2286</v>
      </c>
      <c r="H29" s="151" t="s">
        <v>101</v>
      </c>
      <c r="I29" s="151" t="s">
        <v>238</v>
      </c>
      <c r="J29" s="151"/>
      <c r="K29" s="151" t="s">
        <v>60</v>
      </c>
      <c r="L29" s="151"/>
      <c r="M29" s="151"/>
      <c r="N29" s="151" t="s">
        <v>306</v>
      </c>
      <c r="O29" s="151" t="s">
        <v>61</v>
      </c>
      <c r="P29" s="162">
        <v>43502</v>
      </c>
      <c r="Q29" s="151" t="s">
        <v>1256</v>
      </c>
      <c r="R29" s="151" t="s">
        <v>295</v>
      </c>
      <c r="S29" s="151" t="s">
        <v>296</v>
      </c>
      <c r="T29" s="162">
        <v>46111</v>
      </c>
      <c r="U29" s="152">
        <v>3.165</v>
      </c>
      <c r="V29" s="164">
        <v>820.34060031595584</v>
      </c>
      <c r="W29" s="152">
        <v>2596.3780000000002</v>
      </c>
      <c r="X29" s="153">
        <v>1E-4</v>
      </c>
      <c r="Y29" s="153">
        <v>2.002E-2</v>
      </c>
      <c r="Z29" s="154">
        <v>3.5400000000000002E-3</v>
      </c>
      <c r="AA29" s="174"/>
    </row>
    <row r="30" spans="1:27" x14ac:dyDescent="0.2">
      <c r="A30" s="150" t="s">
        <v>1251</v>
      </c>
      <c r="B30" s="151" t="s">
        <v>1251</v>
      </c>
      <c r="C30" s="151" t="s">
        <v>2287</v>
      </c>
      <c r="D30" s="151"/>
      <c r="E30" s="151"/>
      <c r="F30" s="151" t="s">
        <v>2287</v>
      </c>
      <c r="G30" s="151" t="s">
        <v>2288</v>
      </c>
      <c r="H30" s="151" t="s">
        <v>101</v>
      </c>
      <c r="I30" s="151" t="s">
        <v>273</v>
      </c>
      <c r="J30" s="151"/>
      <c r="K30" s="151" t="s">
        <v>60</v>
      </c>
      <c r="L30" s="151"/>
      <c r="M30" s="151"/>
      <c r="N30" s="151" t="s">
        <v>306</v>
      </c>
      <c r="O30" s="151" t="s">
        <v>61</v>
      </c>
      <c r="P30" s="162">
        <v>44558</v>
      </c>
      <c r="Q30" s="151" t="s">
        <v>1255</v>
      </c>
      <c r="R30" s="151" t="s">
        <v>293</v>
      </c>
      <c r="S30" s="151" t="s">
        <v>297</v>
      </c>
      <c r="T30" s="162">
        <v>46110</v>
      </c>
      <c r="U30" s="152">
        <v>1</v>
      </c>
      <c r="V30" s="164">
        <v>2312.5309999999999</v>
      </c>
      <c r="W30" s="152">
        <v>2312.5309999999999</v>
      </c>
      <c r="X30" s="153">
        <v>5.5300000000000002E-3</v>
      </c>
      <c r="Y30" s="153">
        <v>1.7829999999999999E-2</v>
      </c>
      <c r="Z30" s="154">
        <v>3.15E-3</v>
      </c>
      <c r="AA30" s="174"/>
    </row>
    <row r="31" spans="1:27" x14ac:dyDescent="0.2">
      <c r="A31" s="150" t="s">
        <v>1251</v>
      </c>
      <c r="B31" s="151" t="s">
        <v>1251</v>
      </c>
      <c r="C31" s="151" t="s">
        <v>2281</v>
      </c>
      <c r="D31" s="151"/>
      <c r="E31" s="151"/>
      <c r="F31" s="151" t="s">
        <v>2289</v>
      </c>
      <c r="G31" s="151" t="s">
        <v>2290</v>
      </c>
      <c r="H31" s="151" t="s">
        <v>101</v>
      </c>
      <c r="I31" s="151" t="s">
        <v>728</v>
      </c>
      <c r="J31" s="151"/>
      <c r="K31" s="151" t="s">
        <v>60</v>
      </c>
      <c r="L31" s="151"/>
      <c r="M31" s="151"/>
      <c r="N31" s="151" t="s">
        <v>306</v>
      </c>
      <c r="O31" s="151" t="s">
        <v>61</v>
      </c>
      <c r="P31" s="162">
        <v>43375</v>
      </c>
      <c r="Q31" s="151" t="s">
        <v>1256</v>
      </c>
      <c r="R31" s="151" t="s">
        <v>295</v>
      </c>
      <c r="S31" s="151" t="s">
        <v>296</v>
      </c>
      <c r="T31" s="162">
        <v>46085</v>
      </c>
      <c r="U31" s="152">
        <v>3.165</v>
      </c>
      <c r="V31" s="164">
        <v>726.98167456556075</v>
      </c>
      <c r="W31" s="152">
        <v>2300.8969999999999</v>
      </c>
      <c r="X31" s="153">
        <v>8.4999999999999995E-4</v>
      </c>
      <c r="Y31" s="153">
        <v>1.7739999999999999E-2</v>
      </c>
      <c r="Z31" s="154">
        <v>3.14E-3</v>
      </c>
      <c r="AA31" s="174"/>
    </row>
    <row r="32" spans="1:27" x14ac:dyDescent="0.2">
      <c r="A32" s="150" t="s">
        <v>1251</v>
      </c>
      <c r="B32" s="151" t="s">
        <v>1251</v>
      </c>
      <c r="C32" s="151" t="s">
        <v>2291</v>
      </c>
      <c r="D32" s="151"/>
      <c r="E32" s="151"/>
      <c r="F32" s="151" t="s">
        <v>2292</v>
      </c>
      <c r="G32" s="151" t="s">
        <v>2293</v>
      </c>
      <c r="H32" s="151" t="s">
        <v>101</v>
      </c>
      <c r="I32" s="151" t="s">
        <v>273</v>
      </c>
      <c r="J32" s="151"/>
      <c r="K32" s="151" t="s">
        <v>60</v>
      </c>
      <c r="L32" s="151"/>
      <c r="M32" s="151"/>
      <c r="N32" s="151" t="s">
        <v>306</v>
      </c>
      <c r="O32" s="151" t="s">
        <v>61</v>
      </c>
      <c r="P32" s="162">
        <v>44755</v>
      </c>
      <c r="Q32" s="151" t="s">
        <v>1256</v>
      </c>
      <c r="R32" s="151" t="s">
        <v>293</v>
      </c>
      <c r="S32" s="151" t="s">
        <v>297</v>
      </c>
      <c r="T32" s="162">
        <v>46016</v>
      </c>
      <c r="U32" s="152">
        <v>3.165</v>
      </c>
      <c r="V32" s="164">
        <v>716.28056872037905</v>
      </c>
      <c r="W32" s="152">
        <v>2267.0279999999998</v>
      </c>
      <c r="X32" s="153">
        <v>9.7999999999999997E-4</v>
      </c>
      <c r="Y32" s="153">
        <v>1.7479999999999999E-2</v>
      </c>
      <c r="Z32" s="154">
        <v>3.0899999999999999E-3</v>
      </c>
      <c r="AA32" s="174"/>
    </row>
    <row r="33" spans="1:27" x14ac:dyDescent="0.2">
      <c r="A33" s="150" t="s">
        <v>1251</v>
      </c>
      <c r="B33" s="151" t="s">
        <v>1251</v>
      </c>
      <c r="C33" s="151" t="s">
        <v>2294</v>
      </c>
      <c r="D33" s="151"/>
      <c r="E33" s="151"/>
      <c r="F33" s="151" t="s">
        <v>2295</v>
      </c>
      <c r="G33" s="151" t="s">
        <v>2296</v>
      </c>
      <c r="H33" s="151" t="s">
        <v>101</v>
      </c>
      <c r="I33" s="151" t="s">
        <v>728</v>
      </c>
      <c r="J33" s="151"/>
      <c r="K33" s="151" t="s">
        <v>60</v>
      </c>
      <c r="L33" s="151"/>
      <c r="M33" s="151"/>
      <c r="N33" s="151" t="s">
        <v>306</v>
      </c>
      <c r="O33" s="151" t="s">
        <v>61</v>
      </c>
      <c r="P33" s="162">
        <v>43829</v>
      </c>
      <c r="Q33" s="151" t="s">
        <v>1256</v>
      </c>
      <c r="R33" s="151" t="s">
        <v>293</v>
      </c>
      <c r="S33" s="151" t="s">
        <v>297</v>
      </c>
      <c r="T33" s="162">
        <v>46112</v>
      </c>
      <c r="U33" s="152">
        <v>3.165</v>
      </c>
      <c r="V33" s="164">
        <v>693.657503949447</v>
      </c>
      <c r="W33" s="152">
        <v>2195.4259999999999</v>
      </c>
      <c r="X33" s="153">
        <v>6.0000000000000002E-5</v>
      </c>
      <c r="Y33" s="153">
        <v>1.6930000000000001E-2</v>
      </c>
      <c r="Z33" s="154">
        <v>2.99E-3</v>
      </c>
      <c r="AA33" s="174"/>
    </row>
    <row r="34" spans="1:27" x14ac:dyDescent="0.2">
      <c r="A34" s="150" t="s">
        <v>1251</v>
      </c>
      <c r="B34" s="151" t="s">
        <v>1251</v>
      </c>
      <c r="C34" s="151" t="s">
        <v>2297</v>
      </c>
      <c r="D34" s="151"/>
      <c r="E34" s="151"/>
      <c r="F34" s="151" t="s">
        <v>2298</v>
      </c>
      <c r="G34" s="151" t="s">
        <v>2299</v>
      </c>
      <c r="H34" s="151" t="s">
        <v>101</v>
      </c>
      <c r="I34" s="151" t="s">
        <v>728</v>
      </c>
      <c r="J34" s="151"/>
      <c r="K34" s="151" t="s">
        <v>60</v>
      </c>
      <c r="L34" s="151"/>
      <c r="M34" s="151"/>
      <c r="N34" s="151" t="s">
        <v>305</v>
      </c>
      <c r="O34" s="151" t="s">
        <v>61</v>
      </c>
      <c r="P34" s="162">
        <v>44235</v>
      </c>
      <c r="Q34" s="151" t="s">
        <v>1256</v>
      </c>
      <c r="R34" s="151" t="s">
        <v>295</v>
      </c>
      <c r="S34" s="151" t="s">
        <v>296</v>
      </c>
      <c r="T34" s="162">
        <v>46093</v>
      </c>
      <c r="U34" s="152">
        <v>3.165</v>
      </c>
      <c r="V34" s="164">
        <v>678.72985781990519</v>
      </c>
      <c r="W34" s="152">
        <v>2148.1799999999998</v>
      </c>
      <c r="X34" s="153">
        <v>4.0000000000000003E-5</v>
      </c>
      <c r="Y34" s="153">
        <v>1.6559999999999998E-2</v>
      </c>
      <c r="Z34" s="154">
        <v>2.9299999999999999E-3</v>
      </c>
      <c r="AA34" s="174"/>
    </row>
    <row r="35" spans="1:27" x14ac:dyDescent="0.2">
      <c r="A35" s="150" t="s">
        <v>1251</v>
      </c>
      <c r="B35" s="151" t="s">
        <v>1251</v>
      </c>
      <c r="C35" s="151" t="s">
        <v>2300</v>
      </c>
      <c r="D35" s="151"/>
      <c r="E35" s="151"/>
      <c r="F35" s="151" t="s">
        <v>2301</v>
      </c>
      <c r="G35" s="151" t="s">
        <v>2302</v>
      </c>
      <c r="H35" s="151" t="s">
        <v>101</v>
      </c>
      <c r="I35" s="151" t="s">
        <v>238</v>
      </c>
      <c r="J35" s="151"/>
      <c r="K35" s="151" t="s">
        <v>60</v>
      </c>
      <c r="L35" s="151"/>
      <c r="M35" s="151"/>
      <c r="N35" s="151" t="s">
        <v>305</v>
      </c>
      <c r="O35" s="151" t="s">
        <v>61</v>
      </c>
      <c r="P35" s="162">
        <v>44420</v>
      </c>
      <c r="Q35" s="151" t="s">
        <v>1256</v>
      </c>
      <c r="R35" s="151" t="s">
        <v>295</v>
      </c>
      <c r="S35" s="151" t="s">
        <v>296</v>
      </c>
      <c r="T35" s="162">
        <v>46106</v>
      </c>
      <c r="U35" s="152">
        <v>3.165</v>
      </c>
      <c r="V35" s="164">
        <v>668.50868878357028</v>
      </c>
      <c r="W35" s="152">
        <v>2115.83</v>
      </c>
      <c r="X35" s="153">
        <v>9.0000000000000006E-5</v>
      </c>
      <c r="Y35" s="153">
        <v>1.6310000000000002E-2</v>
      </c>
      <c r="Z35" s="154">
        <v>2.8800000000000002E-3</v>
      </c>
      <c r="AA35" s="174"/>
    </row>
    <row r="36" spans="1:27" x14ac:dyDescent="0.2">
      <c r="A36" s="150" t="s">
        <v>1251</v>
      </c>
      <c r="B36" s="151" t="s">
        <v>1251</v>
      </c>
      <c r="C36" s="151" t="s">
        <v>2303</v>
      </c>
      <c r="D36" s="151"/>
      <c r="E36" s="151"/>
      <c r="F36" s="151" t="s">
        <v>2304</v>
      </c>
      <c r="G36" s="151" t="s">
        <v>2305</v>
      </c>
      <c r="H36" s="151" t="s">
        <v>101</v>
      </c>
      <c r="I36" s="151" t="s">
        <v>728</v>
      </c>
      <c r="J36" s="151"/>
      <c r="K36" s="151" t="s">
        <v>60</v>
      </c>
      <c r="L36" s="151"/>
      <c r="M36" s="151"/>
      <c r="N36" s="151" t="s">
        <v>306</v>
      </c>
      <c r="O36" s="151" t="s">
        <v>61</v>
      </c>
      <c r="P36" s="162">
        <v>44264</v>
      </c>
      <c r="Q36" s="151" t="s">
        <v>1256</v>
      </c>
      <c r="R36" s="151" t="s">
        <v>293</v>
      </c>
      <c r="S36" s="151" t="s">
        <v>297</v>
      </c>
      <c r="T36" s="162">
        <v>46093</v>
      </c>
      <c r="U36" s="152">
        <v>3.165</v>
      </c>
      <c r="V36" s="164">
        <v>656.17598736176933</v>
      </c>
      <c r="W36" s="152">
        <v>2076.797</v>
      </c>
      <c r="X36" s="153">
        <v>5.0000000000000002E-5</v>
      </c>
      <c r="Y36" s="153">
        <v>1.601E-2</v>
      </c>
      <c r="Z36" s="154">
        <v>2.8300000000000001E-3</v>
      </c>
      <c r="AA36" s="174"/>
    </row>
    <row r="37" spans="1:27" x14ac:dyDescent="0.2">
      <c r="A37" s="150" t="s">
        <v>1251</v>
      </c>
      <c r="B37" s="151" t="s">
        <v>1251</v>
      </c>
      <c r="C37" s="151" t="s">
        <v>2306</v>
      </c>
      <c r="D37" s="151"/>
      <c r="E37" s="151"/>
      <c r="F37" s="151" t="s">
        <v>2307</v>
      </c>
      <c r="G37" s="151" t="s">
        <v>2308</v>
      </c>
      <c r="H37" s="151" t="s">
        <v>101</v>
      </c>
      <c r="I37" s="151" t="s">
        <v>273</v>
      </c>
      <c r="J37" s="151"/>
      <c r="K37" s="151" t="s">
        <v>60</v>
      </c>
      <c r="L37" s="151"/>
      <c r="M37" s="151"/>
      <c r="N37" s="151" t="s">
        <v>305</v>
      </c>
      <c r="O37" s="151" t="s">
        <v>61</v>
      </c>
      <c r="P37" s="162">
        <v>45238</v>
      </c>
      <c r="Q37" s="151" t="s">
        <v>1258</v>
      </c>
      <c r="R37" s="151" t="s">
        <v>293</v>
      </c>
      <c r="S37" s="151" t="s">
        <v>297</v>
      </c>
      <c r="T37" s="162">
        <v>46105</v>
      </c>
      <c r="U37" s="152">
        <v>3.6360000000000001</v>
      </c>
      <c r="V37" s="164">
        <v>568.93509350935096</v>
      </c>
      <c r="W37" s="152">
        <v>2068.6480000000001</v>
      </c>
      <c r="X37" s="153">
        <v>1.1199999999999999E-3</v>
      </c>
      <c r="Y37" s="153">
        <v>1.5949999999999999E-2</v>
      </c>
      <c r="Z37" s="154">
        <v>2.82E-3</v>
      </c>
      <c r="AA37" s="174"/>
    </row>
    <row r="38" spans="1:27" x14ac:dyDescent="0.2">
      <c r="A38" s="150" t="s">
        <v>1251</v>
      </c>
      <c r="B38" s="151" t="s">
        <v>1251</v>
      </c>
      <c r="C38" s="151" t="s">
        <v>2309</v>
      </c>
      <c r="D38" s="151"/>
      <c r="E38" s="151"/>
      <c r="F38" s="151" t="s">
        <v>2310</v>
      </c>
      <c r="G38" s="151" t="s">
        <v>2311</v>
      </c>
      <c r="H38" s="151" t="s">
        <v>101</v>
      </c>
      <c r="I38" s="151" t="s">
        <v>728</v>
      </c>
      <c r="J38" s="151"/>
      <c r="K38" s="151" t="s">
        <v>60</v>
      </c>
      <c r="L38" s="151"/>
      <c r="M38" s="151"/>
      <c r="N38" s="151" t="s">
        <v>306</v>
      </c>
      <c r="O38" s="151" t="s">
        <v>61</v>
      </c>
      <c r="P38" s="162">
        <v>43319</v>
      </c>
      <c r="Q38" s="151" t="s">
        <v>1256</v>
      </c>
      <c r="R38" s="151" t="s">
        <v>293</v>
      </c>
      <c r="S38" s="151" t="s">
        <v>297</v>
      </c>
      <c r="T38" s="162">
        <v>46112</v>
      </c>
      <c r="U38" s="152">
        <v>3.165</v>
      </c>
      <c r="V38" s="164">
        <v>649.56176935229064</v>
      </c>
      <c r="W38" s="152">
        <v>2055.8629999999998</v>
      </c>
      <c r="X38" s="153">
        <v>5.1999999999999995E-4</v>
      </c>
      <c r="Y38" s="153">
        <v>1.585E-2</v>
      </c>
      <c r="Z38" s="154">
        <v>2.8E-3</v>
      </c>
      <c r="AA38" s="174"/>
    </row>
    <row r="39" spans="1:27" x14ac:dyDescent="0.2">
      <c r="A39" s="150" t="s">
        <v>1251</v>
      </c>
      <c r="B39" s="151" t="s">
        <v>1251</v>
      </c>
      <c r="C39" s="151" t="s">
        <v>2312</v>
      </c>
      <c r="D39" s="151"/>
      <c r="E39" s="151"/>
      <c r="F39" s="151" t="s">
        <v>2313</v>
      </c>
      <c r="G39" s="151" t="s">
        <v>2314</v>
      </c>
      <c r="H39" s="151" t="s">
        <v>101</v>
      </c>
      <c r="I39" s="151" t="s">
        <v>238</v>
      </c>
      <c r="J39" s="151"/>
      <c r="K39" s="151" t="s">
        <v>60</v>
      </c>
      <c r="L39" s="151"/>
      <c r="M39" s="151"/>
      <c r="N39" s="151" t="s">
        <v>52</v>
      </c>
      <c r="O39" s="151" t="s">
        <v>61</v>
      </c>
      <c r="P39" s="162">
        <v>44118</v>
      </c>
      <c r="Q39" s="151" t="s">
        <v>1256</v>
      </c>
      <c r="R39" s="151" t="s">
        <v>295</v>
      </c>
      <c r="S39" s="151" t="s">
        <v>296</v>
      </c>
      <c r="T39" s="162">
        <v>46111</v>
      </c>
      <c r="U39" s="152">
        <v>3.165</v>
      </c>
      <c r="V39" s="164">
        <v>648.56872037914684</v>
      </c>
      <c r="W39" s="152">
        <v>2052.7199999999998</v>
      </c>
      <c r="X39" s="153">
        <v>2.0400000000000001E-3</v>
      </c>
      <c r="Y39" s="153">
        <v>1.583E-2</v>
      </c>
      <c r="Z39" s="154">
        <v>2.8E-3</v>
      </c>
      <c r="AA39" s="174"/>
    </row>
    <row r="40" spans="1:27" x14ac:dyDescent="0.2">
      <c r="A40" s="150" t="s">
        <v>1251</v>
      </c>
      <c r="B40" s="151" t="s">
        <v>1251</v>
      </c>
      <c r="C40" s="151" t="s">
        <v>2315</v>
      </c>
      <c r="D40" s="151"/>
      <c r="E40" s="151"/>
      <c r="F40" s="151" t="s">
        <v>2316</v>
      </c>
      <c r="G40" s="151" t="s">
        <v>2317</v>
      </c>
      <c r="H40" s="151" t="s">
        <v>101</v>
      </c>
      <c r="I40" s="151" t="s">
        <v>728</v>
      </c>
      <c r="J40" s="151"/>
      <c r="K40" s="151" t="s">
        <v>60</v>
      </c>
      <c r="L40" s="151"/>
      <c r="M40" s="151"/>
      <c r="N40" s="151" t="s">
        <v>306</v>
      </c>
      <c r="O40" s="151" t="s">
        <v>61</v>
      </c>
      <c r="P40" s="162">
        <v>45330</v>
      </c>
      <c r="Q40" s="151" t="s">
        <v>1256</v>
      </c>
      <c r="R40" s="151" t="s">
        <v>295</v>
      </c>
      <c r="S40" s="151" t="s">
        <v>296</v>
      </c>
      <c r="T40" s="162">
        <v>46077</v>
      </c>
      <c r="U40" s="152">
        <v>3.165</v>
      </c>
      <c r="V40" s="164">
        <v>618.12669826224328</v>
      </c>
      <c r="W40" s="152">
        <v>1956.3710000000001</v>
      </c>
      <c r="X40" s="153">
        <v>3.5E-4</v>
      </c>
      <c r="Y40" s="153">
        <v>1.508E-2</v>
      </c>
      <c r="Z40" s="154">
        <v>2.6700000000000001E-3</v>
      </c>
      <c r="AA40" s="174"/>
    </row>
    <row r="41" spans="1:27" x14ac:dyDescent="0.2">
      <c r="A41" s="150" t="s">
        <v>1251</v>
      </c>
      <c r="B41" s="151" t="s">
        <v>1251</v>
      </c>
      <c r="C41" s="151" t="s">
        <v>2318</v>
      </c>
      <c r="D41" s="151"/>
      <c r="E41" s="151"/>
      <c r="F41" s="151" t="s">
        <v>2319</v>
      </c>
      <c r="G41" s="151" t="s">
        <v>2320</v>
      </c>
      <c r="H41" s="151" t="s">
        <v>101</v>
      </c>
      <c r="I41" s="151" t="s">
        <v>273</v>
      </c>
      <c r="J41" s="151"/>
      <c r="K41" s="151" t="s">
        <v>60</v>
      </c>
      <c r="L41" s="151"/>
      <c r="M41" s="151"/>
      <c r="N41" s="151" t="s">
        <v>306</v>
      </c>
      <c r="O41" s="151" t="s">
        <v>61</v>
      </c>
      <c r="P41" s="162">
        <v>44894</v>
      </c>
      <c r="Q41" s="151" t="s">
        <v>1256</v>
      </c>
      <c r="R41" s="151" t="s">
        <v>293</v>
      </c>
      <c r="S41" s="151" t="s">
        <v>297</v>
      </c>
      <c r="T41" s="162">
        <v>46105</v>
      </c>
      <c r="U41" s="152">
        <v>3.165</v>
      </c>
      <c r="V41" s="164">
        <v>610.38230647709315</v>
      </c>
      <c r="W41" s="152">
        <v>1931.86</v>
      </c>
      <c r="X41" s="153">
        <v>2.8300000000000001E-3</v>
      </c>
      <c r="Y41" s="153">
        <v>1.489E-2</v>
      </c>
      <c r="Z41" s="154">
        <v>2.63E-3</v>
      </c>
      <c r="AA41" s="174"/>
    </row>
    <row r="42" spans="1:27" x14ac:dyDescent="0.2">
      <c r="A42" s="150" t="s">
        <v>1251</v>
      </c>
      <c r="B42" s="151" t="s">
        <v>1251</v>
      </c>
      <c r="C42" s="151" t="s">
        <v>2315</v>
      </c>
      <c r="D42" s="151"/>
      <c r="E42" s="151"/>
      <c r="F42" s="151" t="s">
        <v>2321</v>
      </c>
      <c r="G42" s="151" t="s">
        <v>2322</v>
      </c>
      <c r="H42" s="151" t="s">
        <v>101</v>
      </c>
      <c r="I42" s="151" t="s">
        <v>728</v>
      </c>
      <c r="J42" s="151"/>
      <c r="K42" s="151" t="s">
        <v>60</v>
      </c>
      <c r="L42" s="151"/>
      <c r="M42" s="151"/>
      <c r="N42" s="151" t="s">
        <v>306</v>
      </c>
      <c r="O42" s="151" t="s">
        <v>61</v>
      </c>
      <c r="P42" s="162">
        <v>44453</v>
      </c>
      <c r="Q42" s="151" t="s">
        <v>1256</v>
      </c>
      <c r="R42" s="151" t="s">
        <v>295</v>
      </c>
      <c r="S42" s="151" t="s">
        <v>296</v>
      </c>
      <c r="T42" s="162">
        <v>46068</v>
      </c>
      <c r="U42" s="152">
        <v>3.165</v>
      </c>
      <c r="V42" s="164">
        <v>606.12511848341228</v>
      </c>
      <c r="W42" s="152">
        <v>1918.386</v>
      </c>
      <c r="X42" s="153">
        <v>4.0000000000000002E-4</v>
      </c>
      <c r="Y42" s="153">
        <v>1.4789999999999999E-2</v>
      </c>
      <c r="Z42" s="154">
        <v>2.6099999999999999E-3</v>
      </c>
      <c r="AA42" s="174"/>
    </row>
    <row r="43" spans="1:27" x14ac:dyDescent="0.2">
      <c r="A43" s="150" t="s">
        <v>1251</v>
      </c>
      <c r="B43" s="151" t="s">
        <v>1251</v>
      </c>
      <c r="C43" s="151" t="s">
        <v>2323</v>
      </c>
      <c r="D43" s="151"/>
      <c r="E43" s="151"/>
      <c r="F43" s="151" t="s">
        <v>2324</v>
      </c>
      <c r="G43" s="151" t="s">
        <v>2325</v>
      </c>
      <c r="H43" s="151" t="s">
        <v>101</v>
      </c>
      <c r="I43" s="151" t="s">
        <v>728</v>
      </c>
      <c r="J43" s="151"/>
      <c r="K43" s="151" t="s">
        <v>60</v>
      </c>
      <c r="L43" s="151"/>
      <c r="M43" s="151"/>
      <c r="N43" s="151" t="s">
        <v>306</v>
      </c>
      <c r="O43" s="151" t="s">
        <v>61</v>
      </c>
      <c r="P43" s="162">
        <v>43860</v>
      </c>
      <c r="Q43" s="151" t="s">
        <v>1256</v>
      </c>
      <c r="R43" s="151" t="s">
        <v>295</v>
      </c>
      <c r="S43" s="151" t="s">
        <v>296</v>
      </c>
      <c r="T43" s="162">
        <v>46012</v>
      </c>
      <c r="U43" s="152">
        <v>3.165</v>
      </c>
      <c r="V43" s="164">
        <v>592.95924170616115</v>
      </c>
      <c r="W43" s="152">
        <v>1876.7159999999999</v>
      </c>
      <c r="X43" s="153">
        <v>8.0000000000000007E-5</v>
      </c>
      <c r="Y43" s="153">
        <v>1.447E-2</v>
      </c>
      <c r="Z43" s="154">
        <v>2.5600000000000002E-3</v>
      </c>
      <c r="AA43" s="174"/>
    </row>
    <row r="44" spans="1:27" x14ac:dyDescent="0.2">
      <c r="A44" s="150" t="s">
        <v>1251</v>
      </c>
      <c r="B44" s="151" t="s">
        <v>1251</v>
      </c>
      <c r="C44" s="151" t="s">
        <v>2326</v>
      </c>
      <c r="D44" s="151"/>
      <c r="E44" s="151"/>
      <c r="F44" s="151" t="s">
        <v>2327</v>
      </c>
      <c r="G44" s="151" t="s">
        <v>2328</v>
      </c>
      <c r="H44" s="151" t="s">
        <v>101</v>
      </c>
      <c r="I44" s="151" t="s">
        <v>273</v>
      </c>
      <c r="J44" s="151"/>
      <c r="K44" s="151" t="s">
        <v>60</v>
      </c>
      <c r="L44" s="151"/>
      <c r="M44" s="151"/>
      <c r="N44" s="151" t="s">
        <v>305</v>
      </c>
      <c r="O44" s="151" t="s">
        <v>61</v>
      </c>
      <c r="P44" s="162">
        <v>44431</v>
      </c>
      <c r="Q44" s="151" t="s">
        <v>1258</v>
      </c>
      <c r="R44" s="151" t="s">
        <v>293</v>
      </c>
      <c r="S44" s="151" t="s">
        <v>297</v>
      </c>
      <c r="T44" s="162">
        <v>46112</v>
      </c>
      <c r="U44" s="152">
        <v>3.6360000000000001</v>
      </c>
      <c r="V44" s="164">
        <v>504.66584158415839</v>
      </c>
      <c r="W44" s="152">
        <v>1834.9649999999999</v>
      </c>
      <c r="X44" s="153">
        <v>4.2999999999999999E-4</v>
      </c>
      <c r="Y44" s="153">
        <v>1.4149999999999999E-2</v>
      </c>
      <c r="Z44" s="154">
        <v>2.5000000000000001E-3</v>
      </c>
      <c r="AA44" s="174"/>
    </row>
    <row r="45" spans="1:27" x14ac:dyDescent="0.2">
      <c r="A45" s="150" t="s">
        <v>1251</v>
      </c>
      <c r="B45" s="151" t="s">
        <v>1251</v>
      </c>
      <c r="C45" s="151" t="s">
        <v>2329</v>
      </c>
      <c r="D45" s="151"/>
      <c r="E45" s="151"/>
      <c r="F45" s="151" t="s">
        <v>2330</v>
      </c>
      <c r="G45" s="151" t="s">
        <v>2331</v>
      </c>
      <c r="H45" s="151" t="s">
        <v>101</v>
      </c>
      <c r="I45" s="151" t="s">
        <v>728</v>
      </c>
      <c r="J45" s="151"/>
      <c r="K45" s="151" t="s">
        <v>60</v>
      </c>
      <c r="L45" s="151"/>
      <c r="M45" s="151"/>
      <c r="N45" s="151" t="s">
        <v>52</v>
      </c>
      <c r="O45" s="151" t="s">
        <v>61</v>
      </c>
      <c r="P45" s="162">
        <v>45222</v>
      </c>
      <c r="Q45" s="151" t="s">
        <v>1256</v>
      </c>
      <c r="R45" s="151" t="s">
        <v>295</v>
      </c>
      <c r="S45" s="151" t="s">
        <v>296</v>
      </c>
      <c r="T45" s="162">
        <v>46112</v>
      </c>
      <c r="U45" s="152">
        <v>3.165</v>
      </c>
      <c r="V45" s="164">
        <v>578.05244865718805</v>
      </c>
      <c r="W45" s="152">
        <v>1829.5360000000001</v>
      </c>
      <c r="X45" s="153">
        <v>8.7000000000000001E-4</v>
      </c>
      <c r="Y45" s="153">
        <v>1.4109999999999999E-2</v>
      </c>
      <c r="Z45" s="154">
        <v>2.49E-3</v>
      </c>
      <c r="AA45" s="174"/>
    </row>
    <row r="46" spans="1:27" x14ac:dyDescent="0.2">
      <c r="A46" s="150" t="s">
        <v>1251</v>
      </c>
      <c r="B46" s="151" t="s">
        <v>1251</v>
      </c>
      <c r="C46" s="151" t="s">
        <v>2294</v>
      </c>
      <c r="D46" s="151"/>
      <c r="E46" s="151"/>
      <c r="F46" s="151" t="s">
        <v>2332</v>
      </c>
      <c r="G46" s="151" t="s">
        <v>2333</v>
      </c>
      <c r="H46" s="151" t="s">
        <v>101</v>
      </c>
      <c r="I46" s="151" t="s">
        <v>728</v>
      </c>
      <c r="J46" s="151"/>
      <c r="K46" s="151" t="s">
        <v>60</v>
      </c>
      <c r="L46" s="151"/>
      <c r="M46" s="151"/>
      <c r="N46" s="151" t="s">
        <v>306</v>
      </c>
      <c r="O46" s="151" t="s">
        <v>61</v>
      </c>
      <c r="P46" s="162">
        <v>45034</v>
      </c>
      <c r="Q46" s="151" t="s">
        <v>1256</v>
      </c>
      <c r="R46" s="151" t="s">
        <v>293</v>
      </c>
      <c r="S46" s="151" t="s">
        <v>297</v>
      </c>
      <c r="T46" s="162">
        <v>46112</v>
      </c>
      <c r="U46" s="152">
        <v>3.165</v>
      </c>
      <c r="V46" s="164">
        <v>549.81958925750394</v>
      </c>
      <c r="W46" s="152">
        <v>1740.1790000000001</v>
      </c>
      <c r="X46" s="153">
        <v>4.0000000000000003E-5</v>
      </c>
      <c r="Y46" s="153">
        <v>1.342E-2</v>
      </c>
      <c r="Z46" s="154">
        <v>2.3700000000000001E-3</v>
      </c>
      <c r="AA46" s="174"/>
    </row>
    <row r="47" spans="1:27" x14ac:dyDescent="0.2">
      <c r="A47" s="150" t="s">
        <v>1251</v>
      </c>
      <c r="B47" s="151" t="s">
        <v>1251</v>
      </c>
      <c r="C47" s="151" t="s">
        <v>2300</v>
      </c>
      <c r="D47" s="151"/>
      <c r="E47" s="151"/>
      <c r="F47" s="151" t="s">
        <v>2301</v>
      </c>
      <c r="G47" s="151" t="s">
        <v>2334</v>
      </c>
      <c r="H47" s="151" t="s">
        <v>101</v>
      </c>
      <c r="I47" s="151" t="s">
        <v>274</v>
      </c>
      <c r="J47" s="151"/>
      <c r="K47" s="151" t="s">
        <v>60</v>
      </c>
      <c r="L47" s="151"/>
      <c r="M47" s="151"/>
      <c r="N47" s="151" t="s">
        <v>305</v>
      </c>
      <c r="O47" s="151" t="s">
        <v>61</v>
      </c>
      <c r="P47" s="162">
        <v>45309</v>
      </c>
      <c r="Q47" s="151" t="s">
        <v>1258</v>
      </c>
      <c r="R47" s="151" t="s">
        <v>295</v>
      </c>
      <c r="S47" s="151" t="s">
        <v>296</v>
      </c>
      <c r="T47" s="162">
        <v>46085</v>
      </c>
      <c r="U47" s="152">
        <v>3.6360000000000001</v>
      </c>
      <c r="V47" s="164">
        <v>477.27392739273927</v>
      </c>
      <c r="W47" s="152">
        <v>1735.3679999999999</v>
      </c>
      <c r="X47" s="153">
        <v>2.0000000000000002E-5</v>
      </c>
      <c r="Y47" s="153">
        <v>1.338E-2</v>
      </c>
      <c r="Z47" s="154">
        <v>2.3600000000000001E-3</v>
      </c>
      <c r="AA47" s="174"/>
    </row>
    <row r="48" spans="1:27" x14ac:dyDescent="0.2">
      <c r="A48" s="150" t="s">
        <v>1251</v>
      </c>
      <c r="B48" s="151" t="s">
        <v>1251</v>
      </c>
      <c r="C48" s="151" t="s">
        <v>2335</v>
      </c>
      <c r="D48" s="151"/>
      <c r="E48" s="151"/>
      <c r="F48" s="151" t="s">
        <v>2336</v>
      </c>
      <c r="G48" s="151" t="s">
        <v>2337</v>
      </c>
      <c r="H48" s="151" t="s">
        <v>101</v>
      </c>
      <c r="I48" s="151" t="s">
        <v>237</v>
      </c>
      <c r="J48" s="151"/>
      <c r="K48" s="151" t="s">
        <v>60</v>
      </c>
      <c r="L48" s="151"/>
      <c r="M48" s="151"/>
      <c r="N48" s="151" t="s">
        <v>306</v>
      </c>
      <c r="O48" s="151" t="s">
        <v>61</v>
      </c>
      <c r="P48" s="162">
        <v>44088</v>
      </c>
      <c r="Q48" s="151" t="s">
        <v>1256</v>
      </c>
      <c r="R48" s="151" t="s">
        <v>293</v>
      </c>
      <c r="S48" s="151" t="s">
        <v>297</v>
      </c>
      <c r="T48" s="162">
        <v>46112</v>
      </c>
      <c r="U48" s="152">
        <v>3.165</v>
      </c>
      <c r="V48" s="164">
        <v>497.30489731437598</v>
      </c>
      <c r="W48" s="152">
        <v>1573.97</v>
      </c>
      <c r="X48" s="153">
        <v>2.5000000000000001E-3</v>
      </c>
      <c r="Y48" s="153">
        <v>1.214E-2</v>
      </c>
      <c r="Z48" s="154">
        <v>2.14E-3</v>
      </c>
      <c r="AA48" s="174"/>
    </row>
    <row r="49" spans="1:27" x14ac:dyDescent="0.2">
      <c r="A49" s="150" t="s">
        <v>1251</v>
      </c>
      <c r="B49" s="151" t="s">
        <v>1251</v>
      </c>
      <c r="C49" s="151" t="s">
        <v>2338</v>
      </c>
      <c r="D49" s="151"/>
      <c r="E49" s="151"/>
      <c r="F49" s="151" t="s">
        <v>2339</v>
      </c>
      <c r="G49" s="151" t="s">
        <v>2340</v>
      </c>
      <c r="H49" s="151" t="s">
        <v>101</v>
      </c>
      <c r="I49" s="151" t="s">
        <v>237</v>
      </c>
      <c r="J49" s="151"/>
      <c r="K49" s="151" t="s">
        <v>60</v>
      </c>
      <c r="L49" s="151"/>
      <c r="M49" s="151"/>
      <c r="N49" s="151" t="s">
        <v>306</v>
      </c>
      <c r="O49" s="151" t="s">
        <v>61</v>
      </c>
      <c r="P49" s="162">
        <v>44853</v>
      </c>
      <c r="Q49" s="151" t="s">
        <v>1256</v>
      </c>
      <c r="R49" s="151" t="s">
        <v>293</v>
      </c>
      <c r="S49" s="151" t="s">
        <v>297</v>
      </c>
      <c r="T49" s="162">
        <v>46112</v>
      </c>
      <c r="U49" s="152">
        <v>3.165</v>
      </c>
      <c r="V49" s="164">
        <v>489.42843601895731</v>
      </c>
      <c r="W49" s="152">
        <v>1549.0409999999999</v>
      </c>
      <c r="X49" s="153">
        <v>3.2599999999999999E-3</v>
      </c>
      <c r="Y49" s="153">
        <v>1.1939999999999999E-2</v>
      </c>
      <c r="Z49" s="154">
        <v>2.1099999999999999E-3</v>
      </c>
      <c r="AA49" s="174"/>
    </row>
    <row r="50" spans="1:27" x14ac:dyDescent="0.2">
      <c r="A50" s="150" t="s">
        <v>1251</v>
      </c>
      <c r="B50" s="151" t="s">
        <v>1251</v>
      </c>
      <c r="C50" s="151" t="s">
        <v>2329</v>
      </c>
      <c r="D50" s="151"/>
      <c r="E50" s="151"/>
      <c r="F50" s="151" t="s">
        <v>2341</v>
      </c>
      <c r="G50" s="151" t="s">
        <v>2342</v>
      </c>
      <c r="H50" s="151" t="s">
        <v>101</v>
      </c>
      <c r="I50" s="151" t="s">
        <v>728</v>
      </c>
      <c r="J50" s="151"/>
      <c r="K50" s="151" t="s">
        <v>60</v>
      </c>
      <c r="L50" s="151"/>
      <c r="M50" s="151"/>
      <c r="N50" s="151" t="s">
        <v>52</v>
      </c>
      <c r="O50" s="151" t="s">
        <v>61</v>
      </c>
      <c r="P50" s="162">
        <v>43937</v>
      </c>
      <c r="Q50" s="151" t="s">
        <v>1256</v>
      </c>
      <c r="R50" s="151" t="s">
        <v>295</v>
      </c>
      <c r="S50" s="151" t="s">
        <v>296</v>
      </c>
      <c r="T50" s="162">
        <v>46112</v>
      </c>
      <c r="U50" s="152">
        <v>3.165</v>
      </c>
      <c r="V50" s="164">
        <v>466.63601895734598</v>
      </c>
      <c r="W50" s="152">
        <v>1476.903</v>
      </c>
      <c r="X50" s="153">
        <v>1.0000000000000001E-5</v>
      </c>
      <c r="Y50" s="153">
        <v>1.1390000000000001E-2</v>
      </c>
      <c r="Z50" s="154">
        <v>2.0100000000000001E-3</v>
      </c>
      <c r="AA50" s="174"/>
    </row>
    <row r="51" spans="1:27" x14ac:dyDescent="0.2">
      <c r="A51" s="150" t="s">
        <v>1251</v>
      </c>
      <c r="B51" s="151" t="s">
        <v>1251</v>
      </c>
      <c r="C51" s="151" t="s">
        <v>2297</v>
      </c>
      <c r="D51" s="151"/>
      <c r="E51" s="151"/>
      <c r="F51" s="151" t="s">
        <v>2343</v>
      </c>
      <c r="G51" s="151" t="s">
        <v>2344</v>
      </c>
      <c r="H51" s="151" t="s">
        <v>101</v>
      </c>
      <c r="I51" s="151" t="s">
        <v>728</v>
      </c>
      <c r="J51" s="151"/>
      <c r="K51" s="151" t="s">
        <v>60</v>
      </c>
      <c r="L51" s="151"/>
      <c r="M51" s="151"/>
      <c r="N51" s="151" t="s">
        <v>305</v>
      </c>
      <c r="O51" s="151" t="s">
        <v>61</v>
      </c>
      <c r="P51" s="162">
        <v>45069</v>
      </c>
      <c r="Q51" s="151" t="s">
        <v>1258</v>
      </c>
      <c r="R51" s="151" t="s">
        <v>295</v>
      </c>
      <c r="S51" s="151" t="s">
        <v>296</v>
      </c>
      <c r="T51" s="162">
        <v>46089</v>
      </c>
      <c r="U51" s="152">
        <v>3.6360000000000001</v>
      </c>
      <c r="V51" s="164">
        <v>397.86798679867985</v>
      </c>
      <c r="W51" s="152">
        <v>1446.6479999999999</v>
      </c>
      <c r="X51" s="153">
        <v>3.0000000000000001E-5</v>
      </c>
      <c r="Y51" s="153">
        <v>1.115E-2</v>
      </c>
      <c r="Z51" s="154">
        <v>1.97E-3</v>
      </c>
      <c r="AA51" s="174"/>
    </row>
    <row r="52" spans="1:27" x14ac:dyDescent="0.2">
      <c r="A52" s="150" t="s">
        <v>1251</v>
      </c>
      <c r="B52" s="151" t="s">
        <v>1251</v>
      </c>
      <c r="C52" s="151" t="s">
        <v>2266</v>
      </c>
      <c r="D52" s="151"/>
      <c r="E52" s="151"/>
      <c r="F52" s="151" t="s">
        <v>2345</v>
      </c>
      <c r="G52" s="151" t="s">
        <v>2346</v>
      </c>
      <c r="H52" s="151" t="s">
        <v>101</v>
      </c>
      <c r="I52" s="151" t="s">
        <v>273</v>
      </c>
      <c r="J52" s="151"/>
      <c r="K52" s="151" t="s">
        <v>60</v>
      </c>
      <c r="L52" s="151"/>
      <c r="M52" s="151"/>
      <c r="N52" s="151" t="s">
        <v>305</v>
      </c>
      <c r="O52" s="151" t="s">
        <v>61</v>
      </c>
      <c r="P52" s="162">
        <v>45641</v>
      </c>
      <c r="Q52" s="151" t="s">
        <v>1258</v>
      </c>
      <c r="R52" s="151" t="s">
        <v>293</v>
      </c>
      <c r="S52" s="151" t="s">
        <v>297</v>
      </c>
      <c r="T52" s="162">
        <v>46079</v>
      </c>
      <c r="U52" s="152">
        <v>3.6360000000000001</v>
      </c>
      <c r="V52" s="164">
        <v>382.8008800880088</v>
      </c>
      <c r="W52" s="152">
        <v>1391.864</v>
      </c>
      <c r="X52" s="153">
        <v>8.0000000000000007E-5</v>
      </c>
      <c r="Y52" s="153">
        <v>1.073E-2</v>
      </c>
      <c r="Z52" s="154">
        <v>1.9E-3</v>
      </c>
      <c r="AA52" s="174"/>
    </row>
    <row r="53" spans="1:27" x14ac:dyDescent="0.2">
      <c r="A53" s="150" t="s">
        <v>1251</v>
      </c>
      <c r="B53" s="151" t="s">
        <v>1251</v>
      </c>
      <c r="C53" s="151" t="s">
        <v>2278</v>
      </c>
      <c r="D53" s="151"/>
      <c r="E53" s="151"/>
      <c r="F53" s="151" t="s">
        <v>2347</v>
      </c>
      <c r="G53" s="151" t="s">
        <v>2348</v>
      </c>
      <c r="H53" s="151" t="s">
        <v>101</v>
      </c>
      <c r="I53" s="151" t="s">
        <v>885</v>
      </c>
      <c r="J53" s="151"/>
      <c r="K53" s="151" t="s">
        <v>60</v>
      </c>
      <c r="L53" s="151"/>
      <c r="M53" s="151"/>
      <c r="N53" s="151" t="s">
        <v>889</v>
      </c>
      <c r="O53" s="151" t="s">
        <v>61</v>
      </c>
      <c r="P53" s="162">
        <v>43913</v>
      </c>
      <c r="Q53" s="151" t="s">
        <v>1256</v>
      </c>
      <c r="R53" s="151" t="s">
        <v>295</v>
      </c>
      <c r="S53" s="151" t="s">
        <v>296</v>
      </c>
      <c r="T53" s="162">
        <v>45985</v>
      </c>
      <c r="U53" s="152">
        <v>3.165</v>
      </c>
      <c r="V53" s="164">
        <v>427.90647709320695</v>
      </c>
      <c r="W53" s="152">
        <v>1354.3240000000001</v>
      </c>
      <c r="X53" s="153">
        <v>3.0000000000000001E-5</v>
      </c>
      <c r="Y53" s="153">
        <v>1.044E-2</v>
      </c>
      <c r="Z53" s="154">
        <v>1.8500000000000001E-3</v>
      </c>
      <c r="AA53" s="174"/>
    </row>
    <row r="54" spans="1:27" x14ac:dyDescent="0.2">
      <c r="A54" s="150" t="s">
        <v>1251</v>
      </c>
      <c r="B54" s="151" t="s">
        <v>1251</v>
      </c>
      <c r="C54" s="151" t="s">
        <v>2349</v>
      </c>
      <c r="D54" s="151"/>
      <c r="E54" s="151"/>
      <c r="F54" s="151" t="s">
        <v>2350</v>
      </c>
      <c r="G54" s="151" t="s">
        <v>2351</v>
      </c>
      <c r="H54" s="151" t="s">
        <v>101</v>
      </c>
      <c r="I54" s="151" t="s">
        <v>273</v>
      </c>
      <c r="J54" s="151"/>
      <c r="K54" s="151" t="s">
        <v>60</v>
      </c>
      <c r="L54" s="151"/>
      <c r="M54" s="151"/>
      <c r="N54" s="151" t="s">
        <v>305</v>
      </c>
      <c r="O54" s="151" t="s">
        <v>61</v>
      </c>
      <c r="P54" s="162">
        <v>43999</v>
      </c>
      <c r="Q54" s="151" t="s">
        <v>1256</v>
      </c>
      <c r="R54" s="151" t="s">
        <v>295</v>
      </c>
      <c r="S54" s="151" t="s">
        <v>296</v>
      </c>
      <c r="T54" s="162">
        <v>46099</v>
      </c>
      <c r="U54" s="152">
        <v>3.165</v>
      </c>
      <c r="V54" s="164">
        <v>418.8458135860979</v>
      </c>
      <c r="W54" s="152">
        <v>1325.6469999999999</v>
      </c>
      <c r="X54" s="153">
        <v>8.0000000000000007E-5</v>
      </c>
      <c r="Y54" s="153">
        <v>1.022E-2</v>
      </c>
      <c r="Z54" s="154">
        <v>1.81E-3</v>
      </c>
      <c r="AA54" s="174"/>
    </row>
    <row r="55" spans="1:27" x14ac:dyDescent="0.2">
      <c r="A55" s="150" t="s">
        <v>1251</v>
      </c>
      <c r="B55" s="151" t="s">
        <v>1251</v>
      </c>
      <c r="C55" s="151" t="s">
        <v>2352</v>
      </c>
      <c r="D55" s="151"/>
      <c r="E55" s="151"/>
      <c r="F55" s="151" t="s">
        <v>2353</v>
      </c>
      <c r="G55" s="151" t="s">
        <v>2354</v>
      </c>
      <c r="H55" s="151" t="s">
        <v>101</v>
      </c>
      <c r="I55" s="151" t="s">
        <v>273</v>
      </c>
      <c r="J55" s="151"/>
      <c r="K55" s="151" t="s">
        <v>60</v>
      </c>
      <c r="L55" s="151"/>
      <c r="M55" s="151"/>
      <c r="N55" s="151" t="s">
        <v>108</v>
      </c>
      <c r="O55" s="151" t="s">
        <v>61</v>
      </c>
      <c r="P55" s="162">
        <v>44486</v>
      </c>
      <c r="Q55" s="151" t="s">
        <v>1256</v>
      </c>
      <c r="R55" s="151" t="s">
        <v>295</v>
      </c>
      <c r="S55" s="151" t="s">
        <v>296</v>
      </c>
      <c r="T55" s="162">
        <v>46112</v>
      </c>
      <c r="U55" s="152">
        <v>3.165</v>
      </c>
      <c r="V55" s="164">
        <v>406.01706161137446</v>
      </c>
      <c r="W55" s="152">
        <v>1285.0440000000001</v>
      </c>
      <c r="X55" s="153">
        <v>1.6900000000000001E-3</v>
      </c>
      <c r="Y55" s="153">
        <v>9.9100000000000004E-3</v>
      </c>
      <c r="Z55" s="154">
        <v>1.75E-3</v>
      </c>
      <c r="AA55" s="174"/>
    </row>
    <row r="56" spans="1:27" x14ac:dyDescent="0.2">
      <c r="A56" s="150" t="s">
        <v>1251</v>
      </c>
      <c r="B56" s="151" t="s">
        <v>1251</v>
      </c>
      <c r="C56" s="151" t="s">
        <v>2309</v>
      </c>
      <c r="D56" s="151"/>
      <c r="E56" s="151"/>
      <c r="F56" s="151" t="s">
        <v>2355</v>
      </c>
      <c r="G56" s="151" t="s">
        <v>2356</v>
      </c>
      <c r="H56" s="151" t="s">
        <v>101</v>
      </c>
      <c r="I56" s="151" t="s">
        <v>273</v>
      </c>
      <c r="J56" s="151"/>
      <c r="K56" s="151" t="s">
        <v>60</v>
      </c>
      <c r="L56" s="151"/>
      <c r="M56" s="151"/>
      <c r="N56" s="151" t="s">
        <v>306</v>
      </c>
      <c r="O56" s="151" t="s">
        <v>61</v>
      </c>
      <c r="P56" s="162">
        <v>44727</v>
      </c>
      <c r="Q56" s="151" t="s">
        <v>1256</v>
      </c>
      <c r="R56" s="151" t="s">
        <v>293</v>
      </c>
      <c r="S56" s="151" t="s">
        <v>297</v>
      </c>
      <c r="T56" s="162">
        <v>46007</v>
      </c>
      <c r="U56" s="152">
        <v>3.165</v>
      </c>
      <c r="V56" s="164">
        <v>396.71627172195889</v>
      </c>
      <c r="W56" s="152">
        <v>1255.607</v>
      </c>
      <c r="X56" s="153">
        <v>7.6999999999999996E-4</v>
      </c>
      <c r="Y56" s="153">
        <v>9.6799999999999994E-3</v>
      </c>
      <c r="Z56" s="154">
        <v>1.7099999999999999E-3</v>
      </c>
      <c r="AA56" s="174"/>
    </row>
    <row r="57" spans="1:27" x14ac:dyDescent="0.2">
      <c r="A57" s="150" t="s">
        <v>1251</v>
      </c>
      <c r="B57" s="151" t="s">
        <v>1251</v>
      </c>
      <c r="C57" s="151" t="s">
        <v>2357</v>
      </c>
      <c r="D57" s="151"/>
      <c r="E57" s="151"/>
      <c r="F57" s="151" t="s">
        <v>2358</v>
      </c>
      <c r="G57" s="151" t="s">
        <v>2359</v>
      </c>
      <c r="H57" s="151" t="s">
        <v>101</v>
      </c>
      <c r="I57" s="151" t="s">
        <v>273</v>
      </c>
      <c r="J57" s="151"/>
      <c r="K57" s="151" t="s">
        <v>60</v>
      </c>
      <c r="L57" s="151"/>
      <c r="M57" s="151"/>
      <c r="N57" s="151" t="s">
        <v>305</v>
      </c>
      <c r="O57" s="151" t="s">
        <v>61</v>
      </c>
      <c r="P57" s="162">
        <v>46050</v>
      </c>
      <c r="Q57" s="151" t="s">
        <v>1258</v>
      </c>
      <c r="R57" s="151" t="s">
        <v>295</v>
      </c>
      <c r="S57" s="151" t="s">
        <v>297</v>
      </c>
      <c r="T57" s="162">
        <v>46086</v>
      </c>
      <c r="U57" s="152">
        <v>3.6360000000000001</v>
      </c>
      <c r="V57" s="164">
        <v>320.49119911991198</v>
      </c>
      <c r="W57" s="152">
        <v>1165.306</v>
      </c>
      <c r="X57" s="153">
        <v>1.2999999999999999E-4</v>
      </c>
      <c r="Y57" s="153">
        <v>8.9800000000000001E-3</v>
      </c>
      <c r="Z57" s="154">
        <v>1.5900000000000001E-3</v>
      </c>
      <c r="AA57" s="174"/>
    </row>
    <row r="58" spans="1:27" x14ac:dyDescent="0.2">
      <c r="A58" s="150" t="s">
        <v>1251</v>
      </c>
      <c r="B58" s="151" t="s">
        <v>1251</v>
      </c>
      <c r="C58" s="151" t="s">
        <v>2360</v>
      </c>
      <c r="D58" s="151"/>
      <c r="E58" s="151"/>
      <c r="F58" s="151" t="s">
        <v>2361</v>
      </c>
      <c r="G58" s="151" t="s">
        <v>2362</v>
      </c>
      <c r="H58" s="151" t="s">
        <v>101</v>
      </c>
      <c r="I58" s="151" t="s">
        <v>273</v>
      </c>
      <c r="J58" s="151"/>
      <c r="K58" s="151" t="s">
        <v>60</v>
      </c>
      <c r="L58" s="151"/>
      <c r="M58" s="151"/>
      <c r="N58" s="151" t="s">
        <v>309</v>
      </c>
      <c r="O58" s="151" t="s">
        <v>61</v>
      </c>
      <c r="P58" s="162">
        <v>45463</v>
      </c>
      <c r="Q58" s="151" t="s">
        <v>1256</v>
      </c>
      <c r="R58" s="151" t="s">
        <v>295</v>
      </c>
      <c r="S58" s="151" t="s">
        <v>297</v>
      </c>
      <c r="T58" s="162">
        <v>46111</v>
      </c>
      <c r="U58" s="152">
        <v>3.165</v>
      </c>
      <c r="V58" s="164">
        <v>362.39399684044236</v>
      </c>
      <c r="W58" s="152">
        <v>1146.9770000000001</v>
      </c>
      <c r="X58" s="153">
        <v>3.0000000000000001E-5</v>
      </c>
      <c r="Y58" s="153">
        <v>8.8400000000000006E-3</v>
      </c>
      <c r="Z58" s="154">
        <v>1.56E-3</v>
      </c>
      <c r="AA58" s="174"/>
    </row>
    <row r="59" spans="1:27" x14ac:dyDescent="0.2">
      <c r="A59" s="150" t="s">
        <v>1251</v>
      </c>
      <c r="B59" s="151" t="s">
        <v>1251</v>
      </c>
      <c r="C59" s="151" t="s">
        <v>2363</v>
      </c>
      <c r="D59" s="151"/>
      <c r="E59" s="151"/>
      <c r="F59" s="151" t="s">
        <v>2364</v>
      </c>
      <c r="G59" s="151" t="s">
        <v>2365</v>
      </c>
      <c r="H59" s="151" t="s">
        <v>101</v>
      </c>
      <c r="I59" s="151" t="s">
        <v>728</v>
      </c>
      <c r="J59" s="151"/>
      <c r="K59" s="151" t="s">
        <v>60</v>
      </c>
      <c r="L59" s="151"/>
      <c r="M59" s="151"/>
      <c r="N59" s="151" t="s">
        <v>309</v>
      </c>
      <c r="O59" s="151" t="s">
        <v>61</v>
      </c>
      <c r="P59" s="162">
        <v>45630</v>
      </c>
      <c r="Q59" s="151" t="s">
        <v>1258</v>
      </c>
      <c r="R59" s="151" t="s">
        <v>295</v>
      </c>
      <c r="S59" s="151" t="s">
        <v>297</v>
      </c>
      <c r="T59" s="162">
        <v>46065</v>
      </c>
      <c r="U59" s="152">
        <v>3.6360000000000001</v>
      </c>
      <c r="V59" s="164">
        <v>313.63916391639162</v>
      </c>
      <c r="W59" s="152">
        <v>1140.3920000000001</v>
      </c>
      <c r="X59" s="153">
        <v>1.0000000000000001E-5</v>
      </c>
      <c r="Y59" s="153">
        <v>8.7899999999999992E-3</v>
      </c>
      <c r="Z59" s="154">
        <v>1.5499999999999999E-3</v>
      </c>
      <c r="AA59" s="174"/>
    </row>
    <row r="60" spans="1:27" x14ac:dyDescent="0.2">
      <c r="A60" s="150" t="s">
        <v>1251</v>
      </c>
      <c r="B60" s="151" t="s">
        <v>1251</v>
      </c>
      <c r="C60" s="151" t="s">
        <v>2335</v>
      </c>
      <c r="D60" s="151"/>
      <c r="E60" s="151"/>
      <c r="F60" s="151" t="s">
        <v>2366</v>
      </c>
      <c r="G60" s="151" t="s">
        <v>2367</v>
      </c>
      <c r="H60" s="151" t="s">
        <v>101</v>
      </c>
      <c r="I60" s="151" t="s">
        <v>273</v>
      </c>
      <c r="J60" s="151"/>
      <c r="K60" s="151" t="s">
        <v>60</v>
      </c>
      <c r="L60" s="151"/>
      <c r="M60" s="151"/>
      <c r="N60" s="151" t="s">
        <v>306</v>
      </c>
      <c r="O60" s="151" t="s">
        <v>61</v>
      </c>
      <c r="P60" s="162">
        <v>45055</v>
      </c>
      <c r="Q60" s="151" t="s">
        <v>1256</v>
      </c>
      <c r="R60" s="151" t="s">
        <v>293</v>
      </c>
      <c r="S60" s="151" t="s">
        <v>297</v>
      </c>
      <c r="T60" s="162">
        <v>46112</v>
      </c>
      <c r="U60" s="152">
        <v>3.165</v>
      </c>
      <c r="V60" s="164">
        <v>348.47235387045811</v>
      </c>
      <c r="W60" s="152">
        <v>1102.915</v>
      </c>
      <c r="X60" s="153">
        <v>3.9199999999999999E-3</v>
      </c>
      <c r="Y60" s="153">
        <v>8.5000000000000006E-3</v>
      </c>
      <c r="Z60" s="154">
        <v>1.5E-3</v>
      </c>
      <c r="AA60" s="174"/>
    </row>
    <row r="61" spans="1:27" x14ac:dyDescent="0.2">
      <c r="A61" s="150" t="s">
        <v>1251</v>
      </c>
      <c r="B61" s="151" t="s">
        <v>1251</v>
      </c>
      <c r="C61" s="151" t="s">
        <v>2368</v>
      </c>
      <c r="D61" s="151"/>
      <c r="E61" s="151"/>
      <c r="F61" s="151" t="s">
        <v>2369</v>
      </c>
      <c r="G61" s="151" t="s">
        <v>2370</v>
      </c>
      <c r="H61" s="151" t="s">
        <v>101</v>
      </c>
      <c r="I61" s="151" t="s">
        <v>273</v>
      </c>
      <c r="J61" s="151"/>
      <c r="K61" s="151" t="s">
        <v>60</v>
      </c>
      <c r="L61" s="151"/>
      <c r="M61" s="151"/>
      <c r="N61" s="151" t="s">
        <v>306</v>
      </c>
      <c r="O61" s="151" t="s">
        <v>61</v>
      </c>
      <c r="P61" s="162">
        <v>44284</v>
      </c>
      <c r="Q61" s="151" t="s">
        <v>1256</v>
      </c>
      <c r="R61" s="151" t="s">
        <v>293</v>
      </c>
      <c r="S61" s="151" t="s">
        <v>297</v>
      </c>
      <c r="T61" s="162">
        <v>46112</v>
      </c>
      <c r="U61" s="152">
        <v>3.165</v>
      </c>
      <c r="V61" s="164">
        <v>346.13680884676143</v>
      </c>
      <c r="W61" s="152">
        <v>1095.5229999999999</v>
      </c>
      <c r="X61" s="153">
        <v>4.0999999999999999E-4</v>
      </c>
      <c r="Y61" s="153">
        <v>8.4499999999999992E-3</v>
      </c>
      <c r="Z61" s="154">
        <v>1.49E-3</v>
      </c>
      <c r="AA61" s="174"/>
    </row>
    <row r="62" spans="1:27" x14ac:dyDescent="0.2">
      <c r="A62" s="150" t="s">
        <v>1251</v>
      </c>
      <c r="B62" s="151" t="s">
        <v>1251</v>
      </c>
      <c r="C62" s="151" t="s">
        <v>2371</v>
      </c>
      <c r="D62" s="151"/>
      <c r="E62" s="151"/>
      <c r="F62" s="151" t="s">
        <v>2372</v>
      </c>
      <c r="G62" s="151" t="s">
        <v>2373</v>
      </c>
      <c r="H62" s="151" t="s">
        <v>101</v>
      </c>
      <c r="I62" s="151" t="s">
        <v>237</v>
      </c>
      <c r="J62" s="151"/>
      <c r="K62" s="151" t="s">
        <v>60</v>
      </c>
      <c r="L62" s="151"/>
      <c r="M62" s="151"/>
      <c r="N62" s="151" t="s">
        <v>305</v>
      </c>
      <c r="O62" s="151" t="s">
        <v>61</v>
      </c>
      <c r="P62" s="162">
        <v>44558</v>
      </c>
      <c r="Q62" s="151" t="s">
        <v>1258</v>
      </c>
      <c r="R62" s="151" t="s">
        <v>295</v>
      </c>
      <c r="S62" s="151" t="s">
        <v>296</v>
      </c>
      <c r="T62" s="162">
        <v>46112</v>
      </c>
      <c r="U62" s="152">
        <v>3.6360000000000001</v>
      </c>
      <c r="V62" s="164">
        <v>295.60781078107806</v>
      </c>
      <c r="W62" s="152">
        <v>1074.83</v>
      </c>
      <c r="X62" s="153">
        <v>2.4399999999999999E-3</v>
      </c>
      <c r="Y62" s="153">
        <v>8.2900000000000005E-3</v>
      </c>
      <c r="Z62" s="154">
        <v>1.4599999999999999E-3</v>
      </c>
      <c r="AA62" s="174"/>
    </row>
    <row r="63" spans="1:27" x14ac:dyDescent="0.2">
      <c r="A63" s="150" t="s">
        <v>1251</v>
      </c>
      <c r="B63" s="151" t="s">
        <v>1251</v>
      </c>
      <c r="C63" s="151" t="s">
        <v>2374</v>
      </c>
      <c r="D63" s="151"/>
      <c r="E63" s="151"/>
      <c r="F63" s="151" t="s">
        <v>2375</v>
      </c>
      <c r="G63" s="151" t="s">
        <v>2376</v>
      </c>
      <c r="H63" s="151" t="s">
        <v>101</v>
      </c>
      <c r="I63" s="151" t="s">
        <v>885</v>
      </c>
      <c r="J63" s="151"/>
      <c r="K63" s="151" t="s">
        <v>60</v>
      </c>
      <c r="L63" s="151"/>
      <c r="M63" s="151"/>
      <c r="N63" s="151" t="s">
        <v>306</v>
      </c>
      <c r="O63" s="151" t="s">
        <v>61</v>
      </c>
      <c r="P63" s="162">
        <v>44249</v>
      </c>
      <c r="Q63" s="151" t="s">
        <v>1256</v>
      </c>
      <c r="R63" s="151" t="s">
        <v>295</v>
      </c>
      <c r="S63" s="151" t="s">
        <v>296</v>
      </c>
      <c r="T63" s="162">
        <v>46097</v>
      </c>
      <c r="U63" s="152">
        <v>3.165</v>
      </c>
      <c r="V63" s="164">
        <v>335.71248025276458</v>
      </c>
      <c r="W63" s="152">
        <v>1062.53</v>
      </c>
      <c r="X63" s="153">
        <v>2.7599999999999999E-3</v>
      </c>
      <c r="Y63" s="153">
        <v>8.1899999999999994E-3</v>
      </c>
      <c r="Z63" s="154">
        <v>1.4499999999999999E-3</v>
      </c>
      <c r="AA63" s="174"/>
    </row>
    <row r="64" spans="1:27" x14ac:dyDescent="0.2">
      <c r="A64" s="150" t="s">
        <v>1251</v>
      </c>
      <c r="B64" s="151" t="s">
        <v>1251</v>
      </c>
      <c r="C64" s="151" t="s">
        <v>2377</v>
      </c>
      <c r="D64" s="151"/>
      <c r="E64" s="151"/>
      <c r="F64" s="151" t="s">
        <v>2378</v>
      </c>
      <c r="G64" s="151" t="s">
        <v>2379</v>
      </c>
      <c r="H64" s="151" t="s">
        <v>101</v>
      </c>
      <c r="I64" s="151" t="s">
        <v>728</v>
      </c>
      <c r="J64" s="151"/>
      <c r="K64" s="151" t="s">
        <v>60</v>
      </c>
      <c r="L64" s="151"/>
      <c r="M64" s="151"/>
      <c r="N64" s="151" t="s">
        <v>306</v>
      </c>
      <c r="O64" s="151" t="s">
        <v>61</v>
      </c>
      <c r="P64" s="162">
        <v>43804</v>
      </c>
      <c r="Q64" s="151" t="s">
        <v>1256</v>
      </c>
      <c r="R64" s="151" t="s">
        <v>293</v>
      </c>
      <c r="S64" s="151" t="s">
        <v>297</v>
      </c>
      <c r="T64" s="162">
        <v>46111</v>
      </c>
      <c r="U64" s="152">
        <v>3.165</v>
      </c>
      <c r="V64" s="164">
        <v>330.69826224328597</v>
      </c>
      <c r="W64" s="152">
        <v>1046.6600000000001</v>
      </c>
      <c r="X64" s="153">
        <v>3.6000000000000002E-4</v>
      </c>
      <c r="Y64" s="153">
        <v>8.0700000000000008E-3</v>
      </c>
      <c r="Z64" s="154">
        <v>1.4300000000000001E-3</v>
      </c>
      <c r="AA64" s="174"/>
    </row>
    <row r="65" spans="1:27" x14ac:dyDescent="0.2">
      <c r="A65" s="150" t="s">
        <v>1251</v>
      </c>
      <c r="B65" s="151" t="s">
        <v>1251</v>
      </c>
      <c r="C65" s="151" t="s">
        <v>2380</v>
      </c>
      <c r="D65" s="151"/>
      <c r="E65" s="151"/>
      <c r="F65" s="151" t="s">
        <v>2381</v>
      </c>
      <c r="G65" s="151" t="s">
        <v>2382</v>
      </c>
      <c r="H65" s="151" t="s">
        <v>101</v>
      </c>
      <c r="I65" s="151" t="s">
        <v>237</v>
      </c>
      <c r="J65" s="151"/>
      <c r="K65" s="151" t="s">
        <v>60</v>
      </c>
      <c r="L65" s="151"/>
      <c r="M65" s="151"/>
      <c r="N65" s="151" t="s">
        <v>305</v>
      </c>
      <c r="O65" s="151" t="s">
        <v>61</v>
      </c>
      <c r="P65" s="162">
        <v>42776</v>
      </c>
      <c r="Q65" s="151" t="s">
        <v>1258</v>
      </c>
      <c r="R65" s="151" t="s">
        <v>295</v>
      </c>
      <c r="S65" s="151" t="s">
        <v>296</v>
      </c>
      <c r="T65" s="162">
        <v>46048</v>
      </c>
      <c r="U65" s="152">
        <v>3.6360000000000001</v>
      </c>
      <c r="V65" s="164">
        <v>285.20242024202423</v>
      </c>
      <c r="W65" s="152">
        <v>1036.9960000000001</v>
      </c>
      <c r="X65" s="153">
        <v>2.5500000000000002E-3</v>
      </c>
      <c r="Y65" s="153">
        <v>8.0000000000000002E-3</v>
      </c>
      <c r="Z65" s="154">
        <v>1.41E-3</v>
      </c>
      <c r="AA65" s="174"/>
    </row>
    <row r="66" spans="1:27" x14ac:dyDescent="0.2">
      <c r="A66" s="150" t="s">
        <v>1251</v>
      </c>
      <c r="B66" s="151" t="s">
        <v>1251</v>
      </c>
      <c r="C66" s="151" t="s">
        <v>2303</v>
      </c>
      <c r="D66" s="151"/>
      <c r="E66" s="151"/>
      <c r="F66" s="151" t="s">
        <v>2383</v>
      </c>
      <c r="G66" s="151" t="s">
        <v>2384</v>
      </c>
      <c r="H66" s="151" t="s">
        <v>101</v>
      </c>
      <c r="I66" s="151" t="s">
        <v>728</v>
      </c>
      <c r="J66" s="151"/>
      <c r="K66" s="151" t="s">
        <v>60</v>
      </c>
      <c r="L66" s="151"/>
      <c r="M66" s="151"/>
      <c r="N66" s="151" t="s">
        <v>306</v>
      </c>
      <c r="O66" s="151" t="s">
        <v>61</v>
      </c>
      <c r="P66" s="162">
        <v>45525</v>
      </c>
      <c r="Q66" s="151" t="s">
        <v>1256</v>
      </c>
      <c r="R66" s="151" t="s">
        <v>293</v>
      </c>
      <c r="S66" s="151" t="s">
        <v>297</v>
      </c>
      <c r="T66" s="162">
        <v>46089</v>
      </c>
      <c r="U66" s="152">
        <v>3.165</v>
      </c>
      <c r="V66" s="164">
        <v>327.42938388625595</v>
      </c>
      <c r="W66" s="152">
        <v>1036.3140000000001</v>
      </c>
      <c r="X66" s="153">
        <v>3.0000000000000001E-5</v>
      </c>
      <c r="Y66" s="153">
        <v>7.9900000000000006E-3</v>
      </c>
      <c r="Z66" s="154">
        <v>1.41E-3</v>
      </c>
      <c r="AA66" s="174"/>
    </row>
    <row r="67" spans="1:27" x14ac:dyDescent="0.2">
      <c r="A67" s="150" t="s">
        <v>1251</v>
      </c>
      <c r="B67" s="151" t="s">
        <v>1251</v>
      </c>
      <c r="C67" s="151" t="s">
        <v>2309</v>
      </c>
      <c r="D67" s="151"/>
      <c r="E67" s="151"/>
      <c r="F67" s="151" t="s">
        <v>2385</v>
      </c>
      <c r="G67" s="151" t="s">
        <v>2386</v>
      </c>
      <c r="H67" s="151" t="s">
        <v>101</v>
      </c>
      <c r="I67" s="151" t="s">
        <v>273</v>
      </c>
      <c r="J67" s="151"/>
      <c r="K67" s="151" t="s">
        <v>60</v>
      </c>
      <c r="L67" s="151"/>
      <c r="M67" s="151"/>
      <c r="N67" s="151" t="s">
        <v>306</v>
      </c>
      <c r="O67" s="151" t="s">
        <v>61</v>
      </c>
      <c r="P67" s="162">
        <v>44277</v>
      </c>
      <c r="Q67" s="151" t="s">
        <v>1256</v>
      </c>
      <c r="R67" s="151" t="s">
        <v>293</v>
      </c>
      <c r="S67" s="151" t="s">
        <v>297</v>
      </c>
      <c r="T67" s="162">
        <v>46079</v>
      </c>
      <c r="U67" s="152">
        <v>3.165</v>
      </c>
      <c r="V67" s="164">
        <v>323.91437598736178</v>
      </c>
      <c r="W67" s="152">
        <v>1025.1890000000001</v>
      </c>
      <c r="X67" s="153">
        <v>6.6E-4</v>
      </c>
      <c r="Y67" s="153">
        <v>7.9000000000000008E-3</v>
      </c>
      <c r="Z67" s="154">
        <v>1.4E-3</v>
      </c>
      <c r="AA67" s="174"/>
    </row>
    <row r="68" spans="1:27" x14ac:dyDescent="0.2">
      <c r="A68" s="150" t="s">
        <v>1251</v>
      </c>
      <c r="B68" s="151" t="s">
        <v>1251</v>
      </c>
      <c r="C68" s="151" t="s">
        <v>2387</v>
      </c>
      <c r="D68" s="151"/>
      <c r="E68" s="151"/>
      <c r="F68" s="151" t="s">
        <v>2388</v>
      </c>
      <c r="G68" s="151" t="s">
        <v>2389</v>
      </c>
      <c r="H68" s="151" t="s">
        <v>101</v>
      </c>
      <c r="I68" s="151" t="s">
        <v>728</v>
      </c>
      <c r="J68" s="151"/>
      <c r="K68" s="151" t="s">
        <v>60</v>
      </c>
      <c r="L68" s="151"/>
      <c r="M68" s="151"/>
      <c r="N68" s="151" t="s">
        <v>306</v>
      </c>
      <c r="O68" s="151" t="s">
        <v>61</v>
      </c>
      <c r="P68" s="162">
        <v>43277</v>
      </c>
      <c r="Q68" s="151" t="s">
        <v>1256</v>
      </c>
      <c r="R68" s="151" t="s">
        <v>295</v>
      </c>
      <c r="S68" s="151" t="s">
        <v>296</v>
      </c>
      <c r="T68" s="162">
        <v>46112</v>
      </c>
      <c r="U68" s="152">
        <v>3.165</v>
      </c>
      <c r="V68" s="164">
        <v>303.17093206951023</v>
      </c>
      <c r="W68" s="152">
        <v>959.53599999999994</v>
      </c>
      <c r="X68" s="153">
        <v>3.6999999999999999E-4</v>
      </c>
      <c r="Y68" s="153">
        <v>7.4000000000000003E-3</v>
      </c>
      <c r="Z68" s="154">
        <v>1.31E-3</v>
      </c>
      <c r="AA68" s="174"/>
    </row>
    <row r="69" spans="1:27" x14ac:dyDescent="0.2">
      <c r="A69" s="150" t="s">
        <v>1251</v>
      </c>
      <c r="B69" s="151" t="s">
        <v>1251</v>
      </c>
      <c r="C69" s="151" t="s">
        <v>2390</v>
      </c>
      <c r="D69" s="151"/>
      <c r="E69" s="151"/>
      <c r="F69" s="151" t="s">
        <v>2391</v>
      </c>
      <c r="G69" s="151" t="s">
        <v>2392</v>
      </c>
      <c r="H69" s="151" t="s">
        <v>101</v>
      </c>
      <c r="I69" s="151" t="s">
        <v>273</v>
      </c>
      <c r="J69" s="151"/>
      <c r="K69" s="151" t="s">
        <v>60</v>
      </c>
      <c r="L69" s="151"/>
      <c r="M69" s="151"/>
      <c r="N69" s="151" t="s">
        <v>305</v>
      </c>
      <c r="O69" s="151" t="s">
        <v>61</v>
      </c>
      <c r="P69" s="162">
        <v>45462</v>
      </c>
      <c r="Q69" s="151" t="s">
        <v>1258</v>
      </c>
      <c r="R69" s="151" t="s">
        <v>295</v>
      </c>
      <c r="S69" s="151" t="s">
        <v>297</v>
      </c>
      <c r="T69" s="162">
        <v>46099</v>
      </c>
      <c r="U69" s="152">
        <v>3.6360000000000001</v>
      </c>
      <c r="V69" s="164">
        <v>239.80225522552257</v>
      </c>
      <c r="W69" s="152">
        <v>871.92100000000005</v>
      </c>
      <c r="X69" s="153">
        <v>2.0000000000000002E-5</v>
      </c>
      <c r="Y69" s="153">
        <v>6.7200000000000003E-3</v>
      </c>
      <c r="Z69" s="154">
        <v>1.1900000000000001E-3</v>
      </c>
      <c r="AA69" s="174"/>
    </row>
    <row r="70" spans="1:27" x14ac:dyDescent="0.2">
      <c r="A70" s="150" t="s">
        <v>1251</v>
      </c>
      <c r="B70" s="151" t="s">
        <v>1251</v>
      </c>
      <c r="C70" s="151" t="s">
        <v>2275</v>
      </c>
      <c r="D70" s="151"/>
      <c r="E70" s="151"/>
      <c r="F70" s="151" t="s">
        <v>2393</v>
      </c>
      <c r="G70" s="151" t="s">
        <v>2394</v>
      </c>
      <c r="H70" s="151" t="s">
        <v>101</v>
      </c>
      <c r="I70" s="151" t="s">
        <v>238</v>
      </c>
      <c r="J70" s="151"/>
      <c r="K70" s="151" t="s">
        <v>60</v>
      </c>
      <c r="L70" s="151"/>
      <c r="M70" s="151"/>
      <c r="N70" s="151" t="s">
        <v>108</v>
      </c>
      <c r="O70" s="151" t="s">
        <v>61</v>
      </c>
      <c r="P70" s="162">
        <v>45196</v>
      </c>
      <c r="Q70" s="151" t="s">
        <v>1256</v>
      </c>
      <c r="R70" s="151" t="s">
        <v>295</v>
      </c>
      <c r="S70" s="151" t="s">
        <v>296</v>
      </c>
      <c r="T70" s="162">
        <v>46111</v>
      </c>
      <c r="U70" s="152">
        <v>3.165</v>
      </c>
      <c r="V70" s="164">
        <v>264.0609794628752</v>
      </c>
      <c r="W70" s="152">
        <v>835.75300000000004</v>
      </c>
      <c r="X70" s="153">
        <v>1.0000000000000001E-5</v>
      </c>
      <c r="Y70" s="153">
        <v>6.4400000000000004E-3</v>
      </c>
      <c r="Z70" s="154">
        <v>1.14E-3</v>
      </c>
      <c r="AA70" s="174"/>
    </row>
    <row r="71" spans="1:27" x14ac:dyDescent="0.2">
      <c r="A71" s="150" t="s">
        <v>1251</v>
      </c>
      <c r="B71" s="151" t="s">
        <v>1251</v>
      </c>
      <c r="C71" s="151" t="s">
        <v>2395</v>
      </c>
      <c r="D71" s="151"/>
      <c r="E71" s="151"/>
      <c r="F71" s="151" t="s">
        <v>2396</v>
      </c>
      <c r="G71" s="151" t="s">
        <v>2397</v>
      </c>
      <c r="H71" s="151" t="s">
        <v>101</v>
      </c>
      <c r="I71" s="151" t="s">
        <v>728</v>
      </c>
      <c r="J71" s="151"/>
      <c r="K71" s="151" t="s">
        <v>60</v>
      </c>
      <c r="L71" s="151"/>
      <c r="M71" s="151"/>
      <c r="N71" s="151" t="s">
        <v>306</v>
      </c>
      <c r="O71" s="151" t="s">
        <v>61</v>
      </c>
      <c r="P71" s="162">
        <v>44216</v>
      </c>
      <c r="Q71" s="151" t="s">
        <v>1256</v>
      </c>
      <c r="R71" s="151" t="s">
        <v>295</v>
      </c>
      <c r="S71" s="151" t="s">
        <v>296</v>
      </c>
      <c r="T71" s="162">
        <v>46112</v>
      </c>
      <c r="U71" s="152">
        <v>3.165</v>
      </c>
      <c r="V71" s="164">
        <v>241.6733017377567</v>
      </c>
      <c r="W71" s="152">
        <v>764.89599999999996</v>
      </c>
      <c r="X71" s="153">
        <v>2.0000000000000002E-5</v>
      </c>
      <c r="Y71" s="153">
        <v>5.8999999999999999E-3</v>
      </c>
      <c r="Z71" s="154">
        <v>1.0399999999999999E-3</v>
      </c>
      <c r="AA71" s="174"/>
    </row>
    <row r="72" spans="1:27" x14ac:dyDescent="0.2">
      <c r="A72" s="150" t="s">
        <v>1251</v>
      </c>
      <c r="B72" s="151" t="s">
        <v>1251</v>
      </c>
      <c r="C72" s="151" t="s">
        <v>2371</v>
      </c>
      <c r="D72" s="151"/>
      <c r="E72" s="151"/>
      <c r="F72" s="151" t="s">
        <v>2398</v>
      </c>
      <c r="G72" s="151" t="s">
        <v>2399</v>
      </c>
      <c r="H72" s="151" t="s">
        <v>101</v>
      </c>
      <c r="I72" s="151" t="s">
        <v>237</v>
      </c>
      <c r="J72" s="151"/>
      <c r="K72" s="151" t="s">
        <v>60</v>
      </c>
      <c r="L72" s="151"/>
      <c r="M72" s="151"/>
      <c r="N72" s="151" t="s">
        <v>305</v>
      </c>
      <c r="O72" s="151" t="s">
        <v>61</v>
      </c>
      <c r="P72" s="162">
        <v>42901</v>
      </c>
      <c r="Q72" s="151" t="s">
        <v>1258</v>
      </c>
      <c r="R72" s="151" t="s">
        <v>295</v>
      </c>
      <c r="S72" s="151" t="s">
        <v>296</v>
      </c>
      <c r="T72" s="162">
        <v>46112</v>
      </c>
      <c r="U72" s="152">
        <v>3.6360000000000001</v>
      </c>
      <c r="V72" s="164">
        <v>192.91529152915291</v>
      </c>
      <c r="W72" s="152">
        <v>701.44</v>
      </c>
      <c r="X72" s="153">
        <v>2.2499999999999998E-3</v>
      </c>
      <c r="Y72" s="153">
        <v>5.4099999999999999E-3</v>
      </c>
      <c r="Z72" s="154">
        <v>9.6000000000000002E-4</v>
      </c>
      <c r="AA72" s="174"/>
    </row>
    <row r="73" spans="1:27" x14ac:dyDescent="0.2">
      <c r="A73" s="150" t="s">
        <v>1251</v>
      </c>
      <c r="B73" s="151" t="s">
        <v>1251</v>
      </c>
      <c r="C73" s="151" t="s">
        <v>2400</v>
      </c>
      <c r="D73" s="151"/>
      <c r="E73" s="151"/>
      <c r="F73" s="151" t="s">
        <v>2401</v>
      </c>
      <c r="G73" s="151" t="s">
        <v>2402</v>
      </c>
      <c r="H73" s="151" t="s">
        <v>101</v>
      </c>
      <c r="I73" s="151" t="s">
        <v>237</v>
      </c>
      <c r="J73" s="151"/>
      <c r="K73" s="151" t="s">
        <v>60</v>
      </c>
      <c r="L73" s="151"/>
      <c r="M73" s="151"/>
      <c r="N73" s="151" t="s">
        <v>306</v>
      </c>
      <c r="O73" s="151" t="s">
        <v>61</v>
      </c>
      <c r="P73" s="162">
        <v>42744</v>
      </c>
      <c r="Q73" s="151" t="s">
        <v>1256</v>
      </c>
      <c r="R73" s="151" t="s">
        <v>295</v>
      </c>
      <c r="S73" s="151" t="s">
        <v>296</v>
      </c>
      <c r="T73" s="162">
        <v>46111</v>
      </c>
      <c r="U73" s="152">
        <v>3.165</v>
      </c>
      <c r="V73" s="164">
        <v>215.54154818325432</v>
      </c>
      <c r="W73" s="152">
        <v>682.18899999999996</v>
      </c>
      <c r="X73" s="153">
        <v>3.8999999999999999E-4</v>
      </c>
      <c r="Y73" s="153">
        <v>5.2599999999999999E-3</v>
      </c>
      <c r="Z73" s="154">
        <v>9.3000000000000005E-4</v>
      </c>
      <c r="AA73" s="174"/>
    </row>
    <row r="74" spans="1:27" x14ac:dyDescent="0.2">
      <c r="A74" s="150" t="s">
        <v>1251</v>
      </c>
      <c r="B74" s="151" t="s">
        <v>1251</v>
      </c>
      <c r="C74" s="151" t="s">
        <v>2281</v>
      </c>
      <c r="D74" s="151"/>
      <c r="E74" s="151"/>
      <c r="F74" s="151" t="s">
        <v>2403</v>
      </c>
      <c r="G74" s="151" t="s">
        <v>2404</v>
      </c>
      <c r="H74" s="151" t="s">
        <v>101</v>
      </c>
      <c r="I74" s="151" t="s">
        <v>728</v>
      </c>
      <c r="J74" s="151"/>
      <c r="K74" s="151" t="s">
        <v>60</v>
      </c>
      <c r="L74" s="151"/>
      <c r="M74" s="151"/>
      <c r="N74" s="151" t="s">
        <v>306</v>
      </c>
      <c r="O74" s="151" t="s">
        <v>61</v>
      </c>
      <c r="P74" s="162">
        <v>45596</v>
      </c>
      <c r="Q74" s="151" t="s">
        <v>1256</v>
      </c>
      <c r="R74" s="151" t="s">
        <v>295</v>
      </c>
      <c r="S74" s="151" t="s">
        <v>296</v>
      </c>
      <c r="T74" s="162">
        <v>46091</v>
      </c>
      <c r="U74" s="152">
        <v>3.165</v>
      </c>
      <c r="V74" s="164">
        <v>193.15387045813586</v>
      </c>
      <c r="W74" s="152">
        <v>611.33199999999999</v>
      </c>
      <c r="X74" s="153">
        <v>1.2E-4</v>
      </c>
      <c r="Y74" s="153">
        <v>4.7099999999999998E-3</v>
      </c>
      <c r="Z74" s="154">
        <v>8.3000000000000001E-4</v>
      </c>
      <c r="AA74" s="174"/>
    </row>
    <row r="75" spans="1:27" x14ac:dyDescent="0.2">
      <c r="A75" s="150" t="s">
        <v>1251</v>
      </c>
      <c r="B75" s="151" t="s">
        <v>1251</v>
      </c>
      <c r="C75" s="151" t="s">
        <v>2405</v>
      </c>
      <c r="D75" s="151"/>
      <c r="E75" s="151"/>
      <c r="F75" s="151" t="s">
        <v>2406</v>
      </c>
      <c r="G75" s="151" t="s">
        <v>2407</v>
      </c>
      <c r="H75" s="151" t="s">
        <v>101</v>
      </c>
      <c r="I75" s="151" t="s">
        <v>273</v>
      </c>
      <c r="J75" s="151"/>
      <c r="K75" s="151" t="s">
        <v>60</v>
      </c>
      <c r="L75" s="151"/>
      <c r="M75" s="151"/>
      <c r="N75" s="151" t="s">
        <v>306</v>
      </c>
      <c r="O75" s="151" t="s">
        <v>61</v>
      </c>
      <c r="P75" s="162">
        <v>45390</v>
      </c>
      <c r="Q75" s="151" t="s">
        <v>1256</v>
      </c>
      <c r="R75" s="151" t="s">
        <v>295</v>
      </c>
      <c r="S75" s="151" t="s">
        <v>297</v>
      </c>
      <c r="T75" s="162">
        <v>45995</v>
      </c>
      <c r="U75" s="152">
        <v>3.165</v>
      </c>
      <c r="V75" s="164">
        <v>186.62022116903634</v>
      </c>
      <c r="W75" s="152">
        <v>590.65300000000002</v>
      </c>
      <c r="X75" s="153">
        <v>2.4000000000000001E-4</v>
      </c>
      <c r="Y75" s="153">
        <v>4.5500000000000002E-3</v>
      </c>
      <c r="Z75" s="154">
        <v>8.0000000000000004E-4</v>
      </c>
      <c r="AA75" s="174"/>
    </row>
    <row r="76" spans="1:27" x14ac:dyDescent="0.2">
      <c r="A76" s="150" t="s">
        <v>1251</v>
      </c>
      <c r="B76" s="151" t="s">
        <v>1251</v>
      </c>
      <c r="C76" s="151" t="s">
        <v>2323</v>
      </c>
      <c r="D76" s="151"/>
      <c r="E76" s="151"/>
      <c r="F76" s="151" t="s">
        <v>2408</v>
      </c>
      <c r="G76" s="151" t="s">
        <v>2409</v>
      </c>
      <c r="H76" s="151" t="s">
        <v>101</v>
      </c>
      <c r="I76" s="151" t="s">
        <v>728</v>
      </c>
      <c r="J76" s="151"/>
      <c r="K76" s="151" t="s">
        <v>60</v>
      </c>
      <c r="L76" s="151"/>
      <c r="M76" s="151"/>
      <c r="N76" s="151" t="s">
        <v>306</v>
      </c>
      <c r="O76" s="151" t="s">
        <v>61</v>
      </c>
      <c r="P76" s="162">
        <v>43446</v>
      </c>
      <c r="Q76" s="151" t="s">
        <v>1256</v>
      </c>
      <c r="R76" s="151" t="s">
        <v>295</v>
      </c>
      <c r="S76" s="151" t="s">
        <v>296</v>
      </c>
      <c r="T76" s="162">
        <v>46112</v>
      </c>
      <c r="U76" s="152">
        <v>3.165</v>
      </c>
      <c r="V76" s="164">
        <v>181.34091627172194</v>
      </c>
      <c r="W76" s="152">
        <v>573.94399999999996</v>
      </c>
      <c r="X76" s="153">
        <v>2.5000000000000001E-4</v>
      </c>
      <c r="Y76" s="153">
        <v>4.4299999999999999E-3</v>
      </c>
      <c r="Z76" s="154">
        <v>7.7999999999999999E-4</v>
      </c>
      <c r="AA76" s="174"/>
    </row>
    <row r="77" spans="1:27" x14ac:dyDescent="0.2">
      <c r="A77" s="150" t="s">
        <v>1251</v>
      </c>
      <c r="B77" s="151" t="s">
        <v>1251</v>
      </c>
      <c r="C77" s="151" t="s">
        <v>2410</v>
      </c>
      <c r="D77" s="151"/>
      <c r="E77" s="151"/>
      <c r="F77" s="151" t="s">
        <v>2411</v>
      </c>
      <c r="G77" s="151" t="s">
        <v>2412</v>
      </c>
      <c r="H77" s="151" t="s">
        <v>101</v>
      </c>
      <c r="I77" s="151" t="s">
        <v>273</v>
      </c>
      <c r="J77" s="151"/>
      <c r="K77" s="151" t="s">
        <v>60</v>
      </c>
      <c r="L77" s="151"/>
      <c r="M77" s="151"/>
      <c r="N77" s="151" t="s">
        <v>305</v>
      </c>
      <c r="O77" s="151" t="s">
        <v>61</v>
      </c>
      <c r="P77" s="162">
        <v>45701</v>
      </c>
      <c r="Q77" s="151" t="s">
        <v>1258</v>
      </c>
      <c r="R77" s="151" t="s">
        <v>295</v>
      </c>
      <c r="S77" s="151" t="s">
        <v>297</v>
      </c>
      <c r="T77" s="162">
        <v>46105</v>
      </c>
      <c r="U77" s="152">
        <v>3.6360000000000001</v>
      </c>
      <c r="V77" s="164">
        <v>148.027502750275</v>
      </c>
      <c r="W77" s="152">
        <v>538.22799999999995</v>
      </c>
      <c r="X77" s="153">
        <v>3.0000000000000001E-5</v>
      </c>
      <c r="Y77" s="153">
        <v>4.15E-3</v>
      </c>
      <c r="Z77" s="154">
        <v>7.2999999999999996E-4</v>
      </c>
      <c r="AA77" s="174"/>
    </row>
    <row r="78" spans="1:27" x14ac:dyDescent="0.2">
      <c r="A78" s="150" t="s">
        <v>1251</v>
      </c>
      <c r="B78" s="151" t="s">
        <v>1251</v>
      </c>
      <c r="C78" s="151" t="s">
        <v>2413</v>
      </c>
      <c r="D78" s="151"/>
      <c r="E78" s="151"/>
      <c r="F78" s="151" t="s">
        <v>2414</v>
      </c>
      <c r="G78" s="151" t="s">
        <v>2415</v>
      </c>
      <c r="H78" s="151" t="s">
        <v>101</v>
      </c>
      <c r="I78" s="151" t="s">
        <v>728</v>
      </c>
      <c r="J78" s="151"/>
      <c r="K78" s="151" t="s">
        <v>60</v>
      </c>
      <c r="L78" s="151"/>
      <c r="M78" s="151"/>
      <c r="N78" s="151" t="s">
        <v>306</v>
      </c>
      <c r="O78" s="151" t="s">
        <v>61</v>
      </c>
      <c r="P78" s="162">
        <v>42794</v>
      </c>
      <c r="Q78" s="151" t="s">
        <v>1256</v>
      </c>
      <c r="R78" s="151" t="s">
        <v>293</v>
      </c>
      <c r="S78" s="151" t="s">
        <v>297</v>
      </c>
      <c r="T78" s="162">
        <v>46070</v>
      </c>
      <c r="U78" s="152">
        <v>3.165</v>
      </c>
      <c r="V78" s="164">
        <v>167.64581358609797</v>
      </c>
      <c r="W78" s="152">
        <v>530.59900000000005</v>
      </c>
      <c r="X78" s="153">
        <v>5.5199999999999997E-3</v>
      </c>
      <c r="Y78" s="153">
        <v>4.0899999999999999E-3</v>
      </c>
      <c r="Z78" s="154">
        <v>7.2000000000000005E-4</v>
      </c>
      <c r="AA78" s="174"/>
    </row>
    <row r="79" spans="1:27" x14ac:dyDescent="0.2">
      <c r="A79" s="150" t="s">
        <v>1251</v>
      </c>
      <c r="B79" s="151" t="s">
        <v>1251</v>
      </c>
      <c r="C79" s="151" t="s">
        <v>2416</v>
      </c>
      <c r="D79" s="151"/>
      <c r="E79" s="151"/>
      <c r="F79" s="151" t="s">
        <v>2417</v>
      </c>
      <c r="G79" s="151" t="s">
        <v>2418</v>
      </c>
      <c r="H79" s="151" t="s">
        <v>101</v>
      </c>
      <c r="I79" s="151" t="s">
        <v>273</v>
      </c>
      <c r="J79" s="151"/>
      <c r="K79" s="151" t="s">
        <v>60</v>
      </c>
      <c r="L79" s="151"/>
      <c r="M79" s="151"/>
      <c r="N79" s="151" t="s">
        <v>305</v>
      </c>
      <c r="O79" s="151" t="s">
        <v>61</v>
      </c>
      <c r="P79" s="162">
        <v>44431</v>
      </c>
      <c r="Q79" s="151" t="s">
        <v>1258</v>
      </c>
      <c r="R79" s="151" t="s">
        <v>293</v>
      </c>
      <c r="S79" s="151" t="s">
        <v>297</v>
      </c>
      <c r="T79" s="162">
        <v>46105</v>
      </c>
      <c r="U79" s="152">
        <v>3.6360000000000001</v>
      </c>
      <c r="V79" s="164">
        <v>130.72057205720571</v>
      </c>
      <c r="W79" s="152">
        <v>475.3</v>
      </c>
      <c r="X79" s="153">
        <v>1.9000000000000001E-4</v>
      </c>
      <c r="Y79" s="153">
        <v>3.6600000000000001E-3</v>
      </c>
      <c r="Z79" s="154">
        <v>6.4999999999999997E-4</v>
      </c>
      <c r="AA79" s="174"/>
    </row>
    <row r="80" spans="1:27" x14ac:dyDescent="0.2">
      <c r="A80" s="150" t="s">
        <v>1251</v>
      </c>
      <c r="B80" s="151" t="s">
        <v>1251</v>
      </c>
      <c r="C80" s="151" t="s">
        <v>2419</v>
      </c>
      <c r="D80" s="151"/>
      <c r="E80" s="151"/>
      <c r="F80" s="151" t="s">
        <v>2419</v>
      </c>
      <c r="G80" s="151" t="s">
        <v>2420</v>
      </c>
      <c r="H80" s="151" t="s">
        <v>101</v>
      </c>
      <c r="I80" s="151" t="s">
        <v>237</v>
      </c>
      <c r="J80" s="151"/>
      <c r="K80" s="151" t="s">
        <v>60</v>
      </c>
      <c r="L80" s="151"/>
      <c r="M80" s="151"/>
      <c r="N80" s="151" t="s">
        <v>307</v>
      </c>
      <c r="O80" s="151" t="s">
        <v>61</v>
      </c>
      <c r="P80" s="162">
        <v>45919</v>
      </c>
      <c r="Q80" s="151" t="s">
        <v>1256</v>
      </c>
      <c r="R80" s="151" t="s">
        <v>295</v>
      </c>
      <c r="S80" s="151" t="s">
        <v>297</v>
      </c>
      <c r="T80" s="162">
        <v>46107</v>
      </c>
      <c r="U80" s="152">
        <v>3.165</v>
      </c>
      <c r="V80" s="164">
        <v>147.7301737756714</v>
      </c>
      <c r="W80" s="152">
        <v>467.56599999999997</v>
      </c>
      <c r="X80" s="153">
        <v>1.0000000000000001E-5</v>
      </c>
      <c r="Y80" s="153">
        <v>3.5999999999999999E-3</v>
      </c>
      <c r="Z80" s="154">
        <v>6.4000000000000005E-4</v>
      </c>
      <c r="AA80" s="174"/>
    </row>
    <row r="81" spans="1:27" x14ac:dyDescent="0.2">
      <c r="A81" s="150" t="s">
        <v>1251</v>
      </c>
      <c r="B81" s="151" t="s">
        <v>1251</v>
      </c>
      <c r="C81" s="151" t="s">
        <v>2421</v>
      </c>
      <c r="D81" s="151"/>
      <c r="E81" s="151"/>
      <c r="F81" s="151" t="s">
        <v>2422</v>
      </c>
      <c r="G81" s="151" t="s">
        <v>2423</v>
      </c>
      <c r="H81" s="151" t="s">
        <v>101</v>
      </c>
      <c r="I81" s="151" t="s">
        <v>273</v>
      </c>
      <c r="J81" s="151"/>
      <c r="K81" s="151" t="s">
        <v>60</v>
      </c>
      <c r="L81" s="151"/>
      <c r="M81" s="151"/>
      <c r="N81" s="151" t="s">
        <v>305</v>
      </c>
      <c r="O81" s="151" t="s">
        <v>61</v>
      </c>
      <c r="P81" s="162">
        <v>44222</v>
      </c>
      <c r="Q81" s="151" t="s">
        <v>1258</v>
      </c>
      <c r="R81" s="151" t="s">
        <v>293</v>
      </c>
      <c r="S81" s="151" t="s">
        <v>297</v>
      </c>
      <c r="T81" s="162">
        <v>46112</v>
      </c>
      <c r="U81" s="152">
        <v>3.6360000000000001</v>
      </c>
      <c r="V81" s="164">
        <v>126.94059405940594</v>
      </c>
      <c r="W81" s="152">
        <v>461.55599999999998</v>
      </c>
      <c r="X81" s="153">
        <v>5.1999999999999995E-4</v>
      </c>
      <c r="Y81" s="153">
        <v>3.5599999999999998E-3</v>
      </c>
      <c r="Z81" s="154">
        <v>6.3000000000000003E-4</v>
      </c>
      <c r="AA81" s="174"/>
    </row>
    <row r="82" spans="1:27" x14ac:dyDescent="0.2">
      <c r="A82" s="150" t="s">
        <v>1251</v>
      </c>
      <c r="B82" s="151" t="s">
        <v>1251</v>
      </c>
      <c r="C82" s="151" t="s">
        <v>2424</v>
      </c>
      <c r="D82" s="151"/>
      <c r="E82" s="151"/>
      <c r="F82" s="151" t="s">
        <v>2425</v>
      </c>
      <c r="G82" s="151" t="s">
        <v>2426</v>
      </c>
      <c r="H82" s="151" t="s">
        <v>101</v>
      </c>
      <c r="I82" s="151" t="s">
        <v>237</v>
      </c>
      <c r="J82" s="151"/>
      <c r="K82" s="151" t="s">
        <v>60</v>
      </c>
      <c r="L82" s="151"/>
      <c r="M82" s="151"/>
      <c r="N82" s="151" t="s">
        <v>306</v>
      </c>
      <c r="O82" s="151" t="s">
        <v>61</v>
      </c>
      <c r="P82" s="162">
        <v>45950</v>
      </c>
      <c r="Q82" s="151" t="s">
        <v>1256</v>
      </c>
      <c r="R82" s="151" t="s">
        <v>295</v>
      </c>
      <c r="S82" s="151" t="s">
        <v>297</v>
      </c>
      <c r="T82" s="162">
        <v>46099</v>
      </c>
      <c r="U82" s="152">
        <v>3.165</v>
      </c>
      <c r="V82" s="164">
        <v>134.36176935229068</v>
      </c>
      <c r="W82" s="152">
        <v>425.255</v>
      </c>
      <c r="X82" s="153">
        <v>3.0000000000000001E-5</v>
      </c>
      <c r="Y82" s="153">
        <v>3.2799999999999999E-3</v>
      </c>
      <c r="Z82" s="154">
        <v>5.8E-4</v>
      </c>
      <c r="AA82" s="174"/>
    </row>
    <row r="83" spans="1:27" x14ac:dyDescent="0.2">
      <c r="A83" s="150" t="s">
        <v>1251</v>
      </c>
      <c r="B83" s="151" t="s">
        <v>1251</v>
      </c>
      <c r="C83" s="151" t="s">
        <v>2427</v>
      </c>
      <c r="D83" s="151"/>
      <c r="E83" s="151"/>
      <c r="F83" s="151" t="s">
        <v>2428</v>
      </c>
      <c r="G83" s="151" t="s">
        <v>2429</v>
      </c>
      <c r="H83" s="151" t="s">
        <v>101</v>
      </c>
      <c r="I83" s="151" t="s">
        <v>273</v>
      </c>
      <c r="J83" s="151"/>
      <c r="K83" s="151" t="s">
        <v>60</v>
      </c>
      <c r="L83" s="151"/>
      <c r="M83" s="151"/>
      <c r="N83" s="151" t="s">
        <v>309</v>
      </c>
      <c r="O83" s="151" t="s">
        <v>61</v>
      </c>
      <c r="P83" s="162">
        <v>45852</v>
      </c>
      <c r="Q83" s="151" t="s">
        <v>1256</v>
      </c>
      <c r="R83" s="151" t="s">
        <v>295</v>
      </c>
      <c r="S83" s="151" t="s">
        <v>297</v>
      </c>
      <c r="T83" s="162">
        <v>46099</v>
      </c>
      <c r="U83" s="152">
        <v>3.165</v>
      </c>
      <c r="V83" s="164">
        <v>110.3387045813586</v>
      </c>
      <c r="W83" s="152">
        <v>349.22199999999998</v>
      </c>
      <c r="X83" s="153">
        <v>2.0000000000000002E-5</v>
      </c>
      <c r="Y83" s="153">
        <v>2.6900000000000001E-3</v>
      </c>
      <c r="Z83" s="154">
        <v>4.8000000000000001E-4</v>
      </c>
      <c r="AA83" s="174"/>
    </row>
    <row r="84" spans="1:27" x14ac:dyDescent="0.2">
      <c r="A84" s="150" t="s">
        <v>1251</v>
      </c>
      <c r="B84" s="151" t="s">
        <v>1251</v>
      </c>
      <c r="C84" s="151" t="s">
        <v>2430</v>
      </c>
      <c r="D84" s="151"/>
      <c r="E84" s="151"/>
      <c r="F84" s="151" t="s">
        <v>2431</v>
      </c>
      <c r="G84" s="151" t="s">
        <v>2432</v>
      </c>
      <c r="H84" s="151" t="s">
        <v>101</v>
      </c>
      <c r="I84" s="151" t="s">
        <v>273</v>
      </c>
      <c r="J84" s="151"/>
      <c r="K84" s="151" t="s">
        <v>60</v>
      </c>
      <c r="L84" s="151"/>
      <c r="M84" s="151"/>
      <c r="N84" s="151" t="s">
        <v>306</v>
      </c>
      <c r="O84" s="151" t="s">
        <v>54</v>
      </c>
      <c r="P84" s="162">
        <v>43726</v>
      </c>
      <c r="Q84" s="151" t="s">
        <v>1256</v>
      </c>
      <c r="R84" s="151" t="s">
        <v>293</v>
      </c>
      <c r="S84" s="151" t="s">
        <v>297</v>
      </c>
      <c r="T84" s="162">
        <v>46112</v>
      </c>
      <c r="U84" s="152">
        <v>3.165</v>
      </c>
      <c r="V84" s="164">
        <v>104.30584518167456</v>
      </c>
      <c r="W84" s="152">
        <v>330.12799999999999</v>
      </c>
      <c r="X84" s="153">
        <v>9.5E-4</v>
      </c>
      <c r="Y84" s="153">
        <v>2.5500000000000002E-3</v>
      </c>
      <c r="Z84" s="154">
        <v>4.4999999999999999E-4</v>
      </c>
      <c r="AA84" s="174"/>
    </row>
    <row r="85" spans="1:27" x14ac:dyDescent="0.2">
      <c r="A85" s="150" t="s">
        <v>1251</v>
      </c>
      <c r="B85" s="151" t="s">
        <v>1251</v>
      </c>
      <c r="C85" s="151" t="s">
        <v>2430</v>
      </c>
      <c r="D85" s="151"/>
      <c r="E85" s="151"/>
      <c r="F85" s="151" t="s">
        <v>2433</v>
      </c>
      <c r="G85" s="151" t="s">
        <v>2434</v>
      </c>
      <c r="H85" s="151" t="s">
        <v>101</v>
      </c>
      <c r="I85" s="151" t="s">
        <v>273</v>
      </c>
      <c r="J85" s="151"/>
      <c r="K85" s="151" t="s">
        <v>60</v>
      </c>
      <c r="L85" s="151"/>
      <c r="M85" s="151"/>
      <c r="N85" s="151" t="s">
        <v>306</v>
      </c>
      <c r="O85" s="151" t="s">
        <v>54</v>
      </c>
      <c r="P85" s="162">
        <v>43828</v>
      </c>
      <c r="Q85" s="151" t="s">
        <v>1256</v>
      </c>
      <c r="R85" s="151" t="s">
        <v>293</v>
      </c>
      <c r="S85" s="151" t="s">
        <v>297</v>
      </c>
      <c r="T85" s="162">
        <v>46099</v>
      </c>
      <c r="U85" s="152">
        <v>3.165</v>
      </c>
      <c r="V85" s="164">
        <v>103.81453396524486</v>
      </c>
      <c r="W85" s="152">
        <v>328.57299999999998</v>
      </c>
      <c r="X85" s="153">
        <v>6.0000000000000002E-5</v>
      </c>
      <c r="Y85" s="153">
        <v>2.5300000000000001E-3</v>
      </c>
      <c r="Z85" s="154">
        <v>4.4999999999999999E-4</v>
      </c>
      <c r="AA85" s="174"/>
    </row>
    <row r="86" spans="1:27" x14ac:dyDescent="0.2">
      <c r="A86" s="150" t="s">
        <v>1251</v>
      </c>
      <c r="B86" s="151" t="s">
        <v>1251</v>
      </c>
      <c r="C86" s="151" t="s">
        <v>2435</v>
      </c>
      <c r="D86" s="151"/>
      <c r="E86" s="151"/>
      <c r="F86" s="151" t="s">
        <v>2436</v>
      </c>
      <c r="G86" s="151" t="s">
        <v>2437</v>
      </c>
      <c r="H86" s="151" t="s">
        <v>101</v>
      </c>
      <c r="I86" s="151" t="s">
        <v>237</v>
      </c>
      <c r="J86" s="151"/>
      <c r="K86" s="151" t="s">
        <v>60</v>
      </c>
      <c r="L86" s="151"/>
      <c r="M86" s="151"/>
      <c r="N86" s="151" t="s">
        <v>306</v>
      </c>
      <c r="O86" s="151" t="s">
        <v>61</v>
      </c>
      <c r="P86" s="162">
        <v>42157</v>
      </c>
      <c r="Q86" s="151" t="s">
        <v>1256</v>
      </c>
      <c r="R86" s="151" t="s">
        <v>295</v>
      </c>
      <c r="S86" s="151" t="s">
        <v>296</v>
      </c>
      <c r="T86" s="162">
        <v>46042</v>
      </c>
      <c r="U86" s="152">
        <v>3.165</v>
      </c>
      <c r="V86" s="164">
        <v>100.16966824644548</v>
      </c>
      <c r="W86" s="152">
        <v>317.03699999999998</v>
      </c>
      <c r="X86" s="153">
        <v>5.3200000000000001E-3</v>
      </c>
      <c r="Y86" s="153">
        <v>2.4399999999999999E-3</v>
      </c>
      <c r="Z86" s="154">
        <v>4.2999999999999999E-4</v>
      </c>
      <c r="AA86" s="174"/>
    </row>
    <row r="87" spans="1:27" x14ac:dyDescent="0.2">
      <c r="A87" s="150" t="s">
        <v>1251</v>
      </c>
      <c r="B87" s="151" t="s">
        <v>1251</v>
      </c>
      <c r="C87" s="151" t="s">
        <v>2421</v>
      </c>
      <c r="D87" s="151"/>
      <c r="E87" s="151"/>
      <c r="F87" s="151" t="s">
        <v>2438</v>
      </c>
      <c r="G87" s="151" t="s">
        <v>2439</v>
      </c>
      <c r="H87" s="151" t="s">
        <v>101</v>
      </c>
      <c r="I87" s="151" t="s">
        <v>273</v>
      </c>
      <c r="J87" s="151"/>
      <c r="K87" s="151" t="s">
        <v>60</v>
      </c>
      <c r="L87" s="151"/>
      <c r="M87" s="151"/>
      <c r="N87" s="151" t="s">
        <v>305</v>
      </c>
      <c r="O87" s="151" t="s">
        <v>61</v>
      </c>
      <c r="P87" s="162">
        <v>45700</v>
      </c>
      <c r="Q87" s="151" t="s">
        <v>1258</v>
      </c>
      <c r="R87" s="151" t="s">
        <v>293</v>
      </c>
      <c r="S87" s="151" t="s">
        <v>297</v>
      </c>
      <c r="T87" s="162">
        <v>46091</v>
      </c>
      <c r="U87" s="152">
        <v>3.6360000000000001</v>
      </c>
      <c r="V87" s="164">
        <v>81.231848184818475</v>
      </c>
      <c r="W87" s="152">
        <v>295.35899999999998</v>
      </c>
      <c r="X87" s="153">
        <v>8.0000000000000007E-5</v>
      </c>
      <c r="Y87" s="153">
        <v>2.2799999999999999E-3</v>
      </c>
      <c r="Z87" s="154">
        <v>4.0000000000000002E-4</v>
      </c>
      <c r="AA87" s="174"/>
    </row>
    <row r="88" spans="1:27" x14ac:dyDescent="0.2">
      <c r="A88" s="150" t="s">
        <v>1251</v>
      </c>
      <c r="B88" s="151" t="s">
        <v>1251</v>
      </c>
      <c r="C88" s="151" t="s">
        <v>2309</v>
      </c>
      <c r="D88" s="151"/>
      <c r="E88" s="151"/>
      <c r="F88" s="151" t="s">
        <v>2440</v>
      </c>
      <c r="G88" s="151" t="s">
        <v>2441</v>
      </c>
      <c r="H88" s="151" t="s">
        <v>101</v>
      </c>
      <c r="I88" s="151" t="s">
        <v>728</v>
      </c>
      <c r="J88" s="151"/>
      <c r="K88" s="151" t="s">
        <v>60</v>
      </c>
      <c r="L88" s="151"/>
      <c r="M88" s="151"/>
      <c r="N88" s="151" t="s">
        <v>306</v>
      </c>
      <c r="O88" s="151" t="s">
        <v>61</v>
      </c>
      <c r="P88" s="162">
        <v>42026</v>
      </c>
      <c r="Q88" s="151" t="s">
        <v>1256</v>
      </c>
      <c r="R88" s="151" t="s">
        <v>293</v>
      </c>
      <c r="S88" s="151" t="s">
        <v>297</v>
      </c>
      <c r="T88" s="162">
        <v>46086</v>
      </c>
      <c r="U88" s="152">
        <v>3.165</v>
      </c>
      <c r="V88" s="164">
        <v>75.256240126382309</v>
      </c>
      <c r="W88" s="152">
        <v>238.18600000000001</v>
      </c>
      <c r="X88" s="153">
        <v>2.2000000000000001E-4</v>
      </c>
      <c r="Y88" s="153">
        <v>1.8400000000000001E-3</v>
      </c>
      <c r="Z88" s="154">
        <v>3.2000000000000003E-4</v>
      </c>
      <c r="AA88" s="174"/>
    </row>
    <row r="89" spans="1:27" x14ac:dyDescent="0.2">
      <c r="A89" s="150" t="s">
        <v>1251</v>
      </c>
      <c r="B89" s="151" t="s">
        <v>1251</v>
      </c>
      <c r="C89" s="151" t="s">
        <v>2309</v>
      </c>
      <c r="D89" s="151"/>
      <c r="E89" s="151"/>
      <c r="F89" s="151" t="s">
        <v>2442</v>
      </c>
      <c r="G89" s="151" t="s">
        <v>2443</v>
      </c>
      <c r="H89" s="151" t="s">
        <v>101</v>
      </c>
      <c r="I89" s="151" t="s">
        <v>273</v>
      </c>
      <c r="J89" s="151"/>
      <c r="K89" s="151" t="s">
        <v>60</v>
      </c>
      <c r="L89" s="151"/>
      <c r="M89" s="151"/>
      <c r="N89" s="151" t="s">
        <v>306</v>
      </c>
      <c r="O89" s="151" t="s">
        <v>61</v>
      </c>
      <c r="P89" s="162">
        <v>42845</v>
      </c>
      <c r="Q89" s="151" t="s">
        <v>1256</v>
      </c>
      <c r="R89" s="151" t="s">
        <v>293</v>
      </c>
      <c r="S89" s="151" t="s">
        <v>297</v>
      </c>
      <c r="T89" s="162">
        <v>46100</v>
      </c>
      <c r="U89" s="152">
        <v>3.165</v>
      </c>
      <c r="V89" s="164">
        <v>16.284360189573459</v>
      </c>
      <c r="W89" s="152">
        <v>51.54</v>
      </c>
      <c r="X89" s="153">
        <v>7.6999999999999996E-4</v>
      </c>
      <c r="Y89" s="153">
        <v>4.0000000000000002E-4</v>
      </c>
      <c r="Z89" s="154">
        <v>6.9999999999999994E-5</v>
      </c>
      <c r="AA89" s="174"/>
    </row>
    <row r="90" spans="1:27" x14ac:dyDescent="0.2">
      <c r="A90" s="150" t="s">
        <v>1251</v>
      </c>
      <c r="B90" s="151" t="s">
        <v>1251</v>
      </c>
      <c r="C90" s="151" t="s">
        <v>2444</v>
      </c>
      <c r="D90" s="151"/>
      <c r="E90" s="151"/>
      <c r="F90" s="151" t="s">
        <v>2445</v>
      </c>
      <c r="G90" s="151" t="s">
        <v>2446</v>
      </c>
      <c r="H90" s="151" t="s">
        <v>101</v>
      </c>
      <c r="I90" s="151" t="s">
        <v>273</v>
      </c>
      <c r="J90" s="151"/>
      <c r="K90" s="151" t="s">
        <v>60</v>
      </c>
      <c r="L90" s="151"/>
      <c r="M90" s="151"/>
      <c r="N90" s="151" t="s">
        <v>306</v>
      </c>
      <c r="O90" s="151" t="s">
        <v>61</v>
      </c>
      <c r="P90" s="162">
        <v>43734</v>
      </c>
      <c r="Q90" s="151" t="s">
        <v>1256</v>
      </c>
      <c r="R90" s="151" t="s">
        <v>293</v>
      </c>
      <c r="S90" s="151" t="s">
        <v>297</v>
      </c>
      <c r="T90" s="162">
        <v>46086</v>
      </c>
      <c r="U90" s="152">
        <v>3.165</v>
      </c>
      <c r="V90" s="164">
        <v>14.022432859399684</v>
      </c>
      <c r="W90" s="152">
        <v>44.381</v>
      </c>
      <c r="X90" s="153">
        <v>2.0000000000000002E-5</v>
      </c>
      <c r="Y90" s="153">
        <v>3.4000000000000002E-4</v>
      </c>
      <c r="Z90" s="154">
        <v>6.0000000000000002E-5</v>
      </c>
      <c r="AA90" s="174"/>
    </row>
    <row r="91" spans="1:27" x14ac:dyDescent="0.2">
      <c r="A91" s="150" t="s">
        <v>1251</v>
      </c>
      <c r="B91" s="151" t="s">
        <v>1251</v>
      </c>
      <c r="C91" s="151" t="s">
        <v>2447</v>
      </c>
      <c r="D91" s="151"/>
      <c r="E91" s="151"/>
      <c r="F91" s="151" t="s">
        <v>2448</v>
      </c>
      <c r="G91" s="151" t="s">
        <v>2449</v>
      </c>
      <c r="H91" s="151" t="s">
        <v>101</v>
      </c>
      <c r="I91" s="151" t="s">
        <v>728</v>
      </c>
      <c r="J91" s="151"/>
      <c r="K91" s="151" t="s">
        <v>60</v>
      </c>
      <c r="L91" s="151"/>
      <c r="M91" s="151"/>
      <c r="N91" s="151" t="s">
        <v>305</v>
      </c>
      <c r="O91" s="151" t="s">
        <v>61</v>
      </c>
      <c r="P91" s="162">
        <v>46112</v>
      </c>
      <c r="Q91" s="151" t="s">
        <v>1258</v>
      </c>
      <c r="R91" s="151" t="s">
        <v>295</v>
      </c>
      <c r="S91" s="151" t="s">
        <v>297</v>
      </c>
      <c r="T91" s="162">
        <v>46107</v>
      </c>
      <c r="U91" s="152">
        <v>3.6360000000000001</v>
      </c>
      <c r="V91" s="164">
        <v>3.5753575357535752</v>
      </c>
      <c r="W91" s="152">
        <v>13</v>
      </c>
      <c r="X91" s="153">
        <v>0</v>
      </c>
      <c r="Y91" s="153">
        <v>1E-4</v>
      </c>
      <c r="Z91" s="154">
        <v>2.0000000000000002E-5</v>
      </c>
      <c r="AA91" s="174"/>
    </row>
    <row r="92" spans="1:27" x14ac:dyDescent="0.2">
      <c r="A92" s="150" t="s">
        <v>1251</v>
      </c>
      <c r="B92" s="151" t="s">
        <v>1251</v>
      </c>
      <c r="C92" s="151" t="s">
        <v>2450</v>
      </c>
      <c r="D92" s="151"/>
      <c r="E92" s="151"/>
      <c r="F92" s="151" t="s">
        <v>2451</v>
      </c>
      <c r="G92" s="151" t="s">
        <v>2452</v>
      </c>
      <c r="H92" s="151" t="s">
        <v>101</v>
      </c>
      <c r="I92" s="151" t="s">
        <v>728</v>
      </c>
      <c r="J92" s="151"/>
      <c r="K92" s="151" t="s">
        <v>60</v>
      </c>
      <c r="L92" s="151"/>
      <c r="M92" s="151"/>
      <c r="N92" s="151" t="s">
        <v>306</v>
      </c>
      <c r="O92" s="151" t="s">
        <v>61</v>
      </c>
      <c r="P92" s="162">
        <v>45790</v>
      </c>
      <c r="Q92" s="151" t="s">
        <v>1256</v>
      </c>
      <c r="R92" s="151" t="s">
        <v>295</v>
      </c>
      <c r="S92" s="151" t="s">
        <v>297</v>
      </c>
      <c r="T92" s="162">
        <v>46111</v>
      </c>
      <c r="U92" s="152">
        <v>3.165</v>
      </c>
      <c r="V92" s="164">
        <v>1.1677725118483413</v>
      </c>
      <c r="W92" s="152">
        <v>3.6960000000000002</v>
      </c>
      <c r="X92" s="153">
        <v>0</v>
      </c>
      <c r="Y92" s="153">
        <v>3.0000000000000001E-5</v>
      </c>
      <c r="Z92" s="154">
        <v>1.0000000000000001E-5</v>
      </c>
      <c r="AA92" s="174"/>
    </row>
    <row r="93" spans="1:27" x14ac:dyDescent="0.2">
      <c r="A93" s="150" t="s">
        <v>1251</v>
      </c>
      <c r="B93" s="151" t="s">
        <v>1251</v>
      </c>
      <c r="C93" s="151" t="s">
        <v>2309</v>
      </c>
      <c r="D93" s="151"/>
      <c r="E93" s="151"/>
      <c r="F93" s="151" t="s">
        <v>2453</v>
      </c>
      <c r="G93" s="151" t="s">
        <v>2454</v>
      </c>
      <c r="H93" s="151" t="s">
        <v>101</v>
      </c>
      <c r="I93" s="151" t="s">
        <v>273</v>
      </c>
      <c r="J93" s="151"/>
      <c r="K93" s="151" t="s">
        <v>60</v>
      </c>
      <c r="L93" s="151"/>
      <c r="M93" s="151"/>
      <c r="N93" s="151" t="s">
        <v>306</v>
      </c>
      <c r="O93" s="151" t="s">
        <v>61</v>
      </c>
      <c r="P93" s="162">
        <v>42541</v>
      </c>
      <c r="Q93" s="151" t="s">
        <v>1256</v>
      </c>
      <c r="R93" s="151" t="s">
        <v>293</v>
      </c>
      <c r="S93" s="151" t="s">
        <v>297</v>
      </c>
      <c r="T93" s="162">
        <v>45942</v>
      </c>
      <c r="U93" s="152">
        <v>3.165</v>
      </c>
      <c r="V93" s="164">
        <v>1.1374407582938388E-2</v>
      </c>
      <c r="W93" s="152">
        <v>3.5999999999999997E-2</v>
      </c>
      <c r="X93" s="153">
        <v>7.5000000000000002E-4</v>
      </c>
      <c r="Y93" s="153">
        <v>0</v>
      </c>
      <c r="Z93" s="154">
        <v>0</v>
      </c>
      <c r="AA93" s="174"/>
    </row>
    <row r="94" spans="1:27" x14ac:dyDescent="0.2">
      <c r="A94" s="150" t="s">
        <v>1264</v>
      </c>
      <c r="B94" s="151" t="s">
        <v>1264</v>
      </c>
      <c r="C94" s="151" t="s">
        <v>2455</v>
      </c>
      <c r="D94" s="151"/>
      <c r="E94" s="151"/>
      <c r="F94" s="151" t="s">
        <v>2456</v>
      </c>
      <c r="G94" s="151" t="s">
        <v>2457</v>
      </c>
      <c r="H94" s="151" t="s">
        <v>101</v>
      </c>
      <c r="I94" s="151" t="s">
        <v>274</v>
      </c>
      <c r="J94" s="151"/>
      <c r="K94" s="151" t="s">
        <v>52</v>
      </c>
      <c r="L94" s="151"/>
      <c r="M94" s="151"/>
      <c r="N94" s="151" t="s">
        <v>52</v>
      </c>
      <c r="O94" s="151" t="s">
        <v>61</v>
      </c>
      <c r="P94" s="162">
        <v>42549</v>
      </c>
      <c r="Q94" s="151" t="s">
        <v>1255</v>
      </c>
      <c r="R94" s="151" t="s">
        <v>293</v>
      </c>
      <c r="S94" s="151" t="s">
        <v>297</v>
      </c>
      <c r="T94" s="162">
        <v>46105</v>
      </c>
      <c r="U94" s="152">
        <v>1</v>
      </c>
      <c r="V94" s="164">
        <v>32568.572</v>
      </c>
      <c r="W94" s="152">
        <v>32568.572</v>
      </c>
      <c r="X94" s="153">
        <v>4.6920000000000003E-2</v>
      </c>
      <c r="Y94" s="153">
        <v>2.2120000000000001E-2</v>
      </c>
      <c r="Z94" s="154">
        <v>3.2599999999999999E-3</v>
      </c>
      <c r="AA94" s="174"/>
    </row>
    <row r="95" spans="1:27" x14ac:dyDescent="0.2">
      <c r="A95" s="150" t="s">
        <v>1264</v>
      </c>
      <c r="B95" s="151" t="s">
        <v>1264</v>
      </c>
      <c r="C95" s="151" t="s">
        <v>2458</v>
      </c>
      <c r="D95" s="151"/>
      <c r="E95" s="151"/>
      <c r="F95" s="151" t="s">
        <v>2459</v>
      </c>
      <c r="G95" s="151" t="s">
        <v>2460</v>
      </c>
      <c r="H95" s="151" t="s">
        <v>101</v>
      </c>
      <c r="I95" s="151" t="s">
        <v>274</v>
      </c>
      <c r="J95" s="151"/>
      <c r="K95" s="151" t="s">
        <v>52</v>
      </c>
      <c r="L95" s="151"/>
      <c r="M95" s="151"/>
      <c r="N95" s="151" t="s">
        <v>108</v>
      </c>
      <c r="O95" s="151" t="s">
        <v>61</v>
      </c>
      <c r="P95" s="162">
        <v>42795</v>
      </c>
      <c r="Q95" s="151" t="s">
        <v>1255</v>
      </c>
      <c r="R95" s="151" t="s">
        <v>293</v>
      </c>
      <c r="S95" s="151" t="s">
        <v>297</v>
      </c>
      <c r="T95" s="162">
        <v>46112</v>
      </c>
      <c r="U95" s="152">
        <v>1</v>
      </c>
      <c r="V95" s="164">
        <v>24831.327000000001</v>
      </c>
      <c r="W95" s="152">
        <v>24831.327000000001</v>
      </c>
      <c r="X95" s="153">
        <v>3.9199999999999999E-2</v>
      </c>
      <c r="Y95" s="153">
        <v>1.686E-2</v>
      </c>
      <c r="Z95" s="154">
        <v>2.49E-3</v>
      </c>
      <c r="AA95" s="174"/>
    </row>
    <row r="96" spans="1:27" x14ac:dyDescent="0.2">
      <c r="A96" s="150" t="s">
        <v>1264</v>
      </c>
      <c r="B96" s="151" t="s">
        <v>1264</v>
      </c>
      <c r="C96" s="151" t="s">
        <v>2212</v>
      </c>
      <c r="D96" s="151"/>
      <c r="E96" s="151"/>
      <c r="F96" s="151" t="s">
        <v>2213</v>
      </c>
      <c r="G96" s="151" t="s">
        <v>2214</v>
      </c>
      <c r="H96" s="151" t="s">
        <v>101</v>
      </c>
      <c r="I96" s="151" t="s">
        <v>274</v>
      </c>
      <c r="J96" s="151"/>
      <c r="K96" s="151" t="s">
        <v>52</v>
      </c>
      <c r="L96" s="151"/>
      <c r="M96" s="151"/>
      <c r="N96" s="151" t="s">
        <v>52</v>
      </c>
      <c r="O96" s="151" t="s">
        <v>61</v>
      </c>
      <c r="P96" s="162">
        <v>42884</v>
      </c>
      <c r="Q96" s="151" t="s">
        <v>1255</v>
      </c>
      <c r="R96" s="151" t="s">
        <v>293</v>
      </c>
      <c r="S96" s="151" t="s">
        <v>297</v>
      </c>
      <c r="T96" s="162">
        <v>46111</v>
      </c>
      <c r="U96" s="152">
        <v>1</v>
      </c>
      <c r="V96" s="164">
        <v>24427.126</v>
      </c>
      <c r="W96" s="152">
        <v>24427.126</v>
      </c>
      <c r="X96" s="153">
        <v>1.7160000000000002E-2</v>
      </c>
      <c r="Y96" s="153">
        <v>1.6590000000000001E-2</v>
      </c>
      <c r="Z96" s="154">
        <v>2.4499999999999999E-3</v>
      </c>
      <c r="AA96" s="174"/>
    </row>
    <row r="97" spans="1:27" x14ac:dyDescent="0.2">
      <c r="A97" s="150" t="s">
        <v>1264</v>
      </c>
      <c r="B97" s="151" t="s">
        <v>1264</v>
      </c>
      <c r="C97" s="151" t="s">
        <v>2215</v>
      </c>
      <c r="D97" s="151"/>
      <c r="E97" s="151"/>
      <c r="F97" s="151" t="s">
        <v>2216</v>
      </c>
      <c r="G97" s="151" t="s">
        <v>2217</v>
      </c>
      <c r="H97" s="151" t="s">
        <v>101</v>
      </c>
      <c r="I97" s="151" t="s">
        <v>273</v>
      </c>
      <c r="J97" s="151"/>
      <c r="K97" s="151" t="s">
        <v>52</v>
      </c>
      <c r="L97" s="151"/>
      <c r="M97" s="151"/>
      <c r="N97" s="151" t="s">
        <v>52</v>
      </c>
      <c r="O97" s="151" t="s">
        <v>61</v>
      </c>
      <c r="P97" s="162">
        <v>45046</v>
      </c>
      <c r="Q97" s="151" t="s">
        <v>1255</v>
      </c>
      <c r="R97" s="151" t="s">
        <v>293</v>
      </c>
      <c r="S97" s="151" t="s">
        <v>297</v>
      </c>
      <c r="T97" s="162">
        <v>46111</v>
      </c>
      <c r="U97" s="152">
        <v>1</v>
      </c>
      <c r="V97" s="164">
        <v>24123.756000000001</v>
      </c>
      <c r="W97" s="152">
        <v>24123.756000000001</v>
      </c>
      <c r="X97" s="153">
        <v>2.5569999999999999E-2</v>
      </c>
      <c r="Y97" s="153">
        <v>1.6379999999999999E-2</v>
      </c>
      <c r="Z97" s="154">
        <v>2.4199999999999998E-3</v>
      </c>
      <c r="AA97" s="174"/>
    </row>
    <row r="98" spans="1:27" x14ac:dyDescent="0.2">
      <c r="A98" s="150" t="s">
        <v>1264</v>
      </c>
      <c r="B98" s="151" t="s">
        <v>1264</v>
      </c>
      <c r="C98" s="151" t="s">
        <v>2218</v>
      </c>
      <c r="D98" s="151"/>
      <c r="E98" s="151"/>
      <c r="F98" s="151" t="s">
        <v>2219</v>
      </c>
      <c r="G98" s="151" t="s">
        <v>2220</v>
      </c>
      <c r="H98" s="151" t="s">
        <v>101</v>
      </c>
      <c r="I98" s="151" t="s">
        <v>273</v>
      </c>
      <c r="J98" s="151"/>
      <c r="K98" s="151" t="s">
        <v>52</v>
      </c>
      <c r="L98" s="151"/>
      <c r="M98" s="151"/>
      <c r="N98" s="151" t="s">
        <v>52</v>
      </c>
      <c r="O98" s="151" t="s">
        <v>61</v>
      </c>
      <c r="P98" s="162">
        <v>45034</v>
      </c>
      <c r="Q98" s="151" t="s">
        <v>1255</v>
      </c>
      <c r="R98" s="151" t="s">
        <v>295</v>
      </c>
      <c r="S98" s="151" t="s">
        <v>296</v>
      </c>
      <c r="T98" s="162">
        <v>46112</v>
      </c>
      <c r="U98" s="152">
        <v>1</v>
      </c>
      <c r="V98" s="164">
        <v>22115.746999999999</v>
      </c>
      <c r="W98" s="152">
        <v>22115.746999999999</v>
      </c>
      <c r="X98" s="153">
        <v>6.1799999999999997E-3</v>
      </c>
      <c r="Y98" s="153">
        <v>1.502E-2</v>
      </c>
      <c r="Z98" s="154">
        <v>2.2100000000000002E-3</v>
      </c>
      <c r="AA98" s="174"/>
    </row>
    <row r="99" spans="1:27" x14ac:dyDescent="0.2">
      <c r="A99" s="150" t="s">
        <v>1264</v>
      </c>
      <c r="B99" s="151" t="s">
        <v>1264</v>
      </c>
      <c r="C99" s="151" t="s">
        <v>2461</v>
      </c>
      <c r="D99" s="151"/>
      <c r="E99" s="151"/>
      <c r="F99" s="151" t="s">
        <v>2462</v>
      </c>
      <c r="G99" s="151" t="s">
        <v>2463</v>
      </c>
      <c r="H99" s="151" t="s">
        <v>101</v>
      </c>
      <c r="I99" s="151" t="s">
        <v>274</v>
      </c>
      <c r="J99" s="151"/>
      <c r="K99" s="151" t="s">
        <v>52</v>
      </c>
      <c r="L99" s="151"/>
      <c r="M99" s="151"/>
      <c r="N99" s="151" t="s">
        <v>52</v>
      </c>
      <c r="O99" s="151" t="s">
        <v>61</v>
      </c>
      <c r="P99" s="162">
        <v>45713</v>
      </c>
      <c r="Q99" s="151" t="s">
        <v>1255</v>
      </c>
      <c r="R99" s="151" t="s">
        <v>293</v>
      </c>
      <c r="S99" s="151" t="s">
        <v>297</v>
      </c>
      <c r="T99" s="162">
        <v>46111</v>
      </c>
      <c r="U99" s="152">
        <v>1</v>
      </c>
      <c r="V99" s="164">
        <v>21355.232</v>
      </c>
      <c r="W99" s="152">
        <v>21355.232</v>
      </c>
      <c r="X99" s="153">
        <v>5.2019999999999997E-2</v>
      </c>
      <c r="Y99" s="153">
        <v>1.4500000000000001E-2</v>
      </c>
      <c r="Z99" s="154">
        <v>2.14E-3</v>
      </c>
      <c r="AA99" s="174"/>
    </row>
    <row r="100" spans="1:27" x14ac:dyDescent="0.2">
      <c r="A100" s="150" t="s">
        <v>1264</v>
      </c>
      <c r="B100" s="151" t="s">
        <v>1264</v>
      </c>
      <c r="C100" s="151" t="s">
        <v>2224</v>
      </c>
      <c r="D100" s="151"/>
      <c r="E100" s="151"/>
      <c r="F100" s="151" t="s">
        <v>2225</v>
      </c>
      <c r="G100" s="151" t="s">
        <v>2226</v>
      </c>
      <c r="H100" s="151" t="s">
        <v>101</v>
      </c>
      <c r="I100" s="151" t="s">
        <v>273</v>
      </c>
      <c r="J100" s="151"/>
      <c r="K100" s="151" t="s">
        <v>52</v>
      </c>
      <c r="L100" s="151"/>
      <c r="M100" s="151"/>
      <c r="N100" s="151" t="s">
        <v>52</v>
      </c>
      <c r="O100" s="151" t="s">
        <v>61</v>
      </c>
      <c r="P100" s="162">
        <v>44608</v>
      </c>
      <c r="Q100" s="151" t="s">
        <v>1255</v>
      </c>
      <c r="R100" s="151" t="s">
        <v>295</v>
      </c>
      <c r="S100" s="151" t="s">
        <v>296</v>
      </c>
      <c r="T100" s="162">
        <v>46058</v>
      </c>
      <c r="U100" s="152">
        <v>1</v>
      </c>
      <c r="V100" s="164">
        <v>13931.771000000001</v>
      </c>
      <c r="W100" s="152">
        <v>13931.771000000001</v>
      </c>
      <c r="X100" s="153">
        <v>1.3129999999999999E-2</v>
      </c>
      <c r="Y100" s="153">
        <v>9.4599999999999997E-3</v>
      </c>
      <c r="Z100" s="154">
        <v>1.4E-3</v>
      </c>
      <c r="AA100" s="174"/>
    </row>
    <row r="101" spans="1:27" x14ac:dyDescent="0.2">
      <c r="A101" s="150" t="s">
        <v>1264</v>
      </c>
      <c r="B101" s="151" t="s">
        <v>1264</v>
      </c>
      <c r="C101" s="151" t="s">
        <v>2221</v>
      </c>
      <c r="D101" s="151"/>
      <c r="E101" s="151"/>
      <c r="F101" s="151" t="s">
        <v>2222</v>
      </c>
      <c r="G101" s="151" t="s">
        <v>2223</v>
      </c>
      <c r="H101" s="151" t="s">
        <v>101</v>
      </c>
      <c r="I101" s="151" t="s">
        <v>273</v>
      </c>
      <c r="J101" s="151"/>
      <c r="K101" s="151" t="s">
        <v>52</v>
      </c>
      <c r="L101" s="151"/>
      <c r="M101" s="151"/>
      <c r="N101" s="151" t="s">
        <v>52</v>
      </c>
      <c r="O101" s="151" t="s">
        <v>61</v>
      </c>
      <c r="P101" s="162">
        <v>43801</v>
      </c>
      <c r="Q101" s="151" t="s">
        <v>1255</v>
      </c>
      <c r="R101" s="151" t="s">
        <v>293</v>
      </c>
      <c r="S101" s="151" t="s">
        <v>297</v>
      </c>
      <c r="T101" s="162">
        <v>46112</v>
      </c>
      <c r="U101" s="152">
        <v>1</v>
      </c>
      <c r="V101" s="164">
        <v>13467.918</v>
      </c>
      <c r="W101" s="152">
        <v>13467.918</v>
      </c>
      <c r="X101" s="153">
        <v>7.9100000000000004E-3</v>
      </c>
      <c r="Y101" s="153">
        <v>9.1500000000000001E-3</v>
      </c>
      <c r="Z101" s="154">
        <v>1.3500000000000001E-3</v>
      </c>
      <c r="AA101" s="174"/>
    </row>
    <row r="102" spans="1:27" x14ac:dyDescent="0.2">
      <c r="A102" s="150" t="s">
        <v>1264</v>
      </c>
      <c r="B102" s="151" t="s">
        <v>1264</v>
      </c>
      <c r="C102" s="151" t="s">
        <v>2212</v>
      </c>
      <c r="D102" s="151"/>
      <c r="E102" s="151"/>
      <c r="F102" s="151" t="s">
        <v>2246</v>
      </c>
      <c r="G102" s="151" t="s">
        <v>2247</v>
      </c>
      <c r="H102" s="151" t="s">
        <v>101</v>
      </c>
      <c r="I102" s="151" t="s">
        <v>274</v>
      </c>
      <c r="J102" s="151"/>
      <c r="K102" s="151" t="s">
        <v>52</v>
      </c>
      <c r="L102" s="151"/>
      <c r="M102" s="151"/>
      <c r="N102" s="151" t="s">
        <v>52</v>
      </c>
      <c r="O102" s="151" t="s">
        <v>61</v>
      </c>
      <c r="P102" s="162">
        <v>43984</v>
      </c>
      <c r="Q102" s="151" t="s">
        <v>1255</v>
      </c>
      <c r="R102" s="151" t="s">
        <v>293</v>
      </c>
      <c r="S102" s="151" t="s">
        <v>297</v>
      </c>
      <c r="T102" s="162">
        <v>46111</v>
      </c>
      <c r="U102" s="152">
        <v>1</v>
      </c>
      <c r="V102" s="164">
        <v>13457.828</v>
      </c>
      <c r="W102" s="152">
        <v>13457.828</v>
      </c>
      <c r="X102" s="153">
        <v>9.4599999999999997E-3</v>
      </c>
      <c r="Y102" s="153">
        <v>9.1400000000000006E-3</v>
      </c>
      <c r="Z102" s="154">
        <v>1.3500000000000001E-3</v>
      </c>
      <c r="AA102" s="174"/>
    </row>
    <row r="103" spans="1:27" x14ac:dyDescent="0.2">
      <c r="A103" s="150" t="s">
        <v>1264</v>
      </c>
      <c r="B103" s="151" t="s">
        <v>1264</v>
      </c>
      <c r="C103" s="151" t="s">
        <v>2461</v>
      </c>
      <c r="D103" s="151"/>
      <c r="E103" s="151"/>
      <c r="F103" s="151" t="s">
        <v>2464</v>
      </c>
      <c r="G103" s="151" t="s">
        <v>2465</v>
      </c>
      <c r="H103" s="151" t="s">
        <v>101</v>
      </c>
      <c r="I103" s="151" t="s">
        <v>274</v>
      </c>
      <c r="J103" s="151"/>
      <c r="K103" s="151" t="s">
        <v>52</v>
      </c>
      <c r="L103" s="151"/>
      <c r="M103" s="151"/>
      <c r="N103" s="151" t="s">
        <v>52</v>
      </c>
      <c r="O103" s="151" t="s">
        <v>61</v>
      </c>
      <c r="P103" s="162">
        <v>41427</v>
      </c>
      <c r="Q103" s="151" t="s">
        <v>1255</v>
      </c>
      <c r="R103" s="151" t="s">
        <v>293</v>
      </c>
      <c r="S103" s="151" t="s">
        <v>297</v>
      </c>
      <c r="T103" s="162">
        <v>46111</v>
      </c>
      <c r="U103" s="152">
        <v>1</v>
      </c>
      <c r="V103" s="164">
        <v>12058.351000000001</v>
      </c>
      <c r="W103" s="152">
        <v>12058.351000000001</v>
      </c>
      <c r="X103" s="153">
        <v>7.9509999999999997E-2</v>
      </c>
      <c r="Y103" s="153">
        <v>8.1899999999999994E-3</v>
      </c>
      <c r="Z103" s="154">
        <v>1.2099999999999999E-3</v>
      </c>
      <c r="AA103" s="174"/>
    </row>
    <row r="104" spans="1:27" x14ac:dyDescent="0.2">
      <c r="A104" s="150" t="s">
        <v>1264</v>
      </c>
      <c r="B104" s="151" t="s">
        <v>1264</v>
      </c>
      <c r="C104" s="151" t="s">
        <v>2233</v>
      </c>
      <c r="D104" s="151"/>
      <c r="E104" s="151"/>
      <c r="F104" s="151" t="s">
        <v>2234</v>
      </c>
      <c r="G104" s="151" t="s">
        <v>2235</v>
      </c>
      <c r="H104" s="151" t="s">
        <v>101</v>
      </c>
      <c r="I104" s="151" t="s">
        <v>728</v>
      </c>
      <c r="J104" s="151"/>
      <c r="K104" s="151" t="s">
        <v>52</v>
      </c>
      <c r="L104" s="151"/>
      <c r="M104" s="151"/>
      <c r="N104" s="151" t="s">
        <v>52</v>
      </c>
      <c r="O104" s="151" t="s">
        <v>61</v>
      </c>
      <c r="P104" s="162">
        <v>44836</v>
      </c>
      <c r="Q104" s="151" t="s">
        <v>1256</v>
      </c>
      <c r="R104" s="151" t="s">
        <v>295</v>
      </c>
      <c r="S104" s="151" t="s">
        <v>296</v>
      </c>
      <c r="T104" s="162">
        <v>46093</v>
      </c>
      <c r="U104" s="152">
        <v>3.165</v>
      </c>
      <c r="V104" s="164">
        <v>3626.1974723538706</v>
      </c>
      <c r="W104" s="152">
        <v>11476.915000000001</v>
      </c>
      <c r="X104" s="153">
        <v>7.4000000000000003E-3</v>
      </c>
      <c r="Y104" s="153">
        <v>7.79E-3</v>
      </c>
      <c r="Z104" s="154">
        <v>1.15E-3</v>
      </c>
      <c r="AA104" s="174"/>
    </row>
    <row r="105" spans="1:27" x14ac:dyDescent="0.2">
      <c r="A105" s="150" t="s">
        <v>1264</v>
      </c>
      <c r="B105" s="151" t="s">
        <v>1264</v>
      </c>
      <c r="C105" s="151" t="s">
        <v>2236</v>
      </c>
      <c r="D105" s="151"/>
      <c r="E105" s="151"/>
      <c r="F105" s="151" t="s">
        <v>2236</v>
      </c>
      <c r="G105" s="151" t="s">
        <v>2237</v>
      </c>
      <c r="H105" s="151" t="s">
        <v>101</v>
      </c>
      <c r="I105" s="151" t="s">
        <v>273</v>
      </c>
      <c r="J105" s="151"/>
      <c r="K105" s="151" t="s">
        <v>52</v>
      </c>
      <c r="L105" s="151"/>
      <c r="M105" s="151"/>
      <c r="N105" s="151" t="s">
        <v>309</v>
      </c>
      <c r="O105" s="151" t="s">
        <v>61</v>
      </c>
      <c r="P105" s="162">
        <v>45215</v>
      </c>
      <c r="Q105" s="151" t="s">
        <v>1256</v>
      </c>
      <c r="R105" s="151" t="s">
        <v>293</v>
      </c>
      <c r="S105" s="151" t="s">
        <v>297</v>
      </c>
      <c r="T105" s="162">
        <v>46090</v>
      </c>
      <c r="U105" s="152">
        <v>3.165</v>
      </c>
      <c r="V105" s="164">
        <v>3496.4385466034751</v>
      </c>
      <c r="W105" s="152">
        <v>11066.227999999999</v>
      </c>
      <c r="X105" s="153">
        <v>1.226E-2</v>
      </c>
      <c r="Y105" s="153">
        <v>7.5199999999999998E-3</v>
      </c>
      <c r="Z105" s="154">
        <v>1.1100000000000001E-3</v>
      </c>
      <c r="AA105" s="174"/>
    </row>
    <row r="106" spans="1:27" x14ac:dyDescent="0.2">
      <c r="A106" s="150" t="s">
        <v>1264</v>
      </c>
      <c r="B106" s="151" t="s">
        <v>1264</v>
      </c>
      <c r="C106" s="151" t="s">
        <v>2227</v>
      </c>
      <c r="D106" s="151"/>
      <c r="E106" s="151"/>
      <c r="F106" s="151" t="s">
        <v>2228</v>
      </c>
      <c r="G106" s="151" t="s">
        <v>2229</v>
      </c>
      <c r="H106" s="151" t="s">
        <v>101</v>
      </c>
      <c r="I106" s="151" t="s">
        <v>728</v>
      </c>
      <c r="J106" s="151"/>
      <c r="K106" s="151" t="s">
        <v>52</v>
      </c>
      <c r="L106" s="151"/>
      <c r="M106" s="151"/>
      <c r="N106" s="151" t="s">
        <v>52</v>
      </c>
      <c r="O106" s="151" t="s">
        <v>61</v>
      </c>
      <c r="P106" s="162">
        <v>43572</v>
      </c>
      <c r="Q106" s="151" t="s">
        <v>1256</v>
      </c>
      <c r="R106" s="151" t="s">
        <v>295</v>
      </c>
      <c r="S106" s="151" t="s">
        <v>296</v>
      </c>
      <c r="T106" s="162">
        <v>46112</v>
      </c>
      <c r="U106" s="152">
        <v>3.165</v>
      </c>
      <c r="V106" s="164">
        <v>2886.7364928909956</v>
      </c>
      <c r="W106" s="152">
        <v>9136.5210000000006</v>
      </c>
      <c r="X106" s="153">
        <v>9.7400000000000004E-3</v>
      </c>
      <c r="Y106" s="153">
        <v>6.1999999999999998E-3</v>
      </c>
      <c r="Z106" s="154">
        <v>9.2000000000000003E-4</v>
      </c>
      <c r="AA106" s="174"/>
    </row>
    <row r="107" spans="1:27" x14ac:dyDescent="0.2">
      <c r="A107" s="150" t="s">
        <v>1264</v>
      </c>
      <c r="B107" s="151" t="s">
        <v>1264</v>
      </c>
      <c r="C107" s="151" t="s">
        <v>2230</v>
      </c>
      <c r="D107" s="151"/>
      <c r="E107" s="151"/>
      <c r="F107" s="151" t="s">
        <v>2231</v>
      </c>
      <c r="G107" s="151" t="s">
        <v>2232</v>
      </c>
      <c r="H107" s="151" t="s">
        <v>101</v>
      </c>
      <c r="I107" s="151" t="s">
        <v>728</v>
      </c>
      <c r="J107" s="151"/>
      <c r="K107" s="151" t="s">
        <v>52</v>
      </c>
      <c r="L107" s="151"/>
      <c r="M107" s="151"/>
      <c r="N107" s="151" t="s">
        <v>52</v>
      </c>
      <c r="O107" s="151" t="s">
        <v>61</v>
      </c>
      <c r="P107" s="162">
        <v>42019</v>
      </c>
      <c r="Q107" s="151" t="s">
        <v>1256</v>
      </c>
      <c r="R107" s="151" t="s">
        <v>295</v>
      </c>
      <c r="S107" s="151" t="s">
        <v>296</v>
      </c>
      <c r="T107" s="162">
        <v>46099</v>
      </c>
      <c r="U107" s="152">
        <v>3.165</v>
      </c>
      <c r="V107" s="164">
        <v>2865.7781990521325</v>
      </c>
      <c r="W107" s="152">
        <v>9070.1880000000001</v>
      </c>
      <c r="X107" s="153">
        <v>9.1000000000000004E-3</v>
      </c>
      <c r="Y107" s="153">
        <v>6.1599999999999997E-3</v>
      </c>
      <c r="Z107" s="154">
        <v>9.1E-4</v>
      </c>
      <c r="AA107" s="174"/>
    </row>
    <row r="108" spans="1:27" x14ac:dyDescent="0.2">
      <c r="A108" s="150" t="s">
        <v>1264</v>
      </c>
      <c r="B108" s="151" t="s">
        <v>1264</v>
      </c>
      <c r="C108" s="151" t="s">
        <v>2241</v>
      </c>
      <c r="D108" s="151"/>
      <c r="E108" s="151"/>
      <c r="F108" s="151" t="s">
        <v>2242</v>
      </c>
      <c r="G108" s="151" t="s">
        <v>2243</v>
      </c>
      <c r="H108" s="151" t="s">
        <v>101</v>
      </c>
      <c r="I108" s="151" t="s">
        <v>885</v>
      </c>
      <c r="J108" s="151"/>
      <c r="K108" s="151" t="s">
        <v>52</v>
      </c>
      <c r="L108" s="151"/>
      <c r="M108" s="151"/>
      <c r="N108" s="151" t="s">
        <v>52</v>
      </c>
      <c r="O108" s="151" t="s">
        <v>61</v>
      </c>
      <c r="P108" s="162">
        <v>44970</v>
      </c>
      <c r="Q108" s="151" t="s">
        <v>1256</v>
      </c>
      <c r="R108" s="151" t="s">
        <v>295</v>
      </c>
      <c r="S108" s="151" t="s">
        <v>296</v>
      </c>
      <c r="T108" s="162">
        <v>46086</v>
      </c>
      <c r="U108" s="152">
        <v>3.165</v>
      </c>
      <c r="V108" s="164">
        <v>2442.5759873617694</v>
      </c>
      <c r="W108" s="152">
        <v>7730.7529999999997</v>
      </c>
      <c r="X108" s="153">
        <v>2.3720000000000001E-2</v>
      </c>
      <c r="Y108" s="153">
        <v>5.2500000000000003E-3</v>
      </c>
      <c r="Z108" s="154">
        <v>7.6999999999999996E-4</v>
      </c>
      <c r="AA108" s="174"/>
    </row>
    <row r="109" spans="1:27" x14ac:dyDescent="0.2">
      <c r="A109" s="150" t="s">
        <v>1264</v>
      </c>
      <c r="B109" s="151" t="s">
        <v>1264</v>
      </c>
      <c r="C109" s="151" t="s">
        <v>2238</v>
      </c>
      <c r="D109" s="151"/>
      <c r="E109" s="151"/>
      <c r="F109" s="151" t="s">
        <v>2239</v>
      </c>
      <c r="G109" s="151" t="s">
        <v>2240</v>
      </c>
      <c r="H109" s="151" t="s">
        <v>101</v>
      </c>
      <c r="I109" s="151" t="s">
        <v>728</v>
      </c>
      <c r="J109" s="151"/>
      <c r="K109" s="151" t="s">
        <v>52</v>
      </c>
      <c r="L109" s="151"/>
      <c r="M109" s="151"/>
      <c r="N109" s="151" t="s">
        <v>52</v>
      </c>
      <c r="O109" s="151" t="s">
        <v>61</v>
      </c>
      <c r="P109" s="162">
        <v>42352</v>
      </c>
      <c r="Q109" s="151" t="s">
        <v>1256</v>
      </c>
      <c r="R109" s="151" t="s">
        <v>293</v>
      </c>
      <c r="S109" s="151" t="s">
        <v>297</v>
      </c>
      <c r="T109" s="162">
        <v>46097</v>
      </c>
      <c r="U109" s="152">
        <v>3.165</v>
      </c>
      <c r="V109" s="164">
        <v>1994.485624012638</v>
      </c>
      <c r="W109" s="152">
        <v>6312.5469999999996</v>
      </c>
      <c r="X109" s="153">
        <v>5.7099999999999998E-3</v>
      </c>
      <c r="Y109" s="153">
        <v>4.2900000000000004E-3</v>
      </c>
      <c r="Z109" s="154">
        <v>6.3000000000000003E-4</v>
      </c>
      <c r="AA109" s="174"/>
    </row>
    <row r="110" spans="1:27" x14ac:dyDescent="0.2">
      <c r="A110" s="150" t="s">
        <v>1264</v>
      </c>
      <c r="B110" s="151" t="s">
        <v>1264</v>
      </c>
      <c r="C110" s="151" t="s">
        <v>2241</v>
      </c>
      <c r="D110" s="151"/>
      <c r="E110" s="151"/>
      <c r="F110" s="151" t="s">
        <v>2244</v>
      </c>
      <c r="G110" s="151" t="s">
        <v>2245</v>
      </c>
      <c r="H110" s="151" t="s">
        <v>101</v>
      </c>
      <c r="I110" s="151" t="s">
        <v>885</v>
      </c>
      <c r="J110" s="151"/>
      <c r="K110" s="151" t="s">
        <v>52</v>
      </c>
      <c r="L110" s="151"/>
      <c r="M110" s="151"/>
      <c r="N110" s="151" t="s">
        <v>52</v>
      </c>
      <c r="O110" s="151" t="s">
        <v>61</v>
      </c>
      <c r="P110" s="162">
        <v>43487</v>
      </c>
      <c r="Q110" s="151" t="s">
        <v>1256</v>
      </c>
      <c r="R110" s="151" t="s">
        <v>295</v>
      </c>
      <c r="S110" s="151" t="s">
        <v>296</v>
      </c>
      <c r="T110" s="162">
        <v>46086</v>
      </c>
      <c r="U110" s="152">
        <v>3.165</v>
      </c>
      <c r="V110" s="164">
        <v>1896.8445497630332</v>
      </c>
      <c r="W110" s="152">
        <v>6003.5129999999999</v>
      </c>
      <c r="X110" s="153">
        <v>1.6879999999999999E-2</v>
      </c>
      <c r="Y110" s="153">
        <v>4.0800000000000003E-3</v>
      </c>
      <c r="Z110" s="154">
        <v>5.9999999999999995E-4</v>
      </c>
      <c r="AA110" s="174"/>
    </row>
    <row r="111" spans="1:27" x14ac:dyDescent="0.2">
      <c r="A111" s="150" t="s">
        <v>1264</v>
      </c>
      <c r="B111" s="151" t="s">
        <v>1264</v>
      </c>
      <c r="C111" s="151" t="s">
        <v>2466</v>
      </c>
      <c r="D111" s="151"/>
      <c r="E111" s="151"/>
      <c r="F111" s="151" t="s">
        <v>2467</v>
      </c>
      <c r="G111" s="151" t="s">
        <v>2468</v>
      </c>
      <c r="H111" s="151" t="s">
        <v>101</v>
      </c>
      <c r="I111" s="151" t="s">
        <v>274</v>
      </c>
      <c r="J111" s="151"/>
      <c r="K111" s="151" t="s">
        <v>52</v>
      </c>
      <c r="L111" s="151"/>
      <c r="M111" s="151"/>
      <c r="N111" s="151" t="s">
        <v>52</v>
      </c>
      <c r="O111" s="151" t="s">
        <v>61</v>
      </c>
      <c r="P111" s="162">
        <v>45966</v>
      </c>
      <c r="Q111" s="151" t="s">
        <v>1256</v>
      </c>
      <c r="R111" s="151" t="s">
        <v>295</v>
      </c>
      <c r="S111" s="151" t="s">
        <v>297</v>
      </c>
      <c r="T111" s="162">
        <v>46093</v>
      </c>
      <c r="U111" s="152">
        <v>3.165</v>
      </c>
      <c r="V111" s="164">
        <v>1720.6189573459715</v>
      </c>
      <c r="W111" s="152">
        <v>5445.759</v>
      </c>
      <c r="X111" s="153">
        <v>5.5620000000000003E-2</v>
      </c>
      <c r="Y111" s="153">
        <v>3.7000000000000002E-3</v>
      </c>
      <c r="Z111" s="154">
        <v>5.5000000000000003E-4</v>
      </c>
      <c r="AA111" s="174"/>
    </row>
    <row r="112" spans="1:27" x14ac:dyDescent="0.2">
      <c r="A112" s="150" t="s">
        <v>1264</v>
      </c>
      <c r="B112" s="151" t="s">
        <v>1264</v>
      </c>
      <c r="C112" s="151" t="s">
        <v>2227</v>
      </c>
      <c r="D112" s="151"/>
      <c r="E112" s="151"/>
      <c r="F112" s="151" t="s">
        <v>2250</v>
      </c>
      <c r="G112" s="151" t="s">
        <v>2251</v>
      </c>
      <c r="H112" s="151" t="s">
        <v>101</v>
      </c>
      <c r="I112" s="151" t="s">
        <v>728</v>
      </c>
      <c r="J112" s="151"/>
      <c r="K112" s="151" t="s">
        <v>52</v>
      </c>
      <c r="L112" s="151"/>
      <c r="M112" s="151"/>
      <c r="N112" s="151" t="s">
        <v>52</v>
      </c>
      <c r="O112" s="151" t="s">
        <v>61</v>
      </c>
      <c r="P112" s="162">
        <v>45595</v>
      </c>
      <c r="Q112" s="151" t="s">
        <v>1256</v>
      </c>
      <c r="R112" s="151" t="s">
        <v>295</v>
      </c>
      <c r="S112" s="151" t="s">
        <v>296</v>
      </c>
      <c r="T112" s="162">
        <v>46112</v>
      </c>
      <c r="U112" s="152">
        <v>3.165</v>
      </c>
      <c r="V112" s="164">
        <v>1718.0091627172194</v>
      </c>
      <c r="W112" s="152">
        <v>5437.4989999999998</v>
      </c>
      <c r="X112" s="153">
        <v>4.2399999999999998E-3</v>
      </c>
      <c r="Y112" s="153">
        <v>3.6900000000000001E-3</v>
      </c>
      <c r="Z112" s="154">
        <v>5.4000000000000001E-4</v>
      </c>
      <c r="AA112" s="174"/>
    </row>
    <row r="113" spans="1:27" x14ac:dyDescent="0.2">
      <c r="A113" s="150" t="s">
        <v>1264</v>
      </c>
      <c r="B113" s="151" t="s">
        <v>1264</v>
      </c>
      <c r="C113" s="151" t="s">
        <v>2218</v>
      </c>
      <c r="D113" s="151"/>
      <c r="E113" s="151"/>
      <c r="F113" s="151" t="s">
        <v>2248</v>
      </c>
      <c r="G113" s="151" t="s">
        <v>2249</v>
      </c>
      <c r="H113" s="151" t="s">
        <v>101</v>
      </c>
      <c r="I113" s="151" t="s">
        <v>273</v>
      </c>
      <c r="J113" s="151"/>
      <c r="K113" s="151" t="s">
        <v>52</v>
      </c>
      <c r="L113" s="151"/>
      <c r="M113" s="151"/>
      <c r="N113" s="151" t="s">
        <v>52</v>
      </c>
      <c r="O113" s="151" t="s">
        <v>61</v>
      </c>
      <c r="P113" s="162">
        <v>43782</v>
      </c>
      <c r="Q113" s="151" t="s">
        <v>1255</v>
      </c>
      <c r="R113" s="151" t="s">
        <v>295</v>
      </c>
      <c r="S113" s="151" t="s">
        <v>296</v>
      </c>
      <c r="T113" s="162">
        <v>46093</v>
      </c>
      <c r="U113" s="152">
        <v>1</v>
      </c>
      <c r="V113" s="164">
        <v>5209.7539999999999</v>
      </c>
      <c r="W113" s="152">
        <v>5209.7539999999999</v>
      </c>
      <c r="X113" s="153">
        <v>9.5899999999999996E-3</v>
      </c>
      <c r="Y113" s="153">
        <v>3.5400000000000002E-3</v>
      </c>
      <c r="Z113" s="154">
        <v>5.1999999999999995E-4</v>
      </c>
      <c r="AA113" s="174"/>
    </row>
    <row r="114" spans="1:27" x14ac:dyDescent="0.2">
      <c r="A114" s="150" t="s">
        <v>1264</v>
      </c>
      <c r="B114" s="151" t="s">
        <v>1264</v>
      </c>
      <c r="C114" s="151" t="s">
        <v>2257</v>
      </c>
      <c r="D114" s="151"/>
      <c r="E114" s="151"/>
      <c r="F114" s="151" t="s">
        <v>2469</v>
      </c>
      <c r="G114" s="151" t="s">
        <v>2470</v>
      </c>
      <c r="H114" s="151" t="s">
        <v>101</v>
      </c>
      <c r="I114" s="151" t="s">
        <v>274</v>
      </c>
      <c r="J114" s="151"/>
      <c r="K114" s="151" t="s">
        <v>52</v>
      </c>
      <c r="L114" s="151"/>
      <c r="M114" s="151"/>
      <c r="N114" s="151" t="s">
        <v>52</v>
      </c>
      <c r="O114" s="151" t="s">
        <v>61</v>
      </c>
      <c r="P114" s="162">
        <v>41275</v>
      </c>
      <c r="Q114" s="151" t="s">
        <v>1255</v>
      </c>
      <c r="R114" s="151" t="s">
        <v>293</v>
      </c>
      <c r="S114" s="151" t="s">
        <v>297</v>
      </c>
      <c r="T114" s="162">
        <v>46112</v>
      </c>
      <c r="U114" s="152">
        <v>1</v>
      </c>
      <c r="V114" s="164">
        <v>4571.875</v>
      </c>
      <c r="W114" s="152">
        <v>4571.875</v>
      </c>
      <c r="X114" s="153">
        <v>8.5599999999999999E-3</v>
      </c>
      <c r="Y114" s="153">
        <v>3.0999999999999999E-3</v>
      </c>
      <c r="Z114" s="154">
        <v>4.6000000000000001E-4</v>
      </c>
      <c r="AA114" s="174"/>
    </row>
    <row r="115" spans="1:27" x14ac:dyDescent="0.2">
      <c r="A115" s="150" t="s">
        <v>1264</v>
      </c>
      <c r="B115" s="151" t="s">
        <v>1264</v>
      </c>
      <c r="C115" s="151" t="s">
        <v>2257</v>
      </c>
      <c r="D115" s="151"/>
      <c r="E115" s="151"/>
      <c r="F115" s="151" t="s">
        <v>2471</v>
      </c>
      <c r="G115" s="151" t="s">
        <v>2472</v>
      </c>
      <c r="H115" s="151" t="s">
        <v>101</v>
      </c>
      <c r="I115" s="151" t="s">
        <v>274</v>
      </c>
      <c r="J115" s="151"/>
      <c r="K115" s="151" t="s">
        <v>52</v>
      </c>
      <c r="L115" s="151"/>
      <c r="M115" s="151"/>
      <c r="N115" s="151" t="s">
        <v>52</v>
      </c>
      <c r="O115" s="151" t="s">
        <v>61</v>
      </c>
      <c r="P115" s="162">
        <v>41456</v>
      </c>
      <c r="Q115" s="151" t="s">
        <v>1255</v>
      </c>
      <c r="R115" s="151" t="s">
        <v>293</v>
      </c>
      <c r="S115" s="151" t="s">
        <v>297</v>
      </c>
      <c r="T115" s="162">
        <v>46112</v>
      </c>
      <c r="U115" s="152">
        <v>1</v>
      </c>
      <c r="V115" s="164">
        <v>4513.1059999999998</v>
      </c>
      <c r="W115" s="152">
        <v>4513.1059999999998</v>
      </c>
      <c r="X115" s="153">
        <v>8.5599999999999999E-3</v>
      </c>
      <c r="Y115" s="153">
        <v>3.0599999999999998E-3</v>
      </c>
      <c r="Z115" s="154">
        <v>4.4999999999999999E-4</v>
      </c>
      <c r="AA115" s="174"/>
    </row>
    <row r="116" spans="1:27" x14ac:dyDescent="0.2">
      <c r="A116" s="150" t="s">
        <v>1264</v>
      </c>
      <c r="B116" s="151" t="s">
        <v>1264</v>
      </c>
      <c r="C116" s="151" t="s">
        <v>2252</v>
      </c>
      <c r="D116" s="151"/>
      <c r="E116" s="151"/>
      <c r="F116" s="151" t="s">
        <v>2253</v>
      </c>
      <c r="G116" s="151" t="s">
        <v>2254</v>
      </c>
      <c r="H116" s="151" t="s">
        <v>101</v>
      </c>
      <c r="I116" s="151" t="s">
        <v>885</v>
      </c>
      <c r="J116" s="151"/>
      <c r="K116" s="151" t="s">
        <v>52</v>
      </c>
      <c r="L116" s="151"/>
      <c r="M116" s="151"/>
      <c r="N116" s="151" t="s">
        <v>52</v>
      </c>
      <c r="O116" s="151" t="s">
        <v>61</v>
      </c>
      <c r="P116" s="162">
        <v>42768</v>
      </c>
      <c r="Q116" s="151" t="s">
        <v>1256</v>
      </c>
      <c r="R116" s="151" t="s">
        <v>293</v>
      </c>
      <c r="S116" s="151" t="s">
        <v>297</v>
      </c>
      <c r="T116" s="162">
        <v>46111</v>
      </c>
      <c r="U116" s="152">
        <v>3.165</v>
      </c>
      <c r="V116" s="164">
        <v>1054.8410742496051</v>
      </c>
      <c r="W116" s="152">
        <v>3338.5720000000001</v>
      </c>
      <c r="X116" s="153">
        <v>3.0679999999999999E-2</v>
      </c>
      <c r="Y116" s="153">
        <v>2.2699999999999999E-3</v>
      </c>
      <c r="Z116" s="154">
        <v>3.3E-4</v>
      </c>
      <c r="AA116" s="174"/>
    </row>
    <row r="117" spans="1:27" x14ac:dyDescent="0.2">
      <c r="A117" s="150" t="s">
        <v>1264</v>
      </c>
      <c r="B117" s="151" t="s">
        <v>1264</v>
      </c>
      <c r="C117" s="151" t="s">
        <v>2257</v>
      </c>
      <c r="D117" s="151"/>
      <c r="E117" s="151"/>
      <c r="F117" s="151" t="s">
        <v>2258</v>
      </c>
      <c r="G117" s="151" t="s">
        <v>2259</v>
      </c>
      <c r="H117" s="151" t="s">
        <v>101</v>
      </c>
      <c r="I117" s="151" t="s">
        <v>274</v>
      </c>
      <c r="J117" s="151"/>
      <c r="K117" s="151" t="s">
        <v>52</v>
      </c>
      <c r="L117" s="151"/>
      <c r="M117" s="151"/>
      <c r="N117" s="151" t="s">
        <v>52</v>
      </c>
      <c r="O117" s="151" t="s">
        <v>61</v>
      </c>
      <c r="P117" s="162">
        <v>45351</v>
      </c>
      <c r="Q117" s="151" t="s">
        <v>1255</v>
      </c>
      <c r="R117" s="151" t="s">
        <v>293</v>
      </c>
      <c r="S117" s="151" t="s">
        <v>297</v>
      </c>
      <c r="T117" s="162">
        <v>46112</v>
      </c>
      <c r="U117" s="152">
        <v>1</v>
      </c>
      <c r="V117" s="164">
        <v>3085.9450000000002</v>
      </c>
      <c r="W117" s="152">
        <v>3085.9450000000002</v>
      </c>
      <c r="X117" s="153">
        <v>9.2599999999999991E-3</v>
      </c>
      <c r="Y117" s="153">
        <v>2.0999999999999999E-3</v>
      </c>
      <c r="Z117" s="154">
        <v>3.1E-4</v>
      </c>
      <c r="AA117" s="174"/>
    </row>
    <row r="118" spans="1:27" x14ac:dyDescent="0.2">
      <c r="A118" s="150" t="s">
        <v>1264</v>
      </c>
      <c r="B118" s="151" t="s">
        <v>1264</v>
      </c>
      <c r="C118" s="151" t="s">
        <v>2461</v>
      </c>
      <c r="D118" s="151"/>
      <c r="E118" s="151"/>
      <c r="F118" s="151" t="s">
        <v>2462</v>
      </c>
      <c r="G118" s="151" t="s">
        <v>2473</v>
      </c>
      <c r="H118" s="151" t="s">
        <v>101</v>
      </c>
      <c r="I118" s="151" t="s">
        <v>274</v>
      </c>
      <c r="J118" s="151"/>
      <c r="K118" s="151" t="s">
        <v>52</v>
      </c>
      <c r="L118" s="151"/>
      <c r="M118" s="151"/>
      <c r="N118" s="151" t="s">
        <v>52</v>
      </c>
      <c r="O118" s="151" t="s">
        <v>61</v>
      </c>
      <c r="P118" s="162">
        <v>41213</v>
      </c>
      <c r="Q118" s="151" t="s">
        <v>1255</v>
      </c>
      <c r="R118" s="151" t="s">
        <v>293</v>
      </c>
      <c r="S118" s="151" t="s">
        <v>297</v>
      </c>
      <c r="T118" s="162">
        <v>46111</v>
      </c>
      <c r="U118" s="152">
        <v>1</v>
      </c>
      <c r="V118" s="164">
        <v>1512.7439999999999</v>
      </c>
      <c r="W118" s="152">
        <v>1512.7439999999999</v>
      </c>
      <c r="X118" s="153">
        <v>1.719E-2</v>
      </c>
      <c r="Y118" s="153">
        <v>1.0300000000000001E-3</v>
      </c>
      <c r="Z118" s="154">
        <v>1.4999999999999999E-4</v>
      </c>
      <c r="AA118" s="174"/>
    </row>
    <row r="119" spans="1:27" x14ac:dyDescent="0.2">
      <c r="A119" s="150" t="s">
        <v>1264</v>
      </c>
      <c r="B119" s="151" t="s">
        <v>1264</v>
      </c>
      <c r="C119" s="151" t="s">
        <v>2238</v>
      </c>
      <c r="D119" s="151"/>
      <c r="E119" s="151"/>
      <c r="F119" s="151" t="s">
        <v>2255</v>
      </c>
      <c r="G119" s="151" t="s">
        <v>2256</v>
      </c>
      <c r="H119" s="151" t="s">
        <v>101</v>
      </c>
      <c r="I119" s="151" t="s">
        <v>728</v>
      </c>
      <c r="J119" s="151"/>
      <c r="K119" s="151" t="s">
        <v>52</v>
      </c>
      <c r="L119" s="151"/>
      <c r="M119" s="151"/>
      <c r="N119" s="151" t="s">
        <v>52</v>
      </c>
      <c r="O119" s="151" t="s">
        <v>61</v>
      </c>
      <c r="P119" s="162">
        <v>45267</v>
      </c>
      <c r="Q119" s="151" t="s">
        <v>1256</v>
      </c>
      <c r="R119" s="151" t="s">
        <v>293</v>
      </c>
      <c r="S119" s="151" t="s">
        <v>297</v>
      </c>
      <c r="T119" s="162">
        <v>46105</v>
      </c>
      <c r="U119" s="152">
        <v>3.165</v>
      </c>
      <c r="V119" s="164">
        <v>434.70932069510269</v>
      </c>
      <c r="W119" s="152">
        <v>1375.855</v>
      </c>
      <c r="X119" s="153">
        <v>1.1000000000000001E-3</v>
      </c>
      <c r="Y119" s="153">
        <v>9.3000000000000005E-4</v>
      </c>
      <c r="Z119" s="154">
        <v>1.3999999999999999E-4</v>
      </c>
      <c r="AA119" s="174"/>
    </row>
    <row r="120" spans="1:27" x14ac:dyDescent="0.2">
      <c r="A120" s="150" t="s">
        <v>1264</v>
      </c>
      <c r="B120" s="151" t="s">
        <v>1264</v>
      </c>
      <c r="C120" s="151" t="s">
        <v>2260</v>
      </c>
      <c r="D120" s="151"/>
      <c r="E120" s="151"/>
      <c r="F120" s="151" t="s">
        <v>2261</v>
      </c>
      <c r="G120" s="151" t="s">
        <v>2262</v>
      </c>
      <c r="H120" s="151" t="s">
        <v>101</v>
      </c>
      <c r="I120" s="151" t="s">
        <v>885</v>
      </c>
      <c r="J120" s="151"/>
      <c r="K120" s="151" t="s">
        <v>52</v>
      </c>
      <c r="L120" s="151"/>
      <c r="M120" s="151"/>
      <c r="N120" s="151" t="s">
        <v>52</v>
      </c>
      <c r="O120" s="151" t="s">
        <v>61</v>
      </c>
      <c r="P120" s="162">
        <v>42521</v>
      </c>
      <c r="Q120" s="151" t="s">
        <v>1256</v>
      </c>
      <c r="R120" s="151" t="s">
        <v>295</v>
      </c>
      <c r="S120" s="151" t="s">
        <v>296</v>
      </c>
      <c r="T120" s="162">
        <v>46112</v>
      </c>
      <c r="U120" s="152">
        <v>3.165</v>
      </c>
      <c r="V120" s="164">
        <v>25.591469194312797</v>
      </c>
      <c r="W120" s="152">
        <v>80.997</v>
      </c>
      <c r="X120" s="153">
        <v>1.7090000000000001E-2</v>
      </c>
      <c r="Y120" s="153">
        <v>6.0000000000000002E-5</v>
      </c>
      <c r="Z120" s="154">
        <v>1.0000000000000001E-5</v>
      </c>
      <c r="AA120" s="174"/>
    </row>
    <row r="121" spans="1:27" x14ac:dyDescent="0.2">
      <c r="A121" s="150" t="s">
        <v>1264</v>
      </c>
      <c r="B121" s="151" t="s">
        <v>1264</v>
      </c>
      <c r="C121" s="151" t="s">
        <v>2263</v>
      </c>
      <c r="D121" s="151"/>
      <c r="E121" s="151"/>
      <c r="F121" s="151" t="s">
        <v>2264</v>
      </c>
      <c r="G121" s="151" t="s">
        <v>2265</v>
      </c>
      <c r="H121" s="151" t="s">
        <v>101</v>
      </c>
      <c r="I121" s="151" t="s">
        <v>728</v>
      </c>
      <c r="J121" s="151"/>
      <c r="K121" s="151" t="s">
        <v>60</v>
      </c>
      <c r="L121" s="151"/>
      <c r="M121" s="151"/>
      <c r="N121" s="151" t="s">
        <v>306</v>
      </c>
      <c r="O121" s="151" t="s">
        <v>61</v>
      </c>
      <c r="P121" s="162">
        <v>44255</v>
      </c>
      <c r="Q121" s="151" t="s">
        <v>1256</v>
      </c>
      <c r="R121" s="151" t="s">
        <v>295</v>
      </c>
      <c r="S121" s="151" t="s">
        <v>296</v>
      </c>
      <c r="T121" s="162">
        <v>46112</v>
      </c>
      <c r="U121" s="152">
        <v>3.165</v>
      </c>
      <c r="V121" s="164">
        <v>50026.275197472351</v>
      </c>
      <c r="W121" s="152">
        <v>158333.16099999999</v>
      </c>
      <c r="X121" s="153">
        <v>5.7099999999999998E-2</v>
      </c>
      <c r="Y121" s="153">
        <v>0.10752</v>
      </c>
      <c r="Z121" s="154">
        <v>1.5859999999999999E-2</v>
      </c>
      <c r="AA121" s="174"/>
    </row>
    <row r="122" spans="1:27" x14ac:dyDescent="0.2">
      <c r="A122" s="150" t="s">
        <v>1264</v>
      </c>
      <c r="B122" s="151" t="s">
        <v>1264</v>
      </c>
      <c r="C122" s="151" t="s">
        <v>2266</v>
      </c>
      <c r="D122" s="151"/>
      <c r="E122" s="151"/>
      <c r="F122" s="151" t="s">
        <v>2267</v>
      </c>
      <c r="G122" s="151" t="s">
        <v>2268</v>
      </c>
      <c r="H122" s="151" t="s">
        <v>101</v>
      </c>
      <c r="I122" s="151" t="s">
        <v>273</v>
      </c>
      <c r="J122" s="151"/>
      <c r="K122" s="151" t="s">
        <v>60</v>
      </c>
      <c r="L122" s="151"/>
      <c r="M122" s="151"/>
      <c r="N122" s="151" t="s">
        <v>305</v>
      </c>
      <c r="O122" s="151" t="s">
        <v>61</v>
      </c>
      <c r="P122" s="162">
        <v>44769</v>
      </c>
      <c r="Q122" s="151" t="s">
        <v>1258</v>
      </c>
      <c r="R122" s="151" t="s">
        <v>293</v>
      </c>
      <c r="S122" s="151" t="s">
        <v>297</v>
      </c>
      <c r="T122" s="162">
        <v>46079</v>
      </c>
      <c r="U122" s="152">
        <v>3.6360000000000001</v>
      </c>
      <c r="V122" s="164">
        <v>13067.465071507151</v>
      </c>
      <c r="W122" s="152">
        <v>47513.303</v>
      </c>
      <c r="X122" s="153">
        <v>7.1000000000000004E-3</v>
      </c>
      <c r="Y122" s="153">
        <v>3.227E-2</v>
      </c>
      <c r="Z122" s="154">
        <v>4.7600000000000003E-3</v>
      </c>
      <c r="AA122" s="174"/>
    </row>
    <row r="123" spans="1:27" x14ac:dyDescent="0.2">
      <c r="A123" s="150" t="s">
        <v>1264</v>
      </c>
      <c r="B123" s="151" t="s">
        <v>1264</v>
      </c>
      <c r="C123" s="151" t="s">
        <v>2269</v>
      </c>
      <c r="D123" s="151"/>
      <c r="E123" s="151"/>
      <c r="F123" s="151" t="s">
        <v>2270</v>
      </c>
      <c r="G123" s="151" t="s">
        <v>2271</v>
      </c>
      <c r="H123" s="151" t="s">
        <v>101</v>
      </c>
      <c r="I123" s="151" t="s">
        <v>273</v>
      </c>
      <c r="J123" s="151"/>
      <c r="K123" s="151" t="s">
        <v>60</v>
      </c>
      <c r="L123" s="151"/>
      <c r="M123" s="151"/>
      <c r="N123" s="151" t="s">
        <v>306</v>
      </c>
      <c r="O123" s="151" t="s">
        <v>61</v>
      </c>
      <c r="P123" s="162">
        <v>44537</v>
      </c>
      <c r="Q123" s="151" t="s">
        <v>1256</v>
      </c>
      <c r="R123" s="151" t="s">
        <v>293</v>
      </c>
      <c r="S123" s="151" t="s">
        <v>297</v>
      </c>
      <c r="T123" s="162">
        <v>46056</v>
      </c>
      <c r="U123" s="152">
        <v>3.165</v>
      </c>
      <c r="V123" s="164">
        <v>14346.090679304898</v>
      </c>
      <c r="W123" s="152">
        <v>45405.377</v>
      </c>
      <c r="X123" s="153">
        <v>3.3189999999999997E-2</v>
      </c>
      <c r="Y123" s="153">
        <v>3.083E-2</v>
      </c>
      <c r="Z123" s="154">
        <v>4.5500000000000002E-3</v>
      </c>
      <c r="AA123" s="174"/>
    </row>
    <row r="124" spans="1:27" x14ac:dyDescent="0.2">
      <c r="A124" s="150" t="s">
        <v>1264</v>
      </c>
      <c r="B124" s="151" t="s">
        <v>1264</v>
      </c>
      <c r="C124" s="151" t="s">
        <v>2272</v>
      </c>
      <c r="D124" s="151"/>
      <c r="E124" s="151"/>
      <c r="F124" s="151" t="s">
        <v>2273</v>
      </c>
      <c r="G124" s="151" t="s">
        <v>2274</v>
      </c>
      <c r="H124" s="151" t="s">
        <v>101</v>
      </c>
      <c r="I124" s="151" t="s">
        <v>273</v>
      </c>
      <c r="J124" s="151"/>
      <c r="K124" s="151" t="s">
        <v>60</v>
      </c>
      <c r="L124" s="151"/>
      <c r="M124" s="151"/>
      <c r="N124" s="151" t="s">
        <v>305</v>
      </c>
      <c r="O124" s="151" t="s">
        <v>61</v>
      </c>
      <c r="P124" s="162">
        <v>44910</v>
      </c>
      <c r="Q124" s="151" t="s">
        <v>1258</v>
      </c>
      <c r="R124" s="151" t="s">
        <v>293</v>
      </c>
      <c r="S124" s="151" t="s">
        <v>297</v>
      </c>
      <c r="T124" s="162">
        <v>46105</v>
      </c>
      <c r="U124" s="152">
        <v>3.6360000000000001</v>
      </c>
      <c r="V124" s="164">
        <v>10290.918866886688</v>
      </c>
      <c r="W124" s="152">
        <v>37417.781000000003</v>
      </c>
      <c r="X124" s="153">
        <v>4.1000000000000003E-3</v>
      </c>
      <c r="Y124" s="153">
        <v>2.5409999999999999E-2</v>
      </c>
      <c r="Z124" s="154">
        <v>3.7499999999999999E-3</v>
      </c>
      <c r="AA124" s="174"/>
    </row>
    <row r="125" spans="1:27" x14ac:dyDescent="0.2">
      <c r="A125" s="150" t="s">
        <v>1264</v>
      </c>
      <c r="B125" s="151" t="s">
        <v>1264</v>
      </c>
      <c r="C125" s="151" t="s">
        <v>2281</v>
      </c>
      <c r="D125" s="151"/>
      <c r="E125" s="151"/>
      <c r="F125" s="151" t="s">
        <v>2282</v>
      </c>
      <c r="G125" s="151" t="s">
        <v>2283</v>
      </c>
      <c r="H125" s="151" t="s">
        <v>101</v>
      </c>
      <c r="I125" s="151" t="s">
        <v>728</v>
      </c>
      <c r="J125" s="151"/>
      <c r="K125" s="151" t="s">
        <v>60</v>
      </c>
      <c r="L125" s="151"/>
      <c r="M125" s="151"/>
      <c r="N125" s="151" t="s">
        <v>306</v>
      </c>
      <c r="O125" s="151" t="s">
        <v>61</v>
      </c>
      <c r="P125" s="162">
        <v>44537</v>
      </c>
      <c r="Q125" s="151" t="s">
        <v>1256</v>
      </c>
      <c r="R125" s="151" t="s">
        <v>295</v>
      </c>
      <c r="S125" s="151" t="s">
        <v>296</v>
      </c>
      <c r="T125" s="162">
        <v>46112</v>
      </c>
      <c r="U125" s="152">
        <v>3.165</v>
      </c>
      <c r="V125" s="164">
        <v>9732.7668246445501</v>
      </c>
      <c r="W125" s="152">
        <v>30804.206999999999</v>
      </c>
      <c r="X125" s="153">
        <v>5.1839999999999997E-2</v>
      </c>
      <c r="Y125" s="153">
        <v>2.0920000000000001E-2</v>
      </c>
      <c r="Z125" s="154">
        <v>3.0899999999999999E-3</v>
      </c>
      <c r="AA125" s="174"/>
    </row>
    <row r="126" spans="1:27" x14ac:dyDescent="0.2">
      <c r="A126" s="150" t="s">
        <v>1264</v>
      </c>
      <c r="B126" s="151" t="s">
        <v>1264</v>
      </c>
      <c r="C126" s="151" t="s">
        <v>2287</v>
      </c>
      <c r="D126" s="151"/>
      <c r="E126" s="151"/>
      <c r="F126" s="151" t="s">
        <v>2287</v>
      </c>
      <c r="G126" s="151" t="s">
        <v>2288</v>
      </c>
      <c r="H126" s="151" t="s">
        <v>101</v>
      </c>
      <c r="I126" s="151" t="s">
        <v>273</v>
      </c>
      <c r="J126" s="151"/>
      <c r="K126" s="151" t="s">
        <v>60</v>
      </c>
      <c r="L126" s="151"/>
      <c r="M126" s="151"/>
      <c r="N126" s="151" t="s">
        <v>306</v>
      </c>
      <c r="O126" s="151" t="s">
        <v>61</v>
      </c>
      <c r="P126" s="162">
        <v>44558</v>
      </c>
      <c r="Q126" s="151" t="s">
        <v>1255</v>
      </c>
      <c r="R126" s="151" t="s">
        <v>293</v>
      </c>
      <c r="S126" s="151" t="s">
        <v>297</v>
      </c>
      <c r="T126" s="162">
        <v>46110</v>
      </c>
      <c r="U126" s="152">
        <v>1</v>
      </c>
      <c r="V126" s="164">
        <v>26636.87</v>
      </c>
      <c r="W126" s="152">
        <v>26636.87</v>
      </c>
      <c r="X126" s="153">
        <v>6.3740000000000005E-2</v>
      </c>
      <c r="Y126" s="153">
        <v>1.8089999999999998E-2</v>
      </c>
      <c r="Z126" s="154">
        <v>2.6700000000000001E-3</v>
      </c>
      <c r="AA126" s="174"/>
    </row>
    <row r="127" spans="1:27" x14ac:dyDescent="0.2">
      <c r="A127" s="150" t="s">
        <v>1264</v>
      </c>
      <c r="B127" s="151" t="s">
        <v>1264</v>
      </c>
      <c r="C127" s="151" t="s">
        <v>2291</v>
      </c>
      <c r="D127" s="151"/>
      <c r="E127" s="151"/>
      <c r="F127" s="151" t="s">
        <v>2292</v>
      </c>
      <c r="G127" s="151" t="s">
        <v>2293</v>
      </c>
      <c r="H127" s="151" t="s">
        <v>101</v>
      </c>
      <c r="I127" s="151" t="s">
        <v>273</v>
      </c>
      <c r="J127" s="151"/>
      <c r="K127" s="151" t="s">
        <v>60</v>
      </c>
      <c r="L127" s="151"/>
      <c r="M127" s="151"/>
      <c r="N127" s="151" t="s">
        <v>306</v>
      </c>
      <c r="O127" s="151" t="s">
        <v>61</v>
      </c>
      <c r="P127" s="162">
        <v>44755</v>
      </c>
      <c r="Q127" s="151" t="s">
        <v>1256</v>
      </c>
      <c r="R127" s="151" t="s">
        <v>293</v>
      </c>
      <c r="S127" s="151" t="s">
        <v>297</v>
      </c>
      <c r="T127" s="162">
        <v>46016</v>
      </c>
      <c r="U127" s="152">
        <v>3.165</v>
      </c>
      <c r="V127" s="164">
        <v>8237.2274881516587</v>
      </c>
      <c r="W127" s="152">
        <v>26070.825000000001</v>
      </c>
      <c r="X127" s="153">
        <v>1.125E-2</v>
      </c>
      <c r="Y127" s="153">
        <v>1.77E-2</v>
      </c>
      <c r="Z127" s="154">
        <v>2.6099999999999999E-3</v>
      </c>
      <c r="AA127" s="174"/>
    </row>
    <row r="128" spans="1:27" x14ac:dyDescent="0.2">
      <c r="A128" s="150" t="s">
        <v>1264</v>
      </c>
      <c r="B128" s="151" t="s">
        <v>1264</v>
      </c>
      <c r="C128" s="151" t="s">
        <v>2275</v>
      </c>
      <c r="D128" s="151"/>
      <c r="E128" s="151"/>
      <c r="F128" s="151" t="s">
        <v>2276</v>
      </c>
      <c r="G128" s="151" t="s">
        <v>2277</v>
      </c>
      <c r="H128" s="151" t="s">
        <v>101</v>
      </c>
      <c r="I128" s="151" t="s">
        <v>238</v>
      </c>
      <c r="J128" s="151"/>
      <c r="K128" s="151" t="s">
        <v>60</v>
      </c>
      <c r="L128" s="151"/>
      <c r="M128" s="151"/>
      <c r="N128" s="151" t="s">
        <v>108</v>
      </c>
      <c r="O128" s="151" t="s">
        <v>61</v>
      </c>
      <c r="P128" s="162">
        <v>43860</v>
      </c>
      <c r="Q128" s="151" t="s">
        <v>1256</v>
      </c>
      <c r="R128" s="151" t="s">
        <v>295</v>
      </c>
      <c r="S128" s="151" t="s">
        <v>296</v>
      </c>
      <c r="T128" s="162">
        <v>46111</v>
      </c>
      <c r="U128" s="152">
        <v>3.165</v>
      </c>
      <c r="V128" s="164">
        <v>7655.5993680884676</v>
      </c>
      <c r="W128" s="152">
        <v>24229.972000000002</v>
      </c>
      <c r="X128" s="153">
        <v>2.7E-2</v>
      </c>
      <c r="Y128" s="153">
        <v>1.6449999999999999E-2</v>
      </c>
      <c r="Z128" s="154">
        <v>2.4299999999999999E-3</v>
      </c>
      <c r="AA128" s="174"/>
    </row>
    <row r="129" spans="1:27" x14ac:dyDescent="0.2">
      <c r="A129" s="150" t="s">
        <v>1264</v>
      </c>
      <c r="B129" s="151" t="s">
        <v>1264</v>
      </c>
      <c r="C129" s="151" t="s">
        <v>2278</v>
      </c>
      <c r="D129" s="151"/>
      <c r="E129" s="151"/>
      <c r="F129" s="151" t="s">
        <v>2279</v>
      </c>
      <c r="G129" s="151" t="s">
        <v>2280</v>
      </c>
      <c r="H129" s="151" t="s">
        <v>101</v>
      </c>
      <c r="I129" s="151" t="s">
        <v>885</v>
      </c>
      <c r="J129" s="151"/>
      <c r="K129" s="151" t="s">
        <v>60</v>
      </c>
      <c r="L129" s="151"/>
      <c r="M129" s="151"/>
      <c r="N129" s="151" t="s">
        <v>889</v>
      </c>
      <c r="O129" s="151" t="s">
        <v>61</v>
      </c>
      <c r="P129" s="162">
        <v>44389</v>
      </c>
      <c r="Q129" s="151" t="s">
        <v>1256</v>
      </c>
      <c r="R129" s="151" t="s">
        <v>295</v>
      </c>
      <c r="S129" s="151" t="s">
        <v>296</v>
      </c>
      <c r="T129" s="162">
        <v>46086</v>
      </c>
      <c r="U129" s="152">
        <v>3.165</v>
      </c>
      <c r="V129" s="164">
        <v>7623.7298578199052</v>
      </c>
      <c r="W129" s="152">
        <v>24129.105</v>
      </c>
      <c r="X129" s="153">
        <v>7.6999999999999996E-4</v>
      </c>
      <c r="Y129" s="153">
        <v>1.6389999999999998E-2</v>
      </c>
      <c r="Z129" s="154">
        <v>2.4199999999999998E-3</v>
      </c>
      <c r="AA129" s="174"/>
    </row>
    <row r="130" spans="1:27" x14ac:dyDescent="0.2">
      <c r="A130" s="150" t="s">
        <v>1264</v>
      </c>
      <c r="B130" s="151" t="s">
        <v>1264</v>
      </c>
      <c r="C130" s="151" t="s">
        <v>2306</v>
      </c>
      <c r="D130" s="151"/>
      <c r="E130" s="151"/>
      <c r="F130" s="151" t="s">
        <v>2307</v>
      </c>
      <c r="G130" s="151" t="s">
        <v>2308</v>
      </c>
      <c r="H130" s="151" t="s">
        <v>101</v>
      </c>
      <c r="I130" s="151" t="s">
        <v>273</v>
      </c>
      <c r="J130" s="151"/>
      <c r="K130" s="151" t="s">
        <v>60</v>
      </c>
      <c r="L130" s="151"/>
      <c r="M130" s="151"/>
      <c r="N130" s="151" t="s">
        <v>305</v>
      </c>
      <c r="O130" s="151" t="s">
        <v>61</v>
      </c>
      <c r="P130" s="162">
        <v>45238</v>
      </c>
      <c r="Q130" s="151" t="s">
        <v>1258</v>
      </c>
      <c r="R130" s="151" t="s">
        <v>293</v>
      </c>
      <c r="S130" s="151" t="s">
        <v>297</v>
      </c>
      <c r="T130" s="162">
        <v>46105</v>
      </c>
      <c r="U130" s="152">
        <v>3.6360000000000001</v>
      </c>
      <c r="V130" s="164">
        <v>6542.7549504950484</v>
      </c>
      <c r="W130" s="152">
        <v>23789.456999999999</v>
      </c>
      <c r="X130" s="153">
        <v>1.285E-2</v>
      </c>
      <c r="Y130" s="153">
        <v>1.6160000000000001E-2</v>
      </c>
      <c r="Z130" s="154">
        <v>2.3800000000000002E-3</v>
      </c>
      <c r="AA130" s="174"/>
    </row>
    <row r="131" spans="1:27" x14ac:dyDescent="0.2">
      <c r="A131" s="150" t="s">
        <v>1264</v>
      </c>
      <c r="B131" s="151" t="s">
        <v>1264</v>
      </c>
      <c r="C131" s="151" t="s">
        <v>2284</v>
      </c>
      <c r="D131" s="151"/>
      <c r="E131" s="151"/>
      <c r="F131" s="151" t="s">
        <v>2285</v>
      </c>
      <c r="G131" s="151" t="s">
        <v>2286</v>
      </c>
      <c r="H131" s="151" t="s">
        <v>101</v>
      </c>
      <c r="I131" s="151" t="s">
        <v>238</v>
      </c>
      <c r="J131" s="151"/>
      <c r="K131" s="151" t="s">
        <v>60</v>
      </c>
      <c r="L131" s="151"/>
      <c r="M131" s="151"/>
      <c r="N131" s="151" t="s">
        <v>306</v>
      </c>
      <c r="O131" s="151" t="s">
        <v>61</v>
      </c>
      <c r="P131" s="162">
        <v>43502</v>
      </c>
      <c r="Q131" s="151" t="s">
        <v>1256</v>
      </c>
      <c r="R131" s="151" t="s">
        <v>295</v>
      </c>
      <c r="S131" s="151" t="s">
        <v>296</v>
      </c>
      <c r="T131" s="162">
        <v>46111</v>
      </c>
      <c r="U131" s="152">
        <v>3.165</v>
      </c>
      <c r="V131" s="164">
        <v>7383.0647709320701</v>
      </c>
      <c r="W131" s="152">
        <v>23367.4</v>
      </c>
      <c r="X131" s="153">
        <v>8.8999999999999995E-4</v>
      </c>
      <c r="Y131" s="153">
        <v>1.5869999999999999E-2</v>
      </c>
      <c r="Z131" s="154">
        <v>2.3400000000000001E-3</v>
      </c>
      <c r="AA131" s="174"/>
    </row>
    <row r="132" spans="1:27" x14ac:dyDescent="0.2">
      <c r="A132" s="150" t="s">
        <v>1264</v>
      </c>
      <c r="B132" s="151" t="s">
        <v>1264</v>
      </c>
      <c r="C132" s="151" t="s">
        <v>2315</v>
      </c>
      <c r="D132" s="151"/>
      <c r="E132" s="151"/>
      <c r="F132" s="151" t="s">
        <v>2316</v>
      </c>
      <c r="G132" s="151" t="s">
        <v>2317</v>
      </c>
      <c r="H132" s="151" t="s">
        <v>101</v>
      </c>
      <c r="I132" s="151" t="s">
        <v>728</v>
      </c>
      <c r="J132" s="151"/>
      <c r="K132" s="151" t="s">
        <v>60</v>
      </c>
      <c r="L132" s="151"/>
      <c r="M132" s="151"/>
      <c r="N132" s="151" t="s">
        <v>306</v>
      </c>
      <c r="O132" s="151" t="s">
        <v>61</v>
      </c>
      <c r="P132" s="162">
        <v>45330</v>
      </c>
      <c r="Q132" s="151" t="s">
        <v>1256</v>
      </c>
      <c r="R132" s="151" t="s">
        <v>295</v>
      </c>
      <c r="S132" s="151" t="s">
        <v>296</v>
      </c>
      <c r="T132" s="162">
        <v>46077</v>
      </c>
      <c r="U132" s="152">
        <v>3.165</v>
      </c>
      <c r="V132" s="164">
        <v>7108.4568720379148</v>
      </c>
      <c r="W132" s="152">
        <v>22498.266</v>
      </c>
      <c r="X132" s="153">
        <v>4.0099999999999997E-3</v>
      </c>
      <c r="Y132" s="153">
        <v>1.528E-2</v>
      </c>
      <c r="Z132" s="154">
        <v>2.2499999999999998E-3</v>
      </c>
      <c r="AA132" s="174"/>
    </row>
    <row r="133" spans="1:27" x14ac:dyDescent="0.2">
      <c r="A133" s="150" t="s">
        <v>1264</v>
      </c>
      <c r="B133" s="151" t="s">
        <v>1264</v>
      </c>
      <c r="C133" s="151" t="s">
        <v>2318</v>
      </c>
      <c r="D133" s="151"/>
      <c r="E133" s="151"/>
      <c r="F133" s="151" t="s">
        <v>2319</v>
      </c>
      <c r="G133" s="151" t="s">
        <v>2320</v>
      </c>
      <c r="H133" s="151" t="s">
        <v>101</v>
      </c>
      <c r="I133" s="151" t="s">
        <v>273</v>
      </c>
      <c r="J133" s="151"/>
      <c r="K133" s="151" t="s">
        <v>60</v>
      </c>
      <c r="L133" s="151"/>
      <c r="M133" s="151"/>
      <c r="N133" s="151" t="s">
        <v>306</v>
      </c>
      <c r="O133" s="151" t="s">
        <v>61</v>
      </c>
      <c r="P133" s="162">
        <v>44894</v>
      </c>
      <c r="Q133" s="151" t="s">
        <v>1256</v>
      </c>
      <c r="R133" s="151" t="s">
        <v>293</v>
      </c>
      <c r="S133" s="151" t="s">
        <v>297</v>
      </c>
      <c r="T133" s="162">
        <v>46105</v>
      </c>
      <c r="U133" s="152">
        <v>3.165</v>
      </c>
      <c r="V133" s="164">
        <v>7019.3952606635066</v>
      </c>
      <c r="W133" s="152">
        <v>22216.385999999999</v>
      </c>
      <c r="X133" s="153">
        <v>3.2509999999999997E-2</v>
      </c>
      <c r="Y133" s="153">
        <v>1.5089999999999999E-2</v>
      </c>
      <c r="Z133" s="154">
        <v>2.2200000000000002E-3</v>
      </c>
      <c r="AA133" s="174"/>
    </row>
    <row r="134" spans="1:27" x14ac:dyDescent="0.2">
      <c r="A134" s="150" t="s">
        <v>1264</v>
      </c>
      <c r="B134" s="151" t="s">
        <v>1264</v>
      </c>
      <c r="C134" s="151" t="s">
        <v>2326</v>
      </c>
      <c r="D134" s="151"/>
      <c r="E134" s="151"/>
      <c r="F134" s="151" t="s">
        <v>2327</v>
      </c>
      <c r="G134" s="151" t="s">
        <v>2328</v>
      </c>
      <c r="H134" s="151" t="s">
        <v>101</v>
      </c>
      <c r="I134" s="151" t="s">
        <v>273</v>
      </c>
      <c r="J134" s="151"/>
      <c r="K134" s="151" t="s">
        <v>60</v>
      </c>
      <c r="L134" s="151"/>
      <c r="M134" s="151"/>
      <c r="N134" s="151" t="s">
        <v>305</v>
      </c>
      <c r="O134" s="151" t="s">
        <v>61</v>
      </c>
      <c r="P134" s="162">
        <v>44431</v>
      </c>
      <c r="Q134" s="151" t="s">
        <v>1258</v>
      </c>
      <c r="R134" s="151" t="s">
        <v>293</v>
      </c>
      <c r="S134" s="151" t="s">
        <v>297</v>
      </c>
      <c r="T134" s="162">
        <v>46112</v>
      </c>
      <c r="U134" s="152">
        <v>3.6360000000000001</v>
      </c>
      <c r="V134" s="164">
        <v>5983.370462046204</v>
      </c>
      <c r="W134" s="152">
        <v>21755.535</v>
      </c>
      <c r="X134" s="153">
        <v>5.0400000000000002E-3</v>
      </c>
      <c r="Y134" s="153">
        <v>1.477E-2</v>
      </c>
      <c r="Z134" s="154">
        <v>2.1800000000000001E-3</v>
      </c>
      <c r="AA134" s="174"/>
    </row>
    <row r="135" spans="1:27" x14ac:dyDescent="0.2">
      <c r="A135" s="150" t="s">
        <v>1264</v>
      </c>
      <c r="B135" s="151" t="s">
        <v>1264</v>
      </c>
      <c r="C135" s="151" t="s">
        <v>2329</v>
      </c>
      <c r="D135" s="151"/>
      <c r="E135" s="151"/>
      <c r="F135" s="151" t="s">
        <v>2330</v>
      </c>
      <c r="G135" s="151" t="s">
        <v>2331</v>
      </c>
      <c r="H135" s="151" t="s">
        <v>101</v>
      </c>
      <c r="I135" s="151" t="s">
        <v>728</v>
      </c>
      <c r="J135" s="151"/>
      <c r="K135" s="151" t="s">
        <v>60</v>
      </c>
      <c r="L135" s="151"/>
      <c r="M135" s="151"/>
      <c r="N135" s="151" t="s">
        <v>52</v>
      </c>
      <c r="O135" s="151" t="s">
        <v>61</v>
      </c>
      <c r="P135" s="162">
        <v>45222</v>
      </c>
      <c r="Q135" s="151" t="s">
        <v>1256</v>
      </c>
      <c r="R135" s="151" t="s">
        <v>295</v>
      </c>
      <c r="S135" s="151" t="s">
        <v>296</v>
      </c>
      <c r="T135" s="162">
        <v>46112</v>
      </c>
      <c r="U135" s="152">
        <v>3.165</v>
      </c>
      <c r="V135" s="164">
        <v>6647.6025276461296</v>
      </c>
      <c r="W135" s="152">
        <v>21039.662</v>
      </c>
      <c r="X135" s="153">
        <v>1.005E-2</v>
      </c>
      <c r="Y135" s="153">
        <v>1.4290000000000001E-2</v>
      </c>
      <c r="Z135" s="154">
        <v>2.1099999999999999E-3</v>
      </c>
      <c r="AA135" s="174"/>
    </row>
    <row r="136" spans="1:27" x14ac:dyDescent="0.2">
      <c r="A136" s="150" t="s">
        <v>1264</v>
      </c>
      <c r="B136" s="151" t="s">
        <v>1264</v>
      </c>
      <c r="C136" s="151" t="s">
        <v>2281</v>
      </c>
      <c r="D136" s="151"/>
      <c r="E136" s="151"/>
      <c r="F136" s="151" t="s">
        <v>2289</v>
      </c>
      <c r="G136" s="151" t="s">
        <v>2290</v>
      </c>
      <c r="H136" s="151" t="s">
        <v>101</v>
      </c>
      <c r="I136" s="151" t="s">
        <v>728</v>
      </c>
      <c r="J136" s="151"/>
      <c r="K136" s="151" t="s">
        <v>60</v>
      </c>
      <c r="L136" s="151"/>
      <c r="M136" s="151"/>
      <c r="N136" s="151" t="s">
        <v>306</v>
      </c>
      <c r="O136" s="151" t="s">
        <v>61</v>
      </c>
      <c r="P136" s="162">
        <v>43375</v>
      </c>
      <c r="Q136" s="151" t="s">
        <v>1256</v>
      </c>
      <c r="R136" s="151" t="s">
        <v>295</v>
      </c>
      <c r="S136" s="151" t="s">
        <v>296</v>
      </c>
      <c r="T136" s="162">
        <v>46085</v>
      </c>
      <c r="U136" s="152">
        <v>3.165</v>
      </c>
      <c r="V136" s="164">
        <v>6542.8344391785149</v>
      </c>
      <c r="W136" s="152">
        <v>20708.071</v>
      </c>
      <c r="X136" s="153">
        <v>7.6699999999999997E-3</v>
      </c>
      <c r="Y136" s="153">
        <v>1.406E-2</v>
      </c>
      <c r="Z136" s="154">
        <v>2.0699999999999998E-3</v>
      </c>
      <c r="AA136" s="174"/>
    </row>
    <row r="137" spans="1:27" x14ac:dyDescent="0.2">
      <c r="A137" s="150" t="s">
        <v>1264</v>
      </c>
      <c r="B137" s="151" t="s">
        <v>1264</v>
      </c>
      <c r="C137" s="151" t="s">
        <v>2294</v>
      </c>
      <c r="D137" s="151"/>
      <c r="E137" s="151"/>
      <c r="F137" s="151" t="s">
        <v>2332</v>
      </c>
      <c r="G137" s="151" t="s">
        <v>2333</v>
      </c>
      <c r="H137" s="151" t="s">
        <v>101</v>
      </c>
      <c r="I137" s="151" t="s">
        <v>728</v>
      </c>
      <c r="J137" s="151"/>
      <c r="K137" s="151" t="s">
        <v>60</v>
      </c>
      <c r="L137" s="151"/>
      <c r="M137" s="151"/>
      <c r="N137" s="151" t="s">
        <v>306</v>
      </c>
      <c r="O137" s="151" t="s">
        <v>61</v>
      </c>
      <c r="P137" s="162">
        <v>45034</v>
      </c>
      <c r="Q137" s="151" t="s">
        <v>1256</v>
      </c>
      <c r="R137" s="151" t="s">
        <v>293</v>
      </c>
      <c r="S137" s="151" t="s">
        <v>297</v>
      </c>
      <c r="T137" s="162">
        <v>46112</v>
      </c>
      <c r="U137" s="152">
        <v>3.165</v>
      </c>
      <c r="V137" s="164">
        <v>6322.9257503949448</v>
      </c>
      <c r="W137" s="152">
        <v>20012.060000000001</v>
      </c>
      <c r="X137" s="153">
        <v>4.4999999999999999E-4</v>
      </c>
      <c r="Y137" s="153">
        <v>1.359E-2</v>
      </c>
      <c r="Z137" s="154">
        <v>2E-3</v>
      </c>
      <c r="AA137" s="174"/>
    </row>
    <row r="138" spans="1:27" x14ac:dyDescent="0.2">
      <c r="A138" s="150" t="s">
        <v>1264</v>
      </c>
      <c r="B138" s="151" t="s">
        <v>1264</v>
      </c>
      <c r="C138" s="151" t="s">
        <v>2300</v>
      </c>
      <c r="D138" s="151"/>
      <c r="E138" s="151"/>
      <c r="F138" s="151" t="s">
        <v>2301</v>
      </c>
      <c r="G138" s="151" t="s">
        <v>2334</v>
      </c>
      <c r="H138" s="151" t="s">
        <v>101</v>
      </c>
      <c r="I138" s="151" t="s">
        <v>274</v>
      </c>
      <c r="J138" s="151"/>
      <c r="K138" s="151" t="s">
        <v>60</v>
      </c>
      <c r="L138" s="151"/>
      <c r="M138" s="151"/>
      <c r="N138" s="151" t="s">
        <v>305</v>
      </c>
      <c r="O138" s="151" t="s">
        <v>61</v>
      </c>
      <c r="P138" s="162">
        <v>45309</v>
      </c>
      <c r="Q138" s="151" t="s">
        <v>1258</v>
      </c>
      <c r="R138" s="151" t="s">
        <v>295</v>
      </c>
      <c r="S138" s="151" t="s">
        <v>296</v>
      </c>
      <c r="T138" s="162">
        <v>46085</v>
      </c>
      <c r="U138" s="152">
        <v>3.6360000000000001</v>
      </c>
      <c r="V138" s="164">
        <v>5488.6498899889984</v>
      </c>
      <c r="W138" s="152">
        <v>19956.731</v>
      </c>
      <c r="X138" s="153">
        <v>2.9E-4</v>
      </c>
      <c r="Y138" s="153">
        <v>1.355E-2</v>
      </c>
      <c r="Z138" s="154">
        <v>2E-3</v>
      </c>
      <c r="AA138" s="174"/>
    </row>
    <row r="139" spans="1:27" x14ac:dyDescent="0.2">
      <c r="A139" s="150" t="s">
        <v>1264</v>
      </c>
      <c r="B139" s="151" t="s">
        <v>1264</v>
      </c>
      <c r="C139" s="151" t="s">
        <v>2294</v>
      </c>
      <c r="D139" s="151"/>
      <c r="E139" s="151"/>
      <c r="F139" s="151" t="s">
        <v>2295</v>
      </c>
      <c r="G139" s="151" t="s">
        <v>2296</v>
      </c>
      <c r="H139" s="151" t="s">
        <v>101</v>
      </c>
      <c r="I139" s="151" t="s">
        <v>728</v>
      </c>
      <c r="J139" s="151"/>
      <c r="K139" s="151" t="s">
        <v>60</v>
      </c>
      <c r="L139" s="151"/>
      <c r="M139" s="151"/>
      <c r="N139" s="151" t="s">
        <v>306</v>
      </c>
      <c r="O139" s="151" t="s">
        <v>61</v>
      </c>
      <c r="P139" s="162">
        <v>43829</v>
      </c>
      <c r="Q139" s="151" t="s">
        <v>1256</v>
      </c>
      <c r="R139" s="151" t="s">
        <v>293</v>
      </c>
      <c r="S139" s="151" t="s">
        <v>297</v>
      </c>
      <c r="T139" s="162">
        <v>46112</v>
      </c>
      <c r="U139" s="152">
        <v>3.165</v>
      </c>
      <c r="V139" s="164">
        <v>6242.917219589257</v>
      </c>
      <c r="W139" s="152">
        <v>19758.832999999999</v>
      </c>
      <c r="X139" s="153">
        <v>5.4000000000000001E-4</v>
      </c>
      <c r="Y139" s="153">
        <v>1.342E-2</v>
      </c>
      <c r="Z139" s="154">
        <v>1.98E-3</v>
      </c>
      <c r="AA139" s="174"/>
    </row>
    <row r="140" spans="1:27" x14ac:dyDescent="0.2">
      <c r="A140" s="150" t="s">
        <v>1264</v>
      </c>
      <c r="B140" s="151" t="s">
        <v>1264</v>
      </c>
      <c r="C140" s="151" t="s">
        <v>2297</v>
      </c>
      <c r="D140" s="151"/>
      <c r="E140" s="151"/>
      <c r="F140" s="151" t="s">
        <v>2298</v>
      </c>
      <c r="G140" s="151" t="s">
        <v>2299</v>
      </c>
      <c r="H140" s="151" t="s">
        <v>101</v>
      </c>
      <c r="I140" s="151" t="s">
        <v>728</v>
      </c>
      <c r="J140" s="151"/>
      <c r="K140" s="151" t="s">
        <v>60</v>
      </c>
      <c r="L140" s="151"/>
      <c r="M140" s="151"/>
      <c r="N140" s="151" t="s">
        <v>305</v>
      </c>
      <c r="O140" s="151" t="s">
        <v>61</v>
      </c>
      <c r="P140" s="162">
        <v>44235</v>
      </c>
      <c r="Q140" s="151" t="s">
        <v>1256</v>
      </c>
      <c r="R140" s="151" t="s">
        <v>295</v>
      </c>
      <c r="S140" s="151" t="s">
        <v>296</v>
      </c>
      <c r="T140" s="162">
        <v>46093</v>
      </c>
      <c r="U140" s="152">
        <v>3.165</v>
      </c>
      <c r="V140" s="164">
        <v>6108.9886255924175</v>
      </c>
      <c r="W140" s="152">
        <v>19334.949000000001</v>
      </c>
      <c r="X140" s="153">
        <v>3.6000000000000002E-4</v>
      </c>
      <c r="Y140" s="153">
        <v>1.3129999999999999E-2</v>
      </c>
      <c r="Z140" s="154">
        <v>1.9400000000000001E-3</v>
      </c>
      <c r="AA140" s="174"/>
    </row>
    <row r="141" spans="1:27" x14ac:dyDescent="0.2">
      <c r="A141" s="150" t="s">
        <v>1264</v>
      </c>
      <c r="B141" s="151" t="s">
        <v>1264</v>
      </c>
      <c r="C141" s="151" t="s">
        <v>2300</v>
      </c>
      <c r="D141" s="151"/>
      <c r="E141" s="151"/>
      <c r="F141" s="151" t="s">
        <v>2301</v>
      </c>
      <c r="G141" s="151" t="s">
        <v>2302</v>
      </c>
      <c r="H141" s="151" t="s">
        <v>101</v>
      </c>
      <c r="I141" s="151" t="s">
        <v>238</v>
      </c>
      <c r="J141" s="151"/>
      <c r="K141" s="151" t="s">
        <v>60</v>
      </c>
      <c r="L141" s="151"/>
      <c r="M141" s="151"/>
      <c r="N141" s="151" t="s">
        <v>305</v>
      </c>
      <c r="O141" s="151" t="s">
        <v>61</v>
      </c>
      <c r="P141" s="162">
        <v>44420</v>
      </c>
      <c r="Q141" s="151" t="s">
        <v>1256</v>
      </c>
      <c r="R141" s="151" t="s">
        <v>295</v>
      </c>
      <c r="S141" s="151" t="s">
        <v>296</v>
      </c>
      <c r="T141" s="162">
        <v>46106</v>
      </c>
      <c r="U141" s="152">
        <v>3.165</v>
      </c>
      <c r="V141" s="164">
        <v>6016.5778830963663</v>
      </c>
      <c r="W141" s="152">
        <v>19042.469000000001</v>
      </c>
      <c r="X141" s="153">
        <v>8.0999999999999996E-4</v>
      </c>
      <c r="Y141" s="153">
        <v>1.2930000000000001E-2</v>
      </c>
      <c r="Z141" s="154">
        <v>1.91E-3</v>
      </c>
      <c r="AA141" s="174"/>
    </row>
    <row r="142" spans="1:27" x14ac:dyDescent="0.2">
      <c r="A142" s="150" t="s">
        <v>1264</v>
      </c>
      <c r="B142" s="151" t="s">
        <v>1264</v>
      </c>
      <c r="C142" s="151" t="s">
        <v>2303</v>
      </c>
      <c r="D142" s="151"/>
      <c r="E142" s="151"/>
      <c r="F142" s="151" t="s">
        <v>2304</v>
      </c>
      <c r="G142" s="151" t="s">
        <v>2305</v>
      </c>
      <c r="H142" s="151" t="s">
        <v>101</v>
      </c>
      <c r="I142" s="151" t="s">
        <v>728</v>
      </c>
      <c r="J142" s="151"/>
      <c r="K142" s="151" t="s">
        <v>60</v>
      </c>
      <c r="L142" s="151"/>
      <c r="M142" s="151"/>
      <c r="N142" s="151" t="s">
        <v>306</v>
      </c>
      <c r="O142" s="151" t="s">
        <v>61</v>
      </c>
      <c r="P142" s="162">
        <v>44264</v>
      </c>
      <c r="Q142" s="151" t="s">
        <v>1256</v>
      </c>
      <c r="R142" s="151" t="s">
        <v>293</v>
      </c>
      <c r="S142" s="151" t="s">
        <v>297</v>
      </c>
      <c r="T142" s="162">
        <v>46093</v>
      </c>
      <c r="U142" s="152">
        <v>3.165</v>
      </c>
      <c r="V142" s="164">
        <v>5905.585466034755</v>
      </c>
      <c r="W142" s="152">
        <v>18691.178</v>
      </c>
      <c r="X142" s="153">
        <v>4.2000000000000002E-4</v>
      </c>
      <c r="Y142" s="153">
        <v>1.269E-2</v>
      </c>
      <c r="Z142" s="154">
        <v>1.8699999999999999E-3</v>
      </c>
      <c r="AA142" s="174"/>
    </row>
    <row r="143" spans="1:27" x14ac:dyDescent="0.2">
      <c r="A143" s="150" t="s">
        <v>1264</v>
      </c>
      <c r="B143" s="151" t="s">
        <v>1264</v>
      </c>
      <c r="C143" s="151" t="s">
        <v>2309</v>
      </c>
      <c r="D143" s="151"/>
      <c r="E143" s="151"/>
      <c r="F143" s="151" t="s">
        <v>2310</v>
      </c>
      <c r="G143" s="151" t="s">
        <v>2311</v>
      </c>
      <c r="H143" s="151" t="s">
        <v>101</v>
      </c>
      <c r="I143" s="151" t="s">
        <v>728</v>
      </c>
      <c r="J143" s="151"/>
      <c r="K143" s="151" t="s">
        <v>60</v>
      </c>
      <c r="L143" s="151"/>
      <c r="M143" s="151"/>
      <c r="N143" s="151" t="s">
        <v>306</v>
      </c>
      <c r="O143" s="151" t="s">
        <v>61</v>
      </c>
      <c r="P143" s="162">
        <v>43319</v>
      </c>
      <c r="Q143" s="151" t="s">
        <v>1256</v>
      </c>
      <c r="R143" s="151" t="s">
        <v>293</v>
      </c>
      <c r="S143" s="151" t="s">
        <v>297</v>
      </c>
      <c r="T143" s="162">
        <v>46112</v>
      </c>
      <c r="U143" s="152">
        <v>3.165</v>
      </c>
      <c r="V143" s="164">
        <v>5846.0562401263824</v>
      </c>
      <c r="W143" s="152">
        <v>18502.768</v>
      </c>
      <c r="X143" s="153">
        <v>4.7200000000000002E-3</v>
      </c>
      <c r="Y143" s="153">
        <v>1.257E-2</v>
      </c>
      <c r="Z143" s="154">
        <v>1.8500000000000001E-3</v>
      </c>
      <c r="AA143" s="174"/>
    </row>
    <row r="144" spans="1:27" x14ac:dyDescent="0.2">
      <c r="A144" s="150" t="s">
        <v>1264</v>
      </c>
      <c r="B144" s="151" t="s">
        <v>1264</v>
      </c>
      <c r="C144" s="151" t="s">
        <v>2266</v>
      </c>
      <c r="D144" s="151"/>
      <c r="E144" s="151"/>
      <c r="F144" s="151" t="s">
        <v>2345</v>
      </c>
      <c r="G144" s="151" t="s">
        <v>2346</v>
      </c>
      <c r="H144" s="151" t="s">
        <v>101</v>
      </c>
      <c r="I144" s="151" t="s">
        <v>273</v>
      </c>
      <c r="J144" s="151"/>
      <c r="K144" s="151" t="s">
        <v>60</v>
      </c>
      <c r="L144" s="151"/>
      <c r="M144" s="151"/>
      <c r="N144" s="151" t="s">
        <v>305</v>
      </c>
      <c r="O144" s="151" t="s">
        <v>61</v>
      </c>
      <c r="P144" s="162">
        <v>45641</v>
      </c>
      <c r="Q144" s="151" t="s">
        <v>1258</v>
      </c>
      <c r="R144" s="151" t="s">
        <v>293</v>
      </c>
      <c r="S144" s="151" t="s">
        <v>297</v>
      </c>
      <c r="T144" s="162">
        <v>46079</v>
      </c>
      <c r="U144" s="152">
        <v>3.6360000000000001</v>
      </c>
      <c r="V144" s="164">
        <v>5085.7819031903182</v>
      </c>
      <c r="W144" s="152">
        <v>18491.902999999998</v>
      </c>
      <c r="X144" s="153">
        <v>1.1199999999999999E-3</v>
      </c>
      <c r="Y144" s="153">
        <v>1.256E-2</v>
      </c>
      <c r="Z144" s="154">
        <v>1.8500000000000001E-3</v>
      </c>
      <c r="AA144" s="174"/>
    </row>
    <row r="145" spans="1:27" x14ac:dyDescent="0.2">
      <c r="A145" s="150" t="s">
        <v>1264</v>
      </c>
      <c r="B145" s="151" t="s">
        <v>1264</v>
      </c>
      <c r="C145" s="151" t="s">
        <v>2312</v>
      </c>
      <c r="D145" s="151"/>
      <c r="E145" s="151"/>
      <c r="F145" s="151" t="s">
        <v>2313</v>
      </c>
      <c r="G145" s="151" t="s">
        <v>2314</v>
      </c>
      <c r="H145" s="151" t="s">
        <v>101</v>
      </c>
      <c r="I145" s="151" t="s">
        <v>238</v>
      </c>
      <c r="J145" s="151"/>
      <c r="K145" s="151" t="s">
        <v>60</v>
      </c>
      <c r="L145" s="151"/>
      <c r="M145" s="151"/>
      <c r="N145" s="151" t="s">
        <v>52</v>
      </c>
      <c r="O145" s="151" t="s">
        <v>61</v>
      </c>
      <c r="P145" s="162">
        <v>44118</v>
      </c>
      <c r="Q145" s="151" t="s">
        <v>1256</v>
      </c>
      <c r="R145" s="151" t="s">
        <v>295</v>
      </c>
      <c r="S145" s="151" t="s">
        <v>296</v>
      </c>
      <c r="T145" s="162">
        <v>46111</v>
      </c>
      <c r="U145" s="152">
        <v>3.165</v>
      </c>
      <c r="V145" s="164">
        <v>5837.1184834123223</v>
      </c>
      <c r="W145" s="152">
        <v>18474.48</v>
      </c>
      <c r="X145" s="153">
        <v>1.8380000000000001E-2</v>
      </c>
      <c r="Y145" s="153">
        <v>1.255E-2</v>
      </c>
      <c r="Z145" s="154">
        <v>1.8500000000000001E-3</v>
      </c>
      <c r="AA145" s="174"/>
    </row>
    <row r="146" spans="1:27" x14ac:dyDescent="0.2">
      <c r="A146" s="150" t="s">
        <v>1264</v>
      </c>
      <c r="B146" s="151" t="s">
        <v>1264</v>
      </c>
      <c r="C146" s="151" t="s">
        <v>2338</v>
      </c>
      <c r="D146" s="151"/>
      <c r="E146" s="151"/>
      <c r="F146" s="151" t="s">
        <v>2339</v>
      </c>
      <c r="G146" s="151" t="s">
        <v>2340</v>
      </c>
      <c r="H146" s="151" t="s">
        <v>101</v>
      </c>
      <c r="I146" s="151" t="s">
        <v>237</v>
      </c>
      <c r="J146" s="151"/>
      <c r="K146" s="151" t="s">
        <v>60</v>
      </c>
      <c r="L146" s="151"/>
      <c r="M146" s="151"/>
      <c r="N146" s="151" t="s">
        <v>306</v>
      </c>
      <c r="O146" s="151" t="s">
        <v>61</v>
      </c>
      <c r="P146" s="162">
        <v>44853</v>
      </c>
      <c r="Q146" s="151" t="s">
        <v>1256</v>
      </c>
      <c r="R146" s="151" t="s">
        <v>293</v>
      </c>
      <c r="S146" s="151" t="s">
        <v>297</v>
      </c>
      <c r="T146" s="162">
        <v>46112</v>
      </c>
      <c r="U146" s="152">
        <v>3.165</v>
      </c>
      <c r="V146" s="164">
        <v>5628.4274881516594</v>
      </c>
      <c r="W146" s="152">
        <v>17813.973000000002</v>
      </c>
      <c r="X146" s="153">
        <v>3.746E-2</v>
      </c>
      <c r="Y146" s="153">
        <v>1.21E-2</v>
      </c>
      <c r="Z146" s="154">
        <v>1.7799999999999999E-3</v>
      </c>
      <c r="AA146" s="174"/>
    </row>
    <row r="147" spans="1:27" x14ac:dyDescent="0.2">
      <c r="A147" s="150" t="s">
        <v>1264</v>
      </c>
      <c r="B147" s="151" t="s">
        <v>1264</v>
      </c>
      <c r="C147" s="151" t="s">
        <v>2315</v>
      </c>
      <c r="D147" s="151"/>
      <c r="E147" s="151"/>
      <c r="F147" s="151" t="s">
        <v>2321</v>
      </c>
      <c r="G147" s="151" t="s">
        <v>2322</v>
      </c>
      <c r="H147" s="151" t="s">
        <v>101</v>
      </c>
      <c r="I147" s="151" t="s">
        <v>728</v>
      </c>
      <c r="J147" s="151"/>
      <c r="K147" s="151" t="s">
        <v>60</v>
      </c>
      <c r="L147" s="151"/>
      <c r="M147" s="151"/>
      <c r="N147" s="151" t="s">
        <v>306</v>
      </c>
      <c r="O147" s="151" t="s">
        <v>61</v>
      </c>
      <c r="P147" s="162">
        <v>44453</v>
      </c>
      <c r="Q147" s="151" t="s">
        <v>1256</v>
      </c>
      <c r="R147" s="151" t="s">
        <v>295</v>
      </c>
      <c r="S147" s="151" t="s">
        <v>296</v>
      </c>
      <c r="T147" s="162">
        <v>46068</v>
      </c>
      <c r="U147" s="152">
        <v>3.165</v>
      </c>
      <c r="V147" s="164">
        <v>5455.1273301737756</v>
      </c>
      <c r="W147" s="152">
        <v>17265.477999999999</v>
      </c>
      <c r="X147" s="153">
        <v>3.63E-3</v>
      </c>
      <c r="Y147" s="153">
        <v>1.172E-2</v>
      </c>
      <c r="Z147" s="154">
        <v>1.73E-3</v>
      </c>
      <c r="AA147" s="174"/>
    </row>
    <row r="148" spans="1:27" x14ac:dyDescent="0.2">
      <c r="A148" s="150" t="s">
        <v>1264</v>
      </c>
      <c r="B148" s="151" t="s">
        <v>1264</v>
      </c>
      <c r="C148" s="151" t="s">
        <v>2323</v>
      </c>
      <c r="D148" s="151"/>
      <c r="E148" s="151"/>
      <c r="F148" s="151" t="s">
        <v>2324</v>
      </c>
      <c r="G148" s="151" t="s">
        <v>2325</v>
      </c>
      <c r="H148" s="151" t="s">
        <v>101</v>
      </c>
      <c r="I148" s="151" t="s">
        <v>728</v>
      </c>
      <c r="J148" s="151"/>
      <c r="K148" s="151" t="s">
        <v>60</v>
      </c>
      <c r="L148" s="151"/>
      <c r="M148" s="151"/>
      <c r="N148" s="151" t="s">
        <v>306</v>
      </c>
      <c r="O148" s="151" t="s">
        <v>61</v>
      </c>
      <c r="P148" s="162">
        <v>43860</v>
      </c>
      <c r="Q148" s="151" t="s">
        <v>1256</v>
      </c>
      <c r="R148" s="151" t="s">
        <v>295</v>
      </c>
      <c r="S148" s="151" t="s">
        <v>296</v>
      </c>
      <c r="T148" s="162">
        <v>46012</v>
      </c>
      <c r="U148" s="152">
        <v>3.165</v>
      </c>
      <c r="V148" s="164">
        <v>5336.6328593996841</v>
      </c>
      <c r="W148" s="152">
        <v>16890.442999999999</v>
      </c>
      <c r="X148" s="153">
        <v>7.3999999999999999E-4</v>
      </c>
      <c r="Y148" s="153">
        <v>1.1469999999999999E-2</v>
      </c>
      <c r="Z148" s="154">
        <v>1.6900000000000001E-3</v>
      </c>
      <c r="AA148" s="174"/>
    </row>
    <row r="149" spans="1:27" x14ac:dyDescent="0.2">
      <c r="A149" s="150" t="s">
        <v>1264</v>
      </c>
      <c r="B149" s="151" t="s">
        <v>1264</v>
      </c>
      <c r="C149" s="151" t="s">
        <v>2297</v>
      </c>
      <c r="D149" s="151"/>
      <c r="E149" s="151"/>
      <c r="F149" s="151" t="s">
        <v>2343</v>
      </c>
      <c r="G149" s="151" t="s">
        <v>2344</v>
      </c>
      <c r="H149" s="151" t="s">
        <v>101</v>
      </c>
      <c r="I149" s="151" t="s">
        <v>728</v>
      </c>
      <c r="J149" s="151"/>
      <c r="K149" s="151" t="s">
        <v>60</v>
      </c>
      <c r="L149" s="151"/>
      <c r="M149" s="151"/>
      <c r="N149" s="151" t="s">
        <v>305</v>
      </c>
      <c r="O149" s="151" t="s">
        <v>61</v>
      </c>
      <c r="P149" s="162">
        <v>45069</v>
      </c>
      <c r="Q149" s="151" t="s">
        <v>1258</v>
      </c>
      <c r="R149" s="151" t="s">
        <v>295</v>
      </c>
      <c r="S149" s="151" t="s">
        <v>296</v>
      </c>
      <c r="T149" s="162">
        <v>46089</v>
      </c>
      <c r="U149" s="152">
        <v>3.6360000000000001</v>
      </c>
      <c r="V149" s="164">
        <v>4575.4829482948289</v>
      </c>
      <c r="W149" s="152">
        <v>16636.455999999998</v>
      </c>
      <c r="X149" s="153">
        <v>2.9999999999999997E-4</v>
      </c>
      <c r="Y149" s="153">
        <v>1.1299999999999999E-2</v>
      </c>
      <c r="Z149" s="154">
        <v>1.67E-3</v>
      </c>
      <c r="AA149" s="174"/>
    </row>
    <row r="150" spans="1:27" x14ac:dyDescent="0.2">
      <c r="A150" s="150" t="s">
        <v>1264</v>
      </c>
      <c r="B150" s="151" t="s">
        <v>1264</v>
      </c>
      <c r="C150" s="151" t="s">
        <v>2357</v>
      </c>
      <c r="D150" s="151"/>
      <c r="E150" s="151"/>
      <c r="F150" s="151" t="s">
        <v>2358</v>
      </c>
      <c r="G150" s="151" t="s">
        <v>2359</v>
      </c>
      <c r="H150" s="151" t="s">
        <v>101</v>
      </c>
      <c r="I150" s="151" t="s">
        <v>273</v>
      </c>
      <c r="J150" s="151"/>
      <c r="K150" s="151" t="s">
        <v>60</v>
      </c>
      <c r="L150" s="151"/>
      <c r="M150" s="151"/>
      <c r="N150" s="151" t="s">
        <v>305</v>
      </c>
      <c r="O150" s="151" t="s">
        <v>61</v>
      </c>
      <c r="P150" s="162">
        <v>46050</v>
      </c>
      <c r="Q150" s="151" t="s">
        <v>1258</v>
      </c>
      <c r="R150" s="151" t="s">
        <v>295</v>
      </c>
      <c r="S150" s="151" t="s">
        <v>297</v>
      </c>
      <c r="T150" s="162">
        <v>46086</v>
      </c>
      <c r="U150" s="152">
        <v>3.6360000000000001</v>
      </c>
      <c r="V150" s="164">
        <v>4257.9529702970294</v>
      </c>
      <c r="W150" s="152">
        <v>15481.916999999999</v>
      </c>
      <c r="X150" s="153">
        <v>1.74E-3</v>
      </c>
      <c r="Y150" s="153">
        <v>1.051E-2</v>
      </c>
      <c r="Z150" s="154">
        <v>1.5499999999999999E-3</v>
      </c>
      <c r="AA150" s="174"/>
    </row>
    <row r="151" spans="1:27" x14ac:dyDescent="0.2">
      <c r="A151" s="150" t="s">
        <v>1264</v>
      </c>
      <c r="B151" s="151" t="s">
        <v>1264</v>
      </c>
      <c r="C151" s="151" t="s">
        <v>2363</v>
      </c>
      <c r="D151" s="151"/>
      <c r="E151" s="151"/>
      <c r="F151" s="151" t="s">
        <v>2364</v>
      </c>
      <c r="G151" s="151" t="s">
        <v>2365</v>
      </c>
      <c r="H151" s="151" t="s">
        <v>101</v>
      </c>
      <c r="I151" s="151" t="s">
        <v>728</v>
      </c>
      <c r="J151" s="151"/>
      <c r="K151" s="151" t="s">
        <v>60</v>
      </c>
      <c r="L151" s="151"/>
      <c r="M151" s="151"/>
      <c r="N151" s="151" t="s">
        <v>309</v>
      </c>
      <c r="O151" s="151" t="s">
        <v>61</v>
      </c>
      <c r="P151" s="162">
        <v>45630</v>
      </c>
      <c r="Q151" s="151" t="s">
        <v>1258</v>
      </c>
      <c r="R151" s="151" t="s">
        <v>295</v>
      </c>
      <c r="S151" s="151" t="s">
        <v>297</v>
      </c>
      <c r="T151" s="162">
        <v>46065</v>
      </c>
      <c r="U151" s="152">
        <v>3.6360000000000001</v>
      </c>
      <c r="V151" s="164">
        <v>4166.9216171617163</v>
      </c>
      <c r="W151" s="152">
        <v>15150.927</v>
      </c>
      <c r="X151" s="153">
        <v>1.4999999999999999E-4</v>
      </c>
      <c r="Y151" s="153">
        <v>1.0290000000000001E-2</v>
      </c>
      <c r="Z151" s="154">
        <v>1.5200000000000001E-3</v>
      </c>
      <c r="AA151" s="174"/>
    </row>
    <row r="152" spans="1:27" x14ac:dyDescent="0.2">
      <c r="A152" s="150" t="s">
        <v>1264</v>
      </c>
      <c r="B152" s="151" t="s">
        <v>1264</v>
      </c>
      <c r="C152" s="151" t="s">
        <v>2352</v>
      </c>
      <c r="D152" s="151"/>
      <c r="E152" s="151"/>
      <c r="F152" s="151" t="s">
        <v>2353</v>
      </c>
      <c r="G152" s="151" t="s">
        <v>2354</v>
      </c>
      <c r="H152" s="151" t="s">
        <v>101</v>
      </c>
      <c r="I152" s="151" t="s">
        <v>273</v>
      </c>
      <c r="J152" s="151"/>
      <c r="K152" s="151" t="s">
        <v>60</v>
      </c>
      <c r="L152" s="151"/>
      <c r="M152" s="151"/>
      <c r="N152" s="151" t="s">
        <v>108</v>
      </c>
      <c r="O152" s="151" t="s">
        <v>61</v>
      </c>
      <c r="P152" s="162">
        <v>44486</v>
      </c>
      <c r="Q152" s="151" t="s">
        <v>1256</v>
      </c>
      <c r="R152" s="151" t="s">
        <v>295</v>
      </c>
      <c r="S152" s="151" t="s">
        <v>296</v>
      </c>
      <c r="T152" s="162">
        <v>46112</v>
      </c>
      <c r="U152" s="152">
        <v>3.165</v>
      </c>
      <c r="V152" s="164">
        <v>4779.3867298578198</v>
      </c>
      <c r="W152" s="152">
        <v>15126.759</v>
      </c>
      <c r="X152" s="153">
        <v>1.9910000000000001E-2</v>
      </c>
      <c r="Y152" s="153">
        <v>1.027E-2</v>
      </c>
      <c r="Z152" s="154">
        <v>1.5100000000000001E-3</v>
      </c>
      <c r="AA152" s="174"/>
    </row>
    <row r="153" spans="1:27" x14ac:dyDescent="0.2">
      <c r="A153" s="150" t="s">
        <v>1264</v>
      </c>
      <c r="B153" s="151" t="s">
        <v>1264</v>
      </c>
      <c r="C153" s="151" t="s">
        <v>2309</v>
      </c>
      <c r="D153" s="151"/>
      <c r="E153" s="151"/>
      <c r="F153" s="151" t="s">
        <v>2355</v>
      </c>
      <c r="G153" s="151" t="s">
        <v>2356</v>
      </c>
      <c r="H153" s="151" t="s">
        <v>101</v>
      </c>
      <c r="I153" s="151" t="s">
        <v>273</v>
      </c>
      <c r="J153" s="151"/>
      <c r="K153" s="151" t="s">
        <v>60</v>
      </c>
      <c r="L153" s="151"/>
      <c r="M153" s="151"/>
      <c r="N153" s="151" t="s">
        <v>306</v>
      </c>
      <c r="O153" s="151" t="s">
        <v>61</v>
      </c>
      <c r="P153" s="162">
        <v>44727</v>
      </c>
      <c r="Q153" s="151" t="s">
        <v>1256</v>
      </c>
      <c r="R153" s="151" t="s">
        <v>293</v>
      </c>
      <c r="S153" s="151" t="s">
        <v>297</v>
      </c>
      <c r="T153" s="162">
        <v>46007</v>
      </c>
      <c r="U153" s="152">
        <v>3.165</v>
      </c>
      <c r="V153" s="164">
        <v>4562.2486571879936</v>
      </c>
      <c r="W153" s="152">
        <v>14439.517</v>
      </c>
      <c r="X153" s="153">
        <v>8.8599999999999998E-3</v>
      </c>
      <c r="Y153" s="153">
        <v>9.8099999999999993E-3</v>
      </c>
      <c r="Z153" s="154">
        <v>1.4499999999999999E-3</v>
      </c>
      <c r="AA153" s="174"/>
    </row>
    <row r="154" spans="1:27" x14ac:dyDescent="0.2">
      <c r="A154" s="150" t="s">
        <v>1264</v>
      </c>
      <c r="B154" s="151" t="s">
        <v>1264</v>
      </c>
      <c r="C154" s="151" t="s">
        <v>2335</v>
      </c>
      <c r="D154" s="151"/>
      <c r="E154" s="151"/>
      <c r="F154" s="151" t="s">
        <v>2336</v>
      </c>
      <c r="G154" s="151" t="s">
        <v>2337</v>
      </c>
      <c r="H154" s="151" t="s">
        <v>101</v>
      </c>
      <c r="I154" s="151" t="s">
        <v>237</v>
      </c>
      <c r="J154" s="151"/>
      <c r="K154" s="151" t="s">
        <v>60</v>
      </c>
      <c r="L154" s="151"/>
      <c r="M154" s="151"/>
      <c r="N154" s="151" t="s">
        <v>306</v>
      </c>
      <c r="O154" s="151" t="s">
        <v>61</v>
      </c>
      <c r="P154" s="162">
        <v>44088</v>
      </c>
      <c r="Q154" s="151" t="s">
        <v>1256</v>
      </c>
      <c r="R154" s="151" t="s">
        <v>293</v>
      </c>
      <c r="S154" s="151" t="s">
        <v>297</v>
      </c>
      <c r="T154" s="162">
        <v>46112</v>
      </c>
      <c r="U154" s="152">
        <v>3.165</v>
      </c>
      <c r="V154" s="164">
        <v>4475.7450236966824</v>
      </c>
      <c r="W154" s="152">
        <v>14165.733</v>
      </c>
      <c r="X154" s="153">
        <v>2.2499999999999999E-2</v>
      </c>
      <c r="Y154" s="153">
        <v>9.6200000000000001E-3</v>
      </c>
      <c r="Z154" s="154">
        <v>1.42E-3</v>
      </c>
      <c r="AA154" s="174"/>
    </row>
    <row r="155" spans="1:27" x14ac:dyDescent="0.2">
      <c r="A155" s="150" t="s">
        <v>1264</v>
      </c>
      <c r="B155" s="151" t="s">
        <v>1264</v>
      </c>
      <c r="C155" s="151" t="s">
        <v>2303</v>
      </c>
      <c r="D155" s="151"/>
      <c r="E155" s="151"/>
      <c r="F155" s="151" t="s">
        <v>2383</v>
      </c>
      <c r="G155" s="151" t="s">
        <v>2384</v>
      </c>
      <c r="H155" s="151" t="s">
        <v>101</v>
      </c>
      <c r="I155" s="151" t="s">
        <v>728</v>
      </c>
      <c r="J155" s="151"/>
      <c r="K155" s="151" t="s">
        <v>60</v>
      </c>
      <c r="L155" s="151"/>
      <c r="M155" s="151"/>
      <c r="N155" s="151" t="s">
        <v>306</v>
      </c>
      <c r="O155" s="151" t="s">
        <v>61</v>
      </c>
      <c r="P155" s="162">
        <v>45525</v>
      </c>
      <c r="Q155" s="151" t="s">
        <v>1256</v>
      </c>
      <c r="R155" s="151" t="s">
        <v>293</v>
      </c>
      <c r="S155" s="151" t="s">
        <v>297</v>
      </c>
      <c r="T155" s="162">
        <v>46089</v>
      </c>
      <c r="U155" s="152">
        <v>3.165</v>
      </c>
      <c r="V155" s="164">
        <v>4350.133965244866</v>
      </c>
      <c r="W155" s="152">
        <v>13768.174000000001</v>
      </c>
      <c r="X155" s="153">
        <v>4.0000000000000002E-4</v>
      </c>
      <c r="Y155" s="153">
        <v>9.3500000000000007E-3</v>
      </c>
      <c r="Z155" s="154">
        <v>1.3799999999999999E-3</v>
      </c>
      <c r="AA155" s="174"/>
    </row>
    <row r="156" spans="1:27" x14ac:dyDescent="0.2">
      <c r="A156" s="150" t="s">
        <v>1264</v>
      </c>
      <c r="B156" s="151" t="s">
        <v>1264</v>
      </c>
      <c r="C156" s="151" t="s">
        <v>2329</v>
      </c>
      <c r="D156" s="151"/>
      <c r="E156" s="151"/>
      <c r="F156" s="151" t="s">
        <v>2341</v>
      </c>
      <c r="G156" s="151" t="s">
        <v>2342</v>
      </c>
      <c r="H156" s="151" t="s">
        <v>101</v>
      </c>
      <c r="I156" s="151" t="s">
        <v>728</v>
      </c>
      <c r="J156" s="151"/>
      <c r="K156" s="151" t="s">
        <v>60</v>
      </c>
      <c r="L156" s="151"/>
      <c r="M156" s="151"/>
      <c r="N156" s="151" t="s">
        <v>52</v>
      </c>
      <c r="O156" s="151" t="s">
        <v>61</v>
      </c>
      <c r="P156" s="162">
        <v>43937</v>
      </c>
      <c r="Q156" s="151" t="s">
        <v>1256</v>
      </c>
      <c r="R156" s="151" t="s">
        <v>295</v>
      </c>
      <c r="S156" s="151" t="s">
        <v>296</v>
      </c>
      <c r="T156" s="162">
        <v>46112</v>
      </c>
      <c r="U156" s="152">
        <v>3.165</v>
      </c>
      <c r="V156" s="164">
        <v>4199.7235387045812</v>
      </c>
      <c r="W156" s="152">
        <v>13292.125</v>
      </c>
      <c r="X156" s="153">
        <v>6.0000000000000002E-5</v>
      </c>
      <c r="Y156" s="153">
        <v>9.0299999999999998E-3</v>
      </c>
      <c r="Z156" s="154">
        <v>1.33E-3</v>
      </c>
      <c r="AA156" s="174"/>
    </row>
    <row r="157" spans="1:27" x14ac:dyDescent="0.2">
      <c r="A157" s="150" t="s">
        <v>1264</v>
      </c>
      <c r="B157" s="151" t="s">
        <v>1264</v>
      </c>
      <c r="C157" s="151" t="s">
        <v>2360</v>
      </c>
      <c r="D157" s="151"/>
      <c r="E157" s="151"/>
      <c r="F157" s="151" t="s">
        <v>2361</v>
      </c>
      <c r="G157" s="151" t="s">
        <v>2362</v>
      </c>
      <c r="H157" s="151" t="s">
        <v>101</v>
      </c>
      <c r="I157" s="151" t="s">
        <v>273</v>
      </c>
      <c r="J157" s="151"/>
      <c r="K157" s="151" t="s">
        <v>60</v>
      </c>
      <c r="L157" s="151"/>
      <c r="M157" s="151"/>
      <c r="N157" s="151" t="s">
        <v>309</v>
      </c>
      <c r="O157" s="151" t="s">
        <v>61</v>
      </c>
      <c r="P157" s="162">
        <v>45463</v>
      </c>
      <c r="Q157" s="151" t="s">
        <v>1256</v>
      </c>
      <c r="R157" s="151" t="s">
        <v>295</v>
      </c>
      <c r="S157" s="151" t="s">
        <v>297</v>
      </c>
      <c r="T157" s="162">
        <v>46111</v>
      </c>
      <c r="U157" s="152">
        <v>3.165</v>
      </c>
      <c r="V157" s="164">
        <v>4167.5298578199054</v>
      </c>
      <c r="W157" s="152">
        <v>13190.232</v>
      </c>
      <c r="X157" s="153">
        <v>3.3E-4</v>
      </c>
      <c r="Y157" s="153">
        <v>8.9599999999999992E-3</v>
      </c>
      <c r="Z157" s="154">
        <v>1.32E-3</v>
      </c>
      <c r="AA157" s="174"/>
    </row>
    <row r="158" spans="1:27" x14ac:dyDescent="0.2">
      <c r="A158" s="150" t="s">
        <v>1264</v>
      </c>
      <c r="B158" s="151" t="s">
        <v>1264</v>
      </c>
      <c r="C158" s="151" t="s">
        <v>2335</v>
      </c>
      <c r="D158" s="151"/>
      <c r="E158" s="151"/>
      <c r="F158" s="151" t="s">
        <v>2366</v>
      </c>
      <c r="G158" s="151" t="s">
        <v>2367</v>
      </c>
      <c r="H158" s="151" t="s">
        <v>101</v>
      </c>
      <c r="I158" s="151" t="s">
        <v>273</v>
      </c>
      <c r="J158" s="151"/>
      <c r="K158" s="151" t="s">
        <v>60</v>
      </c>
      <c r="L158" s="151"/>
      <c r="M158" s="151"/>
      <c r="N158" s="151" t="s">
        <v>306</v>
      </c>
      <c r="O158" s="151" t="s">
        <v>61</v>
      </c>
      <c r="P158" s="162">
        <v>45055</v>
      </c>
      <c r="Q158" s="151" t="s">
        <v>1256</v>
      </c>
      <c r="R158" s="151" t="s">
        <v>293</v>
      </c>
      <c r="S158" s="151" t="s">
        <v>297</v>
      </c>
      <c r="T158" s="162">
        <v>46112</v>
      </c>
      <c r="U158" s="152">
        <v>3.165</v>
      </c>
      <c r="V158" s="164">
        <v>4007.4315955766197</v>
      </c>
      <c r="W158" s="152">
        <v>12683.521000000001</v>
      </c>
      <c r="X158" s="153">
        <v>4.5080000000000002E-2</v>
      </c>
      <c r="Y158" s="153">
        <v>8.6099999999999996E-3</v>
      </c>
      <c r="Z158" s="154">
        <v>1.2700000000000001E-3</v>
      </c>
      <c r="AA158" s="174"/>
    </row>
    <row r="159" spans="1:27" x14ac:dyDescent="0.2">
      <c r="A159" s="150" t="s">
        <v>1264</v>
      </c>
      <c r="B159" s="151" t="s">
        <v>1264</v>
      </c>
      <c r="C159" s="151" t="s">
        <v>2371</v>
      </c>
      <c r="D159" s="151"/>
      <c r="E159" s="151"/>
      <c r="F159" s="151" t="s">
        <v>2372</v>
      </c>
      <c r="G159" s="151" t="s">
        <v>2373</v>
      </c>
      <c r="H159" s="151" t="s">
        <v>101</v>
      </c>
      <c r="I159" s="151" t="s">
        <v>237</v>
      </c>
      <c r="J159" s="151"/>
      <c r="K159" s="151" t="s">
        <v>60</v>
      </c>
      <c r="L159" s="151"/>
      <c r="M159" s="151"/>
      <c r="N159" s="151" t="s">
        <v>305</v>
      </c>
      <c r="O159" s="151" t="s">
        <v>61</v>
      </c>
      <c r="P159" s="162">
        <v>44558</v>
      </c>
      <c r="Q159" s="151" t="s">
        <v>1258</v>
      </c>
      <c r="R159" s="151" t="s">
        <v>295</v>
      </c>
      <c r="S159" s="151" t="s">
        <v>296</v>
      </c>
      <c r="T159" s="162">
        <v>46112</v>
      </c>
      <c r="U159" s="152">
        <v>3.6360000000000001</v>
      </c>
      <c r="V159" s="164">
        <v>3399.4900990099009</v>
      </c>
      <c r="W159" s="152">
        <v>12360.546</v>
      </c>
      <c r="X159" s="153">
        <v>2.8029999999999999E-2</v>
      </c>
      <c r="Y159" s="153">
        <v>8.3899999999999999E-3</v>
      </c>
      <c r="Z159" s="154">
        <v>1.24E-3</v>
      </c>
      <c r="AA159" s="174"/>
    </row>
    <row r="160" spans="1:27" x14ac:dyDescent="0.2">
      <c r="A160" s="150" t="s">
        <v>1264</v>
      </c>
      <c r="B160" s="151" t="s">
        <v>1264</v>
      </c>
      <c r="C160" s="151" t="s">
        <v>2278</v>
      </c>
      <c r="D160" s="151"/>
      <c r="E160" s="151"/>
      <c r="F160" s="151" t="s">
        <v>2347</v>
      </c>
      <c r="G160" s="151" t="s">
        <v>2348</v>
      </c>
      <c r="H160" s="151" t="s">
        <v>101</v>
      </c>
      <c r="I160" s="151" t="s">
        <v>885</v>
      </c>
      <c r="J160" s="151"/>
      <c r="K160" s="151" t="s">
        <v>60</v>
      </c>
      <c r="L160" s="151"/>
      <c r="M160" s="151"/>
      <c r="N160" s="151" t="s">
        <v>889</v>
      </c>
      <c r="O160" s="151" t="s">
        <v>61</v>
      </c>
      <c r="P160" s="162">
        <v>43913</v>
      </c>
      <c r="Q160" s="151" t="s">
        <v>1256</v>
      </c>
      <c r="R160" s="151" t="s">
        <v>295</v>
      </c>
      <c r="S160" s="151" t="s">
        <v>296</v>
      </c>
      <c r="T160" s="162">
        <v>45985</v>
      </c>
      <c r="U160" s="152">
        <v>3.165</v>
      </c>
      <c r="V160" s="164">
        <v>3851.1579778830965</v>
      </c>
      <c r="W160" s="152">
        <v>12188.915000000001</v>
      </c>
      <c r="X160" s="153">
        <v>2.7999999999999998E-4</v>
      </c>
      <c r="Y160" s="153">
        <v>8.2799999999999992E-3</v>
      </c>
      <c r="Z160" s="154">
        <v>1.2199999999999999E-3</v>
      </c>
      <c r="AA160" s="174"/>
    </row>
    <row r="161" spans="1:27" x14ac:dyDescent="0.2">
      <c r="A161" s="150" t="s">
        <v>1264</v>
      </c>
      <c r="B161" s="151" t="s">
        <v>1264</v>
      </c>
      <c r="C161" s="151" t="s">
        <v>2474</v>
      </c>
      <c r="D161" s="151"/>
      <c r="E161" s="151"/>
      <c r="F161" s="151" t="s">
        <v>2475</v>
      </c>
      <c r="G161" s="151" t="s">
        <v>2476</v>
      </c>
      <c r="H161" s="151" t="s">
        <v>101</v>
      </c>
      <c r="I161" s="151" t="s">
        <v>273</v>
      </c>
      <c r="J161" s="151"/>
      <c r="K161" s="151" t="s">
        <v>60</v>
      </c>
      <c r="L161" s="151"/>
      <c r="M161" s="151"/>
      <c r="N161" s="151" t="s">
        <v>306</v>
      </c>
      <c r="O161" s="151" t="s">
        <v>61</v>
      </c>
      <c r="P161" s="162">
        <v>44553</v>
      </c>
      <c r="Q161" s="151" t="s">
        <v>1256</v>
      </c>
      <c r="R161" s="151" t="s">
        <v>293</v>
      </c>
      <c r="S161" s="151" t="s">
        <v>297</v>
      </c>
      <c r="T161" s="162">
        <v>46110</v>
      </c>
      <c r="U161" s="152">
        <v>3.165</v>
      </c>
      <c r="V161" s="164">
        <v>3772.1428120063192</v>
      </c>
      <c r="W161" s="152">
        <v>11938.832</v>
      </c>
      <c r="X161" s="153">
        <v>1.0240000000000001E-2</v>
      </c>
      <c r="Y161" s="153">
        <v>8.1099999999999992E-3</v>
      </c>
      <c r="Z161" s="154">
        <v>1.1999999999999999E-3</v>
      </c>
      <c r="AA161" s="174"/>
    </row>
    <row r="162" spans="1:27" x14ac:dyDescent="0.2">
      <c r="A162" s="150" t="s">
        <v>1264</v>
      </c>
      <c r="B162" s="151" t="s">
        <v>1264</v>
      </c>
      <c r="C162" s="151" t="s">
        <v>2349</v>
      </c>
      <c r="D162" s="151"/>
      <c r="E162" s="151"/>
      <c r="F162" s="151" t="s">
        <v>2350</v>
      </c>
      <c r="G162" s="151" t="s">
        <v>2351</v>
      </c>
      <c r="H162" s="151" t="s">
        <v>101</v>
      </c>
      <c r="I162" s="151" t="s">
        <v>273</v>
      </c>
      <c r="J162" s="151"/>
      <c r="K162" s="151" t="s">
        <v>60</v>
      </c>
      <c r="L162" s="151"/>
      <c r="M162" s="151"/>
      <c r="N162" s="151" t="s">
        <v>305</v>
      </c>
      <c r="O162" s="151" t="s">
        <v>61</v>
      </c>
      <c r="P162" s="162">
        <v>43999</v>
      </c>
      <c r="Q162" s="151" t="s">
        <v>1256</v>
      </c>
      <c r="R162" s="151" t="s">
        <v>295</v>
      </c>
      <c r="S162" s="151" t="s">
        <v>296</v>
      </c>
      <c r="T162" s="162">
        <v>46099</v>
      </c>
      <c r="U162" s="152">
        <v>3.165</v>
      </c>
      <c r="V162" s="164">
        <v>3769.6123222748815</v>
      </c>
      <c r="W162" s="152">
        <v>11930.823</v>
      </c>
      <c r="X162" s="153">
        <v>7.2999999999999996E-4</v>
      </c>
      <c r="Y162" s="153">
        <v>8.0999999999999996E-3</v>
      </c>
      <c r="Z162" s="154">
        <v>1.1900000000000001E-3</v>
      </c>
      <c r="AA162" s="174"/>
    </row>
    <row r="163" spans="1:27" x14ac:dyDescent="0.2">
      <c r="A163" s="150" t="s">
        <v>1264</v>
      </c>
      <c r="B163" s="151" t="s">
        <v>1264</v>
      </c>
      <c r="C163" s="151" t="s">
        <v>2427</v>
      </c>
      <c r="D163" s="151"/>
      <c r="E163" s="151"/>
      <c r="F163" s="151" t="s">
        <v>2428</v>
      </c>
      <c r="G163" s="151" t="s">
        <v>2429</v>
      </c>
      <c r="H163" s="151" t="s">
        <v>101</v>
      </c>
      <c r="I163" s="151" t="s">
        <v>273</v>
      </c>
      <c r="J163" s="151"/>
      <c r="K163" s="151" t="s">
        <v>60</v>
      </c>
      <c r="L163" s="151"/>
      <c r="M163" s="151"/>
      <c r="N163" s="151" t="s">
        <v>309</v>
      </c>
      <c r="O163" s="151" t="s">
        <v>61</v>
      </c>
      <c r="P163" s="162">
        <v>45852</v>
      </c>
      <c r="Q163" s="151" t="s">
        <v>1256</v>
      </c>
      <c r="R163" s="151" t="s">
        <v>295</v>
      </c>
      <c r="S163" s="151" t="s">
        <v>297</v>
      </c>
      <c r="T163" s="162">
        <v>46099</v>
      </c>
      <c r="U163" s="152">
        <v>3.165</v>
      </c>
      <c r="V163" s="164">
        <v>3567.6167456556082</v>
      </c>
      <c r="W163" s="152">
        <v>11291.507</v>
      </c>
      <c r="X163" s="153">
        <v>6.8999999999999997E-4</v>
      </c>
      <c r="Y163" s="153">
        <v>7.6699999999999997E-3</v>
      </c>
      <c r="Z163" s="154">
        <v>1.1299999999999999E-3</v>
      </c>
      <c r="AA163" s="174"/>
    </row>
    <row r="164" spans="1:27" x14ac:dyDescent="0.2">
      <c r="A164" s="150" t="s">
        <v>1264</v>
      </c>
      <c r="B164" s="151" t="s">
        <v>1264</v>
      </c>
      <c r="C164" s="151" t="s">
        <v>2390</v>
      </c>
      <c r="D164" s="151"/>
      <c r="E164" s="151"/>
      <c r="F164" s="151" t="s">
        <v>2391</v>
      </c>
      <c r="G164" s="151" t="s">
        <v>2392</v>
      </c>
      <c r="H164" s="151" t="s">
        <v>101</v>
      </c>
      <c r="I164" s="151" t="s">
        <v>273</v>
      </c>
      <c r="J164" s="151"/>
      <c r="K164" s="151" t="s">
        <v>60</v>
      </c>
      <c r="L164" s="151"/>
      <c r="M164" s="151"/>
      <c r="N164" s="151" t="s">
        <v>305</v>
      </c>
      <c r="O164" s="151" t="s">
        <v>61</v>
      </c>
      <c r="P164" s="162">
        <v>45462</v>
      </c>
      <c r="Q164" s="151" t="s">
        <v>1258</v>
      </c>
      <c r="R164" s="151" t="s">
        <v>295</v>
      </c>
      <c r="S164" s="151" t="s">
        <v>297</v>
      </c>
      <c r="T164" s="162">
        <v>46099</v>
      </c>
      <c r="U164" s="152">
        <v>3.6360000000000001</v>
      </c>
      <c r="V164" s="164">
        <v>2757.7268976897685</v>
      </c>
      <c r="W164" s="152">
        <v>10027.094999999999</v>
      </c>
      <c r="X164" s="153">
        <v>2.2000000000000001E-4</v>
      </c>
      <c r="Y164" s="153">
        <v>6.8100000000000001E-3</v>
      </c>
      <c r="Z164" s="154">
        <v>1E-3</v>
      </c>
      <c r="AA164" s="174"/>
    </row>
    <row r="165" spans="1:27" x14ac:dyDescent="0.2">
      <c r="A165" s="150" t="s">
        <v>1264</v>
      </c>
      <c r="B165" s="151" t="s">
        <v>1264</v>
      </c>
      <c r="C165" s="151" t="s">
        <v>2368</v>
      </c>
      <c r="D165" s="151"/>
      <c r="E165" s="151"/>
      <c r="F165" s="151" t="s">
        <v>2369</v>
      </c>
      <c r="G165" s="151" t="s">
        <v>2370</v>
      </c>
      <c r="H165" s="151" t="s">
        <v>101</v>
      </c>
      <c r="I165" s="151" t="s">
        <v>273</v>
      </c>
      <c r="J165" s="151"/>
      <c r="K165" s="151" t="s">
        <v>60</v>
      </c>
      <c r="L165" s="151"/>
      <c r="M165" s="151"/>
      <c r="N165" s="151" t="s">
        <v>306</v>
      </c>
      <c r="O165" s="151" t="s">
        <v>61</v>
      </c>
      <c r="P165" s="162">
        <v>44284</v>
      </c>
      <c r="Q165" s="151" t="s">
        <v>1256</v>
      </c>
      <c r="R165" s="151" t="s">
        <v>293</v>
      </c>
      <c r="S165" s="151" t="s">
        <v>297</v>
      </c>
      <c r="T165" s="162">
        <v>46112</v>
      </c>
      <c r="U165" s="152">
        <v>3.165</v>
      </c>
      <c r="V165" s="164">
        <v>3115.231279620853</v>
      </c>
      <c r="W165" s="152">
        <v>9859.7070000000003</v>
      </c>
      <c r="X165" s="153">
        <v>3.6700000000000001E-3</v>
      </c>
      <c r="Y165" s="153">
        <v>6.7000000000000002E-3</v>
      </c>
      <c r="Z165" s="154">
        <v>9.8999999999999999E-4</v>
      </c>
      <c r="AA165" s="174"/>
    </row>
    <row r="166" spans="1:27" x14ac:dyDescent="0.2">
      <c r="A166" s="150" t="s">
        <v>1264</v>
      </c>
      <c r="B166" s="151" t="s">
        <v>1264</v>
      </c>
      <c r="C166" s="151" t="s">
        <v>2275</v>
      </c>
      <c r="D166" s="151"/>
      <c r="E166" s="151"/>
      <c r="F166" s="151" t="s">
        <v>2393</v>
      </c>
      <c r="G166" s="151" t="s">
        <v>2394</v>
      </c>
      <c r="H166" s="151" t="s">
        <v>101</v>
      </c>
      <c r="I166" s="151" t="s">
        <v>238</v>
      </c>
      <c r="J166" s="151"/>
      <c r="K166" s="151" t="s">
        <v>60</v>
      </c>
      <c r="L166" s="151"/>
      <c r="M166" s="151"/>
      <c r="N166" s="151" t="s">
        <v>108</v>
      </c>
      <c r="O166" s="151" t="s">
        <v>61</v>
      </c>
      <c r="P166" s="162">
        <v>45196</v>
      </c>
      <c r="Q166" s="151" t="s">
        <v>1256</v>
      </c>
      <c r="R166" s="151" t="s">
        <v>295</v>
      </c>
      <c r="S166" s="151" t="s">
        <v>296</v>
      </c>
      <c r="T166" s="162">
        <v>46111</v>
      </c>
      <c r="U166" s="152">
        <v>3.165</v>
      </c>
      <c r="V166" s="164">
        <v>3036.6992101105848</v>
      </c>
      <c r="W166" s="152">
        <v>9611.1530000000002</v>
      </c>
      <c r="X166" s="153">
        <v>1.1E-4</v>
      </c>
      <c r="Y166" s="153">
        <v>6.5300000000000002E-3</v>
      </c>
      <c r="Z166" s="154">
        <v>9.6000000000000002E-4</v>
      </c>
      <c r="AA166" s="174"/>
    </row>
    <row r="167" spans="1:27" x14ac:dyDescent="0.2">
      <c r="A167" s="150" t="s">
        <v>1264</v>
      </c>
      <c r="B167" s="151" t="s">
        <v>1264</v>
      </c>
      <c r="C167" s="151" t="s">
        <v>2374</v>
      </c>
      <c r="D167" s="151"/>
      <c r="E167" s="151"/>
      <c r="F167" s="151" t="s">
        <v>2375</v>
      </c>
      <c r="G167" s="151" t="s">
        <v>2376</v>
      </c>
      <c r="H167" s="151" t="s">
        <v>101</v>
      </c>
      <c r="I167" s="151" t="s">
        <v>885</v>
      </c>
      <c r="J167" s="151"/>
      <c r="K167" s="151" t="s">
        <v>60</v>
      </c>
      <c r="L167" s="151"/>
      <c r="M167" s="151"/>
      <c r="N167" s="151" t="s">
        <v>306</v>
      </c>
      <c r="O167" s="151" t="s">
        <v>61</v>
      </c>
      <c r="P167" s="162">
        <v>44249</v>
      </c>
      <c r="Q167" s="151" t="s">
        <v>1256</v>
      </c>
      <c r="R167" s="151" t="s">
        <v>295</v>
      </c>
      <c r="S167" s="151" t="s">
        <v>296</v>
      </c>
      <c r="T167" s="162">
        <v>46097</v>
      </c>
      <c r="U167" s="152">
        <v>3.165</v>
      </c>
      <c r="V167" s="164">
        <v>3021.412954186414</v>
      </c>
      <c r="W167" s="152">
        <v>9562.7720000000008</v>
      </c>
      <c r="X167" s="153">
        <v>2.4879999999999999E-2</v>
      </c>
      <c r="Y167" s="153">
        <v>6.4900000000000001E-3</v>
      </c>
      <c r="Z167" s="154">
        <v>9.6000000000000002E-4</v>
      </c>
      <c r="AA167" s="174"/>
    </row>
    <row r="168" spans="1:27" x14ac:dyDescent="0.2">
      <c r="A168" s="150" t="s">
        <v>1264</v>
      </c>
      <c r="B168" s="151" t="s">
        <v>1264</v>
      </c>
      <c r="C168" s="151" t="s">
        <v>2377</v>
      </c>
      <c r="D168" s="151"/>
      <c r="E168" s="151"/>
      <c r="F168" s="151" t="s">
        <v>2378</v>
      </c>
      <c r="G168" s="151" t="s">
        <v>2379</v>
      </c>
      <c r="H168" s="151" t="s">
        <v>101</v>
      </c>
      <c r="I168" s="151" t="s">
        <v>728</v>
      </c>
      <c r="J168" s="151"/>
      <c r="K168" s="151" t="s">
        <v>60</v>
      </c>
      <c r="L168" s="151"/>
      <c r="M168" s="151"/>
      <c r="N168" s="151" t="s">
        <v>306</v>
      </c>
      <c r="O168" s="151" t="s">
        <v>61</v>
      </c>
      <c r="P168" s="162">
        <v>43804</v>
      </c>
      <c r="Q168" s="151" t="s">
        <v>1256</v>
      </c>
      <c r="R168" s="151" t="s">
        <v>293</v>
      </c>
      <c r="S168" s="151" t="s">
        <v>297</v>
      </c>
      <c r="T168" s="162">
        <v>46111</v>
      </c>
      <c r="U168" s="152">
        <v>3.165</v>
      </c>
      <c r="V168" s="164">
        <v>2976.2837282780411</v>
      </c>
      <c r="W168" s="152">
        <v>9419.9380000000001</v>
      </c>
      <c r="X168" s="153">
        <v>3.2599999999999999E-3</v>
      </c>
      <c r="Y168" s="153">
        <v>6.4000000000000003E-3</v>
      </c>
      <c r="Z168" s="154">
        <v>9.3999999999999997E-4</v>
      </c>
      <c r="AA168" s="174"/>
    </row>
    <row r="169" spans="1:27" x14ac:dyDescent="0.2">
      <c r="A169" s="150" t="s">
        <v>1264</v>
      </c>
      <c r="B169" s="151" t="s">
        <v>1264</v>
      </c>
      <c r="C169" s="151" t="s">
        <v>2380</v>
      </c>
      <c r="D169" s="151"/>
      <c r="E169" s="151"/>
      <c r="F169" s="151" t="s">
        <v>2381</v>
      </c>
      <c r="G169" s="151" t="s">
        <v>2382</v>
      </c>
      <c r="H169" s="151" t="s">
        <v>101</v>
      </c>
      <c r="I169" s="151" t="s">
        <v>237</v>
      </c>
      <c r="J169" s="151"/>
      <c r="K169" s="151" t="s">
        <v>60</v>
      </c>
      <c r="L169" s="151"/>
      <c r="M169" s="151"/>
      <c r="N169" s="151" t="s">
        <v>305</v>
      </c>
      <c r="O169" s="151" t="s">
        <v>61</v>
      </c>
      <c r="P169" s="162">
        <v>42776</v>
      </c>
      <c r="Q169" s="151" t="s">
        <v>1258</v>
      </c>
      <c r="R169" s="151" t="s">
        <v>295</v>
      </c>
      <c r="S169" s="151" t="s">
        <v>296</v>
      </c>
      <c r="T169" s="162">
        <v>46048</v>
      </c>
      <c r="U169" s="152">
        <v>3.6360000000000001</v>
      </c>
      <c r="V169" s="164">
        <v>2566.8206820682067</v>
      </c>
      <c r="W169" s="152">
        <v>9332.9599999999991</v>
      </c>
      <c r="X169" s="153">
        <v>2.2919999999999999E-2</v>
      </c>
      <c r="Y169" s="153">
        <v>6.3400000000000001E-3</v>
      </c>
      <c r="Z169" s="154">
        <v>9.3000000000000005E-4</v>
      </c>
      <c r="AA169" s="174"/>
    </row>
    <row r="170" spans="1:27" x14ac:dyDescent="0.2">
      <c r="A170" s="150" t="s">
        <v>1264</v>
      </c>
      <c r="B170" s="151" t="s">
        <v>1264</v>
      </c>
      <c r="C170" s="151" t="s">
        <v>2309</v>
      </c>
      <c r="D170" s="151"/>
      <c r="E170" s="151"/>
      <c r="F170" s="151" t="s">
        <v>2385</v>
      </c>
      <c r="G170" s="151" t="s">
        <v>2386</v>
      </c>
      <c r="H170" s="151" t="s">
        <v>101</v>
      </c>
      <c r="I170" s="151" t="s">
        <v>273</v>
      </c>
      <c r="J170" s="151"/>
      <c r="K170" s="151" t="s">
        <v>60</v>
      </c>
      <c r="L170" s="151"/>
      <c r="M170" s="151"/>
      <c r="N170" s="151" t="s">
        <v>306</v>
      </c>
      <c r="O170" s="151" t="s">
        <v>61</v>
      </c>
      <c r="P170" s="162">
        <v>44277</v>
      </c>
      <c r="Q170" s="151" t="s">
        <v>1256</v>
      </c>
      <c r="R170" s="151" t="s">
        <v>293</v>
      </c>
      <c r="S170" s="151" t="s">
        <v>297</v>
      </c>
      <c r="T170" s="162">
        <v>46079</v>
      </c>
      <c r="U170" s="152">
        <v>3.165</v>
      </c>
      <c r="V170" s="164">
        <v>2915.2278041074251</v>
      </c>
      <c r="W170" s="152">
        <v>9226.6959999999999</v>
      </c>
      <c r="X170" s="153">
        <v>5.9500000000000004E-3</v>
      </c>
      <c r="Y170" s="153">
        <v>6.2700000000000004E-3</v>
      </c>
      <c r="Z170" s="154">
        <v>9.2000000000000003E-4</v>
      </c>
      <c r="AA170" s="174"/>
    </row>
    <row r="171" spans="1:27" x14ac:dyDescent="0.2">
      <c r="A171" s="150" t="s">
        <v>1264</v>
      </c>
      <c r="B171" s="151" t="s">
        <v>1264</v>
      </c>
      <c r="C171" s="151" t="s">
        <v>2419</v>
      </c>
      <c r="D171" s="151"/>
      <c r="E171" s="151"/>
      <c r="F171" s="151" t="s">
        <v>2419</v>
      </c>
      <c r="G171" s="151" t="s">
        <v>2420</v>
      </c>
      <c r="H171" s="151" t="s">
        <v>101</v>
      </c>
      <c r="I171" s="151" t="s">
        <v>237</v>
      </c>
      <c r="J171" s="151"/>
      <c r="K171" s="151" t="s">
        <v>60</v>
      </c>
      <c r="L171" s="151"/>
      <c r="M171" s="151"/>
      <c r="N171" s="151" t="s">
        <v>307</v>
      </c>
      <c r="O171" s="151" t="s">
        <v>61</v>
      </c>
      <c r="P171" s="162">
        <v>45919</v>
      </c>
      <c r="Q171" s="151" t="s">
        <v>1256</v>
      </c>
      <c r="R171" s="151" t="s">
        <v>295</v>
      </c>
      <c r="S171" s="151" t="s">
        <v>297</v>
      </c>
      <c r="T171" s="162">
        <v>46107</v>
      </c>
      <c r="U171" s="152">
        <v>3.165</v>
      </c>
      <c r="V171" s="164">
        <v>2865.2941548183258</v>
      </c>
      <c r="W171" s="152">
        <v>9068.6560000000009</v>
      </c>
      <c r="X171" s="153">
        <v>1.8000000000000001E-4</v>
      </c>
      <c r="Y171" s="153">
        <v>6.1599999999999997E-3</v>
      </c>
      <c r="Z171" s="154">
        <v>9.1E-4</v>
      </c>
      <c r="AA171" s="174"/>
    </row>
    <row r="172" spans="1:27" x14ac:dyDescent="0.2">
      <c r="A172" s="150" t="s">
        <v>1264</v>
      </c>
      <c r="B172" s="151" t="s">
        <v>1264</v>
      </c>
      <c r="C172" s="151" t="s">
        <v>2387</v>
      </c>
      <c r="D172" s="151"/>
      <c r="E172" s="151"/>
      <c r="F172" s="151" t="s">
        <v>2388</v>
      </c>
      <c r="G172" s="151" t="s">
        <v>2389</v>
      </c>
      <c r="H172" s="151" t="s">
        <v>101</v>
      </c>
      <c r="I172" s="151" t="s">
        <v>728</v>
      </c>
      <c r="J172" s="151"/>
      <c r="K172" s="151" t="s">
        <v>60</v>
      </c>
      <c r="L172" s="151"/>
      <c r="M172" s="151"/>
      <c r="N172" s="151" t="s">
        <v>306</v>
      </c>
      <c r="O172" s="151" t="s">
        <v>61</v>
      </c>
      <c r="P172" s="162">
        <v>43277</v>
      </c>
      <c r="Q172" s="151" t="s">
        <v>1256</v>
      </c>
      <c r="R172" s="151" t="s">
        <v>295</v>
      </c>
      <c r="S172" s="151" t="s">
        <v>296</v>
      </c>
      <c r="T172" s="162">
        <v>46112</v>
      </c>
      <c r="U172" s="152">
        <v>3.165</v>
      </c>
      <c r="V172" s="164">
        <v>2728.5377567140599</v>
      </c>
      <c r="W172" s="152">
        <v>8635.8220000000001</v>
      </c>
      <c r="X172" s="153">
        <v>3.3400000000000001E-3</v>
      </c>
      <c r="Y172" s="153">
        <v>5.8599999999999998E-3</v>
      </c>
      <c r="Z172" s="154">
        <v>8.5999999999999998E-4</v>
      </c>
      <c r="AA172" s="174"/>
    </row>
    <row r="173" spans="1:27" x14ac:dyDescent="0.2">
      <c r="A173" s="150" t="s">
        <v>1264</v>
      </c>
      <c r="B173" s="151" t="s">
        <v>1264</v>
      </c>
      <c r="C173" s="151" t="s">
        <v>2281</v>
      </c>
      <c r="D173" s="151"/>
      <c r="E173" s="151"/>
      <c r="F173" s="151" t="s">
        <v>2403</v>
      </c>
      <c r="G173" s="151" t="s">
        <v>2404</v>
      </c>
      <c r="H173" s="151" t="s">
        <v>101</v>
      </c>
      <c r="I173" s="151" t="s">
        <v>728</v>
      </c>
      <c r="J173" s="151"/>
      <c r="K173" s="151" t="s">
        <v>60</v>
      </c>
      <c r="L173" s="151"/>
      <c r="M173" s="151"/>
      <c r="N173" s="151" t="s">
        <v>306</v>
      </c>
      <c r="O173" s="151" t="s">
        <v>61</v>
      </c>
      <c r="P173" s="162">
        <v>45596</v>
      </c>
      <c r="Q173" s="151" t="s">
        <v>1256</v>
      </c>
      <c r="R173" s="151" t="s">
        <v>295</v>
      </c>
      <c r="S173" s="151" t="s">
        <v>296</v>
      </c>
      <c r="T173" s="162">
        <v>46091</v>
      </c>
      <c r="U173" s="152">
        <v>3.165</v>
      </c>
      <c r="V173" s="164">
        <v>2566.1860979462876</v>
      </c>
      <c r="W173" s="152">
        <v>8121.9790000000003</v>
      </c>
      <c r="X173" s="153">
        <v>1.5399999999999999E-3</v>
      </c>
      <c r="Y173" s="153">
        <v>5.5199999999999997E-3</v>
      </c>
      <c r="Z173" s="154">
        <v>8.0999999999999996E-4</v>
      </c>
      <c r="AA173" s="174"/>
    </row>
    <row r="174" spans="1:27" x14ac:dyDescent="0.2">
      <c r="A174" s="150" t="s">
        <v>1264</v>
      </c>
      <c r="B174" s="151" t="s">
        <v>1264</v>
      </c>
      <c r="C174" s="151" t="s">
        <v>2405</v>
      </c>
      <c r="D174" s="151"/>
      <c r="E174" s="151"/>
      <c r="F174" s="151" t="s">
        <v>2406</v>
      </c>
      <c r="G174" s="151" t="s">
        <v>2407</v>
      </c>
      <c r="H174" s="151" t="s">
        <v>101</v>
      </c>
      <c r="I174" s="151" t="s">
        <v>273</v>
      </c>
      <c r="J174" s="151"/>
      <c r="K174" s="151" t="s">
        <v>60</v>
      </c>
      <c r="L174" s="151"/>
      <c r="M174" s="151"/>
      <c r="N174" s="151" t="s">
        <v>306</v>
      </c>
      <c r="O174" s="151" t="s">
        <v>61</v>
      </c>
      <c r="P174" s="162">
        <v>45390</v>
      </c>
      <c r="Q174" s="151" t="s">
        <v>1256</v>
      </c>
      <c r="R174" s="151" t="s">
        <v>295</v>
      </c>
      <c r="S174" s="151" t="s">
        <v>297</v>
      </c>
      <c r="T174" s="162">
        <v>45995</v>
      </c>
      <c r="U174" s="152">
        <v>3.165</v>
      </c>
      <c r="V174" s="164">
        <v>2479.3845181674565</v>
      </c>
      <c r="W174" s="152">
        <v>7847.2520000000004</v>
      </c>
      <c r="X174" s="153">
        <v>3.2499999999999999E-3</v>
      </c>
      <c r="Y174" s="153">
        <v>5.3299999999999997E-3</v>
      </c>
      <c r="Z174" s="154">
        <v>7.9000000000000001E-4</v>
      </c>
      <c r="AA174" s="174"/>
    </row>
    <row r="175" spans="1:27" x14ac:dyDescent="0.2">
      <c r="A175" s="150" t="s">
        <v>1264</v>
      </c>
      <c r="B175" s="151" t="s">
        <v>1264</v>
      </c>
      <c r="C175" s="151" t="s">
        <v>2410</v>
      </c>
      <c r="D175" s="151"/>
      <c r="E175" s="151"/>
      <c r="F175" s="151" t="s">
        <v>2411</v>
      </c>
      <c r="G175" s="151" t="s">
        <v>2412</v>
      </c>
      <c r="H175" s="151" t="s">
        <v>101</v>
      </c>
      <c r="I175" s="151" t="s">
        <v>273</v>
      </c>
      <c r="J175" s="151"/>
      <c r="K175" s="151" t="s">
        <v>60</v>
      </c>
      <c r="L175" s="151"/>
      <c r="M175" s="151"/>
      <c r="N175" s="151" t="s">
        <v>305</v>
      </c>
      <c r="O175" s="151" t="s">
        <v>61</v>
      </c>
      <c r="P175" s="162">
        <v>45701</v>
      </c>
      <c r="Q175" s="151" t="s">
        <v>1258</v>
      </c>
      <c r="R175" s="151" t="s">
        <v>295</v>
      </c>
      <c r="S175" s="151" t="s">
        <v>297</v>
      </c>
      <c r="T175" s="162">
        <v>46105</v>
      </c>
      <c r="U175" s="152">
        <v>3.6360000000000001</v>
      </c>
      <c r="V175" s="164">
        <v>1966.6515401540153</v>
      </c>
      <c r="W175" s="152">
        <v>7150.7449999999999</v>
      </c>
      <c r="X175" s="153">
        <v>3.8999999999999999E-4</v>
      </c>
      <c r="Y175" s="153">
        <v>4.8599999999999997E-3</v>
      </c>
      <c r="Z175" s="154">
        <v>7.2000000000000005E-4</v>
      </c>
      <c r="AA175" s="174"/>
    </row>
    <row r="176" spans="1:27" x14ac:dyDescent="0.2">
      <c r="A176" s="150" t="s">
        <v>1264</v>
      </c>
      <c r="B176" s="151" t="s">
        <v>1264</v>
      </c>
      <c r="C176" s="151" t="s">
        <v>2395</v>
      </c>
      <c r="D176" s="151"/>
      <c r="E176" s="151"/>
      <c r="F176" s="151" t="s">
        <v>2396</v>
      </c>
      <c r="G176" s="151" t="s">
        <v>2397</v>
      </c>
      <c r="H176" s="151" t="s">
        <v>101</v>
      </c>
      <c r="I176" s="151" t="s">
        <v>728</v>
      </c>
      <c r="J176" s="151"/>
      <c r="K176" s="151" t="s">
        <v>60</v>
      </c>
      <c r="L176" s="151"/>
      <c r="M176" s="151"/>
      <c r="N176" s="151" t="s">
        <v>306</v>
      </c>
      <c r="O176" s="151" t="s">
        <v>61</v>
      </c>
      <c r="P176" s="162">
        <v>44216</v>
      </c>
      <c r="Q176" s="151" t="s">
        <v>1256</v>
      </c>
      <c r="R176" s="151" t="s">
        <v>295</v>
      </c>
      <c r="S176" s="151" t="s">
        <v>296</v>
      </c>
      <c r="T176" s="162">
        <v>46112</v>
      </c>
      <c r="U176" s="152">
        <v>3.165</v>
      </c>
      <c r="V176" s="164">
        <v>2175.0603475513426</v>
      </c>
      <c r="W176" s="152">
        <v>6884.0659999999998</v>
      </c>
      <c r="X176" s="153">
        <v>1.9000000000000001E-4</v>
      </c>
      <c r="Y176" s="153">
        <v>4.6699999999999997E-3</v>
      </c>
      <c r="Z176" s="154">
        <v>6.8999999999999997E-4</v>
      </c>
      <c r="AA176" s="174"/>
    </row>
    <row r="177" spans="1:27" x14ac:dyDescent="0.2">
      <c r="A177" s="150" t="s">
        <v>1264</v>
      </c>
      <c r="B177" s="151" t="s">
        <v>1264</v>
      </c>
      <c r="C177" s="151" t="s">
        <v>2424</v>
      </c>
      <c r="D177" s="151"/>
      <c r="E177" s="151"/>
      <c r="F177" s="151" t="s">
        <v>2425</v>
      </c>
      <c r="G177" s="151" t="s">
        <v>2426</v>
      </c>
      <c r="H177" s="151" t="s">
        <v>101</v>
      </c>
      <c r="I177" s="151" t="s">
        <v>237</v>
      </c>
      <c r="J177" s="151"/>
      <c r="K177" s="151" t="s">
        <v>60</v>
      </c>
      <c r="L177" s="151"/>
      <c r="M177" s="151"/>
      <c r="N177" s="151" t="s">
        <v>306</v>
      </c>
      <c r="O177" s="151" t="s">
        <v>61</v>
      </c>
      <c r="P177" s="162">
        <v>45950</v>
      </c>
      <c r="Q177" s="151" t="s">
        <v>1256</v>
      </c>
      <c r="R177" s="151" t="s">
        <v>295</v>
      </c>
      <c r="S177" s="151" t="s">
        <v>297</v>
      </c>
      <c r="T177" s="162">
        <v>46099</v>
      </c>
      <c r="U177" s="152">
        <v>3.165</v>
      </c>
      <c r="V177" s="164">
        <v>2149.7905213270142</v>
      </c>
      <c r="W177" s="152">
        <v>6804.0870000000004</v>
      </c>
      <c r="X177" s="153">
        <v>4.4000000000000002E-4</v>
      </c>
      <c r="Y177" s="153">
        <v>4.62E-3</v>
      </c>
      <c r="Z177" s="154">
        <v>6.8000000000000005E-4</v>
      </c>
      <c r="AA177" s="174"/>
    </row>
    <row r="178" spans="1:27" x14ac:dyDescent="0.2">
      <c r="A178" s="150" t="s">
        <v>1264</v>
      </c>
      <c r="B178" s="151" t="s">
        <v>1264</v>
      </c>
      <c r="C178" s="151" t="s">
        <v>2371</v>
      </c>
      <c r="D178" s="151"/>
      <c r="E178" s="151"/>
      <c r="F178" s="151" t="s">
        <v>2398</v>
      </c>
      <c r="G178" s="151" t="s">
        <v>2399</v>
      </c>
      <c r="H178" s="151" t="s">
        <v>101</v>
      </c>
      <c r="I178" s="151" t="s">
        <v>237</v>
      </c>
      <c r="J178" s="151"/>
      <c r="K178" s="151" t="s">
        <v>60</v>
      </c>
      <c r="L178" s="151"/>
      <c r="M178" s="151"/>
      <c r="N178" s="151" t="s">
        <v>305</v>
      </c>
      <c r="O178" s="151" t="s">
        <v>61</v>
      </c>
      <c r="P178" s="162">
        <v>42901</v>
      </c>
      <c r="Q178" s="151" t="s">
        <v>1258</v>
      </c>
      <c r="R178" s="151" t="s">
        <v>295</v>
      </c>
      <c r="S178" s="151" t="s">
        <v>296</v>
      </c>
      <c r="T178" s="162">
        <v>46112</v>
      </c>
      <c r="U178" s="152">
        <v>3.6360000000000001</v>
      </c>
      <c r="V178" s="164">
        <v>1736.235698569857</v>
      </c>
      <c r="W178" s="152">
        <v>6312.9530000000004</v>
      </c>
      <c r="X178" s="153">
        <v>2.027E-2</v>
      </c>
      <c r="Y178" s="153">
        <v>4.2900000000000004E-3</v>
      </c>
      <c r="Z178" s="154">
        <v>6.3000000000000003E-4</v>
      </c>
      <c r="AA178" s="174"/>
    </row>
    <row r="179" spans="1:27" x14ac:dyDescent="0.2">
      <c r="A179" s="150" t="s">
        <v>1264</v>
      </c>
      <c r="B179" s="151" t="s">
        <v>1264</v>
      </c>
      <c r="C179" s="151" t="s">
        <v>2400</v>
      </c>
      <c r="D179" s="151"/>
      <c r="E179" s="151"/>
      <c r="F179" s="151" t="s">
        <v>2401</v>
      </c>
      <c r="G179" s="151" t="s">
        <v>2402</v>
      </c>
      <c r="H179" s="151" t="s">
        <v>101</v>
      </c>
      <c r="I179" s="151" t="s">
        <v>237</v>
      </c>
      <c r="J179" s="151"/>
      <c r="K179" s="151" t="s">
        <v>60</v>
      </c>
      <c r="L179" s="151"/>
      <c r="M179" s="151"/>
      <c r="N179" s="151" t="s">
        <v>306</v>
      </c>
      <c r="O179" s="151" t="s">
        <v>61</v>
      </c>
      <c r="P179" s="162">
        <v>42744</v>
      </c>
      <c r="Q179" s="151" t="s">
        <v>1256</v>
      </c>
      <c r="R179" s="151" t="s">
        <v>295</v>
      </c>
      <c r="S179" s="151" t="s">
        <v>296</v>
      </c>
      <c r="T179" s="162">
        <v>46111</v>
      </c>
      <c r="U179" s="152">
        <v>3.165</v>
      </c>
      <c r="V179" s="164">
        <v>1939.8685624012639</v>
      </c>
      <c r="W179" s="152">
        <v>6139.6840000000002</v>
      </c>
      <c r="X179" s="153">
        <v>3.48E-3</v>
      </c>
      <c r="Y179" s="153">
        <v>4.1700000000000001E-3</v>
      </c>
      <c r="Z179" s="154">
        <v>6.0999999999999997E-4</v>
      </c>
      <c r="AA179" s="174"/>
    </row>
    <row r="180" spans="1:27" x14ac:dyDescent="0.2">
      <c r="A180" s="150" t="s">
        <v>1264</v>
      </c>
      <c r="B180" s="151" t="s">
        <v>1264</v>
      </c>
      <c r="C180" s="151" t="s">
        <v>2416</v>
      </c>
      <c r="D180" s="151"/>
      <c r="E180" s="151"/>
      <c r="F180" s="151" t="s">
        <v>2417</v>
      </c>
      <c r="G180" s="151" t="s">
        <v>2418</v>
      </c>
      <c r="H180" s="151" t="s">
        <v>101</v>
      </c>
      <c r="I180" s="151" t="s">
        <v>273</v>
      </c>
      <c r="J180" s="151"/>
      <c r="K180" s="151" t="s">
        <v>60</v>
      </c>
      <c r="L180" s="151"/>
      <c r="M180" s="151"/>
      <c r="N180" s="151" t="s">
        <v>305</v>
      </c>
      <c r="O180" s="151" t="s">
        <v>61</v>
      </c>
      <c r="P180" s="162">
        <v>44431</v>
      </c>
      <c r="Q180" s="151" t="s">
        <v>1258</v>
      </c>
      <c r="R180" s="151" t="s">
        <v>293</v>
      </c>
      <c r="S180" s="151" t="s">
        <v>297</v>
      </c>
      <c r="T180" s="162">
        <v>46105</v>
      </c>
      <c r="U180" s="152">
        <v>3.6360000000000001</v>
      </c>
      <c r="V180" s="164">
        <v>1538.7637513751374</v>
      </c>
      <c r="W180" s="152">
        <v>5594.9449999999997</v>
      </c>
      <c r="X180" s="153">
        <v>2.2599999999999999E-3</v>
      </c>
      <c r="Y180" s="153">
        <v>3.8E-3</v>
      </c>
      <c r="Z180" s="154">
        <v>5.5999999999999995E-4</v>
      </c>
      <c r="AA180" s="174"/>
    </row>
    <row r="181" spans="1:27" x14ac:dyDescent="0.2">
      <c r="A181" s="150" t="s">
        <v>1264</v>
      </c>
      <c r="B181" s="151" t="s">
        <v>1264</v>
      </c>
      <c r="C181" s="151" t="s">
        <v>2323</v>
      </c>
      <c r="D181" s="151"/>
      <c r="E181" s="151"/>
      <c r="F181" s="151" t="s">
        <v>2408</v>
      </c>
      <c r="G181" s="151" t="s">
        <v>2409</v>
      </c>
      <c r="H181" s="151" t="s">
        <v>101</v>
      </c>
      <c r="I181" s="151" t="s">
        <v>728</v>
      </c>
      <c r="J181" s="151"/>
      <c r="K181" s="151" t="s">
        <v>60</v>
      </c>
      <c r="L181" s="151"/>
      <c r="M181" s="151"/>
      <c r="N181" s="151" t="s">
        <v>306</v>
      </c>
      <c r="O181" s="151" t="s">
        <v>61</v>
      </c>
      <c r="P181" s="162">
        <v>43446</v>
      </c>
      <c r="Q181" s="151" t="s">
        <v>1256</v>
      </c>
      <c r="R181" s="151" t="s">
        <v>295</v>
      </c>
      <c r="S181" s="151" t="s">
        <v>296</v>
      </c>
      <c r="T181" s="162">
        <v>46112</v>
      </c>
      <c r="U181" s="152">
        <v>3.165</v>
      </c>
      <c r="V181" s="164">
        <v>1632.0688783570299</v>
      </c>
      <c r="W181" s="152">
        <v>5165.4979999999996</v>
      </c>
      <c r="X181" s="153">
        <v>2.2200000000000002E-3</v>
      </c>
      <c r="Y181" s="153">
        <v>3.5100000000000001E-3</v>
      </c>
      <c r="Z181" s="154">
        <v>5.1999999999999995E-4</v>
      </c>
      <c r="AA181" s="174"/>
    </row>
    <row r="182" spans="1:27" x14ac:dyDescent="0.2">
      <c r="A182" s="150" t="s">
        <v>1264</v>
      </c>
      <c r="B182" s="151" t="s">
        <v>1264</v>
      </c>
      <c r="C182" s="151" t="s">
        <v>2413</v>
      </c>
      <c r="D182" s="151"/>
      <c r="E182" s="151"/>
      <c r="F182" s="151" t="s">
        <v>2414</v>
      </c>
      <c r="G182" s="151" t="s">
        <v>2415</v>
      </c>
      <c r="H182" s="151" t="s">
        <v>101</v>
      </c>
      <c r="I182" s="151" t="s">
        <v>728</v>
      </c>
      <c r="J182" s="151"/>
      <c r="K182" s="151" t="s">
        <v>60</v>
      </c>
      <c r="L182" s="151"/>
      <c r="M182" s="151"/>
      <c r="N182" s="151" t="s">
        <v>306</v>
      </c>
      <c r="O182" s="151" t="s">
        <v>61</v>
      </c>
      <c r="P182" s="162">
        <v>42794</v>
      </c>
      <c r="Q182" s="151" t="s">
        <v>1256</v>
      </c>
      <c r="R182" s="151" t="s">
        <v>293</v>
      </c>
      <c r="S182" s="151" t="s">
        <v>297</v>
      </c>
      <c r="T182" s="162">
        <v>46070</v>
      </c>
      <c r="U182" s="152">
        <v>3.165</v>
      </c>
      <c r="V182" s="164">
        <v>1508.81327014218</v>
      </c>
      <c r="W182" s="152">
        <v>4775.3940000000002</v>
      </c>
      <c r="X182" s="153">
        <v>4.9639999999999997E-2</v>
      </c>
      <c r="Y182" s="153">
        <v>3.2399999999999998E-3</v>
      </c>
      <c r="Z182" s="154">
        <v>4.8000000000000001E-4</v>
      </c>
      <c r="AA182" s="174"/>
    </row>
    <row r="183" spans="1:27" x14ac:dyDescent="0.2">
      <c r="A183" s="150" t="s">
        <v>1264</v>
      </c>
      <c r="B183" s="151" t="s">
        <v>1264</v>
      </c>
      <c r="C183" s="151" t="s">
        <v>2421</v>
      </c>
      <c r="D183" s="151"/>
      <c r="E183" s="151"/>
      <c r="F183" s="151" t="s">
        <v>2422</v>
      </c>
      <c r="G183" s="151" t="s">
        <v>2423</v>
      </c>
      <c r="H183" s="151" t="s">
        <v>101</v>
      </c>
      <c r="I183" s="151" t="s">
        <v>273</v>
      </c>
      <c r="J183" s="151"/>
      <c r="K183" s="151" t="s">
        <v>60</v>
      </c>
      <c r="L183" s="151"/>
      <c r="M183" s="151"/>
      <c r="N183" s="151" t="s">
        <v>305</v>
      </c>
      <c r="O183" s="151" t="s">
        <v>61</v>
      </c>
      <c r="P183" s="162">
        <v>44222</v>
      </c>
      <c r="Q183" s="151" t="s">
        <v>1258</v>
      </c>
      <c r="R183" s="151" t="s">
        <v>293</v>
      </c>
      <c r="S183" s="151" t="s">
        <v>297</v>
      </c>
      <c r="T183" s="162">
        <v>46112</v>
      </c>
      <c r="U183" s="152">
        <v>3.6360000000000001</v>
      </c>
      <c r="V183" s="164">
        <v>1142.4656215621562</v>
      </c>
      <c r="W183" s="152">
        <v>4154.0050000000001</v>
      </c>
      <c r="X183" s="153">
        <v>4.6699999999999997E-3</v>
      </c>
      <c r="Y183" s="153">
        <v>2.82E-3</v>
      </c>
      <c r="Z183" s="154">
        <v>4.2000000000000002E-4</v>
      </c>
      <c r="AA183" s="174"/>
    </row>
    <row r="184" spans="1:27" x14ac:dyDescent="0.2">
      <c r="A184" s="150" t="s">
        <v>1264</v>
      </c>
      <c r="B184" s="151" t="s">
        <v>1264</v>
      </c>
      <c r="C184" s="151" t="s">
        <v>2430</v>
      </c>
      <c r="D184" s="151"/>
      <c r="E184" s="151"/>
      <c r="F184" s="151" t="s">
        <v>2433</v>
      </c>
      <c r="G184" s="151" t="s">
        <v>2434</v>
      </c>
      <c r="H184" s="151" t="s">
        <v>101</v>
      </c>
      <c r="I184" s="151" t="s">
        <v>273</v>
      </c>
      <c r="J184" s="151"/>
      <c r="K184" s="151" t="s">
        <v>60</v>
      </c>
      <c r="L184" s="151"/>
      <c r="M184" s="151"/>
      <c r="N184" s="151" t="s">
        <v>306</v>
      </c>
      <c r="O184" s="151" t="s">
        <v>54</v>
      </c>
      <c r="P184" s="162">
        <v>43828</v>
      </c>
      <c r="Q184" s="151" t="s">
        <v>1256</v>
      </c>
      <c r="R184" s="151" t="s">
        <v>293</v>
      </c>
      <c r="S184" s="151" t="s">
        <v>297</v>
      </c>
      <c r="T184" s="162">
        <v>46099</v>
      </c>
      <c r="U184" s="152">
        <v>3.165</v>
      </c>
      <c r="V184" s="164">
        <v>1245.1058451816746</v>
      </c>
      <c r="W184" s="152">
        <v>3940.76</v>
      </c>
      <c r="X184" s="153">
        <v>7.6000000000000004E-4</v>
      </c>
      <c r="Y184" s="153">
        <v>2.6800000000000001E-3</v>
      </c>
      <c r="Z184" s="154">
        <v>3.8999999999999999E-4</v>
      </c>
      <c r="AA184" s="174"/>
    </row>
    <row r="185" spans="1:27" x14ac:dyDescent="0.2">
      <c r="A185" s="150" t="s">
        <v>1264</v>
      </c>
      <c r="B185" s="151" t="s">
        <v>1264</v>
      </c>
      <c r="C185" s="151" t="s">
        <v>2421</v>
      </c>
      <c r="D185" s="151"/>
      <c r="E185" s="151"/>
      <c r="F185" s="151" t="s">
        <v>2438</v>
      </c>
      <c r="G185" s="151" t="s">
        <v>2439</v>
      </c>
      <c r="H185" s="151" t="s">
        <v>101</v>
      </c>
      <c r="I185" s="151" t="s">
        <v>273</v>
      </c>
      <c r="J185" s="151"/>
      <c r="K185" s="151" t="s">
        <v>60</v>
      </c>
      <c r="L185" s="151"/>
      <c r="M185" s="151"/>
      <c r="N185" s="151" t="s">
        <v>305</v>
      </c>
      <c r="O185" s="151" t="s">
        <v>61</v>
      </c>
      <c r="P185" s="162">
        <v>45700</v>
      </c>
      <c r="Q185" s="151" t="s">
        <v>1258</v>
      </c>
      <c r="R185" s="151" t="s">
        <v>293</v>
      </c>
      <c r="S185" s="151" t="s">
        <v>297</v>
      </c>
      <c r="T185" s="162">
        <v>46091</v>
      </c>
      <c r="U185" s="152">
        <v>3.6360000000000001</v>
      </c>
      <c r="V185" s="164">
        <v>1079.2244224422441</v>
      </c>
      <c r="W185" s="152">
        <v>3924.06</v>
      </c>
      <c r="X185" s="153">
        <v>1.1100000000000001E-3</v>
      </c>
      <c r="Y185" s="153">
        <v>2.66E-3</v>
      </c>
      <c r="Z185" s="154">
        <v>3.8999999999999999E-4</v>
      </c>
      <c r="AA185" s="174"/>
    </row>
    <row r="186" spans="1:27" x14ac:dyDescent="0.2">
      <c r="A186" s="150" t="s">
        <v>1264</v>
      </c>
      <c r="B186" s="151" t="s">
        <v>1264</v>
      </c>
      <c r="C186" s="151" t="s">
        <v>2430</v>
      </c>
      <c r="D186" s="151"/>
      <c r="E186" s="151"/>
      <c r="F186" s="151" t="s">
        <v>2431</v>
      </c>
      <c r="G186" s="151" t="s">
        <v>2432</v>
      </c>
      <c r="H186" s="151" t="s">
        <v>101</v>
      </c>
      <c r="I186" s="151" t="s">
        <v>273</v>
      </c>
      <c r="J186" s="151"/>
      <c r="K186" s="151" t="s">
        <v>60</v>
      </c>
      <c r="L186" s="151"/>
      <c r="M186" s="151"/>
      <c r="N186" s="151" t="s">
        <v>306</v>
      </c>
      <c r="O186" s="151" t="s">
        <v>54</v>
      </c>
      <c r="P186" s="162">
        <v>43726</v>
      </c>
      <c r="Q186" s="151" t="s">
        <v>1256</v>
      </c>
      <c r="R186" s="151" t="s">
        <v>293</v>
      </c>
      <c r="S186" s="151" t="s">
        <v>297</v>
      </c>
      <c r="T186" s="162">
        <v>46112</v>
      </c>
      <c r="U186" s="152">
        <v>3.165</v>
      </c>
      <c r="V186" s="164">
        <v>938.75197472353875</v>
      </c>
      <c r="W186" s="152">
        <v>2971.15</v>
      </c>
      <c r="X186" s="153">
        <v>8.5400000000000007E-3</v>
      </c>
      <c r="Y186" s="153">
        <v>2.0200000000000001E-3</v>
      </c>
      <c r="Z186" s="154">
        <v>2.9999999999999997E-4</v>
      </c>
      <c r="AA186" s="174"/>
    </row>
    <row r="187" spans="1:27" x14ac:dyDescent="0.2">
      <c r="A187" s="150" t="s">
        <v>1264</v>
      </c>
      <c r="B187" s="151" t="s">
        <v>1264</v>
      </c>
      <c r="C187" s="151" t="s">
        <v>2435</v>
      </c>
      <c r="D187" s="151"/>
      <c r="E187" s="151"/>
      <c r="F187" s="151" t="s">
        <v>2436</v>
      </c>
      <c r="G187" s="151" t="s">
        <v>2437</v>
      </c>
      <c r="H187" s="151" t="s">
        <v>101</v>
      </c>
      <c r="I187" s="151" t="s">
        <v>237</v>
      </c>
      <c r="J187" s="151"/>
      <c r="K187" s="151" t="s">
        <v>60</v>
      </c>
      <c r="L187" s="151"/>
      <c r="M187" s="151"/>
      <c r="N187" s="151" t="s">
        <v>306</v>
      </c>
      <c r="O187" s="151" t="s">
        <v>61</v>
      </c>
      <c r="P187" s="162">
        <v>42157</v>
      </c>
      <c r="Q187" s="151" t="s">
        <v>1256</v>
      </c>
      <c r="R187" s="151" t="s">
        <v>295</v>
      </c>
      <c r="S187" s="151" t="s">
        <v>296</v>
      </c>
      <c r="T187" s="162">
        <v>46042</v>
      </c>
      <c r="U187" s="152">
        <v>3.165</v>
      </c>
      <c r="V187" s="164">
        <v>934.92069510268561</v>
      </c>
      <c r="W187" s="152">
        <v>2959.0239999999999</v>
      </c>
      <c r="X187" s="153">
        <v>4.965E-2</v>
      </c>
      <c r="Y187" s="153">
        <v>2.0100000000000001E-3</v>
      </c>
      <c r="Z187" s="154">
        <v>2.9999999999999997E-4</v>
      </c>
      <c r="AA187" s="174"/>
    </row>
    <row r="188" spans="1:27" x14ac:dyDescent="0.2">
      <c r="A188" s="150" t="s">
        <v>1264</v>
      </c>
      <c r="B188" s="151" t="s">
        <v>1264</v>
      </c>
      <c r="C188" s="151" t="s">
        <v>2309</v>
      </c>
      <c r="D188" s="151"/>
      <c r="E188" s="151"/>
      <c r="F188" s="151" t="s">
        <v>2440</v>
      </c>
      <c r="G188" s="151" t="s">
        <v>2441</v>
      </c>
      <c r="H188" s="151" t="s">
        <v>101</v>
      </c>
      <c r="I188" s="151" t="s">
        <v>728</v>
      </c>
      <c r="J188" s="151"/>
      <c r="K188" s="151" t="s">
        <v>60</v>
      </c>
      <c r="L188" s="151"/>
      <c r="M188" s="151"/>
      <c r="N188" s="151" t="s">
        <v>306</v>
      </c>
      <c r="O188" s="151" t="s">
        <v>61</v>
      </c>
      <c r="P188" s="162">
        <v>42026</v>
      </c>
      <c r="Q188" s="151" t="s">
        <v>1256</v>
      </c>
      <c r="R188" s="151" t="s">
        <v>293</v>
      </c>
      <c r="S188" s="151" t="s">
        <v>297</v>
      </c>
      <c r="T188" s="162">
        <v>46086</v>
      </c>
      <c r="U188" s="152">
        <v>3.165</v>
      </c>
      <c r="V188" s="164">
        <v>677.30394944707734</v>
      </c>
      <c r="W188" s="152">
        <v>2143.6669999999999</v>
      </c>
      <c r="X188" s="153">
        <v>1.99E-3</v>
      </c>
      <c r="Y188" s="153">
        <v>1.4599999999999999E-3</v>
      </c>
      <c r="Z188" s="154">
        <v>2.1000000000000001E-4</v>
      </c>
      <c r="AA188" s="174"/>
    </row>
    <row r="189" spans="1:27" x14ac:dyDescent="0.2">
      <c r="A189" s="150" t="s">
        <v>1264</v>
      </c>
      <c r="B189" s="151" t="s">
        <v>1264</v>
      </c>
      <c r="C189" s="151" t="s">
        <v>2309</v>
      </c>
      <c r="D189" s="151"/>
      <c r="E189" s="151"/>
      <c r="F189" s="151" t="s">
        <v>2442</v>
      </c>
      <c r="G189" s="151" t="s">
        <v>2443</v>
      </c>
      <c r="H189" s="151" t="s">
        <v>101</v>
      </c>
      <c r="I189" s="151" t="s">
        <v>273</v>
      </c>
      <c r="J189" s="151"/>
      <c r="K189" s="151" t="s">
        <v>60</v>
      </c>
      <c r="L189" s="151"/>
      <c r="M189" s="151"/>
      <c r="N189" s="151" t="s">
        <v>306</v>
      </c>
      <c r="O189" s="151" t="s">
        <v>61</v>
      </c>
      <c r="P189" s="162">
        <v>42845</v>
      </c>
      <c r="Q189" s="151" t="s">
        <v>1256</v>
      </c>
      <c r="R189" s="151" t="s">
        <v>293</v>
      </c>
      <c r="S189" s="151" t="s">
        <v>297</v>
      </c>
      <c r="T189" s="162">
        <v>46100</v>
      </c>
      <c r="U189" s="152">
        <v>3.165</v>
      </c>
      <c r="V189" s="164">
        <v>146.55545023696683</v>
      </c>
      <c r="W189" s="152">
        <v>463.84800000000001</v>
      </c>
      <c r="X189" s="153">
        <v>6.94E-3</v>
      </c>
      <c r="Y189" s="153">
        <v>3.1E-4</v>
      </c>
      <c r="Z189" s="154">
        <v>5.0000000000000002E-5</v>
      </c>
      <c r="AA189" s="174"/>
    </row>
    <row r="190" spans="1:27" x14ac:dyDescent="0.2">
      <c r="A190" s="150" t="s">
        <v>1264</v>
      </c>
      <c r="B190" s="151" t="s">
        <v>1264</v>
      </c>
      <c r="C190" s="151" t="s">
        <v>2447</v>
      </c>
      <c r="D190" s="151"/>
      <c r="E190" s="151"/>
      <c r="F190" s="151" t="s">
        <v>2448</v>
      </c>
      <c r="G190" s="151" t="s">
        <v>2449</v>
      </c>
      <c r="H190" s="151" t="s">
        <v>101</v>
      </c>
      <c r="I190" s="151" t="s">
        <v>728</v>
      </c>
      <c r="J190" s="151"/>
      <c r="K190" s="151" t="s">
        <v>60</v>
      </c>
      <c r="L190" s="151"/>
      <c r="M190" s="151"/>
      <c r="N190" s="151" t="s">
        <v>305</v>
      </c>
      <c r="O190" s="151" t="s">
        <v>61</v>
      </c>
      <c r="P190" s="162">
        <v>46112</v>
      </c>
      <c r="Q190" s="151" t="s">
        <v>1258</v>
      </c>
      <c r="R190" s="151" t="s">
        <v>295</v>
      </c>
      <c r="S190" s="151" t="s">
        <v>297</v>
      </c>
      <c r="T190" s="162">
        <v>46107</v>
      </c>
      <c r="U190" s="152">
        <v>3.6360000000000001</v>
      </c>
      <c r="V190" s="164">
        <v>115.60176017601759</v>
      </c>
      <c r="W190" s="152">
        <v>420.32799999999997</v>
      </c>
      <c r="X190" s="153">
        <v>2.0000000000000002E-5</v>
      </c>
      <c r="Y190" s="153">
        <v>2.9E-4</v>
      </c>
      <c r="Z190" s="154">
        <v>4.0000000000000003E-5</v>
      </c>
      <c r="AA190" s="174"/>
    </row>
    <row r="191" spans="1:27" x14ac:dyDescent="0.2">
      <c r="A191" s="150" t="s">
        <v>1264</v>
      </c>
      <c r="B191" s="151" t="s">
        <v>1264</v>
      </c>
      <c r="C191" s="151" t="s">
        <v>2444</v>
      </c>
      <c r="D191" s="151"/>
      <c r="E191" s="151"/>
      <c r="F191" s="151" t="s">
        <v>2445</v>
      </c>
      <c r="G191" s="151" t="s">
        <v>2446</v>
      </c>
      <c r="H191" s="151" t="s">
        <v>101</v>
      </c>
      <c r="I191" s="151" t="s">
        <v>273</v>
      </c>
      <c r="J191" s="151"/>
      <c r="K191" s="151" t="s">
        <v>60</v>
      </c>
      <c r="L191" s="151"/>
      <c r="M191" s="151"/>
      <c r="N191" s="151" t="s">
        <v>306</v>
      </c>
      <c r="O191" s="151" t="s">
        <v>61</v>
      </c>
      <c r="P191" s="162">
        <v>43734</v>
      </c>
      <c r="Q191" s="151" t="s">
        <v>1256</v>
      </c>
      <c r="R191" s="151" t="s">
        <v>293</v>
      </c>
      <c r="S191" s="151" t="s">
        <v>297</v>
      </c>
      <c r="T191" s="162">
        <v>46086</v>
      </c>
      <c r="U191" s="152">
        <v>3.165</v>
      </c>
      <c r="V191" s="164">
        <v>126.17124802527645</v>
      </c>
      <c r="W191" s="152">
        <v>399.33199999999999</v>
      </c>
      <c r="X191" s="153">
        <v>1.6000000000000001E-4</v>
      </c>
      <c r="Y191" s="153">
        <v>2.7E-4</v>
      </c>
      <c r="Z191" s="154">
        <v>4.0000000000000003E-5</v>
      </c>
      <c r="AA191" s="174"/>
    </row>
    <row r="192" spans="1:27" x14ac:dyDescent="0.2">
      <c r="A192" s="150" t="s">
        <v>1264</v>
      </c>
      <c r="B192" s="151" t="s">
        <v>1264</v>
      </c>
      <c r="C192" s="151" t="s">
        <v>2450</v>
      </c>
      <c r="D192" s="151"/>
      <c r="E192" s="151"/>
      <c r="F192" s="151" t="s">
        <v>2451</v>
      </c>
      <c r="G192" s="151" t="s">
        <v>2452</v>
      </c>
      <c r="H192" s="151" t="s">
        <v>101</v>
      </c>
      <c r="I192" s="151" t="s">
        <v>728</v>
      </c>
      <c r="J192" s="151"/>
      <c r="K192" s="151" t="s">
        <v>60</v>
      </c>
      <c r="L192" s="151"/>
      <c r="M192" s="151"/>
      <c r="N192" s="151" t="s">
        <v>306</v>
      </c>
      <c r="O192" s="151" t="s">
        <v>61</v>
      </c>
      <c r="P192" s="162">
        <v>45790</v>
      </c>
      <c r="Q192" s="151" t="s">
        <v>1256</v>
      </c>
      <c r="R192" s="151" t="s">
        <v>295</v>
      </c>
      <c r="S192" s="151" t="s">
        <v>297</v>
      </c>
      <c r="T192" s="162">
        <v>46111</v>
      </c>
      <c r="U192" s="152">
        <v>3.165</v>
      </c>
      <c r="V192" s="164">
        <v>37.758609794628754</v>
      </c>
      <c r="W192" s="152">
        <v>119.506</v>
      </c>
      <c r="X192" s="153">
        <v>3.0000000000000001E-5</v>
      </c>
      <c r="Y192" s="153">
        <v>8.0000000000000007E-5</v>
      </c>
      <c r="Z192" s="154">
        <v>1.0000000000000001E-5</v>
      </c>
      <c r="AA192" s="174"/>
    </row>
    <row r="193" spans="1:27" x14ac:dyDescent="0.2">
      <c r="A193" s="150" t="s">
        <v>1264</v>
      </c>
      <c r="B193" s="151" t="s">
        <v>1264</v>
      </c>
      <c r="C193" s="151" t="s">
        <v>2309</v>
      </c>
      <c r="D193" s="151"/>
      <c r="E193" s="151"/>
      <c r="F193" s="151" t="s">
        <v>2453</v>
      </c>
      <c r="G193" s="151" t="s">
        <v>2454</v>
      </c>
      <c r="H193" s="151" t="s">
        <v>101</v>
      </c>
      <c r="I193" s="151" t="s">
        <v>273</v>
      </c>
      <c r="J193" s="151"/>
      <c r="K193" s="151" t="s">
        <v>60</v>
      </c>
      <c r="L193" s="151"/>
      <c r="M193" s="151"/>
      <c r="N193" s="151" t="s">
        <v>306</v>
      </c>
      <c r="O193" s="151" t="s">
        <v>61</v>
      </c>
      <c r="P193" s="162">
        <v>42541</v>
      </c>
      <c r="Q193" s="151" t="s">
        <v>1256</v>
      </c>
      <c r="R193" s="151" t="s">
        <v>293</v>
      </c>
      <c r="S193" s="151" t="s">
        <v>297</v>
      </c>
      <c r="T193" s="162">
        <v>45942</v>
      </c>
      <c r="U193" s="152">
        <v>3.165</v>
      </c>
      <c r="V193" s="164">
        <v>0.1014218009478673</v>
      </c>
      <c r="W193" s="152">
        <v>0.32100000000000001</v>
      </c>
      <c r="X193" s="153">
        <v>6.79E-3</v>
      </c>
      <c r="Y193" s="153">
        <v>0</v>
      </c>
      <c r="Z193" s="154">
        <v>0</v>
      </c>
      <c r="AA193" s="174"/>
    </row>
    <row r="194" spans="1:27" x14ac:dyDescent="0.2">
      <c r="A194" s="150" t="s">
        <v>1251</v>
      </c>
      <c r="B194" s="151" t="s">
        <v>1262</v>
      </c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60"/>
      <c r="AA194" s="174"/>
    </row>
    <row r="195" spans="1:27" x14ac:dyDescent="0.2">
      <c r="A195" s="150" t="s">
        <v>1251</v>
      </c>
      <c r="B195" s="151" t="s">
        <v>1263</v>
      </c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60"/>
      <c r="AA195" s="174"/>
    </row>
    <row r="196" spans="1:27" x14ac:dyDescent="0.2">
      <c r="A196" s="150" t="s">
        <v>1264</v>
      </c>
      <c r="B196" s="151" t="s">
        <v>1265</v>
      </c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60"/>
      <c r="AA196" s="174"/>
    </row>
    <row r="197" spans="1:27" x14ac:dyDescent="0.2">
      <c r="A197" s="155" t="s">
        <v>1264</v>
      </c>
      <c r="B197" s="156" t="s">
        <v>1266</v>
      </c>
      <c r="C197" s="156"/>
      <c r="D197" s="156"/>
      <c r="E197" s="156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61"/>
      <c r="AA197" s="174"/>
    </row>
    <row r="198" spans="1:27" x14ac:dyDescent="0.2">
      <c r="A198" s="174" t="s">
        <v>2521</v>
      </c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</row>
    <row r="199" spans="1:27" x14ac:dyDescent="0.2">
      <c r="A199" t="s">
        <v>2520</v>
      </c>
    </row>
    <row r="200" spans="1:27" x14ac:dyDescent="0.2">
      <c r="A200" s="1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  <pageSetup orientation="portrait"/>
    </customSheetView>
  </customSheetViews>
  <mergeCells count="2">
    <mergeCell ref="A198:Z198"/>
    <mergeCell ref="AA2:AA197"/>
  </mergeCells>
  <pageMargins left="0.7" right="0.7" top="0.75" bottom="0.75" header="0.3" footer="0.3"/>
  <pageSetup orientation="portrait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9" width="11.625" customWidth="1"/>
    <col min="10" max="10" width="19.875" customWidth="1"/>
    <col min="11" max="11" width="13.75" customWidth="1"/>
    <col min="12" max="12" width="18.625" customWidth="1"/>
    <col min="13" max="13" width="11.625" customWidth="1"/>
    <col min="14" max="14" width="12" customWidth="1"/>
    <col min="15" max="15" width="15.125" customWidth="1"/>
    <col min="16" max="16" width="12" customWidth="1"/>
    <col min="17" max="17" width="11.75" customWidth="1"/>
    <col min="18" max="18" width="14" customWidth="1"/>
    <col min="19" max="19" width="18.625" customWidth="1"/>
    <col min="20" max="20" width="16.375" customWidth="1"/>
    <col min="21" max="22" width="11.625" customWidth="1"/>
    <col min="23" max="23" width="14.875" customWidth="1"/>
    <col min="24" max="24" width="12.875" customWidth="1"/>
    <col min="25" max="25" width="11.625" customWidth="1"/>
    <col min="26" max="26" width="17.875" customWidth="1"/>
    <col min="27" max="27" width="21.75" customWidth="1"/>
    <col min="28" max="28" width="20.125" customWidth="1"/>
    <col min="29" max="29" width="11.625" hidden="1" customWidth="1"/>
    <col min="30" max="16384" width="9" hidden="1"/>
  </cols>
  <sheetData>
    <row r="1" spans="1:29" x14ac:dyDescent="0.2">
      <c r="A1" t="s">
        <v>2543</v>
      </c>
    </row>
    <row r="2" spans="1:29" s="2" customFormat="1" x14ac:dyDescent="0.2">
      <c r="A2" s="147" t="s">
        <v>636</v>
      </c>
      <c r="B2" s="148" t="s">
        <v>0</v>
      </c>
      <c r="C2" s="148" t="s">
        <v>703</v>
      </c>
      <c r="D2" s="148" t="s">
        <v>2</v>
      </c>
      <c r="E2" s="148" t="s">
        <v>719</v>
      </c>
      <c r="F2" s="148" t="s">
        <v>1097</v>
      </c>
      <c r="G2" s="148" t="s">
        <v>28</v>
      </c>
      <c r="H2" s="148" t="s">
        <v>27</v>
      </c>
      <c r="I2" s="148" t="s">
        <v>591</v>
      </c>
      <c r="J2" s="148" t="s">
        <v>592</v>
      </c>
      <c r="K2" s="148" t="s">
        <v>596</v>
      </c>
      <c r="L2" s="148" t="s">
        <v>717</v>
      </c>
      <c r="M2" s="148" t="s">
        <v>8</v>
      </c>
      <c r="N2" s="148" t="s">
        <v>651</v>
      </c>
      <c r="O2" s="148" t="s">
        <v>593</v>
      </c>
      <c r="P2" s="148" t="s">
        <v>11</v>
      </c>
      <c r="Q2" s="148" t="s">
        <v>387</v>
      </c>
      <c r="R2" s="148" t="s">
        <v>876</v>
      </c>
      <c r="S2" s="148" t="s">
        <v>363</v>
      </c>
      <c r="T2" s="148" t="s">
        <v>15</v>
      </c>
      <c r="U2" s="148" t="s">
        <v>22</v>
      </c>
      <c r="V2" s="148" t="s">
        <v>600</v>
      </c>
      <c r="W2" s="148" t="s">
        <v>747</v>
      </c>
      <c r="X2" s="148" t="s">
        <v>14</v>
      </c>
      <c r="Y2" s="148" t="s">
        <v>10</v>
      </c>
      <c r="Z2" s="148" t="s">
        <v>1105</v>
      </c>
      <c r="AA2" s="148" t="s">
        <v>18</v>
      </c>
      <c r="AB2" s="149" t="s">
        <v>29</v>
      </c>
      <c r="AC2" s="174" t="s">
        <v>2522</v>
      </c>
    </row>
    <row r="3" spans="1:29" x14ac:dyDescent="0.2">
      <c r="A3" s="150" t="s">
        <v>1251</v>
      </c>
      <c r="B3" s="151" t="s">
        <v>1251</v>
      </c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60"/>
      <c r="AC3" s="174"/>
    </row>
    <row r="4" spans="1:29" x14ac:dyDescent="0.2">
      <c r="A4" s="150" t="s">
        <v>1251</v>
      </c>
      <c r="B4" s="151" t="s">
        <v>1262</v>
      </c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60"/>
      <c r="AC4" s="174"/>
    </row>
    <row r="5" spans="1:29" x14ac:dyDescent="0.2">
      <c r="A5" s="150" t="s">
        <v>1251</v>
      </c>
      <c r="B5" s="151" t="s">
        <v>1263</v>
      </c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60"/>
      <c r="AC5" s="174"/>
    </row>
    <row r="6" spans="1:29" x14ac:dyDescent="0.2">
      <c r="A6" s="150" t="s">
        <v>1264</v>
      </c>
      <c r="B6" s="151" t="s">
        <v>1264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60"/>
      <c r="AC6" s="174"/>
    </row>
    <row r="7" spans="1:29" x14ac:dyDescent="0.2">
      <c r="A7" s="150" t="s">
        <v>1264</v>
      </c>
      <c r="B7" s="151" t="s">
        <v>1265</v>
      </c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60"/>
      <c r="AC7" s="174"/>
    </row>
    <row r="8" spans="1:29" x14ac:dyDescent="0.2">
      <c r="A8" s="155" t="s">
        <v>1264</v>
      </c>
      <c r="B8" s="156" t="s">
        <v>1266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61"/>
      <c r="AC8" s="174"/>
    </row>
    <row r="9" spans="1:29" x14ac:dyDescent="0.2">
      <c r="A9" s="174" t="s">
        <v>2521</v>
      </c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</row>
    <row r="10" spans="1:29" x14ac:dyDescent="0.2">
      <c r="A10" t="s">
        <v>2520</v>
      </c>
    </row>
    <row r="11" spans="1:29" x14ac:dyDescent="0.2">
      <c r="A11" s="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AB9"/>
    <mergeCell ref="AC2:AC8"/>
  </mergeCells>
  <pageMargins left="0.7" right="0.7" top="0.75" bottom="0.75" header="0.3" footer="0.3"/>
  <pageSetup orientation="portrait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3" width="11.625" customWidth="1"/>
    <col min="14" max="14" width="12" customWidth="1"/>
    <col min="15" max="15" width="15.125" customWidth="1"/>
    <col min="16" max="16" width="12" customWidth="1"/>
    <col min="17" max="17" width="11.75" customWidth="1"/>
    <col min="18" max="18" width="14" customWidth="1"/>
    <col min="19" max="19" width="18.625" customWidth="1"/>
    <col min="20" max="20" width="16.375" customWidth="1"/>
    <col min="21" max="22" width="11.625" customWidth="1"/>
    <col min="23" max="23" width="14.875" customWidth="1"/>
    <col min="24" max="24" width="12.875" customWidth="1"/>
    <col min="25" max="25" width="10.5" customWidth="1"/>
    <col min="26" max="26" width="17.875" customWidth="1"/>
    <col min="27" max="27" width="21.75" customWidth="1"/>
    <col min="28" max="28" width="20.125" customWidth="1"/>
    <col min="29" max="29" width="11.625" hidden="1" customWidth="1"/>
    <col min="30" max="16384" width="9" hidden="1"/>
  </cols>
  <sheetData>
    <row r="1" spans="1:29" x14ac:dyDescent="0.2">
      <c r="A1" t="s">
        <v>2544</v>
      </c>
    </row>
    <row r="2" spans="1:29" s="2" customFormat="1" x14ac:dyDescent="0.2">
      <c r="A2" s="147" t="s">
        <v>636</v>
      </c>
      <c r="B2" s="148" t="s">
        <v>0</v>
      </c>
      <c r="C2" s="148" t="s">
        <v>703</v>
      </c>
      <c r="D2" s="148" t="s">
        <v>2</v>
      </c>
      <c r="E2" s="148" t="s">
        <v>719</v>
      </c>
      <c r="F2" s="148" t="s">
        <v>1097</v>
      </c>
      <c r="G2" s="148" t="s">
        <v>28</v>
      </c>
      <c r="H2" s="148" t="s">
        <v>27</v>
      </c>
      <c r="I2" s="148" t="s">
        <v>1</v>
      </c>
      <c r="J2" s="148" t="s">
        <v>591</v>
      </c>
      <c r="K2" s="148" t="s">
        <v>592</v>
      </c>
      <c r="L2" s="148" t="s">
        <v>8</v>
      </c>
      <c r="M2" s="148" t="s">
        <v>9</v>
      </c>
      <c r="N2" s="148" t="s">
        <v>651</v>
      </c>
      <c r="O2" s="148" t="s">
        <v>593</v>
      </c>
      <c r="P2" s="148" t="s">
        <v>11</v>
      </c>
      <c r="Q2" s="148" t="s">
        <v>387</v>
      </c>
      <c r="R2" s="148" t="s">
        <v>876</v>
      </c>
      <c r="S2" s="148" t="s">
        <v>363</v>
      </c>
      <c r="T2" s="148" t="s">
        <v>15</v>
      </c>
      <c r="U2" s="148" t="s">
        <v>22</v>
      </c>
      <c r="V2" s="148" t="s">
        <v>600</v>
      </c>
      <c r="W2" s="148" t="s">
        <v>747</v>
      </c>
      <c r="X2" s="148" t="s">
        <v>14</v>
      </c>
      <c r="Y2" s="148" t="s">
        <v>10</v>
      </c>
      <c r="Z2" s="148" t="s">
        <v>1105</v>
      </c>
      <c r="AA2" s="148" t="s">
        <v>18</v>
      </c>
      <c r="AB2" s="149" t="s">
        <v>29</v>
      </c>
      <c r="AC2" s="174" t="s">
        <v>2522</v>
      </c>
    </row>
    <row r="3" spans="1:29" x14ac:dyDescent="0.2">
      <c r="A3" s="150" t="s">
        <v>1251</v>
      </c>
      <c r="B3" s="151" t="s">
        <v>1251</v>
      </c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60"/>
      <c r="AC3" s="174"/>
    </row>
    <row r="4" spans="1:29" x14ac:dyDescent="0.2">
      <c r="A4" s="150" t="s">
        <v>1251</v>
      </c>
      <c r="B4" s="151" t="s">
        <v>1262</v>
      </c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60"/>
      <c r="AC4" s="174"/>
    </row>
    <row r="5" spans="1:29" x14ac:dyDescent="0.2">
      <c r="A5" s="150" t="s">
        <v>1251</v>
      </c>
      <c r="B5" s="151" t="s">
        <v>1263</v>
      </c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60"/>
      <c r="AC5" s="174"/>
    </row>
    <row r="6" spans="1:29" x14ac:dyDescent="0.2">
      <c r="A6" s="150" t="s">
        <v>1264</v>
      </c>
      <c r="B6" s="151" t="s">
        <v>1264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60"/>
      <c r="AC6" s="174"/>
    </row>
    <row r="7" spans="1:29" x14ac:dyDescent="0.2">
      <c r="A7" s="150" t="s">
        <v>1264</v>
      </c>
      <c r="B7" s="151" t="s">
        <v>1265</v>
      </c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60"/>
      <c r="AC7" s="174"/>
    </row>
    <row r="8" spans="1:29" x14ac:dyDescent="0.2">
      <c r="A8" s="155" t="s">
        <v>1264</v>
      </c>
      <c r="B8" s="156" t="s">
        <v>1266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61"/>
      <c r="AC8" s="174"/>
    </row>
    <row r="9" spans="1:29" x14ac:dyDescent="0.2">
      <c r="A9" s="174" t="s">
        <v>2521</v>
      </c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</row>
    <row r="10" spans="1:29" x14ac:dyDescent="0.2">
      <c r="A10" t="s">
        <v>2520</v>
      </c>
    </row>
    <row r="11" spans="1:29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AB9"/>
    <mergeCell ref="AC2:AC8"/>
  </mergeCells>
  <pageMargins left="0.7" right="0.7" top="0.75" bottom="0.75" header="0.3" footer="0.3"/>
  <pageSetup orientation="portrait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23"/>
  <sheetViews>
    <sheetView rightToLeft="1" workbookViewId="0"/>
  </sheetViews>
  <sheetFormatPr defaultColWidth="0" defaultRowHeight="14.25" x14ac:dyDescent="0.2"/>
  <cols>
    <col min="1" max="1" width="29.375" customWidth="1"/>
    <col min="2" max="3" width="11.625" customWidth="1"/>
    <col min="4" max="4" width="16.25" customWidth="1"/>
    <col min="5" max="5" width="17" customWidth="1"/>
    <col min="6" max="6" width="15.75" customWidth="1"/>
    <col min="7" max="7" width="14.125" customWidth="1"/>
    <col min="8" max="8" width="24.125" customWidth="1"/>
    <col min="9" max="9" width="27" customWidth="1"/>
    <col min="10" max="10" width="25.375" customWidth="1"/>
    <col min="11" max="11" width="16.25" customWidth="1"/>
    <col min="12" max="12" width="17" customWidth="1"/>
    <col min="13" max="13" width="15.75" customWidth="1"/>
    <col min="14" max="14" width="14.125" customWidth="1"/>
    <col min="15" max="15" width="24.125" customWidth="1"/>
    <col min="16" max="16" width="27" customWidth="1"/>
    <col min="17" max="17" width="25.375" customWidth="1"/>
    <col min="18" max="18" width="20.5" customWidth="1"/>
    <col min="19" max="19" width="11.625" customWidth="1"/>
    <col min="20" max="20" width="19.875" customWidth="1"/>
    <col min="21" max="24" width="11.625" customWidth="1"/>
    <col min="25" max="25" width="15.125" customWidth="1"/>
    <col min="26" max="26" width="19.625" customWidth="1"/>
    <col min="27" max="28" width="12.625" customWidth="1"/>
    <col min="29" max="29" width="11.625" customWidth="1"/>
    <col min="30" max="30" width="25.375" customWidth="1"/>
    <col min="31" max="32" width="11.625" customWidth="1"/>
    <col min="33" max="33" width="15" customWidth="1"/>
    <col min="34" max="34" width="14.25" customWidth="1"/>
    <col min="35" max="35" width="31.75" customWidth="1"/>
    <col min="36" max="36" width="28.375" customWidth="1"/>
    <col min="37" max="37" width="25.875" customWidth="1"/>
    <col min="38" max="38" width="24.375" customWidth="1"/>
    <col min="39" max="39" width="19.5" customWidth="1"/>
    <col min="40" max="40" width="21.75" customWidth="1"/>
    <col min="41" max="41" width="20.125" customWidth="1"/>
    <col min="42" max="16384" width="9" hidden="1"/>
  </cols>
  <sheetData>
    <row r="1" spans="1:42" x14ac:dyDescent="0.2">
      <c r="A1" t="s">
        <v>2545</v>
      </c>
    </row>
    <row r="2" spans="1:42" s="7" customFormat="1" x14ac:dyDescent="0.2">
      <c r="A2" s="147" t="s">
        <v>636</v>
      </c>
      <c r="B2" s="148" t="s">
        <v>0</v>
      </c>
      <c r="C2" s="148" t="s">
        <v>1</v>
      </c>
      <c r="D2" s="148" t="s">
        <v>409</v>
      </c>
      <c r="E2" s="148" t="s">
        <v>768</v>
      </c>
      <c r="F2" s="148" t="s">
        <v>1213</v>
      </c>
      <c r="G2" s="148" t="s">
        <v>318</v>
      </c>
      <c r="H2" s="148" t="s">
        <v>322</v>
      </c>
      <c r="I2" s="148" t="s">
        <v>320</v>
      </c>
      <c r="J2" s="148" t="s">
        <v>321</v>
      </c>
      <c r="K2" s="148" t="s">
        <v>410</v>
      </c>
      <c r="L2" s="148" t="s">
        <v>769</v>
      </c>
      <c r="M2" s="148" t="s">
        <v>1214</v>
      </c>
      <c r="N2" s="148" t="s">
        <v>319</v>
      </c>
      <c r="O2" s="148" t="s">
        <v>323</v>
      </c>
      <c r="P2" s="148" t="s">
        <v>1248</v>
      </c>
      <c r="Q2" s="148" t="s">
        <v>1249</v>
      </c>
      <c r="R2" s="148" t="s">
        <v>1111</v>
      </c>
      <c r="S2" s="148" t="s">
        <v>591</v>
      </c>
      <c r="T2" s="148" t="s">
        <v>592</v>
      </c>
      <c r="U2" s="148" t="s">
        <v>451</v>
      </c>
      <c r="V2" s="148" t="s">
        <v>335</v>
      </c>
      <c r="W2" s="148" t="s">
        <v>450</v>
      </c>
      <c r="X2" s="148" t="s">
        <v>98</v>
      </c>
      <c r="Y2" s="148" t="s">
        <v>593</v>
      </c>
      <c r="Z2" s="148" t="s">
        <v>356</v>
      </c>
      <c r="AA2" s="148" t="s">
        <v>357</v>
      </c>
      <c r="AB2" s="148" t="s">
        <v>599</v>
      </c>
      <c r="AC2" s="148" t="s">
        <v>300</v>
      </c>
      <c r="AD2" s="148" t="s">
        <v>359</v>
      </c>
      <c r="AE2" s="148" t="s">
        <v>716</v>
      </c>
      <c r="AF2" s="148" t="s">
        <v>301</v>
      </c>
      <c r="AG2" s="148" t="s">
        <v>302</v>
      </c>
      <c r="AH2" s="148" t="s">
        <v>340</v>
      </c>
      <c r="AI2" s="148" t="s">
        <v>358</v>
      </c>
      <c r="AJ2" s="148" t="s">
        <v>604</v>
      </c>
      <c r="AK2" s="148" t="s">
        <v>355</v>
      </c>
      <c r="AL2" s="148" t="s">
        <v>447</v>
      </c>
      <c r="AM2" s="148" t="s">
        <v>427</v>
      </c>
      <c r="AN2" s="148" t="s">
        <v>18</v>
      </c>
      <c r="AO2" s="149" t="s">
        <v>29</v>
      </c>
      <c r="AP2" s="174" t="s">
        <v>2522</v>
      </c>
    </row>
    <row r="3" spans="1:42" x14ac:dyDescent="0.2">
      <c r="A3" s="150" t="s">
        <v>1251</v>
      </c>
      <c r="B3" s="151" t="s">
        <v>1251</v>
      </c>
      <c r="C3" s="151" t="s">
        <v>343</v>
      </c>
      <c r="D3" s="151" t="s">
        <v>2477</v>
      </c>
      <c r="E3" s="151" t="s">
        <v>1256</v>
      </c>
      <c r="F3" s="152">
        <v>3.2130000000000001</v>
      </c>
      <c r="G3" s="152">
        <v>-26828500</v>
      </c>
      <c r="H3" s="152">
        <v>-861.99970499999995</v>
      </c>
      <c r="I3" s="153">
        <v>-3.4136790562401834E-2</v>
      </c>
      <c r="J3" s="153">
        <v>-7.7761581740742116E-5</v>
      </c>
      <c r="K3" s="151" t="s">
        <v>2477</v>
      </c>
      <c r="L3" s="151" t="s">
        <v>1255</v>
      </c>
      <c r="M3" s="152">
        <v>1</v>
      </c>
      <c r="N3" s="152">
        <v>86213384.75</v>
      </c>
      <c r="O3" s="152">
        <v>2223.940705</v>
      </c>
      <c r="P3" s="153">
        <v>8.8072185674106795E-2</v>
      </c>
      <c r="Q3" s="153">
        <v>2.0062320893534546E-4</v>
      </c>
      <c r="R3" s="152">
        <v>1361.941</v>
      </c>
      <c r="S3" s="151" t="s">
        <v>52</v>
      </c>
      <c r="T3" s="151" t="s">
        <v>52</v>
      </c>
      <c r="U3" s="151" t="s">
        <v>71</v>
      </c>
      <c r="V3" s="151" t="s">
        <v>101</v>
      </c>
      <c r="W3" s="151" t="s">
        <v>674</v>
      </c>
      <c r="X3" s="151" t="s">
        <v>2478</v>
      </c>
      <c r="Y3" s="151" t="s">
        <v>61</v>
      </c>
      <c r="Z3" s="151" t="s">
        <v>2479</v>
      </c>
      <c r="AA3" s="151" t="s">
        <v>2480</v>
      </c>
      <c r="AB3" s="151" t="s">
        <v>101</v>
      </c>
      <c r="AC3" s="151" t="s">
        <v>354</v>
      </c>
      <c r="AD3" s="151" t="s">
        <v>332</v>
      </c>
      <c r="AE3" s="151" t="s">
        <v>333</v>
      </c>
      <c r="AF3" s="151" t="s">
        <v>353</v>
      </c>
      <c r="AG3" s="151" t="s">
        <v>353</v>
      </c>
      <c r="AH3" s="151"/>
      <c r="AI3" s="152">
        <v>3.2130000000000001</v>
      </c>
      <c r="AJ3" s="151"/>
      <c r="AK3" s="151"/>
      <c r="AL3" s="151"/>
      <c r="AM3" s="151" t="s">
        <v>2481</v>
      </c>
      <c r="AN3" s="153">
        <v>0.65142999999999995</v>
      </c>
      <c r="AO3" s="154">
        <v>1.8600000000000001E-3</v>
      </c>
      <c r="AP3" s="174"/>
    </row>
    <row r="4" spans="1:42" x14ac:dyDescent="0.2">
      <c r="A4" s="150" t="s">
        <v>1251</v>
      </c>
      <c r="B4" s="151" t="s">
        <v>1251</v>
      </c>
      <c r="C4" s="151" t="s">
        <v>343</v>
      </c>
      <c r="D4" s="151" t="s">
        <v>2482</v>
      </c>
      <c r="E4" s="151" t="s">
        <v>1258</v>
      </c>
      <c r="F4" s="152">
        <v>3.7149999999999999</v>
      </c>
      <c r="G4" s="152">
        <v>-7015000</v>
      </c>
      <c r="H4" s="152">
        <v>-260.60725000000002</v>
      </c>
      <c r="I4" s="153">
        <v>-1.0320531504466695E-2</v>
      </c>
      <c r="J4" s="153">
        <v>-2.3509557898404406E-5</v>
      </c>
      <c r="K4" s="151" t="s">
        <v>2482</v>
      </c>
      <c r="L4" s="151" t="s">
        <v>1255</v>
      </c>
      <c r="M4" s="152">
        <v>1</v>
      </c>
      <c r="N4" s="152">
        <v>26211547.5</v>
      </c>
      <c r="O4" s="152">
        <v>967.83425</v>
      </c>
      <c r="P4" s="153">
        <v>3.8328035264663184E-2</v>
      </c>
      <c r="Q4" s="153">
        <v>8.7308988281921561E-5</v>
      </c>
      <c r="R4" s="152">
        <v>707.22699999999998</v>
      </c>
      <c r="S4" s="151" t="s">
        <v>52</v>
      </c>
      <c r="T4" s="151" t="s">
        <v>52</v>
      </c>
      <c r="U4" s="151" t="s">
        <v>71</v>
      </c>
      <c r="V4" s="151" t="s">
        <v>101</v>
      </c>
      <c r="W4" s="151" t="s">
        <v>674</v>
      </c>
      <c r="X4" s="151" t="s">
        <v>2483</v>
      </c>
      <c r="Y4" s="151" t="s">
        <v>61</v>
      </c>
      <c r="Z4" s="151" t="s">
        <v>2484</v>
      </c>
      <c r="AA4" s="151" t="s">
        <v>2480</v>
      </c>
      <c r="AB4" s="151" t="s">
        <v>101</v>
      </c>
      <c r="AC4" s="151" t="s">
        <v>354</v>
      </c>
      <c r="AD4" s="151" t="s">
        <v>332</v>
      </c>
      <c r="AE4" s="151" t="s">
        <v>333</v>
      </c>
      <c r="AF4" s="151" t="s">
        <v>353</v>
      </c>
      <c r="AG4" s="151" t="s">
        <v>353</v>
      </c>
      <c r="AH4" s="151"/>
      <c r="AI4" s="152">
        <v>3.7149999999999999</v>
      </c>
      <c r="AJ4" s="151"/>
      <c r="AK4" s="151"/>
      <c r="AL4" s="151"/>
      <c r="AM4" s="151" t="s">
        <v>2481</v>
      </c>
      <c r="AN4" s="153">
        <v>0.33827000000000002</v>
      </c>
      <c r="AO4" s="154">
        <v>9.6000000000000002E-4</v>
      </c>
      <c r="AP4" s="174"/>
    </row>
    <row r="5" spans="1:42" x14ac:dyDescent="0.2">
      <c r="A5" s="150" t="s">
        <v>1251</v>
      </c>
      <c r="B5" s="151" t="s">
        <v>1251</v>
      </c>
      <c r="C5" s="151" t="s">
        <v>343</v>
      </c>
      <c r="D5" s="151" t="s">
        <v>2485</v>
      </c>
      <c r="E5" s="151" t="s">
        <v>1256</v>
      </c>
      <c r="F5" s="152">
        <v>3.1659999999999999</v>
      </c>
      <c r="G5" s="152">
        <v>-28128500</v>
      </c>
      <c r="H5" s="152">
        <v>-890.54831000000001</v>
      </c>
      <c r="I5" s="153">
        <v>-3.526736838520253E-2</v>
      </c>
      <c r="J5" s="153">
        <v>-8.0336970883470026E-5</v>
      </c>
      <c r="K5" s="151" t="s">
        <v>2485</v>
      </c>
      <c r="L5" s="151" t="s">
        <v>1255</v>
      </c>
      <c r="M5" s="152">
        <v>1</v>
      </c>
      <c r="N5" s="152">
        <v>89248917.650000006</v>
      </c>
      <c r="O5" s="152">
        <v>1177.2583099999999</v>
      </c>
      <c r="P5" s="153">
        <v>4.6621617308229973E-2</v>
      </c>
      <c r="Q5" s="153">
        <v>1.0620127567564877E-4</v>
      </c>
      <c r="R5" s="152">
        <v>286.70999999999998</v>
      </c>
      <c r="S5" s="151" t="s">
        <v>52</v>
      </c>
      <c r="T5" s="151" t="s">
        <v>52</v>
      </c>
      <c r="U5" s="151" t="s">
        <v>71</v>
      </c>
      <c r="V5" s="151" t="s">
        <v>101</v>
      </c>
      <c r="W5" s="151" t="s">
        <v>674</v>
      </c>
      <c r="X5" s="151" t="s">
        <v>2478</v>
      </c>
      <c r="Y5" s="151" t="s">
        <v>61</v>
      </c>
      <c r="Z5" s="151" t="s">
        <v>2484</v>
      </c>
      <c r="AA5" s="151" t="s">
        <v>2480</v>
      </c>
      <c r="AB5" s="151" t="s">
        <v>101</v>
      </c>
      <c r="AC5" s="151" t="s">
        <v>354</v>
      </c>
      <c r="AD5" s="151" t="s">
        <v>332</v>
      </c>
      <c r="AE5" s="151" t="s">
        <v>333</v>
      </c>
      <c r="AF5" s="151" t="s">
        <v>353</v>
      </c>
      <c r="AG5" s="151" t="s">
        <v>353</v>
      </c>
      <c r="AH5" s="151"/>
      <c r="AI5" s="152">
        <v>3.1659999999999999</v>
      </c>
      <c r="AJ5" s="151"/>
      <c r="AK5" s="151"/>
      <c r="AL5" s="151"/>
      <c r="AM5" s="151" t="s">
        <v>2481</v>
      </c>
      <c r="AN5" s="153">
        <v>0.13714000000000001</v>
      </c>
      <c r="AO5" s="154">
        <v>3.8999999999999999E-4</v>
      </c>
      <c r="AP5" s="174"/>
    </row>
    <row r="6" spans="1:42" x14ac:dyDescent="0.2">
      <c r="A6" s="150" t="s">
        <v>1251</v>
      </c>
      <c r="B6" s="151" t="s">
        <v>1251</v>
      </c>
      <c r="C6" s="151" t="s">
        <v>343</v>
      </c>
      <c r="D6" s="151" t="s">
        <v>2486</v>
      </c>
      <c r="E6" s="151" t="s">
        <v>1256</v>
      </c>
      <c r="F6" s="152">
        <v>3.1190000000000002</v>
      </c>
      <c r="G6" s="152">
        <v>-1200000</v>
      </c>
      <c r="H6" s="152">
        <v>-37.428000000000004</v>
      </c>
      <c r="I6" s="153">
        <v>-1.4822183694013864E-3</v>
      </c>
      <c r="J6" s="153">
        <v>-3.376405426255333E-6</v>
      </c>
      <c r="K6" s="151" t="s">
        <v>2486</v>
      </c>
      <c r="L6" s="151" t="s">
        <v>1255</v>
      </c>
      <c r="M6" s="152">
        <v>1</v>
      </c>
      <c r="N6" s="152">
        <v>3741600</v>
      </c>
      <c r="O6" s="152">
        <v>-16.174999999999997</v>
      </c>
      <c r="P6" s="153">
        <v>-6.4056006532722603E-4</v>
      </c>
      <c r="Q6" s="153">
        <v>-1.4591577901485517E-6</v>
      </c>
      <c r="R6" s="152">
        <v>-53.603000000000002</v>
      </c>
      <c r="S6" s="151" t="s">
        <v>52</v>
      </c>
      <c r="T6" s="151" t="s">
        <v>52</v>
      </c>
      <c r="U6" s="151" t="s">
        <v>71</v>
      </c>
      <c r="V6" s="151" t="s">
        <v>101</v>
      </c>
      <c r="W6" s="151" t="s">
        <v>674</v>
      </c>
      <c r="X6" s="151" t="s">
        <v>2478</v>
      </c>
      <c r="Y6" s="151" t="s">
        <v>61</v>
      </c>
      <c r="Z6" s="151" t="s">
        <v>2487</v>
      </c>
      <c r="AA6" s="151" t="s">
        <v>2480</v>
      </c>
      <c r="AB6" s="151" t="s">
        <v>101</v>
      </c>
      <c r="AC6" s="151" t="s">
        <v>354</v>
      </c>
      <c r="AD6" s="151" t="s">
        <v>332</v>
      </c>
      <c r="AE6" s="151" t="s">
        <v>333</v>
      </c>
      <c r="AF6" s="151" t="s">
        <v>353</v>
      </c>
      <c r="AG6" s="151" t="s">
        <v>353</v>
      </c>
      <c r="AH6" s="151"/>
      <c r="AI6" s="152">
        <v>3.1190000000000002</v>
      </c>
      <c r="AJ6" s="151"/>
      <c r="AK6" s="151"/>
      <c r="AL6" s="151"/>
      <c r="AM6" s="151" t="s">
        <v>2481</v>
      </c>
      <c r="AN6" s="153">
        <v>-2.564E-2</v>
      </c>
      <c r="AO6" s="154">
        <v>-6.9999999999999994E-5</v>
      </c>
      <c r="AP6" s="174"/>
    </row>
    <row r="7" spans="1:42" x14ac:dyDescent="0.2">
      <c r="A7" s="150" t="s">
        <v>1251</v>
      </c>
      <c r="B7" s="151" t="s">
        <v>1251</v>
      </c>
      <c r="C7" s="151" t="s">
        <v>343</v>
      </c>
      <c r="D7" s="151" t="s">
        <v>2488</v>
      </c>
      <c r="E7" s="151" t="s">
        <v>1256</v>
      </c>
      <c r="F7" s="152">
        <v>3.1040000000000001</v>
      </c>
      <c r="G7" s="152">
        <v>-1000000</v>
      </c>
      <c r="H7" s="152">
        <v>-31.04</v>
      </c>
      <c r="I7" s="153">
        <v>-1.2292416956882289E-3</v>
      </c>
      <c r="J7" s="153">
        <v>-2.8001395861645166E-6</v>
      </c>
      <c r="K7" s="151" t="s">
        <v>2488</v>
      </c>
      <c r="L7" s="151" t="s">
        <v>1255</v>
      </c>
      <c r="M7" s="152">
        <v>1</v>
      </c>
      <c r="N7" s="152">
        <v>3107700</v>
      </c>
      <c r="O7" s="152">
        <v>-23.922000000000004</v>
      </c>
      <c r="P7" s="153">
        <v>-9.4735566508549664E-4</v>
      </c>
      <c r="Q7" s="153">
        <v>-2.15801994781661E-6</v>
      </c>
      <c r="R7" s="152">
        <v>-54.962000000000003</v>
      </c>
      <c r="S7" s="151" t="s">
        <v>52</v>
      </c>
      <c r="T7" s="151" t="s">
        <v>52</v>
      </c>
      <c r="U7" s="151" t="s">
        <v>71</v>
      </c>
      <c r="V7" s="151" t="s">
        <v>101</v>
      </c>
      <c r="W7" s="151" t="s">
        <v>674</v>
      </c>
      <c r="X7" s="151" t="s">
        <v>2478</v>
      </c>
      <c r="Y7" s="151" t="s">
        <v>61</v>
      </c>
      <c r="Z7" s="151" t="s">
        <v>2489</v>
      </c>
      <c r="AA7" s="151" t="s">
        <v>2480</v>
      </c>
      <c r="AB7" s="151" t="s">
        <v>101</v>
      </c>
      <c r="AC7" s="151" t="s">
        <v>354</v>
      </c>
      <c r="AD7" s="151" t="s">
        <v>332</v>
      </c>
      <c r="AE7" s="151" t="s">
        <v>333</v>
      </c>
      <c r="AF7" s="151" t="s">
        <v>353</v>
      </c>
      <c r="AG7" s="151" t="s">
        <v>353</v>
      </c>
      <c r="AH7" s="151"/>
      <c r="AI7" s="152">
        <v>3.1040000000000001</v>
      </c>
      <c r="AJ7" s="151"/>
      <c r="AK7" s="151"/>
      <c r="AL7" s="151"/>
      <c r="AM7" s="151" t="s">
        <v>2481</v>
      </c>
      <c r="AN7" s="153">
        <v>-2.6290000000000001E-2</v>
      </c>
      <c r="AO7" s="154">
        <v>-6.9999999999999994E-5</v>
      </c>
      <c r="AP7" s="174"/>
    </row>
    <row r="8" spans="1:42" x14ac:dyDescent="0.2">
      <c r="A8" s="150" t="s">
        <v>1251</v>
      </c>
      <c r="B8" s="151" t="s">
        <v>1251</v>
      </c>
      <c r="C8" s="151" t="s">
        <v>343</v>
      </c>
      <c r="D8" s="151" t="s">
        <v>2490</v>
      </c>
      <c r="E8" s="151" t="s">
        <v>1256</v>
      </c>
      <c r="F8" s="152">
        <v>3.109</v>
      </c>
      <c r="G8" s="152">
        <v>-1200000</v>
      </c>
      <c r="H8" s="152">
        <v>-37.308</v>
      </c>
      <c r="I8" s="153">
        <v>-1.4774661463510452E-3</v>
      </c>
      <c r="J8" s="153">
        <v>-3.3655801443500575E-6</v>
      </c>
      <c r="K8" s="151" t="s">
        <v>2490</v>
      </c>
      <c r="L8" s="151" t="s">
        <v>1255</v>
      </c>
      <c r="M8" s="152">
        <v>1</v>
      </c>
      <c r="N8" s="152">
        <v>3723960</v>
      </c>
      <c r="O8" s="152">
        <v>-33.922999999999995</v>
      </c>
      <c r="P8" s="153">
        <v>-1.3434138544726733E-3</v>
      </c>
      <c r="Q8" s="153">
        <v>-3.0602169839387525E-6</v>
      </c>
      <c r="R8" s="152">
        <v>-71.230999999999995</v>
      </c>
      <c r="S8" s="151" t="s">
        <v>52</v>
      </c>
      <c r="T8" s="151" t="s">
        <v>52</v>
      </c>
      <c r="U8" s="151" t="s">
        <v>71</v>
      </c>
      <c r="V8" s="151" t="s">
        <v>101</v>
      </c>
      <c r="W8" s="151" t="s">
        <v>674</v>
      </c>
      <c r="X8" s="151" t="s">
        <v>2478</v>
      </c>
      <c r="Y8" s="151" t="s">
        <v>61</v>
      </c>
      <c r="Z8" s="151" t="s">
        <v>2491</v>
      </c>
      <c r="AA8" s="151" t="s">
        <v>2480</v>
      </c>
      <c r="AB8" s="151" t="s">
        <v>101</v>
      </c>
      <c r="AC8" s="151" t="s">
        <v>354</v>
      </c>
      <c r="AD8" s="151" t="s">
        <v>332</v>
      </c>
      <c r="AE8" s="151" t="s">
        <v>333</v>
      </c>
      <c r="AF8" s="151" t="s">
        <v>353</v>
      </c>
      <c r="AG8" s="151" t="s">
        <v>353</v>
      </c>
      <c r="AH8" s="151"/>
      <c r="AI8" s="152">
        <v>3.109</v>
      </c>
      <c r="AJ8" s="151"/>
      <c r="AK8" s="151"/>
      <c r="AL8" s="151"/>
      <c r="AM8" s="151" t="s">
        <v>2481</v>
      </c>
      <c r="AN8" s="153">
        <v>-3.4070000000000003E-2</v>
      </c>
      <c r="AO8" s="154">
        <v>-1E-4</v>
      </c>
      <c r="AP8" s="174"/>
    </row>
    <row r="9" spans="1:42" x14ac:dyDescent="0.2">
      <c r="A9" s="150" t="s">
        <v>1251</v>
      </c>
      <c r="B9" s="151" t="s">
        <v>1251</v>
      </c>
      <c r="C9" s="151" t="s">
        <v>343</v>
      </c>
      <c r="D9" s="151" t="s">
        <v>2492</v>
      </c>
      <c r="E9" s="151" t="s">
        <v>1256</v>
      </c>
      <c r="F9" s="152">
        <v>3.0910000000000002</v>
      </c>
      <c r="G9" s="152">
        <v>-1200000</v>
      </c>
      <c r="H9" s="152">
        <v>-37.091999999999999</v>
      </c>
      <c r="I9" s="153">
        <v>-1.4689121448604311E-3</v>
      </c>
      <c r="J9" s="153">
        <v>-3.3460946369205618E-6</v>
      </c>
      <c r="K9" s="151" t="s">
        <v>2492</v>
      </c>
      <c r="L9" s="151" t="s">
        <v>1255</v>
      </c>
      <c r="M9" s="152">
        <v>1</v>
      </c>
      <c r="N9" s="152">
        <v>3709800</v>
      </c>
      <c r="O9" s="152">
        <v>-48.289000000000001</v>
      </c>
      <c r="P9" s="153">
        <v>-1.9123341573160078E-3</v>
      </c>
      <c r="Q9" s="153">
        <v>-4.3561836493652815E-6</v>
      </c>
      <c r="R9" s="152">
        <v>-85.381</v>
      </c>
      <c r="S9" s="151" t="s">
        <v>52</v>
      </c>
      <c r="T9" s="151" t="s">
        <v>52</v>
      </c>
      <c r="U9" s="151" t="s">
        <v>71</v>
      </c>
      <c r="V9" s="151" t="s">
        <v>101</v>
      </c>
      <c r="W9" s="151" t="s">
        <v>674</v>
      </c>
      <c r="X9" s="151" t="s">
        <v>2478</v>
      </c>
      <c r="Y9" s="151" t="s">
        <v>61</v>
      </c>
      <c r="Z9" s="151" t="s">
        <v>2493</v>
      </c>
      <c r="AA9" s="151" t="s">
        <v>2480</v>
      </c>
      <c r="AB9" s="151" t="s">
        <v>101</v>
      </c>
      <c r="AC9" s="151" t="s">
        <v>354</v>
      </c>
      <c r="AD9" s="151" t="s">
        <v>332</v>
      </c>
      <c r="AE9" s="151" t="s">
        <v>333</v>
      </c>
      <c r="AF9" s="151" t="s">
        <v>353</v>
      </c>
      <c r="AG9" s="151" t="s">
        <v>353</v>
      </c>
      <c r="AH9" s="151"/>
      <c r="AI9" s="152">
        <v>3.0910000000000002</v>
      </c>
      <c r="AJ9" s="151"/>
      <c r="AK9" s="151"/>
      <c r="AL9" s="151"/>
      <c r="AM9" s="151" t="s">
        <v>2481</v>
      </c>
      <c r="AN9" s="153">
        <v>-4.0840000000000001E-2</v>
      </c>
      <c r="AO9" s="154">
        <v>-1.2E-4</v>
      </c>
      <c r="AP9" s="174"/>
    </row>
    <row r="10" spans="1:42" x14ac:dyDescent="0.2">
      <c r="A10" s="150" t="s">
        <v>1264</v>
      </c>
      <c r="B10" s="151" t="s">
        <v>1264</v>
      </c>
      <c r="C10" s="151" t="s">
        <v>343</v>
      </c>
      <c r="D10" s="151" t="s">
        <v>2477</v>
      </c>
      <c r="E10" s="151" t="s">
        <v>1256</v>
      </c>
      <c r="F10" s="152">
        <v>3.2130000000000001</v>
      </c>
      <c r="G10" s="152">
        <v>-307563500</v>
      </c>
      <c r="H10" s="152">
        <v>-9882.0152550000003</v>
      </c>
      <c r="I10" s="153">
        <v>-0.39134617232194413</v>
      </c>
      <c r="J10" s="153">
        <v>-8.9146334106337437E-4</v>
      </c>
      <c r="K10" s="151" t="s">
        <v>2477</v>
      </c>
      <c r="L10" s="151" t="s">
        <v>1255</v>
      </c>
      <c r="M10" s="152">
        <v>1</v>
      </c>
      <c r="N10" s="152">
        <v>988355307.25</v>
      </c>
      <c r="O10" s="152">
        <v>25495.384255000001</v>
      </c>
      <c r="P10" s="153">
        <v>1.0096646061159527</v>
      </c>
      <c r="Q10" s="153">
        <v>2.2999560153640795E-3</v>
      </c>
      <c r="R10" s="152">
        <v>15613.369000000001</v>
      </c>
      <c r="S10" s="151" t="s">
        <v>52</v>
      </c>
      <c r="T10" s="151" t="s">
        <v>52</v>
      </c>
      <c r="U10" s="151" t="s">
        <v>71</v>
      </c>
      <c r="V10" s="151" t="s">
        <v>101</v>
      </c>
      <c r="W10" s="151" t="s">
        <v>674</v>
      </c>
      <c r="X10" s="151" t="s">
        <v>2478</v>
      </c>
      <c r="Y10" s="151" t="s">
        <v>61</v>
      </c>
      <c r="Z10" s="151" t="s">
        <v>2479</v>
      </c>
      <c r="AA10" s="151" t="s">
        <v>2480</v>
      </c>
      <c r="AB10" s="151" t="s">
        <v>101</v>
      </c>
      <c r="AC10" s="151" t="s">
        <v>354</v>
      </c>
      <c r="AD10" s="151" t="s">
        <v>332</v>
      </c>
      <c r="AE10" s="151" t="s">
        <v>333</v>
      </c>
      <c r="AF10" s="151" t="s">
        <v>353</v>
      </c>
      <c r="AG10" s="151" t="s">
        <v>353</v>
      </c>
      <c r="AH10" s="151"/>
      <c r="AI10" s="152">
        <v>3.2130000000000001</v>
      </c>
      <c r="AJ10" s="151"/>
      <c r="AK10" s="151"/>
      <c r="AL10" s="151"/>
      <c r="AM10" s="151" t="s">
        <v>2481</v>
      </c>
      <c r="AN10" s="153">
        <v>0.67413000000000001</v>
      </c>
      <c r="AO10" s="154">
        <v>1.56E-3</v>
      </c>
      <c r="AP10" s="174"/>
    </row>
    <row r="11" spans="1:42" x14ac:dyDescent="0.2">
      <c r="A11" s="150" t="s">
        <v>1264</v>
      </c>
      <c r="B11" s="151" t="s">
        <v>1264</v>
      </c>
      <c r="C11" s="151" t="s">
        <v>343</v>
      </c>
      <c r="D11" s="151" t="s">
        <v>2482</v>
      </c>
      <c r="E11" s="151" t="s">
        <v>1258</v>
      </c>
      <c r="F11" s="152">
        <v>3.7149999999999999</v>
      </c>
      <c r="G11" s="152">
        <v>-78390000</v>
      </c>
      <c r="H11" s="152">
        <v>-2912.1885000000002</v>
      </c>
      <c r="I11" s="153">
        <v>-0.11532807763865205</v>
      </c>
      <c r="J11" s="153">
        <v>-2.627105122816709E-4</v>
      </c>
      <c r="K11" s="151" t="s">
        <v>2482</v>
      </c>
      <c r="L11" s="151" t="s">
        <v>1255</v>
      </c>
      <c r="M11" s="152">
        <v>1</v>
      </c>
      <c r="N11" s="152">
        <v>292904235</v>
      </c>
      <c r="O11" s="152">
        <v>10815.190500000001</v>
      </c>
      <c r="P11" s="153">
        <v>0.42830164656608327</v>
      </c>
      <c r="Q11" s="153">
        <v>9.7564571684795136E-4</v>
      </c>
      <c r="R11" s="152">
        <v>7903.0020000000004</v>
      </c>
      <c r="S11" s="151" t="s">
        <v>52</v>
      </c>
      <c r="T11" s="151" t="s">
        <v>52</v>
      </c>
      <c r="U11" s="151" t="s">
        <v>71</v>
      </c>
      <c r="V11" s="151" t="s">
        <v>101</v>
      </c>
      <c r="W11" s="151" t="s">
        <v>674</v>
      </c>
      <c r="X11" s="151" t="s">
        <v>2483</v>
      </c>
      <c r="Y11" s="151" t="s">
        <v>61</v>
      </c>
      <c r="Z11" s="151" t="s">
        <v>2484</v>
      </c>
      <c r="AA11" s="151" t="s">
        <v>2480</v>
      </c>
      <c r="AB11" s="151" t="s">
        <v>101</v>
      </c>
      <c r="AC11" s="151" t="s">
        <v>354</v>
      </c>
      <c r="AD11" s="151" t="s">
        <v>332</v>
      </c>
      <c r="AE11" s="151" t="s">
        <v>333</v>
      </c>
      <c r="AF11" s="151" t="s">
        <v>353</v>
      </c>
      <c r="AG11" s="151" t="s">
        <v>353</v>
      </c>
      <c r="AH11" s="151"/>
      <c r="AI11" s="152">
        <v>3.7149999999999999</v>
      </c>
      <c r="AJ11" s="151"/>
      <c r="AK11" s="151"/>
      <c r="AL11" s="151"/>
      <c r="AM11" s="151" t="s">
        <v>2481</v>
      </c>
      <c r="AN11" s="153">
        <v>0.34122999999999998</v>
      </c>
      <c r="AO11" s="154">
        <v>7.9000000000000001E-4</v>
      </c>
      <c r="AP11" s="174"/>
    </row>
    <row r="12" spans="1:42" x14ac:dyDescent="0.2">
      <c r="A12" s="150" t="s">
        <v>1264</v>
      </c>
      <c r="B12" s="151" t="s">
        <v>1264</v>
      </c>
      <c r="C12" s="151" t="s">
        <v>343</v>
      </c>
      <c r="D12" s="151" t="s">
        <v>2485</v>
      </c>
      <c r="E12" s="151" t="s">
        <v>1256</v>
      </c>
      <c r="F12" s="152">
        <v>3.1659999999999999</v>
      </c>
      <c r="G12" s="152">
        <v>-315163500</v>
      </c>
      <c r="H12" s="152">
        <v>-9978.0764099999997</v>
      </c>
      <c r="I12" s="153">
        <v>-0.39515037261388897</v>
      </c>
      <c r="J12" s="153">
        <v>-9.0012908342188545E-4</v>
      </c>
      <c r="K12" s="151" t="s">
        <v>2485</v>
      </c>
      <c r="L12" s="151" t="s">
        <v>1255</v>
      </c>
      <c r="M12" s="152">
        <v>1</v>
      </c>
      <c r="N12" s="152">
        <v>999982269.14999998</v>
      </c>
      <c r="O12" s="152">
        <v>13190.500410000001</v>
      </c>
      <c r="P12" s="153">
        <v>0.52236833411613004</v>
      </c>
      <c r="Q12" s="153">
        <v>1.1899240450824835E-3</v>
      </c>
      <c r="R12" s="152">
        <v>3212.424</v>
      </c>
      <c r="S12" s="151" t="s">
        <v>52</v>
      </c>
      <c r="T12" s="151" t="s">
        <v>52</v>
      </c>
      <c r="U12" s="151" t="s">
        <v>71</v>
      </c>
      <c r="V12" s="151" t="s">
        <v>101</v>
      </c>
      <c r="W12" s="151" t="s">
        <v>674</v>
      </c>
      <c r="X12" s="151" t="s">
        <v>2478</v>
      </c>
      <c r="Y12" s="151" t="s">
        <v>61</v>
      </c>
      <c r="Z12" s="151" t="s">
        <v>2484</v>
      </c>
      <c r="AA12" s="151" t="s">
        <v>2480</v>
      </c>
      <c r="AB12" s="151" t="s">
        <v>101</v>
      </c>
      <c r="AC12" s="151" t="s">
        <v>354</v>
      </c>
      <c r="AD12" s="151" t="s">
        <v>332</v>
      </c>
      <c r="AE12" s="151" t="s">
        <v>333</v>
      </c>
      <c r="AF12" s="151" t="s">
        <v>353</v>
      </c>
      <c r="AG12" s="151" t="s">
        <v>353</v>
      </c>
      <c r="AH12" s="151"/>
      <c r="AI12" s="152">
        <v>3.1659999999999999</v>
      </c>
      <c r="AJ12" s="151"/>
      <c r="AK12" s="151"/>
      <c r="AL12" s="151"/>
      <c r="AM12" s="151" t="s">
        <v>2481</v>
      </c>
      <c r="AN12" s="153">
        <v>0.13869999999999999</v>
      </c>
      <c r="AO12" s="154">
        <v>3.2000000000000003E-4</v>
      </c>
      <c r="AP12" s="174"/>
    </row>
    <row r="13" spans="1:42" x14ac:dyDescent="0.2">
      <c r="A13" s="150" t="s">
        <v>1264</v>
      </c>
      <c r="B13" s="151" t="s">
        <v>1264</v>
      </c>
      <c r="C13" s="151" t="s">
        <v>343</v>
      </c>
      <c r="D13" s="151" t="s">
        <v>2488</v>
      </c>
      <c r="E13" s="151" t="s">
        <v>1256</v>
      </c>
      <c r="F13" s="152">
        <v>3.1040000000000001</v>
      </c>
      <c r="G13" s="152">
        <v>-13000000</v>
      </c>
      <c r="H13" s="152">
        <v>-403.52</v>
      </c>
      <c r="I13" s="153">
        <v>-1.5980142043946974E-2</v>
      </c>
      <c r="J13" s="153">
        <v>-3.6401814620138712E-5</v>
      </c>
      <c r="K13" s="151" t="s">
        <v>2488</v>
      </c>
      <c r="L13" s="151" t="s">
        <v>1255</v>
      </c>
      <c r="M13" s="152">
        <v>1</v>
      </c>
      <c r="N13" s="152">
        <v>40400100</v>
      </c>
      <c r="O13" s="152">
        <v>-310.98300000000006</v>
      </c>
      <c r="P13" s="153">
        <v>-1.2315504840535198E-2</v>
      </c>
      <c r="Q13" s="153">
        <v>-2.8053988689568299E-5</v>
      </c>
      <c r="R13" s="152">
        <v>-714.50300000000004</v>
      </c>
      <c r="S13" s="151" t="s">
        <v>52</v>
      </c>
      <c r="T13" s="151" t="s">
        <v>52</v>
      </c>
      <c r="U13" s="151" t="s">
        <v>71</v>
      </c>
      <c r="V13" s="151" t="s">
        <v>101</v>
      </c>
      <c r="W13" s="151" t="s">
        <v>674</v>
      </c>
      <c r="X13" s="151" t="s">
        <v>2478</v>
      </c>
      <c r="Y13" s="151" t="s">
        <v>61</v>
      </c>
      <c r="Z13" s="151" t="s">
        <v>2489</v>
      </c>
      <c r="AA13" s="151" t="s">
        <v>2480</v>
      </c>
      <c r="AB13" s="151" t="s">
        <v>101</v>
      </c>
      <c r="AC13" s="151" t="s">
        <v>354</v>
      </c>
      <c r="AD13" s="151" t="s">
        <v>332</v>
      </c>
      <c r="AE13" s="151" t="s">
        <v>333</v>
      </c>
      <c r="AF13" s="151" t="s">
        <v>353</v>
      </c>
      <c r="AG13" s="151" t="s">
        <v>353</v>
      </c>
      <c r="AH13" s="151"/>
      <c r="AI13" s="152">
        <v>3.1040000000000001</v>
      </c>
      <c r="AJ13" s="151"/>
      <c r="AK13" s="151"/>
      <c r="AL13" s="151"/>
      <c r="AM13" s="151" t="s">
        <v>2481</v>
      </c>
      <c r="AN13" s="153">
        <v>-3.0849999999999999E-2</v>
      </c>
      <c r="AO13" s="154">
        <v>-6.9999999999999994E-5</v>
      </c>
      <c r="AP13" s="174"/>
    </row>
    <row r="14" spans="1:42" x14ac:dyDescent="0.2">
      <c r="A14" s="150" t="s">
        <v>1264</v>
      </c>
      <c r="B14" s="151" t="s">
        <v>1264</v>
      </c>
      <c r="C14" s="151" t="s">
        <v>343</v>
      </c>
      <c r="D14" s="151" t="s">
        <v>2486</v>
      </c>
      <c r="E14" s="151" t="s">
        <v>1256</v>
      </c>
      <c r="F14" s="152">
        <v>3.1190000000000002</v>
      </c>
      <c r="G14" s="152">
        <v>-16500000</v>
      </c>
      <c r="H14" s="152">
        <v>-514.63499999999999</v>
      </c>
      <c r="I14" s="153">
        <v>-2.0380502579269062E-2</v>
      </c>
      <c r="J14" s="153">
        <v>-4.6425574611010822E-5</v>
      </c>
      <c r="K14" s="151" t="s">
        <v>2486</v>
      </c>
      <c r="L14" s="151" t="s">
        <v>1255</v>
      </c>
      <c r="M14" s="152">
        <v>1</v>
      </c>
      <c r="N14" s="152">
        <v>51447000</v>
      </c>
      <c r="O14" s="152">
        <v>-222.40200000000004</v>
      </c>
      <c r="P14" s="153">
        <v>-8.8075325903496631E-3</v>
      </c>
      <c r="Q14" s="153">
        <v>-2.0063036219141782E-5</v>
      </c>
      <c r="R14" s="152">
        <v>-737.03700000000003</v>
      </c>
      <c r="S14" s="151" t="s">
        <v>52</v>
      </c>
      <c r="T14" s="151" t="s">
        <v>52</v>
      </c>
      <c r="U14" s="151" t="s">
        <v>71</v>
      </c>
      <c r="V14" s="151" t="s">
        <v>101</v>
      </c>
      <c r="W14" s="151" t="s">
        <v>674</v>
      </c>
      <c r="X14" s="151" t="s">
        <v>2478</v>
      </c>
      <c r="Y14" s="151" t="s">
        <v>61</v>
      </c>
      <c r="Z14" s="151" t="s">
        <v>2487</v>
      </c>
      <c r="AA14" s="151" t="s">
        <v>2480</v>
      </c>
      <c r="AB14" s="151" t="s">
        <v>101</v>
      </c>
      <c r="AC14" s="151" t="s">
        <v>354</v>
      </c>
      <c r="AD14" s="151" t="s">
        <v>332</v>
      </c>
      <c r="AE14" s="151" t="s">
        <v>333</v>
      </c>
      <c r="AF14" s="151" t="s">
        <v>353</v>
      </c>
      <c r="AG14" s="151" t="s">
        <v>353</v>
      </c>
      <c r="AH14" s="151"/>
      <c r="AI14" s="152">
        <v>3.1190000000000002</v>
      </c>
      <c r="AJ14" s="151"/>
      <c r="AK14" s="151"/>
      <c r="AL14" s="151"/>
      <c r="AM14" s="151" t="s">
        <v>2481</v>
      </c>
      <c r="AN14" s="153">
        <v>-3.1820000000000001E-2</v>
      </c>
      <c r="AO14" s="154">
        <v>-6.9999999999999994E-5</v>
      </c>
      <c r="AP14" s="174"/>
    </row>
    <row r="15" spans="1:42" x14ac:dyDescent="0.2">
      <c r="A15" s="150" t="s">
        <v>1264</v>
      </c>
      <c r="B15" s="151" t="s">
        <v>1264</v>
      </c>
      <c r="C15" s="151" t="s">
        <v>343</v>
      </c>
      <c r="D15" s="151" t="s">
        <v>2490</v>
      </c>
      <c r="E15" s="151" t="s">
        <v>1256</v>
      </c>
      <c r="F15" s="152">
        <v>3.109</v>
      </c>
      <c r="G15" s="152">
        <v>-16000000</v>
      </c>
      <c r="H15" s="152">
        <v>-497.44</v>
      </c>
      <c r="I15" s="153">
        <v>-1.9699548618013936E-2</v>
      </c>
      <c r="J15" s="153">
        <v>-4.4874401924667428E-5</v>
      </c>
      <c r="K15" s="151" t="s">
        <v>2490</v>
      </c>
      <c r="L15" s="151" t="s">
        <v>1255</v>
      </c>
      <c r="M15" s="152">
        <v>1</v>
      </c>
      <c r="N15" s="152">
        <v>49652800</v>
      </c>
      <c r="O15" s="152">
        <v>-452.30300000000005</v>
      </c>
      <c r="P15" s="153">
        <v>-1.7912039519486889E-2</v>
      </c>
      <c r="Q15" s="153">
        <v>-4.0802562346680716E-5</v>
      </c>
      <c r="R15" s="152">
        <v>-949.74300000000005</v>
      </c>
      <c r="S15" s="151" t="s">
        <v>52</v>
      </c>
      <c r="T15" s="151" t="s">
        <v>52</v>
      </c>
      <c r="U15" s="151" t="s">
        <v>71</v>
      </c>
      <c r="V15" s="151" t="s">
        <v>101</v>
      </c>
      <c r="W15" s="151" t="s">
        <v>674</v>
      </c>
      <c r="X15" s="151" t="s">
        <v>2478</v>
      </c>
      <c r="Y15" s="151" t="s">
        <v>61</v>
      </c>
      <c r="Z15" s="151" t="s">
        <v>2491</v>
      </c>
      <c r="AA15" s="151" t="s">
        <v>2480</v>
      </c>
      <c r="AB15" s="151" t="s">
        <v>101</v>
      </c>
      <c r="AC15" s="151" t="s">
        <v>354</v>
      </c>
      <c r="AD15" s="151" t="s">
        <v>332</v>
      </c>
      <c r="AE15" s="151" t="s">
        <v>333</v>
      </c>
      <c r="AF15" s="151" t="s">
        <v>353</v>
      </c>
      <c r="AG15" s="151" t="s">
        <v>353</v>
      </c>
      <c r="AH15" s="151"/>
      <c r="AI15" s="152">
        <v>3.109</v>
      </c>
      <c r="AJ15" s="151"/>
      <c r="AK15" s="151"/>
      <c r="AL15" s="151"/>
      <c r="AM15" s="151" t="s">
        <v>2481</v>
      </c>
      <c r="AN15" s="153">
        <v>-4.1009999999999998E-2</v>
      </c>
      <c r="AO15" s="154">
        <v>-1E-4</v>
      </c>
      <c r="AP15" s="174"/>
    </row>
    <row r="16" spans="1:42" x14ac:dyDescent="0.2">
      <c r="A16" s="150" t="s">
        <v>1264</v>
      </c>
      <c r="B16" s="151" t="s">
        <v>1264</v>
      </c>
      <c r="C16" s="151" t="s">
        <v>343</v>
      </c>
      <c r="D16" s="151" t="s">
        <v>2492</v>
      </c>
      <c r="E16" s="151" t="s">
        <v>1256</v>
      </c>
      <c r="F16" s="152">
        <v>3.0910000000000002</v>
      </c>
      <c r="G16" s="152">
        <v>-16400000</v>
      </c>
      <c r="H16" s="152">
        <v>-506.92399999999998</v>
      </c>
      <c r="I16" s="153">
        <v>-2.0075132646425891E-2</v>
      </c>
      <c r="J16" s="153">
        <v>-4.5729960037914348E-5</v>
      </c>
      <c r="K16" s="151" t="s">
        <v>2492</v>
      </c>
      <c r="L16" s="151" t="s">
        <v>1255</v>
      </c>
      <c r="M16" s="152">
        <v>1</v>
      </c>
      <c r="N16" s="152">
        <v>50700600</v>
      </c>
      <c r="O16" s="152">
        <v>-659.94900000000007</v>
      </c>
      <c r="P16" s="153">
        <v>-2.6135207082079608E-2</v>
      </c>
      <c r="Q16" s="153">
        <v>-5.9534449734203826E-5</v>
      </c>
      <c r="R16" s="152">
        <v>-1166.873</v>
      </c>
      <c r="S16" s="151" t="s">
        <v>52</v>
      </c>
      <c r="T16" s="151" t="s">
        <v>52</v>
      </c>
      <c r="U16" s="151" t="s">
        <v>71</v>
      </c>
      <c r="V16" s="151" t="s">
        <v>101</v>
      </c>
      <c r="W16" s="151" t="s">
        <v>674</v>
      </c>
      <c r="X16" s="151" t="s">
        <v>2478</v>
      </c>
      <c r="Y16" s="151" t="s">
        <v>61</v>
      </c>
      <c r="Z16" s="151" t="s">
        <v>2493</v>
      </c>
      <c r="AA16" s="151" t="s">
        <v>2480</v>
      </c>
      <c r="AB16" s="151" t="s">
        <v>101</v>
      </c>
      <c r="AC16" s="151" t="s">
        <v>354</v>
      </c>
      <c r="AD16" s="151" t="s">
        <v>332</v>
      </c>
      <c r="AE16" s="151" t="s">
        <v>333</v>
      </c>
      <c r="AF16" s="151" t="s">
        <v>353</v>
      </c>
      <c r="AG16" s="151" t="s">
        <v>353</v>
      </c>
      <c r="AH16" s="151"/>
      <c r="AI16" s="152">
        <v>3.0910000000000002</v>
      </c>
      <c r="AJ16" s="151"/>
      <c r="AK16" s="151"/>
      <c r="AL16" s="151"/>
      <c r="AM16" s="151" t="s">
        <v>2481</v>
      </c>
      <c r="AN16" s="153">
        <v>-5.0380000000000001E-2</v>
      </c>
      <c r="AO16" s="154">
        <v>-1.2E-4</v>
      </c>
      <c r="AP16" s="174"/>
    </row>
    <row r="17" spans="1:42" x14ac:dyDescent="0.2">
      <c r="A17" s="150" t="s">
        <v>1251</v>
      </c>
      <c r="B17" s="151" t="s">
        <v>1262</v>
      </c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60"/>
      <c r="AP17" s="174"/>
    </row>
    <row r="18" spans="1:42" x14ac:dyDescent="0.2">
      <c r="A18" s="150" t="s">
        <v>1251</v>
      </c>
      <c r="B18" s="151" t="s">
        <v>1263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60"/>
      <c r="AP18" s="174"/>
    </row>
    <row r="19" spans="1:42" x14ac:dyDescent="0.2">
      <c r="A19" s="150" t="s">
        <v>1264</v>
      </c>
      <c r="B19" s="151" t="s">
        <v>1265</v>
      </c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60"/>
      <c r="AP19" s="174"/>
    </row>
    <row r="20" spans="1:42" x14ac:dyDescent="0.2">
      <c r="A20" s="155" t="s">
        <v>1264</v>
      </c>
      <c r="B20" s="156" t="s">
        <v>1266</v>
      </c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  <c r="AM20" s="156"/>
      <c r="AN20" s="156"/>
      <c r="AO20" s="161"/>
      <c r="AP20" s="174"/>
    </row>
    <row r="21" spans="1:42" x14ac:dyDescent="0.2">
      <c r="A21" s="174" t="s">
        <v>2521</v>
      </c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</row>
    <row r="22" spans="1:42" x14ac:dyDescent="0.2">
      <c r="A22" t="s">
        <v>2520</v>
      </c>
    </row>
    <row r="23" spans="1:42" x14ac:dyDescent="0.2">
      <c r="A23" s="1"/>
    </row>
  </sheetData>
  <mergeCells count="2">
    <mergeCell ref="A21:AO21"/>
    <mergeCell ref="AP2:AP20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B107"/>
  <sheetViews>
    <sheetView rightToLeft="1" workbookViewId="0"/>
  </sheetViews>
  <sheetFormatPr defaultColWidth="0" defaultRowHeight="14.25" x14ac:dyDescent="0.2"/>
  <cols>
    <col min="1" max="1" width="29.375" customWidth="1"/>
    <col min="2" max="2" width="11.625" customWidth="1"/>
    <col min="3" max="3" width="14" customWidth="1"/>
    <col min="4" max="4" width="16.75" customWidth="1"/>
    <col min="5" max="5" width="11.625" customWidth="1"/>
    <col min="6" max="6" width="11.875" customWidth="1"/>
    <col min="7" max="7" width="11.625" customWidth="1"/>
    <col min="8" max="8" width="34.25" customWidth="1"/>
    <col min="9" max="9" width="11.625" customWidth="1"/>
    <col min="10" max="10" width="19.875" customWidth="1"/>
    <col min="11" max="11" width="11.625" customWidth="1"/>
    <col min="12" max="12" width="15.125" customWidth="1"/>
    <col min="13" max="13" width="18" customWidth="1"/>
    <col min="14" max="14" width="22.375" customWidth="1"/>
    <col min="15" max="15" width="17.75" customWidth="1"/>
    <col min="16" max="17" width="11.625" customWidth="1"/>
    <col min="18" max="18" width="17.125" customWidth="1"/>
    <col min="19" max="19" width="11.75" customWidth="1"/>
    <col min="20" max="24" width="11.625" customWidth="1"/>
    <col min="25" max="25" width="26.875" customWidth="1"/>
    <col min="26" max="26" width="12.25" customWidth="1"/>
    <col min="27" max="27" width="11.625" customWidth="1"/>
    <col min="28" max="28" width="11.875" customWidth="1"/>
    <col min="29" max="29" width="11.625" customWidth="1"/>
    <col min="30" max="30" width="28.125" customWidth="1"/>
    <col min="31" max="31" width="18.125" customWidth="1"/>
    <col min="32" max="32" width="24.875" customWidth="1"/>
    <col min="33" max="33" width="11.625" customWidth="1"/>
    <col min="34" max="34" width="14.25" customWidth="1"/>
    <col min="35" max="35" width="11.625" customWidth="1"/>
    <col min="36" max="36" width="15.375" customWidth="1"/>
    <col min="37" max="38" width="14" customWidth="1"/>
    <col min="39" max="39" width="18.625" customWidth="1"/>
    <col min="40" max="40" width="16.375" customWidth="1"/>
    <col min="41" max="41" width="30" customWidth="1"/>
    <col min="42" max="42" width="31.375" customWidth="1"/>
    <col min="43" max="45" width="11.625" customWidth="1"/>
    <col min="46" max="46" width="17.875" customWidth="1"/>
    <col min="47" max="47" width="21.125" customWidth="1"/>
    <col min="48" max="48" width="21.375" customWidth="1"/>
    <col min="49" max="49" width="24.625" customWidth="1"/>
    <col min="50" max="50" width="17.5" customWidth="1"/>
    <col min="51" max="51" width="22" customWidth="1"/>
    <col min="52" max="52" width="21.75" customWidth="1"/>
    <col min="53" max="53" width="20.125" customWidth="1"/>
    <col min="54" max="16384" width="9" hidden="1"/>
  </cols>
  <sheetData>
    <row r="1" spans="1:54" x14ac:dyDescent="0.2">
      <c r="A1" t="s">
        <v>2546</v>
      </c>
    </row>
    <row r="2" spans="1:54" s="2" customFormat="1" x14ac:dyDescent="0.2">
      <c r="A2" s="147" t="s">
        <v>636</v>
      </c>
      <c r="B2" s="148" t="s">
        <v>0</v>
      </c>
      <c r="C2" s="148" t="s">
        <v>704</v>
      </c>
      <c r="D2" s="148" t="s">
        <v>705</v>
      </c>
      <c r="E2" s="148" t="s">
        <v>706</v>
      </c>
      <c r="F2" s="148" t="s">
        <v>707</v>
      </c>
      <c r="G2" s="148" t="s">
        <v>1</v>
      </c>
      <c r="H2" s="148" t="s">
        <v>875</v>
      </c>
      <c r="I2" s="148" t="s">
        <v>591</v>
      </c>
      <c r="J2" s="148" t="s">
        <v>592</v>
      </c>
      <c r="K2" s="148" t="s">
        <v>8</v>
      </c>
      <c r="L2" s="148" t="s">
        <v>593</v>
      </c>
      <c r="M2" s="148" t="s">
        <v>289</v>
      </c>
      <c r="N2" s="148" t="s">
        <v>579</v>
      </c>
      <c r="O2" s="148" t="s">
        <v>711</v>
      </c>
      <c r="P2" s="148" t="s">
        <v>5</v>
      </c>
      <c r="Q2" s="148" t="s">
        <v>7</v>
      </c>
      <c r="R2" s="148" t="s">
        <v>1100</v>
      </c>
      <c r="S2" s="148" t="s">
        <v>387</v>
      </c>
      <c r="T2" s="148" t="s">
        <v>12</v>
      </c>
      <c r="U2" s="148" t="s">
        <v>431</v>
      </c>
      <c r="V2" s="148" t="s">
        <v>13</v>
      </c>
      <c r="W2" s="148" t="s">
        <v>275</v>
      </c>
      <c r="X2" s="148" t="s">
        <v>301</v>
      </c>
      <c r="Y2" s="148" t="s">
        <v>656</v>
      </c>
      <c r="Z2" s="148" t="s">
        <v>608</v>
      </c>
      <c r="AA2" s="148" t="s">
        <v>412</v>
      </c>
      <c r="AB2" s="148" t="s">
        <v>884</v>
      </c>
      <c r="AC2" s="148" t="s">
        <v>19</v>
      </c>
      <c r="AD2" s="148" t="s">
        <v>744</v>
      </c>
      <c r="AE2" s="148" t="s">
        <v>643</v>
      </c>
      <c r="AF2" s="148" t="s">
        <v>644</v>
      </c>
      <c r="AG2" s="148" t="s">
        <v>809</v>
      </c>
      <c r="AH2" s="148" t="s">
        <v>411</v>
      </c>
      <c r="AI2" s="148" t="s">
        <v>20</v>
      </c>
      <c r="AJ2" s="148" t="s">
        <v>657</v>
      </c>
      <c r="AK2" s="148" t="s">
        <v>876</v>
      </c>
      <c r="AL2" s="148" t="s">
        <v>710</v>
      </c>
      <c r="AM2" s="148" t="s">
        <v>363</v>
      </c>
      <c r="AN2" s="148" t="s">
        <v>15</v>
      </c>
      <c r="AO2" s="148" t="s">
        <v>1099</v>
      </c>
      <c r="AP2" s="148" t="s">
        <v>609</v>
      </c>
      <c r="AQ2" s="148" t="s">
        <v>901</v>
      </c>
      <c r="AR2" s="148" t="s">
        <v>708</v>
      </c>
      <c r="AS2" s="148" t="s">
        <v>10</v>
      </c>
      <c r="AT2" s="148" t="s">
        <v>1105</v>
      </c>
      <c r="AU2" s="148" t="s">
        <v>759</v>
      </c>
      <c r="AV2" s="148" t="s">
        <v>1106</v>
      </c>
      <c r="AW2" s="148" t="s">
        <v>760</v>
      </c>
      <c r="AX2" s="148" t="s">
        <v>654</v>
      </c>
      <c r="AY2" s="148" t="s">
        <v>25</v>
      </c>
      <c r="AZ2" s="148" t="s">
        <v>18</v>
      </c>
      <c r="BA2" s="149" t="s">
        <v>29</v>
      </c>
      <c r="BB2" s="174" t="s">
        <v>2522</v>
      </c>
    </row>
    <row r="3" spans="1:54" x14ac:dyDescent="0.2">
      <c r="A3" s="150" t="s">
        <v>1251</v>
      </c>
      <c r="B3" s="151" t="s">
        <v>1251</v>
      </c>
      <c r="C3" s="151"/>
      <c r="D3" s="151"/>
      <c r="E3" s="151"/>
      <c r="F3" s="151" t="s">
        <v>2494</v>
      </c>
      <c r="G3" s="151" t="s">
        <v>613</v>
      </c>
      <c r="H3" s="151"/>
      <c r="I3" s="151" t="s">
        <v>52</v>
      </c>
      <c r="J3" s="151"/>
      <c r="K3" s="151" t="s">
        <v>101</v>
      </c>
      <c r="L3" s="151" t="s">
        <v>61</v>
      </c>
      <c r="M3" s="151" t="s">
        <v>61</v>
      </c>
      <c r="N3" s="151"/>
      <c r="O3" s="151" t="s">
        <v>2495</v>
      </c>
      <c r="P3" s="151" t="s">
        <v>2496</v>
      </c>
      <c r="Q3" s="151" t="s">
        <v>77</v>
      </c>
      <c r="R3" s="151" t="s">
        <v>752</v>
      </c>
      <c r="S3" s="151" t="s">
        <v>1255</v>
      </c>
      <c r="T3" s="152">
        <v>2.5630000000000002</v>
      </c>
      <c r="U3" s="151" t="s">
        <v>101</v>
      </c>
      <c r="V3" s="153">
        <v>0.06</v>
      </c>
      <c r="W3" s="151"/>
      <c r="X3" s="151"/>
      <c r="Y3" s="165"/>
      <c r="Z3" s="153">
        <v>5.7579999999999999E-2</v>
      </c>
      <c r="AA3" s="151" t="s">
        <v>2497</v>
      </c>
      <c r="AB3" s="151" t="s">
        <v>607</v>
      </c>
      <c r="AC3" s="151" t="s">
        <v>90</v>
      </c>
      <c r="AD3" s="166"/>
      <c r="AE3" s="167"/>
      <c r="AF3" s="151" t="s">
        <v>2508</v>
      </c>
      <c r="AG3" s="151"/>
      <c r="AH3" s="151"/>
      <c r="AI3" s="151"/>
      <c r="AJ3" s="151" t="s">
        <v>54</v>
      </c>
      <c r="AK3" s="151" t="s">
        <v>101</v>
      </c>
      <c r="AL3" s="151"/>
      <c r="AM3" s="151" t="s">
        <v>297</v>
      </c>
      <c r="AN3" s="162">
        <v>46112</v>
      </c>
      <c r="AO3" s="162">
        <v>46112</v>
      </c>
      <c r="AP3" s="151"/>
      <c r="AQ3" s="152">
        <v>2223683.25</v>
      </c>
      <c r="AR3" s="152">
        <v>1.03</v>
      </c>
      <c r="AS3" s="152">
        <v>1</v>
      </c>
      <c r="AT3" s="152">
        <v>2289.8890000000001</v>
      </c>
      <c r="AU3" s="166">
        <v>2289.8889709999999</v>
      </c>
      <c r="AV3" s="151"/>
      <c r="AW3" s="151"/>
      <c r="AX3" s="151"/>
      <c r="AY3" s="151"/>
      <c r="AZ3" s="153">
        <v>0.98119999999999996</v>
      </c>
      <c r="BA3" s="154">
        <v>3.1199999999999999E-3</v>
      </c>
      <c r="BB3" s="174"/>
    </row>
    <row r="4" spans="1:54" x14ac:dyDescent="0.2">
      <c r="A4" s="150" t="s">
        <v>1251</v>
      </c>
      <c r="B4" s="151" t="s">
        <v>1251</v>
      </c>
      <c r="C4" s="151"/>
      <c r="D4" s="151"/>
      <c r="E4" s="151"/>
      <c r="F4" s="151" t="s">
        <v>2498</v>
      </c>
      <c r="G4" s="151" t="s">
        <v>241</v>
      </c>
      <c r="H4" s="151"/>
      <c r="I4" s="151" t="s">
        <v>52</v>
      </c>
      <c r="J4" s="151"/>
      <c r="K4" s="151" t="s">
        <v>161</v>
      </c>
      <c r="L4" s="151" t="s">
        <v>61</v>
      </c>
      <c r="M4" s="151" t="s">
        <v>54</v>
      </c>
      <c r="N4" s="151"/>
      <c r="O4" s="151" t="s">
        <v>2499</v>
      </c>
      <c r="P4" s="151" t="s">
        <v>1578</v>
      </c>
      <c r="Q4" s="151" t="s">
        <v>69</v>
      </c>
      <c r="R4" s="151" t="s">
        <v>752</v>
      </c>
      <c r="S4" s="151" t="s">
        <v>1255</v>
      </c>
      <c r="T4" s="152">
        <v>0.74</v>
      </c>
      <c r="U4" s="151" t="s">
        <v>433</v>
      </c>
      <c r="V4" s="153">
        <v>3.8767999999999997E-2</v>
      </c>
      <c r="W4" s="151"/>
      <c r="X4" s="151"/>
      <c r="Y4" s="165"/>
      <c r="Z4" s="153">
        <v>2.64E-2</v>
      </c>
      <c r="AA4" s="151" t="s">
        <v>1540</v>
      </c>
      <c r="AB4" s="151" t="s">
        <v>607</v>
      </c>
      <c r="AC4" s="151" t="s">
        <v>161</v>
      </c>
      <c r="AD4" s="166">
        <v>3000000</v>
      </c>
      <c r="AE4" s="167">
        <v>0.75</v>
      </c>
      <c r="AF4" s="151" t="s">
        <v>2508</v>
      </c>
      <c r="AG4" s="151"/>
      <c r="AH4" s="151"/>
      <c r="AI4" s="151"/>
      <c r="AJ4" s="151" t="s">
        <v>61</v>
      </c>
      <c r="AK4" s="151" t="s">
        <v>749</v>
      </c>
      <c r="AL4" s="151"/>
      <c r="AM4" s="151" t="s">
        <v>297</v>
      </c>
      <c r="AN4" s="162">
        <v>46112</v>
      </c>
      <c r="AO4" s="162">
        <v>46112</v>
      </c>
      <c r="AP4" s="151"/>
      <c r="AQ4" s="152">
        <v>23894.05</v>
      </c>
      <c r="AR4" s="152">
        <v>153.72999999999999</v>
      </c>
      <c r="AS4" s="152">
        <v>1</v>
      </c>
      <c r="AT4" s="152">
        <v>36.731999999999999</v>
      </c>
      <c r="AU4" s="166">
        <v>36.732322999999994</v>
      </c>
      <c r="AV4" s="151"/>
      <c r="AW4" s="151"/>
      <c r="AX4" s="151"/>
      <c r="AY4" s="151"/>
      <c r="AZ4" s="153">
        <v>1.5740000000000001E-2</v>
      </c>
      <c r="BA4" s="154">
        <v>5.0000000000000002E-5</v>
      </c>
      <c r="BB4" s="174"/>
    </row>
    <row r="5" spans="1:54" x14ac:dyDescent="0.2">
      <c r="A5" s="150" t="s">
        <v>1251</v>
      </c>
      <c r="B5" s="151" t="s">
        <v>1251</v>
      </c>
      <c r="C5" s="151"/>
      <c r="D5" s="151"/>
      <c r="E5" s="151"/>
      <c r="F5" s="151" t="s">
        <v>2500</v>
      </c>
      <c r="G5" s="151" t="s">
        <v>241</v>
      </c>
      <c r="H5" s="151"/>
      <c r="I5" s="151" t="s">
        <v>52</v>
      </c>
      <c r="J5" s="151"/>
      <c r="K5" s="151" t="s">
        <v>161</v>
      </c>
      <c r="L5" s="151" t="s">
        <v>61</v>
      </c>
      <c r="M5" s="151" t="s">
        <v>54</v>
      </c>
      <c r="N5" s="151"/>
      <c r="O5" s="151" t="s">
        <v>2501</v>
      </c>
      <c r="P5" s="151" t="s">
        <v>1436</v>
      </c>
      <c r="Q5" s="151" t="s">
        <v>69</v>
      </c>
      <c r="R5" s="151" t="s">
        <v>752</v>
      </c>
      <c r="S5" s="151" t="s">
        <v>1255</v>
      </c>
      <c r="T5" s="152">
        <v>0.75</v>
      </c>
      <c r="U5" s="151" t="s">
        <v>433</v>
      </c>
      <c r="V5" s="153">
        <v>4.7426000000000003E-2</v>
      </c>
      <c r="W5" s="151"/>
      <c r="X5" s="151"/>
      <c r="Y5" s="165"/>
      <c r="Z5" s="153">
        <v>3.78E-2</v>
      </c>
      <c r="AA5" s="151" t="s">
        <v>1540</v>
      </c>
      <c r="AB5" s="151" t="s">
        <v>607</v>
      </c>
      <c r="AC5" s="151" t="s">
        <v>161</v>
      </c>
      <c r="AD5" s="166">
        <v>3000000</v>
      </c>
      <c r="AE5" s="167">
        <v>0.75</v>
      </c>
      <c r="AF5" s="151" t="s">
        <v>2508</v>
      </c>
      <c r="AG5" s="151"/>
      <c r="AH5" s="151"/>
      <c r="AI5" s="151"/>
      <c r="AJ5" s="151" t="s">
        <v>61</v>
      </c>
      <c r="AK5" s="151" t="s">
        <v>749</v>
      </c>
      <c r="AL5" s="151"/>
      <c r="AM5" s="151" t="s">
        <v>297</v>
      </c>
      <c r="AN5" s="162">
        <v>46112</v>
      </c>
      <c r="AO5" s="162">
        <v>46112</v>
      </c>
      <c r="AP5" s="151"/>
      <c r="AQ5" s="152">
        <v>4935.03</v>
      </c>
      <c r="AR5" s="152">
        <v>144.61000000000001</v>
      </c>
      <c r="AS5" s="152">
        <v>1</v>
      </c>
      <c r="AT5" s="152">
        <v>7.1369999999999996</v>
      </c>
      <c r="AU5" s="166">
        <v>7.1365469999999993</v>
      </c>
      <c r="AV5" s="151"/>
      <c r="AW5" s="151"/>
      <c r="AX5" s="151"/>
      <c r="AY5" s="151"/>
      <c r="AZ5" s="153">
        <v>3.0599999999999998E-3</v>
      </c>
      <c r="BA5" s="154">
        <v>1.0000000000000001E-5</v>
      </c>
      <c r="BB5" s="174"/>
    </row>
    <row r="6" spans="1:54" x14ac:dyDescent="0.2">
      <c r="A6" s="150" t="s">
        <v>1264</v>
      </c>
      <c r="B6" s="151" t="s">
        <v>1264</v>
      </c>
      <c r="C6" s="151"/>
      <c r="D6" s="151"/>
      <c r="E6" s="151"/>
      <c r="F6" s="151" t="s">
        <v>2502</v>
      </c>
      <c r="G6" s="151" t="s">
        <v>613</v>
      </c>
      <c r="H6" s="151"/>
      <c r="I6" s="151" t="s">
        <v>52</v>
      </c>
      <c r="J6" s="151"/>
      <c r="K6" s="151" t="s">
        <v>101</v>
      </c>
      <c r="L6" s="151" t="s">
        <v>61</v>
      </c>
      <c r="M6" s="151" t="s">
        <v>61</v>
      </c>
      <c r="N6" s="151"/>
      <c r="O6" s="151" t="s">
        <v>2495</v>
      </c>
      <c r="P6" s="151" t="s">
        <v>2496</v>
      </c>
      <c r="Q6" s="151" t="s">
        <v>77</v>
      </c>
      <c r="R6" s="151" t="s">
        <v>752</v>
      </c>
      <c r="S6" s="151" t="s">
        <v>1255</v>
      </c>
      <c r="T6" s="152">
        <v>2.4540000000000002</v>
      </c>
      <c r="U6" s="151" t="s">
        <v>101</v>
      </c>
      <c r="V6" s="153">
        <v>0.06</v>
      </c>
      <c r="W6" s="151"/>
      <c r="X6" s="151"/>
      <c r="Y6" s="165"/>
      <c r="Z6" s="153">
        <v>5.926E-2</v>
      </c>
      <c r="AA6" s="151" t="s">
        <v>2497</v>
      </c>
      <c r="AB6" s="151" t="s">
        <v>607</v>
      </c>
      <c r="AC6" s="151" t="s">
        <v>90</v>
      </c>
      <c r="AD6" s="166"/>
      <c r="AE6" s="167"/>
      <c r="AF6" s="151" t="s">
        <v>2508</v>
      </c>
      <c r="AG6" s="151"/>
      <c r="AH6" s="151"/>
      <c r="AI6" s="151"/>
      <c r="AJ6" s="151" t="s">
        <v>54</v>
      </c>
      <c r="AK6" s="151" t="s">
        <v>101</v>
      </c>
      <c r="AL6" s="151"/>
      <c r="AM6" s="151" t="s">
        <v>297</v>
      </c>
      <c r="AN6" s="162">
        <v>46112</v>
      </c>
      <c r="AO6" s="162">
        <v>46112</v>
      </c>
      <c r="AP6" s="151"/>
      <c r="AQ6" s="152">
        <v>48940898.090000004</v>
      </c>
      <c r="AR6" s="152">
        <v>1.0329999999999999</v>
      </c>
      <c r="AS6" s="152">
        <v>1</v>
      </c>
      <c r="AT6" s="152">
        <v>50537.300999999999</v>
      </c>
      <c r="AU6" s="166">
        <v>50537.301244999995</v>
      </c>
      <c r="AV6" s="151"/>
      <c r="AW6" s="151"/>
      <c r="AX6" s="151"/>
      <c r="AY6" s="151"/>
      <c r="AZ6" s="153">
        <v>0.99224999999999997</v>
      </c>
      <c r="BA6" s="154">
        <v>5.0600000000000003E-3</v>
      </c>
      <c r="BB6" s="174"/>
    </row>
    <row r="7" spans="1:54" x14ac:dyDescent="0.2">
      <c r="A7" s="150" t="s">
        <v>1264</v>
      </c>
      <c r="B7" s="151" t="s">
        <v>1264</v>
      </c>
      <c r="C7" s="151"/>
      <c r="D7" s="151"/>
      <c r="E7" s="151"/>
      <c r="F7" s="151" t="s">
        <v>2498</v>
      </c>
      <c r="G7" s="151" t="s">
        <v>241</v>
      </c>
      <c r="H7" s="151"/>
      <c r="I7" s="151" t="s">
        <v>52</v>
      </c>
      <c r="J7" s="151"/>
      <c r="K7" s="151" t="s">
        <v>161</v>
      </c>
      <c r="L7" s="151" t="s">
        <v>61</v>
      </c>
      <c r="M7" s="151" t="s">
        <v>54</v>
      </c>
      <c r="N7" s="151"/>
      <c r="O7" s="151" t="s">
        <v>2499</v>
      </c>
      <c r="P7" s="151" t="s">
        <v>1578</v>
      </c>
      <c r="Q7" s="151" t="s">
        <v>69</v>
      </c>
      <c r="R7" s="151" t="s">
        <v>752</v>
      </c>
      <c r="S7" s="151" t="s">
        <v>1255</v>
      </c>
      <c r="T7" s="152">
        <v>0.74</v>
      </c>
      <c r="U7" s="151" t="s">
        <v>433</v>
      </c>
      <c r="V7" s="153">
        <v>3.8767999999999997E-2</v>
      </c>
      <c r="W7" s="151"/>
      <c r="X7" s="151"/>
      <c r="Y7" s="165"/>
      <c r="Z7" s="153">
        <v>2.64E-2</v>
      </c>
      <c r="AA7" s="151" t="s">
        <v>1540</v>
      </c>
      <c r="AB7" s="151" t="s">
        <v>607</v>
      </c>
      <c r="AC7" s="151" t="s">
        <v>161</v>
      </c>
      <c r="AD7" s="166">
        <v>3000000</v>
      </c>
      <c r="AE7" s="167">
        <v>0.75</v>
      </c>
      <c r="AF7" s="151" t="s">
        <v>2508</v>
      </c>
      <c r="AG7" s="151"/>
      <c r="AH7" s="151"/>
      <c r="AI7" s="151"/>
      <c r="AJ7" s="151" t="s">
        <v>61</v>
      </c>
      <c r="AK7" s="151" t="s">
        <v>749</v>
      </c>
      <c r="AL7" s="151"/>
      <c r="AM7" s="151" t="s">
        <v>297</v>
      </c>
      <c r="AN7" s="162">
        <v>46112</v>
      </c>
      <c r="AO7" s="162">
        <v>46112</v>
      </c>
      <c r="AP7" s="151"/>
      <c r="AQ7" s="152">
        <v>215045.43</v>
      </c>
      <c r="AR7" s="152">
        <v>153.72999999999999</v>
      </c>
      <c r="AS7" s="152">
        <v>1</v>
      </c>
      <c r="AT7" s="152">
        <v>330.589</v>
      </c>
      <c r="AU7" s="166">
        <v>330.58934000000005</v>
      </c>
      <c r="AV7" s="151"/>
      <c r="AW7" s="151"/>
      <c r="AX7" s="151"/>
      <c r="AY7" s="151"/>
      <c r="AZ7" s="153">
        <v>6.4900000000000001E-3</v>
      </c>
      <c r="BA7" s="154">
        <v>3.0000000000000001E-5</v>
      </c>
      <c r="BB7" s="174"/>
    </row>
    <row r="8" spans="1:54" x14ac:dyDescent="0.2">
      <c r="A8" s="150" t="s">
        <v>1264</v>
      </c>
      <c r="B8" s="151" t="s">
        <v>1264</v>
      </c>
      <c r="C8" s="151"/>
      <c r="D8" s="151"/>
      <c r="E8" s="151"/>
      <c r="F8" s="151" t="s">
        <v>2500</v>
      </c>
      <c r="G8" s="151" t="s">
        <v>241</v>
      </c>
      <c r="H8" s="151"/>
      <c r="I8" s="151" t="s">
        <v>52</v>
      </c>
      <c r="J8" s="151"/>
      <c r="K8" s="151" t="s">
        <v>161</v>
      </c>
      <c r="L8" s="151" t="s">
        <v>61</v>
      </c>
      <c r="M8" s="151" t="s">
        <v>54</v>
      </c>
      <c r="N8" s="151"/>
      <c r="O8" s="151" t="s">
        <v>2501</v>
      </c>
      <c r="P8" s="151" t="s">
        <v>1436</v>
      </c>
      <c r="Q8" s="151" t="s">
        <v>69</v>
      </c>
      <c r="R8" s="151" t="s">
        <v>752</v>
      </c>
      <c r="S8" s="151" t="s">
        <v>1255</v>
      </c>
      <c r="T8" s="152">
        <v>0.75</v>
      </c>
      <c r="U8" s="151" t="s">
        <v>433</v>
      </c>
      <c r="V8" s="153">
        <v>4.7426000000000003E-2</v>
      </c>
      <c r="W8" s="151"/>
      <c r="X8" s="151"/>
      <c r="Y8" s="165"/>
      <c r="Z8" s="153">
        <v>3.78E-2</v>
      </c>
      <c r="AA8" s="151" t="s">
        <v>1540</v>
      </c>
      <c r="AB8" s="151" t="s">
        <v>607</v>
      </c>
      <c r="AC8" s="151" t="s">
        <v>161</v>
      </c>
      <c r="AD8" s="166">
        <v>3000000</v>
      </c>
      <c r="AE8" s="167">
        <v>0.75</v>
      </c>
      <c r="AF8" s="151" t="s">
        <v>2508</v>
      </c>
      <c r="AG8" s="151"/>
      <c r="AH8" s="151"/>
      <c r="AI8" s="151"/>
      <c r="AJ8" s="151" t="s">
        <v>61</v>
      </c>
      <c r="AK8" s="151" t="s">
        <v>749</v>
      </c>
      <c r="AL8" s="151"/>
      <c r="AM8" s="151" t="s">
        <v>297</v>
      </c>
      <c r="AN8" s="162">
        <v>46112</v>
      </c>
      <c r="AO8" s="162">
        <v>46112</v>
      </c>
      <c r="AP8" s="151"/>
      <c r="AQ8" s="152">
        <v>44415.46</v>
      </c>
      <c r="AR8" s="152">
        <v>144.61000000000001</v>
      </c>
      <c r="AS8" s="152">
        <v>1</v>
      </c>
      <c r="AT8" s="152">
        <v>64.228999999999999</v>
      </c>
      <c r="AU8" s="166">
        <v>64.229196999999999</v>
      </c>
      <c r="AV8" s="151"/>
      <c r="AW8" s="151"/>
      <c r="AX8" s="151"/>
      <c r="AY8" s="151"/>
      <c r="AZ8" s="153">
        <v>1.2600000000000001E-3</v>
      </c>
      <c r="BA8" s="154">
        <v>1.0000000000000001E-5</v>
      </c>
      <c r="BB8" s="174"/>
    </row>
    <row r="9" spans="1:54" x14ac:dyDescent="0.2">
      <c r="A9" s="150" t="s">
        <v>1264</v>
      </c>
      <c r="B9" s="151" t="s">
        <v>1266</v>
      </c>
      <c r="C9" s="151"/>
      <c r="D9" s="151"/>
      <c r="E9" s="151"/>
      <c r="F9" s="151" t="s">
        <v>2503</v>
      </c>
      <c r="G9" s="151" t="s">
        <v>613</v>
      </c>
      <c r="H9" s="151"/>
      <c r="I9" s="151" t="s">
        <v>52</v>
      </c>
      <c r="J9" s="151"/>
      <c r="K9" s="151" t="s">
        <v>101</v>
      </c>
      <c r="L9" s="151" t="s">
        <v>61</v>
      </c>
      <c r="M9" s="151" t="s">
        <v>61</v>
      </c>
      <c r="N9" s="151"/>
      <c r="O9" s="151" t="s">
        <v>2504</v>
      </c>
      <c r="P9" s="151" t="s">
        <v>2496</v>
      </c>
      <c r="Q9" s="151" t="s">
        <v>77</v>
      </c>
      <c r="R9" s="151" t="s">
        <v>752</v>
      </c>
      <c r="S9" s="151" t="s">
        <v>1255</v>
      </c>
      <c r="T9" s="152">
        <v>1.766</v>
      </c>
      <c r="U9" s="151" t="s">
        <v>101</v>
      </c>
      <c r="V9" s="153">
        <v>0.06</v>
      </c>
      <c r="W9" s="151"/>
      <c r="X9" s="151"/>
      <c r="Y9" s="165"/>
      <c r="Z9" s="153">
        <v>6.2939999999999996E-2</v>
      </c>
      <c r="AA9" s="151" t="s">
        <v>2497</v>
      </c>
      <c r="AB9" s="151" t="s">
        <v>607</v>
      </c>
      <c r="AC9" s="151" t="s">
        <v>90</v>
      </c>
      <c r="AD9" s="166"/>
      <c r="AE9" s="167"/>
      <c r="AF9" s="151" t="s">
        <v>2508</v>
      </c>
      <c r="AG9" s="151"/>
      <c r="AH9" s="151"/>
      <c r="AI9" s="151"/>
      <c r="AJ9" s="151" t="s">
        <v>54</v>
      </c>
      <c r="AK9" s="151" t="s">
        <v>101</v>
      </c>
      <c r="AL9" s="151"/>
      <c r="AM9" s="151" t="s">
        <v>297</v>
      </c>
      <c r="AN9" s="162">
        <v>46112</v>
      </c>
      <c r="AO9" s="162">
        <v>46112</v>
      </c>
      <c r="AP9" s="151"/>
      <c r="AQ9" s="152">
        <v>8505.99</v>
      </c>
      <c r="AR9" s="152">
        <v>1.028</v>
      </c>
      <c r="AS9" s="152">
        <v>1</v>
      </c>
      <c r="AT9" s="152">
        <v>8.7479999999999993</v>
      </c>
      <c r="AU9" s="166">
        <v>8.7475349999999992</v>
      </c>
      <c r="AV9" s="151"/>
      <c r="AW9" s="151"/>
      <c r="AX9" s="151"/>
      <c r="AY9" s="151"/>
      <c r="AZ9" s="153">
        <v>1</v>
      </c>
      <c r="BA9" s="154">
        <v>3.0000000000000001E-5</v>
      </c>
      <c r="BB9" s="174"/>
    </row>
    <row r="10" spans="1:54" x14ac:dyDescent="0.2">
      <c r="A10" s="150" t="s">
        <v>1251</v>
      </c>
      <c r="B10" s="151" t="s">
        <v>1262</v>
      </c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65"/>
      <c r="W10" s="151"/>
      <c r="X10" s="151"/>
      <c r="Y10" s="165"/>
      <c r="Z10" s="151"/>
      <c r="AA10" s="151"/>
      <c r="AB10" s="151"/>
      <c r="AC10" s="151"/>
      <c r="AD10" s="166"/>
      <c r="AE10" s="167"/>
      <c r="AF10" s="151"/>
      <c r="AG10" s="151"/>
      <c r="AH10" s="151"/>
      <c r="AI10" s="151"/>
      <c r="AJ10" s="151"/>
      <c r="AK10" s="151"/>
      <c r="AL10" s="151"/>
      <c r="AM10" s="151"/>
      <c r="AN10" s="151"/>
      <c r="AO10" s="151"/>
      <c r="AP10" s="151"/>
      <c r="AQ10" s="151"/>
      <c r="AR10" s="151"/>
      <c r="AS10" s="151"/>
      <c r="AT10" s="151"/>
      <c r="AU10" s="151"/>
      <c r="AV10" s="151"/>
      <c r="AW10" s="151"/>
      <c r="AX10" s="151"/>
      <c r="AY10" s="151"/>
      <c r="AZ10" s="151"/>
      <c r="BA10" s="160"/>
      <c r="BB10" s="174"/>
    </row>
    <row r="11" spans="1:54" x14ac:dyDescent="0.2">
      <c r="A11" s="150" t="s">
        <v>1251</v>
      </c>
      <c r="B11" s="151" t="s">
        <v>1263</v>
      </c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65"/>
      <c r="W11" s="151"/>
      <c r="X11" s="151"/>
      <c r="Y11" s="165"/>
      <c r="Z11" s="151"/>
      <c r="AA11" s="151"/>
      <c r="AB11" s="151"/>
      <c r="AC11" s="151"/>
      <c r="AD11" s="166"/>
      <c r="AE11" s="167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151"/>
      <c r="BA11" s="160"/>
      <c r="BB11" s="174"/>
    </row>
    <row r="12" spans="1:54" x14ac:dyDescent="0.2">
      <c r="A12" s="155" t="s">
        <v>1264</v>
      </c>
      <c r="B12" s="156" t="s">
        <v>1265</v>
      </c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68"/>
      <c r="W12" s="156"/>
      <c r="X12" s="156"/>
      <c r="Y12" s="168"/>
      <c r="Z12" s="156"/>
      <c r="AA12" s="156"/>
      <c r="AB12" s="156"/>
      <c r="AC12" s="156"/>
      <c r="AD12" s="169"/>
      <c r="AE12" s="170"/>
      <c r="AF12" s="156"/>
      <c r="AG12" s="156"/>
      <c r="AH12" s="156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61"/>
      <c r="BB12" s="174"/>
    </row>
    <row r="13" spans="1:54" x14ac:dyDescent="0.2">
      <c r="A13" s="174" t="s">
        <v>2521</v>
      </c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  <c r="AB13" s="174"/>
      <c r="AC13" s="174"/>
      <c r="AD13" s="174"/>
      <c r="AE13" s="174"/>
      <c r="AF13" s="174"/>
      <c r="AG13" s="174"/>
      <c r="AH13" s="174"/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4"/>
      <c r="AT13" s="174"/>
      <c r="AU13" s="174"/>
      <c r="AV13" s="174"/>
      <c r="AW13" s="174"/>
      <c r="AX13" s="174"/>
      <c r="AY13" s="174"/>
      <c r="AZ13" s="174"/>
      <c r="BA13" s="174"/>
    </row>
    <row r="14" spans="1:54" x14ac:dyDescent="0.2">
      <c r="A14" t="s">
        <v>2520</v>
      </c>
      <c r="AD14" s="130"/>
      <c r="AE14" s="131"/>
    </row>
    <row r="15" spans="1:54" x14ac:dyDescent="0.2">
      <c r="A15" s="1"/>
      <c r="AD15" s="130"/>
      <c r="AE15" s="131"/>
    </row>
    <row r="16" spans="1:54" x14ac:dyDescent="0.2">
      <c r="AD16" s="130"/>
      <c r="AE16" s="131"/>
    </row>
    <row r="17" spans="30:31" x14ac:dyDescent="0.2">
      <c r="AD17" s="130"/>
      <c r="AE17" s="131"/>
    </row>
    <row r="18" spans="30:31" x14ac:dyDescent="0.2">
      <c r="AD18" s="130"/>
      <c r="AE18" s="131"/>
    </row>
    <row r="19" spans="30:31" x14ac:dyDescent="0.2">
      <c r="AD19" s="130"/>
      <c r="AE19" s="131"/>
    </row>
    <row r="20" spans="30:31" x14ac:dyDescent="0.2">
      <c r="AD20" s="130"/>
      <c r="AE20" s="131"/>
    </row>
    <row r="21" spans="30:31" x14ac:dyDescent="0.2">
      <c r="AD21" s="130"/>
      <c r="AE21" s="131"/>
    </row>
    <row r="22" spans="30:31" x14ac:dyDescent="0.2">
      <c r="AD22" s="130"/>
      <c r="AE22" s="131"/>
    </row>
    <row r="23" spans="30:31" x14ac:dyDescent="0.2">
      <c r="AD23" s="130"/>
      <c r="AE23" s="131"/>
    </row>
    <row r="24" spans="30:31" x14ac:dyDescent="0.2">
      <c r="AD24" s="130"/>
      <c r="AE24" s="131"/>
    </row>
    <row r="25" spans="30:31" x14ac:dyDescent="0.2">
      <c r="AD25" s="130"/>
      <c r="AE25" s="131"/>
    </row>
    <row r="26" spans="30:31" x14ac:dyDescent="0.2">
      <c r="AD26" s="130"/>
      <c r="AE26" s="131"/>
    </row>
    <row r="27" spans="30:31" x14ac:dyDescent="0.2">
      <c r="AD27" s="130"/>
      <c r="AE27" s="131"/>
    </row>
    <row r="28" spans="30:31" x14ac:dyDescent="0.2">
      <c r="AD28" s="130"/>
      <c r="AE28" s="131"/>
    </row>
    <row r="29" spans="30:31" x14ac:dyDescent="0.2">
      <c r="AD29" s="130"/>
      <c r="AE29" s="131"/>
    </row>
    <row r="30" spans="30:31" x14ac:dyDescent="0.2">
      <c r="AD30" s="130"/>
      <c r="AE30" s="131"/>
    </row>
    <row r="31" spans="30:31" x14ac:dyDescent="0.2">
      <c r="AD31" s="130"/>
      <c r="AE31" s="131"/>
    </row>
    <row r="32" spans="30:31" x14ac:dyDescent="0.2">
      <c r="AD32" s="130"/>
      <c r="AE32" s="131"/>
    </row>
    <row r="33" spans="30:31" x14ac:dyDescent="0.2">
      <c r="AD33" s="130"/>
      <c r="AE33" s="131"/>
    </row>
    <row r="34" spans="30:31" x14ac:dyDescent="0.2">
      <c r="AD34" s="130"/>
      <c r="AE34" s="131"/>
    </row>
    <row r="35" spans="30:31" x14ac:dyDescent="0.2">
      <c r="AD35" s="130"/>
      <c r="AE35" s="131"/>
    </row>
    <row r="36" spans="30:31" x14ac:dyDescent="0.2">
      <c r="AD36" s="130"/>
      <c r="AE36" s="131"/>
    </row>
    <row r="37" spans="30:31" x14ac:dyDescent="0.2">
      <c r="AD37" s="130"/>
      <c r="AE37" s="131"/>
    </row>
    <row r="38" spans="30:31" x14ac:dyDescent="0.2">
      <c r="AD38" s="130"/>
      <c r="AE38" s="131"/>
    </row>
    <row r="39" spans="30:31" x14ac:dyDescent="0.2">
      <c r="AD39" s="130"/>
      <c r="AE39" s="131"/>
    </row>
    <row r="40" spans="30:31" x14ac:dyDescent="0.2">
      <c r="AD40" s="130"/>
      <c r="AE40" s="131"/>
    </row>
    <row r="41" spans="30:31" x14ac:dyDescent="0.2">
      <c r="AD41" s="130"/>
      <c r="AE41" s="131"/>
    </row>
    <row r="42" spans="30:31" x14ac:dyDescent="0.2">
      <c r="AD42" s="130"/>
      <c r="AE42" s="131"/>
    </row>
    <row r="43" spans="30:31" x14ac:dyDescent="0.2">
      <c r="AD43" s="130"/>
      <c r="AE43" s="131"/>
    </row>
    <row r="44" spans="30:31" x14ac:dyDescent="0.2">
      <c r="AD44" s="130"/>
      <c r="AE44" s="131"/>
    </row>
    <row r="45" spans="30:31" x14ac:dyDescent="0.2">
      <c r="AD45" s="130"/>
      <c r="AE45" s="131"/>
    </row>
    <row r="46" spans="30:31" x14ac:dyDescent="0.2">
      <c r="AD46" s="130"/>
      <c r="AE46" s="131"/>
    </row>
    <row r="47" spans="30:31" x14ac:dyDescent="0.2">
      <c r="AD47" s="130"/>
      <c r="AE47" s="131"/>
    </row>
    <row r="48" spans="30:31" x14ac:dyDescent="0.2">
      <c r="AD48" s="130"/>
      <c r="AE48" s="131"/>
    </row>
    <row r="49" spans="30:31" x14ac:dyDescent="0.2">
      <c r="AD49" s="130"/>
      <c r="AE49" s="131"/>
    </row>
    <row r="50" spans="30:31" x14ac:dyDescent="0.2">
      <c r="AD50" s="130"/>
      <c r="AE50" s="131"/>
    </row>
    <row r="51" spans="30:31" x14ac:dyDescent="0.2">
      <c r="AD51" s="130"/>
      <c r="AE51" s="131"/>
    </row>
    <row r="52" spans="30:31" x14ac:dyDescent="0.2">
      <c r="AD52" s="130"/>
      <c r="AE52" s="131"/>
    </row>
    <row r="53" spans="30:31" x14ac:dyDescent="0.2">
      <c r="AD53" s="130"/>
      <c r="AE53" s="131"/>
    </row>
    <row r="54" spans="30:31" x14ac:dyDescent="0.2">
      <c r="AD54" s="130"/>
      <c r="AE54" s="131"/>
    </row>
    <row r="55" spans="30:31" x14ac:dyDescent="0.2">
      <c r="AD55" s="130"/>
      <c r="AE55" s="131"/>
    </row>
    <row r="56" spans="30:31" x14ac:dyDescent="0.2">
      <c r="AD56" s="130"/>
      <c r="AE56" s="131"/>
    </row>
    <row r="57" spans="30:31" x14ac:dyDescent="0.2">
      <c r="AD57" s="130"/>
      <c r="AE57" s="131"/>
    </row>
    <row r="58" spans="30:31" x14ac:dyDescent="0.2">
      <c r="AD58" s="130"/>
      <c r="AE58" s="131"/>
    </row>
    <row r="59" spans="30:31" x14ac:dyDescent="0.2">
      <c r="AD59" s="130"/>
      <c r="AE59" s="131"/>
    </row>
    <row r="60" spans="30:31" x14ac:dyDescent="0.2">
      <c r="AD60" s="130"/>
      <c r="AE60" s="131"/>
    </row>
    <row r="61" spans="30:31" x14ac:dyDescent="0.2">
      <c r="AD61" s="130"/>
      <c r="AE61" s="131"/>
    </row>
    <row r="62" spans="30:31" x14ac:dyDescent="0.2">
      <c r="AD62" s="130"/>
      <c r="AE62" s="131"/>
    </row>
    <row r="63" spans="30:31" x14ac:dyDescent="0.2">
      <c r="AD63" s="130"/>
      <c r="AE63" s="131"/>
    </row>
    <row r="64" spans="30:31" x14ac:dyDescent="0.2">
      <c r="AD64" s="130"/>
      <c r="AE64" s="131"/>
    </row>
    <row r="65" spans="30:31" x14ac:dyDescent="0.2">
      <c r="AD65" s="130"/>
      <c r="AE65" s="131"/>
    </row>
    <row r="66" spans="30:31" x14ac:dyDescent="0.2">
      <c r="AD66" s="130"/>
      <c r="AE66" s="131"/>
    </row>
    <row r="67" spans="30:31" x14ac:dyDescent="0.2">
      <c r="AD67" s="130"/>
      <c r="AE67" s="131"/>
    </row>
    <row r="68" spans="30:31" x14ac:dyDescent="0.2">
      <c r="AD68" s="130"/>
      <c r="AE68" s="131"/>
    </row>
    <row r="69" spans="30:31" x14ac:dyDescent="0.2">
      <c r="AD69" s="130"/>
      <c r="AE69" s="131"/>
    </row>
    <row r="70" spans="30:31" x14ac:dyDescent="0.2">
      <c r="AD70" s="130"/>
      <c r="AE70" s="131"/>
    </row>
    <row r="71" spans="30:31" x14ac:dyDescent="0.2">
      <c r="AD71" s="130"/>
      <c r="AE71" s="131"/>
    </row>
    <row r="72" spans="30:31" x14ac:dyDescent="0.2">
      <c r="AD72" s="130"/>
      <c r="AE72" s="131"/>
    </row>
    <row r="73" spans="30:31" x14ac:dyDescent="0.2">
      <c r="AD73" s="130"/>
      <c r="AE73" s="131"/>
    </row>
    <row r="74" spans="30:31" x14ac:dyDescent="0.2">
      <c r="AD74" s="130"/>
      <c r="AE74" s="131"/>
    </row>
    <row r="75" spans="30:31" x14ac:dyDescent="0.2">
      <c r="AD75" s="130"/>
      <c r="AE75" s="131"/>
    </row>
    <row r="76" spans="30:31" x14ac:dyDescent="0.2">
      <c r="AD76" s="130"/>
      <c r="AE76" s="131"/>
    </row>
    <row r="77" spans="30:31" x14ac:dyDescent="0.2">
      <c r="AD77" s="130"/>
      <c r="AE77" s="131"/>
    </row>
    <row r="78" spans="30:31" x14ac:dyDescent="0.2">
      <c r="AD78" s="130"/>
      <c r="AE78" s="131"/>
    </row>
    <row r="79" spans="30:31" x14ac:dyDescent="0.2">
      <c r="AD79" s="130"/>
      <c r="AE79" s="131"/>
    </row>
    <row r="80" spans="30:31" x14ac:dyDescent="0.2">
      <c r="AD80" s="130"/>
      <c r="AE80" s="131"/>
    </row>
    <row r="81" spans="30:31" x14ac:dyDescent="0.2">
      <c r="AD81" s="130"/>
      <c r="AE81" s="131"/>
    </row>
    <row r="82" spans="30:31" x14ac:dyDescent="0.2">
      <c r="AD82" s="130"/>
      <c r="AE82" s="131"/>
    </row>
    <row r="83" spans="30:31" x14ac:dyDescent="0.2">
      <c r="AD83" s="130"/>
      <c r="AE83" s="131"/>
    </row>
    <row r="84" spans="30:31" x14ac:dyDescent="0.2">
      <c r="AD84" s="130"/>
      <c r="AE84" s="131"/>
    </row>
    <row r="85" spans="30:31" x14ac:dyDescent="0.2">
      <c r="AD85" s="130"/>
      <c r="AE85" s="131"/>
    </row>
    <row r="86" spans="30:31" x14ac:dyDescent="0.2">
      <c r="AD86" s="130"/>
      <c r="AE86" s="131"/>
    </row>
    <row r="87" spans="30:31" x14ac:dyDescent="0.2">
      <c r="AD87" s="130"/>
      <c r="AE87" s="131"/>
    </row>
    <row r="88" spans="30:31" x14ac:dyDescent="0.2">
      <c r="AD88" s="130"/>
      <c r="AE88" s="131"/>
    </row>
    <row r="89" spans="30:31" x14ac:dyDescent="0.2">
      <c r="AD89" s="130"/>
      <c r="AE89" s="131"/>
    </row>
    <row r="90" spans="30:31" x14ac:dyDescent="0.2">
      <c r="AD90" s="130"/>
      <c r="AE90" s="131"/>
    </row>
    <row r="91" spans="30:31" x14ac:dyDescent="0.2">
      <c r="AD91" s="130"/>
      <c r="AE91" s="131"/>
    </row>
    <row r="92" spans="30:31" x14ac:dyDescent="0.2">
      <c r="AD92" s="130"/>
      <c r="AE92" s="131"/>
    </row>
    <row r="93" spans="30:31" x14ac:dyDescent="0.2">
      <c r="AD93" s="130"/>
      <c r="AE93" s="131"/>
    </row>
    <row r="94" spans="30:31" x14ac:dyDescent="0.2">
      <c r="AD94" s="130"/>
      <c r="AE94" s="131"/>
    </row>
    <row r="95" spans="30:31" x14ac:dyDescent="0.2">
      <c r="AD95" s="130"/>
      <c r="AE95" s="131"/>
    </row>
    <row r="96" spans="30:31" x14ac:dyDescent="0.2">
      <c r="AD96" s="130"/>
      <c r="AE96" s="131"/>
    </row>
    <row r="97" spans="30:31" x14ac:dyDescent="0.2">
      <c r="AD97" s="130"/>
      <c r="AE97" s="131"/>
    </row>
    <row r="98" spans="30:31" x14ac:dyDescent="0.2">
      <c r="AD98" s="130"/>
      <c r="AE98" s="131"/>
    </row>
    <row r="99" spans="30:31" x14ac:dyDescent="0.2">
      <c r="AD99" s="130"/>
      <c r="AE99" s="131"/>
    </row>
    <row r="100" spans="30:31" x14ac:dyDescent="0.2">
      <c r="AD100" s="130"/>
      <c r="AE100" s="131"/>
    </row>
    <row r="101" spans="30:31" x14ac:dyDescent="0.2">
      <c r="AD101" s="130"/>
      <c r="AE101" s="131"/>
    </row>
    <row r="102" spans="30:31" x14ac:dyDescent="0.2">
      <c r="AD102" s="130"/>
      <c r="AE102" s="131"/>
    </row>
    <row r="103" spans="30:31" x14ac:dyDescent="0.2">
      <c r="AD103" s="130"/>
      <c r="AE103" s="131"/>
    </row>
    <row r="104" spans="30:31" x14ac:dyDescent="0.2">
      <c r="AD104" s="130"/>
      <c r="AE104" s="131"/>
    </row>
    <row r="105" spans="30:31" x14ac:dyDescent="0.2">
      <c r="AD105" s="130"/>
      <c r="AE105" s="131"/>
    </row>
    <row r="106" spans="30:31" x14ac:dyDescent="0.2">
      <c r="AD106" s="130"/>
      <c r="AE106" s="131"/>
    </row>
    <row r="107" spans="30:31" x14ac:dyDescent="0.2">
      <c r="AD107" s="130"/>
      <c r="AE107" s="131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  <pageSetup orientation="portrait"/>
    </customSheetView>
  </customSheetViews>
  <mergeCells count="2">
    <mergeCell ref="A13:BA13"/>
    <mergeCell ref="BB2:BB12"/>
  </mergeCells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E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5.125" customWidth="1"/>
    <col min="13" max="13" width="11.625" customWidth="1"/>
    <col min="14" max="14" width="12" customWidth="1"/>
    <col min="15" max="16" width="11.625" customWidth="1"/>
    <col min="17" max="17" width="19" customWidth="1"/>
    <col min="18" max="18" width="11.75" customWidth="1"/>
    <col min="19" max="20" width="11.625" customWidth="1"/>
    <col min="21" max="21" width="12.25" customWidth="1"/>
    <col min="22" max="22" width="14" customWidth="1"/>
    <col min="23" max="23" width="18.625" customWidth="1"/>
    <col min="24" max="24" width="16.375" customWidth="1"/>
    <col min="25" max="25" width="14.875" customWidth="1"/>
    <col min="26" max="26" width="10.5" customWidth="1"/>
    <col min="27" max="27" width="12.875" customWidth="1"/>
    <col min="28" max="28" width="17.875" customWidth="1"/>
    <col min="29" max="29" width="21.75" customWidth="1"/>
    <col min="30" max="30" width="20.125" customWidth="1"/>
    <col min="31" max="16384" width="9" hidden="1"/>
  </cols>
  <sheetData>
    <row r="1" spans="1:31" x14ac:dyDescent="0.2">
      <c r="A1" t="s">
        <v>2547</v>
      </c>
    </row>
    <row r="2" spans="1:31" s="2" customFormat="1" x14ac:dyDescent="0.2">
      <c r="A2" s="147" t="s">
        <v>636</v>
      </c>
      <c r="B2" s="148" t="s">
        <v>0</v>
      </c>
      <c r="C2" s="148" t="s">
        <v>703</v>
      </c>
      <c r="D2" s="148" t="s">
        <v>2</v>
      </c>
      <c r="E2" s="148" t="s">
        <v>719</v>
      </c>
      <c r="F2" s="148" t="s">
        <v>1097</v>
      </c>
      <c r="G2" s="148" t="s">
        <v>28</v>
      </c>
      <c r="H2" s="148" t="s">
        <v>27</v>
      </c>
      <c r="I2" s="148" t="s">
        <v>1</v>
      </c>
      <c r="J2" s="148" t="s">
        <v>591</v>
      </c>
      <c r="K2" s="148" t="s">
        <v>592</v>
      </c>
      <c r="L2" s="148" t="s">
        <v>593</v>
      </c>
      <c r="M2" s="148" t="s">
        <v>9</v>
      </c>
      <c r="N2" s="148" t="s">
        <v>11</v>
      </c>
      <c r="O2" s="148" t="s">
        <v>5</v>
      </c>
      <c r="P2" s="148" t="s">
        <v>7</v>
      </c>
      <c r="Q2" s="148" t="s">
        <v>1098</v>
      </c>
      <c r="R2" s="148" t="s">
        <v>387</v>
      </c>
      <c r="S2" s="148" t="s">
        <v>12</v>
      </c>
      <c r="T2" s="148" t="s">
        <v>13</v>
      </c>
      <c r="U2" s="148" t="s">
        <v>608</v>
      </c>
      <c r="V2" s="148" t="s">
        <v>876</v>
      </c>
      <c r="W2" s="148" t="s">
        <v>363</v>
      </c>
      <c r="X2" s="148" t="s">
        <v>15</v>
      </c>
      <c r="Y2" s="148" t="s">
        <v>747</v>
      </c>
      <c r="Z2" s="148" t="s">
        <v>10</v>
      </c>
      <c r="AA2" s="148" t="s">
        <v>14</v>
      </c>
      <c r="AB2" s="148" t="s">
        <v>1105</v>
      </c>
      <c r="AC2" s="148" t="s">
        <v>18</v>
      </c>
      <c r="AD2" s="149" t="s">
        <v>29</v>
      </c>
      <c r="AE2" s="174" t="s">
        <v>2522</v>
      </c>
    </row>
    <row r="3" spans="1:31" x14ac:dyDescent="0.2">
      <c r="A3" s="150" t="s">
        <v>1251</v>
      </c>
      <c r="B3" s="151" t="s">
        <v>1251</v>
      </c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60"/>
      <c r="AE3" s="174"/>
    </row>
    <row r="4" spans="1:31" x14ac:dyDescent="0.2">
      <c r="A4" s="150" t="s">
        <v>1251</v>
      </c>
      <c r="B4" s="151" t="s">
        <v>1262</v>
      </c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60"/>
      <c r="AE4" s="174"/>
    </row>
    <row r="5" spans="1:31" x14ac:dyDescent="0.2">
      <c r="A5" s="150" t="s">
        <v>1251</v>
      </c>
      <c r="B5" s="151" t="s">
        <v>1263</v>
      </c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60"/>
      <c r="AE5" s="174"/>
    </row>
    <row r="6" spans="1:31" x14ac:dyDescent="0.2">
      <c r="A6" s="150" t="s">
        <v>1264</v>
      </c>
      <c r="B6" s="151" t="s">
        <v>1264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60"/>
      <c r="AE6" s="174"/>
    </row>
    <row r="7" spans="1:31" x14ac:dyDescent="0.2">
      <c r="A7" s="150" t="s">
        <v>1264</v>
      </c>
      <c r="B7" s="151" t="s">
        <v>1265</v>
      </c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60"/>
      <c r="AE7" s="174"/>
    </row>
    <row r="8" spans="1:31" x14ac:dyDescent="0.2">
      <c r="A8" s="155" t="s">
        <v>1264</v>
      </c>
      <c r="B8" s="156" t="s">
        <v>1266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61"/>
      <c r="AE8" s="174"/>
    </row>
    <row r="9" spans="1:31" x14ac:dyDescent="0.2">
      <c r="A9" s="174" t="s">
        <v>2521</v>
      </c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  <c r="AC9" s="174"/>
      <c r="AD9" s="174"/>
    </row>
    <row r="10" spans="1:31" x14ac:dyDescent="0.2">
      <c r="A10" t="s">
        <v>2520</v>
      </c>
    </row>
    <row r="11" spans="1:31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AD9"/>
    <mergeCell ref="AE2:AE8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W11"/>
  <sheetViews>
    <sheetView rightToLeft="1" workbookViewId="0"/>
  </sheetViews>
  <sheetFormatPr defaultColWidth="0" defaultRowHeight="14.25" x14ac:dyDescent="0.2"/>
  <cols>
    <col min="1" max="1" width="29.375" customWidth="1"/>
    <col min="2" max="3" width="11.625" customWidth="1"/>
    <col min="4" max="4" width="13.75" customWidth="1"/>
    <col min="5" max="5" width="16.5" customWidth="1"/>
    <col min="6" max="6" width="11.625" customWidth="1"/>
    <col min="7" max="7" width="17" customWidth="1"/>
    <col min="8" max="8" width="11.625" customWidth="1"/>
    <col min="9" max="9" width="19.875" customWidth="1"/>
    <col min="10" max="10" width="15.125" customWidth="1"/>
    <col min="11" max="12" width="11.625" customWidth="1"/>
    <col min="13" max="13" width="11.75" customWidth="1"/>
    <col min="14" max="15" width="11.625" customWidth="1"/>
    <col min="16" max="16" width="12.25" customWidth="1"/>
    <col min="17" max="19" width="11.625" customWidth="1"/>
    <col min="20" max="20" width="17.875" customWidth="1"/>
    <col min="21" max="21" width="21.75" customWidth="1"/>
    <col min="22" max="22" width="20.125" customWidth="1"/>
    <col min="23" max="16384" width="9" hidden="1"/>
  </cols>
  <sheetData>
    <row r="1" spans="1:23" x14ac:dyDescent="0.2">
      <c r="A1" t="s">
        <v>2548</v>
      </c>
    </row>
    <row r="2" spans="1:23" s="2" customFormat="1" x14ac:dyDescent="0.2">
      <c r="A2" s="147" t="s">
        <v>636</v>
      </c>
      <c r="B2" s="148" t="s">
        <v>0</v>
      </c>
      <c r="C2" s="148" t="s">
        <v>702</v>
      </c>
      <c r="D2" s="148" t="s">
        <v>720</v>
      </c>
      <c r="E2" s="148" t="s">
        <v>721</v>
      </c>
      <c r="F2" s="148" t="s">
        <v>1</v>
      </c>
      <c r="G2" s="148" t="s">
        <v>611</v>
      </c>
      <c r="H2" s="148" t="s">
        <v>591</v>
      </c>
      <c r="I2" s="148" t="s">
        <v>592</v>
      </c>
      <c r="J2" s="148" t="s">
        <v>593</v>
      </c>
      <c r="K2" s="148" t="s">
        <v>746</v>
      </c>
      <c r="L2" s="148" t="s">
        <v>7</v>
      </c>
      <c r="M2" s="148" t="s">
        <v>387</v>
      </c>
      <c r="N2" s="148" t="s">
        <v>12</v>
      </c>
      <c r="O2" s="148" t="s">
        <v>13</v>
      </c>
      <c r="P2" s="148" t="s">
        <v>608</v>
      </c>
      <c r="Q2" s="148" t="s">
        <v>881</v>
      </c>
      <c r="R2" s="148" t="s">
        <v>10</v>
      </c>
      <c r="S2" s="148" t="s">
        <v>765</v>
      </c>
      <c r="T2" s="148" t="s">
        <v>1105</v>
      </c>
      <c r="U2" s="148" t="s">
        <v>18</v>
      </c>
      <c r="V2" s="149" t="s">
        <v>29</v>
      </c>
      <c r="W2" s="174" t="s">
        <v>2522</v>
      </c>
    </row>
    <row r="3" spans="1:23" x14ac:dyDescent="0.2">
      <c r="A3" s="150" t="s">
        <v>1251</v>
      </c>
      <c r="B3" s="151" t="s">
        <v>1251</v>
      </c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60"/>
      <c r="W3" s="174"/>
    </row>
    <row r="4" spans="1:23" x14ac:dyDescent="0.2">
      <c r="A4" s="150" t="s">
        <v>1251</v>
      </c>
      <c r="B4" s="151" t="s">
        <v>1262</v>
      </c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60"/>
      <c r="W4" s="174"/>
    </row>
    <row r="5" spans="1:23" x14ac:dyDescent="0.2">
      <c r="A5" s="150" t="s">
        <v>1251</v>
      </c>
      <c r="B5" s="151" t="s">
        <v>1263</v>
      </c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60"/>
      <c r="W5" s="174"/>
    </row>
    <row r="6" spans="1:23" x14ac:dyDescent="0.2">
      <c r="A6" s="150" t="s">
        <v>1264</v>
      </c>
      <c r="B6" s="151" t="s">
        <v>1264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60"/>
      <c r="W6" s="174"/>
    </row>
    <row r="7" spans="1:23" x14ac:dyDescent="0.2">
      <c r="A7" s="150" t="s">
        <v>1264</v>
      </c>
      <c r="B7" s="151" t="s">
        <v>1265</v>
      </c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60"/>
      <c r="W7" s="174"/>
    </row>
    <row r="8" spans="1:23" x14ac:dyDescent="0.2">
      <c r="A8" s="155" t="s">
        <v>1264</v>
      </c>
      <c r="B8" s="156" t="s">
        <v>1266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61"/>
      <c r="W8" s="174"/>
    </row>
    <row r="9" spans="1:23" x14ac:dyDescent="0.2">
      <c r="A9" s="174" t="s">
        <v>2521</v>
      </c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</row>
    <row r="10" spans="1:23" x14ac:dyDescent="0.2">
      <c r="A10" t="s">
        <v>2520</v>
      </c>
    </row>
    <row r="11" spans="1:23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V9"/>
    <mergeCell ref="W2:W8"/>
  </mergeCells>
  <pageMargins left="0.7" right="0.7" top="0.75" bottom="0.75" header="0.3" footer="0.3"/>
  <pageSetup orientation="portrait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Y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5.375" customWidth="1"/>
    <col min="6" max="6" width="15.125" customWidth="1"/>
    <col min="7" max="7" width="12" customWidth="1"/>
    <col min="8" max="8" width="15.25" customWidth="1"/>
    <col min="9" max="9" width="13.125" customWidth="1"/>
    <col min="10" max="10" width="11.625" customWidth="1"/>
    <col min="11" max="11" width="26.75" customWidth="1"/>
    <col min="12" max="12" width="27.5" customWidth="1"/>
    <col min="13" max="14" width="14" customWidth="1"/>
    <col min="15" max="15" width="18.625" customWidth="1"/>
    <col min="16" max="16" width="16.375" customWidth="1"/>
    <col min="17" max="17" width="11.75" customWidth="1"/>
    <col min="18" max="18" width="21.125" customWidth="1"/>
    <col min="19" max="19" width="17.875" customWidth="1"/>
    <col min="20" max="20" width="21.375" customWidth="1"/>
    <col min="21" max="21" width="24.625" customWidth="1"/>
    <col min="22" max="22" width="22" customWidth="1"/>
    <col min="23" max="23" width="21.75" customWidth="1"/>
    <col min="24" max="24" width="20.125" customWidth="1"/>
    <col min="25" max="16384" width="9" hidden="1"/>
  </cols>
  <sheetData>
    <row r="1" spans="1:25" x14ac:dyDescent="0.2">
      <c r="A1" t="s">
        <v>2549</v>
      </c>
    </row>
    <row r="2" spans="1:25" s="2" customFormat="1" x14ac:dyDescent="0.2">
      <c r="A2" s="147" t="s">
        <v>636</v>
      </c>
      <c r="B2" s="148" t="s">
        <v>0</v>
      </c>
      <c r="C2" s="148" t="s">
        <v>291</v>
      </c>
      <c r="D2" s="148" t="s">
        <v>1</v>
      </c>
      <c r="E2" s="148" t="s">
        <v>755</v>
      </c>
      <c r="F2" s="148" t="s">
        <v>593</v>
      </c>
      <c r="G2" s="148" t="s">
        <v>11</v>
      </c>
      <c r="H2" s="148" t="s">
        <v>23</v>
      </c>
      <c r="I2" s="148" t="s">
        <v>279</v>
      </c>
      <c r="J2" s="148" t="s">
        <v>24</v>
      </c>
      <c r="K2" s="148" t="s">
        <v>902</v>
      </c>
      <c r="L2" s="148" t="s">
        <v>1101</v>
      </c>
      <c r="M2" s="148" t="s">
        <v>876</v>
      </c>
      <c r="N2" s="148" t="s">
        <v>710</v>
      </c>
      <c r="O2" s="148" t="s">
        <v>363</v>
      </c>
      <c r="P2" s="148" t="s">
        <v>15</v>
      </c>
      <c r="Q2" s="148" t="s">
        <v>387</v>
      </c>
      <c r="R2" s="148" t="s">
        <v>759</v>
      </c>
      <c r="S2" s="148" t="s">
        <v>1105</v>
      </c>
      <c r="T2" s="148" t="s">
        <v>1106</v>
      </c>
      <c r="U2" s="148" t="s">
        <v>760</v>
      </c>
      <c r="V2" s="148" t="s">
        <v>25</v>
      </c>
      <c r="W2" s="148" t="s">
        <v>18</v>
      </c>
      <c r="X2" s="149" t="s">
        <v>29</v>
      </c>
      <c r="Y2" s="174" t="s">
        <v>2522</v>
      </c>
    </row>
    <row r="3" spans="1:25" x14ac:dyDescent="0.2">
      <c r="A3" s="150" t="s">
        <v>1251</v>
      </c>
      <c r="B3" s="151" t="s">
        <v>1251</v>
      </c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60"/>
      <c r="Y3" s="174"/>
    </row>
    <row r="4" spans="1:25" x14ac:dyDescent="0.2">
      <c r="A4" s="150" t="s">
        <v>1251</v>
      </c>
      <c r="B4" s="151" t="s">
        <v>1262</v>
      </c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60"/>
      <c r="Y4" s="174"/>
    </row>
    <row r="5" spans="1:25" x14ac:dyDescent="0.2">
      <c r="A5" s="150" t="s">
        <v>1251</v>
      </c>
      <c r="B5" s="151" t="s">
        <v>1263</v>
      </c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60"/>
      <c r="Y5" s="174"/>
    </row>
    <row r="6" spans="1:25" x14ac:dyDescent="0.2">
      <c r="A6" s="150" t="s">
        <v>1264</v>
      </c>
      <c r="B6" s="151" t="s">
        <v>1264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60"/>
      <c r="Y6" s="174"/>
    </row>
    <row r="7" spans="1:25" x14ac:dyDescent="0.2">
      <c r="A7" s="150" t="s">
        <v>1264</v>
      </c>
      <c r="B7" s="151" t="s">
        <v>1265</v>
      </c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60"/>
      <c r="Y7" s="174"/>
    </row>
    <row r="8" spans="1:25" x14ac:dyDescent="0.2">
      <c r="A8" s="155" t="s">
        <v>1264</v>
      </c>
      <c r="B8" s="156" t="s">
        <v>1266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61"/>
      <c r="Y8" s="174"/>
    </row>
    <row r="9" spans="1:25" x14ac:dyDescent="0.2">
      <c r="A9" s="174" t="s">
        <v>2521</v>
      </c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</row>
    <row r="10" spans="1:25" x14ac:dyDescent="0.2">
      <c r="A10" t="s">
        <v>2520</v>
      </c>
    </row>
    <row r="11" spans="1:25" x14ac:dyDescent="0.2">
      <c r="A11" s="1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mergeCells count="2">
    <mergeCell ref="A9:X9"/>
    <mergeCell ref="Y2:Y8"/>
  </mergeCells>
  <pageMargins left="0.7" right="0.7" top="0.75" bottom="0.75" header="0.3" footer="0.3"/>
  <pageSetup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X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1.625" customWidth="1"/>
    <col min="13" max="13" width="15.125" customWidth="1"/>
    <col min="14" max="14" width="11.75" customWidth="1"/>
    <col min="15" max="15" width="14" customWidth="1"/>
    <col min="16" max="16" width="18.625" customWidth="1"/>
    <col min="17" max="17" width="16.375" customWidth="1"/>
    <col min="18" max="18" width="30" customWidth="1"/>
    <col min="19" max="19" width="22.5" customWidth="1"/>
    <col min="20" max="20" width="18.875" customWidth="1"/>
    <col min="21" max="21" width="17.875" customWidth="1"/>
    <col min="22" max="22" width="21.75" customWidth="1"/>
    <col min="23" max="23" width="20.125" customWidth="1"/>
    <col min="24" max="16384" width="9" hidden="1"/>
  </cols>
  <sheetData>
    <row r="1" spans="1:24" x14ac:dyDescent="0.2">
      <c r="A1" t="s">
        <v>2550</v>
      </c>
    </row>
    <row r="2" spans="1:24" s="2" customFormat="1" x14ac:dyDescent="0.2">
      <c r="A2" s="147" t="s">
        <v>636</v>
      </c>
      <c r="B2" s="148" t="s">
        <v>0</v>
      </c>
      <c r="C2" s="148" t="s">
        <v>703</v>
      </c>
      <c r="D2" s="148" t="s">
        <v>2</v>
      </c>
      <c r="E2" s="148" t="s">
        <v>719</v>
      </c>
      <c r="F2" s="148" t="s">
        <v>1097</v>
      </c>
      <c r="G2" s="148" t="s">
        <v>28</v>
      </c>
      <c r="H2" s="148" t="s">
        <v>27</v>
      </c>
      <c r="I2" s="148" t="s">
        <v>1</v>
      </c>
      <c r="J2" s="148" t="s">
        <v>591</v>
      </c>
      <c r="K2" s="148" t="s">
        <v>592</v>
      </c>
      <c r="L2" s="148" t="s">
        <v>8</v>
      </c>
      <c r="M2" s="148" t="s">
        <v>593</v>
      </c>
      <c r="N2" s="148" t="s">
        <v>387</v>
      </c>
      <c r="O2" s="148" t="s">
        <v>876</v>
      </c>
      <c r="P2" s="148" t="s">
        <v>363</v>
      </c>
      <c r="Q2" s="148" t="s">
        <v>15</v>
      </c>
      <c r="R2" s="148" t="s">
        <v>1099</v>
      </c>
      <c r="S2" s="148" t="s">
        <v>605</v>
      </c>
      <c r="T2" s="148" t="s">
        <v>1107</v>
      </c>
      <c r="U2" s="148" t="s">
        <v>1105</v>
      </c>
      <c r="V2" s="148" t="s">
        <v>18</v>
      </c>
      <c r="W2" s="149" t="s">
        <v>29</v>
      </c>
      <c r="X2" s="174" t="s">
        <v>2522</v>
      </c>
    </row>
    <row r="3" spans="1:24" x14ac:dyDescent="0.2">
      <c r="A3" s="150" t="s">
        <v>1251</v>
      </c>
      <c r="B3" s="151" t="s">
        <v>1251</v>
      </c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60"/>
      <c r="X3" s="174"/>
    </row>
    <row r="4" spans="1:24" x14ac:dyDescent="0.2">
      <c r="A4" s="150" t="s">
        <v>1251</v>
      </c>
      <c r="B4" s="151" t="s">
        <v>1262</v>
      </c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60"/>
      <c r="X4" s="174"/>
    </row>
    <row r="5" spans="1:24" x14ac:dyDescent="0.2">
      <c r="A5" s="150" t="s">
        <v>1251</v>
      </c>
      <c r="B5" s="151" t="s">
        <v>1263</v>
      </c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60"/>
      <c r="X5" s="174"/>
    </row>
    <row r="6" spans="1:24" x14ac:dyDescent="0.2">
      <c r="A6" s="150" t="s">
        <v>1264</v>
      </c>
      <c r="B6" s="151" t="s">
        <v>1264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60"/>
      <c r="X6" s="174"/>
    </row>
    <row r="7" spans="1:24" x14ac:dyDescent="0.2">
      <c r="A7" s="150" t="s">
        <v>1264</v>
      </c>
      <c r="B7" s="151" t="s">
        <v>1265</v>
      </c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60"/>
      <c r="X7" s="174"/>
    </row>
    <row r="8" spans="1:24" x14ac:dyDescent="0.2">
      <c r="A8" s="155" t="s">
        <v>1264</v>
      </c>
      <c r="B8" s="156" t="s">
        <v>1266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61"/>
      <c r="X8" s="174"/>
    </row>
    <row r="9" spans="1:24" x14ac:dyDescent="0.2">
      <c r="A9" s="174" t="s">
        <v>2521</v>
      </c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</row>
    <row r="10" spans="1:24" x14ac:dyDescent="0.2">
      <c r="A10" t="s">
        <v>2520</v>
      </c>
    </row>
    <row r="11" spans="1:24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W9"/>
    <mergeCell ref="X2:X8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S11"/>
  <sheetViews>
    <sheetView rightToLeft="1" workbookViewId="0"/>
  </sheetViews>
  <sheetFormatPr defaultColWidth="0" defaultRowHeight="14.25" x14ac:dyDescent="0.2"/>
  <cols>
    <col min="1" max="1" width="29.375" customWidth="1"/>
    <col min="2" max="2" width="11.625" customWidth="1"/>
    <col min="3" max="3" width="13.25" customWidth="1"/>
    <col min="4" max="4" width="14.875" customWidth="1"/>
    <col min="5" max="6" width="11.625" customWidth="1"/>
    <col min="7" max="7" width="19.875" customWidth="1"/>
    <col min="8" max="8" width="15.125" customWidth="1"/>
    <col min="9" max="9" width="11.625" customWidth="1"/>
    <col min="10" max="10" width="11.75" customWidth="1"/>
    <col min="11" max="11" width="16.375" customWidth="1"/>
    <col min="12" max="13" width="11.625" customWidth="1"/>
    <col min="14" max="14" width="17.875" customWidth="1"/>
    <col min="15" max="15" width="21.375" customWidth="1"/>
    <col min="16" max="16" width="22" customWidth="1"/>
    <col min="17" max="17" width="21.75" customWidth="1"/>
    <col min="18" max="18" width="20.125" customWidth="1"/>
    <col min="19" max="16384" width="9" hidden="1"/>
  </cols>
  <sheetData>
    <row r="1" spans="1:19" x14ac:dyDescent="0.2">
      <c r="A1" t="s">
        <v>2551</v>
      </c>
    </row>
    <row r="2" spans="1:19" s="2" customFormat="1" x14ac:dyDescent="0.2">
      <c r="A2" s="147" t="s">
        <v>636</v>
      </c>
      <c r="B2" s="148" t="s">
        <v>0</v>
      </c>
      <c r="C2" s="148" t="s">
        <v>757</v>
      </c>
      <c r="D2" s="148" t="s">
        <v>758</v>
      </c>
      <c r="E2" s="148" t="s">
        <v>1</v>
      </c>
      <c r="F2" s="148" t="s">
        <v>591</v>
      </c>
      <c r="G2" s="148" t="s">
        <v>592</v>
      </c>
      <c r="H2" s="148" t="s">
        <v>593</v>
      </c>
      <c r="I2" s="148" t="s">
        <v>764</v>
      </c>
      <c r="J2" s="148" t="s">
        <v>387</v>
      </c>
      <c r="K2" s="148" t="s">
        <v>15</v>
      </c>
      <c r="L2" s="148" t="s">
        <v>881</v>
      </c>
      <c r="M2" s="148" t="s">
        <v>10</v>
      </c>
      <c r="N2" s="148" t="s">
        <v>1105</v>
      </c>
      <c r="O2" s="148" t="s">
        <v>1106</v>
      </c>
      <c r="P2" s="148" t="s">
        <v>25</v>
      </c>
      <c r="Q2" s="148" t="s">
        <v>18</v>
      </c>
      <c r="R2" s="149" t="s">
        <v>29</v>
      </c>
      <c r="S2" s="174" t="s">
        <v>2522</v>
      </c>
    </row>
    <row r="3" spans="1:19" x14ac:dyDescent="0.2">
      <c r="A3" s="150" t="s">
        <v>1251</v>
      </c>
      <c r="B3" s="151" t="s">
        <v>1251</v>
      </c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60"/>
      <c r="S3" s="174"/>
    </row>
    <row r="4" spans="1:19" x14ac:dyDescent="0.2">
      <c r="A4" s="150" t="s">
        <v>1251</v>
      </c>
      <c r="B4" s="151" t="s">
        <v>1262</v>
      </c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60"/>
      <c r="S4" s="174"/>
    </row>
    <row r="5" spans="1:19" x14ac:dyDescent="0.2">
      <c r="A5" s="150" t="s">
        <v>1251</v>
      </c>
      <c r="B5" s="151" t="s">
        <v>1263</v>
      </c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60"/>
      <c r="S5" s="174"/>
    </row>
    <row r="6" spans="1:19" x14ac:dyDescent="0.2">
      <c r="A6" s="150" t="s">
        <v>1264</v>
      </c>
      <c r="B6" s="151" t="s">
        <v>1264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60"/>
      <c r="S6" s="174"/>
    </row>
    <row r="7" spans="1:19" x14ac:dyDescent="0.2">
      <c r="A7" s="150" t="s">
        <v>1264</v>
      </c>
      <c r="B7" s="151" t="s">
        <v>1265</v>
      </c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60"/>
      <c r="S7" s="174"/>
    </row>
    <row r="8" spans="1:19" x14ac:dyDescent="0.2">
      <c r="A8" s="155" t="s">
        <v>1264</v>
      </c>
      <c r="B8" s="156" t="s">
        <v>1266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61"/>
      <c r="S8" s="174"/>
    </row>
    <row r="9" spans="1:19" x14ac:dyDescent="0.2">
      <c r="A9" s="174" t="s">
        <v>2521</v>
      </c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</row>
    <row r="10" spans="1:19" x14ac:dyDescent="0.2">
      <c r="A10" t="s">
        <v>2520</v>
      </c>
    </row>
    <row r="11" spans="1:19" x14ac:dyDescent="0.2">
      <c r="A11" s="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mergeCells count="2">
    <mergeCell ref="A9:R9"/>
    <mergeCell ref="S2:S8"/>
  </mergeCell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U11"/>
  <sheetViews>
    <sheetView rightToLeft="1" workbookViewId="0"/>
  </sheetViews>
  <sheetFormatPr defaultColWidth="0" defaultRowHeight="14.1" customHeight="1" x14ac:dyDescent="0.2"/>
  <cols>
    <col min="1" max="1" width="29.375" customWidth="1"/>
    <col min="2" max="2" width="11.625" customWidth="1"/>
    <col min="3" max="3" width="14" customWidth="1"/>
    <col min="4" max="4" width="16.75" customWidth="1"/>
    <col min="5" max="5" width="11.625" customWidth="1"/>
    <col min="6" max="6" width="11.875" customWidth="1"/>
    <col min="7" max="7" width="22.875" customWidth="1"/>
    <col min="8" max="8" width="11.625" customWidth="1"/>
    <col min="9" max="9" width="19.875" customWidth="1"/>
    <col min="10" max="10" width="15.125" customWidth="1"/>
    <col min="11" max="12" width="11.625" customWidth="1"/>
    <col min="13" max="13" width="17.125" customWidth="1"/>
    <col min="14" max="14" width="11.75" customWidth="1"/>
    <col min="15" max="15" width="13.125" customWidth="1"/>
    <col min="16" max="17" width="11.625" customWidth="1"/>
    <col min="18" max="18" width="36" customWidth="1"/>
    <col min="19" max="19" width="32.75" customWidth="1"/>
    <col min="20" max="20" width="21.25" customWidth="1"/>
    <col min="21" max="16384" width="11.625" hidden="1"/>
  </cols>
  <sheetData>
    <row r="1" spans="1:21" ht="14.1" customHeight="1" x14ac:dyDescent="0.2">
      <c r="A1" t="s">
        <v>2552</v>
      </c>
    </row>
    <row r="2" spans="1:21" ht="14.25" x14ac:dyDescent="0.2">
      <c r="A2" s="147" t="s">
        <v>636</v>
      </c>
      <c r="B2" s="148" t="s">
        <v>0</v>
      </c>
      <c r="C2" s="148" t="s">
        <v>704</v>
      </c>
      <c r="D2" s="148" t="s">
        <v>705</v>
      </c>
      <c r="E2" s="148" t="s">
        <v>706</v>
      </c>
      <c r="F2" s="148" t="s">
        <v>707</v>
      </c>
      <c r="G2" s="148" t="s">
        <v>712</v>
      </c>
      <c r="H2" s="148" t="s">
        <v>591</v>
      </c>
      <c r="I2" s="148" t="s">
        <v>592</v>
      </c>
      <c r="J2" s="148" t="s">
        <v>593</v>
      </c>
      <c r="K2" s="148" t="s">
        <v>5</v>
      </c>
      <c r="L2" s="148" t="s">
        <v>7</v>
      </c>
      <c r="M2" s="148" t="s">
        <v>1100</v>
      </c>
      <c r="N2" s="148" t="s">
        <v>387</v>
      </c>
      <c r="O2" s="148" t="s">
        <v>10</v>
      </c>
      <c r="P2" s="148" t="s">
        <v>13</v>
      </c>
      <c r="Q2" s="148" t="s">
        <v>431</v>
      </c>
      <c r="R2" s="148" t="s">
        <v>766</v>
      </c>
      <c r="S2" s="148" t="s">
        <v>1108</v>
      </c>
      <c r="T2" s="149" t="s">
        <v>727</v>
      </c>
      <c r="U2" s="174" t="s">
        <v>2522</v>
      </c>
    </row>
    <row r="3" spans="1:21" ht="14.25" x14ac:dyDescent="0.2">
      <c r="A3" s="150" t="s">
        <v>1251</v>
      </c>
      <c r="B3" s="151" t="s">
        <v>1251</v>
      </c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60"/>
      <c r="U3" s="174"/>
    </row>
    <row r="4" spans="1:21" ht="14.25" x14ac:dyDescent="0.2">
      <c r="A4" s="150" t="s">
        <v>1251</v>
      </c>
      <c r="B4" s="151" t="s">
        <v>1262</v>
      </c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60"/>
      <c r="U4" s="174"/>
    </row>
    <row r="5" spans="1:21" ht="14.25" x14ac:dyDescent="0.2">
      <c r="A5" s="150" t="s">
        <v>1251</v>
      </c>
      <c r="B5" s="151" t="s">
        <v>1263</v>
      </c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60"/>
      <c r="U5" s="174"/>
    </row>
    <row r="6" spans="1:21" ht="14.25" x14ac:dyDescent="0.2">
      <c r="A6" s="150" t="s">
        <v>1264</v>
      </c>
      <c r="B6" s="151" t="s">
        <v>1264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60"/>
      <c r="U6" s="174"/>
    </row>
    <row r="7" spans="1:21" ht="14.25" x14ac:dyDescent="0.2">
      <c r="A7" s="150" t="s">
        <v>1264</v>
      </c>
      <c r="B7" s="151" t="s">
        <v>1265</v>
      </c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60"/>
      <c r="U7" s="174"/>
    </row>
    <row r="8" spans="1:21" ht="14.25" x14ac:dyDescent="0.2">
      <c r="A8" s="155" t="s">
        <v>1264</v>
      </c>
      <c r="B8" s="156" t="s">
        <v>1266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61"/>
      <c r="U8" s="174"/>
    </row>
    <row r="9" spans="1:21" ht="14.1" customHeight="1" x14ac:dyDescent="0.2">
      <c r="A9" s="174" t="s">
        <v>2521</v>
      </c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</row>
    <row r="10" spans="1:21" ht="14.1" customHeight="1" x14ac:dyDescent="0.2">
      <c r="A10" t="s">
        <v>2520</v>
      </c>
    </row>
    <row r="11" spans="1:21" ht="14.1" customHeight="1" x14ac:dyDescent="0.2">
      <c r="A11" s="1"/>
    </row>
  </sheetData>
  <sheetProtection formatColumns="0"/>
  <customSheetViews>
    <customSheetView guid="{AE318230-F718-49FC-82EB-7CAC3DCD05F1}" showGridLines="0" hiddenRows="1">
      <selection activeCell="F2" sqref="F2"/>
      <pageMargins left="0.7" right="0.7" top="0.75" bottom="0.75" header="0.3" footer="0.3"/>
      <pageSetup orientation="portrait"/>
    </customSheetView>
  </customSheetViews>
  <mergeCells count="2">
    <mergeCell ref="A9:T9"/>
    <mergeCell ref="U2:U8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R164"/>
  <sheetViews>
    <sheetView rightToLeft="1" workbookViewId="0"/>
  </sheetViews>
  <sheetFormatPr defaultColWidth="0" defaultRowHeight="14.1" customHeight="1" x14ac:dyDescent="0.2"/>
  <cols>
    <col min="1" max="1" width="29.375" customWidth="1"/>
    <col min="2" max="3" width="11.625" customWidth="1"/>
    <col min="4" max="4" width="21.75" customWidth="1"/>
    <col min="5" max="5" width="27.5" customWidth="1"/>
    <col min="6" max="6" width="30.25" customWidth="1"/>
    <col min="7" max="7" width="13.5" customWidth="1"/>
    <col min="8" max="8" width="19.25" customWidth="1"/>
    <col min="9" max="9" width="22.625" customWidth="1"/>
    <col min="10" max="10" width="11.75" customWidth="1"/>
    <col min="11" max="11" width="28.875" customWidth="1"/>
    <col min="12" max="12" width="42.25" customWidth="1"/>
    <col min="13" max="13" width="28.375" customWidth="1"/>
    <col min="14" max="14" width="47.25" customWidth="1"/>
    <col min="15" max="15" width="33.375" customWidth="1"/>
    <col min="16" max="16" width="17.875" customWidth="1"/>
    <col min="17" max="17" width="24.5" customWidth="1"/>
    <col min="18" max="16384" width="11.625" hidden="1"/>
  </cols>
  <sheetData>
    <row r="1" spans="1:18" ht="14.1" customHeight="1" x14ac:dyDescent="0.2">
      <c r="A1" t="s">
        <v>2553</v>
      </c>
    </row>
    <row r="2" spans="1:18" ht="14.25" x14ac:dyDescent="0.2">
      <c r="A2" s="147" t="s">
        <v>636</v>
      </c>
      <c r="B2" s="148" t="s">
        <v>0</v>
      </c>
      <c r="C2" s="148" t="s">
        <v>1</v>
      </c>
      <c r="D2" s="148" t="s">
        <v>753</v>
      </c>
      <c r="E2" s="148" t="s">
        <v>763</v>
      </c>
      <c r="F2" s="148" t="s">
        <v>754</v>
      </c>
      <c r="G2" s="148" t="s">
        <v>726</v>
      </c>
      <c r="H2" s="148" t="s">
        <v>725</v>
      </c>
      <c r="I2" s="148" t="s">
        <v>730</v>
      </c>
      <c r="J2" s="148" t="s">
        <v>387</v>
      </c>
      <c r="K2" s="148" t="s">
        <v>724</v>
      </c>
      <c r="L2" s="148" t="s">
        <v>882</v>
      </c>
      <c r="M2" s="148" t="s">
        <v>1109</v>
      </c>
      <c r="N2" s="148" t="s">
        <v>883</v>
      </c>
      <c r="O2" s="148" t="s">
        <v>1110</v>
      </c>
      <c r="P2" s="148" t="s">
        <v>21</v>
      </c>
      <c r="Q2" s="149" t="s">
        <v>767</v>
      </c>
      <c r="R2" s="174" t="s">
        <v>2522</v>
      </c>
    </row>
    <row r="3" spans="1:18" ht="14.25" x14ac:dyDescent="0.2">
      <c r="A3" s="150" t="s">
        <v>1251</v>
      </c>
      <c r="B3" s="151" t="s">
        <v>1251</v>
      </c>
      <c r="C3" s="151" t="s">
        <v>244</v>
      </c>
      <c r="D3" s="151" t="s">
        <v>2312</v>
      </c>
      <c r="E3" s="151"/>
      <c r="F3" s="151"/>
      <c r="G3" s="151" t="s">
        <v>2313</v>
      </c>
      <c r="H3" s="151" t="s">
        <v>2314</v>
      </c>
      <c r="I3" s="151" t="s">
        <v>101</v>
      </c>
      <c r="J3" s="151" t="s">
        <v>1256</v>
      </c>
      <c r="K3" s="162">
        <v>44118</v>
      </c>
      <c r="L3" s="152">
        <v>600</v>
      </c>
      <c r="M3" s="152">
        <v>1899</v>
      </c>
      <c r="N3" s="152">
        <v>69</v>
      </c>
      <c r="O3" s="152">
        <v>218.38499999999999</v>
      </c>
      <c r="P3" s="167">
        <v>0.115</v>
      </c>
      <c r="Q3" s="171">
        <v>47573</v>
      </c>
      <c r="R3" s="174"/>
    </row>
    <row r="4" spans="1:18" ht="14.25" x14ac:dyDescent="0.2">
      <c r="A4" s="150" t="s">
        <v>1251</v>
      </c>
      <c r="B4" s="151" t="s">
        <v>1251</v>
      </c>
      <c r="C4" s="151" t="s">
        <v>244</v>
      </c>
      <c r="D4" s="151" t="s">
        <v>2371</v>
      </c>
      <c r="E4" s="151"/>
      <c r="F4" s="151"/>
      <c r="G4" s="151" t="s">
        <v>2398</v>
      </c>
      <c r="H4" s="151" t="s">
        <v>2399</v>
      </c>
      <c r="I4" s="151" t="s">
        <v>101</v>
      </c>
      <c r="J4" s="151" t="s">
        <v>1258</v>
      </c>
      <c r="K4" s="162">
        <v>42901</v>
      </c>
      <c r="L4" s="152">
        <v>340</v>
      </c>
      <c r="M4" s="152">
        <v>1236.24</v>
      </c>
      <c r="N4" s="152">
        <v>2.0972999999999882</v>
      </c>
      <c r="O4" s="152">
        <v>7.6257827999999579</v>
      </c>
      <c r="P4" s="167">
        <v>6.1685294117646717E-3</v>
      </c>
      <c r="Q4" s="171">
        <v>46477</v>
      </c>
      <c r="R4" s="174"/>
    </row>
    <row r="5" spans="1:18" ht="14.25" x14ac:dyDescent="0.2">
      <c r="A5" s="150" t="s">
        <v>1251</v>
      </c>
      <c r="B5" s="151" t="s">
        <v>1251</v>
      </c>
      <c r="C5" s="151" t="s">
        <v>244</v>
      </c>
      <c r="D5" s="151" t="s">
        <v>2266</v>
      </c>
      <c r="E5" s="151"/>
      <c r="F5" s="151"/>
      <c r="G5" s="151" t="s">
        <v>2345</v>
      </c>
      <c r="H5" s="151" t="s">
        <v>2346</v>
      </c>
      <c r="I5" s="151" t="s">
        <v>101</v>
      </c>
      <c r="J5" s="151" t="s">
        <v>1258</v>
      </c>
      <c r="K5" s="162">
        <v>45641</v>
      </c>
      <c r="L5" s="152">
        <v>1050</v>
      </c>
      <c r="M5" s="152">
        <v>3817.8</v>
      </c>
      <c r="N5" s="152">
        <v>671.91750999999999</v>
      </c>
      <c r="O5" s="152">
        <v>2443.09206636</v>
      </c>
      <c r="P5" s="167">
        <v>0.63992143809523805</v>
      </c>
      <c r="Q5" s="171">
        <v>47818</v>
      </c>
      <c r="R5" s="174"/>
    </row>
    <row r="6" spans="1:18" ht="14.25" x14ac:dyDescent="0.2">
      <c r="A6" s="150" t="s">
        <v>1251</v>
      </c>
      <c r="B6" s="151" t="s">
        <v>1251</v>
      </c>
      <c r="C6" s="151" t="s">
        <v>244</v>
      </c>
      <c r="D6" s="151" t="s">
        <v>2218</v>
      </c>
      <c r="E6" s="151"/>
      <c r="F6" s="151"/>
      <c r="G6" s="151" t="s">
        <v>2219</v>
      </c>
      <c r="H6" s="151" t="s">
        <v>2220</v>
      </c>
      <c r="I6" s="151" t="s">
        <v>101</v>
      </c>
      <c r="J6" s="151" t="s">
        <v>1255</v>
      </c>
      <c r="K6" s="162">
        <v>45034</v>
      </c>
      <c r="L6" s="152">
        <v>4000</v>
      </c>
      <c r="M6" s="152">
        <v>4000</v>
      </c>
      <c r="N6" s="152">
        <v>2120</v>
      </c>
      <c r="O6" s="152">
        <v>2120</v>
      </c>
      <c r="P6" s="167">
        <v>0.53</v>
      </c>
      <c r="Q6" s="171">
        <v>46692</v>
      </c>
      <c r="R6" s="174"/>
    </row>
    <row r="7" spans="1:18" ht="14.25" x14ac:dyDescent="0.2">
      <c r="A7" s="150" t="s">
        <v>1251</v>
      </c>
      <c r="B7" s="151" t="s">
        <v>1251</v>
      </c>
      <c r="C7" s="151" t="s">
        <v>244</v>
      </c>
      <c r="D7" s="151" t="s">
        <v>2294</v>
      </c>
      <c r="E7" s="151"/>
      <c r="F7" s="151"/>
      <c r="G7" s="151" t="s">
        <v>2332</v>
      </c>
      <c r="H7" s="151" t="s">
        <v>2333</v>
      </c>
      <c r="I7" s="151" t="s">
        <v>101</v>
      </c>
      <c r="J7" s="151" t="s">
        <v>1256</v>
      </c>
      <c r="K7" s="162">
        <v>45034</v>
      </c>
      <c r="L7" s="152">
        <v>869.81719999999996</v>
      </c>
      <c r="M7" s="152">
        <v>2752.971438</v>
      </c>
      <c r="N7" s="152">
        <v>405.24635000000001</v>
      </c>
      <c r="O7" s="152">
        <v>1282.60469775</v>
      </c>
      <c r="P7" s="167">
        <v>0.46589829449222209</v>
      </c>
      <c r="Q7" s="171">
        <v>47453</v>
      </c>
      <c r="R7" s="174"/>
    </row>
    <row r="8" spans="1:18" ht="14.25" x14ac:dyDescent="0.2">
      <c r="A8" s="150" t="s">
        <v>1251</v>
      </c>
      <c r="B8" s="151" t="s">
        <v>1251</v>
      </c>
      <c r="C8" s="151" t="s">
        <v>244</v>
      </c>
      <c r="D8" s="151" t="s">
        <v>2416</v>
      </c>
      <c r="E8" s="151"/>
      <c r="F8" s="151"/>
      <c r="G8" s="151" t="s">
        <v>2417</v>
      </c>
      <c r="H8" s="151" t="s">
        <v>2418</v>
      </c>
      <c r="I8" s="151" t="s">
        <v>101</v>
      </c>
      <c r="J8" s="151" t="s">
        <v>1258</v>
      </c>
      <c r="K8" s="162">
        <v>44431</v>
      </c>
      <c r="L8" s="152">
        <v>254.86649999999997</v>
      </c>
      <c r="M8" s="152">
        <v>926.69459399999994</v>
      </c>
      <c r="N8" s="152">
        <v>62.988629999999972</v>
      </c>
      <c r="O8" s="152">
        <v>229.02665867999991</v>
      </c>
      <c r="P8" s="167">
        <v>0.24714362224929515</v>
      </c>
      <c r="Q8" s="171">
        <v>46966</v>
      </c>
      <c r="R8" s="174"/>
    </row>
    <row r="9" spans="1:18" ht="14.25" x14ac:dyDescent="0.2">
      <c r="A9" s="150" t="s">
        <v>1251</v>
      </c>
      <c r="B9" s="151" t="s">
        <v>1251</v>
      </c>
      <c r="C9" s="151" t="s">
        <v>244</v>
      </c>
      <c r="D9" s="151" t="s">
        <v>2230</v>
      </c>
      <c r="E9" s="151"/>
      <c r="F9" s="151"/>
      <c r="G9" s="151" t="s">
        <v>2231</v>
      </c>
      <c r="H9" s="151" t="s">
        <v>2232</v>
      </c>
      <c r="I9" s="151" t="s">
        <v>101</v>
      </c>
      <c r="J9" s="151" t="s">
        <v>1256</v>
      </c>
      <c r="K9" s="162">
        <v>42019</v>
      </c>
      <c r="L9" s="152">
        <v>300</v>
      </c>
      <c r="M9" s="152">
        <v>949.5</v>
      </c>
      <c r="N9" s="152">
        <v>25.966799999999989</v>
      </c>
      <c r="O9" s="152">
        <v>82.184921999999958</v>
      </c>
      <c r="P9" s="167">
        <v>8.6555999999999966E-2</v>
      </c>
      <c r="Q9" s="171">
        <v>46350</v>
      </c>
      <c r="R9" s="174"/>
    </row>
    <row r="10" spans="1:18" ht="14.25" x14ac:dyDescent="0.2">
      <c r="A10" s="150" t="s">
        <v>1251</v>
      </c>
      <c r="B10" s="151" t="s">
        <v>1251</v>
      </c>
      <c r="C10" s="151" t="s">
        <v>244</v>
      </c>
      <c r="D10" s="151" t="s">
        <v>2252</v>
      </c>
      <c r="E10" s="151"/>
      <c r="F10" s="151"/>
      <c r="G10" s="151" t="s">
        <v>2253</v>
      </c>
      <c r="H10" s="151" t="s">
        <v>2254</v>
      </c>
      <c r="I10" s="151" t="s">
        <v>101</v>
      </c>
      <c r="J10" s="151" t="s">
        <v>1256</v>
      </c>
      <c r="K10" s="162">
        <v>42768</v>
      </c>
      <c r="L10" s="152">
        <v>150</v>
      </c>
      <c r="M10" s="152">
        <v>474.75</v>
      </c>
      <c r="N10" s="152">
        <v>8.25</v>
      </c>
      <c r="O10" s="152">
        <v>26.111249999999998</v>
      </c>
      <c r="P10" s="167">
        <v>5.5E-2</v>
      </c>
      <c r="Q10" s="171">
        <v>46507</v>
      </c>
      <c r="R10" s="174"/>
    </row>
    <row r="11" spans="1:18" ht="14.25" x14ac:dyDescent="0.2">
      <c r="A11" s="150" t="s">
        <v>1251</v>
      </c>
      <c r="B11" s="151" t="s">
        <v>1251</v>
      </c>
      <c r="C11" s="151" t="s">
        <v>244</v>
      </c>
      <c r="D11" s="151" t="s">
        <v>2281</v>
      </c>
      <c r="E11" s="151"/>
      <c r="F11" s="151"/>
      <c r="G11" s="151" t="s">
        <v>2289</v>
      </c>
      <c r="H11" s="151" t="s">
        <v>2290</v>
      </c>
      <c r="I11" s="151" t="s">
        <v>101</v>
      </c>
      <c r="J11" s="151" t="s">
        <v>1256</v>
      </c>
      <c r="K11" s="162">
        <v>43375</v>
      </c>
      <c r="L11" s="152">
        <v>700</v>
      </c>
      <c r="M11" s="152">
        <v>2215.5</v>
      </c>
      <c r="N11" s="152">
        <v>60.726699999999951</v>
      </c>
      <c r="O11" s="152">
        <v>192.20000549999986</v>
      </c>
      <c r="P11" s="167">
        <v>8.6752428571428508E-2</v>
      </c>
      <c r="Q11" s="171">
        <v>46997</v>
      </c>
      <c r="R11" s="174"/>
    </row>
    <row r="12" spans="1:18" ht="14.25" x14ac:dyDescent="0.2">
      <c r="A12" s="150" t="s">
        <v>1251</v>
      </c>
      <c r="B12" s="151" t="s">
        <v>1251</v>
      </c>
      <c r="C12" s="151" t="s">
        <v>244</v>
      </c>
      <c r="D12" s="151" t="s">
        <v>2221</v>
      </c>
      <c r="E12" s="151"/>
      <c r="F12" s="151"/>
      <c r="G12" s="151" t="s">
        <v>2222</v>
      </c>
      <c r="H12" s="151" t="s">
        <v>2223</v>
      </c>
      <c r="I12" s="151" t="s">
        <v>101</v>
      </c>
      <c r="J12" s="151" t="s">
        <v>1255</v>
      </c>
      <c r="K12" s="162">
        <v>43801</v>
      </c>
      <c r="L12" s="152">
        <v>2500</v>
      </c>
      <c r="M12" s="152">
        <v>2500</v>
      </c>
      <c r="N12" s="152">
        <v>741.41189999999995</v>
      </c>
      <c r="O12" s="152">
        <v>741.41189999999995</v>
      </c>
      <c r="P12" s="167">
        <v>0.29656475999999998</v>
      </c>
      <c r="Q12" s="171">
        <v>46327</v>
      </c>
      <c r="R12" s="174"/>
    </row>
    <row r="13" spans="1:18" ht="14.25" x14ac:dyDescent="0.2">
      <c r="A13" s="150" t="s">
        <v>1251</v>
      </c>
      <c r="B13" s="151" t="s">
        <v>1251</v>
      </c>
      <c r="C13" s="151" t="s">
        <v>244</v>
      </c>
      <c r="D13" s="151" t="s">
        <v>2233</v>
      </c>
      <c r="E13" s="151"/>
      <c r="F13" s="151"/>
      <c r="G13" s="151" t="s">
        <v>2234</v>
      </c>
      <c r="H13" s="151" t="s">
        <v>2235</v>
      </c>
      <c r="I13" s="151" t="s">
        <v>101</v>
      </c>
      <c r="J13" s="151" t="s">
        <v>1256</v>
      </c>
      <c r="K13" s="162">
        <v>44836</v>
      </c>
      <c r="L13" s="152">
        <v>620</v>
      </c>
      <c r="M13" s="152">
        <v>1962.3</v>
      </c>
      <c r="N13" s="152">
        <v>401.18627999999995</v>
      </c>
      <c r="O13" s="152">
        <v>1269.7545762</v>
      </c>
      <c r="P13" s="167">
        <v>0.64707464516129032</v>
      </c>
      <c r="Q13" s="171">
        <v>48458</v>
      </c>
      <c r="R13" s="174"/>
    </row>
    <row r="14" spans="1:18" ht="14.25" x14ac:dyDescent="0.2">
      <c r="A14" s="150" t="s">
        <v>1251</v>
      </c>
      <c r="B14" s="151" t="s">
        <v>1251</v>
      </c>
      <c r="C14" s="151" t="s">
        <v>244</v>
      </c>
      <c r="D14" s="151" t="s">
        <v>2363</v>
      </c>
      <c r="E14" s="151"/>
      <c r="F14" s="151"/>
      <c r="G14" s="151" t="s">
        <v>2364</v>
      </c>
      <c r="H14" s="151" t="s">
        <v>2365</v>
      </c>
      <c r="I14" s="151" t="s">
        <v>101</v>
      </c>
      <c r="J14" s="151" t="s">
        <v>1258</v>
      </c>
      <c r="K14" s="162">
        <v>45630</v>
      </c>
      <c r="L14" s="152">
        <v>980.00000000000011</v>
      </c>
      <c r="M14" s="152">
        <v>3563.2800000000007</v>
      </c>
      <c r="N14" s="152">
        <v>691.63850000000014</v>
      </c>
      <c r="O14" s="152">
        <v>2514.7975860000006</v>
      </c>
      <c r="P14" s="167">
        <v>0.70575357142857142</v>
      </c>
      <c r="Q14" s="171">
        <v>49282</v>
      </c>
      <c r="R14" s="174"/>
    </row>
    <row r="15" spans="1:18" ht="14.25" x14ac:dyDescent="0.2">
      <c r="A15" s="150" t="s">
        <v>1251</v>
      </c>
      <c r="B15" s="151" t="s">
        <v>1251</v>
      </c>
      <c r="C15" s="151" t="s">
        <v>244</v>
      </c>
      <c r="D15" s="151" t="s">
        <v>2377</v>
      </c>
      <c r="E15" s="151"/>
      <c r="F15" s="151"/>
      <c r="G15" s="151" t="s">
        <v>2378</v>
      </c>
      <c r="H15" s="151" t="s">
        <v>2379</v>
      </c>
      <c r="I15" s="151" t="s">
        <v>101</v>
      </c>
      <c r="J15" s="151" t="s">
        <v>1256</v>
      </c>
      <c r="K15" s="162">
        <v>43804</v>
      </c>
      <c r="L15" s="152">
        <v>575.69541900000002</v>
      </c>
      <c r="M15" s="152">
        <v>1822.0760011350001</v>
      </c>
      <c r="N15" s="152">
        <v>141.66834899999998</v>
      </c>
      <c r="O15" s="152">
        <v>448.38032458499993</v>
      </c>
      <c r="P15" s="167">
        <v>0.24608211968419361</v>
      </c>
      <c r="Q15" s="171">
        <v>47453</v>
      </c>
      <c r="R15" s="174"/>
    </row>
    <row r="16" spans="1:18" ht="14.25" x14ac:dyDescent="0.2">
      <c r="A16" s="150" t="s">
        <v>1251</v>
      </c>
      <c r="B16" s="151" t="s">
        <v>1251</v>
      </c>
      <c r="C16" s="151" t="s">
        <v>244</v>
      </c>
      <c r="D16" s="151" t="s">
        <v>2284</v>
      </c>
      <c r="E16" s="151"/>
      <c r="F16" s="151"/>
      <c r="G16" s="151" t="s">
        <v>2285</v>
      </c>
      <c r="H16" s="151" t="s">
        <v>2286</v>
      </c>
      <c r="I16" s="151" t="s">
        <v>101</v>
      </c>
      <c r="J16" s="151" t="s">
        <v>1256</v>
      </c>
      <c r="K16" s="162">
        <v>43502</v>
      </c>
      <c r="L16" s="152">
        <v>512.05497700000001</v>
      </c>
      <c r="M16" s="152">
        <v>1620.6540022050001</v>
      </c>
      <c r="N16" s="152">
        <v>18.798047000000022</v>
      </c>
      <c r="O16" s="152">
        <v>59.495818755000066</v>
      </c>
      <c r="P16" s="167">
        <v>3.6710993632232618E-2</v>
      </c>
      <c r="Q16" s="171">
        <v>47119</v>
      </c>
      <c r="R16" s="174"/>
    </row>
    <row r="17" spans="1:18" ht="14.25" x14ac:dyDescent="0.2">
      <c r="A17" s="150" t="s">
        <v>1251</v>
      </c>
      <c r="B17" s="151" t="s">
        <v>1251</v>
      </c>
      <c r="C17" s="151" t="s">
        <v>244</v>
      </c>
      <c r="D17" s="151" t="s">
        <v>2309</v>
      </c>
      <c r="E17" s="151"/>
      <c r="F17" s="151"/>
      <c r="G17" s="151" t="s">
        <v>2310</v>
      </c>
      <c r="H17" s="151" t="s">
        <v>2311</v>
      </c>
      <c r="I17" s="151" t="s">
        <v>101</v>
      </c>
      <c r="J17" s="151" t="s">
        <v>1256</v>
      </c>
      <c r="K17" s="162">
        <v>43319</v>
      </c>
      <c r="L17" s="152">
        <v>950.94409999999993</v>
      </c>
      <c r="M17" s="152">
        <v>3009.7380764999998</v>
      </c>
      <c r="N17" s="152">
        <v>164.85419999999996</v>
      </c>
      <c r="O17" s="152">
        <v>521.7635429999998</v>
      </c>
      <c r="P17" s="167">
        <v>0.17335845503431796</v>
      </c>
      <c r="Q17" s="171">
        <v>46188</v>
      </c>
      <c r="R17" s="174"/>
    </row>
    <row r="18" spans="1:18" ht="14.25" x14ac:dyDescent="0.2">
      <c r="A18" s="150" t="s">
        <v>1251</v>
      </c>
      <c r="B18" s="151" t="s">
        <v>1251</v>
      </c>
      <c r="C18" s="151" t="s">
        <v>244</v>
      </c>
      <c r="D18" s="151" t="s">
        <v>2315</v>
      </c>
      <c r="E18" s="151"/>
      <c r="F18" s="151"/>
      <c r="G18" s="151" t="s">
        <v>2316</v>
      </c>
      <c r="H18" s="151" t="s">
        <v>2317</v>
      </c>
      <c r="I18" s="151" t="s">
        <v>101</v>
      </c>
      <c r="J18" s="151" t="s">
        <v>1256</v>
      </c>
      <c r="K18" s="162">
        <v>45330</v>
      </c>
      <c r="L18" s="152">
        <v>1322.7683999999999</v>
      </c>
      <c r="M18" s="152">
        <v>4186.5619859999997</v>
      </c>
      <c r="N18" s="152">
        <v>810.46767999999986</v>
      </c>
      <c r="O18" s="152">
        <v>2565.1302071999994</v>
      </c>
      <c r="P18" s="167">
        <v>0.61270565580490122</v>
      </c>
      <c r="Q18" s="171">
        <v>48983</v>
      </c>
      <c r="R18" s="174"/>
    </row>
    <row r="19" spans="1:18" ht="14.25" x14ac:dyDescent="0.2">
      <c r="A19" s="150" t="s">
        <v>1251</v>
      </c>
      <c r="B19" s="151" t="s">
        <v>1251</v>
      </c>
      <c r="C19" s="151" t="s">
        <v>244</v>
      </c>
      <c r="D19" s="151" t="s">
        <v>2306</v>
      </c>
      <c r="E19" s="151"/>
      <c r="F19" s="151"/>
      <c r="G19" s="151" t="s">
        <v>2307</v>
      </c>
      <c r="H19" s="151" t="s">
        <v>2308</v>
      </c>
      <c r="I19" s="151" t="s">
        <v>101</v>
      </c>
      <c r="J19" s="151" t="s">
        <v>1258</v>
      </c>
      <c r="K19" s="162">
        <v>45238</v>
      </c>
      <c r="L19" s="152">
        <v>1360</v>
      </c>
      <c r="M19" s="152">
        <v>4944.96</v>
      </c>
      <c r="N19" s="152">
        <v>794.63787000000002</v>
      </c>
      <c r="O19" s="152">
        <v>2889.30329532</v>
      </c>
      <c r="P19" s="167">
        <v>0.58429255147058823</v>
      </c>
      <c r="Q19" s="171">
        <v>47788</v>
      </c>
      <c r="R19" s="174"/>
    </row>
    <row r="20" spans="1:18" ht="14.25" x14ac:dyDescent="0.2">
      <c r="A20" s="150" t="s">
        <v>1251</v>
      </c>
      <c r="B20" s="151" t="s">
        <v>1251</v>
      </c>
      <c r="C20" s="151" t="s">
        <v>244</v>
      </c>
      <c r="D20" s="151" t="s">
        <v>2281</v>
      </c>
      <c r="E20" s="151"/>
      <c r="F20" s="151"/>
      <c r="G20" s="151" t="s">
        <v>2282</v>
      </c>
      <c r="H20" s="151" t="s">
        <v>2283</v>
      </c>
      <c r="I20" s="151" t="s">
        <v>101</v>
      </c>
      <c r="J20" s="151" t="s">
        <v>1256</v>
      </c>
      <c r="K20" s="162">
        <v>44537</v>
      </c>
      <c r="L20" s="152">
        <v>800</v>
      </c>
      <c r="M20" s="152">
        <v>2532</v>
      </c>
      <c r="N20" s="152">
        <v>123.85752000000002</v>
      </c>
      <c r="O20" s="152">
        <v>392.00905080000007</v>
      </c>
      <c r="P20" s="167">
        <v>0.15482190000000001</v>
      </c>
      <c r="Q20" s="171">
        <v>46997</v>
      </c>
      <c r="R20" s="174"/>
    </row>
    <row r="21" spans="1:18" ht="14.25" x14ac:dyDescent="0.2">
      <c r="A21" s="150" t="s">
        <v>1251</v>
      </c>
      <c r="B21" s="151" t="s">
        <v>1251</v>
      </c>
      <c r="C21" s="151" t="s">
        <v>244</v>
      </c>
      <c r="D21" s="151" t="s">
        <v>2238</v>
      </c>
      <c r="E21" s="151"/>
      <c r="F21" s="151"/>
      <c r="G21" s="151" t="s">
        <v>2255</v>
      </c>
      <c r="H21" s="151" t="s">
        <v>2256</v>
      </c>
      <c r="I21" s="151" t="s">
        <v>101</v>
      </c>
      <c r="J21" s="151" t="s">
        <v>1256</v>
      </c>
      <c r="K21" s="162">
        <v>45267</v>
      </c>
      <c r="L21" s="152">
        <v>240</v>
      </c>
      <c r="M21" s="152">
        <v>759.6</v>
      </c>
      <c r="N21" s="152">
        <v>192.26989</v>
      </c>
      <c r="O21" s="152">
        <v>608.53420185000004</v>
      </c>
      <c r="P21" s="167">
        <v>0.80112454166666669</v>
      </c>
      <c r="Q21" s="171">
        <v>47757</v>
      </c>
      <c r="R21" s="174"/>
    </row>
    <row r="22" spans="1:18" ht="14.25" x14ac:dyDescent="0.2">
      <c r="A22" s="150" t="s">
        <v>1251</v>
      </c>
      <c r="B22" s="151" t="s">
        <v>1251</v>
      </c>
      <c r="C22" s="151" t="s">
        <v>244</v>
      </c>
      <c r="D22" s="151" t="s">
        <v>2297</v>
      </c>
      <c r="E22" s="151"/>
      <c r="F22" s="151"/>
      <c r="G22" s="151" t="s">
        <v>2298</v>
      </c>
      <c r="H22" s="151" t="s">
        <v>2299</v>
      </c>
      <c r="I22" s="151" t="s">
        <v>101</v>
      </c>
      <c r="J22" s="151" t="s">
        <v>1256</v>
      </c>
      <c r="K22" s="162">
        <v>44235</v>
      </c>
      <c r="L22" s="152">
        <v>661.69518099999993</v>
      </c>
      <c r="M22" s="152">
        <v>2094.2652478650002</v>
      </c>
      <c r="N22" s="152">
        <v>54.390430999999985</v>
      </c>
      <c r="O22" s="152">
        <v>172.14571411499995</v>
      </c>
      <c r="P22" s="167">
        <v>8.2198620394667771E-2</v>
      </c>
      <c r="Q22" s="171">
        <v>47880</v>
      </c>
      <c r="R22" s="174"/>
    </row>
    <row r="23" spans="1:18" ht="14.25" x14ac:dyDescent="0.2">
      <c r="A23" s="150" t="s">
        <v>1251</v>
      </c>
      <c r="B23" s="151" t="s">
        <v>1251</v>
      </c>
      <c r="C23" s="151" t="s">
        <v>244</v>
      </c>
      <c r="D23" s="151" t="s">
        <v>2405</v>
      </c>
      <c r="E23" s="151"/>
      <c r="F23" s="151"/>
      <c r="G23" s="151" t="s">
        <v>2406</v>
      </c>
      <c r="H23" s="151" t="s">
        <v>2407</v>
      </c>
      <c r="I23" s="151" t="s">
        <v>101</v>
      </c>
      <c r="J23" s="151" t="s">
        <v>1256</v>
      </c>
      <c r="K23" s="162">
        <v>45390</v>
      </c>
      <c r="L23" s="152">
        <v>560</v>
      </c>
      <c r="M23" s="152">
        <v>1772.4</v>
      </c>
      <c r="N23" s="152">
        <v>376.4720999999999</v>
      </c>
      <c r="O23" s="152">
        <v>1191.5341964999998</v>
      </c>
      <c r="P23" s="167">
        <v>0.67227160714285705</v>
      </c>
      <c r="Q23" s="171">
        <v>49042</v>
      </c>
      <c r="R23" s="174"/>
    </row>
    <row r="24" spans="1:18" ht="14.25" x14ac:dyDescent="0.2">
      <c r="A24" s="150" t="s">
        <v>1251</v>
      </c>
      <c r="B24" s="151" t="s">
        <v>1251</v>
      </c>
      <c r="C24" s="151" t="s">
        <v>244</v>
      </c>
      <c r="D24" s="151" t="s">
        <v>2269</v>
      </c>
      <c r="E24" s="151"/>
      <c r="F24" s="151"/>
      <c r="G24" s="151" t="s">
        <v>2270</v>
      </c>
      <c r="H24" s="151" t="s">
        <v>2271</v>
      </c>
      <c r="I24" s="151" t="s">
        <v>101</v>
      </c>
      <c r="J24" s="151" t="s">
        <v>1256</v>
      </c>
      <c r="K24" s="162">
        <v>44537</v>
      </c>
      <c r="L24" s="152">
        <v>1200</v>
      </c>
      <c r="M24" s="152">
        <v>3798</v>
      </c>
      <c r="N24" s="152">
        <v>334.17721</v>
      </c>
      <c r="O24" s="152">
        <v>1057.67086965</v>
      </c>
      <c r="P24" s="167">
        <v>0.27848100833333334</v>
      </c>
      <c r="Q24" s="171">
        <v>46722</v>
      </c>
      <c r="R24" s="174"/>
    </row>
    <row r="25" spans="1:18" ht="14.25" x14ac:dyDescent="0.2">
      <c r="A25" s="150" t="s">
        <v>1251</v>
      </c>
      <c r="B25" s="151" t="s">
        <v>1251</v>
      </c>
      <c r="C25" s="151" t="s">
        <v>244</v>
      </c>
      <c r="D25" s="151" t="s">
        <v>2380</v>
      </c>
      <c r="E25" s="151"/>
      <c r="F25" s="151"/>
      <c r="G25" s="151" t="s">
        <v>2381</v>
      </c>
      <c r="H25" s="151" t="s">
        <v>2382</v>
      </c>
      <c r="I25" s="151" t="s">
        <v>101</v>
      </c>
      <c r="J25" s="151" t="s">
        <v>1258</v>
      </c>
      <c r="K25" s="162">
        <v>42776</v>
      </c>
      <c r="L25" s="152">
        <v>300</v>
      </c>
      <c r="M25" s="152">
        <v>1090.8</v>
      </c>
      <c r="N25" s="152">
        <v>14.826000000000001</v>
      </c>
      <c r="O25" s="152">
        <v>53.907336000000001</v>
      </c>
      <c r="P25" s="167">
        <v>4.9419999999999999E-2</v>
      </c>
      <c r="Q25" s="171">
        <v>46411</v>
      </c>
      <c r="R25" s="174"/>
    </row>
    <row r="26" spans="1:18" ht="14.25" x14ac:dyDescent="0.2">
      <c r="A26" s="150" t="s">
        <v>1251</v>
      </c>
      <c r="B26" s="151" t="s">
        <v>1251</v>
      </c>
      <c r="C26" s="151" t="s">
        <v>244</v>
      </c>
      <c r="D26" s="151" t="s">
        <v>2303</v>
      </c>
      <c r="E26" s="151"/>
      <c r="F26" s="151"/>
      <c r="G26" s="151" t="s">
        <v>2304</v>
      </c>
      <c r="H26" s="151" t="s">
        <v>2305</v>
      </c>
      <c r="I26" s="151" t="s">
        <v>101</v>
      </c>
      <c r="J26" s="151" t="s">
        <v>1256</v>
      </c>
      <c r="K26" s="162">
        <v>44264</v>
      </c>
      <c r="L26" s="152">
        <v>500</v>
      </c>
      <c r="M26" s="152">
        <v>1582.5</v>
      </c>
      <c r="N26" s="152">
        <v>77.924099999999981</v>
      </c>
      <c r="O26" s="152">
        <v>246.62977649999991</v>
      </c>
      <c r="P26" s="167">
        <v>0.15584819999999996</v>
      </c>
      <c r="Q26" s="171">
        <v>47908</v>
      </c>
      <c r="R26" s="174"/>
    </row>
    <row r="27" spans="1:18" ht="14.25" x14ac:dyDescent="0.2">
      <c r="A27" s="150" t="s">
        <v>1251</v>
      </c>
      <c r="B27" s="151" t="s">
        <v>1251</v>
      </c>
      <c r="C27" s="151" t="s">
        <v>244</v>
      </c>
      <c r="D27" s="151" t="s">
        <v>2335</v>
      </c>
      <c r="E27" s="151"/>
      <c r="F27" s="151"/>
      <c r="G27" s="151" t="s">
        <v>2366</v>
      </c>
      <c r="H27" s="151" t="s">
        <v>2367</v>
      </c>
      <c r="I27" s="151" t="s">
        <v>101</v>
      </c>
      <c r="J27" s="151" t="s">
        <v>1256</v>
      </c>
      <c r="K27" s="162">
        <v>45055</v>
      </c>
      <c r="L27" s="152">
        <v>480</v>
      </c>
      <c r="M27" s="152">
        <v>1519.2</v>
      </c>
      <c r="N27" s="152">
        <v>9.6</v>
      </c>
      <c r="O27" s="152">
        <v>30.384</v>
      </c>
      <c r="P27" s="167">
        <v>0.02</v>
      </c>
      <c r="Q27" s="171">
        <v>47818</v>
      </c>
      <c r="R27" s="174"/>
    </row>
    <row r="28" spans="1:18" ht="14.25" x14ac:dyDescent="0.2">
      <c r="A28" s="150" t="s">
        <v>1251</v>
      </c>
      <c r="B28" s="151" t="s">
        <v>1251</v>
      </c>
      <c r="C28" s="151" t="s">
        <v>244</v>
      </c>
      <c r="D28" s="151" t="s">
        <v>2421</v>
      </c>
      <c r="E28" s="151"/>
      <c r="F28" s="151"/>
      <c r="G28" s="151" t="s">
        <v>2438</v>
      </c>
      <c r="H28" s="151" t="s">
        <v>2439</v>
      </c>
      <c r="I28" s="151" t="s">
        <v>101</v>
      </c>
      <c r="J28" s="151" t="s">
        <v>1258</v>
      </c>
      <c r="K28" s="162">
        <v>45700</v>
      </c>
      <c r="L28" s="152">
        <v>350.00000000000006</v>
      </c>
      <c r="M28" s="152">
        <v>1272.6000000000001</v>
      </c>
      <c r="N28" s="152">
        <v>266.46672000000007</v>
      </c>
      <c r="O28" s="152">
        <v>968.87299392000034</v>
      </c>
      <c r="P28" s="167">
        <v>0.76133348571428583</v>
      </c>
      <c r="Q28" s="171">
        <v>46753</v>
      </c>
      <c r="R28" s="174"/>
    </row>
    <row r="29" spans="1:18" ht="14.25" x14ac:dyDescent="0.2">
      <c r="A29" s="150" t="s">
        <v>1251</v>
      </c>
      <c r="B29" s="151" t="s">
        <v>1251</v>
      </c>
      <c r="C29" s="151" t="s">
        <v>244</v>
      </c>
      <c r="D29" s="151" t="s">
        <v>2323</v>
      </c>
      <c r="E29" s="151"/>
      <c r="F29" s="151"/>
      <c r="G29" s="151" t="s">
        <v>2408</v>
      </c>
      <c r="H29" s="151" t="s">
        <v>2409</v>
      </c>
      <c r="I29" s="151" t="s">
        <v>101</v>
      </c>
      <c r="J29" s="151" t="s">
        <v>1256</v>
      </c>
      <c r="K29" s="162">
        <v>43446</v>
      </c>
      <c r="L29" s="152">
        <v>200</v>
      </c>
      <c r="M29" s="152">
        <v>633</v>
      </c>
      <c r="N29" s="152">
        <v>20</v>
      </c>
      <c r="O29" s="152">
        <v>63.3</v>
      </c>
      <c r="P29" s="167">
        <v>0.1</v>
      </c>
      <c r="Q29" s="171">
        <v>46813</v>
      </c>
      <c r="R29" s="174"/>
    </row>
    <row r="30" spans="1:18" ht="14.25" x14ac:dyDescent="0.2">
      <c r="A30" s="150" t="s">
        <v>1251</v>
      </c>
      <c r="B30" s="151" t="s">
        <v>1251</v>
      </c>
      <c r="C30" s="151" t="s">
        <v>244</v>
      </c>
      <c r="D30" s="151" t="s">
        <v>2241</v>
      </c>
      <c r="E30" s="151"/>
      <c r="F30" s="151"/>
      <c r="G30" s="151" t="s">
        <v>2242</v>
      </c>
      <c r="H30" s="151" t="s">
        <v>2243</v>
      </c>
      <c r="I30" s="151" t="s">
        <v>101</v>
      </c>
      <c r="J30" s="151" t="s">
        <v>1256</v>
      </c>
      <c r="K30" s="162">
        <v>44970</v>
      </c>
      <c r="L30" s="152">
        <v>264</v>
      </c>
      <c r="M30" s="152">
        <v>835.56</v>
      </c>
      <c r="N30" s="152">
        <v>99</v>
      </c>
      <c r="O30" s="152">
        <v>313.33499999999998</v>
      </c>
      <c r="P30" s="167">
        <v>0.375</v>
      </c>
      <c r="Q30" s="171">
        <v>47515</v>
      </c>
      <c r="R30" s="174"/>
    </row>
    <row r="31" spans="1:18" ht="14.25" x14ac:dyDescent="0.2">
      <c r="A31" s="150" t="s">
        <v>1251</v>
      </c>
      <c r="B31" s="151" t="s">
        <v>1251</v>
      </c>
      <c r="C31" s="151" t="s">
        <v>244</v>
      </c>
      <c r="D31" s="151" t="s">
        <v>2410</v>
      </c>
      <c r="E31" s="151"/>
      <c r="F31" s="151"/>
      <c r="G31" s="151" t="s">
        <v>2411</v>
      </c>
      <c r="H31" s="151" t="s">
        <v>2412</v>
      </c>
      <c r="I31" s="151" t="s">
        <v>101</v>
      </c>
      <c r="J31" s="151" t="s">
        <v>1258</v>
      </c>
      <c r="K31" s="162">
        <v>45701</v>
      </c>
      <c r="L31" s="152">
        <v>525</v>
      </c>
      <c r="M31" s="152">
        <v>1908.9</v>
      </c>
      <c r="N31" s="152">
        <v>378</v>
      </c>
      <c r="O31" s="152">
        <v>1374.4079999999999</v>
      </c>
      <c r="P31" s="167">
        <v>0.72</v>
      </c>
      <c r="Q31" s="171">
        <v>48611</v>
      </c>
      <c r="R31" s="174"/>
    </row>
    <row r="32" spans="1:18" ht="14.25" x14ac:dyDescent="0.2">
      <c r="A32" s="150" t="s">
        <v>1251</v>
      </c>
      <c r="B32" s="151" t="s">
        <v>1251</v>
      </c>
      <c r="C32" s="151" t="s">
        <v>244</v>
      </c>
      <c r="D32" s="151" t="s">
        <v>2450</v>
      </c>
      <c r="E32" s="151"/>
      <c r="F32" s="151"/>
      <c r="G32" s="151" t="s">
        <v>2451</v>
      </c>
      <c r="H32" s="151" t="s">
        <v>2452</v>
      </c>
      <c r="I32" s="151" t="s">
        <v>101</v>
      </c>
      <c r="J32" s="151" t="s">
        <v>1256</v>
      </c>
      <c r="K32" s="162">
        <v>45790</v>
      </c>
      <c r="L32" s="152">
        <v>360</v>
      </c>
      <c r="M32" s="152">
        <v>1139.4000000000001</v>
      </c>
      <c r="N32" s="152">
        <v>348.82815000000005</v>
      </c>
      <c r="O32" s="152">
        <v>1104.0410947500002</v>
      </c>
      <c r="P32" s="167">
        <v>0.96896708333333337</v>
      </c>
      <c r="Q32" s="171">
        <v>49442</v>
      </c>
      <c r="R32" s="174"/>
    </row>
    <row r="33" spans="1:18" ht="14.25" x14ac:dyDescent="0.2">
      <c r="A33" s="150" t="s">
        <v>1251</v>
      </c>
      <c r="B33" s="151" t="s">
        <v>1251</v>
      </c>
      <c r="C33" s="151" t="s">
        <v>244</v>
      </c>
      <c r="D33" s="151" t="s">
        <v>2291</v>
      </c>
      <c r="E33" s="151"/>
      <c r="F33" s="151"/>
      <c r="G33" s="151" t="s">
        <v>2292</v>
      </c>
      <c r="H33" s="151" t="s">
        <v>2293</v>
      </c>
      <c r="I33" s="151" t="s">
        <v>101</v>
      </c>
      <c r="J33" s="151" t="s">
        <v>1256</v>
      </c>
      <c r="K33" s="162">
        <v>44755</v>
      </c>
      <c r="L33" s="152">
        <v>640</v>
      </c>
      <c r="M33" s="152">
        <v>2025.6</v>
      </c>
      <c r="N33" s="152">
        <v>53.202160000000035</v>
      </c>
      <c r="O33" s="152">
        <v>168.38483640000013</v>
      </c>
      <c r="P33" s="167">
        <v>8.3128375000000046E-2</v>
      </c>
      <c r="Q33" s="171">
        <v>46935</v>
      </c>
      <c r="R33" s="174"/>
    </row>
    <row r="34" spans="1:18" ht="14.25" x14ac:dyDescent="0.2">
      <c r="A34" s="150" t="s">
        <v>1251</v>
      </c>
      <c r="B34" s="151" t="s">
        <v>1251</v>
      </c>
      <c r="C34" s="151" t="s">
        <v>244</v>
      </c>
      <c r="D34" s="151" t="s">
        <v>2300</v>
      </c>
      <c r="E34" s="151"/>
      <c r="F34" s="151"/>
      <c r="G34" s="151" t="s">
        <v>2301</v>
      </c>
      <c r="H34" s="151" t="s">
        <v>2302</v>
      </c>
      <c r="I34" s="151" t="s">
        <v>101</v>
      </c>
      <c r="J34" s="151" t="s">
        <v>1256</v>
      </c>
      <c r="K34" s="162">
        <v>44420</v>
      </c>
      <c r="L34" s="152">
        <v>612.38930000000005</v>
      </c>
      <c r="M34" s="152">
        <v>1938.2121345</v>
      </c>
      <c r="N34" s="152">
        <v>115.09061000000004</v>
      </c>
      <c r="O34" s="152">
        <v>364.26178065000016</v>
      </c>
      <c r="P34" s="167">
        <v>0.18793700347148462</v>
      </c>
      <c r="Q34" s="171">
        <v>48061</v>
      </c>
      <c r="R34" s="174"/>
    </row>
    <row r="35" spans="1:18" ht="14.25" x14ac:dyDescent="0.2">
      <c r="A35" s="150" t="s">
        <v>1251</v>
      </c>
      <c r="B35" s="151" t="s">
        <v>1251</v>
      </c>
      <c r="C35" s="151" t="s">
        <v>244</v>
      </c>
      <c r="D35" s="151" t="s">
        <v>2218</v>
      </c>
      <c r="E35" s="151"/>
      <c r="F35" s="151"/>
      <c r="G35" s="151" t="s">
        <v>2248</v>
      </c>
      <c r="H35" s="151" t="s">
        <v>2249</v>
      </c>
      <c r="I35" s="151" t="s">
        <v>101</v>
      </c>
      <c r="J35" s="151" t="s">
        <v>1255</v>
      </c>
      <c r="K35" s="162">
        <v>43782</v>
      </c>
      <c r="L35" s="152">
        <v>3011.5210000000002</v>
      </c>
      <c r="M35" s="152">
        <v>3011.5210000000002</v>
      </c>
      <c r="N35" s="152">
        <v>561.52099999999996</v>
      </c>
      <c r="O35" s="152">
        <v>561.52099999999996</v>
      </c>
      <c r="P35" s="167">
        <v>0.18645760730209088</v>
      </c>
      <c r="Q35" s="171">
        <v>46692</v>
      </c>
      <c r="R35" s="174"/>
    </row>
    <row r="36" spans="1:18" ht="14.25" x14ac:dyDescent="0.2">
      <c r="A36" s="150" t="s">
        <v>1251</v>
      </c>
      <c r="B36" s="151" t="s">
        <v>1251</v>
      </c>
      <c r="C36" s="151" t="s">
        <v>244</v>
      </c>
      <c r="D36" s="151" t="s">
        <v>2427</v>
      </c>
      <c r="E36" s="151"/>
      <c r="F36" s="151"/>
      <c r="G36" s="151" t="s">
        <v>2428</v>
      </c>
      <c r="H36" s="151" t="s">
        <v>2429</v>
      </c>
      <c r="I36" s="151" t="s">
        <v>101</v>
      </c>
      <c r="J36" s="151" t="s">
        <v>1256</v>
      </c>
      <c r="K36" s="162">
        <v>45852</v>
      </c>
      <c r="L36" s="152">
        <v>300</v>
      </c>
      <c r="M36" s="152">
        <v>949.5</v>
      </c>
      <c r="N36" s="152">
        <v>192.93329999999997</v>
      </c>
      <c r="O36" s="152">
        <v>610.63389449999988</v>
      </c>
      <c r="P36" s="167">
        <v>0.64311099999999999</v>
      </c>
      <c r="Q36" s="171">
        <v>49504</v>
      </c>
      <c r="R36" s="174"/>
    </row>
    <row r="37" spans="1:18" ht="14.25" x14ac:dyDescent="0.2">
      <c r="A37" s="150" t="s">
        <v>1251</v>
      </c>
      <c r="B37" s="151" t="s">
        <v>1251</v>
      </c>
      <c r="C37" s="151" t="s">
        <v>244</v>
      </c>
      <c r="D37" s="151" t="s">
        <v>2278</v>
      </c>
      <c r="E37" s="151"/>
      <c r="F37" s="151"/>
      <c r="G37" s="151" t="s">
        <v>2279</v>
      </c>
      <c r="H37" s="151" t="s">
        <v>2280</v>
      </c>
      <c r="I37" s="151" t="s">
        <v>101</v>
      </c>
      <c r="J37" s="151" t="s">
        <v>1256</v>
      </c>
      <c r="K37" s="162">
        <v>44389</v>
      </c>
      <c r="L37" s="152">
        <v>800</v>
      </c>
      <c r="M37" s="152">
        <v>2532</v>
      </c>
      <c r="N37" s="152">
        <v>34</v>
      </c>
      <c r="O37" s="152">
        <v>107.61</v>
      </c>
      <c r="P37" s="167">
        <v>4.2500000000000003E-2</v>
      </c>
      <c r="Q37" s="171">
        <v>47543</v>
      </c>
      <c r="R37" s="174"/>
    </row>
    <row r="38" spans="1:18" ht="14.25" x14ac:dyDescent="0.2">
      <c r="A38" s="150" t="s">
        <v>1251</v>
      </c>
      <c r="B38" s="151" t="s">
        <v>1251</v>
      </c>
      <c r="C38" s="151" t="s">
        <v>244</v>
      </c>
      <c r="D38" s="151" t="s">
        <v>2272</v>
      </c>
      <c r="E38" s="151"/>
      <c r="F38" s="151"/>
      <c r="G38" s="151" t="s">
        <v>2273</v>
      </c>
      <c r="H38" s="151" t="s">
        <v>2274</v>
      </c>
      <c r="I38" s="151" t="s">
        <v>101</v>
      </c>
      <c r="J38" s="151" t="s">
        <v>1258</v>
      </c>
      <c r="K38" s="162">
        <v>44910</v>
      </c>
      <c r="L38" s="152">
        <v>1200</v>
      </c>
      <c r="M38" s="152">
        <v>4363.2</v>
      </c>
      <c r="N38" s="152">
        <v>308.38297</v>
      </c>
      <c r="O38" s="152">
        <v>1121.28047892</v>
      </c>
      <c r="P38" s="167">
        <v>0.25698580833333329</v>
      </c>
      <c r="Q38" s="171">
        <v>47453</v>
      </c>
      <c r="R38" s="174"/>
    </row>
    <row r="39" spans="1:18" ht="14.25" x14ac:dyDescent="0.2">
      <c r="A39" s="150" t="s">
        <v>1251</v>
      </c>
      <c r="B39" s="151" t="s">
        <v>1251</v>
      </c>
      <c r="C39" s="151" t="s">
        <v>244</v>
      </c>
      <c r="D39" s="151" t="s">
        <v>2224</v>
      </c>
      <c r="E39" s="151"/>
      <c r="F39" s="151"/>
      <c r="G39" s="151" t="s">
        <v>2225</v>
      </c>
      <c r="H39" s="151" t="s">
        <v>2226</v>
      </c>
      <c r="I39" s="151" t="s">
        <v>101</v>
      </c>
      <c r="J39" s="151" t="s">
        <v>1255</v>
      </c>
      <c r="K39" s="162">
        <v>44608</v>
      </c>
      <c r="L39" s="152">
        <v>1600</v>
      </c>
      <c r="M39" s="152">
        <v>1600</v>
      </c>
      <c r="N39" s="152">
        <v>458.2136000000001</v>
      </c>
      <c r="O39" s="152">
        <v>458.2136000000001</v>
      </c>
      <c r="P39" s="167">
        <v>0.28638350000000007</v>
      </c>
      <c r="Q39" s="171">
        <v>47515</v>
      </c>
      <c r="R39" s="174"/>
    </row>
    <row r="40" spans="1:18" ht="14.25" x14ac:dyDescent="0.2">
      <c r="A40" s="150" t="s">
        <v>1251</v>
      </c>
      <c r="B40" s="151" t="s">
        <v>1251</v>
      </c>
      <c r="C40" s="151" t="s">
        <v>244</v>
      </c>
      <c r="D40" s="151" t="s">
        <v>2329</v>
      </c>
      <c r="E40" s="151"/>
      <c r="F40" s="151"/>
      <c r="G40" s="151" t="s">
        <v>2341</v>
      </c>
      <c r="H40" s="151" t="s">
        <v>2342</v>
      </c>
      <c r="I40" s="151" t="s">
        <v>101</v>
      </c>
      <c r="J40" s="151" t="s">
        <v>1256</v>
      </c>
      <c r="K40" s="162">
        <v>43937</v>
      </c>
      <c r="L40" s="152">
        <v>460</v>
      </c>
      <c r="M40" s="152">
        <v>1455.9</v>
      </c>
      <c r="N40" s="152">
        <v>13.8</v>
      </c>
      <c r="O40" s="152">
        <v>43.677</v>
      </c>
      <c r="P40" s="167">
        <v>0.03</v>
      </c>
      <c r="Q40" s="171">
        <v>47574</v>
      </c>
      <c r="R40" s="174"/>
    </row>
    <row r="41" spans="1:18" ht="14.25" x14ac:dyDescent="0.2">
      <c r="A41" s="150" t="s">
        <v>1251</v>
      </c>
      <c r="B41" s="151" t="s">
        <v>1251</v>
      </c>
      <c r="C41" s="151" t="s">
        <v>244</v>
      </c>
      <c r="D41" s="151" t="s">
        <v>2309</v>
      </c>
      <c r="E41" s="151"/>
      <c r="F41" s="151"/>
      <c r="G41" s="151" t="s">
        <v>2355</v>
      </c>
      <c r="H41" s="151" t="s">
        <v>2356</v>
      </c>
      <c r="I41" s="151" t="s">
        <v>101</v>
      </c>
      <c r="J41" s="151" t="s">
        <v>1256</v>
      </c>
      <c r="K41" s="162">
        <v>44727</v>
      </c>
      <c r="L41" s="152">
        <v>782.71864000000005</v>
      </c>
      <c r="M41" s="152">
        <v>2477.3044955999999</v>
      </c>
      <c r="N41" s="152">
        <v>89.485820000000047</v>
      </c>
      <c r="O41" s="152">
        <v>283.22262030000019</v>
      </c>
      <c r="P41" s="167">
        <v>0.11432693106682633</v>
      </c>
      <c r="Q41" s="171">
        <v>46539</v>
      </c>
      <c r="R41" s="174"/>
    </row>
    <row r="42" spans="1:18" ht="14.25" x14ac:dyDescent="0.2">
      <c r="A42" s="150" t="s">
        <v>1251</v>
      </c>
      <c r="B42" s="151" t="s">
        <v>1251</v>
      </c>
      <c r="C42" s="151" t="s">
        <v>244</v>
      </c>
      <c r="D42" s="151" t="s">
        <v>2227</v>
      </c>
      <c r="E42" s="151"/>
      <c r="F42" s="151"/>
      <c r="G42" s="151" t="s">
        <v>2228</v>
      </c>
      <c r="H42" s="151" t="s">
        <v>2229</v>
      </c>
      <c r="I42" s="151" t="s">
        <v>101</v>
      </c>
      <c r="J42" s="151" t="s">
        <v>1256</v>
      </c>
      <c r="K42" s="162">
        <v>43572</v>
      </c>
      <c r="L42" s="152">
        <v>300</v>
      </c>
      <c r="M42" s="152">
        <v>949.5</v>
      </c>
      <c r="N42" s="152">
        <v>83.481399999999994</v>
      </c>
      <c r="O42" s="152">
        <v>264.21863100000002</v>
      </c>
      <c r="P42" s="167">
        <v>0.27827133333333331</v>
      </c>
      <c r="Q42" s="171">
        <v>47178</v>
      </c>
      <c r="R42" s="174"/>
    </row>
    <row r="43" spans="1:18" ht="14.25" x14ac:dyDescent="0.2">
      <c r="A43" s="150" t="s">
        <v>1251</v>
      </c>
      <c r="B43" s="151" t="s">
        <v>1251</v>
      </c>
      <c r="C43" s="151" t="s">
        <v>244</v>
      </c>
      <c r="D43" s="151" t="s">
        <v>2349</v>
      </c>
      <c r="E43" s="151"/>
      <c r="F43" s="151"/>
      <c r="G43" s="151" t="s">
        <v>2350</v>
      </c>
      <c r="H43" s="151" t="s">
        <v>2351</v>
      </c>
      <c r="I43" s="151" t="s">
        <v>101</v>
      </c>
      <c r="J43" s="151" t="s">
        <v>1256</v>
      </c>
      <c r="K43" s="162">
        <v>43999</v>
      </c>
      <c r="L43" s="152">
        <v>443.49650000000003</v>
      </c>
      <c r="M43" s="152">
        <v>1403.6664225000002</v>
      </c>
      <c r="N43" s="152">
        <v>201.71472</v>
      </c>
      <c r="O43" s="152">
        <v>638.42708879999998</v>
      </c>
      <c r="P43" s="167">
        <v>0.45482821172207671</v>
      </c>
      <c r="Q43" s="171">
        <v>47635</v>
      </c>
      <c r="R43" s="174"/>
    </row>
    <row r="44" spans="1:18" ht="14.25" x14ac:dyDescent="0.2">
      <c r="A44" s="150" t="s">
        <v>1251</v>
      </c>
      <c r="B44" s="151" t="s">
        <v>1251</v>
      </c>
      <c r="C44" s="151" t="s">
        <v>244</v>
      </c>
      <c r="D44" s="151" t="s">
        <v>2315</v>
      </c>
      <c r="E44" s="151"/>
      <c r="F44" s="151"/>
      <c r="G44" s="151" t="s">
        <v>2321</v>
      </c>
      <c r="H44" s="151" t="s">
        <v>2322</v>
      </c>
      <c r="I44" s="151" t="s">
        <v>101</v>
      </c>
      <c r="J44" s="151" t="s">
        <v>1256</v>
      </c>
      <c r="K44" s="162">
        <v>44453</v>
      </c>
      <c r="L44" s="152">
        <v>700</v>
      </c>
      <c r="M44" s="152">
        <v>2215.5</v>
      </c>
      <c r="N44" s="152">
        <v>106.60309999999998</v>
      </c>
      <c r="O44" s="152">
        <v>337.39881149999997</v>
      </c>
      <c r="P44" s="167">
        <v>0.15229014285714282</v>
      </c>
      <c r="Q44" s="171">
        <v>47757</v>
      </c>
      <c r="R44" s="174"/>
    </row>
    <row r="45" spans="1:18" ht="14.25" x14ac:dyDescent="0.2">
      <c r="A45" s="150" t="s">
        <v>1251</v>
      </c>
      <c r="B45" s="151" t="s">
        <v>1251</v>
      </c>
      <c r="C45" s="151" t="s">
        <v>244</v>
      </c>
      <c r="D45" s="151" t="s">
        <v>2275</v>
      </c>
      <c r="E45" s="151"/>
      <c r="F45" s="151"/>
      <c r="G45" s="151" t="s">
        <v>2276</v>
      </c>
      <c r="H45" s="151" t="s">
        <v>2277</v>
      </c>
      <c r="I45" s="151" t="s">
        <v>101</v>
      </c>
      <c r="J45" s="151" t="s">
        <v>1256</v>
      </c>
      <c r="K45" s="162">
        <v>43860</v>
      </c>
      <c r="L45" s="152">
        <v>800</v>
      </c>
      <c r="M45" s="152">
        <v>2532</v>
      </c>
      <c r="N45" s="152">
        <v>139.97877000000003</v>
      </c>
      <c r="O45" s="152">
        <v>443.03280705000009</v>
      </c>
      <c r="P45" s="167">
        <v>0.17497346250000001</v>
      </c>
      <c r="Q45" s="171">
        <v>47392</v>
      </c>
      <c r="R45" s="174"/>
    </row>
    <row r="46" spans="1:18" ht="14.25" x14ac:dyDescent="0.2">
      <c r="A46" s="150" t="s">
        <v>1251</v>
      </c>
      <c r="B46" s="151" t="s">
        <v>1251</v>
      </c>
      <c r="C46" s="151" t="s">
        <v>244</v>
      </c>
      <c r="D46" s="151" t="s">
        <v>2352</v>
      </c>
      <c r="E46" s="151"/>
      <c r="F46" s="151"/>
      <c r="G46" s="151" t="s">
        <v>2353</v>
      </c>
      <c r="H46" s="151" t="s">
        <v>2354</v>
      </c>
      <c r="I46" s="151" t="s">
        <v>101</v>
      </c>
      <c r="J46" s="151" t="s">
        <v>1256</v>
      </c>
      <c r="K46" s="162">
        <v>44486</v>
      </c>
      <c r="L46" s="152">
        <v>469.79999999999995</v>
      </c>
      <c r="M46" s="152">
        <v>1486.9169999999997</v>
      </c>
      <c r="N46" s="152">
        <v>46.97999999999994</v>
      </c>
      <c r="O46" s="152">
        <v>148.6916999999998</v>
      </c>
      <c r="P46" s="167">
        <v>9.9999999999999895E-2</v>
      </c>
      <c r="Q46" s="171">
        <v>47027</v>
      </c>
      <c r="R46" s="174"/>
    </row>
    <row r="47" spans="1:18" ht="14.25" x14ac:dyDescent="0.2">
      <c r="A47" s="150" t="s">
        <v>1251</v>
      </c>
      <c r="B47" s="151" t="s">
        <v>1251</v>
      </c>
      <c r="C47" s="151" t="s">
        <v>244</v>
      </c>
      <c r="D47" s="151" t="s">
        <v>2395</v>
      </c>
      <c r="E47" s="151"/>
      <c r="F47" s="151"/>
      <c r="G47" s="151" t="s">
        <v>2396</v>
      </c>
      <c r="H47" s="151" t="s">
        <v>2397</v>
      </c>
      <c r="I47" s="151" t="s">
        <v>101</v>
      </c>
      <c r="J47" s="151" t="s">
        <v>1256</v>
      </c>
      <c r="K47" s="162">
        <v>44216</v>
      </c>
      <c r="L47" s="152">
        <v>350</v>
      </c>
      <c r="M47" s="152">
        <v>1107.75</v>
      </c>
      <c r="N47" s="152">
        <v>144.00145000000001</v>
      </c>
      <c r="O47" s="152">
        <v>455.76458925000003</v>
      </c>
      <c r="P47" s="167">
        <v>0.41143271428571432</v>
      </c>
      <c r="Q47" s="171">
        <v>47849</v>
      </c>
      <c r="R47" s="174"/>
    </row>
    <row r="48" spans="1:18" ht="14.25" x14ac:dyDescent="0.2">
      <c r="A48" s="150" t="s">
        <v>1251</v>
      </c>
      <c r="B48" s="151" t="s">
        <v>1251</v>
      </c>
      <c r="C48" s="151" t="s">
        <v>244</v>
      </c>
      <c r="D48" s="151" t="s">
        <v>2300</v>
      </c>
      <c r="E48" s="151"/>
      <c r="F48" s="151"/>
      <c r="G48" s="151" t="s">
        <v>2301</v>
      </c>
      <c r="H48" s="151" t="s">
        <v>2334</v>
      </c>
      <c r="I48" s="151" t="s">
        <v>101</v>
      </c>
      <c r="J48" s="151" t="s">
        <v>1258</v>
      </c>
      <c r="K48" s="162">
        <v>45309</v>
      </c>
      <c r="L48" s="152">
        <v>1118.6401599999999</v>
      </c>
      <c r="M48" s="152">
        <v>4067.3756217599998</v>
      </c>
      <c r="N48" s="152">
        <v>620.26501999999994</v>
      </c>
      <c r="O48" s="152">
        <v>2255.2836127199998</v>
      </c>
      <c r="P48" s="167">
        <v>0.55448127304851991</v>
      </c>
      <c r="Q48" s="171">
        <v>48962</v>
      </c>
      <c r="R48" s="174"/>
    </row>
    <row r="49" spans="1:18" ht="14.25" x14ac:dyDescent="0.2">
      <c r="A49" s="150" t="s">
        <v>1251</v>
      </c>
      <c r="B49" s="151" t="s">
        <v>1251</v>
      </c>
      <c r="C49" s="151" t="s">
        <v>244</v>
      </c>
      <c r="D49" s="151" t="s">
        <v>2419</v>
      </c>
      <c r="E49" s="151"/>
      <c r="F49" s="151"/>
      <c r="G49" s="151" t="s">
        <v>2419</v>
      </c>
      <c r="H49" s="151" t="s">
        <v>2420</v>
      </c>
      <c r="I49" s="151" t="s">
        <v>101</v>
      </c>
      <c r="J49" s="151" t="s">
        <v>1256</v>
      </c>
      <c r="K49" s="162">
        <v>45919</v>
      </c>
      <c r="L49" s="152">
        <v>824.42499999999995</v>
      </c>
      <c r="M49" s="152">
        <v>2609.3051249999999</v>
      </c>
      <c r="N49" s="152">
        <v>673.73539000000005</v>
      </c>
      <c r="O49" s="152">
        <v>2132.3725093499997</v>
      </c>
      <c r="P49" s="167">
        <v>0.81721853412984813</v>
      </c>
      <c r="Q49" s="171">
        <v>49571</v>
      </c>
      <c r="R49" s="174"/>
    </row>
    <row r="50" spans="1:18" ht="14.25" x14ac:dyDescent="0.2">
      <c r="A50" s="150" t="s">
        <v>1251</v>
      </c>
      <c r="B50" s="151" t="s">
        <v>1251</v>
      </c>
      <c r="C50" s="151" t="s">
        <v>244</v>
      </c>
      <c r="D50" s="151" t="s">
        <v>2390</v>
      </c>
      <c r="E50" s="151"/>
      <c r="F50" s="151"/>
      <c r="G50" s="151" t="s">
        <v>2391</v>
      </c>
      <c r="H50" s="151" t="s">
        <v>2392</v>
      </c>
      <c r="I50" s="151" t="s">
        <v>101</v>
      </c>
      <c r="J50" s="151" t="s">
        <v>1258</v>
      </c>
      <c r="K50" s="162">
        <v>45462</v>
      </c>
      <c r="L50" s="152">
        <v>800</v>
      </c>
      <c r="M50" s="152">
        <v>2908.8</v>
      </c>
      <c r="N50" s="152">
        <v>560.14490000000001</v>
      </c>
      <c r="O50" s="152">
        <v>2036.6868564000001</v>
      </c>
      <c r="P50" s="167">
        <v>0.70018112500000007</v>
      </c>
      <c r="Q50" s="171">
        <v>49114</v>
      </c>
      <c r="R50" s="174"/>
    </row>
    <row r="51" spans="1:18" ht="14.25" x14ac:dyDescent="0.2">
      <c r="A51" s="150" t="s">
        <v>1251</v>
      </c>
      <c r="B51" s="151" t="s">
        <v>1251</v>
      </c>
      <c r="C51" s="151" t="s">
        <v>244</v>
      </c>
      <c r="D51" s="151" t="s">
        <v>2338</v>
      </c>
      <c r="E51" s="151"/>
      <c r="F51" s="151"/>
      <c r="G51" s="151" t="s">
        <v>2339</v>
      </c>
      <c r="H51" s="151" t="s">
        <v>2340</v>
      </c>
      <c r="I51" s="151" t="s">
        <v>101</v>
      </c>
      <c r="J51" s="151" t="s">
        <v>1256</v>
      </c>
      <c r="K51" s="162">
        <v>44853</v>
      </c>
      <c r="L51" s="152">
        <v>480</v>
      </c>
      <c r="M51" s="152">
        <v>1519.2</v>
      </c>
      <c r="N51" s="152">
        <v>23.988090000000028</v>
      </c>
      <c r="O51" s="152">
        <v>75.922304850000089</v>
      </c>
      <c r="P51" s="167">
        <v>4.9975187500000059E-2</v>
      </c>
      <c r="Q51" s="171">
        <v>48092</v>
      </c>
      <c r="R51" s="174"/>
    </row>
    <row r="52" spans="1:18" ht="14.25" x14ac:dyDescent="0.2">
      <c r="A52" s="150" t="s">
        <v>1251</v>
      </c>
      <c r="B52" s="151" t="s">
        <v>1251</v>
      </c>
      <c r="C52" s="151" t="s">
        <v>638</v>
      </c>
      <c r="D52" s="151" t="s">
        <v>2309</v>
      </c>
      <c r="E52" s="151"/>
      <c r="F52" s="151"/>
      <c r="G52" s="151" t="s">
        <v>2453</v>
      </c>
      <c r="H52" s="151" t="s">
        <v>2454</v>
      </c>
      <c r="I52" s="151" t="s">
        <v>101</v>
      </c>
      <c r="J52" s="151" t="s">
        <v>1256</v>
      </c>
      <c r="K52" s="162">
        <v>42541</v>
      </c>
      <c r="L52" s="152">
        <v>215.72690000000003</v>
      </c>
      <c r="M52" s="152">
        <v>682.77563850000013</v>
      </c>
      <c r="N52" s="152">
        <v>54.510900000000021</v>
      </c>
      <c r="O52" s="152">
        <v>172.52699850000008</v>
      </c>
      <c r="P52" s="167">
        <v>0.25268476022229969</v>
      </c>
      <c r="Q52" s="171">
        <v>46446</v>
      </c>
      <c r="R52" s="174"/>
    </row>
    <row r="53" spans="1:18" ht="14.25" x14ac:dyDescent="0.2">
      <c r="A53" s="150" t="s">
        <v>1251</v>
      </c>
      <c r="B53" s="151" t="s">
        <v>1251</v>
      </c>
      <c r="C53" s="151" t="s">
        <v>244</v>
      </c>
      <c r="D53" s="151" t="s">
        <v>2360</v>
      </c>
      <c r="E53" s="151"/>
      <c r="F53" s="151"/>
      <c r="G53" s="151" t="s">
        <v>2361</v>
      </c>
      <c r="H53" s="151" t="s">
        <v>2362</v>
      </c>
      <c r="I53" s="151" t="s">
        <v>101</v>
      </c>
      <c r="J53" s="151" t="s">
        <v>1256</v>
      </c>
      <c r="K53" s="162">
        <v>45463</v>
      </c>
      <c r="L53" s="152">
        <v>800</v>
      </c>
      <c r="M53" s="152">
        <v>2532</v>
      </c>
      <c r="N53" s="152">
        <v>511.02578000000005</v>
      </c>
      <c r="O53" s="152">
        <v>1617.3965937</v>
      </c>
      <c r="P53" s="167">
        <v>0.63878222500000004</v>
      </c>
      <c r="Q53" s="171">
        <v>49115</v>
      </c>
      <c r="R53" s="174"/>
    </row>
    <row r="54" spans="1:18" ht="14.25" x14ac:dyDescent="0.2">
      <c r="A54" s="150" t="s">
        <v>1251</v>
      </c>
      <c r="B54" s="151" t="s">
        <v>1251</v>
      </c>
      <c r="C54" s="151" t="s">
        <v>244</v>
      </c>
      <c r="D54" s="151" t="s">
        <v>2424</v>
      </c>
      <c r="E54" s="151"/>
      <c r="F54" s="151"/>
      <c r="G54" s="151" t="s">
        <v>2425</v>
      </c>
      <c r="H54" s="151" t="s">
        <v>2426</v>
      </c>
      <c r="I54" s="151" t="s">
        <v>101</v>
      </c>
      <c r="J54" s="151" t="s">
        <v>1256</v>
      </c>
      <c r="K54" s="162">
        <v>45950</v>
      </c>
      <c r="L54" s="152">
        <v>999.6</v>
      </c>
      <c r="M54" s="152">
        <v>3163.7339999999999</v>
      </c>
      <c r="N54" s="152">
        <v>861.78307999999993</v>
      </c>
      <c r="O54" s="152">
        <v>2727.5434482000001</v>
      </c>
      <c r="P54" s="167">
        <v>0.862127931172469</v>
      </c>
      <c r="Q54" s="171">
        <v>48873</v>
      </c>
      <c r="R54" s="174"/>
    </row>
    <row r="55" spans="1:18" ht="14.25" x14ac:dyDescent="0.2">
      <c r="A55" s="150" t="s">
        <v>1251</v>
      </c>
      <c r="B55" s="151" t="s">
        <v>1251</v>
      </c>
      <c r="C55" s="151" t="s">
        <v>244</v>
      </c>
      <c r="D55" s="151" t="s">
        <v>2238</v>
      </c>
      <c r="E55" s="151"/>
      <c r="F55" s="151"/>
      <c r="G55" s="151" t="s">
        <v>2239</v>
      </c>
      <c r="H55" s="151" t="s">
        <v>2240</v>
      </c>
      <c r="I55" s="151" t="s">
        <v>101</v>
      </c>
      <c r="J55" s="151" t="s">
        <v>1256</v>
      </c>
      <c r="K55" s="162">
        <v>42352</v>
      </c>
      <c r="L55" s="152">
        <v>409.46869699999996</v>
      </c>
      <c r="M55" s="152">
        <v>1295.9684260050001</v>
      </c>
      <c r="N55" s="152">
        <v>89.228436999999985</v>
      </c>
      <c r="O55" s="152">
        <v>282.40800310499998</v>
      </c>
      <c r="P55" s="167">
        <v>0.21791271873463869</v>
      </c>
      <c r="Q55" s="171">
        <v>46351</v>
      </c>
      <c r="R55" s="174"/>
    </row>
    <row r="56" spans="1:18" ht="14.25" x14ac:dyDescent="0.2">
      <c r="A56" s="150" t="s">
        <v>1251</v>
      </c>
      <c r="B56" s="151" t="s">
        <v>1251</v>
      </c>
      <c r="C56" s="151" t="s">
        <v>244</v>
      </c>
      <c r="D56" s="151" t="s">
        <v>2303</v>
      </c>
      <c r="E56" s="151"/>
      <c r="F56" s="151"/>
      <c r="G56" s="151" t="s">
        <v>2383</v>
      </c>
      <c r="H56" s="151" t="s">
        <v>2384</v>
      </c>
      <c r="I56" s="151" t="s">
        <v>101</v>
      </c>
      <c r="J56" s="151" t="s">
        <v>1256</v>
      </c>
      <c r="K56" s="162">
        <v>45525</v>
      </c>
      <c r="L56" s="152">
        <v>770.00000000000011</v>
      </c>
      <c r="M56" s="152">
        <v>2437.0500000000006</v>
      </c>
      <c r="N56" s="152">
        <v>497.19670000000013</v>
      </c>
      <c r="O56" s="152">
        <v>1573.6275555000004</v>
      </c>
      <c r="P56" s="167">
        <v>0.64571000000000012</v>
      </c>
      <c r="Q56" s="171">
        <v>49177</v>
      </c>
      <c r="R56" s="174"/>
    </row>
    <row r="57" spans="1:18" ht="14.25" x14ac:dyDescent="0.2">
      <c r="A57" s="150" t="s">
        <v>1251</v>
      </c>
      <c r="B57" s="151" t="s">
        <v>1251</v>
      </c>
      <c r="C57" s="151" t="s">
        <v>244</v>
      </c>
      <c r="D57" s="151" t="s">
        <v>2374</v>
      </c>
      <c r="E57" s="151"/>
      <c r="F57" s="151"/>
      <c r="G57" s="151" t="s">
        <v>2375</v>
      </c>
      <c r="H57" s="151" t="s">
        <v>2376</v>
      </c>
      <c r="I57" s="151" t="s">
        <v>101</v>
      </c>
      <c r="J57" s="151" t="s">
        <v>1256</v>
      </c>
      <c r="K57" s="162">
        <v>44249</v>
      </c>
      <c r="L57" s="152">
        <v>300</v>
      </c>
      <c r="M57" s="152">
        <v>949.5</v>
      </c>
      <c r="N57" s="152">
        <v>18</v>
      </c>
      <c r="O57" s="152">
        <v>56.97</v>
      </c>
      <c r="P57" s="167">
        <v>0.06</v>
      </c>
      <c r="Q57" s="171">
        <v>48976</v>
      </c>
      <c r="R57" s="174"/>
    </row>
    <row r="58" spans="1:18" ht="14.25" x14ac:dyDescent="0.2">
      <c r="A58" s="150" t="s">
        <v>1251</v>
      </c>
      <c r="B58" s="151" t="s">
        <v>1251</v>
      </c>
      <c r="C58" s="151" t="s">
        <v>244</v>
      </c>
      <c r="D58" s="151" t="s">
        <v>2309</v>
      </c>
      <c r="E58" s="151"/>
      <c r="F58" s="151"/>
      <c r="G58" s="151" t="s">
        <v>2385</v>
      </c>
      <c r="H58" s="151" t="s">
        <v>2386</v>
      </c>
      <c r="I58" s="151" t="s">
        <v>101</v>
      </c>
      <c r="J58" s="151" t="s">
        <v>1256</v>
      </c>
      <c r="K58" s="162">
        <v>44277</v>
      </c>
      <c r="L58" s="152">
        <v>715.41469999999993</v>
      </c>
      <c r="M58" s="152">
        <v>2264.2875254999999</v>
      </c>
      <c r="N58" s="152">
        <v>54.3245</v>
      </c>
      <c r="O58" s="152">
        <v>171.93704250000002</v>
      </c>
      <c r="P58" s="167">
        <v>7.5934279796039977E-2</v>
      </c>
      <c r="Q58" s="171">
        <v>46446</v>
      </c>
      <c r="R58" s="174"/>
    </row>
    <row r="59" spans="1:18" ht="14.25" x14ac:dyDescent="0.2">
      <c r="A59" s="150" t="s">
        <v>1251</v>
      </c>
      <c r="B59" s="151" t="s">
        <v>1251</v>
      </c>
      <c r="C59" s="151" t="s">
        <v>244</v>
      </c>
      <c r="D59" s="151" t="s">
        <v>2278</v>
      </c>
      <c r="E59" s="151"/>
      <c r="F59" s="151"/>
      <c r="G59" s="151" t="s">
        <v>2347</v>
      </c>
      <c r="H59" s="151" t="s">
        <v>2348</v>
      </c>
      <c r="I59" s="151" t="s">
        <v>101</v>
      </c>
      <c r="J59" s="151" t="s">
        <v>1256</v>
      </c>
      <c r="K59" s="162">
        <v>43913</v>
      </c>
      <c r="L59" s="152">
        <v>289.220057</v>
      </c>
      <c r="M59" s="152">
        <v>915.38148040499993</v>
      </c>
      <c r="N59" s="152">
        <v>10.324646999999997</v>
      </c>
      <c r="O59" s="152">
        <v>32.677507754999993</v>
      </c>
      <c r="P59" s="167">
        <v>3.5698239973723532E-2</v>
      </c>
      <c r="Q59" s="171">
        <v>47543</v>
      </c>
      <c r="R59" s="174"/>
    </row>
    <row r="60" spans="1:18" ht="14.25" x14ac:dyDescent="0.2">
      <c r="A60" s="150" t="s">
        <v>1251</v>
      </c>
      <c r="B60" s="151" t="s">
        <v>1251</v>
      </c>
      <c r="C60" s="151" t="s">
        <v>638</v>
      </c>
      <c r="D60" s="151" t="s">
        <v>2309</v>
      </c>
      <c r="E60" s="151"/>
      <c r="F60" s="151"/>
      <c r="G60" s="151" t="s">
        <v>2442</v>
      </c>
      <c r="H60" s="151" t="s">
        <v>2443</v>
      </c>
      <c r="I60" s="151" t="s">
        <v>101</v>
      </c>
      <c r="J60" s="151" t="s">
        <v>1256</v>
      </c>
      <c r="K60" s="162">
        <v>42845</v>
      </c>
      <c r="L60" s="152">
        <v>190.04400000000001</v>
      </c>
      <c r="M60" s="152">
        <v>601.48926000000006</v>
      </c>
      <c r="N60" s="152">
        <v>30.394899999999993</v>
      </c>
      <c r="O60" s="152">
        <v>96.199858499999991</v>
      </c>
      <c r="P60" s="167">
        <v>0.15993612005640795</v>
      </c>
      <c r="Q60" s="171">
        <v>46446</v>
      </c>
      <c r="R60" s="174"/>
    </row>
    <row r="61" spans="1:18" ht="14.25" x14ac:dyDescent="0.2">
      <c r="A61" s="150" t="s">
        <v>1251</v>
      </c>
      <c r="B61" s="151" t="s">
        <v>1251</v>
      </c>
      <c r="C61" s="151" t="s">
        <v>244</v>
      </c>
      <c r="D61" s="151" t="s">
        <v>2326</v>
      </c>
      <c r="E61" s="151"/>
      <c r="F61" s="151"/>
      <c r="G61" s="151" t="s">
        <v>2327</v>
      </c>
      <c r="H61" s="151" t="s">
        <v>2328</v>
      </c>
      <c r="I61" s="151" t="s">
        <v>101</v>
      </c>
      <c r="J61" s="151" t="s">
        <v>1258</v>
      </c>
      <c r="K61" s="162">
        <v>44431</v>
      </c>
      <c r="L61" s="152">
        <v>780</v>
      </c>
      <c r="M61" s="152">
        <v>2836.08</v>
      </c>
      <c r="N61" s="152">
        <v>354.91796999999997</v>
      </c>
      <c r="O61" s="152">
        <v>1290.48173892</v>
      </c>
      <c r="P61" s="167">
        <v>0.45502303846153841</v>
      </c>
      <c r="Q61" s="171">
        <v>46966</v>
      </c>
      <c r="R61" s="174"/>
    </row>
    <row r="62" spans="1:18" ht="14.25" x14ac:dyDescent="0.2">
      <c r="A62" s="150" t="s">
        <v>1251</v>
      </c>
      <c r="B62" s="151" t="s">
        <v>1251</v>
      </c>
      <c r="C62" s="151" t="s">
        <v>244</v>
      </c>
      <c r="D62" s="151" t="s">
        <v>2329</v>
      </c>
      <c r="E62" s="151"/>
      <c r="F62" s="151"/>
      <c r="G62" s="151" t="s">
        <v>2330</v>
      </c>
      <c r="H62" s="151" t="s">
        <v>2331</v>
      </c>
      <c r="I62" s="151" t="s">
        <v>101</v>
      </c>
      <c r="J62" s="151" t="s">
        <v>1256</v>
      </c>
      <c r="K62" s="162">
        <v>45222</v>
      </c>
      <c r="L62" s="152">
        <v>960</v>
      </c>
      <c r="M62" s="152">
        <v>3038.4</v>
      </c>
      <c r="N62" s="152">
        <v>523.20000000000005</v>
      </c>
      <c r="O62" s="152">
        <v>1655.9280000000001</v>
      </c>
      <c r="P62" s="167">
        <v>0.54500000000000004</v>
      </c>
      <c r="Q62" s="171">
        <v>47574</v>
      </c>
      <c r="R62" s="174"/>
    </row>
    <row r="63" spans="1:18" ht="14.25" x14ac:dyDescent="0.2">
      <c r="A63" s="150" t="s">
        <v>1251</v>
      </c>
      <c r="B63" s="151" t="s">
        <v>1251</v>
      </c>
      <c r="C63" s="151" t="s">
        <v>244</v>
      </c>
      <c r="D63" s="151" t="s">
        <v>2297</v>
      </c>
      <c r="E63" s="151"/>
      <c r="F63" s="151"/>
      <c r="G63" s="151" t="s">
        <v>2343</v>
      </c>
      <c r="H63" s="151" t="s">
        <v>2344</v>
      </c>
      <c r="I63" s="151" t="s">
        <v>101</v>
      </c>
      <c r="J63" s="151" t="s">
        <v>1258</v>
      </c>
      <c r="K63" s="162">
        <v>45069</v>
      </c>
      <c r="L63" s="152">
        <v>800</v>
      </c>
      <c r="M63" s="152">
        <v>2908.8</v>
      </c>
      <c r="N63" s="152">
        <v>407.83012000000002</v>
      </c>
      <c r="O63" s="152">
        <v>1482.87031632</v>
      </c>
      <c r="P63" s="167">
        <v>0.50978765000000004</v>
      </c>
      <c r="Q63" s="171">
        <v>47880</v>
      </c>
      <c r="R63" s="174"/>
    </row>
    <row r="64" spans="1:18" ht="14.25" x14ac:dyDescent="0.2">
      <c r="A64" s="150" t="s">
        <v>1251</v>
      </c>
      <c r="B64" s="151" t="s">
        <v>1251</v>
      </c>
      <c r="C64" s="151" t="s">
        <v>244</v>
      </c>
      <c r="D64" s="151" t="s">
        <v>2309</v>
      </c>
      <c r="E64" s="151"/>
      <c r="F64" s="151"/>
      <c r="G64" s="151" t="s">
        <v>2440</v>
      </c>
      <c r="H64" s="151" t="s">
        <v>2441</v>
      </c>
      <c r="I64" s="151" t="s">
        <v>101</v>
      </c>
      <c r="J64" s="151" t="s">
        <v>1256</v>
      </c>
      <c r="K64" s="162">
        <v>42026</v>
      </c>
      <c r="L64" s="152">
        <v>358.86379999999997</v>
      </c>
      <c r="M64" s="152">
        <v>1135.8039269999999</v>
      </c>
      <c r="N64" s="152">
        <v>59.205799999999989</v>
      </c>
      <c r="O64" s="152">
        <v>187.38635699999995</v>
      </c>
      <c r="P64" s="167">
        <v>0.16498125472672359</v>
      </c>
      <c r="Q64" s="171">
        <v>46594</v>
      </c>
      <c r="R64" s="174"/>
    </row>
    <row r="65" spans="1:18" ht="14.25" x14ac:dyDescent="0.2">
      <c r="A65" s="150" t="s">
        <v>1251</v>
      </c>
      <c r="B65" s="151" t="s">
        <v>1251</v>
      </c>
      <c r="C65" s="151" t="s">
        <v>244</v>
      </c>
      <c r="D65" s="151" t="s">
        <v>2387</v>
      </c>
      <c r="E65" s="151"/>
      <c r="F65" s="151"/>
      <c r="G65" s="151" t="s">
        <v>2388</v>
      </c>
      <c r="H65" s="151" t="s">
        <v>2389</v>
      </c>
      <c r="I65" s="151" t="s">
        <v>101</v>
      </c>
      <c r="J65" s="151" t="s">
        <v>1256</v>
      </c>
      <c r="K65" s="162">
        <v>43277</v>
      </c>
      <c r="L65" s="152">
        <v>391.90267599999999</v>
      </c>
      <c r="M65" s="152">
        <v>1240.37196954</v>
      </c>
      <c r="N65" s="152">
        <v>20.924425999999979</v>
      </c>
      <c r="O65" s="152">
        <v>66.225808289999932</v>
      </c>
      <c r="P65" s="167">
        <v>5.3391893654739876E-2</v>
      </c>
      <c r="Q65" s="171">
        <v>46174</v>
      </c>
      <c r="R65" s="174"/>
    </row>
    <row r="66" spans="1:18" ht="14.25" x14ac:dyDescent="0.2">
      <c r="A66" s="150" t="s">
        <v>1251</v>
      </c>
      <c r="B66" s="151" t="s">
        <v>1251</v>
      </c>
      <c r="C66" s="151" t="s">
        <v>244</v>
      </c>
      <c r="D66" s="151" t="s">
        <v>2421</v>
      </c>
      <c r="E66" s="151"/>
      <c r="F66" s="151"/>
      <c r="G66" s="151" t="s">
        <v>2422</v>
      </c>
      <c r="H66" s="151" t="s">
        <v>2423</v>
      </c>
      <c r="I66" s="151" t="s">
        <v>101</v>
      </c>
      <c r="J66" s="151" t="s">
        <v>1258</v>
      </c>
      <c r="K66" s="162">
        <v>44222</v>
      </c>
      <c r="L66" s="152">
        <v>570</v>
      </c>
      <c r="M66" s="152">
        <v>2072.52</v>
      </c>
      <c r="N66" s="152">
        <v>50.666690000000003</v>
      </c>
      <c r="O66" s="152">
        <v>184.22408484000002</v>
      </c>
      <c r="P66" s="167">
        <v>8.8888929824561411E-2</v>
      </c>
      <c r="Q66" s="171">
        <v>46753</v>
      </c>
      <c r="R66" s="174"/>
    </row>
    <row r="67" spans="1:18" ht="14.25" x14ac:dyDescent="0.2">
      <c r="A67" s="150" t="s">
        <v>1251</v>
      </c>
      <c r="B67" s="151" t="s">
        <v>1251</v>
      </c>
      <c r="C67" s="151" t="s">
        <v>244</v>
      </c>
      <c r="D67" s="151" t="s">
        <v>2447</v>
      </c>
      <c r="E67" s="151"/>
      <c r="F67" s="151"/>
      <c r="G67" s="151" t="s">
        <v>2448</v>
      </c>
      <c r="H67" s="151" t="s">
        <v>2449</v>
      </c>
      <c r="I67" s="151" t="s">
        <v>101</v>
      </c>
      <c r="J67" s="151" t="s">
        <v>1258</v>
      </c>
      <c r="K67" s="162">
        <v>46112</v>
      </c>
      <c r="L67" s="152">
        <v>450</v>
      </c>
      <c r="M67" s="152">
        <v>1636.2</v>
      </c>
      <c r="N67" s="152">
        <v>446.42469</v>
      </c>
      <c r="O67" s="152">
        <v>1623.2001728400001</v>
      </c>
      <c r="P67" s="167">
        <v>0.99205486666666665</v>
      </c>
      <c r="Q67" s="171">
        <v>49765</v>
      </c>
      <c r="R67" s="174"/>
    </row>
    <row r="68" spans="1:18" ht="14.25" x14ac:dyDescent="0.2">
      <c r="A68" s="150" t="s">
        <v>1251</v>
      </c>
      <c r="B68" s="151" t="s">
        <v>1251</v>
      </c>
      <c r="C68" s="151" t="s">
        <v>244</v>
      </c>
      <c r="D68" s="151" t="s">
        <v>2215</v>
      </c>
      <c r="E68" s="151"/>
      <c r="F68" s="151"/>
      <c r="G68" s="151" t="s">
        <v>2216</v>
      </c>
      <c r="H68" s="151" t="s">
        <v>2217</v>
      </c>
      <c r="I68" s="151" t="s">
        <v>101</v>
      </c>
      <c r="J68" s="151" t="s">
        <v>1255</v>
      </c>
      <c r="K68" s="162">
        <v>45046</v>
      </c>
      <c r="L68" s="152">
        <v>4160</v>
      </c>
      <c r="M68" s="152">
        <v>4160</v>
      </c>
      <c r="N68" s="152">
        <v>2047.8986400000001</v>
      </c>
      <c r="O68" s="152">
        <v>2047.8986400000001</v>
      </c>
      <c r="P68" s="167">
        <v>0.49228332692307697</v>
      </c>
      <c r="Q68" s="171">
        <v>47574</v>
      </c>
      <c r="R68" s="174"/>
    </row>
    <row r="69" spans="1:18" ht="14.25" x14ac:dyDescent="0.2">
      <c r="A69" s="150" t="s">
        <v>1251</v>
      </c>
      <c r="B69" s="151" t="s">
        <v>1251</v>
      </c>
      <c r="C69" s="151" t="s">
        <v>244</v>
      </c>
      <c r="D69" s="151" t="s">
        <v>2275</v>
      </c>
      <c r="E69" s="151"/>
      <c r="F69" s="151"/>
      <c r="G69" s="151" t="s">
        <v>2393</v>
      </c>
      <c r="H69" s="151" t="s">
        <v>2394</v>
      </c>
      <c r="I69" s="151" t="s">
        <v>101</v>
      </c>
      <c r="J69" s="151" t="s">
        <v>1256</v>
      </c>
      <c r="K69" s="162">
        <v>45196</v>
      </c>
      <c r="L69" s="152">
        <v>960</v>
      </c>
      <c r="M69" s="152">
        <v>3038.4</v>
      </c>
      <c r="N69" s="152">
        <v>743.83663000000001</v>
      </c>
      <c r="O69" s="152">
        <v>2354.24293395</v>
      </c>
      <c r="P69" s="167">
        <v>0.77482982291666669</v>
      </c>
      <c r="Q69" s="171">
        <v>47392</v>
      </c>
      <c r="R69" s="174"/>
    </row>
    <row r="70" spans="1:18" ht="14.25" x14ac:dyDescent="0.2">
      <c r="A70" s="150" t="s">
        <v>1251</v>
      </c>
      <c r="B70" s="151" t="s">
        <v>1251</v>
      </c>
      <c r="C70" s="151" t="s">
        <v>244</v>
      </c>
      <c r="D70" s="151" t="s">
        <v>2371</v>
      </c>
      <c r="E70" s="151"/>
      <c r="F70" s="151"/>
      <c r="G70" s="151" t="s">
        <v>2372</v>
      </c>
      <c r="H70" s="151" t="s">
        <v>2373</v>
      </c>
      <c r="I70" s="151" t="s">
        <v>101</v>
      </c>
      <c r="J70" s="151" t="s">
        <v>1258</v>
      </c>
      <c r="K70" s="162">
        <v>44558</v>
      </c>
      <c r="L70" s="152">
        <v>400</v>
      </c>
      <c r="M70" s="152">
        <v>1454.4</v>
      </c>
      <c r="N70" s="152">
        <v>34.406640000000017</v>
      </c>
      <c r="O70" s="152">
        <v>125.10254304000004</v>
      </c>
      <c r="P70" s="167">
        <v>8.601660000000004E-2</v>
      </c>
      <c r="Q70" s="171">
        <v>47333</v>
      </c>
      <c r="R70" s="174"/>
    </row>
    <row r="71" spans="1:18" ht="14.25" x14ac:dyDescent="0.2">
      <c r="A71" s="150" t="s">
        <v>1251</v>
      </c>
      <c r="B71" s="151" t="s">
        <v>1251</v>
      </c>
      <c r="C71" s="151" t="s">
        <v>244</v>
      </c>
      <c r="D71" s="151" t="s">
        <v>2357</v>
      </c>
      <c r="E71" s="151"/>
      <c r="F71" s="151"/>
      <c r="G71" s="151" t="s">
        <v>2358</v>
      </c>
      <c r="H71" s="151" t="s">
        <v>2359</v>
      </c>
      <c r="I71" s="151" t="s">
        <v>101</v>
      </c>
      <c r="J71" s="151" t="s">
        <v>1258</v>
      </c>
      <c r="K71" s="162">
        <v>46050</v>
      </c>
      <c r="L71" s="152">
        <v>840.00000000000011</v>
      </c>
      <c r="M71" s="152">
        <v>3054.2400000000007</v>
      </c>
      <c r="N71" s="152">
        <v>512.40000000000009</v>
      </c>
      <c r="O71" s="152">
        <v>1863.0864000000004</v>
      </c>
      <c r="P71" s="167">
        <v>0.61</v>
      </c>
      <c r="Q71" s="171">
        <v>49702</v>
      </c>
      <c r="R71" s="174"/>
    </row>
    <row r="72" spans="1:18" ht="14.25" x14ac:dyDescent="0.2">
      <c r="A72" s="150" t="s">
        <v>1251</v>
      </c>
      <c r="B72" s="151" t="s">
        <v>1251</v>
      </c>
      <c r="C72" s="151" t="s">
        <v>244</v>
      </c>
      <c r="D72" s="151" t="s">
        <v>2263</v>
      </c>
      <c r="E72" s="151"/>
      <c r="F72" s="151"/>
      <c r="G72" s="151" t="s">
        <v>2264</v>
      </c>
      <c r="H72" s="151" t="s">
        <v>2265</v>
      </c>
      <c r="I72" s="151" t="s">
        <v>101</v>
      </c>
      <c r="J72" s="151" t="s">
        <v>1256</v>
      </c>
      <c r="K72" s="162">
        <v>44255</v>
      </c>
      <c r="L72" s="152">
        <v>9100</v>
      </c>
      <c r="M72" s="152">
        <v>28801.5</v>
      </c>
      <c r="N72" s="152">
        <v>4119.6000000000004</v>
      </c>
      <c r="O72" s="152">
        <v>13038.534</v>
      </c>
      <c r="P72" s="167">
        <v>0.45270329670329668</v>
      </c>
      <c r="Q72" s="171">
        <v>47880</v>
      </c>
      <c r="R72" s="174"/>
    </row>
    <row r="73" spans="1:18" ht="14.25" x14ac:dyDescent="0.2">
      <c r="A73" s="150" t="s">
        <v>1251</v>
      </c>
      <c r="B73" s="151" t="s">
        <v>1251</v>
      </c>
      <c r="C73" s="151" t="s">
        <v>244</v>
      </c>
      <c r="D73" s="151" t="s">
        <v>2323</v>
      </c>
      <c r="E73" s="151"/>
      <c r="F73" s="151"/>
      <c r="G73" s="151" t="s">
        <v>2324</v>
      </c>
      <c r="H73" s="151" t="s">
        <v>2325</v>
      </c>
      <c r="I73" s="151" t="s">
        <v>101</v>
      </c>
      <c r="J73" s="151" t="s">
        <v>1256</v>
      </c>
      <c r="K73" s="162">
        <v>43860</v>
      </c>
      <c r="L73" s="152">
        <v>700</v>
      </c>
      <c r="M73" s="152">
        <v>2215.5</v>
      </c>
      <c r="N73" s="152">
        <v>126</v>
      </c>
      <c r="O73" s="152">
        <v>398.79</v>
      </c>
      <c r="P73" s="167">
        <v>0.18</v>
      </c>
      <c r="Q73" s="171">
        <v>47484</v>
      </c>
      <c r="R73" s="174"/>
    </row>
    <row r="74" spans="1:18" ht="14.25" x14ac:dyDescent="0.2">
      <c r="A74" s="150" t="s">
        <v>1251</v>
      </c>
      <c r="B74" s="151" t="s">
        <v>1251</v>
      </c>
      <c r="C74" s="151" t="s">
        <v>244</v>
      </c>
      <c r="D74" s="151" t="s">
        <v>2227</v>
      </c>
      <c r="E74" s="151"/>
      <c r="F74" s="151"/>
      <c r="G74" s="151" t="s">
        <v>2250</v>
      </c>
      <c r="H74" s="151" t="s">
        <v>2251</v>
      </c>
      <c r="I74" s="151" t="s">
        <v>101</v>
      </c>
      <c r="J74" s="151" t="s">
        <v>1256</v>
      </c>
      <c r="K74" s="162">
        <v>45595</v>
      </c>
      <c r="L74" s="152">
        <v>420.00000000000006</v>
      </c>
      <c r="M74" s="152">
        <v>1329.3000000000002</v>
      </c>
      <c r="N74" s="152">
        <v>292.45902000000007</v>
      </c>
      <c r="O74" s="152">
        <v>925.63279830000022</v>
      </c>
      <c r="P74" s="167">
        <v>0.69633100000000003</v>
      </c>
      <c r="Q74" s="171">
        <v>47178</v>
      </c>
      <c r="R74" s="174"/>
    </row>
    <row r="75" spans="1:18" ht="14.25" x14ac:dyDescent="0.2">
      <c r="A75" s="150" t="s">
        <v>1251</v>
      </c>
      <c r="B75" s="151" t="s">
        <v>1251</v>
      </c>
      <c r="C75" s="151" t="s">
        <v>637</v>
      </c>
      <c r="D75" s="151" t="s">
        <v>2260</v>
      </c>
      <c r="E75" s="151"/>
      <c r="F75" s="151"/>
      <c r="G75" s="151" t="s">
        <v>2261</v>
      </c>
      <c r="H75" s="151" t="s">
        <v>2262</v>
      </c>
      <c r="I75" s="151" t="s">
        <v>101</v>
      </c>
      <c r="J75" s="151" t="s">
        <v>1256</v>
      </c>
      <c r="K75" s="162">
        <v>42521</v>
      </c>
      <c r="L75" s="152">
        <v>150</v>
      </c>
      <c r="M75" s="152">
        <v>474.75</v>
      </c>
      <c r="N75" s="152">
        <v>1.125</v>
      </c>
      <c r="O75" s="152">
        <v>3.5606249999999999</v>
      </c>
      <c r="P75" s="167">
        <v>7.4999999999999997E-3</v>
      </c>
      <c r="Q75" s="171">
        <v>45930</v>
      </c>
      <c r="R75" s="174"/>
    </row>
    <row r="76" spans="1:18" ht="14.25" x14ac:dyDescent="0.2">
      <c r="A76" s="150" t="s">
        <v>1251</v>
      </c>
      <c r="B76" s="151" t="s">
        <v>1251</v>
      </c>
      <c r="C76" s="151" t="s">
        <v>244</v>
      </c>
      <c r="D76" s="151" t="s">
        <v>2281</v>
      </c>
      <c r="E76" s="151"/>
      <c r="F76" s="151"/>
      <c r="G76" s="151" t="s">
        <v>2403</v>
      </c>
      <c r="H76" s="151" t="s">
        <v>2404</v>
      </c>
      <c r="I76" s="151" t="s">
        <v>101</v>
      </c>
      <c r="J76" s="151" t="s">
        <v>1256</v>
      </c>
      <c r="K76" s="162">
        <v>45596</v>
      </c>
      <c r="L76" s="152">
        <v>770.00000000000011</v>
      </c>
      <c r="M76" s="152">
        <v>2437.0500000000006</v>
      </c>
      <c r="N76" s="152">
        <v>625.24504000000013</v>
      </c>
      <c r="O76" s="152">
        <v>1978.9005516000007</v>
      </c>
      <c r="P76" s="167">
        <v>0.81200654545454554</v>
      </c>
      <c r="Q76" s="171">
        <v>46997</v>
      </c>
      <c r="R76" s="174"/>
    </row>
    <row r="77" spans="1:18" ht="14.25" x14ac:dyDescent="0.2">
      <c r="A77" s="150" t="s">
        <v>1251</v>
      </c>
      <c r="B77" s="151" t="s">
        <v>1251</v>
      </c>
      <c r="C77" s="151" t="s">
        <v>244</v>
      </c>
      <c r="D77" s="151" t="s">
        <v>2413</v>
      </c>
      <c r="E77" s="151"/>
      <c r="F77" s="151"/>
      <c r="G77" s="151" t="s">
        <v>2414</v>
      </c>
      <c r="H77" s="151" t="s">
        <v>2415</v>
      </c>
      <c r="I77" s="151" t="s">
        <v>101</v>
      </c>
      <c r="J77" s="151" t="s">
        <v>1256</v>
      </c>
      <c r="K77" s="162">
        <v>42794</v>
      </c>
      <c r="L77" s="152">
        <v>250</v>
      </c>
      <c r="M77" s="152">
        <v>791.25</v>
      </c>
      <c r="N77" s="152">
        <v>60.873089999999998</v>
      </c>
      <c r="O77" s="152">
        <v>192.66332984999997</v>
      </c>
      <c r="P77" s="167">
        <v>0.24349235999999999</v>
      </c>
      <c r="Q77" s="171">
        <v>46424</v>
      </c>
      <c r="R77" s="174"/>
    </row>
    <row r="78" spans="1:18" ht="14.25" x14ac:dyDescent="0.2">
      <c r="A78" s="150" t="s">
        <v>1251</v>
      </c>
      <c r="B78" s="151" t="s">
        <v>1251</v>
      </c>
      <c r="C78" s="151" t="s">
        <v>244</v>
      </c>
      <c r="D78" s="151" t="s">
        <v>2294</v>
      </c>
      <c r="E78" s="151"/>
      <c r="F78" s="151"/>
      <c r="G78" s="151" t="s">
        <v>2295</v>
      </c>
      <c r="H78" s="151" t="s">
        <v>2296</v>
      </c>
      <c r="I78" s="151" t="s">
        <v>101</v>
      </c>
      <c r="J78" s="151" t="s">
        <v>1256</v>
      </c>
      <c r="K78" s="162">
        <v>43829</v>
      </c>
      <c r="L78" s="152">
        <v>885.76330000000007</v>
      </c>
      <c r="M78" s="152">
        <v>2803.4408444999999</v>
      </c>
      <c r="N78" s="152">
        <v>167.40880000000004</v>
      </c>
      <c r="O78" s="152">
        <v>529.84885200000019</v>
      </c>
      <c r="P78" s="167">
        <v>0.18899947649671198</v>
      </c>
      <c r="Q78" s="171">
        <v>47453</v>
      </c>
      <c r="R78" s="174"/>
    </row>
    <row r="79" spans="1:18" ht="14.25" x14ac:dyDescent="0.2">
      <c r="A79" s="150" t="s">
        <v>1251</v>
      </c>
      <c r="B79" s="151" t="s">
        <v>1251</v>
      </c>
      <c r="C79" s="151" t="s">
        <v>244</v>
      </c>
      <c r="D79" s="151" t="s">
        <v>2266</v>
      </c>
      <c r="E79" s="151"/>
      <c r="F79" s="151"/>
      <c r="G79" s="151" t="s">
        <v>2267</v>
      </c>
      <c r="H79" s="151" t="s">
        <v>2268</v>
      </c>
      <c r="I79" s="151" t="s">
        <v>101</v>
      </c>
      <c r="J79" s="151" t="s">
        <v>1258</v>
      </c>
      <c r="K79" s="162">
        <v>44769</v>
      </c>
      <c r="L79" s="152">
        <v>1706.34312</v>
      </c>
      <c r="M79" s="152">
        <v>6204.2635843200005</v>
      </c>
      <c r="N79" s="152">
        <v>470.84356000000008</v>
      </c>
      <c r="O79" s="152">
        <v>1711.9871841600002</v>
      </c>
      <c r="P79" s="167">
        <v>0.27593721009640781</v>
      </c>
      <c r="Q79" s="171">
        <v>46962</v>
      </c>
      <c r="R79" s="174"/>
    </row>
    <row r="80" spans="1:18" ht="14.25" x14ac:dyDescent="0.2">
      <c r="A80" s="150" t="s">
        <v>1264</v>
      </c>
      <c r="B80" s="151" t="s">
        <v>1264</v>
      </c>
      <c r="C80" s="151" t="s">
        <v>244</v>
      </c>
      <c r="D80" s="151" t="s">
        <v>2312</v>
      </c>
      <c r="E80" s="151"/>
      <c r="F80" s="151"/>
      <c r="G80" s="151" t="s">
        <v>2313</v>
      </c>
      <c r="H80" s="151" t="s">
        <v>2314</v>
      </c>
      <c r="I80" s="151" t="s">
        <v>101</v>
      </c>
      <c r="J80" s="151" t="s">
        <v>1256</v>
      </c>
      <c r="K80" s="162">
        <v>44118</v>
      </c>
      <c r="L80" s="152">
        <v>5400</v>
      </c>
      <c r="M80" s="152">
        <v>17091</v>
      </c>
      <c r="N80" s="152">
        <v>621</v>
      </c>
      <c r="O80" s="152">
        <v>1965.4649999999999</v>
      </c>
      <c r="P80" s="167">
        <v>0.115</v>
      </c>
      <c r="Q80" s="171">
        <v>47573</v>
      </c>
      <c r="R80" s="174"/>
    </row>
    <row r="81" spans="1:18" ht="14.25" x14ac:dyDescent="0.2">
      <c r="A81" s="150" t="s">
        <v>1264</v>
      </c>
      <c r="B81" s="151" t="s">
        <v>1264</v>
      </c>
      <c r="C81" s="151" t="s">
        <v>244</v>
      </c>
      <c r="D81" s="151" t="s">
        <v>2371</v>
      </c>
      <c r="E81" s="151"/>
      <c r="F81" s="151"/>
      <c r="G81" s="151" t="s">
        <v>2398</v>
      </c>
      <c r="H81" s="151" t="s">
        <v>2399</v>
      </c>
      <c r="I81" s="151" t="s">
        <v>101</v>
      </c>
      <c r="J81" s="151" t="s">
        <v>1258</v>
      </c>
      <c r="K81" s="162">
        <v>42901</v>
      </c>
      <c r="L81" s="152">
        <v>3060</v>
      </c>
      <c r="M81" s="152">
        <v>11126.16</v>
      </c>
      <c r="N81" s="152">
        <v>18.880700000000186</v>
      </c>
      <c r="O81" s="152">
        <v>68.650225200000691</v>
      </c>
      <c r="P81" s="167">
        <v>6.1701633986928715E-3</v>
      </c>
      <c r="Q81" s="171">
        <v>46477</v>
      </c>
      <c r="R81" s="174"/>
    </row>
    <row r="82" spans="1:18" ht="14.25" x14ac:dyDescent="0.2">
      <c r="A82" s="150" t="s">
        <v>1264</v>
      </c>
      <c r="B82" s="151" t="s">
        <v>1264</v>
      </c>
      <c r="C82" s="151" t="s">
        <v>244</v>
      </c>
      <c r="D82" s="151" t="s">
        <v>2266</v>
      </c>
      <c r="E82" s="151"/>
      <c r="F82" s="151"/>
      <c r="G82" s="151" t="s">
        <v>2345</v>
      </c>
      <c r="H82" s="151" t="s">
        <v>2346</v>
      </c>
      <c r="I82" s="151" t="s">
        <v>101</v>
      </c>
      <c r="J82" s="151" t="s">
        <v>1258</v>
      </c>
      <c r="K82" s="162">
        <v>45641</v>
      </c>
      <c r="L82" s="152">
        <v>13950</v>
      </c>
      <c r="M82" s="152">
        <v>50722.2</v>
      </c>
      <c r="N82" s="152">
        <v>8926.9062699999995</v>
      </c>
      <c r="O82" s="152">
        <v>32458.231197719997</v>
      </c>
      <c r="P82" s="167">
        <v>0.63992159641577062</v>
      </c>
      <c r="Q82" s="171">
        <v>47818</v>
      </c>
      <c r="R82" s="174"/>
    </row>
    <row r="83" spans="1:18" ht="14.25" x14ac:dyDescent="0.2">
      <c r="A83" s="150" t="s">
        <v>1264</v>
      </c>
      <c r="B83" s="151" t="s">
        <v>1264</v>
      </c>
      <c r="C83" s="151" t="s">
        <v>244</v>
      </c>
      <c r="D83" s="151" t="s">
        <v>2218</v>
      </c>
      <c r="E83" s="151"/>
      <c r="F83" s="151"/>
      <c r="G83" s="151" t="s">
        <v>2219</v>
      </c>
      <c r="H83" s="151" t="s">
        <v>2220</v>
      </c>
      <c r="I83" s="151" t="s">
        <v>101</v>
      </c>
      <c r="J83" s="151" t="s">
        <v>1255</v>
      </c>
      <c r="K83" s="162">
        <v>45034</v>
      </c>
      <c r="L83" s="152">
        <v>46000</v>
      </c>
      <c r="M83" s="152">
        <v>46000</v>
      </c>
      <c r="N83" s="152">
        <v>24380</v>
      </c>
      <c r="O83" s="152">
        <v>24380</v>
      </c>
      <c r="P83" s="167">
        <v>0.53</v>
      </c>
      <c r="Q83" s="171">
        <v>46692</v>
      </c>
      <c r="R83" s="174"/>
    </row>
    <row r="84" spans="1:18" ht="14.25" x14ac:dyDescent="0.2">
      <c r="A84" s="150" t="s">
        <v>1264</v>
      </c>
      <c r="B84" s="151" t="s">
        <v>1264</v>
      </c>
      <c r="C84" s="151" t="s">
        <v>244</v>
      </c>
      <c r="D84" s="151" t="s">
        <v>2294</v>
      </c>
      <c r="E84" s="151"/>
      <c r="F84" s="151"/>
      <c r="G84" s="151" t="s">
        <v>2332</v>
      </c>
      <c r="H84" s="151" t="s">
        <v>2333</v>
      </c>
      <c r="I84" s="151" t="s">
        <v>101</v>
      </c>
      <c r="J84" s="151" t="s">
        <v>1256</v>
      </c>
      <c r="K84" s="162">
        <v>45034</v>
      </c>
      <c r="L84" s="152">
        <v>10002.897800000001</v>
      </c>
      <c r="M84" s="152">
        <v>31659.171537000006</v>
      </c>
      <c r="N84" s="152">
        <v>4660.3326500000003</v>
      </c>
      <c r="O84" s="152">
        <v>14749.952837250003</v>
      </c>
      <c r="P84" s="167">
        <v>0.46589825700308563</v>
      </c>
      <c r="Q84" s="171">
        <v>47453</v>
      </c>
      <c r="R84" s="174"/>
    </row>
    <row r="85" spans="1:18" ht="14.25" x14ac:dyDescent="0.2">
      <c r="A85" s="150" t="s">
        <v>1264</v>
      </c>
      <c r="B85" s="151" t="s">
        <v>1264</v>
      </c>
      <c r="C85" s="151" t="s">
        <v>244</v>
      </c>
      <c r="D85" s="151" t="s">
        <v>2416</v>
      </c>
      <c r="E85" s="151"/>
      <c r="F85" s="151"/>
      <c r="G85" s="151" t="s">
        <v>2417</v>
      </c>
      <c r="H85" s="151" t="s">
        <v>2418</v>
      </c>
      <c r="I85" s="151" t="s">
        <v>101</v>
      </c>
      <c r="J85" s="151" t="s">
        <v>1258</v>
      </c>
      <c r="K85" s="162">
        <v>44431</v>
      </c>
      <c r="L85" s="152">
        <v>3000.1334999999999</v>
      </c>
      <c r="M85" s="152">
        <v>10908.485406</v>
      </c>
      <c r="N85" s="152">
        <v>741.4638799999999</v>
      </c>
      <c r="O85" s="152">
        <v>2695.9626676799994</v>
      </c>
      <c r="P85" s="167">
        <v>0.24714362877518614</v>
      </c>
      <c r="Q85" s="171">
        <v>46966</v>
      </c>
      <c r="R85" s="174"/>
    </row>
    <row r="86" spans="1:18" ht="14.25" x14ac:dyDescent="0.2">
      <c r="A86" s="150" t="s">
        <v>1264</v>
      </c>
      <c r="B86" s="151" t="s">
        <v>1264</v>
      </c>
      <c r="C86" s="151" t="s">
        <v>244</v>
      </c>
      <c r="D86" s="151" t="s">
        <v>2230</v>
      </c>
      <c r="E86" s="151"/>
      <c r="F86" s="151"/>
      <c r="G86" s="151" t="s">
        <v>2231</v>
      </c>
      <c r="H86" s="151" t="s">
        <v>2232</v>
      </c>
      <c r="I86" s="151" t="s">
        <v>101</v>
      </c>
      <c r="J86" s="151" t="s">
        <v>1256</v>
      </c>
      <c r="K86" s="162">
        <v>42019</v>
      </c>
      <c r="L86" s="152">
        <v>2700</v>
      </c>
      <c r="M86" s="152">
        <v>8545.5</v>
      </c>
      <c r="N86" s="152">
        <v>233.71120000000019</v>
      </c>
      <c r="O86" s="152">
        <v>739.69594800000061</v>
      </c>
      <c r="P86" s="167">
        <v>8.6559703703703778E-2</v>
      </c>
      <c r="Q86" s="171">
        <v>46350</v>
      </c>
      <c r="R86" s="174"/>
    </row>
    <row r="87" spans="1:18" ht="14.25" x14ac:dyDescent="0.2">
      <c r="A87" s="150" t="s">
        <v>1264</v>
      </c>
      <c r="B87" s="151" t="s">
        <v>1264</v>
      </c>
      <c r="C87" s="151" t="s">
        <v>244</v>
      </c>
      <c r="D87" s="151" t="s">
        <v>2252</v>
      </c>
      <c r="E87" s="151"/>
      <c r="F87" s="151"/>
      <c r="G87" s="151" t="s">
        <v>2253</v>
      </c>
      <c r="H87" s="151" t="s">
        <v>2254</v>
      </c>
      <c r="I87" s="151" t="s">
        <v>101</v>
      </c>
      <c r="J87" s="151" t="s">
        <v>1256</v>
      </c>
      <c r="K87" s="162">
        <v>42768</v>
      </c>
      <c r="L87" s="152">
        <v>1350</v>
      </c>
      <c r="M87" s="152">
        <v>4272.75</v>
      </c>
      <c r="N87" s="152">
        <v>74.25</v>
      </c>
      <c r="O87" s="152">
        <v>235.00125</v>
      </c>
      <c r="P87" s="167">
        <v>5.5E-2</v>
      </c>
      <c r="Q87" s="171">
        <v>46507</v>
      </c>
      <c r="R87" s="174"/>
    </row>
    <row r="88" spans="1:18" ht="14.25" x14ac:dyDescent="0.2">
      <c r="A88" s="150" t="s">
        <v>1264</v>
      </c>
      <c r="B88" s="151" t="s">
        <v>1264</v>
      </c>
      <c r="C88" s="151" t="s">
        <v>244</v>
      </c>
      <c r="D88" s="151" t="s">
        <v>2281</v>
      </c>
      <c r="E88" s="151"/>
      <c r="F88" s="151"/>
      <c r="G88" s="151" t="s">
        <v>2289</v>
      </c>
      <c r="H88" s="151" t="s">
        <v>2290</v>
      </c>
      <c r="I88" s="151" t="s">
        <v>101</v>
      </c>
      <c r="J88" s="151" t="s">
        <v>1256</v>
      </c>
      <c r="K88" s="162">
        <v>43375</v>
      </c>
      <c r="L88" s="152">
        <v>6300</v>
      </c>
      <c r="M88" s="152">
        <v>19939.5</v>
      </c>
      <c r="N88" s="152">
        <v>546.54029999999977</v>
      </c>
      <c r="O88" s="152">
        <v>1729.8000494999994</v>
      </c>
      <c r="P88" s="167">
        <v>8.6752428571428536E-2</v>
      </c>
      <c r="Q88" s="171">
        <v>46997</v>
      </c>
      <c r="R88" s="174"/>
    </row>
    <row r="89" spans="1:18" ht="14.25" x14ac:dyDescent="0.2">
      <c r="A89" s="150" t="s">
        <v>1264</v>
      </c>
      <c r="B89" s="151" t="s">
        <v>1264</v>
      </c>
      <c r="C89" s="151" t="s">
        <v>244</v>
      </c>
      <c r="D89" s="151" t="s">
        <v>2221</v>
      </c>
      <c r="E89" s="151"/>
      <c r="F89" s="151"/>
      <c r="G89" s="151" t="s">
        <v>2222</v>
      </c>
      <c r="H89" s="151" t="s">
        <v>2223</v>
      </c>
      <c r="I89" s="151" t="s">
        <v>101</v>
      </c>
      <c r="J89" s="151" t="s">
        <v>1255</v>
      </c>
      <c r="K89" s="162">
        <v>43801</v>
      </c>
      <c r="L89" s="152">
        <v>22500</v>
      </c>
      <c r="M89" s="152">
        <v>22500</v>
      </c>
      <c r="N89" s="152">
        <v>6672.7070999999996</v>
      </c>
      <c r="O89" s="152">
        <v>6672.7070999999996</v>
      </c>
      <c r="P89" s="167">
        <v>0.29656475999999998</v>
      </c>
      <c r="Q89" s="171">
        <v>46327</v>
      </c>
      <c r="R89" s="174"/>
    </row>
    <row r="90" spans="1:18" ht="14.25" x14ac:dyDescent="0.2">
      <c r="A90" s="150" t="s">
        <v>1264</v>
      </c>
      <c r="B90" s="151" t="s">
        <v>1264</v>
      </c>
      <c r="C90" s="151" t="s">
        <v>244</v>
      </c>
      <c r="D90" s="151" t="s">
        <v>2233</v>
      </c>
      <c r="E90" s="151"/>
      <c r="F90" s="151"/>
      <c r="G90" s="151" t="s">
        <v>2234</v>
      </c>
      <c r="H90" s="151" t="s">
        <v>2235</v>
      </c>
      <c r="I90" s="151" t="s">
        <v>101</v>
      </c>
      <c r="J90" s="151" t="s">
        <v>1256</v>
      </c>
      <c r="K90" s="162">
        <v>44836</v>
      </c>
      <c r="L90" s="152">
        <v>7130</v>
      </c>
      <c r="M90" s="152">
        <v>22566.45</v>
      </c>
      <c r="N90" s="152">
        <v>4613.6421</v>
      </c>
      <c r="O90" s="152">
        <v>14602.177246499998</v>
      </c>
      <c r="P90" s="167">
        <v>0.64707462833099572</v>
      </c>
      <c r="Q90" s="171">
        <v>48458</v>
      </c>
      <c r="R90" s="174"/>
    </row>
    <row r="91" spans="1:18" ht="14.25" x14ac:dyDescent="0.2">
      <c r="A91" s="150" t="s">
        <v>1264</v>
      </c>
      <c r="B91" s="151" t="s">
        <v>1264</v>
      </c>
      <c r="C91" s="151" t="s">
        <v>244</v>
      </c>
      <c r="D91" s="151" t="s">
        <v>2363</v>
      </c>
      <c r="E91" s="151"/>
      <c r="F91" s="151"/>
      <c r="G91" s="151" t="s">
        <v>2364</v>
      </c>
      <c r="H91" s="151" t="s">
        <v>2365</v>
      </c>
      <c r="I91" s="151" t="s">
        <v>101</v>
      </c>
      <c r="J91" s="151" t="s">
        <v>1258</v>
      </c>
      <c r="K91" s="162">
        <v>45630</v>
      </c>
      <c r="L91" s="152">
        <v>13020</v>
      </c>
      <c r="M91" s="152">
        <v>47340.72</v>
      </c>
      <c r="N91" s="152">
        <v>9188.9116400000003</v>
      </c>
      <c r="O91" s="152">
        <v>33410.882723040006</v>
      </c>
      <c r="P91" s="167">
        <v>0.70575358218125961</v>
      </c>
      <c r="Q91" s="171">
        <v>49282</v>
      </c>
      <c r="R91" s="174"/>
    </row>
    <row r="92" spans="1:18" ht="14.25" x14ac:dyDescent="0.2">
      <c r="A92" s="150" t="s">
        <v>1264</v>
      </c>
      <c r="B92" s="151" t="s">
        <v>1264</v>
      </c>
      <c r="C92" s="151" t="s">
        <v>244</v>
      </c>
      <c r="D92" s="151" t="s">
        <v>2377</v>
      </c>
      <c r="E92" s="151"/>
      <c r="F92" s="151"/>
      <c r="G92" s="151" t="s">
        <v>2378</v>
      </c>
      <c r="H92" s="151" t="s">
        <v>2379</v>
      </c>
      <c r="I92" s="151" t="s">
        <v>101</v>
      </c>
      <c r="J92" s="151" t="s">
        <v>1256</v>
      </c>
      <c r="K92" s="162">
        <v>43804</v>
      </c>
      <c r="L92" s="152">
        <v>5181.2587709999998</v>
      </c>
      <c r="M92" s="152">
        <v>16398.684010214998</v>
      </c>
      <c r="N92" s="152">
        <v>1275.0155909999996</v>
      </c>
      <c r="O92" s="152">
        <v>4035.4243455149985</v>
      </c>
      <c r="P92" s="167">
        <v>0.246082206535675</v>
      </c>
      <c r="Q92" s="171">
        <v>47453</v>
      </c>
      <c r="R92" s="174"/>
    </row>
    <row r="93" spans="1:18" ht="14.25" x14ac:dyDescent="0.2">
      <c r="A93" s="150" t="s">
        <v>1264</v>
      </c>
      <c r="B93" s="151" t="s">
        <v>1264</v>
      </c>
      <c r="C93" s="151" t="s">
        <v>244</v>
      </c>
      <c r="D93" s="151" t="s">
        <v>2284</v>
      </c>
      <c r="E93" s="151"/>
      <c r="F93" s="151"/>
      <c r="G93" s="151" t="s">
        <v>2285</v>
      </c>
      <c r="H93" s="151" t="s">
        <v>2286</v>
      </c>
      <c r="I93" s="151" t="s">
        <v>101</v>
      </c>
      <c r="J93" s="151" t="s">
        <v>1256</v>
      </c>
      <c r="K93" s="162">
        <v>43502</v>
      </c>
      <c r="L93" s="152">
        <v>4608.4947929999998</v>
      </c>
      <c r="M93" s="152">
        <v>14585.886019845</v>
      </c>
      <c r="N93" s="152">
        <v>169.18250299999957</v>
      </c>
      <c r="O93" s="152">
        <v>535.4626219949987</v>
      </c>
      <c r="P93" s="167">
        <v>3.6711010991479616E-2</v>
      </c>
      <c r="Q93" s="171">
        <v>47119</v>
      </c>
      <c r="R93" s="174"/>
    </row>
    <row r="94" spans="1:18" ht="14.25" x14ac:dyDescent="0.2">
      <c r="A94" s="150" t="s">
        <v>1264</v>
      </c>
      <c r="B94" s="151" t="s">
        <v>1264</v>
      </c>
      <c r="C94" s="151" t="s">
        <v>244</v>
      </c>
      <c r="D94" s="151" t="s">
        <v>2309</v>
      </c>
      <c r="E94" s="151"/>
      <c r="F94" s="151"/>
      <c r="G94" s="151" t="s">
        <v>2310</v>
      </c>
      <c r="H94" s="151" t="s">
        <v>2311</v>
      </c>
      <c r="I94" s="151" t="s">
        <v>101</v>
      </c>
      <c r="J94" s="151" t="s">
        <v>1256</v>
      </c>
      <c r="K94" s="162">
        <v>43319</v>
      </c>
      <c r="L94" s="152">
        <v>8558.4969000000001</v>
      </c>
      <c r="M94" s="152">
        <v>27087.642688500004</v>
      </c>
      <c r="N94" s="152">
        <v>1483.6878000000006</v>
      </c>
      <c r="O94" s="152">
        <v>4695.8718870000021</v>
      </c>
      <c r="P94" s="167">
        <v>0.17335845503431804</v>
      </c>
      <c r="Q94" s="171">
        <v>46188</v>
      </c>
      <c r="R94" s="174"/>
    </row>
    <row r="95" spans="1:18" ht="14.25" x14ac:dyDescent="0.2">
      <c r="A95" s="150" t="s">
        <v>1264</v>
      </c>
      <c r="B95" s="151" t="s">
        <v>1264</v>
      </c>
      <c r="C95" s="151" t="s">
        <v>244</v>
      </c>
      <c r="D95" s="151" t="s">
        <v>2315</v>
      </c>
      <c r="E95" s="151"/>
      <c r="F95" s="151"/>
      <c r="G95" s="151" t="s">
        <v>2316</v>
      </c>
      <c r="H95" s="151" t="s">
        <v>2317</v>
      </c>
      <c r="I95" s="151" t="s">
        <v>101</v>
      </c>
      <c r="J95" s="151" t="s">
        <v>1256</v>
      </c>
      <c r="K95" s="162">
        <v>45330</v>
      </c>
      <c r="L95" s="152">
        <v>15211.836599999999</v>
      </c>
      <c r="M95" s="152">
        <v>48145.462839</v>
      </c>
      <c r="N95" s="152">
        <v>9320.3783199999998</v>
      </c>
      <c r="O95" s="152">
        <v>29498.9973828</v>
      </c>
      <c r="P95" s="167">
        <v>0.61270565580490133</v>
      </c>
      <c r="Q95" s="171">
        <v>48983</v>
      </c>
      <c r="R95" s="174"/>
    </row>
    <row r="96" spans="1:18" ht="14.25" x14ac:dyDescent="0.2">
      <c r="A96" s="150" t="s">
        <v>1264</v>
      </c>
      <c r="B96" s="151" t="s">
        <v>1264</v>
      </c>
      <c r="C96" s="151" t="s">
        <v>244</v>
      </c>
      <c r="D96" s="151" t="s">
        <v>2306</v>
      </c>
      <c r="E96" s="151"/>
      <c r="F96" s="151"/>
      <c r="G96" s="151" t="s">
        <v>2307</v>
      </c>
      <c r="H96" s="151" t="s">
        <v>2308</v>
      </c>
      <c r="I96" s="151" t="s">
        <v>101</v>
      </c>
      <c r="J96" s="151" t="s">
        <v>1258</v>
      </c>
      <c r="K96" s="162">
        <v>45238</v>
      </c>
      <c r="L96" s="152">
        <v>15640</v>
      </c>
      <c r="M96" s="152">
        <v>56867.040000000001</v>
      </c>
      <c r="N96" s="152">
        <v>9138.3355199999987</v>
      </c>
      <c r="O96" s="152">
        <v>33226.987950720002</v>
      </c>
      <c r="P96" s="167">
        <v>0.58429255242966749</v>
      </c>
      <c r="Q96" s="171">
        <v>47788</v>
      </c>
      <c r="R96" s="174"/>
    </row>
    <row r="97" spans="1:18" ht="14.25" x14ac:dyDescent="0.2">
      <c r="A97" s="150" t="s">
        <v>1264</v>
      </c>
      <c r="B97" s="151" t="s">
        <v>1264</v>
      </c>
      <c r="C97" s="151" t="s">
        <v>244</v>
      </c>
      <c r="D97" s="151" t="s">
        <v>2281</v>
      </c>
      <c r="E97" s="151"/>
      <c r="F97" s="151"/>
      <c r="G97" s="151" t="s">
        <v>2282</v>
      </c>
      <c r="H97" s="151" t="s">
        <v>2283</v>
      </c>
      <c r="I97" s="151" t="s">
        <v>101</v>
      </c>
      <c r="J97" s="151" t="s">
        <v>1256</v>
      </c>
      <c r="K97" s="162">
        <v>44537</v>
      </c>
      <c r="L97" s="152">
        <v>9200</v>
      </c>
      <c r="M97" s="152">
        <v>29118</v>
      </c>
      <c r="N97" s="152">
        <v>1424.3614800000005</v>
      </c>
      <c r="O97" s="152">
        <v>4508.1040842000011</v>
      </c>
      <c r="P97" s="167">
        <v>0.15482190000000004</v>
      </c>
      <c r="Q97" s="171">
        <v>46997</v>
      </c>
      <c r="R97" s="174"/>
    </row>
    <row r="98" spans="1:18" ht="14.25" x14ac:dyDescent="0.2">
      <c r="A98" s="150" t="s">
        <v>1264</v>
      </c>
      <c r="B98" s="151" t="s">
        <v>1264</v>
      </c>
      <c r="C98" s="151" t="s">
        <v>244</v>
      </c>
      <c r="D98" s="151" t="s">
        <v>2238</v>
      </c>
      <c r="E98" s="151"/>
      <c r="F98" s="151"/>
      <c r="G98" s="151" t="s">
        <v>2255</v>
      </c>
      <c r="H98" s="151" t="s">
        <v>2256</v>
      </c>
      <c r="I98" s="151" t="s">
        <v>101</v>
      </c>
      <c r="J98" s="151" t="s">
        <v>1256</v>
      </c>
      <c r="K98" s="162">
        <v>45267</v>
      </c>
      <c r="L98" s="152">
        <v>2760</v>
      </c>
      <c r="M98" s="152">
        <v>8735.4</v>
      </c>
      <c r="N98" s="152">
        <v>2211.1036600000002</v>
      </c>
      <c r="O98" s="152">
        <v>6998.1430839000013</v>
      </c>
      <c r="P98" s="167">
        <v>0.80112451449275368</v>
      </c>
      <c r="Q98" s="171">
        <v>47757</v>
      </c>
      <c r="R98" s="174"/>
    </row>
    <row r="99" spans="1:18" ht="14.25" x14ac:dyDescent="0.2">
      <c r="A99" s="150" t="s">
        <v>1264</v>
      </c>
      <c r="B99" s="151" t="s">
        <v>1264</v>
      </c>
      <c r="C99" s="151" t="s">
        <v>244</v>
      </c>
      <c r="D99" s="151" t="s">
        <v>2297</v>
      </c>
      <c r="E99" s="151"/>
      <c r="F99" s="151"/>
      <c r="G99" s="151" t="s">
        <v>2298</v>
      </c>
      <c r="H99" s="151" t="s">
        <v>2299</v>
      </c>
      <c r="I99" s="151" t="s">
        <v>101</v>
      </c>
      <c r="J99" s="151" t="s">
        <v>1256</v>
      </c>
      <c r="K99" s="162">
        <v>44235</v>
      </c>
      <c r="L99" s="152">
        <v>5955.2566289999995</v>
      </c>
      <c r="M99" s="152">
        <v>18848.387230785</v>
      </c>
      <c r="N99" s="152">
        <v>489.13807899999989</v>
      </c>
      <c r="O99" s="152">
        <v>1548.1220200349999</v>
      </c>
      <c r="P99" s="167">
        <v>8.213551648103122E-2</v>
      </c>
      <c r="Q99" s="171">
        <v>47880</v>
      </c>
      <c r="R99" s="174"/>
    </row>
    <row r="100" spans="1:18" ht="14.25" x14ac:dyDescent="0.2">
      <c r="A100" s="150" t="s">
        <v>1264</v>
      </c>
      <c r="B100" s="151" t="s">
        <v>1264</v>
      </c>
      <c r="C100" s="151" t="s">
        <v>244</v>
      </c>
      <c r="D100" s="151" t="s">
        <v>2405</v>
      </c>
      <c r="E100" s="151"/>
      <c r="F100" s="151"/>
      <c r="G100" s="151" t="s">
        <v>2406</v>
      </c>
      <c r="H100" s="151" t="s">
        <v>2407</v>
      </c>
      <c r="I100" s="151" t="s">
        <v>101</v>
      </c>
      <c r="J100" s="151" t="s">
        <v>1256</v>
      </c>
      <c r="K100" s="162">
        <v>45390</v>
      </c>
      <c r="L100" s="152">
        <v>7440</v>
      </c>
      <c r="M100" s="152">
        <v>23547.599999999999</v>
      </c>
      <c r="N100" s="152">
        <v>5001.7009000000007</v>
      </c>
      <c r="O100" s="152">
        <v>15830.383348500001</v>
      </c>
      <c r="P100" s="167">
        <v>0.6722716263440861</v>
      </c>
      <c r="Q100" s="171">
        <v>49042</v>
      </c>
      <c r="R100" s="174"/>
    </row>
    <row r="101" spans="1:18" ht="14.25" x14ac:dyDescent="0.2">
      <c r="A101" s="150" t="s">
        <v>1264</v>
      </c>
      <c r="B101" s="151" t="s">
        <v>1264</v>
      </c>
      <c r="C101" s="151" t="s">
        <v>244</v>
      </c>
      <c r="D101" s="151" t="s">
        <v>2269</v>
      </c>
      <c r="E101" s="151"/>
      <c r="F101" s="151"/>
      <c r="G101" s="151" t="s">
        <v>2270</v>
      </c>
      <c r="H101" s="151" t="s">
        <v>2271</v>
      </c>
      <c r="I101" s="151" t="s">
        <v>101</v>
      </c>
      <c r="J101" s="151" t="s">
        <v>1256</v>
      </c>
      <c r="K101" s="162">
        <v>44537</v>
      </c>
      <c r="L101" s="152">
        <v>13800</v>
      </c>
      <c r="M101" s="152">
        <v>43677</v>
      </c>
      <c r="N101" s="152">
        <v>3843.0377799999992</v>
      </c>
      <c r="O101" s="152">
        <v>12163.214573699997</v>
      </c>
      <c r="P101" s="167">
        <v>0.27848099855072461</v>
      </c>
      <c r="Q101" s="171">
        <v>46722</v>
      </c>
      <c r="R101" s="174"/>
    </row>
    <row r="102" spans="1:18" ht="14.25" x14ac:dyDescent="0.2">
      <c r="A102" s="150" t="s">
        <v>1264</v>
      </c>
      <c r="B102" s="151" t="s">
        <v>1264</v>
      </c>
      <c r="C102" s="151" t="s">
        <v>244</v>
      </c>
      <c r="D102" s="151" t="s">
        <v>2380</v>
      </c>
      <c r="E102" s="151"/>
      <c r="F102" s="151"/>
      <c r="G102" s="151" t="s">
        <v>2381</v>
      </c>
      <c r="H102" s="151" t="s">
        <v>2382</v>
      </c>
      <c r="I102" s="151" t="s">
        <v>101</v>
      </c>
      <c r="J102" s="151" t="s">
        <v>1258</v>
      </c>
      <c r="K102" s="162">
        <v>42776</v>
      </c>
      <c r="L102" s="152">
        <v>2700</v>
      </c>
      <c r="M102" s="152">
        <v>9817.2000000000007</v>
      </c>
      <c r="N102" s="152">
        <v>133.43600000000001</v>
      </c>
      <c r="O102" s="152">
        <v>485.17329600000005</v>
      </c>
      <c r="P102" s="167">
        <v>4.9420740740740737E-2</v>
      </c>
      <c r="Q102" s="171">
        <v>46411</v>
      </c>
      <c r="R102" s="174"/>
    </row>
    <row r="103" spans="1:18" ht="14.25" x14ac:dyDescent="0.2">
      <c r="A103" s="150" t="s">
        <v>1264</v>
      </c>
      <c r="B103" s="151" t="s">
        <v>1264</v>
      </c>
      <c r="C103" s="151" t="s">
        <v>244</v>
      </c>
      <c r="D103" s="151" t="s">
        <v>2303</v>
      </c>
      <c r="E103" s="151"/>
      <c r="F103" s="151"/>
      <c r="G103" s="151" t="s">
        <v>2304</v>
      </c>
      <c r="H103" s="151" t="s">
        <v>2305</v>
      </c>
      <c r="I103" s="151" t="s">
        <v>101</v>
      </c>
      <c r="J103" s="151" t="s">
        <v>1256</v>
      </c>
      <c r="K103" s="162">
        <v>44264</v>
      </c>
      <c r="L103" s="152">
        <v>4500</v>
      </c>
      <c r="M103" s="152">
        <v>14242.5</v>
      </c>
      <c r="N103" s="152">
        <v>701.31650000000002</v>
      </c>
      <c r="O103" s="152">
        <v>2219.6667225000001</v>
      </c>
      <c r="P103" s="167">
        <v>0.1558481111111111</v>
      </c>
      <c r="Q103" s="171">
        <v>47908</v>
      </c>
      <c r="R103" s="174"/>
    </row>
    <row r="104" spans="1:18" ht="14.25" x14ac:dyDescent="0.2">
      <c r="A104" s="150" t="s">
        <v>1264</v>
      </c>
      <c r="B104" s="151" t="s">
        <v>1264</v>
      </c>
      <c r="C104" s="151" t="s">
        <v>244</v>
      </c>
      <c r="D104" s="151" t="s">
        <v>2335</v>
      </c>
      <c r="E104" s="151"/>
      <c r="F104" s="151"/>
      <c r="G104" s="151" t="s">
        <v>2366</v>
      </c>
      <c r="H104" s="151" t="s">
        <v>2367</v>
      </c>
      <c r="I104" s="151" t="s">
        <v>101</v>
      </c>
      <c r="J104" s="151" t="s">
        <v>1256</v>
      </c>
      <c r="K104" s="162">
        <v>45055</v>
      </c>
      <c r="L104" s="152">
        <v>5520</v>
      </c>
      <c r="M104" s="152">
        <v>17470.8</v>
      </c>
      <c r="N104" s="152">
        <v>110.4</v>
      </c>
      <c r="O104" s="152">
        <v>349.416</v>
      </c>
      <c r="P104" s="167">
        <v>0.02</v>
      </c>
      <c r="Q104" s="171">
        <v>47818</v>
      </c>
      <c r="R104" s="174"/>
    </row>
    <row r="105" spans="1:18" ht="14.25" x14ac:dyDescent="0.2">
      <c r="A105" s="150" t="s">
        <v>1264</v>
      </c>
      <c r="B105" s="151" t="s">
        <v>1264</v>
      </c>
      <c r="C105" s="151" t="s">
        <v>244</v>
      </c>
      <c r="D105" s="151" t="s">
        <v>2421</v>
      </c>
      <c r="E105" s="151"/>
      <c r="F105" s="151"/>
      <c r="G105" s="151" t="s">
        <v>2438</v>
      </c>
      <c r="H105" s="151" t="s">
        <v>2439</v>
      </c>
      <c r="I105" s="151" t="s">
        <v>101</v>
      </c>
      <c r="J105" s="151" t="s">
        <v>1258</v>
      </c>
      <c r="K105" s="162">
        <v>45700</v>
      </c>
      <c r="L105" s="152">
        <v>4650</v>
      </c>
      <c r="M105" s="152">
        <v>16907.400000000001</v>
      </c>
      <c r="N105" s="152">
        <v>3540.20066</v>
      </c>
      <c r="O105" s="152">
        <v>12872.169599760002</v>
      </c>
      <c r="P105" s="167">
        <v>0.76133347526881723</v>
      </c>
      <c r="Q105" s="171">
        <v>46753</v>
      </c>
      <c r="R105" s="174"/>
    </row>
    <row r="106" spans="1:18" ht="14.25" x14ac:dyDescent="0.2">
      <c r="A106" s="150" t="s">
        <v>1264</v>
      </c>
      <c r="B106" s="151" t="s">
        <v>1264</v>
      </c>
      <c r="C106" s="151" t="s">
        <v>244</v>
      </c>
      <c r="D106" s="151" t="s">
        <v>2323</v>
      </c>
      <c r="E106" s="151"/>
      <c r="F106" s="151"/>
      <c r="G106" s="151" t="s">
        <v>2408</v>
      </c>
      <c r="H106" s="151" t="s">
        <v>2409</v>
      </c>
      <c r="I106" s="151" t="s">
        <v>101</v>
      </c>
      <c r="J106" s="151" t="s">
        <v>1256</v>
      </c>
      <c r="K106" s="162">
        <v>43446</v>
      </c>
      <c r="L106" s="152">
        <v>1800</v>
      </c>
      <c r="M106" s="152">
        <v>5697</v>
      </c>
      <c r="N106" s="152">
        <v>180</v>
      </c>
      <c r="O106" s="152">
        <v>569.70000000000005</v>
      </c>
      <c r="P106" s="167">
        <v>0.1</v>
      </c>
      <c r="Q106" s="171">
        <v>46813</v>
      </c>
      <c r="R106" s="174"/>
    </row>
    <row r="107" spans="1:18" ht="14.25" x14ac:dyDescent="0.2">
      <c r="A107" s="150" t="s">
        <v>1264</v>
      </c>
      <c r="B107" s="151" t="s">
        <v>1264</v>
      </c>
      <c r="C107" s="151" t="s">
        <v>244</v>
      </c>
      <c r="D107" s="151" t="s">
        <v>2241</v>
      </c>
      <c r="E107" s="151"/>
      <c r="F107" s="151"/>
      <c r="G107" s="151" t="s">
        <v>2242</v>
      </c>
      <c r="H107" s="151" t="s">
        <v>2243</v>
      </c>
      <c r="I107" s="151" t="s">
        <v>101</v>
      </c>
      <c r="J107" s="151" t="s">
        <v>1256</v>
      </c>
      <c r="K107" s="162">
        <v>44970</v>
      </c>
      <c r="L107" s="152">
        <v>3036</v>
      </c>
      <c r="M107" s="152">
        <v>9608.94</v>
      </c>
      <c r="N107" s="152">
        <v>1138.5</v>
      </c>
      <c r="O107" s="152">
        <v>3603.3525</v>
      </c>
      <c r="P107" s="167">
        <v>0.375</v>
      </c>
      <c r="Q107" s="171">
        <v>47515</v>
      </c>
      <c r="R107" s="174"/>
    </row>
    <row r="108" spans="1:18" ht="14.25" x14ac:dyDescent="0.2">
      <c r="A108" s="150" t="s">
        <v>1264</v>
      </c>
      <c r="B108" s="151" t="s">
        <v>1264</v>
      </c>
      <c r="C108" s="151" t="s">
        <v>244</v>
      </c>
      <c r="D108" s="151" t="s">
        <v>2410</v>
      </c>
      <c r="E108" s="151"/>
      <c r="F108" s="151"/>
      <c r="G108" s="151" t="s">
        <v>2411</v>
      </c>
      <c r="H108" s="151" t="s">
        <v>2412</v>
      </c>
      <c r="I108" s="151" t="s">
        <v>101</v>
      </c>
      <c r="J108" s="151" t="s">
        <v>1258</v>
      </c>
      <c r="K108" s="162">
        <v>45701</v>
      </c>
      <c r="L108" s="152">
        <v>6975</v>
      </c>
      <c r="M108" s="152">
        <v>25361.1</v>
      </c>
      <c r="N108" s="152">
        <v>5022</v>
      </c>
      <c r="O108" s="152">
        <v>18259.991999999998</v>
      </c>
      <c r="P108" s="167">
        <v>0.72</v>
      </c>
      <c r="Q108" s="171">
        <v>48611</v>
      </c>
      <c r="R108" s="174"/>
    </row>
    <row r="109" spans="1:18" ht="14.25" x14ac:dyDescent="0.2">
      <c r="A109" s="150" t="s">
        <v>1264</v>
      </c>
      <c r="B109" s="151" t="s">
        <v>1264</v>
      </c>
      <c r="C109" s="151" t="s">
        <v>244</v>
      </c>
      <c r="D109" s="151" t="s">
        <v>2450</v>
      </c>
      <c r="E109" s="151"/>
      <c r="F109" s="151"/>
      <c r="G109" s="151" t="s">
        <v>2451</v>
      </c>
      <c r="H109" s="151" t="s">
        <v>2452</v>
      </c>
      <c r="I109" s="151" t="s">
        <v>101</v>
      </c>
      <c r="J109" s="151" t="s">
        <v>1256</v>
      </c>
      <c r="K109" s="162">
        <v>45790</v>
      </c>
      <c r="L109" s="152">
        <v>11640</v>
      </c>
      <c r="M109" s="152">
        <v>36840.6</v>
      </c>
      <c r="N109" s="152">
        <v>11278.77685</v>
      </c>
      <c r="O109" s="152">
        <v>35697.328730250003</v>
      </c>
      <c r="P109" s="167">
        <v>0.96896708333333326</v>
      </c>
      <c r="Q109" s="171">
        <v>49442</v>
      </c>
      <c r="R109" s="174"/>
    </row>
    <row r="110" spans="1:18" ht="14.25" x14ac:dyDescent="0.2">
      <c r="A110" s="150" t="s">
        <v>1264</v>
      </c>
      <c r="B110" s="151" t="s">
        <v>1264</v>
      </c>
      <c r="C110" s="151" t="s">
        <v>244</v>
      </c>
      <c r="D110" s="151" t="s">
        <v>2291</v>
      </c>
      <c r="E110" s="151"/>
      <c r="F110" s="151"/>
      <c r="G110" s="151" t="s">
        <v>2292</v>
      </c>
      <c r="H110" s="151" t="s">
        <v>2293</v>
      </c>
      <c r="I110" s="151" t="s">
        <v>101</v>
      </c>
      <c r="J110" s="151" t="s">
        <v>1256</v>
      </c>
      <c r="K110" s="162">
        <v>44755</v>
      </c>
      <c r="L110" s="152">
        <v>7360</v>
      </c>
      <c r="M110" s="152">
        <v>23294.400000000001</v>
      </c>
      <c r="N110" s="152">
        <v>611.82483999999988</v>
      </c>
      <c r="O110" s="152">
        <v>1936.4256185999996</v>
      </c>
      <c r="P110" s="167">
        <v>8.3128374999999977E-2</v>
      </c>
      <c r="Q110" s="171">
        <v>46935</v>
      </c>
      <c r="R110" s="174"/>
    </row>
    <row r="111" spans="1:18" ht="14.25" x14ac:dyDescent="0.2">
      <c r="A111" s="150" t="s">
        <v>1264</v>
      </c>
      <c r="B111" s="151" t="s">
        <v>1264</v>
      </c>
      <c r="C111" s="151" t="s">
        <v>244</v>
      </c>
      <c r="D111" s="151" t="s">
        <v>2300</v>
      </c>
      <c r="E111" s="151"/>
      <c r="F111" s="151"/>
      <c r="G111" s="151" t="s">
        <v>2301</v>
      </c>
      <c r="H111" s="151" t="s">
        <v>2302</v>
      </c>
      <c r="I111" s="151" t="s">
        <v>101</v>
      </c>
      <c r="J111" s="151" t="s">
        <v>1256</v>
      </c>
      <c r="K111" s="162">
        <v>44420</v>
      </c>
      <c r="L111" s="152">
        <v>5511.5037000000002</v>
      </c>
      <c r="M111" s="152">
        <v>17443.909210500002</v>
      </c>
      <c r="N111" s="152">
        <v>1035.8155899999999</v>
      </c>
      <c r="O111" s="152">
        <v>3278.3563423499995</v>
      </c>
      <c r="P111" s="167">
        <v>0.18793702161535333</v>
      </c>
      <c r="Q111" s="171">
        <v>48061</v>
      </c>
      <c r="R111" s="174"/>
    </row>
    <row r="112" spans="1:18" ht="14.25" x14ac:dyDescent="0.2">
      <c r="A112" s="150" t="s">
        <v>1264</v>
      </c>
      <c r="B112" s="151" t="s">
        <v>1264</v>
      </c>
      <c r="C112" s="151" t="s">
        <v>244</v>
      </c>
      <c r="D112" s="151" t="s">
        <v>2218</v>
      </c>
      <c r="E112" s="151"/>
      <c r="F112" s="151"/>
      <c r="G112" s="151" t="s">
        <v>2248</v>
      </c>
      <c r="H112" s="151" t="s">
        <v>2249</v>
      </c>
      <c r="I112" s="151" t="s">
        <v>101</v>
      </c>
      <c r="J112" s="151" t="s">
        <v>1255</v>
      </c>
      <c r="K112" s="162">
        <v>43782</v>
      </c>
      <c r="L112" s="152">
        <v>27103.688999999998</v>
      </c>
      <c r="M112" s="152">
        <v>27103.688999999998</v>
      </c>
      <c r="N112" s="152">
        <v>5053.6890000000003</v>
      </c>
      <c r="O112" s="152">
        <v>5053.6890000000003</v>
      </c>
      <c r="P112" s="167">
        <v>0.18645760730209088</v>
      </c>
      <c r="Q112" s="171">
        <v>46692</v>
      </c>
      <c r="R112" s="174"/>
    </row>
    <row r="113" spans="1:18" ht="14.25" x14ac:dyDescent="0.2">
      <c r="A113" s="150" t="s">
        <v>1264</v>
      </c>
      <c r="B113" s="151" t="s">
        <v>1264</v>
      </c>
      <c r="C113" s="151" t="s">
        <v>244</v>
      </c>
      <c r="D113" s="151" t="s">
        <v>2427</v>
      </c>
      <c r="E113" s="151"/>
      <c r="F113" s="151"/>
      <c r="G113" s="151" t="s">
        <v>2428</v>
      </c>
      <c r="H113" s="151" t="s">
        <v>2429</v>
      </c>
      <c r="I113" s="151" t="s">
        <v>101</v>
      </c>
      <c r="J113" s="151" t="s">
        <v>1256</v>
      </c>
      <c r="K113" s="162">
        <v>45852</v>
      </c>
      <c r="L113" s="152">
        <v>9700</v>
      </c>
      <c r="M113" s="152">
        <v>30700.5</v>
      </c>
      <c r="N113" s="152">
        <v>6238.1767</v>
      </c>
      <c r="O113" s="152">
        <v>19743.829255500001</v>
      </c>
      <c r="P113" s="167">
        <v>0.64311099999999999</v>
      </c>
      <c r="Q113" s="171">
        <v>49504</v>
      </c>
      <c r="R113" s="174"/>
    </row>
    <row r="114" spans="1:18" ht="14.25" x14ac:dyDescent="0.2">
      <c r="A114" s="150" t="s">
        <v>1264</v>
      </c>
      <c r="B114" s="151" t="s">
        <v>1264</v>
      </c>
      <c r="C114" s="151" t="s">
        <v>244</v>
      </c>
      <c r="D114" s="151" t="s">
        <v>2278</v>
      </c>
      <c r="E114" s="151"/>
      <c r="F114" s="151"/>
      <c r="G114" s="151" t="s">
        <v>2279</v>
      </c>
      <c r="H114" s="151" t="s">
        <v>2280</v>
      </c>
      <c r="I114" s="151" t="s">
        <v>101</v>
      </c>
      <c r="J114" s="151" t="s">
        <v>1256</v>
      </c>
      <c r="K114" s="162">
        <v>44389</v>
      </c>
      <c r="L114" s="152">
        <v>7200</v>
      </c>
      <c r="M114" s="152">
        <v>22788</v>
      </c>
      <c r="N114" s="152">
        <v>306</v>
      </c>
      <c r="O114" s="152">
        <v>968.49</v>
      </c>
      <c r="P114" s="167">
        <v>4.2500000000000003E-2</v>
      </c>
      <c r="Q114" s="171">
        <v>47543</v>
      </c>
      <c r="R114" s="174"/>
    </row>
    <row r="115" spans="1:18" ht="14.25" x14ac:dyDescent="0.2">
      <c r="A115" s="150" t="s">
        <v>1264</v>
      </c>
      <c r="B115" s="151" t="s">
        <v>1264</v>
      </c>
      <c r="C115" s="151" t="s">
        <v>244</v>
      </c>
      <c r="D115" s="151" t="s">
        <v>2272</v>
      </c>
      <c r="E115" s="151"/>
      <c r="F115" s="151"/>
      <c r="G115" s="151" t="s">
        <v>2273</v>
      </c>
      <c r="H115" s="151" t="s">
        <v>2274</v>
      </c>
      <c r="I115" s="151" t="s">
        <v>101</v>
      </c>
      <c r="J115" s="151" t="s">
        <v>1258</v>
      </c>
      <c r="K115" s="162">
        <v>44910</v>
      </c>
      <c r="L115" s="152">
        <v>13800</v>
      </c>
      <c r="M115" s="152">
        <v>50176.800000000003</v>
      </c>
      <c r="N115" s="152">
        <v>3546.404199999999</v>
      </c>
      <c r="O115" s="152">
        <v>12894.725671199998</v>
      </c>
      <c r="P115" s="167">
        <v>0.25698581159420286</v>
      </c>
      <c r="Q115" s="171">
        <v>47453</v>
      </c>
      <c r="R115" s="174"/>
    </row>
    <row r="116" spans="1:18" ht="14.25" x14ac:dyDescent="0.2">
      <c r="A116" s="150" t="s">
        <v>1264</v>
      </c>
      <c r="B116" s="151" t="s">
        <v>1264</v>
      </c>
      <c r="C116" s="151" t="s">
        <v>244</v>
      </c>
      <c r="D116" s="151" t="s">
        <v>2224</v>
      </c>
      <c r="E116" s="151"/>
      <c r="F116" s="151"/>
      <c r="G116" s="151" t="s">
        <v>2225</v>
      </c>
      <c r="H116" s="151" t="s">
        <v>2226</v>
      </c>
      <c r="I116" s="151" t="s">
        <v>101</v>
      </c>
      <c r="J116" s="151" t="s">
        <v>1255</v>
      </c>
      <c r="K116" s="162">
        <v>44608</v>
      </c>
      <c r="L116" s="152">
        <v>18400</v>
      </c>
      <c r="M116" s="152">
        <v>18400</v>
      </c>
      <c r="N116" s="152">
        <v>5269.4544000000005</v>
      </c>
      <c r="O116" s="152">
        <v>5269.4544000000005</v>
      </c>
      <c r="P116" s="167">
        <v>0.28638339130434787</v>
      </c>
      <c r="Q116" s="171">
        <v>47515</v>
      </c>
      <c r="R116" s="174"/>
    </row>
    <row r="117" spans="1:18" ht="14.25" x14ac:dyDescent="0.2">
      <c r="A117" s="150" t="s">
        <v>1264</v>
      </c>
      <c r="B117" s="151" t="s">
        <v>1264</v>
      </c>
      <c r="C117" s="151" t="s">
        <v>244</v>
      </c>
      <c r="D117" s="151" t="s">
        <v>2329</v>
      </c>
      <c r="E117" s="151"/>
      <c r="F117" s="151"/>
      <c r="G117" s="151" t="s">
        <v>2341</v>
      </c>
      <c r="H117" s="151" t="s">
        <v>2342</v>
      </c>
      <c r="I117" s="151" t="s">
        <v>101</v>
      </c>
      <c r="J117" s="151" t="s">
        <v>1256</v>
      </c>
      <c r="K117" s="162">
        <v>43937</v>
      </c>
      <c r="L117" s="152">
        <v>4140</v>
      </c>
      <c r="M117" s="152">
        <v>13103.1</v>
      </c>
      <c r="N117" s="152">
        <v>124.2</v>
      </c>
      <c r="O117" s="152">
        <v>393.09300000000002</v>
      </c>
      <c r="P117" s="167">
        <v>0.03</v>
      </c>
      <c r="Q117" s="171">
        <v>47574</v>
      </c>
      <c r="R117" s="174"/>
    </row>
    <row r="118" spans="1:18" ht="14.25" x14ac:dyDescent="0.2">
      <c r="A118" s="150" t="s">
        <v>1264</v>
      </c>
      <c r="B118" s="151" t="s">
        <v>1264</v>
      </c>
      <c r="C118" s="151" t="s">
        <v>244</v>
      </c>
      <c r="D118" s="151" t="s">
        <v>2309</v>
      </c>
      <c r="E118" s="151"/>
      <c r="F118" s="151"/>
      <c r="G118" s="151" t="s">
        <v>2355</v>
      </c>
      <c r="H118" s="151" t="s">
        <v>2356</v>
      </c>
      <c r="I118" s="151" t="s">
        <v>101</v>
      </c>
      <c r="J118" s="151" t="s">
        <v>1256</v>
      </c>
      <c r="K118" s="162">
        <v>44727</v>
      </c>
      <c r="L118" s="152">
        <v>9001.2643599999992</v>
      </c>
      <c r="M118" s="152">
        <v>28489.0016994</v>
      </c>
      <c r="N118" s="152">
        <v>1029.0681799999998</v>
      </c>
      <c r="O118" s="152">
        <v>3257.0007896999991</v>
      </c>
      <c r="P118" s="167">
        <v>0.11432484802612772</v>
      </c>
      <c r="Q118" s="171">
        <v>46539</v>
      </c>
      <c r="R118" s="174"/>
    </row>
    <row r="119" spans="1:18" ht="14.25" x14ac:dyDescent="0.2">
      <c r="A119" s="150" t="s">
        <v>1264</v>
      </c>
      <c r="B119" s="151" t="s">
        <v>1264</v>
      </c>
      <c r="C119" s="151" t="s">
        <v>244</v>
      </c>
      <c r="D119" s="151" t="s">
        <v>2227</v>
      </c>
      <c r="E119" s="151"/>
      <c r="F119" s="151"/>
      <c r="G119" s="151" t="s">
        <v>2228</v>
      </c>
      <c r="H119" s="151" t="s">
        <v>2229</v>
      </c>
      <c r="I119" s="151" t="s">
        <v>101</v>
      </c>
      <c r="J119" s="151" t="s">
        <v>1256</v>
      </c>
      <c r="K119" s="162">
        <v>43572</v>
      </c>
      <c r="L119" s="152">
        <v>2700</v>
      </c>
      <c r="M119" s="152">
        <v>8545.5</v>
      </c>
      <c r="N119" s="152">
        <v>751.33261000000016</v>
      </c>
      <c r="O119" s="152">
        <v>2377.9677106500003</v>
      </c>
      <c r="P119" s="167">
        <v>0.27827133703703705</v>
      </c>
      <c r="Q119" s="171">
        <v>47178</v>
      </c>
      <c r="R119" s="174"/>
    </row>
    <row r="120" spans="1:18" ht="14.25" x14ac:dyDescent="0.2">
      <c r="A120" s="150" t="s">
        <v>1264</v>
      </c>
      <c r="B120" s="151" t="s">
        <v>1264</v>
      </c>
      <c r="C120" s="151" t="s">
        <v>244</v>
      </c>
      <c r="D120" s="151" t="s">
        <v>2349</v>
      </c>
      <c r="E120" s="151"/>
      <c r="F120" s="151"/>
      <c r="G120" s="151" t="s">
        <v>2350</v>
      </c>
      <c r="H120" s="151" t="s">
        <v>2351</v>
      </c>
      <c r="I120" s="151" t="s">
        <v>101</v>
      </c>
      <c r="J120" s="151" t="s">
        <v>1256</v>
      </c>
      <c r="K120" s="162">
        <v>43999</v>
      </c>
      <c r="L120" s="152">
        <v>3991.4684999999999</v>
      </c>
      <c r="M120" s="152">
        <v>12632.9978025</v>
      </c>
      <c r="N120" s="152">
        <v>1815.4325200000001</v>
      </c>
      <c r="O120" s="152">
        <v>5745.8439258000008</v>
      </c>
      <c r="P120" s="167">
        <v>0.45482822174345106</v>
      </c>
      <c r="Q120" s="171">
        <v>47635</v>
      </c>
      <c r="R120" s="174"/>
    </row>
    <row r="121" spans="1:18" ht="14.25" x14ac:dyDescent="0.2">
      <c r="A121" s="150" t="s">
        <v>1264</v>
      </c>
      <c r="B121" s="151" t="s">
        <v>1264</v>
      </c>
      <c r="C121" s="151" t="s">
        <v>244</v>
      </c>
      <c r="D121" s="151" t="s">
        <v>2315</v>
      </c>
      <c r="E121" s="151"/>
      <c r="F121" s="151"/>
      <c r="G121" s="151" t="s">
        <v>2321</v>
      </c>
      <c r="H121" s="151" t="s">
        <v>2322</v>
      </c>
      <c r="I121" s="151" t="s">
        <v>101</v>
      </c>
      <c r="J121" s="151" t="s">
        <v>1256</v>
      </c>
      <c r="K121" s="162">
        <v>44453</v>
      </c>
      <c r="L121" s="152">
        <v>6300</v>
      </c>
      <c r="M121" s="152">
        <v>19939.5</v>
      </c>
      <c r="N121" s="152">
        <v>959.42790000000036</v>
      </c>
      <c r="O121" s="152">
        <v>3036.5893035000013</v>
      </c>
      <c r="P121" s="167">
        <v>0.15229014285714293</v>
      </c>
      <c r="Q121" s="171">
        <v>47757</v>
      </c>
      <c r="R121" s="174"/>
    </row>
    <row r="122" spans="1:18" ht="14.25" x14ac:dyDescent="0.2">
      <c r="A122" s="150" t="s">
        <v>1264</v>
      </c>
      <c r="B122" s="151" t="s">
        <v>1264</v>
      </c>
      <c r="C122" s="151" t="s">
        <v>244</v>
      </c>
      <c r="D122" s="151" t="s">
        <v>2275</v>
      </c>
      <c r="E122" s="151"/>
      <c r="F122" s="151"/>
      <c r="G122" s="151" t="s">
        <v>2276</v>
      </c>
      <c r="H122" s="151" t="s">
        <v>2277</v>
      </c>
      <c r="I122" s="151" t="s">
        <v>101</v>
      </c>
      <c r="J122" s="151" t="s">
        <v>1256</v>
      </c>
      <c r="K122" s="162">
        <v>43860</v>
      </c>
      <c r="L122" s="152">
        <v>7200</v>
      </c>
      <c r="M122" s="152">
        <v>22788</v>
      </c>
      <c r="N122" s="152">
        <v>1259.8090700000002</v>
      </c>
      <c r="O122" s="152">
        <v>3987.2957065500013</v>
      </c>
      <c r="P122" s="167">
        <v>0.17497348194444448</v>
      </c>
      <c r="Q122" s="171">
        <v>47392</v>
      </c>
      <c r="R122" s="174"/>
    </row>
    <row r="123" spans="1:18" ht="14.25" x14ac:dyDescent="0.2">
      <c r="A123" s="150" t="s">
        <v>1264</v>
      </c>
      <c r="B123" s="151" t="s">
        <v>1264</v>
      </c>
      <c r="C123" s="151" t="s">
        <v>244</v>
      </c>
      <c r="D123" s="151" t="s">
        <v>2352</v>
      </c>
      <c r="E123" s="151"/>
      <c r="F123" s="151"/>
      <c r="G123" s="151" t="s">
        <v>2353</v>
      </c>
      <c r="H123" s="151" t="s">
        <v>2354</v>
      </c>
      <c r="I123" s="151" t="s">
        <v>101</v>
      </c>
      <c r="J123" s="151" t="s">
        <v>1256</v>
      </c>
      <c r="K123" s="162">
        <v>44486</v>
      </c>
      <c r="L123" s="152">
        <v>5530.2</v>
      </c>
      <c r="M123" s="152">
        <v>17503.082999999999</v>
      </c>
      <c r="N123" s="152">
        <v>553.02</v>
      </c>
      <c r="O123" s="152">
        <v>1750.3083000000001</v>
      </c>
      <c r="P123" s="167">
        <v>0.1</v>
      </c>
      <c r="Q123" s="171">
        <v>47027</v>
      </c>
      <c r="R123" s="174"/>
    </row>
    <row r="124" spans="1:18" ht="14.25" x14ac:dyDescent="0.2">
      <c r="A124" s="150" t="s">
        <v>1264</v>
      </c>
      <c r="B124" s="151" t="s">
        <v>1264</v>
      </c>
      <c r="C124" s="151" t="s">
        <v>244</v>
      </c>
      <c r="D124" s="151" t="s">
        <v>2395</v>
      </c>
      <c r="E124" s="151"/>
      <c r="F124" s="151"/>
      <c r="G124" s="151" t="s">
        <v>2396</v>
      </c>
      <c r="H124" s="151" t="s">
        <v>2397</v>
      </c>
      <c r="I124" s="151" t="s">
        <v>101</v>
      </c>
      <c r="J124" s="151" t="s">
        <v>1256</v>
      </c>
      <c r="K124" s="162">
        <v>44216</v>
      </c>
      <c r="L124" s="152">
        <v>3150</v>
      </c>
      <c r="M124" s="152">
        <v>9969.75</v>
      </c>
      <c r="N124" s="152">
        <v>1296.0131399999998</v>
      </c>
      <c r="O124" s="152">
        <v>4101.8815881</v>
      </c>
      <c r="P124" s="167">
        <v>0.41143274285714282</v>
      </c>
      <c r="Q124" s="171">
        <v>47849</v>
      </c>
      <c r="R124" s="174"/>
    </row>
    <row r="125" spans="1:18" ht="14.25" x14ac:dyDescent="0.2">
      <c r="A125" s="150" t="s">
        <v>1264</v>
      </c>
      <c r="B125" s="151" t="s">
        <v>1264</v>
      </c>
      <c r="C125" s="151" t="s">
        <v>244</v>
      </c>
      <c r="D125" s="151" t="s">
        <v>2300</v>
      </c>
      <c r="E125" s="151"/>
      <c r="F125" s="151"/>
      <c r="G125" s="151" t="s">
        <v>2301</v>
      </c>
      <c r="H125" s="151" t="s">
        <v>2334</v>
      </c>
      <c r="I125" s="151" t="s">
        <v>101</v>
      </c>
      <c r="J125" s="151" t="s">
        <v>1258</v>
      </c>
      <c r="K125" s="162">
        <v>45309</v>
      </c>
      <c r="L125" s="152">
        <v>12864.36184</v>
      </c>
      <c r="M125" s="152">
        <v>46774.819650240002</v>
      </c>
      <c r="N125" s="152">
        <v>7133.0480299999999</v>
      </c>
      <c r="O125" s="152">
        <v>25935.762637080003</v>
      </c>
      <c r="P125" s="167">
        <v>0.55448129636875954</v>
      </c>
      <c r="Q125" s="171">
        <v>48962</v>
      </c>
      <c r="R125" s="174"/>
    </row>
    <row r="126" spans="1:18" ht="14.25" x14ac:dyDescent="0.2">
      <c r="A126" s="150" t="s">
        <v>1264</v>
      </c>
      <c r="B126" s="151" t="s">
        <v>1264</v>
      </c>
      <c r="C126" s="151" t="s">
        <v>244</v>
      </c>
      <c r="D126" s="151" t="s">
        <v>2419</v>
      </c>
      <c r="E126" s="151"/>
      <c r="F126" s="151"/>
      <c r="G126" s="151" t="s">
        <v>2419</v>
      </c>
      <c r="H126" s="151" t="s">
        <v>2420</v>
      </c>
      <c r="I126" s="151" t="s">
        <v>101</v>
      </c>
      <c r="J126" s="151" t="s">
        <v>1256</v>
      </c>
      <c r="K126" s="162">
        <v>45919</v>
      </c>
      <c r="L126" s="152">
        <v>16000.575000000001</v>
      </c>
      <c r="M126" s="152">
        <v>50641.819875000001</v>
      </c>
      <c r="N126" s="152">
        <v>13077.8791</v>
      </c>
      <c r="O126" s="152">
        <v>41391.4873515</v>
      </c>
      <c r="P126" s="167">
        <v>0.8173380706630855</v>
      </c>
      <c r="Q126" s="171">
        <v>49571</v>
      </c>
      <c r="R126" s="174"/>
    </row>
    <row r="127" spans="1:18" ht="14.25" x14ac:dyDescent="0.2">
      <c r="A127" s="150" t="s">
        <v>1264</v>
      </c>
      <c r="B127" s="151" t="s">
        <v>1264</v>
      </c>
      <c r="C127" s="151" t="s">
        <v>244</v>
      </c>
      <c r="D127" s="151" t="s">
        <v>2390</v>
      </c>
      <c r="E127" s="151"/>
      <c r="F127" s="151"/>
      <c r="G127" s="151" t="s">
        <v>2391</v>
      </c>
      <c r="H127" s="151" t="s">
        <v>2392</v>
      </c>
      <c r="I127" s="151" t="s">
        <v>101</v>
      </c>
      <c r="J127" s="151" t="s">
        <v>1258</v>
      </c>
      <c r="K127" s="162">
        <v>45462</v>
      </c>
      <c r="L127" s="152">
        <v>9200</v>
      </c>
      <c r="M127" s="152">
        <v>33451.199999999997</v>
      </c>
      <c r="N127" s="152">
        <v>6441.6662100000003</v>
      </c>
      <c r="O127" s="152">
        <v>23421.898339560001</v>
      </c>
      <c r="P127" s="167">
        <v>0.70018110978260872</v>
      </c>
      <c r="Q127" s="171">
        <v>49114</v>
      </c>
      <c r="R127" s="174"/>
    </row>
    <row r="128" spans="1:18" ht="14.25" x14ac:dyDescent="0.2">
      <c r="A128" s="150" t="s">
        <v>1264</v>
      </c>
      <c r="B128" s="151" t="s">
        <v>1264</v>
      </c>
      <c r="C128" s="151" t="s">
        <v>244</v>
      </c>
      <c r="D128" s="151" t="s">
        <v>2338</v>
      </c>
      <c r="E128" s="151"/>
      <c r="F128" s="151"/>
      <c r="G128" s="151" t="s">
        <v>2339</v>
      </c>
      <c r="H128" s="151" t="s">
        <v>2340</v>
      </c>
      <c r="I128" s="151" t="s">
        <v>101</v>
      </c>
      <c r="J128" s="151" t="s">
        <v>1256</v>
      </c>
      <c r="K128" s="162">
        <v>44853</v>
      </c>
      <c r="L128" s="152">
        <v>5520</v>
      </c>
      <c r="M128" s="152">
        <v>17470.8</v>
      </c>
      <c r="N128" s="152">
        <v>275.86291000000017</v>
      </c>
      <c r="O128" s="152">
        <v>873.1061101500004</v>
      </c>
      <c r="P128" s="167">
        <v>4.9975164855072488E-2</v>
      </c>
      <c r="Q128" s="171">
        <v>48092</v>
      </c>
      <c r="R128" s="174"/>
    </row>
    <row r="129" spans="1:18" ht="14.25" x14ac:dyDescent="0.2">
      <c r="A129" s="150" t="s">
        <v>1264</v>
      </c>
      <c r="B129" s="151" t="s">
        <v>1264</v>
      </c>
      <c r="C129" s="151" t="s">
        <v>638</v>
      </c>
      <c r="D129" s="151" t="s">
        <v>2309</v>
      </c>
      <c r="E129" s="151"/>
      <c r="F129" s="151"/>
      <c r="G129" s="151" t="s">
        <v>2453</v>
      </c>
      <c r="H129" s="151" t="s">
        <v>2454</v>
      </c>
      <c r="I129" s="151" t="s">
        <v>101</v>
      </c>
      <c r="J129" s="151" t="s">
        <v>1256</v>
      </c>
      <c r="K129" s="162">
        <v>42541</v>
      </c>
      <c r="L129" s="152">
        <v>1941.5421000000001</v>
      </c>
      <c r="M129" s="152">
        <v>6144.9807465000004</v>
      </c>
      <c r="N129" s="152">
        <v>490.5911000000001</v>
      </c>
      <c r="O129" s="152">
        <v>1552.7208315000003</v>
      </c>
      <c r="P129" s="167">
        <v>0.25268115484078357</v>
      </c>
      <c r="Q129" s="171">
        <v>46446</v>
      </c>
      <c r="R129" s="174"/>
    </row>
    <row r="130" spans="1:18" ht="14.25" x14ac:dyDescent="0.2">
      <c r="A130" s="150" t="s">
        <v>1264</v>
      </c>
      <c r="B130" s="151" t="s">
        <v>1264</v>
      </c>
      <c r="C130" s="151" t="s">
        <v>244</v>
      </c>
      <c r="D130" s="151" t="s">
        <v>2360</v>
      </c>
      <c r="E130" s="151"/>
      <c r="F130" s="151"/>
      <c r="G130" s="151" t="s">
        <v>2361</v>
      </c>
      <c r="H130" s="151" t="s">
        <v>2362</v>
      </c>
      <c r="I130" s="151" t="s">
        <v>101</v>
      </c>
      <c r="J130" s="151" t="s">
        <v>1256</v>
      </c>
      <c r="K130" s="162">
        <v>45463</v>
      </c>
      <c r="L130" s="152">
        <v>9200</v>
      </c>
      <c r="M130" s="152">
        <v>29118</v>
      </c>
      <c r="N130" s="152">
        <v>5876.7965199999999</v>
      </c>
      <c r="O130" s="152">
        <v>18600.060985799999</v>
      </c>
      <c r="P130" s="167">
        <v>0.63878223043478255</v>
      </c>
      <c r="Q130" s="171">
        <v>49115</v>
      </c>
      <c r="R130" s="174"/>
    </row>
    <row r="131" spans="1:18" ht="14.25" x14ac:dyDescent="0.2">
      <c r="A131" s="150" t="s">
        <v>1264</v>
      </c>
      <c r="B131" s="151" t="s">
        <v>1264</v>
      </c>
      <c r="C131" s="151" t="s">
        <v>244</v>
      </c>
      <c r="D131" s="151" t="s">
        <v>2424</v>
      </c>
      <c r="E131" s="151"/>
      <c r="F131" s="151"/>
      <c r="G131" s="151" t="s">
        <v>2425</v>
      </c>
      <c r="H131" s="151" t="s">
        <v>2426</v>
      </c>
      <c r="I131" s="151" t="s">
        <v>101</v>
      </c>
      <c r="J131" s="151" t="s">
        <v>1256</v>
      </c>
      <c r="K131" s="162">
        <v>45950</v>
      </c>
      <c r="L131" s="152">
        <v>16000.4</v>
      </c>
      <c r="M131" s="152">
        <v>50641.266000000003</v>
      </c>
      <c r="N131" s="152">
        <v>13795.3284</v>
      </c>
      <c r="O131" s="152">
        <v>43662.214386</v>
      </c>
      <c r="P131" s="167">
        <v>0.86218647033824158</v>
      </c>
      <c r="Q131" s="171">
        <v>48873</v>
      </c>
      <c r="R131" s="174"/>
    </row>
    <row r="132" spans="1:18" ht="14.25" x14ac:dyDescent="0.2">
      <c r="A132" s="150" t="s">
        <v>1264</v>
      </c>
      <c r="B132" s="151" t="s">
        <v>1264</v>
      </c>
      <c r="C132" s="151" t="s">
        <v>244</v>
      </c>
      <c r="D132" s="151" t="s">
        <v>2238</v>
      </c>
      <c r="E132" s="151"/>
      <c r="F132" s="151"/>
      <c r="G132" s="151" t="s">
        <v>2239</v>
      </c>
      <c r="H132" s="151" t="s">
        <v>2240</v>
      </c>
      <c r="I132" s="151" t="s">
        <v>101</v>
      </c>
      <c r="J132" s="151" t="s">
        <v>1256</v>
      </c>
      <c r="K132" s="162">
        <v>42352</v>
      </c>
      <c r="L132" s="152">
        <v>3685.218273</v>
      </c>
      <c r="M132" s="152">
        <v>11663.715834045001</v>
      </c>
      <c r="N132" s="152">
        <v>803.05537300000015</v>
      </c>
      <c r="O132" s="152">
        <v>2541.6702555450006</v>
      </c>
      <c r="P132" s="167">
        <v>0.21791256677620413</v>
      </c>
      <c r="Q132" s="171">
        <v>46351</v>
      </c>
      <c r="R132" s="174"/>
    </row>
    <row r="133" spans="1:18" ht="14.25" x14ac:dyDescent="0.2">
      <c r="A133" s="150" t="s">
        <v>1264</v>
      </c>
      <c r="B133" s="151" t="s">
        <v>1264</v>
      </c>
      <c r="C133" s="151" t="s">
        <v>244</v>
      </c>
      <c r="D133" s="151" t="s">
        <v>2303</v>
      </c>
      <c r="E133" s="151"/>
      <c r="F133" s="151"/>
      <c r="G133" s="151" t="s">
        <v>2383</v>
      </c>
      <c r="H133" s="151" t="s">
        <v>2384</v>
      </c>
      <c r="I133" s="151" t="s">
        <v>101</v>
      </c>
      <c r="J133" s="151" t="s">
        <v>1256</v>
      </c>
      <c r="K133" s="162">
        <v>45525</v>
      </c>
      <c r="L133" s="152">
        <v>10230</v>
      </c>
      <c r="M133" s="152">
        <v>32377.95</v>
      </c>
      <c r="N133" s="152">
        <v>6605.6132999999991</v>
      </c>
      <c r="O133" s="152">
        <v>20906.766094499999</v>
      </c>
      <c r="P133" s="167">
        <v>0.6457099999999999</v>
      </c>
      <c r="Q133" s="171">
        <v>49177</v>
      </c>
      <c r="R133" s="174"/>
    </row>
    <row r="134" spans="1:18" ht="14.25" x14ac:dyDescent="0.2">
      <c r="A134" s="150" t="s">
        <v>1264</v>
      </c>
      <c r="B134" s="151" t="s">
        <v>1264</v>
      </c>
      <c r="C134" s="151" t="s">
        <v>244</v>
      </c>
      <c r="D134" s="151" t="s">
        <v>2374</v>
      </c>
      <c r="E134" s="151"/>
      <c r="F134" s="151"/>
      <c r="G134" s="151" t="s">
        <v>2375</v>
      </c>
      <c r="H134" s="151" t="s">
        <v>2376</v>
      </c>
      <c r="I134" s="151" t="s">
        <v>101</v>
      </c>
      <c r="J134" s="151" t="s">
        <v>1256</v>
      </c>
      <c r="K134" s="162">
        <v>44249</v>
      </c>
      <c r="L134" s="152">
        <v>2700</v>
      </c>
      <c r="M134" s="152">
        <v>8545.5</v>
      </c>
      <c r="N134" s="152">
        <v>162</v>
      </c>
      <c r="O134" s="152">
        <v>512.73</v>
      </c>
      <c r="P134" s="167">
        <v>0.06</v>
      </c>
      <c r="Q134" s="171">
        <v>48976</v>
      </c>
      <c r="R134" s="174"/>
    </row>
    <row r="135" spans="1:18" ht="14.25" x14ac:dyDescent="0.2">
      <c r="A135" s="150" t="s">
        <v>1264</v>
      </c>
      <c r="B135" s="151" t="s">
        <v>1264</v>
      </c>
      <c r="C135" s="151" t="s">
        <v>244</v>
      </c>
      <c r="D135" s="151" t="s">
        <v>2309</v>
      </c>
      <c r="E135" s="151"/>
      <c r="F135" s="151"/>
      <c r="G135" s="151" t="s">
        <v>2385</v>
      </c>
      <c r="H135" s="151" t="s">
        <v>2386</v>
      </c>
      <c r="I135" s="151" t="s">
        <v>101</v>
      </c>
      <c r="J135" s="151" t="s">
        <v>1256</v>
      </c>
      <c r="K135" s="162">
        <v>44277</v>
      </c>
      <c r="L135" s="152">
        <v>6438.7322999999997</v>
      </c>
      <c r="M135" s="152">
        <v>20378.587729499999</v>
      </c>
      <c r="N135" s="152">
        <v>488.92349999999999</v>
      </c>
      <c r="O135" s="152">
        <v>1547.4428774999999</v>
      </c>
      <c r="P135" s="167">
        <v>7.5934745726266642E-2</v>
      </c>
      <c r="Q135" s="171">
        <v>46446</v>
      </c>
      <c r="R135" s="174"/>
    </row>
    <row r="136" spans="1:18" ht="14.25" x14ac:dyDescent="0.2">
      <c r="A136" s="150" t="s">
        <v>1264</v>
      </c>
      <c r="B136" s="151" t="s">
        <v>1264</v>
      </c>
      <c r="C136" s="151" t="s">
        <v>244</v>
      </c>
      <c r="D136" s="151" t="s">
        <v>2278</v>
      </c>
      <c r="E136" s="151"/>
      <c r="F136" s="151"/>
      <c r="G136" s="151" t="s">
        <v>2347</v>
      </c>
      <c r="H136" s="151" t="s">
        <v>2348</v>
      </c>
      <c r="I136" s="151" t="s">
        <v>101</v>
      </c>
      <c r="J136" s="151" t="s">
        <v>1256</v>
      </c>
      <c r="K136" s="162">
        <v>43913</v>
      </c>
      <c r="L136" s="152">
        <v>2602.980513</v>
      </c>
      <c r="M136" s="152">
        <v>8238.4333236450002</v>
      </c>
      <c r="N136" s="152">
        <v>92.921812999999617</v>
      </c>
      <c r="O136" s="152">
        <v>294.09753814499879</v>
      </c>
      <c r="P136" s="167">
        <v>3.5698236131973538E-2</v>
      </c>
      <c r="Q136" s="171">
        <v>47543</v>
      </c>
      <c r="R136" s="174"/>
    </row>
    <row r="137" spans="1:18" ht="14.25" x14ac:dyDescent="0.2">
      <c r="A137" s="150" t="s">
        <v>1264</v>
      </c>
      <c r="B137" s="151" t="s">
        <v>1264</v>
      </c>
      <c r="C137" s="151" t="s">
        <v>638</v>
      </c>
      <c r="D137" s="151" t="s">
        <v>2309</v>
      </c>
      <c r="E137" s="151"/>
      <c r="F137" s="151"/>
      <c r="G137" s="151" t="s">
        <v>2442</v>
      </c>
      <c r="H137" s="151" t="s">
        <v>2443</v>
      </c>
      <c r="I137" s="151" t="s">
        <v>101</v>
      </c>
      <c r="J137" s="151" t="s">
        <v>1256</v>
      </c>
      <c r="K137" s="162">
        <v>42845</v>
      </c>
      <c r="L137" s="152">
        <v>1710.396</v>
      </c>
      <c r="M137" s="152">
        <v>5413.4033399999998</v>
      </c>
      <c r="N137" s="152">
        <v>273.57710000000009</v>
      </c>
      <c r="O137" s="152">
        <v>865.87152150000031</v>
      </c>
      <c r="P137" s="167">
        <v>0.15994956723472231</v>
      </c>
      <c r="Q137" s="171">
        <v>46446</v>
      </c>
      <c r="R137" s="174"/>
    </row>
    <row r="138" spans="1:18" ht="14.25" x14ac:dyDescent="0.2">
      <c r="A138" s="150" t="s">
        <v>1264</v>
      </c>
      <c r="B138" s="151" t="s">
        <v>1264</v>
      </c>
      <c r="C138" s="151" t="s">
        <v>244</v>
      </c>
      <c r="D138" s="151" t="s">
        <v>2326</v>
      </c>
      <c r="E138" s="151"/>
      <c r="F138" s="151"/>
      <c r="G138" s="151" t="s">
        <v>2327</v>
      </c>
      <c r="H138" s="151" t="s">
        <v>2328</v>
      </c>
      <c r="I138" s="151" t="s">
        <v>101</v>
      </c>
      <c r="J138" s="151" t="s">
        <v>1258</v>
      </c>
      <c r="K138" s="162">
        <v>44431</v>
      </c>
      <c r="L138" s="152">
        <v>9220</v>
      </c>
      <c r="M138" s="152">
        <v>33523.919999999998</v>
      </c>
      <c r="N138" s="152">
        <v>4180.1839099999997</v>
      </c>
      <c r="O138" s="152">
        <v>15199.148696760001</v>
      </c>
      <c r="P138" s="167">
        <v>0.45338220281995661</v>
      </c>
      <c r="Q138" s="171">
        <v>46966</v>
      </c>
      <c r="R138" s="174"/>
    </row>
    <row r="139" spans="1:18" ht="14.25" x14ac:dyDescent="0.2">
      <c r="A139" s="150" t="s">
        <v>1264</v>
      </c>
      <c r="B139" s="151" t="s">
        <v>1264</v>
      </c>
      <c r="C139" s="151" t="s">
        <v>244</v>
      </c>
      <c r="D139" s="151" t="s">
        <v>2329</v>
      </c>
      <c r="E139" s="151"/>
      <c r="F139" s="151"/>
      <c r="G139" s="151" t="s">
        <v>2330</v>
      </c>
      <c r="H139" s="151" t="s">
        <v>2331</v>
      </c>
      <c r="I139" s="151" t="s">
        <v>101</v>
      </c>
      <c r="J139" s="151" t="s">
        <v>1256</v>
      </c>
      <c r="K139" s="162">
        <v>45222</v>
      </c>
      <c r="L139" s="152">
        <v>11040</v>
      </c>
      <c r="M139" s="152">
        <v>34941.599999999999</v>
      </c>
      <c r="N139" s="152">
        <v>6016.8</v>
      </c>
      <c r="O139" s="152">
        <v>19043.171999999999</v>
      </c>
      <c r="P139" s="167">
        <v>0.54500000000000004</v>
      </c>
      <c r="Q139" s="171">
        <v>47574</v>
      </c>
      <c r="R139" s="174"/>
    </row>
    <row r="140" spans="1:18" ht="14.25" x14ac:dyDescent="0.2">
      <c r="A140" s="150" t="s">
        <v>1264</v>
      </c>
      <c r="B140" s="151" t="s">
        <v>1264</v>
      </c>
      <c r="C140" s="151" t="s">
        <v>244</v>
      </c>
      <c r="D140" s="151" t="s">
        <v>2297</v>
      </c>
      <c r="E140" s="151"/>
      <c r="F140" s="151"/>
      <c r="G140" s="151" t="s">
        <v>2343</v>
      </c>
      <c r="H140" s="151" t="s">
        <v>2344</v>
      </c>
      <c r="I140" s="151" t="s">
        <v>101</v>
      </c>
      <c r="J140" s="151" t="s">
        <v>1258</v>
      </c>
      <c r="K140" s="162">
        <v>45069</v>
      </c>
      <c r="L140" s="152">
        <v>9200</v>
      </c>
      <c r="M140" s="152">
        <v>33451.199999999997</v>
      </c>
      <c r="N140" s="152">
        <v>4690.0465800000002</v>
      </c>
      <c r="O140" s="152">
        <v>17053.009364879999</v>
      </c>
      <c r="P140" s="167">
        <v>0.50978767173913042</v>
      </c>
      <c r="Q140" s="171">
        <v>47880</v>
      </c>
      <c r="R140" s="174"/>
    </row>
    <row r="141" spans="1:18" ht="14.25" x14ac:dyDescent="0.2">
      <c r="A141" s="150" t="s">
        <v>1264</v>
      </c>
      <c r="B141" s="151" t="s">
        <v>1264</v>
      </c>
      <c r="C141" s="151" t="s">
        <v>244</v>
      </c>
      <c r="D141" s="151" t="s">
        <v>2309</v>
      </c>
      <c r="E141" s="151"/>
      <c r="F141" s="151"/>
      <c r="G141" s="151" t="s">
        <v>2440</v>
      </c>
      <c r="H141" s="151" t="s">
        <v>2441</v>
      </c>
      <c r="I141" s="151" t="s">
        <v>101</v>
      </c>
      <c r="J141" s="151" t="s">
        <v>1256</v>
      </c>
      <c r="K141" s="162">
        <v>42026</v>
      </c>
      <c r="L141" s="152">
        <v>3229.7742000000003</v>
      </c>
      <c r="M141" s="152">
        <v>10222.235343</v>
      </c>
      <c r="N141" s="152">
        <v>532.85620000000017</v>
      </c>
      <c r="O141" s="152">
        <v>1686.4898730000007</v>
      </c>
      <c r="P141" s="167">
        <v>0.16498249320339489</v>
      </c>
      <c r="Q141" s="171">
        <v>46594</v>
      </c>
      <c r="R141" s="174"/>
    </row>
    <row r="142" spans="1:18" ht="14.25" x14ac:dyDescent="0.2">
      <c r="A142" s="150" t="s">
        <v>1264</v>
      </c>
      <c r="B142" s="151" t="s">
        <v>1264</v>
      </c>
      <c r="C142" s="151" t="s">
        <v>244</v>
      </c>
      <c r="D142" s="151" t="s">
        <v>2387</v>
      </c>
      <c r="E142" s="151"/>
      <c r="F142" s="151"/>
      <c r="G142" s="151" t="s">
        <v>2388</v>
      </c>
      <c r="H142" s="151" t="s">
        <v>2389</v>
      </c>
      <c r="I142" s="151" t="s">
        <v>101</v>
      </c>
      <c r="J142" s="151" t="s">
        <v>1256</v>
      </c>
      <c r="K142" s="162">
        <v>43277</v>
      </c>
      <c r="L142" s="152">
        <v>3527.1240839999996</v>
      </c>
      <c r="M142" s="152">
        <v>11163.34772586</v>
      </c>
      <c r="N142" s="152">
        <v>188.31983399999979</v>
      </c>
      <c r="O142" s="152">
        <v>596.03227460999938</v>
      </c>
      <c r="P142" s="167">
        <v>5.3391893654739876E-2</v>
      </c>
      <c r="Q142" s="171">
        <v>46174</v>
      </c>
      <c r="R142" s="174"/>
    </row>
    <row r="143" spans="1:18" ht="14.25" x14ac:dyDescent="0.2">
      <c r="A143" s="150" t="s">
        <v>1264</v>
      </c>
      <c r="B143" s="151" t="s">
        <v>1264</v>
      </c>
      <c r="C143" s="151" t="s">
        <v>244</v>
      </c>
      <c r="D143" s="151" t="s">
        <v>2421</v>
      </c>
      <c r="E143" s="151"/>
      <c r="F143" s="151"/>
      <c r="G143" s="151" t="s">
        <v>2422</v>
      </c>
      <c r="H143" s="151" t="s">
        <v>2423</v>
      </c>
      <c r="I143" s="151" t="s">
        <v>101</v>
      </c>
      <c r="J143" s="151" t="s">
        <v>1258</v>
      </c>
      <c r="K143" s="162">
        <v>44222</v>
      </c>
      <c r="L143" s="152">
        <v>5130</v>
      </c>
      <c r="M143" s="152">
        <v>18652.68</v>
      </c>
      <c r="N143" s="152">
        <v>456.00030999999962</v>
      </c>
      <c r="O143" s="152">
        <v>1658.0171271599986</v>
      </c>
      <c r="P143" s="167">
        <v>8.8888949317738705E-2</v>
      </c>
      <c r="Q143" s="171">
        <v>46753</v>
      </c>
      <c r="R143" s="174"/>
    </row>
    <row r="144" spans="1:18" ht="14.25" x14ac:dyDescent="0.2">
      <c r="A144" s="150" t="s">
        <v>1264</v>
      </c>
      <c r="B144" s="151" t="s">
        <v>1264</v>
      </c>
      <c r="C144" s="151" t="s">
        <v>244</v>
      </c>
      <c r="D144" s="151" t="s">
        <v>2447</v>
      </c>
      <c r="E144" s="151"/>
      <c r="F144" s="151"/>
      <c r="G144" s="151" t="s">
        <v>2448</v>
      </c>
      <c r="H144" s="151" t="s">
        <v>2449</v>
      </c>
      <c r="I144" s="151" t="s">
        <v>101</v>
      </c>
      <c r="J144" s="151" t="s">
        <v>1258</v>
      </c>
      <c r="K144" s="162">
        <v>46112</v>
      </c>
      <c r="L144" s="152">
        <v>14550</v>
      </c>
      <c r="M144" s="152">
        <v>52903.8</v>
      </c>
      <c r="N144" s="152">
        <v>14434.398220000001</v>
      </c>
      <c r="O144" s="152">
        <v>52483.471927920007</v>
      </c>
      <c r="P144" s="167">
        <v>0.9920548604810997</v>
      </c>
      <c r="Q144" s="171">
        <v>49765</v>
      </c>
      <c r="R144" s="174"/>
    </row>
    <row r="145" spans="1:18" ht="14.25" x14ac:dyDescent="0.2">
      <c r="A145" s="150" t="s">
        <v>1264</v>
      </c>
      <c r="B145" s="151" t="s">
        <v>1264</v>
      </c>
      <c r="C145" s="151" t="s">
        <v>244</v>
      </c>
      <c r="D145" s="151" t="s">
        <v>2215</v>
      </c>
      <c r="E145" s="151"/>
      <c r="F145" s="151"/>
      <c r="G145" s="151" t="s">
        <v>2216</v>
      </c>
      <c r="H145" s="151" t="s">
        <v>2217</v>
      </c>
      <c r="I145" s="151" t="s">
        <v>101</v>
      </c>
      <c r="J145" s="151" t="s">
        <v>1255</v>
      </c>
      <c r="K145" s="162">
        <v>45046</v>
      </c>
      <c r="L145" s="152">
        <v>47840</v>
      </c>
      <c r="M145" s="152">
        <v>47840</v>
      </c>
      <c r="N145" s="152">
        <v>23550.834360000001</v>
      </c>
      <c r="O145" s="152">
        <v>23550.834360000001</v>
      </c>
      <c r="P145" s="167">
        <v>0.49228332692307691</v>
      </c>
      <c r="Q145" s="171">
        <v>47574</v>
      </c>
      <c r="R145" s="174"/>
    </row>
    <row r="146" spans="1:18" ht="14.25" x14ac:dyDescent="0.2">
      <c r="A146" s="150" t="s">
        <v>1264</v>
      </c>
      <c r="B146" s="151" t="s">
        <v>1264</v>
      </c>
      <c r="C146" s="151" t="s">
        <v>244</v>
      </c>
      <c r="D146" s="151" t="s">
        <v>2275</v>
      </c>
      <c r="E146" s="151"/>
      <c r="F146" s="151"/>
      <c r="G146" s="151" t="s">
        <v>2393</v>
      </c>
      <c r="H146" s="151" t="s">
        <v>2394</v>
      </c>
      <c r="I146" s="151" t="s">
        <v>101</v>
      </c>
      <c r="J146" s="151" t="s">
        <v>1256</v>
      </c>
      <c r="K146" s="162">
        <v>45196</v>
      </c>
      <c r="L146" s="152">
        <v>11040</v>
      </c>
      <c r="M146" s="152">
        <v>34941.599999999999</v>
      </c>
      <c r="N146" s="152">
        <v>8554.1216800000002</v>
      </c>
      <c r="O146" s="152">
        <v>27073.795117199999</v>
      </c>
      <c r="P146" s="167">
        <v>0.77482986231884055</v>
      </c>
      <c r="Q146" s="171">
        <v>47392</v>
      </c>
      <c r="R146" s="174"/>
    </row>
    <row r="147" spans="1:18" ht="14.25" x14ac:dyDescent="0.2">
      <c r="A147" s="150" t="s">
        <v>1264</v>
      </c>
      <c r="B147" s="151" t="s">
        <v>1264</v>
      </c>
      <c r="C147" s="151" t="s">
        <v>244</v>
      </c>
      <c r="D147" s="151" t="s">
        <v>2371</v>
      </c>
      <c r="E147" s="151"/>
      <c r="F147" s="151"/>
      <c r="G147" s="151" t="s">
        <v>2372</v>
      </c>
      <c r="H147" s="151" t="s">
        <v>2373</v>
      </c>
      <c r="I147" s="151" t="s">
        <v>101</v>
      </c>
      <c r="J147" s="151" t="s">
        <v>1258</v>
      </c>
      <c r="K147" s="162">
        <v>44558</v>
      </c>
      <c r="L147" s="152">
        <v>4600</v>
      </c>
      <c r="M147" s="152">
        <v>16725.599999999999</v>
      </c>
      <c r="N147" s="152">
        <v>395.67636000000033</v>
      </c>
      <c r="O147" s="152">
        <v>1438.6792449600011</v>
      </c>
      <c r="P147" s="167">
        <v>8.6016600000000068E-2</v>
      </c>
      <c r="Q147" s="171">
        <v>47333</v>
      </c>
      <c r="R147" s="174"/>
    </row>
    <row r="148" spans="1:18" ht="14.25" x14ac:dyDescent="0.2">
      <c r="A148" s="150" t="s">
        <v>1264</v>
      </c>
      <c r="B148" s="151" t="s">
        <v>1264</v>
      </c>
      <c r="C148" s="151" t="s">
        <v>244</v>
      </c>
      <c r="D148" s="151" t="s">
        <v>2357</v>
      </c>
      <c r="E148" s="151"/>
      <c r="F148" s="151"/>
      <c r="G148" s="151" t="s">
        <v>2358</v>
      </c>
      <c r="H148" s="151" t="s">
        <v>2359</v>
      </c>
      <c r="I148" s="151" t="s">
        <v>101</v>
      </c>
      <c r="J148" s="151" t="s">
        <v>1258</v>
      </c>
      <c r="K148" s="162">
        <v>46050</v>
      </c>
      <c r="L148" s="152">
        <v>11160</v>
      </c>
      <c r="M148" s="152">
        <v>40577.760000000002</v>
      </c>
      <c r="N148" s="152">
        <v>6807.6</v>
      </c>
      <c r="O148" s="152">
        <v>24752.4336</v>
      </c>
      <c r="P148" s="167">
        <v>0.61</v>
      </c>
      <c r="Q148" s="171">
        <v>49702</v>
      </c>
      <c r="R148" s="174"/>
    </row>
    <row r="149" spans="1:18" ht="14.25" x14ac:dyDescent="0.2">
      <c r="A149" s="150" t="s">
        <v>1264</v>
      </c>
      <c r="B149" s="151" t="s">
        <v>1264</v>
      </c>
      <c r="C149" s="151" t="s">
        <v>244</v>
      </c>
      <c r="D149" s="151" t="s">
        <v>2263</v>
      </c>
      <c r="E149" s="151"/>
      <c r="F149" s="151"/>
      <c r="G149" s="151" t="s">
        <v>2264</v>
      </c>
      <c r="H149" s="151" t="s">
        <v>2265</v>
      </c>
      <c r="I149" s="151" t="s">
        <v>101</v>
      </c>
      <c r="J149" s="151" t="s">
        <v>1256</v>
      </c>
      <c r="K149" s="162">
        <v>44255</v>
      </c>
      <c r="L149" s="152">
        <v>81900</v>
      </c>
      <c r="M149" s="152">
        <v>259213.5</v>
      </c>
      <c r="N149" s="152">
        <v>37076.400000000001</v>
      </c>
      <c r="O149" s="152">
        <v>117346.806</v>
      </c>
      <c r="P149" s="167">
        <v>0.45270329670329668</v>
      </c>
      <c r="Q149" s="171">
        <v>47880</v>
      </c>
      <c r="R149" s="174"/>
    </row>
    <row r="150" spans="1:18" ht="14.25" x14ac:dyDescent="0.2">
      <c r="A150" s="150" t="s">
        <v>1264</v>
      </c>
      <c r="B150" s="151" t="s">
        <v>1264</v>
      </c>
      <c r="C150" s="151" t="s">
        <v>244</v>
      </c>
      <c r="D150" s="151" t="s">
        <v>2323</v>
      </c>
      <c r="E150" s="151"/>
      <c r="F150" s="151"/>
      <c r="G150" s="151" t="s">
        <v>2324</v>
      </c>
      <c r="H150" s="151" t="s">
        <v>2325</v>
      </c>
      <c r="I150" s="151" t="s">
        <v>101</v>
      </c>
      <c r="J150" s="151" t="s">
        <v>1256</v>
      </c>
      <c r="K150" s="162">
        <v>43860</v>
      </c>
      <c r="L150" s="152">
        <v>6300</v>
      </c>
      <c r="M150" s="152">
        <v>19939.5</v>
      </c>
      <c r="N150" s="152">
        <v>1134</v>
      </c>
      <c r="O150" s="152">
        <v>3589.11</v>
      </c>
      <c r="P150" s="167">
        <v>0.18</v>
      </c>
      <c r="Q150" s="171">
        <v>47484</v>
      </c>
      <c r="R150" s="174"/>
    </row>
    <row r="151" spans="1:18" ht="14.25" x14ac:dyDescent="0.2">
      <c r="A151" s="150" t="s">
        <v>1264</v>
      </c>
      <c r="B151" s="151" t="s">
        <v>1264</v>
      </c>
      <c r="C151" s="151" t="s">
        <v>244</v>
      </c>
      <c r="D151" s="151" t="s">
        <v>2227</v>
      </c>
      <c r="E151" s="151"/>
      <c r="F151" s="151"/>
      <c r="G151" s="151" t="s">
        <v>2250</v>
      </c>
      <c r="H151" s="151" t="s">
        <v>2251</v>
      </c>
      <c r="I151" s="151" t="s">
        <v>101</v>
      </c>
      <c r="J151" s="151" t="s">
        <v>1256</v>
      </c>
      <c r="K151" s="162">
        <v>45595</v>
      </c>
      <c r="L151" s="152">
        <v>5580</v>
      </c>
      <c r="M151" s="152">
        <v>17660.7</v>
      </c>
      <c r="N151" s="152">
        <v>3885.5269800000001</v>
      </c>
      <c r="O151" s="152">
        <v>12297.6928917</v>
      </c>
      <c r="P151" s="167">
        <v>0.69633100000000003</v>
      </c>
      <c r="Q151" s="171">
        <v>47178</v>
      </c>
      <c r="R151" s="174"/>
    </row>
    <row r="152" spans="1:18" ht="14.25" x14ac:dyDescent="0.2">
      <c r="A152" s="150" t="s">
        <v>1264</v>
      </c>
      <c r="B152" s="151" t="s">
        <v>1264</v>
      </c>
      <c r="C152" s="151" t="s">
        <v>637</v>
      </c>
      <c r="D152" s="151" t="s">
        <v>2260</v>
      </c>
      <c r="E152" s="151"/>
      <c r="F152" s="151"/>
      <c r="G152" s="151" t="s">
        <v>2261</v>
      </c>
      <c r="H152" s="151" t="s">
        <v>2262</v>
      </c>
      <c r="I152" s="151" t="s">
        <v>101</v>
      </c>
      <c r="J152" s="151" t="s">
        <v>1256</v>
      </c>
      <c r="K152" s="162">
        <v>42521</v>
      </c>
      <c r="L152" s="152">
        <v>1350</v>
      </c>
      <c r="M152" s="152">
        <v>4272.75</v>
      </c>
      <c r="N152" s="152">
        <v>10.125</v>
      </c>
      <c r="O152" s="152">
        <v>32.045625000000001</v>
      </c>
      <c r="P152" s="167">
        <v>7.4999999999999997E-3</v>
      </c>
      <c r="Q152" s="171">
        <v>45930</v>
      </c>
      <c r="R152" s="174"/>
    </row>
    <row r="153" spans="1:18" ht="14.25" x14ac:dyDescent="0.2">
      <c r="A153" s="150" t="s">
        <v>1264</v>
      </c>
      <c r="B153" s="151" t="s">
        <v>1264</v>
      </c>
      <c r="C153" s="151" t="s">
        <v>244</v>
      </c>
      <c r="D153" s="151" t="s">
        <v>2281</v>
      </c>
      <c r="E153" s="151"/>
      <c r="F153" s="151"/>
      <c r="G153" s="151" t="s">
        <v>2403</v>
      </c>
      <c r="H153" s="151" t="s">
        <v>2404</v>
      </c>
      <c r="I153" s="151" t="s">
        <v>101</v>
      </c>
      <c r="J153" s="151" t="s">
        <v>1256</v>
      </c>
      <c r="K153" s="162">
        <v>45596</v>
      </c>
      <c r="L153" s="152">
        <v>10230</v>
      </c>
      <c r="M153" s="152">
        <v>32377.95</v>
      </c>
      <c r="N153" s="152">
        <v>8306.8268900000003</v>
      </c>
      <c r="O153" s="152">
        <v>26291.107106849999</v>
      </c>
      <c r="P153" s="167">
        <v>0.81200653861192562</v>
      </c>
      <c r="Q153" s="171">
        <v>46997</v>
      </c>
      <c r="R153" s="174"/>
    </row>
    <row r="154" spans="1:18" ht="14.25" x14ac:dyDescent="0.2">
      <c r="A154" s="150" t="s">
        <v>1264</v>
      </c>
      <c r="B154" s="151" t="s">
        <v>1264</v>
      </c>
      <c r="C154" s="151" t="s">
        <v>244</v>
      </c>
      <c r="D154" s="151" t="s">
        <v>2400</v>
      </c>
      <c r="E154" s="151"/>
      <c r="F154" s="151"/>
      <c r="G154" s="151" t="s">
        <v>2401</v>
      </c>
      <c r="H154" s="151" t="s">
        <v>2402</v>
      </c>
      <c r="I154" s="151" t="s">
        <v>101</v>
      </c>
      <c r="J154" s="151" t="s">
        <v>1256</v>
      </c>
      <c r="K154" s="162">
        <v>42744</v>
      </c>
      <c r="L154" s="152">
        <v>2700</v>
      </c>
      <c r="M154" s="152">
        <v>8545.5</v>
      </c>
      <c r="N154" s="152">
        <v>4.5000000018626446E-4</v>
      </c>
      <c r="O154" s="152">
        <v>1.4242500005895271E-3</v>
      </c>
      <c r="P154" s="167">
        <v>1.6666666673565351E-7</v>
      </c>
      <c r="Q154" s="171">
        <v>46418</v>
      </c>
      <c r="R154" s="174"/>
    </row>
    <row r="155" spans="1:18" ht="14.25" x14ac:dyDescent="0.2">
      <c r="A155" s="150" t="s">
        <v>1264</v>
      </c>
      <c r="B155" s="151" t="s">
        <v>1264</v>
      </c>
      <c r="C155" s="151" t="s">
        <v>244</v>
      </c>
      <c r="D155" s="151" t="s">
        <v>2413</v>
      </c>
      <c r="E155" s="151"/>
      <c r="F155" s="151"/>
      <c r="G155" s="151" t="s">
        <v>2414</v>
      </c>
      <c r="H155" s="151" t="s">
        <v>2415</v>
      </c>
      <c r="I155" s="151" t="s">
        <v>101</v>
      </c>
      <c r="J155" s="151" t="s">
        <v>1256</v>
      </c>
      <c r="K155" s="162">
        <v>42794</v>
      </c>
      <c r="L155" s="152">
        <v>2250</v>
      </c>
      <c r="M155" s="152">
        <v>7121.25</v>
      </c>
      <c r="N155" s="152">
        <v>547.85744</v>
      </c>
      <c r="O155" s="152">
        <v>1733.9687976</v>
      </c>
      <c r="P155" s="167">
        <v>0.24349219555555554</v>
      </c>
      <c r="Q155" s="171">
        <v>46424</v>
      </c>
      <c r="R155" s="174"/>
    </row>
    <row r="156" spans="1:18" ht="14.25" x14ac:dyDescent="0.2">
      <c r="A156" s="150" t="s">
        <v>1264</v>
      </c>
      <c r="B156" s="151" t="s">
        <v>1264</v>
      </c>
      <c r="C156" s="151" t="s">
        <v>244</v>
      </c>
      <c r="D156" s="151" t="s">
        <v>2294</v>
      </c>
      <c r="E156" s="151"/>
      <c r="F156" s="151"/>
      <c r="G156" s="151" t="s">
        <v>2295</v>
      </c>
      <c r="H156" s="151" t="s">
        <v>2296</v>
      </c>
      <c r="I156" s="151" t="s">
        <v>101</v>
      </c>
      <c r="J156" s="151" t="s">
        <v>1256</v>
      </c>
      <c r="K156" s="162">
        <v>43829</v>
      </c>
      <c r="L156" s="152">
        <v>7971.8697000000002</v>
      </c>
      <c r="M156" s="152">
        <v>25230.967600500004</v>
      </c>
      <c r="N156" s="152">
        <v>1506.6792000000003</v>
      </c>
      <c r="O156" s="152">
        <v>4768.6396680000007</v>
      </c>
      <c r="P156" s="167">
        <v>0.18899947649671195</v>
      </c>
      <c r="Q156" s="171">
        <v>47453</v>
      </c>
      <c r="R156" s="174"/>
    </row>
    <row r="157" spans="1:18" ht="14.25" x14ac:dyDescent="0.2">
      <c r="A157" s="150" t="s">
        <v>1264</v>
      </c>
      <c r="B157" s="151" t="s">
        <v>1264</v>
      </c>
      <c r="C157" s="151" t="s">
        <v>244</v>
      </c>
      <c r="D157" s="151" t="s">
        <v>2266</v>
      </c>
      <c r="E157" s="151"/>
      <c r="F157" s="151"/>
      <c r="G157" s="151" t="s">
        <v>2267</v>
      </c>
      <c r="H157" s="151" t="s">
        <v>2268</v>
      </c>
      <c r="I157" s="151" t="s">
        <v>101</v>
      </c>
      <c r="J157" s="151" t="s">
        <v>1258</v>
      </c>
      <c r="K157" s="162">
        <v>44769</v>
      </c>
      <c r="L157" s="152">
        <v>19622.945879999999</v>
      </c>
      <c r="M157" s="152">
        <v>71349.031219679993</v>
      </c>
      <c r="N157" s="152">
        <v>5414.700859999999</v>
      </c>
      <c r="O157" s="152">
        <v>19687.852326959997</v>
      </c>
      <c r="P157" s="167">
        <v>0.27593720601954796</v>
      </c>
      <c r="Q157" s="171">
        <v>46962</v>
      </c>
      <c r="R157" s="174"/>
    </row>
    <row r="158" spans="1:18" ht="14.25" x14ac:dyDescent="0.2">
      <c r="A158" s="150" t="s">
        <v>1251</v>
      </c>
      <c r="B158" s="151" t="s">
        <v>1262</v>
      </c>
      <c r="C158" s="151"/>
      <c r="D158" s="151"/>
      <c r="E158" s="151"/>
      <c r="F158" s="151"/>
      <c r="G158" s="151"/>
      <c r="H158" s="151"/>
      <c r="I158" s="151"/>
      <c r="J158" s="151"/>
      <c r="K158" s="151"/>
      <c r="L158" s="152"/>
      <c r="M158" s="152"/>
      <c r="N158" s="152"/>
      <c r="O158" s="152"/>
      <c r="P158" s="151"/>
      <c r="Q158" s="160"/>
      <c r="R158" s="174"/>
    </row>
    <row r="159" spans="1:18" ht="14.25" x14ac:dyDescent="0.2">
      <c r="A159" s="150" t="s">
        <v>1251</v>
      </c>
      <c r="B159" s="151" t="s">
        <v>1263</v>
      </c>
      <c r="C159" s="151"/>
      <c r="D159" s="151"/>
      <c r="E159" s="151"/>
      <c r="F159" s="151"/>
      <c r="G159" s="151"/>
      <c r="H159" s="151"/>
      <c r="I159" s="151"/>
      <c r="J159" s="151"/>
      <c r="K159" s="151"/>
      <c r="L159" s="152"/>
      <c r="M159" s="152"/>
      <c r="N159" s="152"/>
      <c r="O159" s="152"/>
      <c r="P159" s="151"/>
      <c r="Q159" s="160"/>
      <c r="R159" s="174"/>
    </row>
    <row r="160" spans="1:18" ht="14.25" x14ac:dyDescent="0.2">
      <c r="A160" s="150" t="s">
        <v>1264</v>
      </c>
      <c r="B160" s="151" t="s">
        <v>1265</v>
      </c>
      <c r="C160" s="151"/>
      <c r="D160" s="151"/>
      <c r="E160" s="151"/>
      <c r="F160" s="151"/>
      <c r="G160" s="151"/>
      <c r="H160" s="151"/>
      <c r="I160" s="151"/>
      <c r="J160" s="151"/>
      <c r="K160" s="151"/>
      <c r="L160" s="152"/>
      <c r="M160" s="152"/>
      <c r="N160" s="152"/>
      <c r="O160" s="152"/>
      <c r="P160" s="151"/>
      <c r="Q160" s="160"/>
      <c r="R160" s="174"/>
    </row>
    <row r="161" spans="1:18" ht="14.25" x14ac:dyDescent="0.2">
      <c r="A161" s="155" t="s">
        <v>1264</v>
      </c>
      <c r="B161" s="156" t="s">
        <v>1266</v>
      </c>
      <c r="C161" s="156"/>
      <c r="D161" s="156"/>
      <c r="E161" s="156"/>
      <c r="F161" s="156"/>
      <c r="G161" s="156"/>
      <c r="H161" s="156"/>
      <c r="I161" s="156"/>
      <c r="J161" s="156"/>
      <c r="K161" s="156"/>
      <c r="L161" s="157"/>
      <c r="M161" s="157"/>
      <c r="N161" s="157"/>
      <c r="O161" s="157"/>
      <c r="P161" s="156"/>
      <c r="Q161" s="161"/>
      <c r="R161" s="174"/>
    </row>
    <row r="162" spans="1:18" ht="14.1" customHeight="1" x14ac:dyDescent="0.2">
      <c r="A162" s="174" t="s">
        <v>2521</v>
      </c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</row>
    <row r="163" spans="1:18" ht="14.1" customHeight="1" x14ac:dyDescent="0.2">
      <c r="A163" t="s">
        <v>2520</v>
      </c>
    </row>
    <row r="164" spans="1:18" ht="14.1" customHeight="1" x14ac:dyDescent="0.2">
      <c r="A164" s="1"/>
    </row>
  </sheetData>
  <sheetProtection formatColumns="0"/>
  <mergeCells count="2">
    <mergeCell ref="A162:Q162"/>
    <mergeCell ref="R2:R161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7" tint="-0.49995422223578601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 x14ac:dyDescent="0.2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16384" width="9" style="11" hidden="1"/>
  </cols>
  <sheetData>
    <row r="1" spans="1:6" s="30" customFormat="1" ht="45" x14ac:dyDescent="0.2">
      <c r="A1" s="29" t="s">
        <v>577</v>
      </c>
      <c r="B1" s="29" t="s">
        <v>326</v>
      </c>
      <c r="C1" s="29" t="s">
        <v>327</v>
      </c>
      <c r="D1" s="29" t="s">
        <v>1160</v>
      </c>
      <c r="E1" s="29" t="s">
        <v>364</v>
      </c>
      <c r="F1" s="11"/>
    </row>
    <row r="2" spans="1:6" x14ac:dyDescent="0.2">
      <c r="A2" s="64"/>
      <c r="B2" s="64" t="s">
        <v>591</v>
      </c>
      <c r="C2" s="14" t="s">
        <v>52</v>
      </c>
      <c r="D2" s="14" t="s">
        <v>591</v>
      </c>
      <c r="E2" s="14"/>
      <c r="F2" s="11"/>
    </row>
    <row r="3" spans="1:6" x14ac:dyDescent="0.2">
      <c r="A3" s="65"/>
      <c r="B3" s="65"/>
      <c r="C3" s="14" t="s">
        <v>60</v>
      </c>
      <c r="D3" s="14"/>
      <c r="E3" s="14"/>
      <c r="F3" s="11"/>
    </row>
    <row r="4" spans="1:6" ht="42.75" x14ac:dyDescent="0.2">
      <c r="A4" s="57"/>
      <c r="B4" s="84" t="s">
        <v>1161</v>
      </c>
      <c r="C4" s="15" t="s">
        <v>52</v>
      </c>
      <c r="D4" s="15" t="s">
        <v>1164</v>
      </c>
      <c r="E4" s="15"/>
      <c r="F4" s="11"/>
    </row>
    <row r="5" spans="1:6" x14ac:dyDescent="0.2">
      <c r="A5" s="58"/>
      <c r="B5" s="85"/>
      <c r="C5" s="15" t="s">
        <v>58</v>
      </c>
      <c r="D5" s="15"/>
      <c r="E5" s="15"/>
      <c r="F5" s="11"/>
    </row>
    <row r="6" spans="1:6" x14ac:dyDescent="0.2">
      <c r="A6" s="58"/>
      <c r="B6" s="85"/>
      <c r="C6" s="15" t="s">
        <v>66</v>
      </c>
      <c r="D6" s="15"/>
      <c r="E6" s="15"/>
      <c r="F6" s="11"/>
    </row>
    <row r="7" spans="1:6" x14ac:dyDescent="0.2">
      <c r="A7" s="58"/>
      <c r="B7" s="85"/>
      <c r="C7" s="15" t="s">
        <v>73</v>
      </c>
      <c r="D7" s="15"/>
      <c r="E7" s="15"/>
      <c r="F7" s="11"/>
    </row>
    <row r="8" spans="1:6" x14ac:dyDescent="0.2">
      <c r="A8" s="58"/>
      <c r="B8" s="85"/>
      <c r="C8" s="15" t="s">
        <v>80</v>
      </c>
      <c r="D8" s="15"/>
      <c r="E8" s="15"/>
      <c r="F8" s="11"/>
    </row>
    <row r="9" spans="1:6" x14ac:dyDescent="0.2">
      <c r="A9" s="58"/>
      <c r="B9" s="85"/>
      <c r="C9" s="15" t="s">
        <v>888</v>
      </c>
      <c r="D9" s="15"/>
      <c r="E9" s="15"/>
      <c r="F9" s="11"/>
    </row>
    <row r="10" spans="1:6" x14ac:dyDescent="0.2">
      <c r="A10" s="58"/>
      <c r="B10" s="85"/>
      <c r="C10" s="15" t="s">
        <v>91</v>
      </c>
      <c r="D10" s="15"/>
      <c r="E10" s="15"/>
      <c r="F10" s="11"/>
    </row>
    <row r="11" spans="1:6" x14ac:dyDescent="0.2">
      <c r="A11" s="58"/>
      <c r="B11" s="85"/>
      <c r="C11" s="15" t="s">
        <v>912</v>
      </c>
      <c r="D11" s="15"/>
      <c r="E11" s="15"/>
      <c r="F11" s="11" t="s">
        <v>1131</v>
      </c>
    </row>
    <row r="12" spans="1:6" x14ac:dyDescent="0.2">
      <c r="A12" s="58"/>
      <c r="B12" s="85"/>
      <c r="C12" s="15" t="s">
        <v>913</v>
      </c>
      <c r="D12" s="15"/>
      <c r="E12" s="15"/>
      <c r="F12" s="11" t="s">
        <v>1131</v>
      </c>
    </row>
    <row r="13" spans="1:6" x14ac:dyDescent="0.2">
      <c r="A13" s="58"/>
      <c r="B13" s="85"/>
      <c r="C13" s="15" t="s">
        <v>103</v>
      </c>
      <c r="D13" s="15"/>
      <c r="E13" s="15"/>
      <c r="F13" s="11"/>
    </row>
    <row r="14" spans="1:6" x14ac:dyDescent="0.2">
      <c r="A14" s="58"/>
      <c r="B14" s="85"/>
      <c r="C14" s="15" t="s">
        <v>108</v>
      </c>
      <c r="D14" s="15"/>
      <c r="E14" s="15"/>
      <c r="F14" s="11"/>
    </row>
    <row r="15" spans="1:6" x14ac:dyDescent="0.2">
      <c r="A15" s="58"/>
      <c r="B15" s="85"/>
      <c r="C15" s="15" t="s">
        <v>110</v>
      </c>
      <c r="D15" s="15"/>
      <c r="E15" s="15"/>
      <c r="F15" s="11"/>
    </row>
    <row r="16" spans="1:6" x14ac:dyDescent="0.2">
      <c r="A16" s="58"/>
      <c r="B16" s="85"/>
      <c r="C16" s="15" t="s">
        <v>113</v>
      </c>
      <c r="D16" s="15"/>
      <c r="E16" s="15"/>
      <c r="F16" s="11"/>
    </row>
    <row r="17" spans="1:5" s="11" customFormat="1" x14ac:dyDescent="0.2">
      <c r="A17" s="58"/>
      <c r="B17" s="85"/>
      <c r="C17" s="15" t="s">
        <v>116</v>
      </c>
      <c r="D17" s="15"/>
      <c r="E17" s="15"/>
    </row>
    <row r="18" spans="1:5" s="11" customFormat="1" x14ac:dyDescent="0.2">
      <c r="A18" s="58"/>
      <c r="B18" s="85"/>
      <c r="C18" s="15" t="s">
        <v>119</v>
      </c>
      <c r="D18" s="15"/>
      <c r="E18" s="15"/>
    </row>
    <row r="19" spans="1:5" s="11" customFormat="1" x14ac:dyDescent="0.2">
      <c r="A19" s="58"/>
      <c r="B19" s="85"/>
      <c r="C19" s="15" t="s">
        <v>121</v>
      </c>
      <c r="D19" s="15"/>
      <c r="E19" s="15"/>
    </row>
    <row r="20" spans="1:5" s="11" customFormat="1" x14ac:dyDescent="0.2">
      <c r="A20" s="58"/>
      <c r="B20" s="85"/>
      <c r="C20" s="15" t="s">
        <v>123</v>
      </c>
      <c r="D20" s="15"/>
      <c r="E20" s="15"/>
    </row>
    <row r="21" spans="1:5" s="11" customFormat="1" x14ac:dyDescent="0.2">
      <c r="A21" s="58"/>
      <c r="B21" s="85"/>
      <c r="C21" s="15" t="s">
        <v>306</v>
      </c>
      <c r="D21" s="15"/>
      <c r="E21" s="15"/>
    </row>
    <row r="22" spans="1:5" s="11" customFormat="1" x14ac:dyDescent="0.2">
      <c r="A22" s="58"/>
      <c r="B22" s="85"/>
      <c r="C22" s="15" t="s">
        <v>126</v>
      </c>
      <c r="D22" s="15"/>
      <c r="E22" s="15"/>
    </row>
    <row r="23" spans="1:5" s="11" customFormat="1" x14ac:dyDescent="0.2">
      <c r="A23" s="58"/>
      <c r="B23" s="85"/>
      <c r="C23" s="15" t="s">
        <v>129</v>
      </c>
      <c r="D23" s="15"/>
      <c r="E23" s="15"/>
    </row>
    <row r="24" spans="1:5" s="11" customFormat="1" x14ac:dyDescent="0.2">
      <c r="A24" s="58"/>
      <c r="B24" s="85"/>
      <c r="C24" s="15" t="s">
        <v>130</v>
      </c>
      <c r="D24" s="15"/>
      <c r="E24" s="15"/>
    </row>
    <row r="25" spans="1:5" s="11" customFormat="1" x14ac:dyDescent="0.2">
      <c r="A25" s="58"/>
      <c r="B25" s="85"/>
      <c r="C25" s="15" t="s">
        <v>132</v>
      </c>
      <c r="D25" s="15"/>
      <c r="E25" s="15"/>
    </row>
    <row r="26" spans="1:5" s="11" customFormat="1" x14ac:dyDescent="0.2">
      <c r="A26" s="58"/>
      <c r="B26" s="85"/>
      <c r="C26" s="15" t="s">
        <v>134</v>
      </c>
      <c r="D26" s="15"/>
      <c r="E26" s="15"/>
    </row>
    <row r="27" spans="1:5" s="11" customFormat="1" x14ac:dyDescent="0.2">
      <c r="A27" s="58"/>
      <c r="B27" s="85"/>
      <c r="C27" s="15" t="s">
        <v>136</v>
      </c>
      <c r="D27" s="15"/>
      <c r="E27" s="15"/>
    </row>
    <row r="28" spans="1:5" s="11" customFormat="1" x14ac:dyDescent="0.2">
      <c r="A28" s="58"/>
      <c r="B28" s="85"/>
      <c r="C28" s="15" t="s">
        <v>139</v>
      </c>
      <c r="D28" s="15"/>
      <c r="E28" s="15"/>
    </row>
    <row r="29" spans="1:5" s="11" customFormat="1" x14ac:dyDescent="0.2">
      <c r="A29" s="58"/>
      <c r="B29" s="85"/>
      <c r="C29" s="15" t="s">
        <v>141</v>
      </c>
      <c r="D29" s="15"/>
      <c r="E29" s="15"/>
    </row>
    <row r="30" spans="1:5" s="11" customFormat="1" x14ac:dyDescent="0.2">
      <c r="A30" s="58"/>
      <c r="B30" s="85"/>
      <c r="C30" s="15" t="s">
        <v>307</v>
      </c>
      <c r="D30" s="15"/>
      <c r="E30" s="15"/>
    </row>
    <row r="31" spans="1:5" s="11" customFormat="1" x14ac:dyDescent="0.2">
      <c r="A31" s="58"/>
      <c r="B31" s="85"/>
      <c r="C31" s="15" t="s">
        <v>143</v>
      </c>
      <c r="D31" s="15"/>
      <c r="E31" s="15"/>
    </row>
    <row r="32" spans="1:5" s="11" customFormat="1" x14ac:dyDescent="0.2">
      <c r="A32" s="58"/>
      <c r="B32" s="85"/>
      <c r="C32" s="15" t="s">
        <v>145</v>
      </c>
      <c r="D32" s="15"/>
      <c r="E32" s="15"/>
    </row>
    <row r="33" spans="1:6" x14ac:dyDescent="0.2">
      <c r="A33" s="58"/>
      <c r="B33" s="85"/>
      <c r="C33" s="15" t="s">
        <v>147</v>
      </c>
      <c r="D33" s="15"/>
      <c r="E33" s="15"/>
      <c r="F33" s="11"/>
    </row>
    <row r="34" spans="1:6" x14ac:dyDescent="0.2">
      <c r="A34" s="58"/>
      <c r="B34" s="85"/>
      <c r="C34" s="15" t="s">
        <v>149</v>
      </c>
      <c r="D34" s="15"/>
      <c r="E34" s="15"/>
      <c r="F34" s="11"/>
    </row>
    <row r="35" spans="1:6" x14ac:dyDescent="0.2">
      <c r="A35" s="58"/>
      <c r="B35" s="85"/>
      <c r="C35" s="15" t="s">
        <v>151</v>
      </c>
      <c r="D35" s="15"/>
      <c r="E35" s="15"/>
      <c r="F35" s="11"/>
    </row>
    <row r="36" spans="1:6" x14ac:dyDescent="0.2">
      <c r="A36" s="58"/>
      <c r="B36" s="85"/>
      <c r="C36" s="15" t="s">
        <v>1076</v>
      </c>
      <c r="D36" s="15"/>
      <c r="E36" s="15"/>
      <c r="F36" s="11" t="s">
        <v>1131</v>
      </c>
    </row>
    <row r="37" spans="1:6" x14ac:dyDescent="0.2">
      <c r="A37" s="58"/>
      <c r="B37" s="85"/>
      <c r="C37" s="7" t="s">
        <v>1075</v>
      </c>
      <c r="D37" s="7"/>
      <c r="E37" s="15"/>
      <c r="F37" s="11" t="s">
        <v>1131</v>
      </c>
    </row>
    <row r="38" spans="1:6" x14ac:dyDescent="0.2">
      <c r="A38" s="58"/>
      <c r="B38" s="85"/>
      <c r="C38" s="15" t="s">
        <v>152</v>
      </c>
      <c r="D38" s="15"/>
      <c r="E38" s="15"/>
      <c r="F38" s="11"/>
    </row>
    <row r="39" spans="1:6" x14ac:dyDescent="0.2">
      <c r="A39" s="58"/>
      <c r="B39" s="85"/>
      <c r="C39" s="15" t="s">
        <v>153</v>
      </c>
      <c r="D39" s="15"/>
      <c r="E39" s="15"/>
      <c r="F39" s="11"/>
    </row>
    <row r="40" spans="1:6" x14ac:dyDescent="0.2">
      <c r="A40" s="58"/>
      <c r="B40" s="85"/>
      <c r="C40" s="15" t="s">
        <v>907</v>
      </c>
      <c r="D40" s="15"/>
      <c r="E40" s="15"/>
      <c r="F40" s="11" t="s">
        <v>1131</v>
      </c>
    </row>
    <row r="41" spans="1:6" x14ac:dyDescent="0.2">
      <c r="A41" s="58"/>
      <c r="B41" s="85"/>
      <c r="C41" s="15" t="s">
        <v>155</v>
      </c>
      <c r="D41" s="15"/>
      <c r="E41" s="15"/>
      <c r="F41" s="11"/>
    </row>
    <row r="42" spans="1:6" x14ac:dyDescent="0.2">
      <c r="A42" s="58"/>
      <c r="B42" s="85"/>
      <c r="C42" s="15" t="s">
        <v>156</v>
      </c>
      <c r="D42" s="15"/>
      <c r="E42" s="15"/>
      <c r="F42" s="11"/>
    </row>
    <row r="43" spans="1:6" x14ac:dyDescent="0.2">
      <c r="A43" s="58"/>
      <c r="B43" s="85"/>
      <c r="C43" s="15" t="s">
        <v>157</v>
      </c>
      <c r="D43" s="15"/>
      <c r="E43" s="15"/>
      <c r="F43" s="11"/>
    </row>
    <row r="44" spans="1:6" x14ac:dyDescent="0.2">
      <c r="A44" s="58"/>
      <c r="B44" s="85"/>
      <c r="C44" s="15" t="s">
        <v>158</v>
      </c>
      <c r="D44" s="15"/>
      <c r="E44" s="15"/>
      <c r="F44" s="11"/>
    </row>
    <row r="45" spans="1:6" x14ac:dyDescent="0.2">
      <c r="A45" s="58"/>
      <c r="B45" s="85"/>
      <c r="C45" s="15" t="s">
        <v>159</v>
      </c>
      <c r="D45" s="15"/>
      <c r="E45" s="15"/>
      <c r="F45" s="11"/>
    </row>
    <row r="46" spans="1:6" x14ac:dyDescent="0.2">
      <c r="A46" s="58"/>
      <c r="B46" s="85"/>
      <c r="C46" s="15" t="s">
        <v>909</v>
      </c>
      <c r="D46" s="15"/>
      <c r="E46" s="15"/>
      <c r="F46" s="11" t="s">
        <v>1131</v>
      </c>
    </row>
    <row r="47" spans="1:6" x14ac:dyDescent="0.2">
      <c r="A47" s="58"/>
      <c r="B47" s="85"/>
      <c r="C47" s="15" t="s">
        <v>162</v>
      </c>
      <c r="D47" s="15"/>
      <c r="E47" s="15"/>
      <c r="F47" s="11"/>
    </row>
    <row r="48" spans="1:6" x14ac:dyDescent="0.2">
      <c r="A48" s="58"/>
      <c r="B48" s="85"/>
      <c r="C48" s="15" t="s">
        <v>164</v>
      </c>
      <c r="D48" s="15"/>
      <c r="E48" s="15"/>
      <c r="F48" s="11"/>
    </row>
    <row r="49" spans="1:6" x14ac:dyDescent="0.2">
      <c r="A49" s="58"/>
      <c r="B49" s="85"/>
      <c r="C49" s="15" t="s">
        <v>166</v>
      </c>
      <c r="D49" s="15"/>
      <c r="E49" s="15"/>
      <c r="F49" s="11"/>
    </row>
    <row r="50" spans="1:6" x14ac:dyDescent="0.2">
      <c r="A50" s="58"/>
      <c r="B50" s="85"/>
      <c r="C50" s="15" t="s">
        <v>169</v>
      </c>
      <c r="D50" s="15"/>
      <c r="E50" s="15"/>
      <c r="F50" s="11"/>
    </row>
    <row r="51" spans="1:6" x14ac:dyDescent="0.2">
      <c r="A51" s="58"/>
      <c r="B51" s="85"/>
      <c r="C51" s="15" t="s">
        <v>171</v>
      </c>
      <c r="D51" s="15"/>
      <c r="E51" s="15"/>
      <c r="F51" s="11"/>
    </row>
    <row r="52" spans="1:6" x14ac:dyDescent="0.2">
      <c r="A52" s="58"/>
      <c r="B52" s="85"/>
      <c r="C52" s="15" t="s">
        <v>173</v>
      </c>
      <c r="D52" s="15"/>
      <c r="E52" s="15"/>
      <c r="F52" s="11"/>
    </row>
    <row r="53" spans="1:6" x14ac:dyDescent="0.2">
      <c r="A53" s="58"/>
      <c r="B53" s="85"/>
      <c r="C53" s="15" t="s">
        <v>174</v>
      </c>
      <c r="D53" s="15"/>
      <c r="E53" s="15"/>
      <c r="F53" s="11"/>
    </row>
    <row r="54" spans="1:6" x14ac:dyDescent="0.2">
      <c r="A54" s="58"/>
      <c r="B54" s="85"/>
      <c r="C54" s="15" t="s">
        <v>175</v>
      </c>
      <c r="D54" s="15"/>
      <c r="E54" s="15"/>
      <c r="F54" s="11"/>
    </row>
    <row r="55" spans="1:6" x14ac:dyDescent="0.2">
      <c r="A55" s="58"/>
      <c r="B55" s="85"/>
      <c r="C55" s="15" t="s">
        <v>176</v>
      </c>
      <c r="D55" s="15"/>
      <c r="E55" s="15"/>
      <c r="F55" s="11"/>
    </row>
    <row r="56" spans="1:6" x14ac:dyDescent="0.2">
      <c r="A56" s="58"/>
      <c r="B56" s="85"/>
      <c r="C56" s="15" t="s">
        <v>177</v>
      </c>
      <c r="D56" s="15"/>
      <c r="E56" s="15"/>
      <c r="F56" s="11"/>
    </row>
    <row r="57" spans="1:6" x14ac:dyDescent="0.2">
      <c r="A57" s="58"/>
      <c r="B57" s="85"/>
      <c r="C57" s="15" t="s">
        <v>178</v>
      </c>
      <c r="D57" s="15"/>
      <c r="E57" s="15"/>
      <c r="F57" s="11"/>
    </row>
    <row r="58" spans="1:6" x14ac:dyDescent="0.2">
      <c r="A58" s="58"/>
      <c r="B58" s="85"/>
      <c r="C58" s="15" t="s">
        <v>179</v>
      </c>
      <c r="D58" s="15"/>
      <c r="E58" s="15"/>
      <c r="F58" s="11"/>
    </row>
    <row r="59" spans="1:6" x14ac:dyDescent="0.2">
      <c r="A59" s="58"/>
      <c r="B59" s="85"/>
      <c r="C59" s="15" t="s">
        <v>497</v>
      </c>
      <c r="D59" s="15"/>
      <c r="E59" s="15"/>
      <c r="F59" s="11"/>
    </row>
    <row r="60" spans="1:6" x14ac:dyDescent="0.2">
      <c r="A60" s="58"/>
      <c r="B60" s="85"/>
      <c r="C60" s="15" t="s">
        <v>180</v>
      </c>
      <c r="D60" s="15"/>
      <c r="E60" s="15"/>
      <c r="F60" s="11"/>
    </row>
    <row r="61" spans="1:6" x14ac:dyDescent="0.2">
      <c r="A61" s="58"/>
      <c r="B61" s="85"/>
      <c r="C61" s="15" t="s">
        <v>181</v>
      </c>
      <c r="D61" s="15"/>
      <c r="E61" s="15"/>
      <c r="F61" s="11"/>
    </row>
    <row r="62" spans="1:6" x14ac:dyDescent="0.2">
      <c r="A62" s="58"/>
      <c r="B62" s="85"/>
      <c r="C62" s="15" t="s">
        <v>182</v>
      </c>
      <c r="D62" s="15"/>
      <c r="E62" s="15"/>
      <c r="F62" s="11"/>
    </row>
    <row r="63" spans="1:6" x14ac:dyDescent="0.2">
      <c r="A63" s="58"/>
      <c r="B63" s="85"/>
      <c r="C63" s="15" t="s">
        <v>908</v>
      </c>
      <c r="D63" s="15"/>
      <c r="E63" s="15"/>
      <c r="F63" s="11" t="s">
        <v>1131</v>
      </c>
    </row>
    <row r="64" spans="1:6" x14ac:dyDescent="0.2">
      <c r="A64" s="58"/>
      <c r="B64" s="85"/>
      <c r="C64" s="15" t="s">
        <v>183</v>
      </c>
      <c r="D64" s="15"/>
      <c r="E64" s="15"/>
      <c r="F64" s="11"/>
    </row>
    <row r="65" spans="1:5" s="11" customFormat="1" x14ac:dyDescent="0.2">
      <c r="A65" s="58"/>
      <c r="B65" s="85"/>
      <c r="C65" s="15" t="s">
        <v>184</v>
      </c>
      <c r="D65" s="15"/>
      <c r="E65" s="15"/>
    </row>
    <row r="66" spans="1:5" s="11" customFormat="1" x14ac:dyDescent="0.2">
      <c r="A66" s="58"/>
      <c r="B66" s="85"/>
      <c r="C66" s="15" t="s">
        <v>185</v>
      </c>
      <c r="D66" s="15"/>
      <c r="E66" s="15"/>
    </row>
    <row r="67" spans="1:5" s="11" customFormat="1" x14ac:dyDescent="0.2">
      <c r="A67" s="58"/>
      <c r="B67" s="85"/>
      <c r="C67" s="15" t="s">
        <v>186</v>
      </c>
      <c r="D67" s="15"/>
      <c r="E67" s="15"/>
    </row>
    <row r="68" spans="1:5" s="11" customFormat="1" x14ac:dyDescent="0.2">
      <c r="A68" s="58"/>
      <c r="B68" s="85"/>
      <c r="C68" s="15" t="s">
        <v>187</v>
      </c>
      <c r="D68" s="15"/>
      <c r="E68" s="15"/>
    </row>
    <row r="69" spans="1:5" s="11" customFormat="1" x14ac:dyDescent="0.2">
      <c r="A69" s="58"/>
      <c r="B69" s="85"/>
      <c r="C69" s="15" t="s">
        <v>188</v>
      </c>
      <c r="D69" s="15"/>
      <c r="E69" s="15"/>
    </row>
    <row r="70" spans="1:5" s="11" customFormat="1" x14ac:dyDescent="0.2">
      <c r="A70" s="58"/>
      <c r="B70" s="85"/>
      <c r="C70" s="15" t="s">
        <v>189</v>
      </c>
      <c r="D70" s="15"/>
      <c r="E70" s="15"/>
    </row>
    <row r="71" spans="1:5" s="11" customFormat="1" x14ac:dyDescent="0.2">
      <c r="A71" s="58"/>
      <c r="B71" s="85"/>
      <c r="C71" s="15" t="s">
        <v>190</v>
      </c>
      <c r="D71" s="15"/>
      <c r="E71" s="15"/>
    </row>
    <row r="72" spans="1:5" s="11" customFormat="1" x14ac:dyDescent="0.2">
      <c r="A72" s="58"/>
      <c r="B72" s="85"/>
      <c r="C72" s="15" t="s">
        <v>192</v>
      </c>
      <c r="D72" s="15"/>
      <c r="E72" s="15"/>
    </row>
    <row r="73" spans="1:5" s="11" customFormat="1" x14ac:dyDescent="0.2">
      <c r="A73" s="58"/>
      <c r="B73" s="85"/>
      <c r="C73" s="15" t="s">
        <v>193</v>
      </c>
      <c r="D73" s="15"/>
      <c r="E73" s="15"/>
    </row>
    <row r="74" spans="1:5" s="11" customFormat="1" x14ac:dyDescent="0.2">
      <c r="A74" s="58"/>
      <c r="B74" s="85"/>
      <c r="C74" s="15" t="s">
        <v>194</v>
      </c>
      <c r="D74" s="15"/>
      <c r="E74" s="15"/>
    </row>
    <row r="75" spans="1:5" s="11" customFormat="1" x14ac:dyDescent="0.2">
      <c r="A75" s="58"/>
      <c r="B75" s="85"/>
      <c r="C75" s="15" t="s">
        <v>195</v>
      </c>
      <c r="D75" s="15"/>
      <c r="E75" s="15"/>
    </row>
    <row r="76" spans="1:5" s="11" customFormat="1" x14ac:dyDescent="0.2">
      <c r="A76" s="58"/>
      <c r="B76" s="85"/>
      <c r="C76" s="15" t="s">
        <v>196</v>
      </c>
      <c r="D76" s="15"/>
      <c r="E76" s="15"/>
    </row>
    <row r="77" spans="1:5" s="11" customFormat="1" x14ac:dyDescent="0.2">
      <c r="A77" s="58"/>
      <c r="B77" s="85"/>
      <c r="C77" s="15" t="s">
        <v>197</v>
      </c>
      <c r="D77" s="15"/>
      <c r="E77" s="15"/>
    </row>
    <row r="78" spans="1:5" s="11" customFormat="1" x14ac:dyDescent="0.2">
      <c r="A78" s="58"/>
      <c r="B78" s="85"/>
      <c r="C78" s="15" t="s">
        <v>199</v>
      </c>
      <c r="D78" s="15"/>
      <c r="E78" s="15"/>
    </row>
    <row r="79" spans="1:5" s="11" customFormat="1" x14ac:dyDescent="0.2">
      <c r="A79" s="58"/>
      <c r="B79" s="85"/>
      <c r="C79" s="15" t="s">
        <v>200</v>
      </c>
      <c r="D79" s="15"/>
      <c r="E79" s="15"/>
    </row>
    <row r="80" spans="1:5" s="11" customFormat="1" x14ac:dyDescent="0.2">
      <c r="A80" s="58"/>
      <c r="B80" s="85"/>
      <c r="C80" s="15" t="s">
        <v>201</v>
      </c>
      <c r="D80" s="15"/>
      <c r="E80" s="15"/>
    </row>
    <row r="81" spans="1:6" x14ac:dyDescent="0.2">
      <c r="A81" s="58"/>
      <c r="B81" s="85"/>
      <c r="C81" s="15" t="s">
        <v>202</v>
      </c>
      <c r="D81" s="15"/>
      <c r="E81" s="15"/>
      <c r="F81" s="11"/>
    </row>
    <row r="82" spans="1:6" x14ac:dyDescent="0.2">
      <c r="A82" s="58"/>
      <c r="B82" s="85"/>
      <c r="C82" s="15" t="s">
        <v>203</v>
      </c>
      <c r="D82" s="15"/>
      <c r="E82" s="15"/>
      <c r="F82" s="11"/>
    </row>
    <row r="83" spans="1:6" x14ac:dyDescent="0.2">
      <c r="A83" s="58"/>
      <c r="B83" s="85"/>
      <c r="C83" s="15" t="s">
        <v>204</v>
      </c>
      <c r="D83" s="15"/>
      <c r="E83" s="15"/>
      <c r="F83" s="11"/>
    </row>
    <row r="84" spans="1:6" x14ac:dyDescent="0.2">
      <c r="A84" s="58"/>
      <c r="B84" s="85"/>
      <c r="C84" s="15" t="s">
        <v>205</v>
      </c>
      <c r="D84" s="15"/>
      <c r="E84" s="15"/>
      <c r="F84" s="11"/>
    </row>
    <row r="85" spans="1:6" x14ac:dyDescent="0.2">
      <c r="A85" s="58"/>
      <c r="B85" s="85"/>
      <c r="C85" s="15" t="s">
        <v>206</v>
      </c>
      <c r="D85" s="15"/>
      <c r="E85" s="15"/>
      <c r="F85" s="11"/>
    </row>
    <row r="86" spans="1:6" x14ac:dyDescent="0.2">
      <c r="A86" s="58"/>
      <c r="B86" s="85"/>
      <c r="C86" s="15" t="s">
        <v>308</v>
      </c>
      <c r="D86" s="15"/>
      <c r="E86" s="15"/>
      <c r="F86" s="11"/>
    </row>
    <row r="87" spans="1:6" x14ac:dyDescent="0.2">
      <c r="A87" s="58"/>
      <c r="B87" s="85"/>
      <c r="C87" s="15" t="s">
        <v>310</v>
      </c>
      <c r="D87" s="15"/>
      <c r="E87" s="15"/>
      <c r="F87" s="11"/>
    </row>
    <row r="88" spans="1:6" x14ac:dyDescent="0.2">
      <c r="A88" s="58"/>
      <c r="B88" s="85"/>
      <c r="C88" s="15" t="s">
        <v>889</v>
      </c>
      <c r="D88" s="15"/>
      <c r="E88" s="15"/>
      <c r="F88" s="11"/>
    </row>
    <row r="89" spans="1:6" x14ac:dyDescent="0.2">
      <c r="A89" s="58"/>
      <c r="B89" s="85"/>
      <c r="C89" s="15" t="s">
        <v>890</v>
      </c>
      <c r="D89" s="15"/>
      <c r="E89" s="15"/>
      <c r="F89" s="11"/>
    </row>
    <row r="90" spans="1:6" x14ac:dyDescent="0.2">
      <c r="A90" s="58"/>
      <c r="B90" s="85"/>
      <c r="C90" s="15" t="s">
        <v>305</v>
      </c>
      <c r="D90" s="15"/>
      <c r="E90" s="15"/>
      <c r="F90" s="11"/>
    </row>
    <row r="91" spans="1:6" x14ac:dyDescent="0.2">
      <c r="A91" s="58"/>
      <c r="B91" s="85"/>
      <c r="C91" s="15" t="s">
        <v>891</v>
      </c>
      <c r="D91" s="15"/>
      <c r="E91" s="15"/>
      <c r="F91" s="11"/>
    </row>
    <row r="92" spans="1:6" x14ac:dyDescent="0.2">
      <c r="A92" s="58"/>
      <c r="B92" s="85"/>
      <c r="C92" s="15" t="s">
        <v>897</v>
      </c>
      <c r="D92" s="15"/>
      <c r="E92" s="15"/>
      <c r="F92" s="11"/>
    </row>
    <row r="93" spans="1:6" x14ac:dyDescent="0.2">
      <c r="A93" s="58"/>
      <c r="B93" s="85"/>
      <c r="C93" s="15" t="s">
        <v>309</v>
      </c>
      <c r="D93" s="15"/>
      <c r="E93" s="15"/>
      <c r="F93" s="11"/>
    </row>
    <row r="94" spans="1:6" x14ac:dyDescent="0.2">
      <c r="A94" s="58"/>
      <c r="B94" s="85"/>
      <c r="C94" s="15" t="s">
        <v>1119</v>
      </c>
      <c r="D94" s="15"/>
      <c r="E94" s="15" t="s">
        <v>1118</v>
      </c>
      <c r="F94" s="11" t="s">
        <v>1131</v>
      </c>
    </row>
    <row r="95" spans="1:6" x14ac:dyDescent="0.2">
      <c r="A95" s="58"/>
      <c r="B95" s="85"/>
      <c r="C95" s="15" t="s">
        <v>1215</v>
      </c>
      <c r="D95" s="15"/>
      <c r="E95" s="15" t="s">
        <v>899</v>
      </c>
      <c r="F95" s="11" t="s">
        <v>1131</v>
      </c>
    </row>
    <row r="96" spans="1:6" x14ac:dyDescent="0.2">
      <c r="A96" s="58"/>
      <c r="B96" s="85"/>
      <c r="C96" s="15" t="s">
        <v>1120</v>
      </c>
      <c r="D96" s="15"/>
      <c r="E96" s="15" t="s">
        <v>899</v>
      </c>
      <c r="F96" s="11" t="s">
        <v>1131</v>
      </c>
    </row>
    <row r="97" spans="1:6" x14ac:dyDescent="0.2">
      <c r="A97" s="58"/>
      <c r="B97" s="85"/>
      <c r="C97" s="15" t="s">
        <v>1115</v>
      </c>
      <c r="D97" s="15"/>
      <c r="E97" s="15" t="s">
        <v>899</v>
      </c>
      <c r="F97" s="11" t="s">
        <v>1131</v>
      </c>
    </row>
    <row r="98" spans="1:6" x14ac:dyDescent="0.2">
      <c r="A98" s="58"/>
      <c r="B98" s="85"/>
      <c r="C98" s="15" t="s">
        <v>1116</v>
      </c>
      <c r="D98" s="15"/>
      <c r="E98" s="15" t="s">
        <v>899</v>
      </c>
      <c r="F98" s="11" t="s">
        <v>1131</v>
      </c>
    </row>
    <row r="99" spans="1:6" x14ac:dyDescent="0.2">
      <c r="A99" s="58"/>
      <c r="B99" s="85"/>
      <c r="C99" s="15" t="s">
        <v>1117</v>
      </c>
      <c r="D99" s="15"/>
      <c r="E99" s="15" t="s">
        <v>899</v>
      </c>
      <c r="F99" s="11" t="s">
        <v>1131</v>
      </c>
    </row>
    <row r="100" spans="1:6" x14ac:dyDescent="0.2">
      <c r="A100" s="58"/>
      <c r="B100" s="85"/>
      <c r="C100" s="15" t="s">
        <v>1216</v>
      </c>
      <c r="D100" s="15"/>
      <c r="E100" s="15" t="s">
        <v>899</v>
      </c>
      <c r="F100" s="11" t="s">
        <v>1131</v>
      </c>
    </row>
    <row r="101" spans="1:6" x14ac:dyDescent="0.2">
      <c r="A101" s="58"/>
      <c r="B101" s="85"/>
      <c r="C101" s="15" t="s">
        <v>1121</v>
      </c>
      <c r="D101" s="15"/>
      <c r="E101" s="15" t="s">
        <v>899</v>
      </c>
      <c r="F101" s="11" t="s">
        <v>1131</v>
      </c>
    </row>
    <row r="102" spans="1:6" x14ac:dyDescent="0.2">
      <c r="A102" s="58"/>
      <c r="B102" s="85"/>
      <c r="C102" s="15" t="s">
        <v>1122</v>
      </c>
      <c r="D102" s="15"/>
      <c r="E102" s="15" t="s">
        <v>899</v>
      </c>
      <c r="F102" s="11" t="s">
        <v>1131</v>
      </c>
    </row>
    <row r="103" spans="1:6" x14ac:dyDescent="0.2">
      <c r="A103" s="58"/>
      <c r="B103" s="85"/>
      <c r="C103" s="15" t="s">
        <v>1123</v>
      </c>
      <c r="D103" s="15"/>
      <c r="E103" s="15" t="s">
        <v>899</v>
      </c>
      <c r="F103" s="11" t="s">
        <v>1131</v>
      </c>
    </row>
    <row r="104" spans="1:6" x14ac:dyDescent="0.2">
      <c r="A104" s="53"/>
      <c r="B104" s="53" t="s">
        <v>719</v>
      </c>
      <c r="C104" s="14" t="s">
        <v>420</v>
      </c>
      <c r="D104" s="53" t="s">
        <v>719</v>
      </c>
      <c r="E104" s="14"/>
      <c r="F104" s="11"/>
    </row>
    <row r="105" spans="1:6" x14ac:dyDescent="0.2">
      <c r="A105" s="54"/>
      <c r="B105" s="54"/>
      <c r="C105" s="14" t="s">
        <v>2</v>
      </c>
      <c r="D105" s="14"/>
      <c r="E105" s="14"/>
      <c r="F105" s="11"/>
    </row>
    <row r="106" spans="1:6" x14ac:dyDescent="0.2">
      <c r="A106" s="54"/>
      <c r="B106" s="54"/>
      <c r="C106" s="14" t="s">
        <v>423</v>
      </c>
      <c r="D106" s="14"/>
      <c r="E106" s="14"/>
      <c r="F106" s="11"/>
    </row>
    <row r="107" spans="1:6" x14ac:dyDescent="0.2">
      <c r="A107" s="54"/>
      <c r="B107" s="54"/>
      <c r="C107" s="14" t="s">
        <v>743</v>
      </c>
      <c r="D107" s="14"/>
      <c r="E107" s="14"/>
      <c r="F107" s="11"/>
    </row>
    <row r="108" spans="1:6" x14ac:dyDescent="0.2">
      <c r="A108" s="54"/>
      <c r="B108" s="54"/>
      <c r="C108" s="14" t="s">
        <v>77</v>
      </c>
      <c r="D108" s="14"/>
      <c r="E108" s="14"/>
      <c r="F108" s="11"/>
    </row>
    <row r="109" spans="1:6" x14ac:dyDescent="0.2">
      <c r="A109" s="54"/>
      <c r="B109" s="54"/>
      <c r="C109" s="14" t="s">
        <v>421</v>
      </c>
      <c r="D109" s="14"/>
      <c r="E109" s="14"/>
      <c r="F109" s="11"/>
    </row>
    <row r="110" spans="1:6" x14ac:dyDescent="0.2">
      <c r="A110" s="55"/>
      <c r="B110" s="55"/>
      <c r="C110" s="14" t="s">
        <v>101</v>
      </c>
      <c r="D110" s="14"/>
      <c r="E110" s="14"/>
      <c r="F110" s="11"/>
    </row>
    <row r="111" spans="1:6" x14ac:dyDescent="0.2">
      <c r="A111" s="58"/>
      <c r="B111" s="44" t="s">
        <v>721</v>
      </c>
      <c r="C111" s="15" t="s">
        <v>420</v>
      </c>
      <c r="D111" s="44" t="s">
        <v>721</v>
      </c>
      <c r="E111" s="15"/>
      <c r="F111" s="11"/>
    </row>
    <row r="112" spans="1:6" x14ac:dyDescent="0.2">
      <c r="A112" s="58"/>
      <c r="B112" s="45"/>
      <c r="C112" s="15" t="s">
        <v>750</v>
      </c>
      <c r="D112" s="15"/>
      <c r="E112" s="15"/>
      <c r="F112" s="11"/>
    </row>
    <row r="113" spans="1:5" s="11" customFormat="1" x14ac:dyDescent="0.2">
      <c r="A113" s="58"/>
      <c r="B113" s="46"/>
      <c r="C113" s="15" t="s">
        <v>422</v>
      </c>
      <c r="D113" s="15"/>
      <c r="E113" s="15"/>
    </row>
    <row r="114" spans="1:5" s="11" customFormat="1" x14ac:dyDescent="0.2">
      <c r="A114" s="71"/>
      <c r="B114" s="71" t="s">
        <v>754</v>
      </c>
      <c r="C114" s="14" t="s">
        <v>420</v>
      </c>
      <c r="D114" s="71" t="s">
        <v>754</v>
      </c>
      <c r="E114" s="14"/>
    </row>
    <row r="115" spans="1:5" s="11" customFormat="1" x14ac:dyDescent="0.2">
      <c r="A115" s="71"/>
      <c r="B115" s="71"/>
      <c r="C115" s="14" t="s">
        <v>423</v>
      </c>
      <c r="D115" s="14"/>
      <c r="E115" s="14"/>
    </row>
    <row r="116" spans="1:5" s="11" customFormat="1" x14ac:dyDescent="0.2">
      <c r="A116" s="71"/>
      <c r="B116" s="71"/>
      <c r="C116" s="14" t="s">
        <v>743</v>
      </c>
      <c r="D116" s="14"/>
      <c r="E116" s="14"/>
    </row>
    <row r="117" spans="1:5" s="11" customFormat="1" x14ac:dyDescent="0.2">
      <c r="A117" s="71"/>
      <c r="B117" s="71"/>
      <c r="C117" s="14" t="s">
        <v>421</v>
      </c>
      <c r="D117" s="14"/>
      <c r="E117" s="14"/>
    </row>
    <row r="118" spans="1:5" s="11" customFormat="1" x14ac:dyDescent="0.2">
      <c r="A118" s="57"/>
      <c r="B118" s="72" t="s">
        <v>705</v>
      </c>
      <c r="C118" s="15" t="s">
        <v>420</v>
      </c>
      <c r="D118" s="72" t="s">
        <v>705</v>
      </c>
      <c r="E118" s="15"/>
    </row>
    <row r="119" spans="1:5" s="11" customFormat="1" x14ac:dyDescent="0.2">
      <c r="A119" s="94"/>
      <c r="B119" s="93"/>
      <c r="C119" s="15" t="s">
        <v>424</v>
      </c>
      <c r="D119" s="15"/>
      <c r="E119" s="15"/>
    </row>
    <row r="120" spans="1:5" s="11" customFormat="1" x14ac:dyDescent="0.2">
      <c r="A120" s="94"/>
      <c r="B120" s="93"/>
      <c r="C120" s="15" t="s">
        <v>743</v>
      </c>
      <c r="D120" s="15"/>
      <c r="E120" s="15"/>
    </row>
    <row r="121" spans="1:5" s="11" customFormat="1" x14ac:dyDescent="0.2">
      <c r="A121" s="94"/>
      <c r="B121" s="93"/>
      <c r="C121" s="15" t="s">
        <v>77</v>
      </c>
      <c r="D121" s="15"/>
      <c r="E121" s="15"/>
    </row>
    <row r="122" spans="1:5" s="11" customFormat="1" x14ac:dyDescent="0.2">
      <c r="A122" s="94"/>
      <c r="B122" s="93"/>
      <c r="C122" s="15" t="s">
        <v>423</v>
      </c>
      <c r="D122" s="15"/>
      <c r="E122" s="15"/>
    </row>
    <row r="123" spans="1:5" s="11" customFormat="1" x14ac:dyDescent="0.2">
      <c r="A123" s="94"/>
      <c r="B123" s="93"/>
      <c r="C123" s="15" t="s">
        <v>426</v>
      </c>
      <c r="D123" s="15"/>
      <c r="E123" s="15"/>
    </row>
    <row r="124" spans="1:5" s="11" customFormat="1" x14ac:dyDescent="0.2">
      <c r="A124" s="94"/>
      <c r="B124" s="93"/>
      <c r="C124" s="15" t="s">
        <v>425</v>
      </c>
      <c r="D124" s="15"/>
      <c r="E124" s="15"/>
    </row>
    <row r="125" spans="1:5" s="11" customFormat="1" x14ac:dyDescent="0.2">
      <c r="A125" s="94"/>
      <c r="B125" s="93"/>
      <c r="C125" s="15" t="s">
        <v>421</v>
      </c>
      <c r="D125" s="15"/>
      <c r="E125" s="15"/>
    </row>
    <row r="126" spans="1:5" s="11" customFormat="1" x14ac:dyDescent="0.2">
      <c r="A126" s="58"/>
      <c r="B126" s="73"/>
      <c r="C126" s="15" t="s">
        <v>101</v>
      </c>
      <c r="D126" s="15"/>
      <c r="E126" s="15"/>
    </row>
    <row r="127" spans="1:5" s="11" customFormat="1" x14ac:dyDescent="0.2">
      <c r="A127" s="53"/>
      <c r="B127" s="53" t="s">
        <v>27</v>
      </c>
      <c r="C127" s="14" t="s">
        <v>75</v>
      </c>
      <c r="D127" s="53" t="s">
        <v>27</v>
      </c>
      <c r="E127" s="14"/>
    </row>
    <row r="128" spans="1:5" s="11" customFormat="1" x14ac:dyDescent="0.2">
      <c r="A128" s="54"/>
      <c r="B128" s="54"/>
      <c r="C128" s="14" t="s">
        <v>87</v>
      </c>
      <c r="D128" s="14"/>
      <c r="E128" s="14"/>
    </row>
    <row r="129" spans="1:6" x14ac:dyDescent="0.2">
      <c r="A129" s="54"/>
      <c r="B129" s="54"/>
      <c r="C129" s="14" t="s">
        <v>93</v>
      </c>
      <c r="D129" s="14"/>
      <c r="E129" s="14"/>
      <c r="F129" s="11"/>
    </row>
    <row r="130" spans="1:6" x14ac:dyDescent="0.2">
      <c r="A130" s="54"/>
      <c r="B130" s="54"/>
      <c r="C130" s="14" t="s">
        <v>98</v>
      </c>
      <c r="D130" s="14"/>
      <c r="E130" s="14"/>
      <c r="F130" s="11"/>
    </row>
    <row r="131" spans="1:6" x14ac:dyDescent="0.2">
      <c r="A131" s="54"/>
      <c r="B131" s="54"/>
      <c r="C131" s="14" t="s">
        <v>77</v>
      </c>
      <c r="D131" s="14"/>
      <c r="E131" s="14"/>
      <c r="F131" s="11"/>
    </row>
    <row r="132" spans="1:6" x14ac:dyDescent="0.2">
      <c r="A132" s="58"/>
      <c r="B132" s="45" t="s">
        <v>730</v>
      </c>
      <c r="C132" s="15" t="s">
        <v>75</v>
      </c>
      <c r="D132" s="45" t="s">
        <v>730</v>
      </c>
      <c r="E132" s="15"/>
      <c r="F132" s="11"/>
    </row>
    <row r="133" spans="1:6" x14ac:dyDescent="0.2">
      <c r="A133" s="58"/>
      <c r="B133" s="45"/>
      <c r="C133" s="15" t="s">
        <v>77</v>
      </c>
      <c r="D133" s="15"/>
      <c r="E133" s="15"/>
      <c r="F133" s="11"/>
    </row>
    <row r="134" spans="1:6" x14ac:dyDescent="0.2">
      <c r="A134" s="59"/>
      <c r="B134" s="46"/>
      <c r="C134" s="15" t="s">
        <v>101</v>
      </c>
      <c r="D134" s="15"/>
      <c r="E134" s="15"/>
      <c r="F134" s="11"/>
    </row>
    <row r="135" spans="1:6" x14ac:dyDescent="0.2">
      <c r="A135" s="60"/>
      <c r="B135" s="60" t="s">
        <v>596</v>
      </c>
      <c r="C135" s="14" t="s">
        <v>775</v>
      </c>
      <c r="D135" s="60" t="s">
        <v>596</v>
      </c>
      <c r="E135" s="14"/>
      <c r="F135" s="11"/>
    </row>
    <row r="136" spans="1:6" x14ac:dyDescent="0.2">
      <c r="A136" s="61"/>
      <c r="B136" s="61"/>
      <c r="C136" s="14" t="s">
        <v>911</v>
      </c>
      <c r="D136" s="14"/>
      <c r="E136" s="14"/>
      <c r="F136" s="11" t="s">
        <v>1131</v>
      </c>
    </row>
    <row r="137" spans="1:6" x14ac:dyDescent="0.2">
      <c r="A137" s="61"/>
      <c r="B137" s="61"/>
      <c r="C137" s="14" t="s">
        <v>53</v>
      </c>
      <c r="D137" s="14"/>
      <c r="E137" s="14" t="s">
        <v>665</v>
      </c>
      <c r="F137" s="11"/>
    </row>
    <row r="138" spans="1:6" x14ac:dyDescent="0.2">
      <c r="A138" s="61"/>
      <c r="B138" s="61"/>
      <c r="C138" s="14" t="s">
        <v>68</v>
      </c>
      <c r="D138" s="14"/>
      <c r="E138" s="14" t="s">
        <v>666</v>
      </c>
      <c r="F138" s="11"/>
    </row>
    <row r="139" spans="1:6" x14ac:dyDescent="0.2">
      <c r="A139" s="61"/>
      <c r="B139" s="61"/>
      <c r="C139" s="14" t="s">
        <v>595</v>
      </c>
      <c r="D139" s="14"/>
      <c r="E139" s="14"/>
      <c r="F139" s="11"/>
    </row>
    <row r="140" spans="1:6" x14ac:dyDescent="0.2">
      <c r="A140" s="61"/>
      <c r="B140" s="61"/>
      <c r="C140" s="14" t="s">
        <v>661</v>
      </c>
      <c r="D140" s="14"/>
      <c r="E140" s="14"/>
      <c r="F140" s="11"/>
    </row>
    <row r="141" spans="1:6" x14ac:dyDescent="0.2">
      <c r="A141" s="61"/>
      <c r="B141" s="61"/>
      <c r="C141" s="14" t="s">
        <v>662</v>
      </c>
      <c r="D141" s="14"/>
      <c r="E141" s="14"/>
      <c r="F141" s="11"/>
    </row>
    <row r="142" spans="1:6" x14ac:dyDescent="0.2">
      <c r="A142" s="61"/>
      <c r="B142" s="61"/>
      <c r="C142" s="14" t="s">
        <v>663</v>
      </c>
      <c r="D142" s="14"/>
      <c r="E142" s="14"/>
      <c r="F142" s="11"/>
    </row>
    <row r="143" spans="1:6" x14ac:dyDescent="0.2">
      <c r="A143" s="61"/>
      <c r="B143" s="61"/>
      <c r="C143" s="14" t="s">
        <v>664</v>
      </c>
      <c r="D143" s="14"/>
      <c r="E143" s="14"/>
      <c r="F143" s="11"/>
    </row>
    <row r="144" spans="1:6" x14ac:dyDescent="0.2">
      <c r="A144" s="61"/>
      <c r="B144" s="61"/>
      <c r="C144" s="14" t="s">
        <v>896</v>
      </c>
      <c r="D144" s="14"/>
      <c r="E144" s="14"/>
      <c r="F144" s="11"/>
    </row>
    <row r="145" spans="1:5" s="11" customFormat="1" x14ac:dyDescent="0.2">
      <c r="A145" s="61"/>
      <c r="B145" s="61"/>
      <c r="C145" s="14" t="s">
        <v>101</v>
      </c>
      <c r="D145" s="14"/>
      <c r="E145" s="14"/>
    </row>
    <row r="146" spans="1:5" s="11" customFormat="1" x14ac:dyDescent="0.2">
      <c r="A146" s="57"/>
      <c r="B146" s="50" t="s">
        <v>593</v>
      </c>
      <c r="C146" s="15" t="s">
        <v>54</v>
      </c>
      <c r="D146" s="15" t="s">
        <v>1165</v>
      </c>
      <c r="E146" s="15"/>
    </row>
    <row r="147" spans="1:5" s="11" customFormat="1" x14ac:dyDescent="0.2">
      <c r="A147" s="59"/>
      <c r="B147" s="52"/>
      <c r="C147" s="15" t="s">
        <v>61</v>
      </c>
      <c r="D147" s="15"/>
      <c r="E147" s="15"/>
    </row>
    <row r="148" spans="1:5" s="11" customFormat="1" x14ac:dyDescent="0.2">
      <c r="A148" s="39"/>
      <c r="B148" s="92" t="s">
        <v>4</v>
      </c>
      <c r="C148" s="14" t="s">
        <v>303</v>
      </c>
      <c r="D148" s="92" t="s">
        <v>4</v>
      </c>
      <c r="E148" s="14" t="s">
        <v>55</v>
      </c>
    </row>
    <row r="149" spans="1:5" s="11" customFormat="1" x14ac:dyDescent="0.2">
      <c r="A149" s="40"/>
      <c r="B149" s="40"/>
      <c r="C149" s="14" t="s">
        <v>886</v>
      </c>
      <c r="D149" s="14"/>
      <c r="E149" s="14" t="s">
        <v>892</v>
      </c>
    </row>
    <row r="150" spans="1:5" s="11" customFormat="1" x14ac:dyDescent="0.2">
      <c r="A150" s="40"/>
      <c r="B150" s="40"/>
      <c r="C150" s="14" t="s">
        <v>463</v>
      </c>
      <c r="D150" s="14"/>
      <c r="E150" s="14" t="s">
        <v>62</v>
      </c>
    </row>
    <row r="151" spans="1:5" s="11" customFormat="1" x14ac:dyDescent="0.2">
      <c r="A151" s="40"/>
      <c r="B151" s="40"/>
      <c r="C151" s="14" t="s">
        <v>466</v>
      </c>
      <c r="D151" s="14"/>
      <c r="E151" s="14" t="s">
        <v>246</v>
      </c>
    </row>
    <row r="152" spans="1:5" s="11" customFormat="1" x14ac:dyDescent="0.2">
      <c r="A152" s="40"/>
      <c r="B152" s="40"/>
      <c r="C152" s="14" t="s">
        <v>467</v>
      </c>
      <c r="D152" s="14"/>
      <c r="E152" s="14" t="s">
        <v>76</v>
      </c>
    </row>
    <row r="153" spans="1:5" s="11" customFormat="1" x14ac:dyDescent="0.2">
      <c r="A153" s="40"/>
      <c r="B153" s="40"/>
      <c r="C153" s="14" t="s">
        <v>464</v>
      </c>
      <c r="D153" s="14"/>
      <c r="E153" s="14" t="s">
        <v>82</v>
      </c>
    </row>
    <row r="154" spans="1:5" s="11" customFormat="1" x14ac:dyDescent="0.2">
      <c r="A154" s="40"/>
      <c r="B154" s="40"/>
      <c r="C154" s="14" t="s">
        <v>468</v>
      </c>
      <c r="D154" s="14"/>
      <c r="E154" s="14" t="s">
        <v>88</v>
      </c>
    </row>
    <row r="155" spans="1:5" s="11" customFormat="1" x14ac:dyDescent="0.2">
      <c r="A155" s="40"/>
      <c r="B155" s="40"/>
      <c r="C155" s="14" t="s">
        <v>465</v>
      </c>
      <c r="D155" s="14"/>
      <c r="E155" s="14" t="s">
        <v>94</v>
      </c>
    </row>
    <row r="156" spans="1:5" s="11" customFormat="1" x14ac:dyDescent="0.2">
      <c r="A156" s="40"/>
      <c r="B156" s="40"/>
      <c r="C156" s="14" t="s">
        <v>469</v>
      </c>
      <c r="D156" s="14"/>
      <c r="E156" s="14" t="s">
        <v>99</v>
      </c>
    </row>
    <row r="157" spans="1:5" s="11" customFormat="1" x14ac:dyDescent="0.2">
      <c r="A157" s="40"/>
      <c r="B157" s="40"/>
      <c r="C157" s="14" t="s">
        <v>470</v>
      </c>
      <c r="D157" s="14"/>
      <c r="E157" s="14" t="s">
        <v>105</v>
      </c>
    </row>
    <row r="158" spans="1:5" s="11" customFormat="1" x14ac:dyDescent="0.2">
      <c r="A158" s="40"/>
      <c r="B158" s="40"/>
      <c r="C158" s="14" t="s">
        <v>472</v>
      </c>
      <c r="D158" s="14"/>
      <c r="E158" s="14" t="s">
        <v>365</v>
      </c>
    </row>
    <row r="159" spans="1:5" s="11" customFormat="1" x14ac:dyDescent="0.2">
      <c r="A159" s="40"/>
      <c r="B159" s="40"/>
      <c r="C159" s="14" t="s">
        <v>471</v>
      </c>
      <c r="D159" s="14"/>
      <c r="E159" s="14" t="s">
        <v>109</v>
      </c>
    </row>
    <row r="160" spans="1:5" s="11" customFormat="1" x14ac:dyDescent="0.2">
      <c r="A160" s="40"/>
      <c r="B160" s="40"/>
      <c r="C160" s="14" t="s">
        <v>473</v>
      </c>
      <c r="D160" s="14"/>
      <c r="E160" s="14" t="s">
        <v>112</v>
      </c>
    </row>
    <row r="161" spans="1:5" s="11" customFormat="1" x14ac:dyDescent="0.2">
      <c r="A161" s="40"/>
      <c r="B161" s="40"/>
      <c r="C161" s="14" t="s">
        <v>474</v>
      </c>
      <c r="D161" s="14"/>
      <c r="E161" s="14" t="s">
        <v>114</v>
      </c>
    </row>
    <row r="162" spans="1:5" s="11" customFormat="1" x14ac:dyDescent="0.2">
      <c r="A162" s="40"/>
      <c r="B162" s="40"/>
      <c r="C162" s="14" t="s">
        <v>475</v>
      </c>
      <c r="D162" s="14"/>
      <c r="E162" s="14" t="s">
        <v>117</v>
      </c>
    </row>
    <row r="163" spans="1:5" s="11" customFormat="1" x14ac:dyDescent="0.2">
      <c r="A163" s="40"/>
      <c r="B163" s="40"/>
      <c r="C163" s="14" t="s">
        <v>476</v>
      </c>
      <c r="D163" s="14"/>
      <c r="E163" s="14" t="s">
        <v>120</v>
      </c>
    </row>
    <row r="164" spans="1:5" s="11" customFormat="1" x14ac:dyDescent="0.2">
      <c r="A164" s="40"/>
      <c r="B164" s="40"/>
      <c r="C164" s="14" t="s">
        <v>477</v>
      </c>
      <c r="D164" s="14"/>
      <c r="E164" s="14" t="s">
        <v>366</v>
      </c>
    </row>
    <row r="165" spans="1:5" s="11" customFormat="1" x14ac:dyDescent="0.2">
      <c r="A165" s="40"/>
      <c r="B165" s="40"/>
      <c r="C165" s="14" t="s">
        <v>478</v>
      </c>
      <c r="D165" s="14"/>
      <c r="E165" s="14" t="s">
        <v>122</v>
      </c>
    </row>
    <row r="166" spans="1:5" s="11" customFormat="1" x14ac:dyDescent="0.2">
      <c r="A166" s="40"/>
      <c r="B166" s="40"/>
      <c r="C166" s="14" t="s">
        <v>479</v>
      </c>
      <c r="D166" s="14"/>
      <c r="E166" s="14" t="s">
        <v>124</v>
      </c>
    </row>
    <row r="167" spans="1:5" s="11" customFormat="1" x14ac:dyDescent="0.2">
      <c r="A167" s="40"/>
      <c r="B167" s="40"/>
      <c r="C167" s="14" t="s">
        <v>480</v>
      </c>
      <c r="D167" s="14"/>
      <c r="E167" s="14" t="s">
        <v>125</v>
      </c>
    </row>
    <row r="168" spans="1:5" s="11" customFormat="1" x14ac:dyDescent="0.2">
      <c r="A168" s="40"/>
      <c r="B168" s="40"/>
      <c r="C168" s="14" t="s">
        <v>481</v>
      </c>
      <c r="D168" s="14"/>
      <c r="E168" s="14" t="s">
        <v>127</v>
      </c>
    </row>
    <row r="169" spans="1:5" s="11" customFormat="1" x14ac:dyDescent="0.2">
      <c r="A169" s="40"/>
      <c r="B169" s="40"/>
      <c r="C169" s="14" t="s">
        <v>482</v>
      </c>
      <c r="D169" s="14"/>
      <c r="E169" s="14" t="s">
        <v>247</v>
      </c>
    </row>
    <row r="170" spans="1:5" s="11" customFormat="1" x14ac:dyDescent="0.2">
      <c r="A170" s="40"/>
      <c r="B170" s="40"/>
      <c r="C170" s="14" t="s">
        <v>580</v>
      </c>
      <c r="D170" s="14"/>
      <c r="E170" s="14" t="s">
        <v>131</v>
      </c>
    </row>
    <row r="171" spans="1:5" s="11" customFormat="1" x14ac:dyDescent="0.2">
      <c r="A171" s="40"/>
      <c r="B171" s="40"/>
      <c r="C171" s="14" t="s">
        <v>483</v>
      </c>
      <c r="D171" s="14"/>
      <c r="E171" s="14" t="s">
        <v>133</v>
      </c>
    </row>
    <row r="172" spans="1:5" s="11" customFormat="1" x14ac:dyDescent="0.2">
      <c r="A172" s="40"/>
      <c r="B172" s="40"/>
      <c r="C172" s="14" t="s">
        <v>484</v>
      </c>
      <c r="D172" s="14"/>
      <c r="E172" s="14" t="s">
        <v>135</v>
      </c>
    </row>
    <row r="173" spans="1:5" s="11" customFormat="1" x14ac:dyDescent="0.2">
      <c r="A173" s="40"/>
      <c r="B173" s="40"/>
      <c r="C173" s="14" t="s">
        <v>485</v>
      </c>
      <c r="D173" s="14"/>
      <c r="E173" s="14" t="s">
        <v>137</v>
      </c>
    </row>
    <row r="174" spans="1:5" s="11" customFormat="1" x14ac:dyDescent="0.2">
      <c r="A174" s="40"/>
      <c r="B174" s="40"/>
      <c r="C174" s="14" t="s">
        <v>486</v>
      </c>
      <c r="D174" s="14"/>
      <c r="E174" s="14" t="s">
        <v>140</v>
      </c>
    </row>
    <row r="175" spans="1:5" s="11" customFormat="1" x14ac:dyDescent="0.2">
      <c r="A175" s="40"/>
      <c r="B175" s="40"/>
      <c r="C175" s="14" t="s">
        <v>487</v>
      </c>
      <c r="D175" s="14"/>
      <c r="E175" s="14" t="s">
        <v>142</v>
      </c>
    </row>
    <row r="176" spans="1:5" s="11" customFormat="1" x14ac:dyDescent="0.2">
      <c r="A176" s="40"/>
      <c r="B176" s="40"/>
      <c r="C176" s="14" t="s">
        <v>488</v>
      </c>
      <c r="D176" s="14"/>
      <c r="E176" s="14" t="s">
        <v>144</v>
      </c>
    </row>
    <row r="177" spans="1:6" x14ac:dyDescent="0.2">
      <c r="A177" s="40"/>
      <c r="B177" s="40"/>
      <c r="C177" s="14" t="s">
        <v>489</v>
      </c>
      <c r="D177" s="14"/>
      <c r="E177" s="14" t="s">
        <v>146</v>
      </c>
      <c r="F177" s="11"/>
    </row>
    <row r="178" spans="1:6" x14ac:dyDescent="0.2">
      <c r="A178" s="40"/>
      <c r="B178" s="40"/>
      <c r="C178" s="14" t="s">
        <v>490</v>
      </c>
      <c r="D178" s="14"/>
      <c r="E178" s="14" t="s">
        <v>148</v>
      </c>
      <c r="F178" s="11"/>
    </row>
    <row r="179" spans="1:6" x14ac:dyDescent="0.2">
      <c r="A179" s="40"/>
      <c r="B179" s="40"/>
      <c r="C179" s="14" t="s">
        <v>491</v>
      </c>
      <c r="D179" s="14"/>
      <c r="E179" s="14" t="s">
        <v>150</v>
      </c>
      <c r="F179" s="11"/>
    </row>
    <row r="180" spans="1:6" x14ac:dyDescent="0.2">
      <c r="A180" s="40"/>
      <c r="B180" s="40"/>
      <c r="C180" s="14" t="s">
        <v>1102</v>
      </c>
      <c r="D180" s="14"/>
      <c r="E180" s="14" t="s">
        <v>1077</v>
      </c>
      <c r="F180" s="11" t="s">
        <v>1131</v>
      </c>
    </row>
    <row r="181" spans="1:6" x14ac:dyDescent="0.2">
      <c r="A181" s="40"/>
      <c r="B181" s="40"/>
      <c r="C181" s="14" t="s">
        <v>101</v>
      </c>
      <c r="D181" s="14"/>
      <c r="E181" s="14" t="s">
        <v>101</v>
      </c>
      <c r="F181" s="11"/>
    </row>
    <row r="182" spans="1:6" ht="28.5" x14ac:dyDescent="0.2">
      <c r="A182" s="57"/>
      <c r="B182" s="78" t="s">
        <v>1220</v>
      </c>
      <c r="C182" s="32" t="s">
        <v>56</v>
      </c>
      <c r="D182" s="32" t="s">
        <v>1166</v>
      </c>
      <c r="E182" s="32"/>
      <c r="F182" s="11"/>
    </row>
    <row r="183" spans="1:6" x14ac:dyDescent="0.2">
      <c r="A183" s="58"/>
      <c r="B183" s="51"/>
      <c r="C183" s="32" t="s">
        <v>752</v>
      </c>
      <c r="D183" s="32"/>
      <c r="E183" s="32"/>
      <c r="F183" s="11"/>
    </row>
    <row r="184" spans="1:6" x14ac:dyDescent="0.2">
      <c r="A184" s="58"/>
      <c r="B184" s="51"/>
      <c r="C184" s="32" t="s">
        <v>63</v>
      </c>
      <c r="D184" s="32"/>
      <c r="E184" s="32"/>
      <c r="F184" s="11"/>
    </row>
    <row r="185" spans="1:6" x14ac:dyDescent="0.2">
      <c r="A185" s="59"/>
      <c r="B185" s="52"/>
      <c r="C185" s="33" t="s">
        <v>290</v>
      </c>
      <c r="D185" s="33"/>
      <c r="E185" s="33"/>
      <c r="F185" s="11"/>
    </row>
    <row r="186" spans="1:6" x14ac:dyDescent="0.2">
      <c r="A186" s="53"/>
      <c r="B186" s="53" t="s">
        <v>884</v>
      </c>
      <c r="C186" s="31" t="s">
        <v>606</v>
      </c>
      <c r="D186" s="53" t="s">
        <v>884</v>
      </c>
      <c r="E186" s="31"/>
      <c r="F186" s="11"/>
    </row>
    <row r="187" spans="1:6" x14ac:dyDescent="0.2">
      <c r="A187" s="54"/>
      <c r="B187" s="54"/>
      <c r="C187" s="31" t="s">
        <v>607</v>
      </c>
      <c r="D187" s="31"/>
      <c r="E187" s="31"/>
      <c r="F187" s="11"/>
    </row>
    <row r="188" spans="1:6" x14ac:dyDescent="0.2">
      <c r="A188" s="57"/>
      <c r="B188" s="50" t="s">
        <v>7</v>
      </c>
      <c r="C188" s="33" t="s">
        <v>64</v>
      </c>
      <c r="D188" s="50" t="s">
        <v>7</v>
      </c>
      <c r="E188" s="33" t="s">
        <v>392</v>
      </c>
      <c r="F188" s="11"/>
    </row>
    <row r="189" spans="1:6" x14ac:dyDescent="0.2">
      <c r="A189" s="58"/>
      <c r="B189" s="51"/>
      <c r="C189" s="33" t="s">
        <v>69</v>
      </c>
      <c r="D189" s="33"/>
      <c r="E189" s="33" t="s">
        <v>393</v>
      </c>
      <c r="F189" s="11"/>
    </row>
    <row r="190" spans="1:6" x14ac:dyDescent="0.2">
      <c r="A190" s="58"/>
      <c r="B190" s="51"/>
      <c r="C190" s="33" t="s">
        <v>77</v>
      </c>
      <c r="D190" s="33"/>
      <c r="E190" s="33" t="s">
        <v>77</v>
      </c>
      <c r="F190" s="11"/>
    </row>
    <row r="191" spans="1:6" x14ac:dyDescent="0.2">
      <c r="A191" s="58"/>
      <c r="B191" s="51"/>
      <c r="C191" s="33" t="s">
        <v>89</v>
      </c>
      <c r="D191" s="33"/>
      <c r="E191" s="33" t="s">
        <v>395</v>
      </c>
      <c r="F191" s="11"/>
    </row>
    <row r="192" spans="1:6" x14ac:dyDescent="0.2">
      <c r="A192" s="58"/>
      <c r="B192" s="51"/>
      <c r="C192" s="33" t="s">
        <v>106</v>
      </c>
      <c r="D192" s="33"/>
      <c r="E192" s="33" t="s">
        <v>398</v>
      </c>
      <c r="F192" s="11"/>
    </row>
    <row r="193" spans="1:5" s="11" customFormat="1" x14ac:dyDescent="0.2">
      <c r="A193" s="58"/>
      <c r="B193" s="51"/>
      <c r="C193" s="33" t="s">
        <v>404</v>
      </c>
      <c r="D193" s="33"/>
      <c r="E193" s="33" t="s">
        <v>399</v>
      </c>
    </row>
    <row r="194" spans="1:5" s="11" customFormat="1" x14ac:dyDescent="0.2">
      <c r="A194" s="58"/>
      <c r="B194" s="51"/>
      <c r="C194" s="33" t="s">
        <v>100</v>
      </c>
      <c r="D194" s="33"/>
      <c r="E194" s="33" t="s">
        <v>397</v>
      </c>
    </row>
    <row r="195" spans="1:5" s="11" customFormat="1" x14ac:dyDescent="0.2">
      <c r="A195" s="58"/>
      <c r="B195" s="51"/>
      <c r="C195" s="33" t="s">
        <v>429</v>
      </c>
      <c r="D195" s="33"/>
      <c r="E195" s="33" t="s">
        <v>400</v>
      </c>
    </row>
    <row r="196" spans="1:5" s="11" customFormat="1" x14ac:dyDescent="0.2">
      <c r="A196" s="58"/>
      <c r="B196" s="51"/>
      <c r="C196" s="33" t="s">
        <v>118</v>
      </c>
      <c r="D196" s="33"/>
      <c r="E196" s="33" t="s">
        <v>402</v>
      </c>
    </row>
    <row r="197" spans="1:5" s="11" customFormat="1" x14ac:dyDescent="0.2">
      <c r="A197" s="58"/>
      <c r="B197" s="51"/>
      <c r="C197" s="33" t="s">
        <v>115</v>
      </c>
      <c r="D197" s="33"/>
      <c r="E197" s="33" t="s">
        <v>401</v>
      </c>
    </row>
    <row r="198" spans="1:5" s="11" customFormat="1" x14ac:dyDescent="0.2">
      <c r="A198" s="58"/>
      <c r="B198" s="51"/>
      <c r="C198" s="33" t="s">
        <v>83</v>
      </c>
      <c r="D198" s="33"/>
      <c r="E198" s="33" t="s">
        <v>394</v>
      </c>
    </row>
    <row r="199" spans="1:5" s="11" customFormat="1" x14ac:dyDescent="0.2">
      <c r="A199" s="58"/>
      <c r="B199" s="51"/>
      <c r="C199" s="33" t="s">
        <v>95</v>
      </c>
      <c r="D199" s="33"/>
      <c r="E199" s="33" t="s">
        <v>396</v>
      </c>
    </row>
    <row r="200" spans="1:5" s="11" customFormat="1" x14ac:dyDescent="0.2">
      <c r="A200" s="58"/>
      <c r="B200" s="51"/>
      <c r="C200" s="33" t="s">
        <v>101</v>
      </c>
      <c r="D200" s="33"/>
      <c r="E200" s="33" t="s">
        <v>101</v>
      </c>
    </row>
    <row r="201" spans="1:5" s="11" customFormat="1" x14ac:dyDescent="0.2">
      <c r="A201" s="59"/>
      <c r="B201" s="52"/>
      <c r="C201" s="33" t="s">
        <v>290</v>
      </c>
      <c r="D201" s="33"/>
      <c r="E201" s="33" t="s">
        <v>403</v>
      </c>
    </row>
    <row r="202" spans="1:5" s="11" customFormat="1" x14ac:dyDescent="0.2">
      <c r="A202" s="92"/>
      <c r="B202" s="92" t="s">
        <v>8</v>
      </c>
      <c r="C202" s="14" t="s">
        <v>405</v>
      </c>
      <c r="D202" s="14" t="s">
        <v>1167</v>
      </c>
      <c r="E202" s="14"/>
    </row>
    <row r="203" spans="1:5" s="11" customFormat="1" x14ac:dyDescent="0.2">
      <c r="A203" s="40"/>
      <c r="B203" s="40"/>
      <c r="C203" s="14" t="s">
        <v>255</v>
      </c>
      <c r="D203" s="14"/>
      <c r="E203" s="14"/>
    </row>
    <row r="204" spans="1:5" s="11" customFormat="1" x14ac:dyDescent="0.2">
      <c r="A204" s="40"/>
      <c r="B204" s="40"/>
      <c r="C204" s="14" t="s">
        <v>622</v>
      </c>
      <c r="D204" s="14"/>
      <c r="E204" s="14"/>
    </row>
    <row r="205" spans="1:5" s="11" customFormat="1" x14ac:dyDescent="0.2">
      <c r="A205" s="40"/>
      <c r="B205" s="40"/>
      <c r="C205" s="14" t="s">
        <v>154</v>
      </c>
      <c r="D205" s="14"/>
      <c r="E205" s="14"/>
    </row>
    <row r="206" spans="1:5" s="11" customFormat="1" x14ac:dyDescent="0.2">
      <c r="A206" s="40"/>
      <c r="B206" s="40"/>
      <c r="C206" s="14" t="s">
        <v>616</v>
      </c>
      <c r="D206" s="14"/>
      <c r="E206" s="14"/>
    </row>
    <row r="207" spans="1:5" s="11" customFormat="1" x14ac:dyDescent="0.2">
      <c r="A207" s="40"/>
      <c r="B207" s="40"/>
      <c r="C207" s="14" t="s">
        <v>172</v>
      </c>
      <c r="D207" s="14"/>
      <c r="E207" s="106"/>
    </row>
    <row r="208" spans="1:5" s="11" customFormat="1" x14ac:dyDescent="0.2">
      <c r="A208" s="40"/>
      <c r="B208" s="40"/>
      <c r="C208" s="14" t="s">
        <v>618</v>
      </c>
      <c r="D208" s="14"/>
      <c r="E208" s="14"/>
    </row>
    <row r="209" spans="1:6" x14ac:dyDescent="0.2">
      <c r="A209" s="40"/>
      <c r="B209" s="40"/>
      <c r="C209" s="14" t="s">
        <v>65</v>
      </c>
      <c r="D209" s="14"/>
      <c r="E209" s="14"/>
      <c r="F209" s="11"/>
    </row>
    <row r="210" spans="1:6" x14ac:dyDescent="0.2">
      <c r="A210" s="40"/>
      <c r="B210" s="40"/>
      <c r="C210" s="14" t="s">
        <v>262</v>
      </c>
      <c r="D210" s="14"/>
      <c r="E210" s="14"/>
      <c r="F210" s="11"/>
    </row>
    <row r="211" spans="1:6" x14ac:dyDescent="0.2">
      <c r="A211" s="40"/>
      <c r="B211" s="40"/>
      <c r="C211" s="14" t="s">
        <v>623</v>
      </c>
      <c r="D211" s="14"/>
      <c r="E211" s="14"/>
      <c r="F211" s="11"/>
    </row>
    <row r="212" spans="1:6" x14ac:dyDescent="0.2">
      <c r="A212" s="40"/>
      <c r="B212" s="40"/>
      <c r="C212" s="14" t="s">
        <v>138</v>
      </c>
      <c r="D212" s="14"/>
      <c r="E212" s="14"/>
      <c r="F212" s="11"/>
    </row>
    <row r="213" spans="1:6" x14ac:dyDescent="0.2">
      <c r="A213" s="40"/>
      <c r="B213" s="40"/>
      <c r="C213" s="14" t="s">
        <v>251</v>
      </c>
      <c r="D213" s="14"/>
      <c r="E213" s="14"/>
      <c r="F213" s="11"/>
    </row>
    <row r="214" spans="1:6" x14ac:dyDescent="0.2">
      <c r="A214" s="40"/>
      <c r="B214" s="40"/>
      <c r="C214" s="14" t="s">
        <v>1208</v>
      </c>
      <c r="D214" s="14"/>
      <c r="E214" s="14"/>
      <c r="F214" s="11"/>
    </row>
    <row r="215" spans="1:6" x14ac:dyDescent="0.2">
      <c r="A215" s="40"/>
      <c r="B215" s="40"/>
      <c r="C215" s="14" t="s">
        <v>263</v>
      </c>
      <c r="D215" s="14"/>
      <c r="E215" s="14"/>
      <c r="F215" s="11"/>
    </row>
    <row r="216" spans="1:6" x14ac:dyDescent="0.2">
      <c r="A216" s="40"/>
      <c r="B216" s="40"/>
      <c r="C216" s="14" t="s">
        <v>675</v>
      </c>
      <c r="D216" s="14"/>
      <c r="E216" s="14"/>
      <c r="F216" s="11"/>
    </row>
    <row r="217" spans="1:6" x14ac:dyDescent="0.2">
      <c r="A217" s="40"/>
      <c r="B217" s="40"/>
      <c r="C217" s="14" t="s">
        <v>1104</v>
      </c>
      <c r="D217" s="14"/>
      <c r="E217" s="14" t="s">
        <v>624</v>
      </c>
      <c r="F217" s="11" t="s">
        <v>1131</v>
      </c>
    </row>
    <row r="218" spans="1:6" x14ac:dyDescent="0.2">
      <c r="A218" s="40"/>
      <c r="B218" s="40"/>
      <c r="C218" s="14" t="s">
        <v>260</v>
      </c>
      <c r="D218" s="14"/>
      <c r="E218" s="14"/>
      <c r="F218" s="11"/>
    </row>
    <row r="219" spans="1:6" x14ac:dyDescent="0.2">
      <c r="A219" s="40"/>
      <c r="B219" s="40"/>
      <c r="C219" s="14" t="s">
        <v>257</v>
      </c>
      <c r="D219" s="14"/>
      <c r="E219" s="14"/>
      <c r="F219" s="11"/>
    </row>
    <row r="220" spans="1:6" x14ac:dyDescent="0.2">
      <c r="A220" s="40"/>
      <c r="B220" s="40"/>
      <c r="C220" s="14" t="s">
        <v>258</v>
      </c>
      <c r="D220" s="14"/>
      <c r="E220" s="14"/>
      <c r="F220" s="11"/>
    </row>
    <row r="221" spans="1:6" x14ac:dyDescent="0.2">
      <c r="A221" s="40"/>
      <c r="B221" s="40"/>
      <c r="C221" s="14" t="s">
        <v>165</v>
      </c>
      <c r="D221" s="14"/>
      <c r="E221" s="106"/>
      <c r="F221" s="11"/>
    </row>
    <row r="222" spans="1:6" x14ac:dyDescent="0.2">
      <c r="A222" s="40"/>
      <c r="B222" s="40"/>
      <c r="C222" s="14" t="s">
        <v>249</v>
      </c>
      <c r="D222" s="14"/>
      <c r="E222" s="14"/>
      <c r="F222" s="11"/>
    </row>
    <row r="223" spans="1:6" x14ac:dyDescent="0.2">
      <c r="A223" s="40"/>
      <c r="B223" s="40"/>
      <c r="C223" s="14" t="s">
        <v>254</v>
      </c>
      <c r="D223" s="14"/>
      <c r="E223" s="14"/>
      <c r="F223" s="11"/>
    </row>
    <row r="224" spans="1:6" x14ac:dyDescent="0.2">
      <c r="A224" s="40"/>
      <c r="B224" s="40"/>
      <c r="C224" s="14" t="s">
        <v>70</v>
      </c>
      <c r="D224" s="14"/>
      <c r="E224" s="14"/>
      <c r="F224" s="11"/>
    </row>
    <row r="225" spans="1:5" s="11" customFormat="1" x14ac:dyDescent="0.2">
      <c r="A225" s="40"/>
      <c r="B225" s="40"/>
      <c r="C225" s="14" t="s">
        <v>252</v>
      </c>
      <c r="D225" s="14"/>
      <c r="E225" s="14"/>
    </row>
    <row r="226" spans="1:5" s="11" customFormat="1" x14ac:dyDescent="0.2">
      <c r="A226" s="40"/>
      <c r="B226" s="40"/>
      <c r="C226" s="14" t="s">
        <v>74</v>
      </c>
      <c r="D226" s="14"/>
      <c r="E226" s="14"/>
    </row>
    <row r="227" spans="1:5" s="11" customFormat="1" x14ac:dyDescent="0.2">
      <c r="A227" s="40"/>
      <c r="B227" s="40"/>
      <c r="C227" s="14" t="s">
        <v>256</v>
      </c>
      <c r="D227" s="14"/>
      <c r="E227" s="14"/>
    </row>
    <row r="228" spans="1:5" s="11" customFormat="1" x14ac:dyDescent="0.2">
      <c r="A228" s="40"/>
      <c r="B228" s="40"/>
      <c r="C228" s="14" t="s">
        <v>620</v>
      </c>
      <c r="D228" s="14"/>
      <c r="E228" s="14"/>
    </row>
    <row r="229" spans="1:5" s="11" customFormat="1" x14ac:dyDescent="0.2">
      <c r="A229" s="40"/>
      <c r="B229" s="40"/>
      <c r="C229" s="14" t="s">
        <v>621</v>
      </c>
      <c r="D229" s="14"/>
      <c r="E229" s="14"/>
    </row>
    <row r="230" spans="1:5" s="11" customFormat="1" x14ac:dyDescent="0.2">
      <c r="A230" s="40"/>
      <c r="B230" s="40"/>
      <c r="C230" s="14" t="s">
        <v>259</v>
      </c>
      <c r="D230" s="14"/>
      <c r="E230" s="14"/>
    </row>
    <row r="231" spans="1:5" s="11" customFormat="1" x14ac:dyDescent="0.2">
      <c r="A231" s="40"/>
      <c r="B231" s="40"/>
      <c r="C231" s="14" t="s">
        <v>84</v>
      </c>
      <c r="D231" s="14"/>
      <c r="E231" s="14"/>
    </row>
    <row r="232" spans="1:5" s="11" customFormat="1" x14ac:dyDescent="0.2">
      <c r="A232" s="40"/>
      <c r="B232" s="40"/>
      <c r="C232" s="14" t="s">
        <v>617</v>
      </c>
      <c r="D232" s="14"/>
      <c r="E232" s="14"/>
    </row>
    <row r="233" spans="1:5" s="11" customFormat="1" x14ac:dyDescent="0.2">
      <c r="A233" s="40"/>
      <c r="B233" s="40"/>
      <c r="C233" s="14" t="s">
        <v>615</v>
      </c>
      <c r="D233" s="14"/>
      <c r="E233" s="14"/>
    </row>
    <row r="234" spans="1:5" s="11" customFormat="1" x14ac:dyDescent="0.2">
      <c r="A234" s="40"/>
      <c r="B234" s="40"/>
      <c r="C234" s="14" t="s">
        <v>625</v>
      </c>
      <c r="D234" s="14"/>
      <c r="E234" s="14"/>
    </row>
    <row r="235" spans="1:5" s="11" customFormat="1" x14ac:dyDescent="0.2">
      <c r="A235" s="40"/>
      <c r="B235" s="40"/>
      <c r="C235" s="14" t="s">
        <v>250</v>
      </c>
      <c r="D235" s="14"/>
      <c r="E235" s="14"/>
    </row>
    <row r="236" spans="1:5" s="11" customFormat="1" x14ac:dyDescent="0.2">
      <c r="A236" s="40"/>
      <c r="B236" s="40"/>
      <c r="C236" s="14" t="s">
        <v>1209</v>
      </c>
      <c r="D236" s="14"/>
      <c r="E236" s="14"/>
    </row>
    <row r="237" spans="1:5" s="11" customFormat="1" x14ac:dyDescent="0.2">
      <c r="A237" s="40"/>
      <c r="B237" s="40"/>
      <c r="C237" s="14" t="s">
        <v>614</v>
      </c>
      <c r="D237" s="14"/>
      <c r="E237" s="14"/>
    </row>
    <row r="238" spans="1:5" s="11" customFormat="1" x14ac:dyDescent="0.2">
      <c r="A238" s="40"/>
      <c r="B238" s="40"/>
      <c r="C238" s="14" t="s">
        <v>261</v>
      </c>
      <c r="D238" s="14"/>
      <c r="E238" s="106"/>
    </row>
    <row r="239" spans="1:5" s="11" customFormat="1" x14ac:dyDescent="0.2">
      <c r="A239" s="40"/>
      <c r="B239" s="40"/>
      <c r="C239" s="14" t="s">
        <v>619</v>
      </c>
      <c r="D239" s="14"/>
      <c r="E239" s="14"/>
    </row>
    <row r="240" spans="1:5" s="11" customFormat="1" x14ac:dyDescent="0.2">
      <c r="A240" s="40"/>
      <c r="B240" s="40"/>
      <c r="C240" s="14" t="s">
        <v>1210</v>
      </c>
      <c r="D240" s="14"/>
      <c r="E240" s="14"/>
    </row>
    <row r="241" spans="1:5" s="11" customFormat="1" x14ac:dyDescent="0.2">
      <c r="A241" s="40"/>
      <c r="B241" s="40"/>
      <c r="C241" s="14" t="s">
        <v>1211</v>
      </c>
      <c r="D241" s="14"/>
      <c r="E241" s="14"/>
    </row>
    <row r="242" spans="1:5" s="11" customFormat="1" x14ac:dyDescent="0.2">
      <c r="A242" s="40"/>
      <c r="B242" s="40"/>
      <c r="C242" s="14" t="s">
        <v>1212</v>
      </c>
      <c r="D242" s="14"/>
      <c r="E242" s="14"/>
    </row>
    <row r="243" spans="1:5" s="11" customFormat="1" x14ac:dyDescent="0.2">
      <c r="A243" s="40"/>
      <c r="B243" s="40"/>
      <c r="C243" s="14" t="s">
        <v>170</v>
      </c>
      <c r="D243" s="14"/>
      <c r="E243" s="106"/>
    </row>
    <row r="244" spans="1:5" s="11" customFormat="1" x14ac:dyDescent="0.2">
      <c r="A244" s="40"/>
      <c r="B244" s="40"/>
      <c r="C244" s="14" t="s">
        <v>248</v>
      </c>
      <c r="D244" s="14"/>
      <c r="E244" s="14"/>
    </row>
    <row r="245" spans="1:5" s="11" customFormat="1" x14ac:dyDescent="0.2">
      <c r="A245" s="40"/>
      <c r="B245" s="40"/>
      <c r="C245" s="14" t="s">
        <v>167</v>
      </c>
      <c r="D245" s="14"/>
      <c r="E245" s="106"/>
    </row>
    <row r="246" spans="1:5" s="11" customFormat="1" x14ac:dyDescent="0.2">
      <c r="A246" s="40"/>
      <c r="B246" s="40"/>
      <c r="C246" s="14" t="s">
        <v>168</v>
      </c>
      <c r="D246" s="14"/>
      <c r="E246" s="106"/>
    </row>
    <row r="247" spans="1:5" s="11" customFormat="1" x14ac:dyDescent="0.2">
      <c r="A247" s="40"/>
      <c r="B247" s="40"/>
      <c r="C247" s="14" t="s">
        <v>163</v>
      </c>
      <c r="D247" s="14"/>
      <c r="E247" s="106"/>
    </row>
    <row r="248" spans="1:5" s="11" customFormat="1" x14ac:dyDescent="0.2">
      <c r="A248" s="40"/>
      <c r="B248" s="40"/>
      <c r="C248" s="14" t="s">
        <v>253</v>
      </c>
      <c r="D248" s="14"/>
      <c r="E248" s="14"/>
    </row>
    <row r="249" spans="1:5" s="11" customFormat="1" x14ac:dyDescent="0.2">
      <c r="A249" s="40"/>
      <c r="B249" s="40"/>
      <c r="C249" s="14" t="s">
        <v>161</v>
      </c>
      <c r="D249" s="14"/>
      <c r="E249" s="14"/>
    </row>
    <row r="250" spans="1:5" s="11" customFormat="1" x14ac:dyDescent="0.2">
      <c r="A250" s="40"/>
      <c r="B250" s="40"/>
      <c r="C250" s="14" t="s">
        <v>101</v>
      </c>
      <c r="D250" s="14"/>
      <c r="E250" s="14"/>
    </row>
    <row r="251" spans="1:5" s="11" customFormat="1" x14ac:dyDescent="0.2">
      <c r="A251" s="40"/>
      <c r="B251" s="40"/>
      <c r="C251" s="14" t="s">
        <v>821</v>
      </c>
      <c r="D251" s="14"/>
      <c r="E251" s="14"/>
    </row>
    <row r="252" spans="1:5" s="11" customFormat="1" x14ac:dyDescent="0.2">
      <c r="A252" s="40"/>
      <c r="B252" s="40"/>
      <c r="C252" s="14" t="s">
        <v>822</v>
      </c>
      <c r="D252" s="14"/>
      <c r="E252" s="14"/>
    </row>
    <row r="253" spans="1:5" s="11" customFormat="1" x14ac:dyDescent="0.2">
      <c r="A253" s="40"/>
      <c r="B253" s="40"/>
      <c r="C253" s="14" t="s">
        <v>823</v>
      </c>
      <c r="D253" s="14"/>
      <c r="E253" s="14"/>
    </row>
    <row r="254" spans="1:5" s="11" customFormat="1" x14ac:dyDescent="0.2">
      <c r="A254" s="40"/>
      <c r="B254" s="40"/>
      <c r="C254" s="14" t="s">
        <v>824</v>
      </c>
      <c r="D254" s="14"/>
      <c r="E254" s="14"/>
    </row>
    <row r="255" spans="1:5" s="11" customFormat="1" x14ac:dyDescent="0.2">
      <c r="A255" s="40"/>
      <c r="B255" s="40"/>
      <c r="C255" s="14" t="s">
        <v>825</v>
      </c>
      <c r="D255" s="14"/>
      <c r="E255" s="14"/>
    </row>
    <row r="256" spans="1:5" s="11" customFormat="1" x14ac:dyDescent="0.2">
      <c r="A256" s="40"/>
      <c r="B256" s="40"/>
      <c r="C256" s="14" t="s">
        <v>826</v>
      </c>
      <c r="D256" s="14"/>
      <c r="E256" s="14"/>
    </row>
    <row r="257" spans="1:6" x14ac:dyDescent="0.2">
      <c r="A257" s="40"/>
      <c r="B257" s="40"/>
      <c r="C257" s="14" t="s">
        <v>827</v>
      </c>
      <c r="D257" s="14"/>
      <c r="E257" s="14"/>
      <c r="F257" s="11"/>
    </row>
    <row r="258" spans="1:6" x14ac:dyDescent="0.2">
      <c r="A258" s="40"/>
      <c r="B258" s="40"/>
      <c r="C258" s="14" t="s">
        <v>828</v>
      </c>
      <c r="D258" s="14"/>
      <c r="E258" s="14"/>
      <c r="F258" s="11"/>
    </row>
    <row r="259" spans="1:6" x14ac:dyDescent="0.2">
      <c r="A259" s="40"/>
      <c r="B259" s="40"/>
      <c r="C259" s="14" t="s">
        <v>829</v>
      </c>
      <c r="D259" s="14"/>
      <c r="E259" s="14"/>
      <c r="F259" s="11"/>
    </row>
    <row r="260" spans="1:6" x14ac:dyDescent="0.2">
      <c r="A260" s="40"/>
      <c r="B260" s="40"/>
      <c r="C260" s="14" t="s">
        <v>830</v>
      </c>
      <c r="D260" s="14"/>
      <c r="E260" s="14"/>
      <c r="F260" s="11"/>
    </row>
    <row r="261" spans="1:6" x14ac:dyDescent="0.2">
      <c r="A261" s="40"/>
      <c r="B261" s="40"/>
      <c r="C261" s="14" t="s">
        <v>831</v>
      </c>
      <c r="D261" s="14"/>
      <c r="E261" s="14"/>
      <c r="F261" s="11"/>
    </row>
    <row r="262" spans="1:6" x14ac:dyDescent="0.2">
      <c r="A262" s="40"/>
      <c r="B262" s="40"/>
      <c r="C262" s="14" t="s">
        <v>832</v>
      </c>
      <c r="D262" s="14"/>
      <c r="E262" s="14"/>
      <c r="F262" s="11"/>
    </row>
    <row r="263" spans="1:6" x14ac:dyDescent="0.2">
      <c r="A263" s="40"/>
      <c r="B263" s="40"/>
      <c r="C263" s="14" t="s">
        <v>833</v>
      </c>
      <c r="D263" s="14"/>
      <c r="E263" s="14"/>
      <c r="F263" s="11"/>
    </row>
    <row r="264" spans="1:6" x14ac:dyDescent="0.2">
      <c r="A264" s="40"/>
      <c r="B264" s="40"/>
      <c r="C264" s="14" t="s">
        <v>834</v>
      </c>
      <c r="D264" s="14"/>
      <c r="E264" s="14"/>
      <c r="F264" s="11"/>
    </row>
    <row r="265" spans="1:6" x14ac:dyDescent="0.2">
      <c r="A265" s="40"/>
      <c r="B265" s="40"/>
      <c r="C265" s="14" t="s">
        <v>835</v>
      </c>
      <c r="D265" s="14"/>
      <c r="E265" s="14"/>
      <c r="F265" s="11"/>
    </row>
    <row r="266" spans="1:6" x14ac:dyDescent="0.2">
      <c r="A266" s="40"/>
      <c r="B266" s="40"/>
      <c r="C266" s="14" t="s">
        <v>836</v>
      </c>
      <c r="D266" s="14"/>
      <c r="E266" s="14"/>
      <c r="F266" s="11"/>
    </row>
    <row r="267" spans="1:6" x14ac:dyDescent="0.2">
      <c r="A267" s="40"/>
      <c r="B267" s="40"/>
      <c r="C267" s="14" t="s">
        <v>820</v>
      </c>
      <c r="D267" s="14"/>
      <c r="E267" s="14"/>
      <c r="F267" s="11"/>
    </row>
    <row r="268" spans="1:6" x14ac:dyDescent="0.2">
      <c r="A268" s="40"/>
      <c r="B268" s="40"/>
      <c r="C268" s="14" t="s">
        <v>1080</v>
      </c>
      <c r="D268" s="14"/>
      <c r="E268" s="14" t="s">
        <v>1079</v>
      </c>
      <c r="F268" s="11" t="s">
        <v>1131</v>
      </c>
    </row>
    <row r="269" spans="1:6" x14ac:dyDescent="0.2">
      <c r="A269" s="40"/>
      <c r="B269" s="40"/>
      <c r="C269" s="14" t="s">
        <v>1082</v>
      </c>
      <c r="D269" s="14"/>
      <c r="E269" s="14" t="s">
        <v>1081</v>
      </c>
      <c r="F269" s="11" t="s">
        <v>1131</v>
      </c>
    </row>
    <row r="270" spans="1:6" x14ac:dyDescent="0.2">
      <c r="A270" s="40"/>
      <c r="B270" s="40"/>
      <c r="C270" s="14" t="s">
        <v>1084</v>
      </c>
      <c r="D270" s="14"/>
      <c r="E270" s="14" t="s">
        <v>1083</v>
      </c>
      <c r="F270" s="11" t="s">
        <v>1131</v>
      </c>
    </row>
    <row r="271" spans="1:6" x14ac:dyDescent="0.2">
      <c r="A271" s="40"/>
      <c r="B271" s="40"/>
      <c r="C271" s="14" t="s">
        <v>837</v>
      </c>
      <c r="D271" s="14"/>
      <c r="E271" s="14"/>
      <c r="F271" s="11"/>
    </row>
    <row r="272" spans="1:6" x14ac:dyDescent="0.2">
      <c r="A272" s="40"/>
      <c r="B272" s="40"/>
      <c r="C272" s="14" t="s">
        <v>1086</v>
      </c>
      <c r="D272" s="14"/>
      <c r="E272" s="14" t="s">
        <v>1085</v>
      </c>
      <c r="F272" s="11" t="s">
        <v>1131</v>
      </c>
    </row>
    <row r="273" spans="1:6" x14ac:dyDescent="0.2">
      <c r="A273" s="40"/>
      <c r="B273" s="40"/>
      <c r="C273" s="14" t="s">
        <v>838</v>
      </c>
      <c r="D273" s="14"/>
      <c r="E273" s="14"/>
      <c r="F273" s="11"/>
    </row>
    <row r="274" spans="1:6" x14ac:dyDescent="0.2">
      <c r="A274" s="40"/>
      <c r="B274" s="40"/>
      <c r="C274" s="14" t="s">
        <v>839</v>
      </c>
      <c r="D274" s="14"/>
      <c r="E274" s="14"/>
      <c r="F274" s="11"/>
    </row>
    <row r="275" spans="1:6" x14ac:dyDescent="0.2">
      <c r="A275" s="40"/>
      <c r="B275" s="40"/>
      <c r="C275" s="14" t="s">
        <v>840</v>
      </c>
      <c r="D275" s="14"/>
      <c r="E275" s="14"/>
      <c r="F275" s="11"/>
    </row>
    <row r="276" spans="1:6" x14ac:dyDescent="0.2">
      <c r="A276" s="40"/>
      <c r="B276" s="40"/>
      <c r="C276" s="14" t="s">
        <v>841</v>
      </c>
      <c r="D276" s="14"/>
      <c r="E276" s="14"/>
      <c r="F276" s="11"/>
    </row>
    <row r="277" spans="1:6" x14ac:dyDescent="0.2">
      <c r="A277" s="40"/>
      <c r="B277" s="40"/>
      <c r="C277" s="14" t="s">
        <v>842</v>
      </c>
      <c r="D277" s="14"/>
      <c r="E277" s="14"/>
      <c r="F277" s="11"/>
    </row>
    <row r="278" spans="1:6" x14ac:dyDescent="0.2">
      <c r="A278" s="40"/>
      <c r="B278" s="40"/>
      <c r="C278" s="14" t="s">
        <v>843</v>
      </c>
      <c r="D278" s="14"/>
      <c r="E278" s="14"/>
      <c r="F278" s="11"/>
    </row>
    <row r="279" spans="1:6" x14ac:dyDescent="0.2">
      <c r="A279" s="40"/>
      <c r="B279" s="40"/>
      <c r="C279" s="14" t="s">
        <v>816</v>
      </c>
      <c r="D279" s="14"/>
      <c r="E279" s="14"/>
      <c r="F279" s="11"/>
    </row>
    <row r="280" spans="1:6" x14ac:dyDescent="0.2">
      <c r="A280" s="40"/>
      <c r="B280" s="40"/>
      <c r="C280" s="14" t="s">
        <v>1088</v>
      </c>
      <c r="D280" s="14"/>
      <c r="E280" s="14" t="s">
        <v>1087</v>
      </c>
      <c r="F280" s="11" t="s">
        <v>1131</v>
      </c>
    </row>
    <row r="281" spans="1:6" x14ac:dyDescent="0.2">
      <c r="A281" s="40"/>
      <c r="B281" s="40"/>
      <c r="C281" s="14" t="s">
        <v>844</v>
      </c>
      <c r="D281" s="14"/>
      <c r="E281" s="14"/>
      <c r="F281" s="11"/>
    </row>
    <row r="282" spans="1:6" x14ac:dyDescent="0.2">
      <c r="A282" s="40"/>
      <c r="B282" s="40"/>
      <c r="C282" s="14" t="s">
        <v>1090</v>
      </c>
      <c r="D282" s="14"/>
      <c r="E282" s="14" t="s">
        <v>1089</v>
      </c>
      <c r="F282" s="11" t="s">
        <v>1131</v>
      </c>
    </row>
    <row r="283" spans="1:6" x14ac:dyDescent="0.2">
      <c r="A283" s="40"/>
      <c r="B283" s="40"/>
      <c r="C283" s="14" t="s">
        <v>845</v>
      </c>
      <c r="D283" s="14"/>
      <c r="E283" s="14"/>
      <c r="F283" s="11"/>
    </row>
    <row r="284" spans="1:6" x14ac:dyDescent="0.2">
      <c r="A284" s="40"/>
      <c r="B284" s="40"/>
      <c r="C284" s="14" t="s">
        <v>846</v>
      </c>
      <c r="D284" s="14"/>
      <c r="E284" s="14"/>
      <c r="F284" s="11"/>
    </row>
    <row r="285" spans="1:6" x14ac:dyDescent="0.2">
      <c r="A285" s="40"/>
      <c r="B285" s="40"/>
      <c r="C285" s="14" t="s">
        <v>847</v>
      </c>
      <c r="D285" s="14"/>
      <c r="E285" s="14"/>
      <c r="F285" s="11"/>
    </row>
    <row r="286" spans="1:6" x14ac:dyDescent="0.2">
      <c r="A286" s="40"/>
      <c r="B286" s="40"/>
      <c r="C286" s="14" t="s">
        <v>848</v>
      </c>
      <c r="D286" s="14"/>
      <c r="E286" s="14"/>
      <c r="F286" s="11"/>
    </row>
    <row r="287" spans="1:6" x14ac:dyDescent="0.2">
      <c r="A287" s="40"/>
      <c r="B287" s="40"/>
      <c r="C287" s="14" t="s">
        <v>1092</v>
      </c>
      <c r="D287" s="14"/>
      <c r="E287" s="14" t="s">
        <v>1091</v>
      </c>
      <c r="F287" s="11" t="s">
        <v>1131</v>
      </c>
    </row>
    <row r="288" spans="1:6" x14ac:dyDescent="0.2">
      <c r="A288" s="40"/>
      <c r="B288" s="40"/>
      <c r="C288" s="14" t="s">
        <v>849</v>
      </c>
      <c r="D288" s="14"/>
      <c r="E288" s="14"/>
      <c r="F288" s="11"/>
    </row>
    <row r="289" spans="1:6" x14ac:dyDescent="0.2">
      <c r="A289" s="40"/>
      <c r="B289" s="40"/>
      <c r="C289" s="14" t="s">
        <v>850</v>
      </c>
      <c r="D289" s="14"/>
      <c r="E289" s="14"/>
      <c r="F289" s="11"/>
    </row>
    <row r="290" spans="1:6" x14ac:dyDescent="0.2">
      <c r="A290" s="40"/>
      <c r="B290" s="40"/>
      <c r="C290" s="14" t="s">
        <v>851</v>
      </c>
      <c r="D290" s="14"/>
      <c r="E290" s="14"/>
      <c r="F290" s="11"/>
    </row>
    <row r="291" spans="1:6" x14ac:dyDescent="0.2">
      <c r="A291" s="40"/>
      <c r="B291" s="40"/>
      <c r="C291" s="14" t="s">
        <v>852</v>
      </c>
      <c r="D291" s="14"/>
      <c r="E291" s="14"/>
      <c r="F291" s="11"/>
    </row>
    <row r="292" spans="1:6" x14ac:dyDescent="0.2">
      <c r="A292" s="40"/>
      <c r="B292" s="40"/>
      <c r="C292" s="14" t="s">
        <v>853</v>
      </c>
      <c r="D292" s="14"/>
      <c r="E292" s="14"/>
      <c r="F292" s="11"/>
    </row>
    <row r="293" spans="1:6" x14ac:dyDescent="0.2">
      <c r="A293" s="40"/>
      <c r="B293" s="40"/>
      <c r="C293" s="14" t="s">
        <v>854</v>
      </c>
      <c r="D293" s="14"/>
      <c r="E293" s="14"/>
      <c r="F293" s="11"/>
    </row>
    <row r="294" spans="1:6" x14ac:dyDescent="0.2">
      <c r="A294" s="40"/>
      <c r="B294" s="40"/>
      <c r="C294" s="14" t="s">
        <v>191</v>
      </c>
      <c r="D294" s="14"/>
      <c r="E294" s="14"/>
      <c r="F294" s="11"/>
    </row>
    <row r="295" spans="1:6" x14ac:dyDescent="0.2">
      <c r="A295" s="40"/>
      <c r="B295" s="40"/>
      <c r="C295" s="14" t="s">
        <v>1093</v>
      </c>
      <c r="D295" s="14"/>
      <c r="E295" s="14" t="s">
        <v>1094</v>
      </c>
      <c r="F295" s="11" t="s">
        <v>1131</v>
      </c>
    </row>
    <row r="296" spans="1:6" x14ac:dyDescent="0.2">
      <c r="A296" s="40"/>
      <c r="B296" s="40"/>
      <c r="C296" s="14" t="s">
        <v>855</v>
      </c>
      <c r="D296" s="14"/>
      <c r="E296" s="14"/>
      <c r="F296" s="11"/>
    </row>
    <row r="297" spans="1:6" x14ac:dyDescent="0.2">
      <c r="A297" s="40"/>
      <c r="B297" s="40"/>
      <c r="C297" s="14" t="s">
        <v>856</v>
      </c>
      <c r="D297" s="14"/>
      <c r="E297" s="14"/>
      <c r="F297" s="11"/>
    </row>
    <row r="298" spans="1:6" x14ac:dyDescent="0.2">
      <c r="A298" s="40"/>
      <c r="B298" s="40"/>
      <c r="C298" s="14" t="s">
        <v>1095</v>
      </c>
      <c r="D298" s="14"/>
      <c r="E298" s="14"/>
      <c r="F298" s="11" t="s">
        <v>1131</v>
      </c>
    </row>
    <row r="299" spans="1:6" x14ac:dyDescent="0.2">
      <c r="A299" s="40"/>
      <c r="B299" s="40"/>
      <c r="C299" s="14" t="s">
        <v>245</v>
      </c>
      <c r="D299" s="14"/>
      <c r="E299" s="14"/>
      <c r="F299" s="11"/>
    </row>
    <row r="300" spans="1:6" x14ac:dyDescent="0.2">
      <c r="A300" s="40"/>
      <c r="B300" s="40"/>
      <c r="C300" s="14" t="s">
        <v>857</v>
      </c>
      <c r="D300" s="14"/>
      <c r="E300" s="14"/>
      <c r="F300" s="11"/>
    </row>
    <row r="301" spans="1:6" x14ac:dyDescent="0.2">
      <c r="A301" s="40"/>
      <c r="B301" s="40"/>
      <c r="C301" s="14" t="s">
        <v>858</v>
      </c>
      <c r="D301" s="14"/>
      <c r="E301" s="14"/>
      <c r="F301" s="11"/>
    </row>
    <row r="302" spans="1:6" x14ac:dyDescent="0.2">
      <c r="A302" s="40"/>
      <c r="B302" s="40"/>
      <c r="C302" s="14" t="s">
        <v>859</v>
      </c>
      <c r="D302" s="14"/>
      <c r="E302" s="14"/>
      <c r="F302" s="11"/>
    </row>
    <row r="303" spans="1:6" x14ac:dyDescent="0.2">
      <c r="A303" s="40"/>
      <c r="B303" s="40"/>
      <c r="C303" s="14" t="s">
        <v>860</v>
      </c>
      <c r="D303" s="14"/>
      <c r="E303" s="14"/>
      <c r="F303" s="11"/>
    </row>
    <row r="304" spans="1:6" x14ac:dyDescent="0.2">
      <c r="A304" s="40"/>
      <c r="B304" s="40"/>
      <c r="C304" s="14" t="s">
        <v>861</v>
      </c>
      <c r="D304" s="14"/>
      <c r="E304" s="14"/>
      <c r="F304" s="11"/>
    </row>
    <row r="305" spans="1:6" x14ac:dyDescent="0.2">
      <c r="A305" s="40"/>
      <c r="B305" s="40"/>
      <c r="C305" s="14" t="s">
        <v>198</v>
      </c>
      <c r="D305" s="14"/>
      <c r="E305" s="14"/>
      <c r="F305" s="11"/>
    </row>
    <row r="306" spans="1:6" x14ac:dyDescent="0.2">
      <c r="A306" s="40"/>
      <c r="B306" s="40"/>
      <c r="C306" s="14" t="s">
        <v>862</v>
      </c>
      <c r="D306" s="14"/>
      <c r="E306" s="14"/>
      <c r="F306" s="11"/>
    </row>
    <row r="307" spans="1:6" x14ac:dyDescent="0.2">
      <c r="A307" s="40"/>
      <c r="B307" s="40"/>
      <c r="C307" s="14" t="s">
        <v>863</v>
      </c>
      <c r="D307" s="14"/>
      <c r="E307" s="14"/>
      <c r="F307" s="11"/>
    </row>
    <row r="308" spans="1:6" x14ac:dyDescent="0.2">
      <c r="A308" s="40"/>
      <c r="B308" s="40"/>
      <c r="C308" s="14" t="s">
        <v>904</v>
      </c>
      <c r="D308" s="14"/>
      <c r="E308" s="14"/>
      <c r="F308" s="11" t="s">
        <v>1131</v>
      </c>
    </row>
    <row r="309" spans="1:6" x14ac:dyDescent="0.2">
      <c r="A309" s="40"/>
      <c r="B309" s="40"/>
      <c r="C309" s="14" t="s">
        <v>905</v>
      </c>
      <c r="D309" s="14"/>
      <c r="E309" s="14"/>
      <c r="F309" s="11" t="s">
        <v>1131</v>
      </c>
    </row>
    <row r="310" spans="1:6" x14ac:dyDescent="0.2">
      <c r="A310" s="40"/>
      <c r="B310" s="40"/>
      <c r="C310" s="14" t="s">
        <v>906</v>
      </c>
      <c r="D310" s="14"/>
      <c r="E310" s="14"/>
      <c r="F310" s="11" t="s">
        <v>1131</v>
      </c>
    </row>
    <row r="311" spans="1:6" x14ac:dyDescent="0.2">
      <c r="A311" s="40"/>
      <c r="B311" s="40"/>
      <c r="C311" s="14" t="s">
        <v>864</v>
      </c>
      <c r="D311" s="14"/>
      <c r="E311" s="14"/>
      <c r="F311" s="11"/>
    </row>
    <row r="312" spans="1:6" x14ac:dyDescent="0.2">
      <c r="A312" s="40"/>
      <c r="B312" s="40"/>
      <c r="C312" s="14" t="s">
        <v>865</v>
      </c>
      <c r="D312" s="14"/>
      <c r="E312" s="14"/>
      <c r="F312" s="11"/>
    </row>
    <row r="313" spans="1:6" x14ac:dyDescent="0.2">
      <c r="A313" s="40"/>
      <c r="B313" s="40"/>
      <c r="C313" s="14" t="s">
        <v>866</v>
      </c>
      <c r="D313" s="14"/>
      <c r="E313" s="14"/>
      <c r="F313" s="11"/>
    </row>
    <row r="314" spans="1:6" x14ac:dyDescent="0.2">
      <c r="A314" s="40"/>
      <c r="B314" s="40"/>
      <c r="C314" s="14" t="s">
        <v>867</v>
      </c>
      <c r="D314" s="14"/>
      <c r="E314" s="14"/>
      <c r="F314" s="11"/>
    </row>
    <row r="315" spans="1:6" x14ac:dyDescent="0.2">
      <c r="A315" s="40"/>
      <c r="B315" s="40"/>
      <c r="C315" s="14" t="s">
        <v>868</v>
      </c>
      <c r="D315" s="14"/>
      <c r="E315" s="14"/>
      <c r="F315" s="11"/>
    </row>
    <row r="316" spans="1:6" x14ac:dyDescent="0.2">
      <c r="A316" s="40"/>
      <c r="B316" s="40"/>
      <c r="C316" s="14" t="s">
        <v>903</v>
      </c>
      <c r="D316" s="14"/>
      <c r="E316" s="106" t="s">
        <v>869</v>
      </c>
      <c r="F316" s="11" t="s">
        <v>1131</v>
      </c>
    </row>
    <row r="317" spans="1:6" x14ac:dyDescent="0.2">
      <c r="A317" s="40"/>
      <c r="B317" s="40"/>
      <c r="C317" s="14" t="s">
        <v>870</v>
      </c>
      <c r="D317" s="14"/>
      <c r="E317" s="14"/>
      <c r="F317" s="11"/>
    </row>
    <row r="318" spans="1:6" x14ac:dyDescent="0.2">
      <c r="A318" s="40"/>
      <c r="B318" s="40"/>
      <c r="C318" s="14" t="s">
        <v>871</v>
      </c>
      <c r="D318" s="14"/>
      <c r="E318" s="14"/>
      <c r="F318" s="11"/>
    </row>
    <row r="319" spans="1:6" x14ac:dyDescent="0.2">
      <c r="A319" s="40"/>
      <c r="B319" s="40"/>
      <c r="C319" s="14" t="s">
        <v>817</v>
      </c>
      <c r="D319" s="14"/>
      <c r="E319" s="14"/>
      <c r="F319" s="11"/>
    </row>
    <row r="320" spans="1:6" x14ac:dyDescent="0.2">
      <c r="A320" s="40"/>
      <c r="B320" s="40"/>
      <c r="C320" s="14" t="s">
        <v>818</v>
      </c>
      <c r="D320" s="14"/>
      <c r="E320" s="14"/>
      <c r="F320" s="11"/>
    </row>
    <row r="321" spans="1:6" x14ac:dyDescent="0.2">
      <c r="A321" s="40"/>
      <c r="B321" s="40"/>
      <c r="C321" s="14" t="s">
        <v>872</v>
      </c>
      <c r="D321" s="14"/>
      <c r="E321" s="14"/>
      <c r="F321" s="11"/>
    </row>
    <row r="322" spans="1:6" x14ac:dyDescent="0.2">
      <c r="A322" s="40"/>
      <c r="B322" s="40"/>
      <c r="C322" s="14" t="s">
        <v>819</v>
      </c>
      <c r="D322" s="14"/>
      <c r="E322" s="14"/>
      <c r="F322" s="11"/>
    </row>
    <row r="323" spans="1:6" x14ac:dyDescent="0.2">
      <c r="A323" s="40"/>
      <c r="B323" s="40"/>
      <c r="C323" s="14" t="s">
        <v>873</v>
      </c>
      <c r="D323" s="14"/>
      <c r="E323" s="14"/>
      <c r="F323" s="11"/>
    </row>
    <row r="324" spans="1:6" x14ac:dyDescent="0.2">
      <c r="A324" s="40"/>
      <c r="B324" s="40"/>
      <c r="C324" s="14" t="s">
        <v>874</v>
      </c>
      <c r="D324" s="14"/>
      <c r="E324" s="14"/>
      <c r="F324" s="11"/>
    </row>
    <row r="325" spans="1:6" x14ac:dyDescent="0.2">
      <c r="A325" s="40"/>
      <c r="B325" s="40"/>
      <c r="C325" s="14" t="s">
        <v>128</v>
      </c>
      <c r="D325" s="14"/>
      <c r="E325" s="14"/>
      <c r="F325" s="11"/>
    </row>
    <row r="326" spans="1:6" x14ac:dyDescent="0.2">
      <c r="A326" s="57"/>
      <c r="B326" s="47" t="s">
        <v>292</v>
      </c>
      <c r="C326" s="33" t="s">
        <v>914</v>
      </c>
      <c r="D326" s="47" t="s">
        <v>292</v>
      </c>
      <c r="E326" s="33"/>
      <c r="F326" s="11" t="s">
        <v>1131</v>
      </c>
    </row>
    <row r="327" spans="1:6" x14ac:dyDescent="0.2">
      <c r="A327" s="58"/>
      <c r="B327" s="48"/>
      <c r="C327" s="33" t="s">
        <v>1004</v>
      </c>
      <c r="D327" s="33"/>
      <c r="E327" s="33"/>
      <c r="F327" s="11" t="s">
        <v>1131</v>
      </c>
    </row>
    <row r="328" spans="1:6" x14ac:dyDescent="0.2">
      <c r="A328" s="58"/>
      <c r="B328" s="48"/>
      <c r="C328" s="108" t="s">
        <v>1005</v>
      </c>
      <c r="D328" s="108"/>
      <c r="E328" s="33"/>
      <c r="F328" s="11" t="s">
        <v>1131</v>
      </c>
    </row>
    <row r="329" spans="1:6" x14ac:dyDescent="0.2">
      <c r="A329" s="58"/>
      <c r="B329" s="48"/>
      <c r="C329" s="107" t="s">
        <v>915</v>
      </c>
      <c r="D329" s="107"/>
      <c r="E329" s="33"/>
      <c r="F329" s="11" t="s">
        <v>1131</v>
      </c>
    </row>
    <row r="330" spans="1:6" x14ac:dyDescent="0.2">
      <c r="A330" s="58"/>
      <c r="B330" s="48"/>
      <c r="C330" s="107" t="s">
        <v>996</v>
      </c>
      <c r="D330" s="107"/>
      <c r="E330" s="33"/>
      <c r="F330" s="11" t="s">
        <v>1131</v>
      </c>
    </row>
    <row r="331" spans="1:6" x14ac:dyDescent="0.2">
      <c r="A331" s="58"/>
      <c r="B331" s="48"/>
      <c r="C331" s="107" t="s">
        <v>916</v>
      </c>
      <c r="D331" s="107"/>
      <c r="E331" s="33"/>
      <c r="F331" s="11" t="s">
        <v>1131</v>
      </c>
    </row>
    <row r="332" spans="1:6" x14ac:dyDescent="0.2">
      <c r="A332" s="58"/>
      <c r="B332" s="48"/>
      <c r="C332" s="107" t="s">
        <v>917</v>
      </c>
      <c r="D332" s="107"/>
      <c r="E332" s="33"/>
      <c r="F332" s="11" t="s">
        <v>1131</v>
      </c>
    </row>
    <row r="333" spans="1:6" x14ac:dyDescent="0.2">
      <c r="A333" s="58"/>
      <c r="B333" s="48"/>
      <c r="C333" s="33" t="s">
        <v>997</v>
      </c>
      <c r="D333" s="33"/>
      <c r="E333" s="33"/>
      <c r="F333" s="11" t="s">
        <v>1131</v>
      </c>
    </row>
    <row r="334" spans="1:6" x14ac:dyDescent="0.2">
      <c r="A334" s="58"/>
      <c r="B334" s="48"/>
      <c r="C334" s="33" t="s">
        <v>998</v>
      </c>
      <c r="D334" s="33"/>
      <c r="E334" s="33"/>
      <c r="F334" s="11" t="s">
        <v>1131</v>
      </c>
    </row>
    <row r="335" spans="1:6" x14ac:dyDescent="0.2">
      <c r="A335" s="58"/>
      <c r="B335" s="48"/>
      <c r="C335" s="33" t="s">
        <v>999</v>
      </c>
      <c r="D335" s="33"/>
      <c r="E335" s="33"/>
      <c r="F335" s="11" t="s">
        <v>1131</v>
      </c>
    </row>
    <row r="336" spans="1:6" x14ac:dyDescent="0.2">
      <c r="A336" s="58"/>
      <c r="B336" s="48"/>
      <c r="C336" s="33" t="s">
        <v>1000</v>
      </c>
      <c r="D336" s="33"/>
      <c r="E336" s="33"/>
      <c r="F336" s="11" t="s">
        <v>1131</v>
      </c>
    </row>
    <row r="337" spans="1:6" x14ac:dyDescent="0.2">
      <c r="A337" s="58"/>
      <c r="B337" s="48"/>
      <c r="C337" s="33" t="s">
        <v>1001</v>
      </c>
      <c r="D337" s="33"/>
      <c r="E337" s="33"/>
      <c r="F337" s="11" t="s">
        <v>1131</v>
      </c>
    </row>
    <row r="338" spans="1:6" x14ac:dyDescent="0.2">
      <c r="A338" s="58"/>
      <c r="B338" s="48"/>
      <c r="C338" s="33" t="s">
        <v>1002</v>
      </c>
      <c r="D338" s="33"/>
      <c r="E338" s="33"/>
      <c r="F338" s="11" t="s">
        <v>1131</v>
      </c>
    </row>
    <row r="339" spans="1:6" x14ac:dyDescent="0.2">
      <c r="A339" s="58"/>
      <c r="B339" s="48"/>
      <c r="C339" s="33" t="s">
        <v>1003</v>
      </c>
      <c r="D339" s="33"/>
      <c r="E339" s="33"/>
      <c r="F339" s="11" t="s">
        <v>1131</v>
      </c>
    </row>
    <row r="340" spans="1:6" x14ac:dyDescent="0.2">
      <c r="A340" s="58"/>
      <c r="B340" s="48"/>
      <c r="C340" s="33" t="s">
        <v>1006</v>
      </c>
      <c r="D340" s="33"/>
      <c r="E340" s="33"/>
      <c r="F340" s="11" t="s">
        <v>1131</v>
      </c>
    </row>
    <row r="341" spans="1:6" x14ac:dyDescent="0.2">
      <c r="A341" s="58"/>
      <c r="B341" s="48"/>
      <c r="C341" s="33" t="s">
        <v>1007</v>
      </c>
      <c r="D341" s="33"/>
      <c r="E341" s="33"/>
      <c r="F341" s="11" t="s">
        <v>1131</v>
      </c>
    </row>
    <row r="342" spans="1:6" x14ac:dyDescent="0.2">
      <c r="A342" s="58"/>
      <c r="B342" s="48"/>
      <c r="C342" s="33" t="s">
        <v>1008</v>
      </c>
      <c r="D342" s="33"/>
      <c r="E342" s="33"/>
      <c r="F342" s="11" t="s">
        <v>1131</v>
      </c>
    </row>
    <row r="343" spans="1:6" x14ac:dyDescent="0.2">
      <c r="A343" s="58"/>
      <c r="B343" s="48"/>
      <c r="C343" s="33" t="s">
        <v>1009</v>
      </c>
      <c r="D343" s="33"/>
      <c r="E343" s="33"/>
      <c r="F343" s="11" t="s">
        <v>1131</v>
      </c>
    </row>
    <row r="344" spans="1:6" x14ac:dyDescent="0.2">
      <c r="A344" s="58"/>
      <c r="B344" s="48"/>
      <c r="C344" s="33" t="s">
        <v>1010</v>
      </c>
      <c r="D344" s="33"/>
      <c r="E344" s="33"/>
      <c r="F344" s="11" t="s">
        <v>1131</v>
      </c>
    </row>
    <row r="345" spans="1:6" x14ac:dyDescent="0.2">
      <c r="A345" s="58"/>
      <c r="B345" s="48"/>
      <c r="C345" s="33" t="s">
        <v>1011</v>
      </c>
      <c r="D345" s="33"/>
      <c r="E345" s="33"/>
      <c r="F345" s="11" t="s">
        <v>1131</v>
      </c>
    </row>
    <row r="346" spans="1:6" x14ac:dyDescent="0.2">
      <c r="A346" s="58"/>
      <c r="B346" s="48"/>
      <c r="C346" s="33" t="s">
        <v>1012</v>
      </c>
      <c r="D346" s="33"/>
      <c r="E346" s="33"/>
      <c r="F346" s="11" t="s">
        <v>1131</v>
      </c>
    </row>
    <row r="347" spans="1:6" x14ac:dyDescent="0.2">
      <c r="A347" s="58"/>
      <c r="B347" s="48"/>
      <c r="C347" s="33" t="s">
        <v>1013</v>
      </c>
      <c r="D347" s="33"/>
      <c r="E347" s="33"/>
      <c r="F347" s="11" t="s">
        <v>1131</v>
      </c>
    </row>
    <row r="348" spans="1:6" x14ac:dyDescent="0.2">
      <c r="A348" s="58"/>
      <c r="B348" s="48"/>
      <c r="C348" s="33" t="s">
        <v>1014</v>
      </c>
      <c r="D348" s="33"/>
      <c r="E348" s="33"/>
      <c r="F348" s="11" t="s">
        <v>1131</v>
      </c>
    </row>
    <row r="349" spans="1:6" x14ac:dyDescent="0.2">
      <c r="A349" s="58"/>
      <c r="B349" s="48"/>
      <c r="C349" s="33" t="s">
        <v>1015</v>
      </c>
      <c r="D349" s="33"/>
      <c r="E349" s="33"/>
      <c r="F349" s="11" t="s">
        <v>1131</v>
      </c>
    </row>
    <row r="350" spans="1:6" x14ac:dyDescent="0.2">
      <c r="A350" s="58"/>
      <c r="B350" s="48"/>
      <c r="C350" s="33" t="s">
        <v>1016</v>
      </c>
      <c r="D350" s="33"/>
      <c r="E350" s="33"/>
      <c r="F350" s="11" t="s">
        <v>1131</v>
      </c>
    </row>
    <row r="351" spans="1:6" x14ac:dyDescent="0.2">
      <c r="A351" s="58"/>
      <c r="B351" s="48"/>
      <c r="C351" s="33" t="s">
        <v>1017</v>
      </c>
      <c r="D351" s="33"/>
      <c r="E351" s="33"/>
      <c r="F351" s="11" t="s">
        <v>1131</v>
      </c>
    </row>
    <row r="352" spans="1:6" x14ac:dyDescent="0.2">
      <c r="A352" s="58"/>
      <c r="B352" s="48"/>
      <c r="C352" s="33" t="s">
        <v>1018</v>
      </c>
      <c r="D352" s="33"/>
      <c r="E352" s="33"/>
      <c r="F352" s="11" t="s">
        <v>1131</v>
      </c>
    </row>
    <row r="353" spans="1:6" x14ac:dyDescent="0.2">
      <c r="A353" s="58"/>
      <c r="B353" s="48"/>
      <c r="C353" s="33" t="s">
        <v>1019</v>
      </c>
      <c r="D353" s="33"/>
      <c r="E353" s="33"/>
      <c r="F353" s="11" t="s">
        <v>1131</v>
      </c>
    </row>
    <row r="354" spans="1:6" x14ac:dyDescent="0.2">
      <c r="A354" s="58"/>
      <c r="B354" s="48"/>
      <c r="C354" s="33" t="s">
        <v>1020</v>
      </c>
      <c r="D354" s="33"/>
      <c r="E354" s="33"/>
      <c r="F354" s="11" t="s">
        <v>1131</v>
      </c>
    </row>
    <row r="355" spans="1:6" x14ac:dyDescent="0.2">
      <c r="A355" s="58"/>
      <c r="B355" s="48"/>
      <c r="C355" s="33" t="s">
        <v>1021</v>
      </c>
      <c r="D355" s="33"/>
      <c r="E355" s="33"/>
      <c r="F355" s="11" t="s">
        <v>1131</v>
      </c>
    </row>
    <row r="356" spans="1:6" x14ac:dyDescent="0.2">
      <c r="A356" s="58"/>
      <c r="B356" s="48"/>
      <c r="C356" s="33" t="s">
        <v>1022</v>
      </c>
      <c r="D356" s="33"/>
      <c r="E356" s="33"/>
      <c r="F356" s="11" t="s">
        <v>1131</v>
      </c>
    </row>
    <row r="357" spans="1:6" x14ac:dyDescent="0.2">
      <c r="A357" s="58"/>
      <c r="B357" s="48"/>
      <c r="C357" s="33" t="s">
        <v>1023</v>
      </c>
      <c r="D357" s="33"/>
      <c r="E357" s="33"/>
      <c r="F357" s="11" t="s">
        <v>1131</v>
      </c>
    </row>
    <row r="358" spans="1:6" x14ac:dyDescent="0.2">
      <c r="A358" s="58"/>
      <c r="B358" s="48"/>
      <c r="C358" s="33" t="s">
        <v>1024</v>
      </c>
      <c r="D358" s="33"/>
      <c r="E358" s="33"/>
      <c r="F358" s="11" t="s">
        <v>1131</v>
      </c>
    </row>
    <row r="359" spans="1:6" x14ac:dyDescent="0.2">
      <c r="A359" s="58"/>
      <c r="B359" s="48"/>
      <c r="C359" s="33" t="s">
        <v>1025</v>
      </c>
      <c r="D359" s="33"/>
      <c r="E359" s="33"/>
      <c r="F359" s="11" t="s">
        <v>1131</v>
      </c>
    </row>
    <row r="360" spans="1:6" x14ac:dyDescent="0.2">
      <c r="A360" s="58"/>
      <c r="B360" s="48"/>
      <c r="C360" s="33" t="s">
        <v>1026</v>
      </c>
      <c r="D360" s="33"/>
      <c r="E360" s="33"/>
      <c r="F360" s="11" t="s">
        <v>1131</v>
      </c>
    </row>
    <row r="361" spans="1:6" x14ac:dyDescent="0.2">
      <c r="A361" s="58"/>
      <c r="B361" s="48"/>
      <c r="C361" s="33" t="s">
        <v>1027</v>
      </c>
      <c r="D361" s="33"/>
      <c r="E361" s="33"/>
      <c r="F361" s="11" t="s">
        <v>1131</v>
      </c>
    </row>
    <row r="362" spans="1:6" x14ac:dyDescent="0.2">
      <c r="A362" s="58"/>
      <c r="B362" s="48"/>
      <c r="C362" s="33" t="s">
        <v>1028</v>
      </c>
      <c r="D362" s="33"/>
      <c r="E362" s="33"/>
      <c r="F362" s="11" t="s">
        <v>1131</v>
      </c>
    </row>
    <row r="363" spans="1:6" x14ac:dyDescent="0.2">
      <c r="A363" s="58"/>
      <c r="B363" s="48"/>
      <c r="C363" s="33" t="s">
        <v>1029</v>
      </c>
      <c r="D363" s="33"/>
      <c r="E363" s="33"/>
      <c r="F363" s="11" t="s">
        <v>1131</v>
      </c>
    </row>
    <row r="364" spans="1:6" x14ac:dyDescent="0.2">
      <c r="A364" s="58"/>
      <c r="B364" s="48"/>
      <c r="C364" s="33" t="s">
        <v>1030</v>
      </c>
      <c r="D364" s="33"/>
      <c r="E364" s="33"/>
      <c r="F364" s="11" t="s">
        <v>1131</v>
      </c>
    </row>
    <row r="365" spans="1:6" x14ac:dyDescent="0.2">
      <c r="A365" s="58"/>
      <c r="B365" s="48"/>
      <c r="C365" s="33" t="s">
        <v>1031</v>
      </c>
      <c r="D365" s="33"/>
      <c r="E365" s="33"/>
      <c r="F365" s="11" t="s">
        <v>1131</v>
      </c>
    </row>
    <row r="366" spans="1:6" x14ac:dyDescent="0.2">
      <c r="A366" s="58"/>
      <c r="B366" s="48"/>
      <c r="C366" s="33" t="s">
        <v>1032</v>
      </c>
      <c r="D366" s="33"/>
      <c r="E366" s="33"/>
      <c r="F366" s="11" t="s">
        <v>1131</v>
      </c>
    </row>
    <row r="367" spans="1:6" x14ac:dyDescent="0.2">
      <c r="A367" s="58"/>
      <c r="B367" s="48"/>
      <c r="C367" s="33" t="s">
        <v>1033</v>
      </c>
      <c r="D367" s="33"/>
      <c r="E367" s="33"/>
      <c r="F367" s="11" t="s">
        <v>1131</v>
      </c>
    </row>
    <row r="368" spans="1:6" x14ac:dyDescent="0.2">
      <c r="A368" s="58"/>
      <c r="B368" s="48"/>
      <c r="C368" s="33" t="s">
        <v>1034</v>
      </c>
      <c r="D368" s="33"/>
      <c r="E368" s="33"/>
      <c r="F368" s="11" t="s">
        <v>1131</v>
      </c>
    </row>
    <row r="369" spans="1:6" x14ac:dyDescent="0.2">
      <c r="A369" s="58"/>
      <c r="B369" s="48"/>
      <c r="C369" s="33" t="s">
        <v>918</v>
      </c>
      <c r="D369" s="33"/>
      <c r="E369" s="33"/>
      <c r="F369" s="11" t="s">
        <v>1131</v>
      </c>
    </row>
    <row r="370" spans="1:6" x14ac:dyDescent="0.2">
      <c r="A370" s="58"/>
      <c r="B370" s="48"/>
      <c r="C370" s="33" t="s">
        <v>919</v>
      </c>
      <c r="D370" s="33"/>
      <c r="E370" s="33"/>
      <c r="F370" s="11" t="s">
        <v>1131</v>
      </c>
    </row>
    <row r="371" spans="1:6" x14ac:dyDescent="0.2">
      <c r="A371" s="58"/>
      <c r="B371" s="48"/>
      <c r="C371" s="33" t="s">
        <v>920</v>
      </c>
      <c r="D371" s="33"/>
      <c r="E371" s="33"/>
      <c r="F371" s="11" t="s">
        <v>1131</v>
      </c>
    </row>
    <row r="372" spans="1:6" x14ac:dyDescent="0.2">
      <c r="A372" s="58"/>
      <c r="B372" s="48"/>
      <c r="C372" s="33" t="s">
        <v>921</v>
      </c>
      <c r="D372" s="33"/>
      <c r="E372" s="33"/>
      <c r="F372" s="11" t="s">
        <v>1131</v>
      </c>
    </row>
    <row r="373" spans="1:6" x14ac:dyDescent="0.2">
      <c r="A373" s="58"/>
      <c r="B373" s="48"/>
      <c r="C373" s="33" t="s">
        <v>922</v>
      </c>
      <c r="D373" s="33"/>
      <c r="E373" s="33"/>
      <c r="F373" s="11" t="s">
        <v>1131</v>
      </c>
    </row>
    <row r="374" spans="1:6" x14ac:dyDescent="0.2">
      <c r="A374" s="58"/>
      <c r="B374" s="48"/>
      <c r="C374" s="33" t="s">
        <v>923</v>
      </c>
      <c r="D374" s="33"/>
      <c r="E374" s="33"/>
      <c r="F374" s="11" t="s">
        <v>1131</v>
      </c>
    </row>
    <row r="375" spans="1:6" x14ac:dyDescent="0.2">
      <c r="A375" s="58"/>
      <c r="B375" s="48"/>
      <c r="C375" s="33" t="s">
        <v>924</v>
      </c>
      <c r="D375" s="33"/>
      <c r="E375" s="33"/>
      <c r="F375" s="11" t="s">
        <v>1131</v>
      </c>
    </row>
    <row r="376" spans="1:6" x14ac:dyDescent="0.2">
      <c r="A376" s="58"/>
      <c r="B376" s="48"/>
      <c r="C376" s="33" t="s">
        <v>925</v>
      </c>
      <c r="D376" s="33"/>
      <c r="E376" s="33"/>
      <c r="F376" s="11" t="s">
        <v>1131</v>
      </c>
    </row>
    <row r="377" spans="1:6" x14ac:dyDescent="0.2">
      <c r="A377" s="58"/>
      <c r="B377" s="48"/>
      <c r="C377" s="33" t="s">
        <v>926</v>
      </c>
      <c r="D377" s="33"/>
      <c r="E377" s="33"/>
      <c r="F377" s="11" t="s">
        <v>1131</v>
      </c>
    </row>
    <row r="378" spans="1:6" x14ac:dyDescent="0.2">
      <c r="A378" s="58"/>
      <c r="B378" s="48"/>
      <c r="C378" s="33" t="s">
        <v>927</v>
      </c>
      <c r="D378" s="33"/>
      <c r="E378" s="33"/>
      <c r="F378" s="11" t="s">
        <v>1131</v>
      </c>
    </row>
    <row r="379" spans="1:6" x14ac:dyDescent="0.2">
      <c r="A379" s="58"/>
      <c r="B379" s="48"/>
      <c r="C379" s="33" t="s">
        <v>928</v>
      </c>
      <c r="D379" s="33"/>
      <c r="E379" s="33"/>
      <c r="F379" s="11" t="s">
        <v>1131</v>
      </c>
    </row>
    <row r="380" spans="1:6" x14ac:dyDescent="0.2">
      <c r="A380" s="58"/>
      <c r="B380" s="48"/>
      <c r="C380" s="33" t="s">
        <v>929</v>
      </c>
      <c r="D380" s="33"/>
      <c r="E380" s="33"/>
      <c r="F380" s="11" t="s">
        <v>1131</v>
      </c>
    </row>
    <row r="381" spans="1:6" x14ac:dyDescent="0.2">
      <c r="A381" s="58"/>
      <c r="B381" s="48"/>
      <c r="C381" s="33" t="s">
        <v>930</v>
      </c>
      <c r="D381" s="33"/>
      <c r="E381" s="33"/>
      <c r="F381" s="11" t="s">
        <v>1131</v>
      </c>
    </row>
    <row r="382" spans="1:6" x14ac:dyDescent="0.2">
      <c r="A382" s="58"/>
      <c r="B382" s="48"/>
      <c r="C382" s="33" t="s">
        <v>931</v>
      </c>
      <c r="D382" s="33"/>
      <c r="E382" s="33"/>
      <c r="F382" s="11" t="s">
        <v>1131</v>
      </c>
    </row>
    <row r="383" spans="1:6" x14ac:dyDescent="0.2">
      <c r="A383" s="58"/>
      <c r="B383" s="48"/>
      <c r="C383" s="33" t="s">
        <v>932</v>
      </c>
      <c r="D383" s="33"/>
      <c r="E383" s="33"/>
      <c r="F383" s="11" t="s">
        <v>1131</v>
      </c>
    </row>
    <row r="384" spans="1:6" x14ac:dyDescent="0.2">
      <c r="A384" s="58"/>
      <c r="B384" s="48"/>
      <c r="C384" s="33" t="s">
        <v>933</v>
      </c>
      <c r="D384" s="33"/>
      <c r="E384" s="33"/>
      <c r="F384" s="11" t="s">
        <v>1131</v>
      </c>
    </row>
    <row r="385" spans="1:6" x14ac:dyDescent="0.2">
      <c r="A385" s="58"/>
      <c r="B385" s="48"/>
      <c r="C385" s="33" t="s">
        <v>934</v>
      </c>
      <c r="D385" s="33"/>
      <c r="E385" s="33"/>
      <c r="F385" s="11" t="s">
        <v>1131</v>
      </c>
    </row>
    <row r="386" spans="1:6" x14ac:dyDescent="0.2">
      <c r="A386" s="58"/>
      <c r="B386" s="48"/>
      <c r="C386" s="33" t="s">
        <v>935</v>
      </c>
      <c r="D386" s="33"/>
      <c r="E386" s="33"/>
      <c r="F386" s="11" t="s">
        <v>1131</v>
      </c>
    </row>
    <row r="387" spans="1:6" x14ac:dyDescent="0.2">
      <c r="A387" s="58"/>
      <c r="B387" s="48"/>
      <c r="C387" s="33" t="s">
        <v>936</v>
      </c>
      <c r="D387" s="33"/>
      <c r="E387" s="33"/>
      <c r="F387" s="11" t="s">
        <v>1131</v>
      </c>
    </row>
    <row r="388" spans="1:6" x14ac:dyDescent="0.2">
      <c r="A388" s="58"/>
      <c r="B388" s="48"/>
      <c r="C388" s="33" t="s">
        <v>937</v>
      </c>
      <c r="D388" s="33"/>
      <c r="E388" s="33"/>
      <c r="F388" s="11" t="s">
        <v>1131</v>
      </c>
    </row>
    <row r="389" spans="1:6" x14ac:dyDescent="0.2">
      <c r="A389" s="58"/>
      <c r="B389" s="48"/>
      <c r="C389" s="33" t="s">
        <v>938</v>
      </c>
      <c r="D389" s="33"/>
      <c r="E389" s="33"/>
      <c r="F389" s="11" t="s">
        <v>1131</v>
      </c>
    </row>
    <row r="390" spans="1:6" x14ac:dyDescent="0.2">
      <c r="A390" s="58"/>
      <c r="B390" s="48"/>
      <c r="C390" s="33" t="s">
        <v>939</v>
      </c>
      <c r="D390" s="33"/>
      <c r="E390" s="33"/>
      <c r="F390" s="11" t="s">
        <v>1131</v>
      </c>
    </row>
    <row r="391" spans="1:6" x14ac:dyDescent="0.2">
      <c r="A391" s="58"/>
      <c r="B391" s="48"/>
      <c r="C391" s="33" t="s">
        <v>940</v>
      </c>
      <c r="D391" s="33"/>
      <c r="E391" s="33"/>
      <c r="F391" s="11" t="s">
        <v>1131</v>
      </c>
    </row>
    <row r="392" spans="1:6" x14ac:dyDescent="0.2">
      <c r="A392" s="58"/>
      <c r="B392" s="48"/>
      <c r="C392" s="33" t="s">
        <v>941</v>
      </c>
      <c r="D392" s="33"/>
      <c r="E392" s="33"/>
      <c r="F392" s="11" t="s">
        <v>1131</v>
      </c>
    </row>
    <row r="393" spans="1:6" x14ac:dyDescent="0.2">
      <c r="A393" s="58"/>
      <c r="B393" s="48"/>
      <c r="C393" s="33" t="s">
        <v>942</v>
      </c>
      <c r="D393" s="33"/>
      <c r="E393" s="33"/>
      <c r="F393" s="11" t="s">
        <v>1131</v>
      </c>
    </row>
    <row r="394" spans="1:6" x14ac:dyDescent="0.2">
      <c r="A394" s="58"/>
      <c r="B394" s="48"/>
      <c r="C394" s="33" t="s">
        <v>943</v>
      </c>
      <c r="D394" s="33"/>
      <c r="E394" s="33"/>
      <c r="F394" s="11" t="s">
        <v>1131</v>
      </c>
    </row>
    <row r="395" spans="1:6" x14ac:dyDescent="0.2">
      <c r="A395" s="58"/>
      <c r="B395" s="48"/>
      <c r="C395" s="33" t="s">
        <v>944</v>
      </c>
      <c r="D395" s="33"/>
      <c r="E395" s="33"/>
      <c r="F395" s="11" t="s">
        <v>1131</v>
      </c>
    </row>
    <row r="396" spans="1:6" x14ac:dyDescent="0.2">
      <c r="A396" s="58"/>
      <c r="B396" s="48"/>
      <c r="C396" s="33" t="s">
        <v>945</v>
      </c>
      <c r="D396" s="33"/>
      <c r="E396" s="33"/>
      <c r="F396" s="11" t="s">
        <v>1131</v>
      </c>
    </row>
    <row r="397" spans="1:6" x14ac:dyDescent="0.2">
      <c r="A397" s="58"/>
      <c r="B397" s="48"/>
      <c r="C397" s="33" t="s">
        <v>946</v>
      </c>
      <c r="D397" s="33"/>
      <c r="E397" s="33"/>
      <c r="F397" s="11" t="s">
        <v>1131</v>
      </c>
    </row>
    <row r="398" spans="1:6" x14ac:dyDescent="0.2">
      <c r="A398" s="58"/>
      <c r="B398" s="48"/>
      <c r="C398" s="33" t="s">
        <v>947</v>
      </c>
      <c r="D398" s="33"/>
      <c r="E398" s="33"/>
      <c r="F398" s="11" t="s">
        <v>1131</v>
      </c>
    </row>
    <row r="399" spans="1:6" x14ac:dyDescent="0.2">
      <c r="A399" s="58"/>
      <c r="B399" s="48"/>
      <c r="C399" s="33" t="s">
        <v>948</v>
      </c>
      <c r="D399" s="33"/>
      <c r="E399" s="33"/>
      <c r="F399" s="11" t="s">
        <v>1131</v>
      </c>
    </row>
    <row r="400" spans="1:6" x14ac:dyDescent="0.2">
      <c r="A400" s="58"/>
      <c r="B400" s="48"/>
      <c r="C400" s="33" t="s">
        <v>949</v>
      </c>
      <c r="D400" s="33"/>
      <c r="E400" s="33"/>
      <c r="F400" s="11" t="s">
        <v>1131</v>
      </c>
    </row>
    <row r="401" spans="1:6" x14ac:dyDescent="0.2">
      <c r="A401" s="58"/>
      <c r="B401" s="48"/>
      <c r="C401" s="33" t="s">
        <v>950</v>
      </c>
      <c r="D401" s="33"/>
      <c r="E401" s="33"/>
      <c r="F401" s="11" t="s">
        <v>1131</v>
      </c>
    </row>
    <row r="402" spans="1:6" x14ac:dyDescent="0.2">
      <c r="A402" s="58"/>
      <c r="B402" s="48"/>
      <c r="C402" s="33" t="s">
        <v>951</v>
      </c>
      <c r="D402" s="33"/>
      <c r="E402" s="33"/>
      <c r="F402" s="11" t="s">
        <v>1131</v>
      </c>
    </row>
    <row r="403" spans="1:6" x14ac:dyDescent="0.2">
      <c r="A403" s="58"/>
      <c r="B403" s="48"/>
      <c r="C403" s="33" t="s">
        <v>952</v>
      </c>
      <c r="D403" s="33"/>
      <c r="E403" s="33"/>
      <c r="F403" s="11" t="s">
        <v>1131</v>
      </c>
    </row>
    <row r="404" spans="1:6" x14ac:dyDescent="0.2">
      <c r="A404" s="58"/>
      <c r="B404" s="48"/>
      <c r="C404" s="33" t="s">
        <v>953</v>
      </c>
      <c r="D404" s="33"/>
      <c r="E404" s="33"/>
      <c r="F404" s="11" t="s">
        <v>1131</v>
      </c>
    </row>
    <row r="405" spans="1:6" x14ac:dyDescent="0.2">
      <c r="A405" s="58"/>
      <c r="B405" s="48"/>
      <c r="C405" s="33" t="s">
        <v>954</v>
      </c>
      <c r="D405" s="33"/>
      <c r="E405" s="33"/>
      <c r="F405" s="11" t="s">
        <v>1131</v>
      </c>
    </row>
    <row r="406" spans="1:6" x14ac:dyDescent="0.2">
      <c r="A406" s="58"/>
      <c r="B406" s="48"/>
      <c r="C406" s="33" t="s">
        <v>955</v>
      </c>
      <c r="D406" s="33"/>
      <c r="E406" s="33"/>
      <c r="F406" s="11" t="s">
        <v>1131</v>
      </c>
    </row>
    <row r="407" spans="1:6" x14ac:dyDescent="0.2">
      <c r="A407" s="58"/>
      <c r="B407" s="48"/>
      <c r="C407" s="33" t="s">
        <v>956</v>
      </c>
      <c r="D407" s="33"/>
      <c r="E407" s="33"/>
      <c r="F407" s="11" t="s">
        <v>1131</v>
      </c>
    </row>
    <row r="408" spans="1:6" x14ac:dyDescent="0.2">
      <c r="A408" s="58"/>
      <c r="B408" s="48"/>
      <c r="C408" s="33" t="s">
        <v>957</v>
      </c>
      <c r="D408" s="33"/>
      <c r="E408" s="33"/>
      <c r="F408" s="11" t="s">
        <v>1131</v>
      </c>
    </row>
    <row r="409" spans="1:6" x14ac:dyDescent="0.2">
      <c r="A409" s="58"/>
      <c r="B409" s="48"/>
      <c r="C409" s="33" t="s">
        <v>958</v>
      </c>
      <c r="D409" s="33"/>
      <c r="E409" s="33"/>
      <c r="F409" s="11" t="s">
        <v>1131</v>
      </c>
    </row>
    <row r="410" spans="1:6" x14ac:dyDescent="0.2">
      <c r="A410" s="58"/>
      <c r="B410" s="48"/>
      <c r="C410" s="33" t="s">
        <v>959</v>
      </c>
      <c r="D410" s="33"/>
      <c r="E410" s="33"/>
      <c r="F410" s="11" t="s">
        <v>1131</v>
      </c>
    </row>
    <row r="411" spans="1:6" x14ac:dyDescent="0.2">
      <c r="A411" s="58"/>
      <c r="B411" s="48"/>
      <c r="C411" s="33" t="s">
        <v>960</v>
      </c>
      <c r="D411" s="33"/>
      <c r="E411" s="33"/>
      <c r="F411" s="11" t="s">
        <v>1131</v>
      </c>
    </row>
    <row r="412" spans="1:6" x14ac:dyDescent="0.2">
      <c r="A412" s="58"/>
      <c r="B412" s="48"/>
      <c r="C412" s="33" t="s">
        <v>961</v>
      </c>
      <c r="D412" s="33"/>
      <c r="E412" s="33"/>
      <c r="F412" s="11" t="s">
        <v>1131</v>
      </c>
    </row>
    <row r="413" spans="1:6" x14ac:dyDescent="0.2">
      <c r="A413" s="58"/>
      <c r="B413" s="48"/>
      <c r="C413" s="33" t="s">
        <v>962</v>
      </c>
      <c r="D413" s="33"/>
      <c r="E413" s="33"/>
      <c r="F413" s="11" t="s">
        <v>1131</v>
      </c>
    </row>
    <row r="414" spans="1:6" x14ac:dyDescent="0.2">
      <c r="A414" s="58"/>
      <c r="B414" s="48"/>
      <c r="C414" s="33" t="s">
        <v>963</v>
      </c>
      <c r="D414" s="33"/>
      <c r="E414" s="33"/>
      <c r="F414" s="11" t="s">
        <v>1131</v>
      </c>
    </row>
    <row r="415" spans="1:6" x14ac:dyDescent="0.2">
      <c r="A415" s="58"/>
      <c r="B415" s="48"/>
      <c r="C415" s="33" t="s">
        <v>964</v>
      </c>
      <c r="D415" s="33"/>
      <c r="E415" s="33"/>
      <c r="F415" s="11" t="s">
        <v>1131</v>
      </c>
    </row>
    <row r="416" spans="1:6" x14ac:dyDescent="0.2">
      <c r="A416" s="58"/>
      <c r="B416" s="48"/>
      <c r="C416" s="33" t="s">
        <v>965</v>
      </c>
      <c r="D416" s="33"/>
      <c r="E416" s="33"/>
      <c r="F416" s="11" t="s">
        <v>1131</v>
      </c>
    </row>
    <row r="417" spans="1:6" x14ac:dyDescent="0.2">
      <c r="A417" s="58"/>
      <c r="B417" s="48"/>
      <c r="C417" s="33" t="s">
        <v>966</v>
      </c>
      <c r="D417" s="33"/>
      <c r="E417" s="33"/>
      <c r="F417" s="11" t="s">
        <v>1131</v>
      </c>
    </row>
    <row r="418" spans="1:6" x14ac:dyDescent="0.2">
      <c r="A418" s="58"/>
      <c r="B418" s="48"/>
      <c r="C418" s="33" t="s">
        <v>967</v>
      </c>
      <c r="D418" s="33"/>
      <c r="E418" s="33"/>
      <c r="F418" s="11" t="s">
        <v>1131</v>
      </c>
    </row>
    <row r="419" spans="1:6" x14ac:dyDescent="0.2">
      <c r="A419" s="58"/>
      <c r="B419" s="48"/>
      <c r="C419" s="33" t="s">
        <v>968</v>
      </c>
      <c r="D419" s="33"/>
      <c r="E419" s="33"/>
      <c r="F419" s="11" t="s">
        <v>1131</v>
      </c>
    </row>
    <row r="420" spans="1:6" x14ac:dyDescent="0.2">
      <c r="A420" s="58"/>
      <c r="B420" s="48"/>
      <c r="C420" s="33" t="s">
        <v>969</v>
      </c>
      <c r="D420" s="33"/>
      <c r="E420" s="33"/>
      <c r="F420" s="11" t="s">
        <v>1131</v>
      </c>
    </row>
    <row r="421" spans="1:6" x14ac:dyDescent="0.2">
      <c r="A421" s="58"/>
      <c r="B421" s="48"/>
      <c r="C421" s="33" t="s">
        <v>970</v>
      </c>
      <c r="D421" s="33"/>
      <c r="E421" s="33"/>
      <c r="F421" s="11" t="s">
        <v>1131</v>
      </c>
    </row>
    <row r="422" spans="1:6" x14ac:dyDescent="0.2">
      <c r="A422" s="58"/>
      <c r="B422" s="48"/>
      <c r="C422" s="33" t="s">
        <v>971</v>
      </c>
      <c r="D422" s="33"/>
      <c r="E422" s="33"/>
      <c r="F422" s="11" t="s">
        <v>1131</v>
      </c>
    </row>
    <row r="423" spans="1:6" x14ac:dyDescent="0.2">
      <c r="A423" s="58"/>
      <c r="B423" s="48"/>
      <c r="C423" s="33" t="s">
        <v>972</v>
      </c>
      <c r="D423" s="33"/>
      <c r="E423" s="33"/>
      <c r="F423" s="11" t="s">
        <v>1131</v>
      </c>
    </row>
    <row r="424" spans="1:6" x14ac:dyDescent="0.2">
      <c r="A424" s="58"/>
      <c r="B424" s="48"/>
      <c r="C424" s="33" t="s">
        <v>973</v>
      </c>
      <c r="D424" s="33"/>
      <c r="E424" s="33"/>
      <c r="F424" s="11" t="s">
        <v>1131</v>
      </c>
    </row>
    <row r="425" spans="1:6" x14ac:dyDescent="0.2">
      <c r="A425" s="58"/>
      <c r="B425" s="48"/>
      <c r="C425" s="33" t="s">
        <v>974</v>
      </c>
      <c r="D425" s="33"/>
      <c r="E425" s="33"/>
      <c r="F425" s="11" t="s">
        <v>1131</v>
      </c>
    </row>
    <row r="426" spans="1:6" x14ac:dyDescent="0.2">
      <c r="A426" s="58"/>
      <c r="B426" s="48"/>
      <c r="C426" s="33" t="s">
        <v>975</v>
      </c>
      <c r="D426" s="33"/>
      <c r="E426" s="33"/>
      <c r="F426" s="11" t="s">
        <v>1131</v>
      </c>
    </row>
    <row r="427" spans="1:6" x14ac:dyDescent="0.2">
      <c r="A427" s="58"/>
      <c r="B427" s="48"/>
      <c r="C427" s="33" t="s">
        <v>976</v>
      </c>
      <c r="D427" s="33"/>
      <c r="E427" s="33"/>
      <c r="F427" s="11" t="s">
        <v>1131</v>
      </c>
    </row>
    <row r="428" spans="1:6" x14ac:dyDescent="0.2">
      <c r="A428" s="58"/>
      <c r="B428" s="48"/>
      <c r="C428" s="33" t="s">
        <v>977</v>
      </c>
      <c r="D428" s="33"/>
      <c r="E428" s="33"/>
      <c r="F428" s="11" t="s">
        <v>1131</v>
      </c>
    </row>
    <row r="429" spans="1:6" x14ac:dyDescent="0.2">
      <c r="A429" s="58"/>
      <c r="B429" s="48"/>
      <c r="C429" s="33" t="s">
        <v>978</v>
      </c>
      <c r="D429" s="33"/>
      <c r="E429" s="33"/>
      <c r="F429" s="11" t="s">
        <v>1131</v>
      </c>
    </row>
    <row r="430" spans="1:6" x14ac:dyDescent="0.2">
      <c r="A430" s="58"/>
      <c r="B430" s="48"/>
      <c r="C430" s="33" t="s">
        <v>979</v>
      </c>
      <c r="D430" s="33"/>
      <c r="E430" s="33"/>
      <c r="F430" s="11" t="s">
        <v>1131</v>
      </c>
    </row>
    <row r="431" spans="1:6" x14ac:dyDescent="0.2">
      <c r="A431" s="58"/>
      <c r="B431" s="48"/>
      <c r="C431" s="33" t="s">
        <v>1035</v>
      </c>
      <c r="D431" s="33"/>
      <c r="E431" s="33"/>
      <c r="F431" s="11" t="s">
        <v>1131</v>
      </c>
    </row>
    <row r="432" spans="1:6" x14ac:dyDescent="0.2">
      <c r="A432" s="58"/>
      <c r="B432" s="48"/>
      <c r="C432" s="33" t="s">
        <v>1036</v>
      </c>
      <c r="D432" s="33"/>
      <c r="E432" s="33"/>
      <c r="F432" s="11" t="s">
        <v>1131</v>
      </c>
    </row>
    <row r="433" spans="1:6" x14ac:dyDescent="0.2">
      <c r="A433" s="58"/>
      <c r="B433" s="48"/>
      <c r="C433" s="33" t="s">
        <v>1037</v>
      </c>
      <c r="D433" s="33"/>
      <c r="E433" s="33"/>
      <c r="F433" s="11" t="s">
        <v>1131</v>
      </c>
    </row>
    <row r="434" spans="1:6" x14ac:dyDescent="0.2">
      <c r="A434" s="58"/>
      <c r="B434" s="48"/>
      <c r="C434" s="33" t="s">
        <v>1038</v>
      </c>
      <c r="D434" s="33"/>
      <c r="E434" s="33"/>
      <c r="F434" s="11" t="s">
        <v>1131</v>
      </c>
    </row>
    <row r="435" spans="1:6" x14ac:dyDescent="0.2">
      <c r="A435" s="58"/>
      <c r="B435" s="48"/>
      <c r="C435" s="33" t="s">
        <v>1039</v>
      </c>
      <c r="D435" s="33"/>
      <c r="E435" s="33"/>
      <c r="F435" s="11" t="s">
        <v>1131</v>
      </c>
    </row>
    <row r="436" spans="1:6" x14ac:dyDescent="0.2">
      <c r="A436" s="58"/>
      <c r="B436" s="48"/>
      <c r="C436" s="33" t="s">
        <v>1040</v>
      </c>
      <c r="D436" s="33"/>
      <c r="E436" s="33"/>
      <c r="F436" s="11" t="s">
        <v>1131</v>
      </c>
    </row>
    <row r="437" spans="1:6" x14ac:dyDescent="0.2">
      <c r="A437" s="58"/>
      <c r="B437" s="48"/>
      <c r="C437" s="33" t="s">
        <v>1041</v>
      </c>
      <c r="D437" s="33"/>
      <c r="E437" s="33"/>
      <c r="F437" s="11" t="s">
        <v>1131</v>
      </c>
    </row>
    <row r="438" spans="1:6" x14ac:dyDescent="0.2">
      <c r="A438" s="58"/>
      <c r="B438" s="48"/>
      <c r="C438" s="33" t="s">
        <v>1042</v>
      </c>
      <c r="D438" s="33"/>
      <c r="E438" s="33"/>
      <c r="F438" s="11" t="s">
        <v>1131</v>
      </c>
    </row>
    <row r="439" spans="1:6" x14ac:dyDescent="0.2">
      <c r="A439" s="58"/>
      <c r="B439" s="48"/>
      <c r="C439" s="33" t="s">
        <v>980</v>
      </c>
      <c r="D439" s="33"/>
      <c r="E439" s="33"/>
      <c r="F439" s="11" t="s">
        <v>1131</v>
      </c>
    </row>
    <row r="440" spans="1:6" x14ac:dyDescent="0.2">
      <c r="A440" s="58"/>
      <c r="B440" s="48"/>
      <c r="C440" s="33" t="s">
        <v>981</v>
      </c>
      <c r="D440" s="33"/>
      <c r="E440" s="33"/>
      <c r="F440" s="11" t="s">
        <v>1131</v>
      </c>
    </row>
    <row r="441" spans="1:6" x14ac:dyDescent="0.2">
      <c r="A441" s="58"/>
      <c r="B441" s="48"/>
      <c r="C441" s="33" t="s">
        <v>982</v>
      </c>
      <c r="D441" s="33"/>
      <c r="E441" s="33"/>
      <c r="F441" s="11" t="s">
        <v>1131</v>
      </c>
    </row>
    <row r="442" spans="1:6" x14ac:dyDescent="0.2">
      <c r="A442" s="58"/>
      <c r="B442" s="48"/>
      <c r="C442" s="33" t="s">
        <v>983</v>
      </c>
      <c r="D442" s="33"/>
      <c r="E442" s="33"/>
      <c r="F442" s="11" t="s">
        <v>1131</v>
      </c>
    </row>
    <row r="443" spans="1:6" x14ac:dyDescent="0.2">
      <c r="A443" s="58"/>
      <c r="B443" s="48"/>
      <c r="C443" s="33" t="s">
        <v>984</v>
      </c>
      <c r="D443" s="33"/>
      <c r="E443" s="33"/>
      <c r="F443" s="11" t="s">
        <v>1131</v>
      </c>
    </row>
    <row r="444" spans="1:6" x14ac:dyDescent="0.2">
      <c r="A444" s="58"/>
      <c r="B444" s="48"/>
      <c r="C444" s="33" t="s">
        <v>985</v>
      </c>
      <c r="D444" s="33"/>
      <c r="E444" s="33"/>
      <c r="F444" s="11" t="s">
        <v>1131</v>
      </c>
    </row>
    <row r="445" spans="1:6" x14ac:dyDescent="0.2">
      <c r="A445" s="58"/>
      <c r="B445" s="48"/>
      <c r="C445" s="33" t="s">
        <v>986</v>
      </c>
      <c r="D445" s="33"/>
      <c r="E445" s="33"/>
      <c r="F445" s="11" t="s">
        <v>1131</v>
      </c>
    </row>
    <row r="446" spans="1:6" x14ac:dyDescent="0.2">
      <c r="A446" s="58"/>
      <c r="B446" s="48"/>
      <c r="C446" s="33" t="s">
        <v>987</v>
      </c>
      <c r="D446" s="33"/>
      <c r="E446" s="33"/>
      <c r="F446" s="11" t="s">
        <v>1131</v>
      </c>
    </row>
    <row r="447" spans="1:6" x14ac:dyDescent="0.2">
      <c r="A447" s="58"/>
      <c r="B447" s="48"/>
      <c r="C447" s="33" t="s">
        <v>1043</v>
      </c>
      <c r="D447" s="33"/>
      <c r="E447" s="33"/>
      <c r="F447" s="11" t="s">
        <v>1131</v>
      </c>
    </row>
    <row r="448" spans="1:6" x14ac:dyDescent="0.2">
      <c r="A448" s="58"/>
      <c r="B448" s="48"/>
      <c r="C448" s="33" t="s">
        <v>1044</v>
      </c>
      <c r="D448" s="33"/>
      <c r="E448" s="33"/>
      <c r="F448" s="11" t="s">
        <v>1131</v>
      </c>
    </row>
    <row r="449" spans="1:6" x14ac:dyDescent="0.2">
      <c r="A449" s="58"/>
      <c r="B449" s="48"/>
      <c r="C449" s="33" t="s">
        <v>1045</v>
      </c>
      <c r="D449" s="33"/>
      <c r="E449" s="33"/>
      <c r="F449" s="11" t="s">
        <v>1131</v>
      </c>
    </row>
    <row r="450" spans="1:6" x14ac:dyDescent="0.2">
      <c r="A450" s="58"/>
      <c r="B450" s="48"/>
      <c r="C450" s="33" t="s">
        <v>1046</v>
      </c>
      <c r="D450" s="33"/>
      <c r="E450" s="33"/>
      <c r="F450" s="11" t="s">
        <v>1131</v>
      </c>
    </row>
    <row r="451" spans="1:6" x14ac:dyDescent="0.2">
      <c r="A451" s="58"/>
      <c r="B451" s="48"/>
      <c r="C451" s="33" t="s">
        <v>1047</v>
      </c>
      <c r="D451" s="33"/>
      <c r="E451" s="33"/>
      <c r="F451" s="11" t="s">
        <v>1131</v>
      </c>
    </row>
    <row r="452" spans="1:6" x14ac:dyDescent="0.2">
      <c r="A452" s="58"/>
      <c r="B452" s="48"/>
      <c r="C452" s="33" t="s">
        <v>1048</v>
      </c>
      <c r="D452" s="33"/>
      <c r="E452" s="33"/>
      <c r="F452" s="11" t="s">
        <v>1131</v>
      </c>
    </row>
    <row r="453" spans="1:6" x14ac:dyDescent="0.2">
      <c r="A453" s="58"/>
      <c r="B453" s="48"/>
      <c r="C453" s="33" t="s">
        <v>1049</v>
      </c>
      <c r="D453" s="33"/>
      <c r="E453" s="33"/>
      <c r="F453" s="11" t="s">
        <v>1131</v>
      </c>
    </row>
    <row r="454" spans="1:6" x14ac:dyDescent="0.2">
      <c r="A454" s="58"/>
      <c r="B454" s="48"/>
      <c r="C454" s="33" t="s">
        <v>1050</v>
      </c>
      <c r="D454" s="33"/>
      <c r="E454" s="33"/>
      <c r="F454" s="11" t="s">
        <v>1131</v>
      </c>
    </row>
    <row r="455" spans="1:6" x14ac:dyDescent="0.2">
      <c r="A455" s="58"/>
      <c r="B455" s="48"/>
      <c r="C455" s="33" t="s">
        <v>1051</v>
      </c>
      <c r="D455" s="33"/>
      <c r="E455" s="33"/>
      <c r="F455" s="11" t="s">
        <v>1131</v>
      </c>
    </row>
    <row r="456" spans="1:6" x14ac:dyDescent="0.2">
      <c r="A456" s="58"/>
      <c r="B456" s="48"/>
      <c r="C456" s="33" t="s">
        <v>1052</v>
      </c>
      <c r="D456" s="33"/>
      <c r="E456" s="33"/>
      <c r="F456" s="11" t="s">
        <v>1131</v>
      </c>
    </row>
    <row r="457" spans="1:6" x14ac:dyDescent="0.2">
      <c r="A457" s="58"/>
      <c r="B457" s="48"/>
      <c r="C457" s="33" t="s">
        <v>1053</v>
      </c>
      <c r="D457" s="33"/>
      <c r="E457" s="33"/>
      <c r="F457" s="11" t="s">
        <v>1131</v>
      </c>
    </row>
    <row r="458" spans="1:6" x14ac:dyDescent="0.2">
      <c r="A458" s="58"/>
      <c r="B458" s="48"/>
      <c r="C458" s="33" t="s">
        <v>1054</v>
      </c>
      <c r="D458" s="33"/>
      <c r="E458" s="33"/>
      <c r="F458" s="11" t="s">
        <v>1131</v>
      </c>
    </row>
    <row r="459" spans="1:6" x14ac:dyDescent="0.2">
      <c r="A459" s="58"/>
      <c r="B459" s="48"/>
      <c r="C459" s="33" t="s">
        <v>1055</v>
      </c>
      <c r="D459" s="33"/>
      <c r="E459" s="33"/>
      <c r="F459" s="11" t="s">
        <v>1131</v>
      </c>
    </row>
    <row r="460" spans="1:6" x14ac:dyDescent="0.2">
      <c r="A460" s="58"/>
      <c r="B460" s="48"/>
      <c r="C460" s="33" t="s">
        <v>1056</v>
      </c>
      <c r="D460" s="33"/>
      <c r="E460" s="33"/>
      <c r="F460" s="11" t="s">
        <v>1131</v>
      </c>
    </row>
    <row r="461" spans="1:6" x14ac:dyDescent="0.2">
      <c r="A461" s="58"/>
      <c r="B461" s="48"/>
      <c r="C461" s="33" t="s">
        <v>1057</v>
      </c>
      <c r="D461" s="33"/>
      <c r="E461" s="33"/>
      <c r="F461" s="11" t="s">
        <v>1131</v>
      </c>
    </row>
    <row r="462" spans="1:6" x14ac:dyDescent="0.2">
      <c r="A462" s="58"/>
      <c r="B462" s="48"/>
      <c r="C462" s="33" t="s">
        <v>1058</v>
      </c>
      <c r="D462" s="33"/>
      <c r="E462" s="33"/>
      <c r="F462" s="11" t="s">
        <v>1131</v>
      </c>
    </row>
    <row r="463" spans="1:6" x14ac:dyDescent="0.2">
      <c r="A463" s="58"/>
      <c r="B463" s="48"/>
      <c r="C463" s="33" t="s">
        <v>1059</v>
      </c>
      <c r="D463" s="33"/>
      <c r="E463" s="33"/>
      <c r="F463" s="11" t="s">
        <v>1131</v>
      </c>
    </row>
    <row r="464" spans="1:6" x14ac:dyDescent="0.2">
      <c r="A464" s="58"/>
      <c r="B464" s="48"/>
      <c r="C464" s="33" t="s">
        <v>1060</v>
      </c>
      <c r="D464" s="33"/>
      <c r="E464" s="33"/>
      <c r="F464" s="11" t="s">
        <v>1131</v>
      </c>
    </row>
    <row r="465" spans="1:6" x14ac:dyDescent="0.2">
      <c r="A465" s="58"/>
      <c r="B465" s="48"/>
      <c r="C465" s="33" t="s">
        <v>1061</v>
      </c>
      <c r="D465" s="33"/>
      <c r="E465" s="33"/>
      <c r="F465" s="11" t="s">
        <v>1131</v>
      </c>
    </row>
    <row r="466" spans="1:6" x14ac:dyDescent="0.2">
      <c r="A466" s="58"/>
      <c r="B466" s="48"/>
      <c r="C466" s="33" t="s">
        <v>1062</v>
      </c>
      <c r="D466" s="33"/>
      <c r="E466" s="33"/>
      <c r="F466" s="11" t="s">
        <v>1131</v>
      </c>
    </row>
    <row r="467" spans="1:6" x14ac:dyDescent="0.2">
      <c r="A467" s="58"/>
      <c r="B467" s="48"/>
      <c r="C467" s="33" t="s">
        <v>1063</v>
      </c>
      <c r="D467" s="33"/>
      <c r="E467" s="33"/>
      <c r="F467" s="11" t="s">
        <v>1131</v>
      </c>
    </row>
    <row r="468" spans="1:6" x14ac:dyDescent="0.2">
      <c r="A468" s="58"/>
      <c r="B468" s="48"/>
      <c r="C468" s="33" t="s">
        <v>1064</v>
      </c>
      <c r="D468" s="33"/>
      <c r="E468" s="33"/>
      <c r="F468" s="11" t="s">
        <v>1131</v>
      </c>
    </row>
    <row r="469" spans="1:6" x14ac:dyDescent="0.2">
      <c r="A469" s="58"/>
      <c r="B469" s="48"/>
      <c r="C469" s="33" t="s">
        <v>1065</v>
      </c>
      <c r="D469" s="33"/>
      <c r="E469" s="33"/>
      <c r="F469" s="11" t="s">
        <v>1131</v>
      </c>
    </row>
    <row r="470" spans="1:6" x14ac:dyDescent="0.2">
      <c r="A470" s="58"/>
      <c r="B470" s="48"/>
      <c r="C470" s="33" t="s">
        <v>1066</v>
      </c>
      <c r="D470" s="33"/>
      <c r="E470" s="33"/>
      <c r="F470" s="11" t="s">
        <v>1131</v>
      </c>
    </row>
    <row r="471" spans="1:6" x14ac:dyDescent="0.2">
      <c r="A471" s="58"/>
      <c r="B471" s="48"/>
      <c r="C471" s="33" t="s">
        <v>1067</v>
      </c>
      <c r="D471" s="33"/>
      <c r="E471" s="33"/>
      <c r="F471" s="11" t="s">
        <v>1131</v>
      </c>
    </row>
    <row r="472" spans="1:6" x14ac:dyDescent="0.2">
      <c r="A472" s="58"/>
      <c r="B472" s="48"/>
      <c r="C472" s="33" t="s">
        <v>1068</v>
      </c>
      <c r="D472" s="33"/>
      <c r="E472" s="33"/>
      <c r="F472" s="11" t="s">
        <v>1131</v>
      </c>
    </row>
    <row r="473" spans="1:6" x14ac:dyDescent="0.2">
      <c r="A473" s="58"/>
      <c r="B473" s="48"/>
      <c r="C473" s="33" t="s">
        <v>1069</v>
      </c>
      <c r="D473" s="33"/>
      <c r="E473" s="33"/>
      <c r="F473" s="11" t="s">
        <v>1131</v>
      </c>
    </row>
    <row r="474" spans="1:6" x14ac:dyDescent="0.2">
      <c r="A474" s="58"/>
      <c r="B474" s="48"/>
      <c r="C474" s="33" t="s">
        <v>1070</v>
      </c>
      <c r="D474" s="33"/>
      <c r="E474" s="33"/>
      <c r="F474" s="11" t="s">
        <v>1131</v>
      </c>
    </row>
    <row r="475" spans="1:6" x14ac:dyDescent="0.2">
      <c r="A475" s="58"/>
      <c r="B475" s="48"/>
      <c r="C475" s="33" t="s">
        <v>1071</v>
      </c>
      <c r="D475" s="33"/>
      <c r="E475" s="33"/>
      <c r="F475" s="11" t="s">
        <v>1131</v>
      </c>
    </row>
    <row r="476" spans="1:6" x14ac:dyDescent="0.2">
      <c r="A476" s="58"/>
      <c r="B476" s="48"/>
      <c r="C476" s="33" t="s">
        <v>1072</v>
      </c>
      <c r="D476" s="33"/>
      <c r="E476" s="33"/>
      <c r="F476" s="11" t="s">
        <v>1131</v>
      </c>
    </row>
    <row r="477" spans="1:6" x14ac:dyDescent="0.2">
      <c r="A477" s="58"/>
      <c r="B477" s="48"/>
      <c r="C477" s="33" t="s">
        <v>1073</v>
      </c>
      <c r="D477" s="33"/>
      <c r="E477" s="33"/>
      <c r="F477" s="11" t="s">
        <v>1131</v>
      </c>
    </row>
    <row r="478" spans="1:6" x14ac:dyDescent="0.2">
      <c r="A478" s="58"/>
      <c r="B478" s="48"/>
      <c r="C478" s="33" t="s">
        <v>1074</v>
      </c>
      <c r="D478" s="33"/>
      <c r="E478" s="33"/>
      <c r="F478" s="11" t="s">
        <v>1131</v>
      </c>
    </row>
    <row r="479" spans="1:6" x14ac:dyDescent="0.2">
      <c r="A479" s="58"/>
      <c r="B479" s="48"/>
      <c r="C479" s="33" t="s">
        <v>988</v>
      </c>
      <c r="D479" s="33"/>
      <c r="E479" s="33"/>
      <c r="F479" s="11" t="s">
        <v>1131</v>
      </c>
    </row>
    <row r="480" spans="1:6" x14ac:dyDescent="0.2">
      <c r="A480" s="58"/>
      <c r="B480" s="48"/>
      <c r="C480" s="33" t="s">
        <v>989</v>
      </c>
      <c r="D480" s="33"/>
      <c r="E480" s="33"/>
      <c r="F480" s="11" t="s">
        <v>1131</v>
      </c>
    </row>
    <row r="481" spans="1:6" x14ac:dyDescent="0.2">
      <c r="A481" s="58"/>
      <c r="B481" s="48"/>
      <c r="C481" s="33" t="s">
        <v>990</v>
      </c>
      <c r="D481" s="33"/>
      <c r="E481" s="33"/>
      <c r="F481" s="11" t="s">
        <v>1131</v>
      </c>
    </row>
    <row r="482" spans="1:6" x14ac:dyDescent="0.2">
      <c r="A482" s="58"/>
      <c r="B482" s="48"/>
      <c r="C482" s="33" t="s">
        <v>991</v>
      </c>
      <c r="D482" s="33"/>
      <c r="E482" s="33"/>
      <c r="F482" s="11" t="s">
        <v>1131</v>
      </c>
    </row>
    <row r="483" spans="1:6" x14ac:dyDescent="0.2">
      <c r="A483" s="58"/>
      <c r="B483" s="48"/>
      <c r="C483" s="33" t="s">
        <v>992</v>
      </c>
      <c r="D483" s="33"/>
      <c r="E483" s="33"/>
      <c r="F483" s="11" t="s">
        <v>1131</v>
      </c>
    </row>
    <row r="484" spans="1:6" x14ac:dyDescent="0.2">
      <c r="A484" s="58"/>
      <c r="B484" s="48"/>
      <c r="C484" s="33" t="s">
        <v>993</v>
      </c>
      <c r="D484" s="33"/>
      <c r="E484" s="33"/>
      <c r="F484" s="11" t="s">
        <v>1131</v>
      </c>
    </row>
    <row r="485" spans="1:6" x14ac:dyDescent="0.2">
      <c r="A485" s="58"/>
      <c r="B485" s="48"/>
      <c r="C485" s="33" t="s">
        <v>994</v>
      </c>
      <c r="D485" s="33"/>
      <c r="E485" s="33"/>
      <c r="F485" s="11" t="s">
        <v>1131</v>
      </c>
    </row>
    <row r="486" spans="1:6" x14ac:dyDescent="0.2">
      <c r="A486" s="58"/>
      <c r="B486" s="48"/>
      <c r="C486" s="33" t="s">
        <v>995</v>
      </c>
      <c r="D486" s="33"/>
      <c r="E486" s="33"/>
      <c r="F486" s="11" t="s">
        <v>1131</v>
      </c>
    </row>
    <row r="487" spans="1:6" x14ac:dyDescent="0.2">
      <c r="A487" s="58"/>
      <c r="B487" s="48"/>
      <c r="C487" s="33" t="s">
        <v>101</v>
      </c>
      <c r="D487" s="33"/>
      <c r="E487" s="33"/>
      <c r="F487" s="11"/>
    </row>
    <row r="488" spans="1:6" x14ac:dyDescent="0.2">
      <c r="A488" s="58"/>
      <c r="B488" s="48"/>
      <c r="C488" s="33" t="s">
        <v>740</v>
      </c>
      <c r="D488" s="33"/>
      <c r="E488" s="33"/>
      <c r="F488" s="11"/>
    </row>
    <row r="489" spans="1:6" x14ac:dyDescent="0.2">
      <c r="A489" s="58"/>
      <c r="B489" s="48"/>
      <c r="C489" s="33" t="s">
        <v>736</v>
      </c>
      <c r="D489" s="33"/>
      <c r="E489" s="33"/>
      <c r="F489" s="11"/>
    </row>
    <row r="490" spans="1:6" x14ac:dyDescent="0.2">
      <c r="A490" s="58"/>
      <c r="B490" s="48"/>
      <c r="C490" s="33" t="s">
        <v>737</v>
      </c>
      <c r="D490" s="33"/>
      <c r="E490" s="33"/>
      <c r="F490" s="11"/>
    </row>
    <row r="491" spans="1:6" x14ac:dyDescent="0.2">
      <c r="A491" s="58"/>
      <c r="B491" s="48"/>
      <c r="C491" s="33" t="s">
        <v>738</v>
      </c>
      <c r="D491" s="33"/>
      <c r="E491" s="33"/>
      <c r="F491" s="11"/>
    </row>
    <row r="492" spans="1:6" x14ac:dyDescent="0.2">
      <c r="A492" s="58"/>
      <c r="B492" s="48"/>
      <c r="C492" s="33" t="s">
        <v>735</v>
      </c>
      <c r="D492" s="33"/>
      <c r="E492" s="33"/>
      <c r="F492" s="11"/>
    </row>
    <row r="493" spans="1:6" x14ac:dyDescent="0.2">
      <c r="A493" s="58"/>
      <c r="B493" s="48"/>
      <c r="C493" s="33" t="s">
        <v>741</v>
      </c>
      <c r="D493" s="33"/>
      <c r="E493" s="33"/>
      <c r="F493" s="11"/>
    </row>
    <row r="494" spans="1:6" x14ac:dyDescent="0.2">
      <c r="A494" s="58"/>
      <c r="B494" s="48"/>
      <c r="C494" s="33" t="s">
        <v>742</v>
      </c>
      <c r="D494" s="33"/>
      <c r="E494" s="33"/>
      <c r="F494" s="11"/>
    </row>
    <row r="495" spans="1:6" x14ac:dyDescent="0.2">
      <c r="A495" s="58"/>
      <c r="B495" s="48"/>
      <c r="C495" s="33" t="s">
        <v>739</v>
      </c>
      <c r="D495" s="33"/>
      <c r="E495" s="33"/>
      <c r="F495" s="11"/>
    </row>
    <row r="496" spans="1:6" x14ac:dyDescent="0.2">
      <c r="A496" s="59"/>
      <c r="B496" s="49"/>
      <c r="C496" s="33" t="s">
        <v>128</v>
      </c>
      <c r="D496" s="33"/>
      <c r="E496" s="33"/>
      <c r="F496" s="11"/>
    </row>
    <row r="497" spans="1:5" s="11" customFormat="1" x14ac:dyDescent="0.2">
      <c r="A497" s="92"/>
      <c r="B497" s="97" t="s">
        <v>1221</v>
      </c>
      <c r="C497" s="31" t="s">
        <v>154</v>
      </c>
      <c r="D497" s="31" t="s">
        <v>451</v>
      </c>
      <c r="E497" s="31"/>
    </row>
    <row r="498" spans="1:5" s="11" customFormat="1" x14ac:dyDescent="0.2">
      <c r="A498" s="40"/>
      <c r="B498" s="97"/>
      <c r="C498" s="31" t="s">
        <v>650</v>
      </c>
      <c r="D498" s="31"/>
      <c r="E498" s="31"/>
    </row>
    <row r="499" spans="1:5" s="11" customFormat="1" x14ac:dyDescent="0.2">
      <c r="A499" s="40"/>
      <c r="B499" s="97"/>
      <c r="C499" s="31" t="s">
        <v>649</v>
      </c>
      <c r="D499" s="31"/>
      <c r="E499" s="31"/>
    </row>
    <row r="500" spans="1:5" s="11" customFormat="1" x14ac:dyDescent="0.2">
      <c r="A500" s="40"/>
      <c r="B500" s="97"/>
      <c r="C500" s="31" t="s">
        <v>370</v>
      </c>
      <c r="D500" s="31"/>
      <c r="E500" s="31"/>
    </row>
    <row r="501" spans="1:5" s="11" customFormat="1" x14ac:dyDescent="0.2">
      <c r="A501" s="40"/>
      <c r="B501" s="97"/>
      <c r="C501" s="31" t="s">
        <v>371</v>
      </c>
      <c r="D501" s="31"/>
      <c r="E501" s="31"/>
    </row>
    <row r="502" spans="1:5" s="11" customFormat="1" x14ac:dyDescent="0.2">
      <c r="A502" s="40"/>
      <c r="B502" s="97"/>
      <c r="C502" s="31" t="s">
        <v>78</v>
      </c>
      <c r="D502" s="31"/>
      <c r="E502" s="31"/>
    </row>
    <row r="503" spans="1:5" s="11" customFormat="1" x14ac:dyDescent="0.2">
      <c r="A503" s="40"/>
      <c r="B503" s="97"/>
      <c r="C503" s="31" t="s">
        <v>372</v>
      </c>
      <c r="D503" s="31"/>
      <c r="E503" s="31"/>
    </row>
    <row r="504" spans="1:5" s="11" customFormat="1" x14ac:dyDescent="0.2">
      <c r="A504" s="40"/>
      <c r="B504" s="97"/>
      <c r="C504" s="31" t="s">
        <v>71</v>
      </c>
      <c r="D504" s="31"/>
      <c r="E504" s="31"/>
    </row>
    <row r="505" spans="1:5" s="11" customFormat="1" x14ac:dyDescent="0.2">
      <c r="A505" s="40"/>
      <c r="B505" s="97"/>
      <c r="C505" s="31" t="s">
        <v>96</v>
      </c>
      <c r="D505" s="31"/>
      <c r="E505" s="31"/>
    </row>
    <row r="506" spans="1:5" s="11" customFormat="1" x14ac:dyDescent="0.2">
      <c r="A506" s="40"/>
      <c r="B506" s="97"/>
      <c r="C506" s="31" t="s">
        <v>97</v>
      </c>
      <c r="D506" s="31"/>
      <c r="E506" s="31"/>
    </row>
    <row r="507" spans="1:5" s="11" customFormat="1" x14ac:dyDescent="0.2">
      <c r="A507" s="40"/>
      <c r="B507" s="97"/>
      <c r="C507" s="31" t="s">
        <v>368</v>
      </c>
      <c r="D507" s="31"/>
      <c r="E507" s="31"/>
    </row>
    <row r="508" spans="1:5" s="11" customFormat="1" x14ac:dyDescent="0.2">
      <c r="A508" s="40"/>
      <c r="B508" s="97"/>
      <c r="C508" s="31" t="s">
        <v>369</v>
      </c>
      <c r="D508" s="31"/>
      <c r="E508" s="31"/>
    </row>
    <row r="509" spans="1:5" s="11" customFormat="1" x14ac:dyDescent="0.2">
      <c r="A509" s="40"/>
      <c r="B509" s="97"/>
      <c r="C509" s="31" t="s">
        <v>373</v>
      </c>
      <c r="D509" s="31"/>
      <c r="E509" s="31"/>
    </row>
    <row r="510" spans="1:5" s="11" customFormat="1" x14ac:dyDescent="0.2">
      <c r="A510" s="40"/>
      <c r="B510" s="97"/>
      <c r="C510" s="31" t="s">
        <v>161</v>
      </c>
      <c r="D510" s="31"/>
      <c r="E510" s="31"/>
    </row>
    <row r="511" spans="1:5" s="11" customFormat="1" x14ac:dyDescent="0.2">
      <c r="A511" s="40"/>
      <c r="B511" s="97"/>
      <c r="C511" s="31" t="s">
        <v>101</v>
      </c>
      <c r="D511" s="31"/>
      <c r="E511" s="31"/>
    </row>
    <row r="512" spans="1:5" s="11" customFormat="1" x14ac:dyDescent="0.2">
      <c r="A512" s="58"/>
      <c r="B512" s="44" t="s">
        <v>289</v>
      </c>
      <c r="C512" s="33" t="s">
        <v>54</v>
      </c>
      <c r="D512" s="33" t="s">
        <v>1165</v>
      </c>
      <c r="E512" s="33"/>
    </row>
    <row r="513" spans="1:5" s="11" customFormat="1" x14ac:dyDescent="0.2">
      <c r="A513" s="59"/>
      <c r="B513" s="46"/>
      <c r="C513" s="33" t="s">
        <v>61</v>
      </c>
      <c r="D513" s="33"/>
      <c r="E513" s="33"/>
    </row>
    <row r="514" spans="1:5" s="11" customFormat="1" x14ac:dyDescent="0.2">
      <c r="A514" s="40"/>
      <c r="B514" s="97" t="s">
        <v>275</v>
      </c>
      <c r="C514" s="31" t="s">
        <v>276</v>
      </c>
      <c r="D514" s="97" t="s">
        <v>275</v>
      </c>
      <c r="E514" s="31"/>
    </row>
    <row r="515" spans="1:5" s="11" customFormat="1" x14ac:dyDescent="0.2">
      <c r="A515" s="40"/>
      <c r="B515" s="97"/>
      <c r="C515" s="31" t="s">
        <v>225</v>
      </c>
      <c r="D515" s="31"/>
      <c r="E515" s="31"/>
    </row>
    <row r="516" spans="1:5" s="11" customFormat="1" x14ac:dyDescent="0.2">
      <c r="A516" s="40"/>
      <c r="B516" s="97"/>
      <c r="C516" s="31" t="s">
        <v>226</v>
      </c>
      <c r="D516" s="31"/>
      <c r="E516" s="31"/>
    </row>
    <row r="517" spans="1:5" s="11" customFormat="1" x14ac:dyDescent="0.2">
      <c r="A517" s="40"/>
      <c r="B517" s="97"/>
      <c r="C517" s="31" t="s">
        <v>227</v>
      </c>
      <c r="D517" s="31"/>
      <c r="E517" s="31"/>
    </row>
    <row r="518" spans="1:5" s="11" customFormat="1" x14ac:dyDescent="0.2">
      <c r="A518" s="95"/>
      <c r="B518" s="44" t="s">
        <v>19</v>
      </c>
      <c r="C518" s="33" t="s">
        <v>581</v>
      </c>
      <c r="D518" s="44" t="s">
        <v>19</v>
      </c>
      <c r="E518" s="33"/>
    </row>
    <row r="519" spans="1:5" s="11" customFormat="1" x14ac:dyDescent="0.2">
      <c r="A519" s="56"/>
      <c r="B519" s="45"/>
      <c r="C519" s="33" t="s">
        <v>582</v>
      </c>
      <c r="D519" s="33"/>
      <c r="E519" s="33"/>
    </row>
    <row r="520" spans="1:5" s="11" customFormat="1" x14ac:dyDescent="0.2">
      <c r="A520" s="56"/>
      <c r="B520" s="45"/>
      <c r="C520" s="33" t="s">
        <v>418</v>
      </c>
      <c r="D520" s="33"/>
      <c r="E520" s="33"/>
    </row>
    <row r="521" spans="1:5" s="11" customFormat="1" x14ac:dyDescent="0.2">
      <c r="A521" s="56"/>
      <c r="B521" s="45"/>
      <c r="C521" s="33" t="s">
        <v>419</v>
      </c>
      <c r="D521" s="33"/>
      <c r="E521" s="33"/>
    </row>
    <row r="522" spans="1:5" s="11" customFormat="1" x14ac:dyDescent="0.2">
      <c r="A522" s="56"/>
      <c r="B522" s="45"/>
      <c r="C522" s="33" t="s">
        <v>90</v>
      </c>
      <c r="D522" s="33"/>
      <c r="E522" s="33"/>
    </row>
    <row r="523" spans="1:5" s="11" customFormat="1" x14ac:dyDescent="0.2">
      <c r="A523" s="56"/>
      <c r="B523" s="45"/>
      <c r="C523" s="33" t="s">
        <v>79</v>
      </c>
      <c r="D523" s="33"/>
      <c r="E523" s="33"/>
    </row>
    <row r="524" spans="1:5" s="11" customFormat="1" x14ac:dyDescent="0.2">
      <c r="A524" s="56"/>
      <c r="B524" s="45"/>
      <c r="C524" s="33" t="s">
        <v>107</v>
      </c>
      <c r="D524" s="33"/>
      <c r="E524" s="33"/>
    </row>
    <row r="525" spans="1:5" s="11" customFormat="1" x14ac:dyDescent="0.2">
      <c r="A525" s="56"/>
      <c r="B525" s="45"/>
      <c r="C525" s="33" t="s">
        <v>583</v>
      </c>
      <c r="D525" s="33"/>
      <c r="E525" s="33"/>
    </row>
    <row r="526" spans="1:5" s="11" customFormat="1" x14ac:dyDescent="0.2">
      <c r="A526" s="56"/>
      <c r="B526" s="45"/>
      <c r="C526" s="33" t="s">
        <v>452</v>
      </c>
      <c r="D526" s="33"/>
      <c r="E526" s="33"/>
    </row>
    <row r="527" spans="1:5" s="11" customFormat="1" x14ac:dyDescent="0.2">
      <c r="A527" s="56"/>
      <c r="B527" s="45"/>
      <c r="C527" s="33" t="s">
        <v>97</v>
      </c>
      <c r="D527" s="33"/>
      <c r="E527" s="33"/>
    </row>
    <row r="528" spans="1:5" s="11" customFormat="1" x14ac:dyDescent="0.2">
      <c r="A528" s="7"/>
      <c r="B528" s="45"/>
      <c r="C528" s="33" t="s">
        <v>416</v>
      </c>
      <c r="D528" s="33"/>
      <c r="E528" s="33"/>
    </row>
    <row r="529" spans="1:5" s="11" customFormat="1" ht="15" x14ac:dyDescent="0.25">
      <c r="A529" s="56"/>
      <c r="B529" s="45"/>
      <c r="C529" s="33" t="s">
        <v>601</v>
      </c>
      <c r="D529" s="33"/>
      <c r="E529" s="33" t="s">
        <v>879</v>
      </c>
    </row>
    <row r="530" spans="1:5" s="11" customFormat="1" ht="15" x14ac:dyDescent="0.25">
      <c r="A530" s="56"/>
      <c r="B530" s="45"/>
      <c r="C530" s="33" t="s">
        <v>602</v>
      </c>
      <c r="D530" s="33"/>
      <c r="E530" s="33" t="s">
        <v>879</v>
      </c>
    </row>
    <row r="531" spans="1:5" s="11" customFormat="1" ht="15" x14ac:dyDescent="0.25">
      <c r="A531" s="56"/>
      <c r="B531" s="45"/>
      <c r="C531" s="33" t="s">
        <v>603</v>
      </c>
      <c r="D531" s="33"/>
      <c r="E531" s="33" t="s">
        <v>879</v>
      </c>
    </row>
    <row r="532" spans="1:5" s="11" customFormat="1" x14ac:dyDescent="0.2">
      <c r="A532" s="56"/>
      <c r="B532" s="45"/>
      <c r="C532" s="33" t="s">
        <v>57</v>
      </c>
      <c r="D532" s="33"/>
      <c r="E532" s="33"/>
    </row>
    <row r="533" spans="1:5" s="11" customFormat="1" x14ac:dyDescent="0.2">
      <c r="A533" s="56"/>
      <c r="B533" s="45"/>
      <c r="C533" s="33" t="s">
        <v>102</v>
      </c>
      <c r="D533" s="33"/>
      <c r="E533" s="33"/>
    </row>
    <row r="534" spans="1:5" s="11" customFormat="1" x14ac:dyDescent="0.2">
      <c r="A534" s="56"/>
      <c r="B534" s="45"/>
      <c r="C534" s="33" t="s">
        <v>44</v>
      </c>
      <c r="D534" s="33"/>
      <c r="E534" s="33"/>
    </row>
    <row r="535" spans="1:5" s="11" customFormat="1" x14ac:dyDescent="0.2">
      <c r="A535" s="56"/>
      <c r="B535" s="45"/>
      <c r="C535" s="33" t="s">
        <v>417</v>
      </c>
      <c r="D535" s="33"/>
      <c r="E535" s="33"/>
    </row>
    <row r="536" spans="1:5" s="11" customFormat="1" x14ac:dyDescent="0.2">
      <c r="A536" s="56"/>
      <c r="B536" s="45"/>
      <c r="C536" s="33" t="s">
        <v>723</v>
      </c>
      <c r="D536" s="33"/>
      <c r="E536" s="33"/>
    </row>
    <row r="537" spans="1:5" s="11" customFormat="1" x14ac:dyDescent="0.2">
      <c r="A537" s="56"/>
      <c r="B537" s="45"/>
      <c r="C537" s="33" t="s">
        <v>85</v>
      </c>
      <c r="D537" s="33"/>
      <c r="E537" s="33"/>
    </row>
    <row r="538" spans="1:5" s="11" customFormat="1" x14ac:dyDescent="0.2">
      <c r="A538" s="56"/>
      <c r="B538" s="45"/>
      <c r="C538" s="33" t="s">
        <v>660</v>
      </c>
      <c r="D538" s="33"/>
      <c r="E538" s="33"/>
    </row>
    <row r="539" spans="1:5" s="11" customFormat="1" x14ac:dyDescent="0.2">
      <c r="A539" s="56"/>
      <c r="B539" s="45"/>
      <c r="C539" s="33" t="s">
        <v>722</v>
      </c>
      <c r="D539" s="33"/>
      <c r="E539" s="33"/>
    </row>
    <row r="540" spans="1:5" s="11" customFormat="1" x14ac:dyDescent="0.2">
      <c r="A540" s="56"/>
      <c r="B540" s="45"/>
      <c r="C540" s="33" t="s">
        <v>161</v>
      </c>
      <c r="D540" s="33"/>
      <c r="E540" s="33"/>
    </row>
    <row r="541" spans="1:5" s="11" customFormat="1" x14ac:dyDescent="0.2">
      <c r="A541" s="56"/>
      <c r="B541" s="45"/>
      <c r="C541" s="33" t="s">
        <v>101</v>
      </c>
      <c r="D541" s="34"/>
      <c r="E541" s="34"/>
    </row>
    <row r="542" spans="1:5" s="11" customFormat="1" x14ac:dyDescent="0.2">
      <c r="A542" s="62"/>
      <c r="B542" s="35" t="s">
        <v>809</v>
      </c>
      <c r="C542" s="31" t="s">
        <v>54</v>
      </c>
      <c r="D542" s="31" t="s">
        <v>1165</v>
      </c>
      <c r="E542" s="31"/>
    </row>
    <row r="543" spans="1:5" s="11" customFormat="1" x14ac:dyDescent="0.2">
      <c r="A543" s="63"/>
      <c r="B543" s="96"/>
      <c r="C543" s="31" t="s">
        <v>61</v>
      </c>
      <c r="D543" s="31"/>
      <c r="E543" s="31"/>
    </row>
    <row r="544" spans="1:5" s="11" customFormat="1" x14ac:dyDescent="0.2">
      <c r="A544" s="56"/>
      <c r="B544" s="44" t="s">
        <v>411</v>
      </c>
      <c r="C544" s="33" t="s">
        <v>435</v>
      </c>
      <c r="D544" s="44" t="s">
        <v>411</v>
      </c>
      <c r="E544" s="33"/>
    </row>
    <row r="545" spans="1:5" s="11" customFormat="1" x14ac:dyDescent="0.2">
      <c r="A545" s="56"/>
      <c r="B545" s="45"/>
      <c r="C545" s="33" t="s">
        <v>430</v>
      </c>
      <c r="D545" s="33"/>
      <c r="E545" s="33"/>
    </row>
    <row r="546" spans="1:5" s="11" customFormat="1" x14ac:dyDescent="0.2">
      <c r="A546" s="56"/>
      <c r="B546" s="45"/>
      <c r="C546" s="33" t="s">
        <v>414</v>
      </c>
      <c r="D546" s="33"/>
      <c r="E546" s="33"/>
    </row>
    <row r="547" spans="1:5" s="11" customFormat="1" x14ac:dyDescent="0.2">
      <c r="A547" s="56"/>
      <c r="B547" s="45"/>
      <c r="C547" s="33" t="s">
        <v>413</v>
      </c>
      <c r="D547" s="33"/>
      <c r="E547" s="33"/>
    </row>
    <row r="548" spans="1:5" s="11" customFormat="1" x14ac:dyDescent="0.2">
      <c r="A548" s="56"/>
      <c r="B548" s="45"/>
      <c r="C548" s="33" t="s">
        <v>415</v>
      </c>
      <c r="D548" s="33"/>
      <c r="E548" s="33"/>
    </row>
    <row r="549" spans="1:5" s="11" customFormat="1" x14ac:dyDescent="0.2">
      <c r="A549" s="62"/>
      <c r="B549" s="35" t="s">
        <v>657</v>
      </c>
      <c r="C549" s="31" t="s">
        <v>54</v>
      </c>
      <c r="D549" s="31" t="s">
        <v>1165</v>
      </c>
      <c r="E549" s="31"/>
    </row>
    <row r="550" spans="1:5" s="11" customFormat="1" x14ac:dyDescent="0.2">
      <c r="A550" s="63"/>
      <c r="B550" s="96"/>
      <c r="C550" s="31" t="s">
        <v>61</v>
      </c>
      <c r="D550" s="31"/>
      <c r="E550" s="31"/>
    </row>
    <row r="551" spans="1:5" s="11" customFormat="1" x14ac:dyDescent="0.2">
      <c r="A551" s="41"/>
      <c r="B551" s="44" t="s">
        <v>875</v>
      </c>
      <c r="C551" s="33" t="s">
        <v>786</v>
      </c>
      <c r="D551" s="44" t="s">
        <v>1176</v>
      </c>
      <c r="E551" s="33"/>
    </row>
    <row r="552" spans="1:5" s="11" customFormat="1" x14ac:dyDescent="0.2">
      <c r="A552" s="42"/>
      <c r="B552" s="42"/>
      <c r="C552" s="119" t="s">
        <v>1177</v>
      </c>
      <c r="D552" s="33"/>
      <c r="E552" s="33"/>
    </row>
    <row r="553" spans="1:5" s="11" customFormat="1" x14ac:dyDescent="0.2">
      <c r="A553" s="42"/>
      <c r="B553" s="42"/>
      <c r="C553" s="33" t="s">
        <v>1178</v>
      </c>
      <c r="D553" s="33"/>
      <c r="E553" s="33"/>
    </row>
    <row r="554" spans="1:5" s="11" customFormat="1" x14ac:dyDescent="0.2">
      <c r="A554" s="42"/>
      <c r="B554" s="42"/>
      <c r="C554" s="33" t="s">
        <v>1179</v>
      </c>
      <c r="D554" s="33"/>
      <c r="E554" s="33"/>
    </row>
    <row r="555" spans="1:5" s="11" customFormat="1" x14ac:dyDescent="0.2">
      <c r="A555" s="42"/>
      <c r="B555" s="42"/>
      <c r="C555" s="33" t="s">
        <v>1180</v>
      </c>
      <c r="D555" s="33"/>
      <c r="E555" s="33"/>
    </row>
    <row r="556" spans="1:5" s="11" customFormat="1" x14ac:dyDescent="0.2">
      <c r="A556" s="42"/>
      <c r="B556" s="42"/>
      <c r="C556" s="33" t="s">
        <v>1181</v>
      </c>
      <c r="D556" s="33"/>
      <c r="E556" s="33"/>
    </row>
    <row r="557" spans="1:5" s="11" customFormat="1" x14ac:dyDescent="0.2">
      <c r="A557" s="42"/>
      <c r="B557" s="42"/>
      <c r="C557" s="33" t="s">
        <v>1182</v>
      </c>
      <c r="D557" s="33"/>
      <c r="E557" s="33"/>
    </row>
    <row r="558" spans="1:5" s="11" customFormat="1" x14ac:dyDescent="0.2">
      <c r="A558" s="42"/>
      <c r="B558" s="42"/>
      <c r="C558" s="33" t="s">
        <v>787</v>
      </c>
      <c r="D558" s="33"/>
      <c r="E558" s="33"/>
    </row>
    <row r="559" spans="1:5" s="11" customFormat="1" x14ac:dyDescent="0.2">
      <c r="A559" s="42"/>
      <c r="B559" s="42"/>
      <c r="C559" s="33" t="s">
        <v>788</v>
      </c>
      <c r="D559" s="33"/>
      <c r="E559" s="33"/>
    </row>
    <row r="560" spans="1:5" s="11" customFormat="1" x14ac:dyDescent="0.2">
      <c r="A560" s="42"/>
      <c r="B560" s="42"/>
      <c r="C560" s="33" t="s">
        <v>789</v>
      </c>
      <c r="D560" s="33"/>
      <c r="E560" s="33"/>
    </row>
    <row r="561" spans="1:5" s="11" customFormat="1" x14ac:dyDescent="0.2">
      <c r="A561" s="42"/>
      <c r="B561" s="42"/>
      <c r="C561" s="33" t="s">
        <v>1183</v>
      </c>
      <c r="D561" s="33"/>
      <c r="E561" s="33"/>
    </row>
    <row r="562" spans="1:5" s="11" customFormat="1" x14ac:dyDescent="0.2">
      <c r="A562" s="42"/>
      <c r="B562" s="42"/>
      <c r="C562" s="33" t="s">
        <v>790</v>
      </c>
      <c r="D562" s="33"/>
      <c r="E562" s="33"/>
    </row>
    <row r="563" spans="1:5" s="11" customFormat="1" x14ac:dyDescent="0.2">
      <c r="A563" s="42"/>
      <c r="B563" s="42"/>
      <c r="C563" s="33" t="s">
        <v>791</v>
      </c>
      <c r="D563" s="33"/>
      <c r="E563" s="33"/>
    </row>
    <row r="564" spans="1:5" s="11" customFormat="1" x14ac:dyDescent="0.2">
      <c r="A564" s="42"/>
      <c r="B564" s="42"/>
      <c r="C564" s="33" t="s">
        <v>792</v>
      </c>
      <c r="D564" s="33"/>
      <c r="E564" s="33"/>
    </row>
    <row r="565" spans="1:5" s="11" customFormat="1" x14ac:dyDescent="0.2">
      <c r="A565" s="42"/>
      <c r="B565" s="42"/>
      <c r="C565" s="33" t="s">
        <v>793</v>
      </c>
      <c r="D565" s="33"/>
      <c r="E565" s="33"/>
    </row>
    <row r="566" spans="1:5" s="11" customFormat="1" x14ac:dyDescent="0.2">
      <c r="A566" s="42"/>
      <c r="B566" s="42"/>
      <c r="C566" s="33" t="s">
        <v>794</v>
      </c>
      <c r="D566" s="33"/>
      <c r="E566" s="33"/>
    </row>
    <row r="567" spans="1:5" s="11" customFormat="1" x14ac:dyDescent="0.2">
      <c r="A567" s="42"/>
      <c r="B567" s="42"/>
      <c r="C567" s="33" t="s">
        <v>795</v>
      </c>
      <c r="D567" s="33"/>
      <c r="E567" s="33"/>
    </row>
    <row r="568" spans="1:5" s="11" customFormat="1" x14ac:dyDescent="0.2">
      <c r="A568" s="42"/>
      <c r="B568" s="42"/>
      <c r="C568" s="33" t="s">
        <v>796</v>
      </c>
      <c r="D568" s="33"/>
      <c r="E568" s="33"/>
    </row>
    <row r="569" spans="1:5" s="11" customFormat="1" x14ac:dyDescent="0.2">
      <c r="A569" s="42"/>
      <c r="B569" s="42"/>
      <c r="C569" s="33" t="s">
        <v>797</v>
      </c>
      <c r="D569" s="33"/>
      <c r="E569" s="33"/>
    </row>
    <row r="570" spans="1:5" s="11" customFormat="1" x14ac:dyDescent="0.2">
      <c r="A570" s="42"/>
      <c r="B570" s="42"/>
      <c r="C570" s="33" t="s">
        <v>798</v>
      </c>
      <c r="D570" s="33"/>
      <c r="E570" s="33"/>
    </row>
    <row r="571" spans="1:5" s="11" customFormat="1" x14ac:dyDescent="0.2">
      <c r="A571" s="42"/>
      <c r="B571" s="42"/>
      <c r="C571" s="33" t="s">
        <v>799</v>
      </c>
      <c r="D571" s="33"/>
      <c r="E571" s="33"/>
    </row>
    <row r="572" spans="1:5" s="11" customFormat="1" x14ac:dyDescent="0.2">
      <c r="A572" s="42"/>
      <c r="B572" s="42"/>
      <c r="C572" s="33" t="s">
        <v>800</v>
      </c>
      <c r="D572" s="33"/>
      <c r="E572" s="33"/>
    </row>
    <row r="573" spans="1:5" s="11" customFormat="1" x14ac:dyDescent="0.2">
      <c r="A573" s="42"/>
      <c r="B573" s="42"/>
      <c r="C573" s="33" t="s">
        <v>801</v>
      </c>
      <c r="D573" s="33"/>
      <c r="E573" s="33"/>
    </row>
    <row r="574" spans="1:5" s="11" customFormat="1" x14ac:dyDescent="0.2">
      <c r="A574" s="42"/>
      <c r="B574" s="42"/>
      <c r="C574" s="33" t="s">
        <v>802</v>
      </c>
      <c r="D574" s="33"/>
      <c r="E574" s="33"/>
    </row>
    <row r="575" spans="1:5" s="11" customFormat="1" x14ac:dyDescent="0.2">
      <c r="A575" s="42"/>
      <c r="B575" s="42"/>
      <c r="C575" s="33" t="s">
        <v>803</v>
      </c>
      <c r="D575" s="33"/>
      <c r="E575" s="33"/>
    </row>
    <row r="576" spans="1:5" s="11" customFormat="1" x14ac:dyDescent="0.2">
      <c r="A576" s="42"/>
      <c r="B576" s="42"/>
      <c r="C576" s="33" t="s">
        <v>804</v>
      </c>
      <c r="D576" s="33"/>
      <c r="E576" s="33"/>
    </row>
    <row r="577" spans="1:6" x14ac:dyDescent="0.2">
      <c r="A577" s="42"/>
      <c r="B577" s="42"/>
      <c r="C577" s="33" t="s">
        <v>805</v>
      </c>
      <c r="D577" s="33"/>
      <c r="E577" s="33"/>
      <c r="F577" s="11"/>
    </row>
    <row r="578" spans="1:6" x14ac:dyDescent="0.2">
      <c r="A578" s="42"/>
      <c r="B578" s="42"/>
      <c r="C578" s="33" t="s">
        <v>1133</v>
      </c>
      <c r="D578" s="33"/>
      <c r="E578" s="33"/>
      <c r="F578" s="11" t="s">
        <v>1131</v>
      </c>
    </row>
    <row r="579" spans="1:6" x14ac:dyDescent="0.2">
      <c r="A579" s="42"/>
      <c r="B579" s="42"/>
      <c r="C579" s="33" t="s">
        <v>1134</v>
      </c>
      <c r="D579" s="33"/>
      <c r="E579" s="33"/>
      <c r="F579" s="11" t="s">
        <v>1131</v>
      </c>
    </row>
    <row r="580" spans="1:6" x14ac:dyDescent="0.2">
      <c r="A580" s="42"/>
      <c r="B580" s="42"/>
      <c r="C580" s="33" t="s">
        <v>810</v>
      </c>
      <c r="D580" s="33"/>
      <c r="E580" s="33"/>
      <c r="F580" s="11"/>
    </row>
    <row r="581" spans="1:6" x14ac:dyDescent="0.2">
      <c r="A581" s="42"/>
      <c r="B581" s="42"/>
      <c r="C581" s="33" t="s">
        <v>811</v>
      </c>
      <c r="D581" s="33"/>
      <c r="E581" s="33"/>
      <c r="F581" s="11"/>
    </row>
    <row r="582" spans="1:6" x14ac:dyDescent="0.2">
      <c r="A582" s="42"/>
      <c r="B582" s="42"/>
      <c r="C582" s="33" t="s">
        <v>812</v>
      </c>
      <c r="D582" s="33"/>
      <c r="E582" s="33"/>
      <c r="F582" s="11"/>
    </row>
    <row r="583" spans="1:6" x14ac:dyDescent="0.2">
      <c r="A583" s="42"/>
      <c r="B583" s="42"/>
      <c r="C583" s="33" t="s">
        <v>813</v>
      </c>
      <c r="D583" s="33"/>
      <c r="E583" s="33"/>
      <c r="F583" s="11"/>
    </row>
    <row r="584" spans="1:6" x14ac:dyDescent="0.2">
      <c r="A584" s="42"/>
      <c r="B584" s="42"/>
      <c r="C584" s="33" t="s">
        <v>814</v>
      </c>
      <c r="D584" s="33"/>
      <c r="E584" s="33"/>
      <c r="F584" s="11"/>
    </row>
    <row r="585" spans="1:6" x14ac:dyDescent="0.2">
      <c r="A585" s="42"/>
      <c r="B585" s="42"/>
      <c r="C585" s="33" t="s">
        <v>806</v>
      </c>
      <c r="D585" s="33"/>
      <c r="E585" s="33"/>
      <c r="F585" s="11"/>
    </row>
    <row r="586" spans="1:6" x14ac:dyDescent="0.2">
      <c r="A586" s="42"/>
      <c r="B586" s="42"/>
      <c r="C586" s="33" t="s">
        <v>807</v>
      </c>
      <c r="D586" s="33"/>
      <c r="E586" s="33"/>
      <c r="F586" s="11"/>
    </row>
    <row r="587" spans="1:6" x14ac:dyDescent="0.2">
      <c r="A587" s="42"/>
      <c r="B587" s="42"/>
      <c r="C587" s="33" t="s">
        <v>808</v>
      </c>
      <c r="D587" s="33"/>
      <c r="E587" s="33"/>
      <c r="F587" s="11"/>
    </row>
    <row r="588" spans="1:6" x14ac:dyDescent="0.2">
      <c r="A588" s="42"/>
      <c r="B588" s="42"/>
      <c r="C588" s="33" t="s">
        <v>1217</v>
      </c>
      <c r="D588" s="33"/>
      <c r="E588" s="33"/>
      <c r="F588" s="11"/>
    </row>
    <row r="589" spans="1:6" x14ac:dyDescent="0.2">
      <c r="A589" s="43"/>
      <c r="B589" s="43"/>
      <c r="C589" s="33" t="s">
        <v>1191</v>
      </c>
      <c r="D589" s="33"/>
      <c r="E589" s="33"/>
      <c r="F589" s="11"/>
    </row>
    <row r="590" spans="1:6" x14ac:dyDescent="0.2">
      <c r="A590" s="40"/>
      <c r="B590" s="97" t="s">
        <v>431</v>
      </c>
      <c r="C590" s="31" t="s">
        <v>432</v>
      </c>
      <c r="D590" s="97" t="s">
        <v>431</v>
      </c>
      <c r="E590" s="31"/>
      <c r="F590" s="11"/>
    </row>
    <row r="591" spans="1:6" x14ac:dyDescent="0.2">
      <c r="A591" s="40"/>
      <c r="B591" s="97"/>
      <c r="C591" s="31" t="s">
        <v>433</v>
      </c>
      <c r="D591" s="31"/>
      <c r="E591" s="31"/>
      <c r="F591" s="11"/>
    </row>
    <row r="592" spans="1:6" x14ac:dyDescent="0.2">
      <c r="A592" s="40"/>
      <c r="B592" s="97"/>
      <c r="C592" s="31" t="s">
        <v>101</v>
      </c>
      <c r="D592" s="31"/>
      <c r="E592" s="31"/>
      <c r="F592" s="11"/>
    </row>
    <row r="593" spans="1:6" x14ac:dyDescent="0.2">
      <c r="A593" s="44"/>
      <c r="B593" s="50" t="s">
        <v>654</v>
      </c>
      <c r="C593" s="33" t="s">
        <v>54</v>
      </c>
      <c r="D593" s="33" t="s">
        <v>1165</v>
      </c>
      <c r="E593" s="33"/>
      <c r="F593" s="104"/>
    </row>
    <row r="594" spans="1:6" x14ac:dyDescent="0.2">
      <c r="A594" s="98"/>
      <c r="B594" s="100"/>
      <c r="C594" s="99" t="s">
        <v>61</v>
      </c>
      <c r="D594" s="99"/>
      <c r="E594" s="33"/>
      <c r="F594" s="11"/>
    </row>
    <row r="595" spans="1:6" x14ac:dyDescent="0.2">
      <c r="A595" s="92"/>
      <c r="B595" s="92" t="s">
        <v>282</v>
      </c>
      <c r="C595" s="31" t="s">
        <v>266</v>
      </c>
      <c r="D595" s="92" t="s">
        <v>282</v>
      </c>
      <c r="E595" s="31"/>
      <c r="F595" s="11"/>
    </row>
    <row r="596" spans="1:6" x14ac:dyDescent="0.2">
      <c r="A596" s="40"/>
      <c r="B596" s="40"/>
      <c r="C596" s="31" t="s">
        <v>436</v>
      </c>
      <c r="D596" s="31"/>
      <c r="E596" s="31"/>
      <c r="F596" s="11"/>
    </row>
    <row r="597" spans="1:6" x14ac:dyDescent="0.2">
      <c r="A597" s="40"/>
      <c r="B597" s="40"/>
      <c r="C597" s="31" t="s">
        <v>264</v>
      </c>
      <c r="D597" s="31"/>
      <c r="E597" s="31"/>
      <c r="F597" s="11"/>
    </row>
    <row r="598" spans="1:6" x14ac:dyDescent="0.2">
      <c r="A598" s="40"/>
      <c r="B598" s="40"/>
      <c r="C598" s="31" t="s">
        <v>265</v>
      </c>
      <c r="D598" s="31"/>
      <c r="E598" s="31"/>
      <c r="F598" s="11"/>
    </row>
    <row r="599" spans="1:6" x14ac:dyDescent="0.2">
      <c r="A599" s="40"/>
      <c r="B599" s="40"/>
      <c r="C599" s="31" t="s">
        <v>374</v>
      </c>
      <c r="D599" s="31"/>
      <c r="E599" s="31"/>
      <c r="F599" s="11"/>
    </row>
    <row r="600" spans="1:6" x14ac:dyDescent="0.2">
      <c r="A600" s="40"/>
      <c r="B600" s="40"/>
      <c r="C600" s="31" t="s">
        <v>375</v>
      </c>
      <c r="D600" s="31"/>
      <c r="E600" s="31"/>
      <c r="F600" s="11"/>
    </row>
    <row r="601" spans="1:6" x14ac:dyDescent="0.2">
      <c r="A601" s="40"/>
      <c r="B601" s="40"/>
      <c r="C601" s="31" t="s">
        <v>376</v>
      </c>
      <c r="D601" s="31"/>
      <c r="E601" s="31"/>
      <c r="F601" s="11"/>
    </row>
    <row r="602" spans="1:6" x14ac:dyDescent="0.2">
      <c r="A602" s="40"/>
      <c r="B602" s="40"/>
      <c r="C602" s="31" t="s">
        <v>377</v>
      </c>
      <c r="D602" s="31"/>
      <c r="E602" s="31"/>
      <c r="F602" s="11"/>
    </row>
    <row r="603" spans="1:6" x14ac:dyDescent="0.2">
      <c r="A603" s="40"/>
      <c r="B603" s="40"/>
      <c r="C603" s="31" t="s">
        <v>267</v>
      </c>
      <c r="D603" s="31"/>
      <c r="E603" s="31"/>
      <c r="F603" s="11"/>
    </row>
    <row r="604" spans="1:6" x14ac:dyDescent="0.2">
      <c r="A604" s="40"/>
      <c r="B604" s="40"/>
      <c r="C604" s="31" t="s">
        <v>378</v>
      </c>
      <c r="D604" s="31"/>
      <c r="E604" s="31"/>
      <c r="F604" s="11"/>
    </row>
    <row r="605" spans="1:6" x14ac:dyDescent="0.2">
      <c r="A605" s="40"/>
      <c r="B605" s="40"/>
      <c r="C605" s="31" t="s">
        <v>379</v>
      </c>
      <c r="D605" s="31"/>
      <c r="E605" s="31"/>
      <c r="F605" s="11"/>
    </row>
    <row r="606" spans="1:6" x14ac:dyDescent="0.2">
      <c r="A606" s="40"/>
      <c r="B606" s="40"/>
      <c r="C606" s="31" t="s">
        <v>380</v>
      </c>
      <c r="D606" s="31"/>
      <c r="E606" s="31"/>
      <c r="F606" s="11"/>
    </row>
    <row r="607" spans="1:6" x14ac:dyDescent="0.2">
      <c r="A607" s="40"/>
      <c r="B607" s="40"/>
      <c r="C607" s="31" t="s">
        <v>381</v>
      </c>
      <c r="D607" s="31"/>
      <c r="E607" s="31"/>
      <c r="F607" s="11"/>
    </row>
    <row r="608" spans="1:6" x14ac:dyDescent="0.2">
      <c r="A608" s="40"/>
      <c r="B608" s="40"/>
      <c r="C608" s="31" t="s">
        <v>382</v>
      </c>
      <c r="D608" s="31"/>
      <c r="E608" s="31"/>
      <c r="F608" s="11"/>
    </row>
    <row r="609" spans="1:5" s="11" customFormat="1" x14ac:dyDescent="0.2">
      <c r="A609" s="40"/>
      <c r="B609" s="40"/>
      <c r="C609" s="31" t="s">
        <v>268</v>
      </c>
      <c r="D609" s="31"/>
      <c r="E609" s="31"/>
    </row>
    <row r="610" spans="1:5" s="11" customFormat="1" x14ac:dyDescent="0.2">
      <c r="A610" s="40"/>
      <c r="B610" s="40"/>
      <c r="C610" s="31" t="s">
        <v>383</v>
      </c>
      <c r="D610" s="31"/>
      <c r="E610" s="31"/>
    </row>
    <row r="611" spans="1:5" s="11" customFormat="1" x14ac:dyDescent="0.2">
      <c r="A611" s="40"/>
      <c r="B611" s="40"/>
      <c r="C611" s="31" t="s">
        <v>269</v>
      </c>
      <c r="D611" s="31"/>
      <c r="E611" s="31"/>
    </row>
    <row r="612" spans="1:5" s="11" customFormat="1" x14ac:dyDescent="0.2">
      <c r="A612" s="40"/>
      <c r="B612" s="40"/>
      <c r="C612" s="31" t="s">
        <v>270</v>
      </c>
      <c r="D612" s="31"/>
      <c r="E612" s="31"/>
    </row>
    <row r="613" spans="1:5" s="11" customFormat="1" x14ac:dyDescent="0.2">
      <c r="A613" s="40"/>
      <c r="B613" s="40"/>
      <c r="C613" s="31" t="s">
        <v>384</v>
      </c>
      <c r="D613" s="31"/>
      <c r="E613" s="31"/>
    </row>
    <row r="614" spans="1:5" s="11" customFormat="1" x14ac:dyDescent="0.2">
      <c r="A614" s="40"/>
      <c r="B614" s="40"/>
      <c r="C614" s="31" t="s">
        <v>385</v>
      </c>
      <c r="D614" s="31"/>
      <c r="E614" s="31"/>
    </row>
    <row r="615" spans="1:5" s="11" customFormat="1" x14ac:dyDescent="0.2">
      <c r="A615" s="40"/>
      <c r="B615" s="40"/>
      <c r="C615" s="31" t="s">
        <v>386</v>
      </c>
      <c r="D615" s="31"/>
      <c r="E615" s="31"/>
    </row>
    <row r="616" spans="1:5" s="11" customFormat="1" x14ac:dyDescent="0.2">
      <c r="A616" s="40"/>
      <c r="B616" s="40"/>
      <c r="C616" s="31" t="s">
        <v>271</v>
      </c>
      <c r="D616" s="31"/>
      <c r="E616" s="31"/>
    </row>
    <row r="617" spans="1:5" s="11" customFormat="1" x14ac:dyDescent="0.2">
      <c r="A617" s="40"/>
      <c r="B617" s="40"/>
      <c r="C617" s="31" t="s">
        <v>272</v>
      </c>
      <c r="D617" s="31"/>
      <c r="E617" s="31"/>
    </row>
    <row r="618" spans="1:5" s="11" customFormat="1" x14ac:dyDescent="0.2">
      <c r="A618" s="40"/>
      <c r="B618" s="40"/>
      <c r="C618" s="31" t="s">
        <v>1202</v>
      </c>
      <c r="D618" s="31"/>
      <c r="E618" s="31"/>
    </row>
    <row r="619" spans="1:5" s="11" customFormat="1" x14ac:dyDescent="0.2">
      <c r="A619" s="40"/>
      <c r="B619" s="40"/>
      <c r="C619" s="31" t="s">
        <v>1203</v>
      </c>
      <c r="D619" s="31"/>
      <c r="E619" s="31"/>
    </row>
    <row r="620" spans="1:5" s="11" customFormat="1" x14ac:dyDescent="0.2">
      <c r="A620" s="40"/>
      <c r="B620" s="40"/>
      <c r="C620" s="31" t="s">
        <v>1204</v>
      </c>
      <c r="D620" s="31"/>
      <c r="E620" s="31"/>
    </row>
    <row r="621" spans="1:5" s="11" customFormat="1" x14ac:dyDescent="0.2">
      <c r="A621" s="40"/>
      <c r="B621" s="40"/>
      <c r="C621" s="31" t="s">
        <v>1205</v>
      </c>
      <c r="D621" s="31"/>
      <c r="E621" s="31"/>
    </row>
    <row r="622" spans="1:5" s="11" customFormat="1" x14ac:dyDescent="0.2">
      <c r="A622" s="40"/>
      <c r="B622" s="40"/>
      <c r="C622" s="31" t="s">
        <v>1206</v>
      </c>
      <c r="D622" s="31"/>
      <c r="E622" s="31"/>
    </row>
    <row r="623" spans="1:5" s="11" customFormat="1" x14ac:dyDescent="0.2">
      <c r="A623" s="40"/>
      <c r="B623" s="40"/>
      <c r="C623" s="31" t="s">
        <v>1207</v>
      </c>
      <c r="D623" s="31"/>
      <c r="E623" s="31"/>
    </row>
    <row r="624" spans="1:5" s="11" customFormat="1" x14ac:dyDescent="0.2">
      <c r="A624" s="40"/>
      <c r="B624" s="40"/>
      <c r="C624" s="31" t="s">
        <v>128</v>
      </c>
      <c r="D624" s="31"/>
      <c r="E624" s="31"/>
    </row>
    <row r="625" spans="1:6" x14ac:dyDescent="0.2">
      <c r="A625" s="40"/>
      <c r="B625" s="40"/>
      <c r="C625" s="31" t="s">
        <v>1096</v>
      </c>
      <c r="D625" s="31"/>
      <c r="E625" s="31"/>
      <c r="F625" s="11" t="s">
        <v>1131</v>
      </c>
    </row>
    <row r="626" spans="1:6" x14ac:dyDescent="0.2">
      <c r="A626" s="44"/>
      <c r="B626" s="44" t="s">
        <v>23</v>
      </c>
      <c r="C626" s="33" t="s">
        <v>437</v>
      </c>
      <c r="D626" s="44" t="s">
        <v>23</v>
      </c>
      <c r="E626" s="33"/>
      <c r="F626" s="11"/>
    </row>
    <row r="627" spans="1:6" x14ac:dyDescent="0.2">
      <c r="A627" s="45"/>
      <c r="B627" s="45"/>
      <c r="C627" s="33" t="s">
        <v>111</v>
      </c>
      <c r="D627" s="33"/>
      <c r="E627" s="33"/>
      <c r="F627" s="11"/>
    </row>
    <row r="628" spans="1:6" x14ac:dyDescent="0.2">
      <c r="A628" s="45"/>
      <c r="B628" s="45"/>
      <c r="C628" s="33" t="s">
        <v>104</v>
      </c>
      <c r="D628" s="33"/>
      <c r="E628" s="33"/>
      <c r="F628" s="11"/>
    </row>
    <row r="629" spans="1:6" x14ac:dyDescent="0.2">
      <c r="A629" s="45"/>
      <c r="B629" s="45"/>
      <c r="C629" s="33" t="s">
        <v>86</v>
      </c>
      <c r="D629" s="33"/>
      <c r="E629" s="33"/>
      <c r="F629" s="11"/>
    </row>
    <row r="630" spans="1:6" x14ac:dyDescent="0.2">
      <c r="A630" s="45"/>
      <c r="B630" s="45"/>
      <c r="C630" s="33" t="s">
        <v>1114</v>
      </c>
      <c r="D630" s="33"/>
      <c r="E630" s="33"/>
      <c r="F630" s="11" t="s">
        <v>1131</v>
      </c>
    </row>
    <row r="631" spans="1:6" x14ac:dyDescent="0.2">
      <c r="A631" s="45"/>
      <c r="B631" s="45"/>
      <c r="C631" s="33" t="s">
        <v>59</v>
      </c>
      <c r="D631" s="33"/>
      <c r="E631" s="33"/>
      <c r="F631" s="11"/>
    </row>
    <row r="632" spans="1:6" x14ac:dyDescent="0.2">
      <c r="A632" s="45"/>
      <c r="B632" s="45"/>
      <c r="C632" s="33" t="s">
        <v>92</v>
      </c>
      <c r="D632" s="33"/>
      <c r="E632" s="33"/>
      <c r="F632" s="11"/>
    </row>
    <row r="633" spans="1:6" x14ac:dyDescent="0.2">
      <c r="A633" s="45"/>
      <c r="B633" s="45"/>
      <c r="C633" s="33" t="s">
        <v>74</v>
      </c>
      <c r="D633" s="33"/>
      <c r="E633" s="33"/>
      <c r="F633" s="11"/>
    </row>
    <row r="634" spans="1:6" x14ac:dyDescent="0.2">
      <c r="A634" s="45"/>
      <c r="B634" s="45"/>
      <c r="C634" s="33" t="s">
        <v>67</v>
      </c>
      <c r="D634" s="33"/>
      <c r="E634" s="33"/>
      <c r="F634" s="11"/>
    </row>
    <row r="635" spans="1:6" x14ac:dyDescent="0.2">
      <c r="A635" s="45"/>
      <c r="B635" s="45"/>
      <c r="C635" s="33" t="s">
        <v>81</v>
      </c>
      <c r="D635" s="33"/>
      <c r="E635" s="33"/>
      <c r="F635" s="11"/>
    </row>
    <row r="636" spans="1:6" x14ac:dyDescent="0.2">
      <c r="A636" s="45"/>
      <c r="B636" s="45"/>
      <c r="C636" s="33" t="s">
        <v>388</v>
      </c>
      <c r="D636" s="33"/>
      <c r="E636" s="33"/>
      <c r="F636" s="11"/>
    </row>
    <row r="637" spans="1:6" x14ac:dyDescent="0.2">
      <c r="A637" s="46"/>
      <c r="B637" s="46"/>
      <c r="C637" s="33" t="s">
        <v>101</v>
      </c>
      <c r="D637" s="33"/>
      <c r="E637" s="33"/>
      <c r="F637" s="11"/>
    </row>
    <row r="638" spans="1:6" x14ac:dyDescent="0.2">
      <c r="A638" s="40"/>
      <c r="B638" s="97" t="s">
        <v>279</v>
      </c>
      <c r="C638" s="31" t="s">
        <v>587</v>
      </c>
      <c r="D638" s="97" t="s">
        <v>279</v>
      </c>
      <c r="E638" s="31" t="s">
        <v>1113</v>
      </c>
      <c r="F638" s="11"/>
    </row>
    <row r="639" spans="1:6" x14ac:dyDescent="0.2">
      <c r="A639" s="40"/>
      <c r="B639" s="97"/>
      <c r="C639" s="31" t="s">
        <v>286</v>
      </c>
      <c r="D639" s="31"/>
      <c r="E639" s="31" t="s">
        <v>328</v>
      </c>
      <c r="F639" s="11"/>
    </row>
    <row r="640" spans="1:6" x14ac:dyDescent="0.2">
      <c r="A640" s="40"/>
      <c r="B640" s="97"/>
      <c r="C640" s="31" t="s">
        <v>287</v>
      </c>
      <c r="D640" s="31"/>
      <c r="E640" s="31" t="s">
        <v>329</v>
      </c>
      <c r="F640" s="11"/>
    </row>
    <row r="641" spans="1:5" s="11" customFormat="1" x14ac:dyDescent="0.2">
      <c r="A641" s="40"/>
      <c r="B641" s="97"/>
      <c r="C641" s="31" t="s">
        <v>288</v>
      </c>
      <c r="D641" s="31"/>
      <c r="E641" s="31" t="s">
        <v>330</v>
      </c>
    </row>
    <row r="642" spans="1:5" s="11" customFormat="1" x14ac:dyDescent="0.2">
      <c r="A642" s="40"/>
      <c r="B642" s="97"/>
      <c r="C642" s="31" t="s">
        <v>277</v>
      </c>
      <c r="D642" s="31"/>
      <c r="E642" s="31" t="s">
        <v>284</v>
      </c>
    </row>
    <row r="643" spans="1:5" s="11" customFormat="1" x14ac:dyDescent="0.2">
      <c r="A643" s="40"/>
      <c r="B643" s="97"/>
      <c r="C643" s="31" t="s">
        <v>278</v>
      </c>
      <c r="D643" s="31"/>
      <c r="E643" s="31" t="s">
        <v>285</v>
      </c>
    </row>
    <row r="644" spans="1:5" s="11" customFormat="1" x14ac:dyDescent="0.2">
      <c r="A644" s="40"/>
      <c r="B644" s="97"/>
      <c r="C644" s="31" t="s">
        <v>588</v>
      </c>
      <c r="D644" s="31"/>
      <c r="E644" s="31" t="s">
        <v>589</v>
      </c>
    </row>
    <row r="645" spans="1:5" s="11" customFormat="1" x14ac:dyDescent="0.2">
      <c r="A645" s="40"/>
      <c r="B645" s="97"/>
      <c r="C645" s="31" t="s">
        <v>280</v>
      </c>
      <c r="D645" s="31"/>
      <c r="E645" s="31" t="s">
        <v>280</v>
      </c>
    </row>
    <row r="646" spans="1:5" s="11" customFormat="1" x14ac:dyDescent="0.2">
      <c r="A646" s="40"/>
      <c r="B646" s="97"/>
      <c r="C646" s="31" t="s">
        <v>101</v>
      </c>
      <c r="D646" s="31"/>
      <c r="E646" s="31"/>
    </row>
    <row r="647" spans="1:5" s="11" customFormat="1" x14ac:dyDescent="0.2">
      <c r="A647" s="47"/>
      <c r="B647" s="47" t="s">
        <v>1101</v>
      </c>
      <c r="C647" s="33" t="s">
        <v>438</v>
      </c>
      <c r="D647" s="47" t="s">
        <v>1101</v>
      </c>
      <c r="E647" s="33" t="s">
        <v>439</v>
      </c>
    </row>
    <row r="648" spans="1:5" s="11" customFormat="1" x14ac:dyDescent="0.2">
      <c r="A648" s="48"/>
      <c r="B648" s="48"/>
      <c r="C648" s="33" t="s">
        <v>1192</v>
      </c>
      <c r="D648" s="33"/>
      <c r="E648" s="33" t="s">
        <v>440</v>
      </c>
    </row>
    <row r="649" spans="1:5" s="11" customFormat="1" x14ac:dyDescent="0.2">
      <c r="A649" s="48"/>
      <c r="B649" s="48"/>
      <c r="C649" s="33" t="s">
        <v>1193</v>
      </c>
      <c r="D649" s="33"/>
      <c r="E649" s="33" t="s">
        <v>441</v>
      </c>
    </row>
    <row r="650" spans="1:5" s="11" customFormat="1" x14ac:dyDescent="0.2">
      <c r="A650" s="48"/>
      <c r="B650" s="48"/>
      <c r="C650" s="33" t="s">
        <v>443</v>
      </c>
      <c r="D650" s="33"/>
      <c r="E650" s="33" t="s">
        <v>442</v>
      </c>
    </row>
    <row r="651" spans="1:5" s="11" customFormat="1" x14ac:dyDescent="0.2">
      <c r="A651" s="48"/>
      <c r="B651" s="48"/>
      <c r="C651" s="33" t="s">
        <v>898</v>
      </c>
      <c r="D651" s="33"/>
      <c r="E651" s="33"/>
    </row>
    <row r="652" spans="1:5" s="11" customFormat="1" x14ac:dyDescent="0.2">
      <c r="A652" s="49"/>
      <c r="B652" s="49"/>
      <c r="C652" s="33" t="s">
        <v>101</v>
      </c>
      <c r="D652" s="33"/>
      <c r="E652" s="33"/>
    </row>
    <row r="653" spans="1:5" s="11" customFormat="1" x14ac:dyDescent="0.2">
      <c r="A653" s="40"/>
      <c r="B653" s="97" t="s">
        <v>876</v>
      </c>
      <c r="C653" s="31" t="s">
        <v>294</v>
      </c>
      <c r="D653" s="97" t="s">
        <v>876</v>
      </c>
      <c r="E653" s="31"/>
    </row>
    <row r="654" spans="1:5" s="11" customFormat="1" x14ac:dyDescent="0.2">
      <c r="A654" s="40"/>
      <c r="B654" s="97"/>
      <c r="C654" s="31" t="s">
        <v>295</v>
      </c>
      <c r="D654" s="31"/>
      <c r="E654" s="31"/>
    </row>
    <row r="655" spans="1:5" s="11" customFormat="1" x14ac:dyDescent="0.2">
      <c r="A655" s="40"/>
      <c r="B655" s="97"/>
      <c r="C655" s="31" t="s">
        <v>749</v>
      </c>
      <c r="D655" s="31"/>
      <c r="E655" s="31"/>
    </row>
    <row r="656" spans="1:5" s="11" customFormat="1" x14ac:dyDescent="0.2">
      <c r="A656" s="40"/>
      <c r="B656" s="97"/>
      <c r="C656" s="31" t="s">
        <v>293</v>
      </c>
      <c r="D656" s="31"/>
      <c r="E656" s="31"/>
    </row>
    <row r="657" spans="1:5" s="11" customFormat="1" x14ac:dyDescent="0.2">
      <c r="A657" s="40"/>
      <c r="B657" s="97"/>
      <c r="C657" s="31" t="s">
        <v>101</v>
      </c>
      <c r="D657" s="31"/>
      <c r="E657" s="31"/>
    </row>
    <row r="658" spans="1:5" s="11" customFormat="1" x14ac:dyDescent="0.2">
      <c r="A658" s="47"/>
      <c r="B658" s="47" t="s">
        <v>363</v>
      </c>
      <c r="C658" s="33" t="s">
        <v>296</v>
      </c>
      <c r="D658" s="47" t="s">
        <v>363</v>
      </c>
      <c r="E658" s="33"/>
    </row>
    <row r="659" spans="1:5" s="11" customFormat="1" x14ac:dyDescent="0.2">
      <c r="A659" s="48"/>
      <c r="B659" s="48"/>
      <c r="C659" s="33" t="s">
        <v>297</v>
      </c>
      <c r="D659" s="33"/>
      <c r="E659" s="33"/>
    </row>
    <row r="660" spans="1:5" s="11" customFormat="1" x14ac:dyDescent="0.2">
      <c r="A660" s="40"/>
      <c r="B660" s="97" t="s">
        <v>25</v>
      </c>
      <c r="C660" s="31" t="s">
        <v>16</v>
      </c>
      <c r="D660" s="97" t="s">
        <v>25</v>
      </c>
      <c r="E660" s="31"/>
    </row>
    <row r="661" spans="1:5" s="11" customFormat="1" x14ac:dyDescent="0.2">
      <c r="A661" s="40"/>
      <c r="B661" s="97"/>
      <c r="C661" s="31" t="s">
        <v>26</v>
      </c>
      <c r="D661" s="31"/>
      <c r="E661" s="31"/>
    </row>
    <row r="662" spans="1:5" s="11" customFormat="1" x14ac:dyDescent="0.2">
      <c r="A662" s="47"/>
      <c r="B662" s="47" t="s">
        <v>599</v>
      </c>
      <c r="C662" s="33" t="s">
        <v>347</v>
      </c>
      <c r="D662" s="33" t="s">
        <v>1168</v>
      </c>
      <c r="E662" s="33"/>
    </row>
    <row r="663" spans="1:5" s="11" customFormat="1" x14ac:dyDescent="0.2">
      <c r="A663" s="48"/>
      <c r="B663" s="48"/>
      <c r="C663" s="33" t="s">
        <v>348</v>
      </c>
      <c r="D663" s="33"/>
      <c r="E663" s="33"/>
    </row>
    <row r="664" spans="1:5" s="11" customFormat="1" x14ac:dyDescent="0.2">
      <c r="A664" s="48"/>
      <c r="B664" s="48"/>
      <c r="C664" s="33" t="s">
        <v>349</v>
      </c>
      <c r="D664" s="33"/>
      <c r="E664" s="33"/>
    </row>
    <row r="665" spans="1:5" s="11" customFormat="1" x14ac:dyDescent="0.2">
      <c r="A665" s="48"/>
      <c r="B665" s="48"/>
      <c r="C665" s="33" t="s">
        <v>350</v>
      </c>
      <c r="D665" s="33"/>
      <c r="E665" s="33"/>
    </row>
    <row r="666" spans="1:5" s="11" customFormat="1" x14ac:dyDescent="0.2">
      <c r="A666" s="48"/>
      <c r="B666" s="48"/>
      <c r="C666" s="33" t="s">
        <v>351</v>
      </c>
      <c r="D666" s="33"/>
      <c r="E666" s="33"/>
    </row>
    <row r="667" spans="1:5" s="11" customFormat="1" x14ac:dyDescent="0.2">
      <c r="A667" s="48"/>
      <c r="B667" s="48"/>
      <c r="C667" s="33" t="s">
        <v>352</v>
      </c>
      <c r="D667" s="33"/>
      <c r="E667" s="33"/>
    </row>
    <row r="668" spans="1:5" s="11" customFormat="1" x14ac:dyDescent="0.2">
      <c r="A668" s="48"/>
      <c r="B668" s="48"/>
      <c r="C668" s="33" t="s">
        <v>101</v>
      </c>
      <c r="D668" s="33"/>
      <c r="E668" s="33"/>
    </row>
    <row r="669" spans="1:5" s="11" customFormat="1" x14ac:dyDescent="0.2">
      <c r="A669" s="49"/>
      <c r="B669" s="49"/>
      <c r="C669" s="33" t="s">
        <v>353</v>
      </c>
      <c r="D669" s="33"/>
      <c r="E669" s="33"/>
    </row>
    <row r="670" spans="1:5" s="11" customFormat="1" x14ac:dyDescent="0.2">
      <c r="A670" s="40"/>
      <c r="B670" s="97" t="s">
        <v>300</v>
      </c>
      <c r="C670" s="31" t="s">
        <v>354</v>
      </c>
      <c r="D670" s="97" t="s">
        <v>300</v>
      </c>
      <c r="E670" s="31"/>
    </row>
    <row r="671" spans="1:5" s="11" customFormat="1" x14ac:dyDescent="0.2">
      <c r="A671" s="40"/>
      <c r="B671" s="97"/>
      <c r="C671" s="31" t="s">
        <v>361</v>
      </c>
      <c r="D671" s="31"/>
      <c r="E671" s="31"/>
    </row>
    <row r="672" spans="1:5" s="11" customFormat="1" x14ac:dyDescent="0.2">
      <c r="A672" s="47"/>
      <c r="B672" s="47" t="s">
        <v>301</v>
      </c>
      <c r="C672" s="33" t="s">
        <v>668</v>
      </c>
      <c r="D672" s="47" t="s">
        <v>301</v>
      </c>
      <c r="E672" s="33"/>
    </row>
    <row r="673" spans="1:5" s="11" customFormat="1" x14ac:dyDescent="0.2">
      <c r="A673" s="48"/>
      <c r="B673" s="48"/>
      <c r="C673" s="33" t="s">
        <v>669</v>
      </c>
      <c r="D673" s="33"/>
      <c r="E673" s="33"/>
    </row>
    <row r="674" spans="1:5" s="11" customFormat="1" x14ac:dyDescent="0.2">
      <c r="A674" s="48"/>
      <c r="B674" s="48"/>
      <c r="C674" s="33" t="s">
        <v>311</v>
      </c>
      <c r="D674" s="33"/>
      <c r="E674" s="33"/>
    </row>
    <row r="675" spans="1:5" s="11" customFormat="1" x14ac:dyDescent="0.2">
      <c r="A675" s="48"/>
      <c r="B675" s="48"/>
      <c r="C675" s="33" t="s">
        <v>316</v>
      </c>
      <c r="D675" s="33"/>
      <c r="E675" s="33"/>
    </row>
    <row r="676" spans="1:5" s="11" customFormat="1" x14ac:dyDescent="0.2">
      <c r="A676" s="48"/>
      <c r="B676" s="48"/>
      <c r="C676" s="33" t="s">
        <v>313</v>
      </c>
      <c r="D676" s="33"/>
      <c r="E676" s="33"/>
    </row>
    <row r="677" spans="1:5" s="11" customFormat="1" x14ac:dyDescent="0.2">
      <c r="A677" s="48"/>
      <c r="B677" s="48"/>
      <c r="C677" s="33" t="s">
        <v>312</v>
      </c>
      <c r="D677" s="33"/>
      <c r="E677" s="33"/>
    </row>
    <row r="678" spans="1:5" s="11" customFormat="1" x14ac:dyDescent="0.2">
      <c r="A678" s="48"/>
      <c r="B678" s="48"/>
      <c r="C678" s="33" t="s">
        <v>317</v>
      </c>
      <c r="D678" s="33"/>
      <c r="E678" s="33"/>
    </row>
    <row r="679" spans="1:5" s="11" customFormat="1" x14ac:dyDescent="0.2">
      <c r="A679" s="48"/>
      <c r="B679" s="48"/>
      <c r="C679" s="33" t="s">
        <v>314</v>
      </c>
      <c r="D679" s="33"/>
      <c r="E679" s="33"/>
    </row>
    <row r="680" spans="1:5" s="11" customFormat="1" x14ac:dyDescent="0.2">
      <c r="A680" s="48"/>
      <c r="B680" s="48"/>
      <c r="C680" s="33" t="s">
        <v>434</v>
      </c>
      <c r="D680" s="33"/>
      <c r="E680" s="33"/>
    </row>
    <row r="681" spans="1:5" s="11" customFormat="1" x14ac:dyDescent="0.2">
      <c r="A681" s="48"/>
      <c r="B681" s="48"/>
      <c r="C681" s="33" t="s">
        <v>315</v>
      </c>
      <c r="D681" s="33"/>
      <c r="E681" s="33"/>
    </row>
    <row r="682" spans="1:5" s="11" customFormat="1" x14ac:dyDescent="0.2">
      <c r="A682" s="48"/>
      <c r="B682" s="48"/>
      <c r="C682" s="33" t="s">
        <v>128</v>
      </c>
      <c r="D682" s="33"/>
      <c r="E682" s="33"/>
    </row>
    <row r="683" spans="1:5" s="11" customFormat="1" x14ac:dyDescent="0.2">
      <c r="A683" s="48"/>
      <c r="B683" s="48"/>
      <c r="C683" s="33" t="s">
        <v>1190</v>
      </c>
      <c r="D683" s="33"/>
      <c r="E683" s="33"/>
    </row>
    <row r="684" spans="1:5" s="11" customFormat="1" x14ac:dyDescent="0.2">
      <c r="A684" s="49"/>
      <c r="B684" s="49"/>
      <c r="C684" s="33" t="s">
        <v>353</v>
      </c>
      <c r="D684" s="33"/>
      <c r="E684" s="33"/>
    </row>
    <row r="685" spans="1:5" s="11" customFormat="1" x14ac:dyDescent="0.2">
      <c r="A685" s="69"/>
      <c r="B685" s="69" t="s">
        <v>302</v>
      </c>
      <c r="C685" s="31" t="s">
        <v>347</v>
      </c>
      <c r="D685" s="31" t="s">
        <v>1168</v>
      </c>
      <c r="E685" s="31"/>
    </row>
    <row r="686" spans="1:5" s="11" customFormat="1" x14ac:dyDescent="0.2">
      <c r="A686" s="71"/>
      <c r="B686" s="71"/>
      <c r="C686" s="31" t="s">
        <v>348</v>
      </c>
      <c r="D686" s="31"/>
      <c r="E686" s="31"/>
    </row>
    <row r="687" spans="1:5" s="11" customFormat="1" x14ac:dyDescent="0.2">
      <c r="A687" s="71"/>
      <c r="B687" s="71"/>
      <c r="C687" s="31" t="s">
        <v>349</v>
      </c>
      <c r="D687" s="31"/>
      <c r="E687" s="31"/>
    </row>
    <row r="688" spans="1:5" s="11" customFormat="1" x14ac:dyDescent="0.2">
      <c r="A688" s="71"/>
      <c r="B688" s="71"/>
      <c r="C688" s="31" t="s">
        <v>350</v>
      </c>
      <c r="D688" s="31"/>
      <c r="E688" s="31"/>
    </row>
    <row r="689" spans="1:5" s="11" customFormat="1" x14ac:dyDescent="0.2">
      <c r="A689" s="71"/>
      <c r="B689" s="71"/>
      <c r="C689" s="31" t="s">
        <v>351</v>
      </c>
      <c r="D689" s="31"/>
      <c r="E689" s="31"/>
    </row>
    <row r="690" spans="1:5" s="11" customFormat="1" x14ac:dyDescent="0.2">
      <c r="A690" s="71"/>
      <c r="B690" s="71"/>
      <c r="C690" s="31" t="s">
        <v>352</v>
      </c>
      <c r="D690" s="31"/>
      <c r="E690" s="31"/>
    </row>
    <row r="691" spans="1:5" s="11" customFormat="1" x14ac:dyDescent="0.2">
      <c r="A691" s="71"/>
      <c r="B691" s="71"/>
      <c r="C691" s="31" t="s">
        <v>101</v>
      </c>
      <c r="D691" s="31"/>
      <c r="E691" s="31"/>
    </row>
    <row r="692" spans="1:5" s="11" customFormat="1" x14ac:dyDescent="0.2">
      <c r="A692" s="71"/>
      <c r="B692" s="71"/>
      <c r="C692" s="31" t="s">
        <v>353</v>
      </c>
      <c r="D692" s="31"/>
      <c r="E692" s="31"/>
    </row>
    <row r="693" spans="1:5" s="11" customFormat="1" x14ac:dyDescent="0.2">
      <c r="A693" s="47"/>
      <c r="B693" s="44" t="s">
        <v>359</v>
      </c>
      <c r="C693" s="33" t="s">
        <v>331</v>
      </c>
      <c r="D693" s="44" t="s">
        <v>360</v>
      </c>
      <c r="E693" s="33"/>
    </row>
    <row r="694" spans="1:5" s="11" customFormat="1" x14ac:dyDescent="0.2">
      <c r="A694" s="48"/>
      <c r="B694" s="46"/>
      <c r="C694" s="33" t="s">
        <v>332</v>
      </c>
      <c r="D694" s="33"/>
      <c r="E694" s="33"/>
    </row>
    <row r="695" spans="1:5" s="11" customFormat="1" x14ac:dyDescent="0.2">
      <c r="A695" s="69"/>
      <c r="B695" s="69" t="s">
        <v>716</v>
      </c>
      <c r="C695" s="31" t="s">
        <v>333</v>
      </c>
      <c r="D695" s="69" t="s">
        <v>716</v>
      </c>
      <c r="E695" s="31"/>
    </row>
    <row r="696" spans="1:5" s="11" customFormat="1" x14ac:dyDescent="0.2">
      <c r="A696" s="71"/>
      <c r="B696" s="71"/>
      <c r="C696" s="31" t="s">
        <v>334</v>
      </c>
      <c r="D696" s="31"/>
      <c r="E696" s="31"/>
    </row>
    <row r="697" spans="1:5" s="11" customFormat="1" x14ac:dyDescent="0.2">
      <c r="A697" s="47"/>
      <c r="B697" s="47" t="s">
        <v>335</v>
      </c>
      <c r="C697" s="33" t="s">
        <v>389</v>
      </c>
      <c r="D697" s="47" t="s">
        <v>335</v>
      </c>
      <c r="E697" s="33"/>
    </row>
    <row r="698" spans="1:5" s="11" customFormat="1" x14ac:dyDescent="0.2">
      <c r="A698" s="48"/>
      <c r="B698" s="48"/>
      <c r="C698" s="33" t="s">
        <v>372</v>
      </c>
      <c r="D698" s="33"/>
      <c r="E698" s="33"/>
    </row>
    <row r="699" spans="1:5" s="11" customFormat="1" x14ac:dyDescent="0.2">
      <c r="A699" s="48"/>
      <c r="B699" s="48"/>
      <c r="C699" s="33" t="s">
        <v>367</v>
      </c>
      <c r="D699" s="33"/>
      <c r="E699" s="33"/>
    </row>
    <row r="700" spans="1:5" s="11" customFormat="1" x14ac:dyDescent="0.2">
      <c r="A700" s="48"/>
      <c r="B700" s="48"/>
      <c r="C700" s="33" t="s">
        <v>325</v>
      </c>
      <c r="D700" s="33"/>
      <c r="E700" s="33"/>
    </row>
    <row r="701" spans="1:5" s="11" customFormat="1" x14ac:dyDescent="0.2">
      <c r="A701" s="48"/>
      <c r="B701" s="48"/>
      <c r="C701" s="33" t="s">
        <v>72</v>
      </c>
      <c r="D701" s="33"/>
      <c r="E701" s="33"/>
    </row>
    <row r="702" spans="1:5" s="11" customFormat="1" x14ac:dyDescent="0.2">
      <c r="A702" s="48"/>
      <c r="B702" s="48"/>
      <c r="C702" s="33" t="s">
        <v>8</v>
      </c>
      <c r="D702" s="33"/>
      <c r="E702" s="33"/>
    </row>
    <row r="703" spans="1:5" s="11" customFormat="1" x14ac:dyDescent="0.2">
      <c r="A703" s="48"/>
      <c r="B703" s="48"/>
      <c r="C703" s="33" t="s">
        <v>336</v>
      </c>
      <c r="D703" s="33"/>
      <c r="E703" s="33"/>
    </row>
    <row r="704" spans="1:5" s="11" customFormat="1" x14ac:dyDescent="0.2">
      <c r="A704" s="48"/>
      <c r="B704" s="48"/>
      <c r="C704" s="33" t="s">
        <v>324</v>
      </c>
      <c r="D704" s="33"/>
      <c r="E704" s="33"/>
    </row>
    <row r="705" spans="1:6" x14ac:dyDescent="0.2">
      <c r="A705" s="48"/>
      <c r="B705" s="48"/>
      <c r="C705" s="33" t="s">
        <v>101</v>
      </c>
      <c r="D705" s="33"/>
      <c r="E705" s="33"/>
      <c r="F705" s="11"/>
    </row>
    <row r="706" spans="1:6" x14ac:dyDescent="0.2">
      <c r="A706" s="69"/>
      <c r="B706" s="69" t="s">
        <v>450</v>
      </c>
      <c r="C706" s="31" t="s">
        <v>405</v>
      </c>
      <c r="D706" s="69" t="s">
        <v>450</v>
      </c>
      <c r="E706" s="31"/>
      <c r="F706" s="11"/>
    </row>
    <row r="707" spans="1:6" x14ac:dyDescent="0.2">
      <c r="A707" s="71"/>
      <c r="B707" s="71"/>
      <c r="C707" s="31" t="s">
        <v>255</v>
      </c>
      <c r="D707" s="31"/>
      <c r="E707" s="31"/>
      <c r="F707" s="11"/>
    </row>
    <row r="708" spans="1:6" x14ac:dyDescent="0.2">
      <c r="A708" s="71"/>
      <c r="B708" s="71"/>
      <c r="C708" s="31" t="s">
        <v>622</v>
      </c>
      <c r="D708" s="31"/>
      <c r="E708" s="31"/>
      <c r="F708" s="11"/>
    </row>
    <row r="709" spans="1:6" x14ac:dyDescent="0.2">
      <c r="A709" s="71"/>
      <c r="B709" s="71"/>
      <c r="C709" s="31" t="s">
        <v>154</v>
      </c>
      <c r="D709" s="31"/>
      <c r="E709" s="31"/>
      <c r="F709" s="11"/>
    </row>
    <row r="710" spans="1:6" x14ac:dyDescent="0.2">
      <c r="A710" s="71"/>
      <c r="B710" s="71"/>
      <c r="C710" s="31" t="s">
        <v>616</v>
      </c>
      <c r="D710" s="31"/>
      <c r="E710" s="31"/>
      <c r="F710" s="11"/>
    </row>
    <row r="711" spans="1:6" x14ac:dyDescent="0.2">
      <c r="A711" s="71"/>
      <c r="B711" s="71"/>
      <c r="C711" s="31" t="s">
        <v>618</v>
      </c>
      <c r="D711" s="31"/>
      <c r="E711" s="31"/>
      <c r="F711" s="11"/>
    </row>
    <row r="712" spans="1:6" x14ac:dyDescent="0.2">
      <c r="A712" s="71"/>
      <c r="B712" s="71"/>
      <c r="C712" s="31" t="s">
        <v>65</v>
      </c>
      <c r="D712" s="31"/>
      <c r="E712" s="31"/>
      <c r="F712" s="11"/>
    </row>
    <row r="713" spans="1:6" x14ac:dyDescent="0.2">
      <c r="A713" s="71"/>
      <c r="B713" s="71"/>
      <c r="C713" s="31" t="s">
        <v>262</v>
      </c>
      <c r="D713" s="31"/>
      <c r="E713" s="31"/>
      <c r="F713" s="11"/>
    </row>
    <row r="714" spans="1:6" x14ac:dyDescent="0.2">
      <c r="A714" s="71"/>
      <c r="B714" s="71"/>
      <c r="C714" s="31" t="s">
        <v>623</v>
      </c>
      <c r="D714" s="31"/>
      <c r="E714" s="31"/>
      <c r="F714" s="11"/>
    </row>
    <row r="715" spans="1:6" x14ac:dyDescent="0.2">
      <c r="A715" s="71"/>
      <c r="B715" s="71"/>
      <c r="C715" s="31" t="s">
        <v>138</v>
      </c>
      <c r="D715" s="31"/>
      <c r="E715" s="31"/>
      <c r="F715" s="11"/>
    </row>
    <row r="716" spans="1:6" x14ac:dyDescent="0.2">
      <c r="A716" s="71"/>
      <c r="B716" s="71"/>
      <c r="C716" s="31" t="s">
        <v>251</v>
      </c>
      <c r="D716" s="31"/>
      <c r="E716" s="31"/>
      <c r="F716" s="11"/>
    </row>
    <row r="717" spans="1:6" x14ac:dyDescent="0.2">
      <c r="A717" s="71"/>
      <c r="B717" s="71"/>
      <c r="C717" s="31" t="s">
        <v>1208</v>
      </c>
      <c r="D717" s="31"/>
      <c r="E717" s="31"/>
      <c r="F717" s="11"/>
    </row>
    <row r="718" spans="1:6" x14ac:dyDescent="0.2">
      <c r="A718" s="71"/>
      <c r="B718" s="71"/>
      <c r="C718" s="31" t="s">
        <v>263</v>
      </c>
      <c r="D718" s="31"/>
      <c r="E718" s="31"/>
      <c r="F718" s="11"/>
    </row>
    <row r="719" spans="1:6" x14ac:dyDescent="0.2">
      <c r="A719" s="71"/>
      <c r="B719" s="71"/>
      <c r="C719" s="31" t="s">
        <v>675</v>
      </c>
      <c r="D719" s="31"/>
      <c r="E719" s="31"/>
      <c r="F719" s="11"/>
    </row>
    <row r="720" spans="1:6" x14ac:dyDescent="0.2">
      <c r="A720" s="71"/>
      <c r="B720" s="71"/>
      <c r="C720" s="31" t="s">
        <v>1104</v>
      </c>
      <c r="D720" s="31"/>
      <c r="E720" s="31" t="s">
        <v>624</v>
      </c>
      <c r="F720" s="11" t="s">
        <v>1131</v>
      </c>
    </row>
    <row r="721" spans="1:5" s="11" customFormat="1" x14ac:dyDescent="0.2">
      <c r="A721" s="71"/>
      <c r="B721" s="71"/>
      <c r="C721" s="31" t="s">
        <v>260</v>
      </c>
      <c r="D721" s="31"/>
      <c r="E721" s="31"/>
    </row>
    <row r="722" spans="1:5" s="11" customFormat="1" x14ac:dyDescent="0.2">
      <c r="A722" s="71"/>
      <c r="B722" s="71"/>
      <c r="C722" s="31" t="s">
        <v>257</v>
      </c>
      <c r="D722" s="31"/>
      <c r="E722" s="31"/>
    </row>
    <row r="723" spans="1:5" s="11" customFormat="1" x14ac:dyDescent="0.2">
      <c r="A723" s="71"/>
      <c r="B723" s="71"/>
      <c r="C723" s="31" t="s">
        <v>258</v>
      </c>
      <c r="D723" s="31"/>
      <c r="E723" s="31"/>
    </row>
    <row r="724" spans="1:5" s="11" customFormat="1" x14ac:dyDescent="0.2">
      <c r="A724" s="71"/>
      <c r="B724" s="71"/>
      <c r="C724" s="31" t="s">
        <v>165</v>
      </c>
      <c r="D724" s="31"/>
      <c r="E724" s="109"/>
    </row>
    <row r="725" spans="1:5" s="11" customFormat="1" x14ac:dyDescent="0.2">
      <c r="A725" s="71"/>
      <c r="B725" s="71"/>
      <c r="C725" s="31" t="s">
        <v>249</v>
      </c>
      <c r="D725" s="31"/>
      <c r="E725" s="31"/>
    </row>
    <row r="726" spans="1:5" s="11" customFormat="1" x14ac:dyDescent="0.2">
      <c r="A726" s="71"/>
      <c r="B726" s="71"/>
      <c r="C726" s="31" t="s">
        <v>254</v>
      </c>
      <c r="D726" s="31"/>
      <c r="E726" s="31"/>
    </row>
    <row r="727" spans="1:5" s="11" customFormat="1" x14ac:dyDescent="0.2">
      <c r="A727" s="71"/>
      <c r="B727" s="71"/>
      <c r="C727" s="31" t="s">
        <v>70</v>
      </c>
      <c r="D727" s="31"/>
      <c r="E727" s="31"/>
    </row>
    <row r="728" spans="1:5" s="11" customFormat="1" x14ac:dyDescent="0.2">
      <c r="A728" s="71"/>
      <c r="B728" s="71"/>
      <c r="C728" s="31" t="s">
        <v>252</v>
      </c>
      <c r="D728" s="31"/>
      <c r="E728" s="31"/>
    </row>
    <row r="729" spans="1:5" s="11" customFormat="1" x14ac:dyDescent="0.2">
      <c r="A729" s="71"/>
      <c r="B729" s="71"/>
      <c r="C729" s="31" t="s">
        <v>74</v>
      </c>
      <c r="D729" s="31"/>
      <c r="E729" s="31"/>
    </row>
    <row r="730" spans="1:5" s="11" customFormat="1" x14ac:dyDescent="0.2">
      <c r="A730" s="71"/>
      <c r="B730" s="71"/>
      <c r="C730" s="31" t="s">
        <v>256</v>
      </c>
      <c r="D730" s="31"/>
      <c r="E730" s="31"/>
    </row>
    <row r="731" spans="1:5" s="11" customFormat="1" x14ac:dyDescent="0.2">
      <c r="A731" s="71"/>
      <c r="B731" s="71"/>
      <c r="C731" s="31" t="s">
        <v>620</v>
      </c>
      <c r="D731" s="31"/>
      <c r="E731" s="31"/>
    </row>
    <row r="732" spans="1:5" s="11" customFormat="1" x14ac:dyDescent="0.2">
      <c r="A732" s="71"/>
      <c r="B732" s="71"/>
      <c r="C732" s="31" t="s">
        <v>621</v>
      </c>
      <c r="D732" s="31"/>
      <c r="E732" s="31"/>
    </row>
    <row r="733" spans="1:5" s="11" customFormat="1" x14ac:dyDescent="0.2">
      <c r="A733" s="71"/>
      <c r="B733" s="71"/>
      <c r="C733" s="31" t="s">
        <v>259</v>
      </c>
      <c r="D733" s="31"/>
      <c r="E733" s="31"/>
    </row>
    <row r="734" spans="1:5" s="11" customFormat="1" x14ac:dyDescent="0.2">
      <c r="A734" s="71"/>
      <c r="B734" s="71"/>
      <c r="C734" s="31" t="s">
        <v>84</v>
      </c>
      <c r="D734" s="31"/>
      <c r="E734" s="31"/>
    </row>
    <row r="735" spans="1:5" s="11" customFormat="1" x14ac:dyDescent="0.2">
      <c r="A735" s="71"/>
      <c r="B735" s="71"/>
      <c r="C735" s="31" t="s">
        <v>617</v>
      </c>
      <c r="D735" s="31"/>
      <c r="E735" s="31"/>
    </row>
    <row r="736" spans="1:5" s="11" customFormat="1" x14ac:dyDescent="0.2">
      <c r="A736" s="71"/>
      <c r="B736" s="71"/>
      <c r="C736" s="31" t="s">
        <v>615</v>
      </c>
      <c r="D736" s="31"/>
      <c r="E736" s="31"/>
    </row>
    <row r="737" spans="1:5" s="11" customFormat="1" x14ac:dyDescent="0.2">
      <c r="A737" s="71"/>
      <c r="B737" s="71"/>
      <c r="C737" s="31" t="s">
        <v>625</v>
      </c>
      <c r="D737" s="31"/>
      <c r="E737" s="31"/>
    </row>
    <row r="738" spans="1:5" s="11" customFormat="1" x14ac:dyDescent="0.2">
      <c r="A738" s="71"/>
      <c r="B738" s="71"/>
      <c r="C738" s="31" t="s">
        <v>250</v>
      </c>
      <c r="D738" s="31"/>
      <c r="E738" s="31"/>
    </row>
    <row r="739" spans="1:5" s="11" customFormat="1" x14ac:dyDescent="0.2">
      <c r="A739" s="71"/>
      <c r="B739" s="71"/>
      <c r="C739" s="31" t="s">
        <v>1209</v>
      </c>
      <c r="D739" s="31"/>
      <c r="E739" s="31"/>
    </row>
    <row r="740" spans="1:5" s="11" customFormat="1" x14ac:dyDescent="0.2">
      <c r="A740" s="71"/>
      <c r="B740" s="71"/>
      <c r="C740" s="31" t="s">
        <v>614</v>
      </c>
      <c r="D740" s="31"/>
      <c r="E740" s="31"/>
    </row>
    <row r="741" spans="1:5" s="11" customFormat="1" x14ac:dyDescent="0.2">
      <c r="A741" s="71"/>
      <c r="B741" s="71"/>
      <c r="C741" s="31" t="s">
        <v>261</v>
      </c>
      <c r="D741" s="31"/>
      <c r="E741" s="109"/>
    </row>
    <row r="742" spans="1:5" s="11" customFormat="1" x14ac:dyDescent="0.2">
      <c r="A742" s="71"/>
      <c r="B742" s="71"/>
      <c r="C742" s="31" t="s">
        <v>619</v>
      </c>
      <c r="D742" s="31"/>
      <c r="E742" s="31"/>
    </row>
    <row r="743" spans="1:5" s="11" customFormat="1" x14ac:dyDescent="0.2">
      <c r="A743" s="71"/>
      <c r="B743" s="71"/>
      <c r="C743" s="31" t="s">
        <v>1210</v>
      </c>
      <c r="D743" s="31"/>
      <c r="E743" s="31"/>
    </row>
    <row r="744" spans="1:5" s="11" customFormat="1" x14ac:dyDescent="0.2">
      <c r="A744" s="71"/>
      <c r="B744" s="71"/>
      <c r="C744" s="31" t="s">
        <v>1211</v>
      </c>
      <c r="D744" s="31"/>
      <c r="E744" s="31"/>
    </row>
    <row r="745" spans="1:5" s="11" customFormat="1" x14ac:dyDescent="0.2">
      <c r="A745" s="71"/>
      <c r="B745" s="71"/>
      <c r="C745" s="31" t="s">
        <v>1212</v>
      </c>
      <c r="D745" s="31"/>
      <c r="E745" s="31"/>
    </row>
    <row r="746" spans="1:5" s="11" customFormat="1" x14ac:dyDescent="0.2">
      <c r="A746" s="71"/>
      <c r="B746" s="71"/>
      <c r="C746" s="31" t="s">
        <v>170</v>
      </c>
      <c r="D746" s="31"/>
      <c r="E746" s="31"/>
    </row>
    <row r="747" spans="1:5" s="11" customFormat="1" x14ac:dyDescent="0.2">
      <c r="A747" s="71"/>
      <c r="B747" s="71"/>
      <c r="C747" s="31" t="s">
        <v>248</v>
      </c>
      <c r="D747" s="31"/>
      <c r="E747" s="31"/>
    </row>
    <row r="748" spans="1:5" s="11" customFormat="1" x14ac:dyDescent="0.2">
      <c r="A748" s="71"/>
      <c r="B748" s="71"/>
      <c r="C748" s="31" t="s">
        <v>167</v>
      </c>
      <c r="D748" s="31"/>
      <c r="E748" s="31"/>
    </row>
    <row r="749" spans="1:5" s="11" customFormat="1" x14ac:dyDescent="0.2">
      <c r="A749" s="71"/>
      <c r="B749" s="71"/>
      <c r="C749" s="31" t="s">
        <v>168</v>
      </c>
      <c r="D749" s="31"/>
      <c r="E749" s="31"/>
    </row>
    <row r="750" spans="1:5" s="11" customFormat="1" x14ac:dyDescent="0.2">
      <c r="A750" s="71"/>
      <c r="B750" s="71"/>
      <c r="C750" s="31" t="s">
        <v>163</v>
      </c>
      <c r="D750" s="31"/>
      <c r="E750" s="31"/>
    </row>
    <row r="751" spans="1:5" s="11" customFormat="1" x14ac:dyDescent="0.2">
      <c r="A751" s="71"/>
      <c r="B751" s="71"/>
      <c r="C751" s="31" t="s">
        <v>253</v>
      </c>
      <c r="D751" s="31"/>
      <c r="E751" s="31"/>
    </row>
    <row r="752" spans="1:5" s="11" customFormat="1" x14ac:dyDescent="0.2">
      <c r="A752" s="71"/>
      <c r="B752" s="71"/>
      <c r="C752" s="31" t="s">
        <v>161</v>
      </c>
      <c r="D752" s="31"/>
      <c r="E752" s="31"/>
    </row>
    <row r="753" spans="1:5" s="11" customFormat="1" x14ac:dyDescent="0.2">
      <c r="A753" s="71"/>
      <c r="B753" s="71"/>
      <c r="C753" s="31" t="s">
        <v>52</v>
      </c>
      <c r="D753" s="31"/>
      <c r="E753" s="31"/>
    </row>
    <row r="754" spans="1:5" s="11" customFormat="1" x14ac:dyDescent="0.2">
      <c r="A754" s="71"/>
      <c r="B754" s="71"/>
      <c r="C754" s="31" t="s">
        <v>58</v>
      </c>
      <c r="D754" s="31"/>
      <c r="E754" s="31"/>
    </row>
    <row r="755" spans="1:5" s="11" customFormat="1" x14ac:dyDescent="0.2">
      <c r="A755" s="71"/>
      <c r="B755" s="71"/>
      <c r="C755" s="31" t="s">
        <v>66</v>
      </c>
      <c r="D755" s="31"/>
      <c r="E755" s="31"/>
    </row>
    <row r="756" spans="1:5" s="11" customFormat="1" x14ac:dyDescent="0.2">
      <c r="A756" s="71"/>
      <c r="B756" s="71"/>
      <c r="C756" s="31" t="s">
        <v>73</v>
      </c>
      <c r="D756" s="31"/>
      <c r="E756" s="31"/>
    </row>
    <row r="757" spans="1:5" s="11" customFormat="1" x14ac:dyDescent="0.2">
      <c r="A757" s="71"/>
      <c r="B757" s="71"/>
      <c r="C757" s="31" t="s">
        <v>80</v>
      </c>
      <c r="D757" s="31"/>
      <c r="E757" s="31"/>
    </row>
    <row r="758" spans="1:5" s="11" customFormat="1" x14ac:dyDescent="0.2">
      <c r="A758" s="71"/>
      <c r="B758" s="71"/>
      <c r="C758" s="31" t="s">
        <v>888</v>
      </c>
      <c r="D758" s="31"/>
      <c r="E758" s="31"/>
    </row>
    <row r="759" spans="1:5" s="11" customFormat="1" x14ac:dyDescent="0.2">
      <c r="A759" s="71"/>
      <c r="B759" s="71"/>
      <c r="C759" s="31" t="s">
        <v>91</v>
      </c>
      <c r="D759" s="31"/>
      <c r="E759" s="31"/>
    </row>
    <row r="760" spans="1:5" s="11" customFormat="1" x14ac:dyDescent="0.2">
      <c r="A760" s="71"/>
      <c r="B760" s="71"/>
      <c r="C760" s="31" t="s">
        <v>912</v>
      </c>
      <c r="D760" s="31"/>
      <c r="E760" s="31"/>
    </row>
    <row r="761" spans="1:5" s="11" customFormat="1" x14ac:dyDescent="0.2">
      <c r="A761" s="71"/>
      <c r="B761" s="71"/>
      <c r="C761" s="31" t="s">
        <v>913</v>
      </c>
      <c r="D761" s="31"/>
      <c r="E761" s="31"/>
    </row>
    <row r="762" spans="1:5" s="11" customFormat="1" x14ac:dyDescent="0.2">
      <c r="A762" s="71"/>
      <c r="B762" s="71"/>
      <c r="C762" s="31" t="s">
        <v>103</v>
      </c>
      <c r="D762" s="31"/>
      <c r="E762" s="31"/>
    </row>
    <row r="763" spans="1:5" s="11" customFormat="1" x14ac:dyDescent="0.2">
      <c r="A763" s="71"/>
      <c r="B763" s="71"/>
      <c r="C763" s="31" t="s">
        <v>108</v>
      </c>
      <c r="D763" s="31"/>
      <c r="E763" s="31"/>
    </row>
    <row r="764" spans="1:5" s="11" customFormat="1" x14ac:dyDescent="0.2">
      <c r="A764" s="71"/>
      <c r="B764" s="71"/>
      <c r="C764" s="31" t="s">
        <v>110</v>
      </c>
      <c r="D764" s="31"/>
      <c r="E764" s="31"/>
    </row>
    <row r="765" spans="1:5" s="11" customFormat="1" x14ac:dyDescent="0.2">
      <c r="A765" s="71"/>
      <c r="B765" s="71"/>
      <c r="C765" s="31" t="s">
        <v>113</v>
      </c>
      <c r="D765" s="31"/>
      <c r="E765" s="31"/>
    </row>
    <row r="766" spans="1:5" s="11" customFormat="1" x14ac:dyDescent="0.2">
      <c r="A766" s="71"/>
      <c r="B766" s="71"/>
      <c r="C766" s="31" t="s">
        <v>116</v>
      </c>
      <c r="D766" s="31"/>
      <c r="E766" s="31"/>
    </row>
    <row r="767" spans="1:5" s="11" customFormat="1" x14ac:dyDescent="0.2">
      <c r="A767" s="71"/>
      <c r="B767" s="71"/>
      <c r="C767" s="31" t="s">
        <v>119</v>
      </c>
      <c r="D767" s="31"/>
      <c r="E767" s="31"/>
    </row>
    <row r="768" spans="1:5" s="11" customFormat="1" x14ac:dyDescent="0.2">
      <c r="A768" s="71"/>
      <c r="B768" s="71"/>
      <c r="C768" s="31" t="s">
        <v>121</v>
      </c>
      <c r="D768" s="31"/>
      <c r="E768" s="31"/>
    </row>
    <row r="769" spans="1:5" s="11" customFormat="1" x14ac:dyDescent="0.2">
      <c r="A769" s="71"/>
      <c r="B769" s="71"/>
      <c r="C769" s="31" t="s">
        <v>123</v>
      </c>
      <c r="D769" s="31"/>
      <c r="E769" s="31"/>
    </row>
    <row r="770" spans="1:5" s="11" customFormat="1" x14ac:dyDescent="0.2">
      <c r="A770" s="71"/>
      <c r="B770" s="71"/>
      <c r="C770" s="31" t="s">
        <v>306</v>
      </c>
      <c r="D770" s="31"/>
      <c r="E770" s="31"/>
    </row>
    <row r="771" spans="1:5" s="11" customFormat="1" x14ac:dyDescent="0.2">
      <c r="A771" s="71"/>
      <c r="B771" s="71"/>
      <c r="C771" s="31" t="s">
        <v>126</v>
      </c>
      <c r="D771" s="31"/>
      <c r="E771" s="31"/>
    </row>
    <row r="772" spans="1:5" s="11" customFormat="1" x14ac:dyDescent="0.2">
      <c r="A772" s="71"/>
      <c r="B772" s="71"/>
      <c r="C772" s="31" t="s">
        <v>129</v>
      </c>
      <c r="D772" s="31"/>
      <c r="E772" s="31"/>
    </row>
    <row r="773" spans="1:5" s="11" customFormat="1" x14ac:dyDescent="0.2">
      <c r="A773" s="71"/>
      <c r="B773" s="71"/>
      <c r="C773" s="31" t="s">
        <v>130</v>
      </c>
      <c r="D773" s="31"/>
      <c r="E773" s="31"/>
    </row>
    <row r="774" spans="1:5" s="11" customFormat="1" x14ac:dyDescent="0.2">
      <c r="A774" s="71"/>
      <c r="B774" s="71"/>
      <c r="C774" s="31" t="s">
        <v>132</v>
      </c>
      <c r="D774" s="31"/>
      <c r="E774" s="31"/>
    </row>
    <row r="775" spans="1:5" s="11" customFormat="1" x14ac:dyDescent="0.2">
      <c r="A775" s="71"/>
      <c r="B775" s="71"/>
      <c r="C775" s="31" t="s">
        <v>134</v>
      </c>
      <c r="D775" s="31"/>
      <c r="E775" s="31"/>
    </row>
    <row r="776" spans="1:5" s="11" customFormat="1" x14ac:dyDescent="0.2">
      <c r="A776" s="71"/>
      <c r="B776" s="71"/>
      <c r="C776" s="31" t="s">
        <v>136</v>
      </c>
      <c r="D776" s="31"/>
      <c r="E776" s="31"/>
    </row>
    <row r="777" spans="1:5" s="11" customFormat="1" x14ac:dyDescent="0.2">
      <c r="A777" s="71"/>
      <c r="B777" s="71"/>
      <c r="C777" s="31" t="s">
        <v>139</v>
      </c>
      <c r="D777" s="31"/>
      <c r="E777" s="31"/>
    </row>
    <row r="778" spans="1:5" s="11" customFormat="1" x14ac:dyDescent="0.2">
      <c r="A778" s="71"/>
      <c r="B778" s="71"/>
      <c r="C778" s="31" t="s">
        <v>141</v>
      </c>
      <c r="D778" s="31"/>
      <c r="E778" s="31"/>
    </row>
    <row r="779" spans="1:5" s="11" customFormat="1" x14ac:dyDescent="0.2">
      <c r="A779" s="71"/>
      <c r="B779" s="71"/>
      <c r="C779" s="31" t="s">
        <v>307</v>
      </c>
      <c r="D779" s="31"/>
      <c r="E779" s="31"/>
    </row>
    <row r="780" spans="1:5" s="11" customFormat="1" x14ac:dyDescent="0.2">
      <c r="A780" s="71"/>
      <c r="B780" s="71"/>
      <c r="C780" s="31" t="s">
        <v>143</v>
      </c>
      <c r="D780" s="31"/>
      <c r="E780" s="31"/>
    </row>
    <row r="781" spans="1:5" s="11" customFormat="1" x14ac:dyDescent="0.2">
      <c r="A781" s="71"/>
      <c r="B781" s="71"/>
      <c r="C781" s="31" t="s">
        <v>145</v>
      </c>
      <c r="D781" s="31"/>
      <c r="E781" s="31"/>
    </row>
    <row r="782" spans="1:5" s="11" customFormat="1" x14ac:dyDescent="0.2">
      <c r="A782" s="71"/>
      <c r="B782" s="71"/>
      <c r="C782" s="31" t="s">
        <v>147</v>
      </c>
      <c r="D782" s="31"/>
      <c r="E782" s="31"/>
    </row>
    <row r="783" spans="1:5" s="11" customFormat="1" x14ac:dyDescent="0.2">
      <c r="A783" s="71"/>
      <c r="B783" s="71"/>
      <c r="C783" s="31" t="s">
        <v>149</v>
      </c>
      <c r="D783" s="31"/>
      <c r="E783" s="31"/>
    </row>
    <row r="784" spans="1:5" s="11" customFormat="1" x14ac:dyDescent="0.2">
      <c r="A784" s="71"/>
      <c r="B784" s="71"/>
      <c r="C784" s="31" t="s">
        <v>151</v>
      </c>
      <c r="D784" s="31"/>
      <c r="E784" s="31"/>
    </row>
    <row r="785" spans="1:6" x14ac:dyDescent="0.2">
      <c r="A785" s="71"/>
      <c r="B785" s="71"/>
      <c r="C785" s="31" t="s">
        <v>1076</v>
      </c>
      <c r="D785" s="31"/>
      <c r="E785" s="31"/>
      <c r="F785" s="11" t="s">
        <v>1131</v>
      </c>
    </row>
    <row r="786" spans="1:6" x14ac:dyDescent="0.2">
      <c r="A786" s="71"/>
      <c r="B786" s="71"/>
      <c r="C786" s="31" t="s">
        <v>1075</v>
      </c>
      <c r="D786" s="31"/>
      <c r="E786" s="31"/>
      <c r="F786" s="11" t="s">
        <v>1131</v>
      </c>
    </row>
    <row r="787" spans="1:6" x14ac:dyDescent="0.2">
      <c r="A787" s="71"/>
      <c r="B787" s="71"/>
      <c r="C787" s="31" t="s">
        <v>152</v>
      </c>
      <c r="D787" s="31"/>
      <c r="E787" s="31"/>
      <c r="F787" s="11"/>
    </row>
    <row r="788" spans="1:6" x14ac:dyDescent="0.2">
      <c r="A788" s="71"/>
      <c r="B788" s="71"/>
      <c r="C788" s="31" t="s">
        <v>153</v>
      </c>
      <c r="D788" s="31"/>
      <c r="E788" s="31"/>
      <c r="F788" s="11"/>
    </row>
    <row r="789" spans="1:6" x14ac:dyDescent="0.2">
      <c r="A789" s="71"/>
      <c r="B789" s="71"/>
      <c r="C789" s="31" t="s">
        <v>907</v>
      </c>
      <c r="D789" s="31"/>
      <c r="E789" s="31"/>
      <c r="F789" s="11" t="s">
        <v>1131</v>
      </c>
    </row>
    <row r="790" spans="1:6" x14ac:dyDescent="0.2">
      <c r="A790" s="71"/>
      <c r="B790" s="71"/>
      <c r="C790" s="31" t="s">
        <v>155</v>
      </c>
      <c r="D790" s="31"/>
      <c r="E790" s="31"/>
      <c r="F790" s="11"/>
    </row>
    <row r="791" spans="1:6" x14ac:dyDescent="0.2">
      <c r="A791" s="71"/>
      <c r="B791" s="71"/>
      <c r="C791" s="31" t="s">
        <v>156</v>
      </c>
      <c r="D791" s="31"/>
      <c r="E791" s="31"/>
      <c r="F791" s="11"/>
    </row>
    <row r="792" spans="1:6" x14ac:dyDescent="0.2">
      <c r="A792" s="71"/>
      <c r="B792" s="71"/>
      <c r="C792" s="31" t="s">
        <v>157</v>
      </c>
      <c r="D792" s="31"/>
      <c r="E792" s="31"/>
      <c r="F792" s="11"/>
    </row>
    <row r="793" spans="1:6" x14ac:dyDescent="0.2">
      <c r="A793" s="71"/>
      <c r="B793" s="71"/>
      <c r="C793" s="31" t="s">
        <v>158</v>
      </c>
      <c r="D793" s="31"/>
      <c r="E793" s="31"/>
      <c r="F793" s="11"/>
    </row>
    <row r="794" spans="1:6" x14ac:dyDescent="0.2">
      <c r="A794" s="71"/>
      <c r="B794" s="71"/>
      <c r="C794" s="31" t="s">
        <v>159</v>
      </c>
      <c r="D794" s="31"/>
      <c r="E794" s="31"/>
      <c r="F794" s="11"/>
    </row>
    <row r="795" spans="1:6" x14ac:dyDescent="0.2">
      <c r="A795" s="71"/>
      <c r="B795" s="71"/>
      <c r="C795" s="31" t="s">
        <v>909</v>
      </c>
      <c r="D795" s="31"/>
      <c r="E795" s="31"/>
      <c r="F795" s="11" t="s">
        <v>1131</v>
      </c>
    </row>
    <row r="796" spans="1:6" x14ac:dyDescent="0.2">
      <c r="A796" s="71"/>
      <c r="B796" s="71"/>
      <c r="C796" s="31" t="s">
        <v>162</v>
      </c>
      <c r="D796" s="31"/>
      <c r="E796" s="31"/>
      <c r="F796" s="11"/>
    </row>
    <row r="797" spans="1:6" x14ac:dyDescent="0.2">
      <c r="A797" s="71"/>
      <c r="B797" s="71"/>
      <c r="C797" s="31" t="s">
        <v>164</v>
      </c>
      <c r="D797" s="31"/>
      <c r="E797" s="31"/>
      <c r="F797" s="11"/>
    </row>
    <row r="798" spans="1:6" x14ac:dyDescent="0.2">
      <c r="A798" s="71"/>
      <c r="B798" s="71"/>
      <c r="C798" s="31" t="s">
        <v>166</v>
      </c>
      <c r="D798" s="31"/>
      <c r="E798" s="31"/>
      <c r="F798" s="11"/>
    </row>
    <row r="799" spans="1:6" x14ac:dyDescent="0.2">
      <c r="A799" s="71"/>
      <c r="B799" s="71"/>
      <c r="C799" s="31" t="s">
        <v>169</v>
      </c>
      <c r="D799" s="31"/>
      <c r="E799" s="31"/>
      <c r="F799" s="11"/>
    </row>
    <row r="800" spans="1:6" x14ac:dyDescent="0.2">
      <c r="A800" s="71"/>
      <c r="B800" s="71"/>
      <c r="C800" s="31" t="s">
        <v>171</v>
      </c>
      <c r="D800" s="31"/>
      <c r="E800" s="31"/>
      <c r="F800" s="11"/>
    </row>
    <row r="801" spans="1:6" x14ac:dyDescent="0.2">
      <c r="A801" s="71"/>
      <c r="B801" s="71"/>
      <c r="C801" s="31" t="s">
        <v>173</v>
      </c>
      <c r="D801" s="31"/>
      <c r="E801" s="31"/>
      <c r="F801" s="11"/>
    </row>
    <row r="802" spans="1:6" x14ac:dyDescent="0.2">
      <c r="A802" s="71"/>
      <c r="B802" s="71"/>
      <c r="C802" s="31" t="s">
        <v>174</v>
      </c>
      <c r="D802" s="31"/>
      <c r="E802" s="31"/>
      <c r="F802" s="11"/>
    </row>
    <row r="803" spans="1:6" x14ac:dyDescent="0.2">
      <c r="A803" s="71"/>
      <c r="B803" s="71"/>
      <c r="C803" s="31" t="s">
        <v>175</v>
      </c>
      <c r="D803" s="31"/>
      <c r="E803" s="31"/>
      <c r="F803" s="11"/>
    </row>
    <row r="804" spans="1:6" x14ac:dyDescent="0.2">
      <c r="A804" s="71"/>
      <c r="B804" s="71"/>
      <c r="C804" s="31" t="s">
        <v>176</v>
      </c>
      <c r="D804" s="31"/>
      <c r="E804" s="31"/>
      <c r="F804" s="11"/>
    </row>
    <row r="805" spans="1:6" x14ac:dyDescent="0.2">
      <c r="A805" s="71"/>
      <c r="B805" s="71"/>
      <c r="C805" s="31" t="s">
        <v>177</v>
      </c>
      <c r="D805" s="31"/>
      <c r="E805" s="31"/>
      <c r="F805" s="11"/>
    </row>
    <row r="806" spans="1:6" x14ac:dyDescent="0.2">
      <c r="A806" s="71"/>
      <c r="B806" s="71"/>
      <c r="C806" s="31" t="s">
        <v>178</v>
      </c>
      <c r="D806" s="31"/>
      <c r="E806" s="31"/>
      <c r="F806" s="11"/>
    </row>
    <row r="807" spans="1:6" x14ac:dyDescent="0.2">
      <c r="A807" s="71"/>
      <c r="B807" s="71"/>
      <c r="C807" s="31" t="s">
        <v>179</v>
      </c>
      <c r="D807" s="31"/>
      <c r="E807" s="31"/>
      <c r="F807" s="11"/>
    </row>
    <row r="808" spans="1:6" x14ac:dyDescent="0.2">
      <c r="A808" s="71"/>
      <c r="B808" s="71"/>
      <c r="C808" s="31" t="s">
        <v>497</v>
      </c>
      <c r="D808" s="31"/>
      <c r="E808" s="31"/>
      <c r="F808" s="11"/>
    </row>
    <row r="809" spans="1:6" x14ac:dyDescent="0.2">
      <c r="A809" s="71"/>
      <c r="B809" s="71"/>
      <c r="C809" s="31" t="s">
        <v>180</v>
      </c>
      <c r="D809" s="31"/>
      <c r="E809" s="31"/>
      <c r="F809" s="11"/>
    </row>
    <row r="810" spans="1:6" x14ac:dyDescent="0.2">
      <c r="A810" s="71"/>
      <c r="B810" s="71"/>
      <c r="C810" s="31" t="s">
        <v>181</v>
      </c>
      <c r="D810" s="31"/>
      <c r="E810" s="31"/>
      <c r="F810" s="11"/>
    </row>
    <row r="811" spans="1:6" x14ac:dyDescent="0.2">
      <c r="A811" s="71"/>
      <c r="B811" s="71"/>
      <c r="C811" s="31" t="s">
        <v>182</v>
      </c>
      <c r="D811" s="31"/>
      <c r="E811" s="31"/>
      <c r="F811" s="11"/>
    </row>
    <row r="812" spans="1:6" x14ac:dyDescent="0.2">
      <c r="A812" s="71"/>
      <c r="B812" s="71"/>
      <c r="C812" s="31" t="s">
        <v>183</v>
      </c>
      <c r="D812" s="31"/>
      <c r="E812" s="31"/>
      <c r="F812" s="11"/>
    </row>
    <row r="813" spans="1:6" x14ac:dyDescent="0.2">
      <c r="A813" s="71"/>
      <c r="B813" s="71"/>
      <c r="C813" s="31" t="s">
        <v>908</v>
      </c>
      <c r="D813" s="31"/>
      <c r="E813" s="31"/>
      <c r="F813" s="11" t="s">
        <v>1131</v>
      </c>
    </row>
    <row r="814" spans="1:6" x14ac:dyDescent="0.2">
      <c r="A814" s="71"/>
      <c r="B814" s="71"/>
      <c r="C814" s="31" t="s">
        <v>184</v>
      </c>
      <c r="D814" s="31"/>
      <c r="E814" s="31"/>
      <c r="F814" s="11"/>
    </row>
    <row r="815" spans="1:6" x14ac:dyDescent="0.2">
      <c r="A815" s="71"/>
      <c r="B815" s="71"/>
      <c r="C815" s="31" t="s">
        <v>185</v>
      </c>
      <c r="D815" s="31"/>
      <c r="E815" s="31"/>
      <c r="F815" s="11"/>
    </row>
    <row r="816" spans="1:6" x14ac:dyDescent="0.2">
      <c r="A816" s="71"/>
      <c r="B816" s="71"/>
      <c r="C816" s="31" t="s">
        <v>186</v>
      </c>
      <c r="D816" s="31"/>
      <c r="E816" s="31"/>
      <c r="F816" s="11"/>
    </row>
    <row r="817" spans="1:5" s="11" customFormat="1" x14ac:dyDescent="0.2">
      <c r="A817" s="71"/>
      <c r="B817" s="71"/>
      <c r="C817" s="31" t="s">
        <v>187</v>
      </c>
      <c r="D817" s="31"/>
      <c r="E817" s="31"/>
    </row>
    <row r="818" spans="1:5" s="11" customFormat="1" x14ac:dyDescent="0.2">
      <c r="A818" s="71"/>
      <c r="B818" s="71"/>
      <c r="C818" s="31" t="s">
        <v>188</v>
      </c>
      <c r="D818" s="31"/>
      <c r="E818" s="31"/>
    </row>
    <row r="819" spans="1:5" s="11" customFormat="1" x14ac:dyDescent="0.2">
      <c r="A819" s="71"/>
      <c r="B819" s="71"/>
      <c r="C819" s="31" t="s">
        <v>189</v>
      </c>
      <c r="D819" s="31"/>
      <c r="E819" s="31"/>
    </row>
    <row r="820" spans="1:5" s="11" customFormat="1" x14ac:dyDescent="0.2">
      <c r="A820" s="71"/>
      <c r="B820" s="71"/>
      <c r="C820" s="31" t="s">
        <v>190</v>
      </c>
      <c r="D820" s="31"/>
      <c r="E820" s="31"/>
    </row>
    <row r="821" spans="1:5" s="11" customFormat="1" x14ac:dyDescent="0.2">
      <c r="A821" s="71"/>
      <c r="B821" s="71"/>
      <c r="C821" s="31" t="s">
        <v>192</v>
      </c>
      <c r="D821" s="31"/>
      <c r="E821" s="31"/>
    </row>
    <row r="822" spans="1:5" s="11" customFormat="1" x14ac:dyDescent="0.2">
      <c r="A822" s="71"/>
      <c r="B822" s="71"/>
      <c r="C822" s="31" t="s">
        <v>193</v>
      </c>
      <c r="D822" s="31"/>
      <c r="E822" s="31"/>
    </row>
    <row r="823" spans="1:5" s="11" customFormat="1" x14ac:dyDescent="0.2">
      <c r="A823" s="71"/>
      <c r="B823" s="71"/>
      <c r="C823" s="31" t="s">
        <v>194</v>
      </c>
      <c r="D823" s="31"/>
      <c r="E823" s="31"/>
    </row>
    <row r="824" spans="1:5" s="11" customFormat="1" x14ac:dyDescent="0.2">
      <c r="A824" s="71"/>
      <c r="B824" s="71"/>
      <c r="C824" s="31" t="s">
        <v>195</v>
      </c>
      <c r="D824" s="31"/>
      <c r="E824" s="31"/>
    </row>
    <row r="825" spans="1:5" s="11" customFormat="1" x14ac:dyDescent="0.2">
      <c r="A825" s="71"/>
      <c r="B825" s="71"/>
      <c r="C825" s="31" t="s">
        <v>196</v>
      </c>
      <c r="D825" s="31"/>
      <c r="E825" s="31"/>
    </row>
    <row r="826" spans="1:5" s="11" customFormat="1" x14ac:dyDescent="0.2">
      <c r="A826" s="71"/>
      <c r="B826" s="71"/>
      <c r="C826" s="31" t="s">
        <v>197</v>
      </c>
      <c r="D826" s="31"/>
      <c r="E826" s="31"/>
    </row>
    <row r="827" spans="1:5" s="11" customFormat="1" x14ac:dyDescent="0.2">
      <c r="A827" s="71"/>
      <c r="B827" s="71"/>
      <c r="C827" s="31" t="s">
        <v>199</v>
      </c>
      <c r="D827" s="31"/>
      <c r="E827" s="31"/>
    </row>
    <row r="828" spans="1:5" s="11" customFormat="1" x14ac:dyDescent="0.2">
      <c r="A828" s="71"/>
      <c r="B828" s="71"/>
      <c r="C828" s="31" t="s">
        <v>200</v>
      </c>
      <c r="D828" s="31"/>
      <c r="E828" s="31"/>
    </row>
    <row r="829" spans="1:5" s="11" customFormat="1" x14ac:dyDescent="0.2">
      <c r="A829" s="71"/>
      <c r="B829" s="71"/>
      <c r="C829" s="31" t="s">
        <v>201</v>
      </c>
      <c r="D829" s="31"/>
      <c r="E829" s="31"/>
    </row>
    <row r="830" spans="1:5" s="11" customFormat="1" x14ac:dyDescent="0.2">
      <c r="A830" s="71"/>
      <c r="B830" s="71"/>
      <c r="C830" s="31" t="s">
        <v>202</v>
      </c>
      <c r="D830" s="31"/>
      <c r="E830" s="31"/>
    </row>
    <row r="831" spans="1:5" s="11" customFormat="1" x14ac:dyDescent="0.2">
      <c r="A831" s="71"/>
      <c r="B831" s="71"/>
      <c r="C831" s="31" t="s">
        <v>203</v>
      </c>
      <c r="D831" s="31"/>
      <c r="E831" s="31"/>
    </row>
    <row r="832" spans="1:5" s="11" customFormat="1" x14ac:dyDescent="0.2">
      <c r="A832" s="71"/>
      <c r="B832" s="71"/>
      <c r="C832" s="31" t="s">
        <v>204</v>
      </c>
      <c r="D832" s="31"/>
      <c r="E832" s="31"/>
    </row>
    <row r="833" spans="1:5" s="11" customFormat="1" x14ac:dyDescent="0.2">
      <c r="A833" s="71"/>
      <c r="B833" s="71"/>
      <c r="C833" s="31" t="s">
        <v>205</v>
      </c>
      <c r="D833" s="31"/>
      <c r="E833" s="31"/>
    </row>
    <row r="834" spans="1:5" s="11" customFormat="1" x14ac:dyDescent="0.2">
      <c r="A834" s="71"/>
      <c r="B834" s="71"/>
      <c r="C834" s="31" t="s">
        <v>206</v>
      </c>
      <c r="D834" s="31"/>
      <c r="E834" s="31"/>
    </row>
    <row r="835" spans="1:5" s="11" customFormat="1" x14ac:dyDescent="0.2">
      <c r="A835" s="71"/>
      <c r="B835" s="71"/>
      <c r="C835" s="31" t="s">
        <v>1125</v>
      </c>
      <c r="D835" s="31"/>
      <c r="E835" s="105" t="s">
        <v>1124</v>
      </c>
    </row>
    <row r="836" spans="1:5" s="11" customFormat="1" x14ac:dyDescent="0.2">
      <c r="A836" s="71"/>
      <c r="B836" s="71"/>
      <c r="C836" s="31" t="s">
        <v>1126</v>
      </c>
      <c r="D836" s="31"/>
      <c r="E836" s="105" t="s">
        <v>899</v>
      </c>
    </row>
    <row r="837" spans="1:5" s="11" customFormat="1" x14ac:dyDescent="0.2">
      <c r="A837" s="71"/>
      <c r="B837" s="71"/>
      <c r="C837" s="31" t="s">
        <v>1127</v>
      </c>
      <c r="D837" s="31"/>
      <c r="E837" s="105" t="s">
        <v>899</v>
      </c>
    </row>
    <row r="838" spans="1:5" s="11" customFormat="1" ht="15" x14ac:dyDescent="0.25">
      <c r="A838" s="71"/>
      <c r="B838" s="71"/>
      <c r="C838" s="31" t="s">
        <v>897</v>
      </c>
      <c r="D838" s="31"/>
      <c r="E838" s="103"/>
    </row>
    <row r="839" spans="1:5" s="11" customFormat="1" x14ac:dyDescent="0.2">
      <c r="A839" s="71"/>
      <c r="B839" s="71"/>
      <c r="C839" s="31" t="s">
        <v>309</v>
      </c>
      <c r="D839" s="31"/>
      <c r="E839" s="31"/>
    </row>
    <row r="840" spans="1:5" s="11" customFormat="1" x14ac:dyDescent="0.2">
      <c r="A840" s="71"/>
      <c r="B840" s="71"/>
      <c r="C840" s="31" t="s">
        <v>889</v>
      </c>
      <c r="D840" s="31"/>
      <c r="E840" s="31"/>
    </row>
    <row r="841" spans="1:5" s="11" customFormat="1" x14ac:dyDescent="0.2">
      <c r="A841" s="71"/>
      <c r="B841" s="71"/>
      <c r="C841" s="31" t="s">
        <v>890</v>
      </c>
      <c r="D841" s="31"/>
      <c r="E841" s="31"/>
    </row>
    <row r="842" spans="1:5" s="11" customFormat="1" x14ac:dyDescent="0.2">
      <c r="A842" s="71"/>
      <c r="B842" s="71"/>
      <c r="C842" s="31" t="s">
        <v>308</v>
      </c>
      <c r="D842" s="31"/>
      <c r="E842" s="31"/>
    </row>
    <row r="843" spans="1:5" s="11" customFormat="1" x14ac:dyDescent="0.2">
      <c r="A843" s="71"/>
      <c r="B843" s="71"/>
      <c r="C843" s="31" t="s">
        <v>305</v>
      </c>
      <c r="D843" s="31"/>
      <c r="E843" s="31"/>
    </row>
    <row r="844" spans="1:5" s="11" customFormat="1" x14ac:dyDescent="0.2">
      <c r="A844" s="71"/>
      <c r="B844" s="71"/>
      <c r="C844" s="31" t="s">
        <v>310</v>
      </c>
      <c r="D844" s="31"/>
      <c r="E844" s="31"/>
    </row>
    <row r="845" spans="1:5" s="11" customFormat="1" x14ac:dyDescent="0.2">
      <c r="A845" s="71"/>
      <c r="B845" s="71"/>
      <c r="C845" s="31" t="s">
        <v>891</v>
      </c>
      <c r="D845" s="31"/>
      <c r="E845" s="31"/>
    </row>
    <row r="846" spans="1:5" s="11" customFormat="1" x14ac:dyDescent="0.2">
      <c r="A846" s="71"/>
      <c r="B846" s="71"/>
      <c r="C846" s="31" t="s">
        <v>671</v>
      </c>
      <c r="D846" s="31"/>
      <c r="E846" s="31"/>
    </row>
    <row r="847" spans="1:5" s="11" customFormat="1" x14ac:dyDescent="0.2">
      <c r="A847" s="71"/>
      <c r="B847" s="71"/>
      <c r="C847" s="31" t="s">
        <v>672</v>
      </c>
      <c r="D847" s="31"/>
      <c r="E847" s="31"/>
    </row>
    <row r="848" spans="1:5" s="11" customFormat="1" x14ac:dyDescent="0.2">
      <c r="A848" s="71"/>
      <c r="B848" s="71"/>
      <c r="C848" s="31" t="s">
        <v>674</v>
      </c>
      <c r="D848" s="31"/>
      <c r="E848" s="31"/>
    </row>
    <row r="849" spans="1:5" s="11" customFormat="1" x14ac:dyDescent="0.2">
      <c r="A849" s="71"/>
      <c r="B849" s="71"/>
      <c r="C849" s="31" t="s">
        <v>673</v>
      </c>
      <c r="D849" s="31"/>
      <c r="E849" s="31"/>
    </row>
    <row r="850" spans="1:5" s="11" customFormat="1" x14ac:dyDescent="0.2">
      <c r="A850" s="71"/>
      <c r="B850" s="71"/>
      <c r="C850" s="31" t="s">
        <v>670</v>
      </c>
      <c r="D850" s="31"/>
      <c r="E850" s="31"/>
    </row>
    <row r="851" spans="1:5" s="11" customFormat="1" x14ac:dyDescent="0.2">
      <c r="A851" s="71"/>
      <c r="B851" s="71"/>
      <c r="C851" s="31" t="s">
        <v>444</v>
      </c>
      <c r="D851" s="31"/>
      <c r="E851" s="31"/>
    </row>
    <row r="852" spans="1:5" s="11" customFormat="1" x14ac:dyDescent="0.2">
      <c r="A852" s="71"/>
      <c r="B852" s="71"/>
      <c r="C852" s="31" t="s">
        <v>445</v>
      </c>
      <c r="D852" s="31"/>
      <c r="E852" s="31"/>
    </row>
    <row r="853" spans="1:5" s="11" customFormat="1" x14ac:dyDescent="0.2">
      <c r="A853" s="71"/>
      <c r="B853" s="71"/>
      <c r="C853" s="31" t="s">
        <v>446</v>
      </c>
      <c r="D853" s="31"/>
      <c r="E853" s="31"/>
    </row>
    <row r="854" spans="1:5" s="11" customFormat="1" x14ac:dyDescent="0.2">
      <c r="A854" s="71"/>
      <c r="B854" s="71"/>
      <c r="C854" s="31" t="s">
        <v>101</v>
      </c>
      <c r="D854" s="31"/>
      <c r="E854" s="31"/>
    </row>
    <row r="855" spans="1:5" s="11" customFormat="1" x14ac:dyDescent="0.2">
      <c r="A855" s="44"/>
      <c r="B855" s="44" t="s">
        <v>355</v>
      </c>
      <c r="C855" s="33" t="s">
        <v>54</v>
      </c>
      <c r="D855" s="33" t="s">
        <v>1165</v>
      </c>
      <c r="E855" s="33"/>
    </row>
    <row r="856" spans="1:5" s="11" customFormat="1" x14ac:dyDescent="0.2">
      <c r="A856" s="45"/>
      <c r="B856" s="45"/>
      <c r="C856" s="33" t="s">
        <v>61</v>
      </c>
      <c r="D856" s="33"/>
      <c r="E856" s="33"/>
    </row>
    <row r="857" spans="1:5" s="11" customFormat="1" x14ac:dyDescent="0.2">
      <c r="A857" s="71" t="s">
        <v>30</v>
      </c>
      <c r="B857" s="71" t="s">
        <v>1</v>
      </c>
      <c r="C857" s="31" t="s">
        <v>209</v>
      </c>
      <c r="D857" s="31" t="s">
        <v>1170</v>
      </c>
      <c r="E857" s="31"/>
    </row>
    <row r="858" spans="1:5" s="11" customFormat="1" x14ac:dyDescent="0.2">
      <c r="A858" s="71"/>
      <c r="B858" s="71"/>
      <c r="C858" s="31" t="s">
        <v>216</v>
      </c>
      <c r="D858" s="31"/>
      <c r="E858" s="31"/>
    </row>
    <row r="859" spans="1:5" s="11" customFormat="1" x14ac:dyDescent="0.2">
      <c r="A859" s="71"/>
      <c r="B859" s="71"/>
      <c r="C859" s="31" t="s">
        <v>214</v>
      </c>
      <c r="D859" s="31"/>
      <c r="E859" s="31"/>
    </row>
    <row r="860" spans="1:5" s="11" customFormat="1" x14ac:dyDescent="0.2">
      <c r="A860" s="71"/>
      <c r="B860" s="71"/>
      <c r="C860" s="31" t="s">
        <v>215</v>
      </c>
      <c r="D860" s="31"/>
      <c r="E860" s="31"/>
    </row>
    <row r="861" spans="1:5" s="11" customFormat="1" x14ac:dyDescent="0.2">
      <c r="A861" s="71"/>
      <c r="B861" s="71"/>
      <c r="C861" s="31" t="s">
        <v>210</v>
      </c>
      <c r="D861" s="31"/>
      <c r="E861" s="31"/>
    </row>
    <row r="862" spans="1:5" s="11" customFormat="1" x14ac:dyDescent="0.2">
      <c r="A862" s="71"/>
      <c r="B862" s="71"/>
      <c r="C862" s="31" t="s">
        <v>213</v>
      </c>
      <c r="D862" s="31"/>
      <c r="E862" s="31"/>
    </row>
    <row r="863" spans="1:5" s="11" customFormat="1" x14ac:dyDescent="0.2">
      <c r="A863" s="71"/>
      <c r="B863" s="71"/>
      <c r="C863" s="31" t="s">
        <v>211</v>
      </c>
      <c r="D863" s="31"/>
      <c r="E863" s="31"/>
    </row>
    <row r="864" spans="1:5" s="11" customFormat="1" x14ac:dyDescent="0.2">
      <c r="A864" s="71"/>
      <c r="B864" s="71"/>
      <c r="C864" s="31" t="s">
        <v>212</v>
      </c>
      <c r="D864" s="31"/>
      <c r="E864" s="31"/>
    </row>
    <row r="865" spans="1:5" s="11" customFormat="1" x14ac:dyDescent="0.2">
      <c r="A865" s="71"/>
      <c r="B865" s="71"/>
      <c r="C865" s="31" t="s">
        <v>492</v>
      </c>
      <c r="D865" s="31"/>
      <c r="E865" s="31"/>
    </row>
    <row r="866" spans="1:5" s="11" customFormat="1" x14ac:dyDescent="0.2">
      <c r="A866" s="44" t="s">
        <v>39</v>
      </c>
      <c r="B866" s="44" t="s">
        <v>1</v>
      </c>
      <c r="C866" s="33" t="s">
        <v>217</v>
      </c>
      <c r="D866" s="33" t="s">
        <v>1169</v>
      </c>
      <c r="E866" s="33"/>
    </row>
    <row r="867" spans="1:5" s="11" customFormat="1" x14ac:dyDescent="0.2">
      <c r="A867" s="45"/>
      <c r="B867" s="45"/>
      <c r="C867" s="33" t="s">
        <v>218</v>
      </c>
      <c r="D867" s="33"/>
      <c r="E867" s="33"/>
    </row>
    <row r="868" spans="1:5" s="11" customFormat="1" x14ac:dyDescent="0.2">
      <c r="A868" s="45"/>
      <c r="B868" s="45"/>
      <c r="C868" s="33" t="s">
        <v>219</v>
      </c>
      <c r="D868" s="33"/>
      <c r="E868" s="33"/>
    </row>
    <row r="869" spans="1:5" s="11" customFormat="1" x14ac:dyDescent="0.2">
      <c r="A869" s="45"/>
      <c r="B869" s="45"/>
      <c r="C869" s="33" t="s">
        <v>220</v>
      </c>
      <c r="D869" s="33"/>
      <c r="E869" s="33"/>
    </row>
    <row r="870" spans="1:5" s="11" customFormat="1" x14ac:dyDescent="0.2">
      <c r="A870" s="45"/>
      <c r="B870" s="45"/>
      <c r="C870" s="33" t="s">
        <v>221</v>
      </c>
      <c r="D870" s="33"/>
      <c r="E870" s="33"/>
    </row>
    <row r="871" spans="1:5" s="11" customFormat="1" x14ac:dyDescent="0.2">
      <c r="A871" s="45"/>
      <c r="B871" s="45"/>
      <c r="C871" s="33" t="s">
        <v>222</v>
      </c>
      <c r="D871" s="33"/>
      <c r="E871" s="33"/>
    </row>
    <row r="872" spans="1:5" s="11" customFormat="1" x14ac:dyDescent="0.2">
      <c r="A872" s="45"/>
      <c r="B872" s="45"/>
      <c r="C872" s="33" t="s">
        <v>223</v>
      </c>
      <c r="D872" s="33"/>
      <c r="E872" s="33"/>
    </row>
    <row r="873" spans="1:5" s="11" customFormat="1" x14ac:dyDescent="0.2">
      <c r="A873" s="45"/>
      <c r="B873" s="45"/>
      <c r="C873" s="33" t="s">
        <v>242</v>
      </c>
      <c r="D873" s="33"/>
      <c r="E873" s="33"/>
    </row>
    <row r="874" spans="1:5" s="11" customFormat="1" x14ac:dyDescent="0.2">
      <c r="A874" s="71" t="s">
        <v>31</v>
      </c>
      <c r="B874" s="71" t="s">
        <v>1</v>
      </c>
      <c r="C874" s="31" t="s">
        <v>217</v>
      </c>
      <c r="D874" s="31" t="s">
        <v>1171</v>
      </c>
      <c r="E874" s="31"/>
    </row>
    <row r="875" spans="1:5" s="11" customFormat="1" x14ac:dyDescent="0.2">
      <c r="A875" s="71"/>
      <c r="B875" s="71"/>
      <c r="C875" s="31" t="s">
        <v>219</v>
      </c>
      <c r="D875" s="31"/>
      <c r="E875" s="31"/>
    </row>
    <row r="876" spans="1:5" s="11" customFormat="1" x14ac:dyDescent="0.2">
      <c r="A876" s="71"/>
      <c r="B876" s="71"/>
      <c r="C876" s="31" t="s">
        <v>221</v>
      </c>
      <c r="D876" s="31"/>
      <c r="E876" s="31"/>
    </row>
    <row r="877" spans="1:5" s="11" customFormat="1" x14ac:dyDescent="0.2">
      <c r="A877" s="71"/>
      <c r="B877" s="71"/>
      <c r="C877" s="31" t="s">
        <v>1201</v>
      </c>
      <c r="D877" s="31"/>
      <c r="E877" s="31"/>
    </row>
    <row r="878" spans="1:5" s="11" customFormat="1" x14ac:dyDescent="0.2">
      <c r="A878" s="71"/>
      <c r="B878" s="71"/>
      <c r="C878" s="31" t="s">
        <v>101</v>
      </c>
      <c r="D878" s="31"/>
      <c r="E878" s="31"/>
    </row>
    <row r="879" spans="1:5" s="11" customFormat="1" x14ac:dyDescent="0.2">
      <c r="A879" s="44" t="s">
        <v>32</v>
      </c>
      <c r="B879" s="44" t="s">
        <v>1</v>
      </c>
      <c r="C879" s="33" t="s">
        <v>224</v>
      </c>
      <c r="D879" s="33" t="s">
        <v>1172</v>
      </c>
      <c r="E879" s="33"/>
    </row>
    <row r="880" spans="1:5" s="11" customFormat="1" x14ac:dyDescent="0.2">
      <c r="A880" s="45"/>
      <c r="B880" s="45"/>
      <c r="C880" s="33" t="s">
        <v>225</v>
      </c>
      <c r="D880" s="33"/>
      <c r="E880" s="33"/>
    </row>
    <row r="881" spans="1:6" x14ac:dyDescent="0.2">
      <c r="A881" s="45"/>
      <c r="B881" s="45"/>
      <c r="C881" s="33" t="s">
        <v>226</v>
      </c>
      <c r="D881" s="33"/>
      <c r="E881" s="33"/>
      <c r="F881" s="11"/>
    </row>
    <row r="882" spans="1:6" x14ac:dyDescent="0.2">
      <c r="A882" s="45"/>
      <c r="B882" s="45"/>
      <c r="C882" s="33" t="s">
        <v>242</v>
      </c>
      <c r="D882" s="33"/>
      <c r="E882" s="33"/>
      <c r="F882" s="11"/>
    </row>
    <row r="883" spans="1:6" x14ac:dyDescent="0.2">
      <c r="A883" s="45"/>
      <c r="B883" s="45"/>
      <c r="C883" s="33" t="s">
        <v>227</v>
      </c>
      <c r="D883" s="33"/>
      <c r="E883" s="33"/>
      <c r="F883" s="11"/>
    </row>
    <row r="884" spans="1:6" x14ac:dyDescent="0.2">
      <c r="A884" s="45"/>
      <c r="B884" s="45"/>
      <c r="C884" s="33" t="s">
        <v>594</v>
      </c>
      <c r="D884" s="33"/>
      <c r="E884" s="33"/>
      <c r="F884" s="11"/>
    </row>
    <row r="885" spans="1:6" x14ac:dyDescent="0.2">
      <c r="A885" s="45"/>
      <c r="B885" s="45"/>
      <c r="C885" s="33" t="s">
        <v>298</v>
      </c>
      <c r="D885" s="33"/>
      <c r="E885" s="33"/>
      <c r="F885" s="11"/>
    </row>
    <row r="886" spans="1:6" x14ac:dyDescent="0.2">
      <c r="A886" s="45"/>
      <c r="B886" s="45"/>
      <c r="C886" s="33" t="s">
        <v>299</v>
      </c>
      <c r="D886" s="33"/>
      <c r="E886" s="33"/>
      <c r="F886" s="11"/>
    </row>
    <row r="887" spans="1:6" x14ac:dyDescent="0.2">
      <c r="A887" s="45"/>
      <c r="B887" s="45"/>
      <c r="C887" s="33" t="s">
        <v>1200</v>
      </c>
      <c r="D887" s="33"/>
      <c r="E887" s="33"/>
      <c r="F887" s="11"/>
    </row>
    <row r="888" spans="1:6" x14ac:dyDescent="0.2">
      <c r="A888" s="45"/>
      <c r="B888" s="45"/>
      <c r="C888" s="33" t="s">
        <v>283</v>
      </c>
      <c r="D888" s="33"/>
      <c r="E888" s="33"/>
      <c r="F888" s="11"/>
    </row>
    <row r="889" spans="1:6" x14ac:dyDescent="0.2">
      <c r="A889" s="45"/>
      <c r="B889" s="45"/>
      <c r="C889" s="33" t="s">
        <v>1188</v>
      </c>
      <c r="D889" s="33"/>
      <c r="E889" s="33" t="s">
        <v>1189</v>
      </c>
      <c r="F889" s="11" t="s">
        <v>1131</v>
      </c>
    </row>
    <row r="890" spans="1:6" x14ac:dyDescent="0.2">
      <c r="A890" s="46"/>
      <c r="B890" s="46"/>
      <c r="C890" s="33" t="s">
        <v>101</v>
      </c>
      <c r="D890" s="33"/>
      <c r="E890" s="33"/>
      <c r="F890" s="11"/>
    </row>
    <row r="891" spans="1:6" x14ac:dyDescent="0.2">
      <c r="A891" s="60" t="s">
        <v>1162</v>
      </c>
      <c r="B891" s="60" t="s">
        <v>1</v>
      </c>
      <c r="C891" s="31" t="s">
        <v>72</v>
      </c>
      <c r="D891" s="31" t="s">
        <v>1173</v>
      </c>
      <c r="E891" s="31"/>
      <c r="F891" s="11"/>
    </row>
    <row r="892" spans="1:6" x14ac:dyDescent="0.2">
      <c r="A892" s="61"/>
      <c r="B892" s="61"/>
      <c r="C892" s="31" t="s">
        <v>228</v>
      </c>
      <c r="D892" s="31"/>
      <c r="E892" s="31"/>
      <c r="F892" s="11"/>
    </row>
    <row r="893" spans="1:6" x14ac:dyDescent="0.2">
      <c r="A893" s="61"/>
      <c r="B893" s="61"/>
      <c r="C893" s="31" t="s">
        <v>448</v>
      </c>
      <c r="D893" s="31"/>
      <c r="E893" s="31"/>
      <c r="F893" s="11"/>
    </row>
    <row r="894" spans="1:6" x14ac:dyDescent="0.2">
      <c r="A894" s="61"/>
      <c r="B894" s="61"/>
      <c r="C894" s="31" t="s">
        <v>160</v>
      </c>
      <c r="D894" s="31"/>
      <c r="E894" s="31"/>
      <c r="F894" s="11"/>
    </row>
    <row r="895" spans="1:6" x14ac:dyDescent="0.2">
      <c r="A895" s="61"/>
      <c r="B895" s="61"/>
      <c r="C895" s="31" t="s">
        <v>1194</v>
      </c>
      <c r="D895" s="31"/>
      <c r="E895" s="31"/>
      <c r="F895" s="11"/>
    </row>
    <row r="896" spans="1:6" x14ac:dyDescent="0.2">
      <c r="A896" s="61"/>
      <c r="B896" s="61"/>
      <c r="C896" s="31" t="s">
        <v>407</v>
      </c>
      <c r="D896" s="31"/>
      <c r="E896" s="31" t="s">
        <v>408</v>
      </c>
      <c r="F896" s="11"/>
    </row>
    <row r="897" spans="1:5" s="11" customFormat="1" x14ac:dyDescent="0.2">
      <c r="A897" s="61"/>
      <c r="B897" s="61"/>
      <c r="C897" s="31" t="s">
        <v>229</v>
      </c>
      <c r="D897" s="31"/>
      <c r="E897" s="31"/>
    </row>
    <row r="898" spans="1:5" s="11" customFormat="1" x14ac:dyDescent="0.2">
      <c r="A898" s="44" t="s">
        <v>33</v>
      </c>
      <c r="B898" s="44" t="s">
        <v>1</v>
      </c>
      <c r="C898" s="33" t="s">
        <v>230</v>
      </c>
      <c r="D898" s="33" t="s">
        <v>1174</v>
      </c>
      <c r="E898" s="33"/>
    </row>
    <row r="899" spans="1:5" s="11" customFormat="1" x14ac:dyDescent="0.2">
      <c r="A899" s="45"/>
      <c r="B899" s="45"/>
      <c r="C899" s="33" t="s">
        <v>231</v>
      </c>
      <c r="D899" s="33"/>
      <c r="E899" s="33"/>
    </row>
    <row r="900" spans="1:5" s="11" customFormat="1" x14ac:dyDescent="0.2">
      <c r="A900" s="45"/>
      <c r="B900" s="45"/>
      <c r="C900" s="33" t="s">
        <v>232</v>
      </c>
      <c r="D900" s="33"/>
      <c r="E900" s="33"/>
    </row>
    <row r="901" spans="1:5" s="11" customFormat="1" x14ac:dyDescent="0.2">
      <c r="A901" s="45"/>
      <c r="B901" s="45"/>
      <c r="C901" s="33" t="s">
        <v>233</v>
      </c>
      <c r="D901" s="33"/>
      <c r="E901" s="33"/>
    </row>
    <row r="902" spans="1:5" s="11" customFormat="1" x14ac:dyDescent="0.2">
      <c r="A902" s="45"/>
      <c r="B902" s="45"/>
      <c r="C902" s="33" t="s">
        <v>234</v>
      </c>
      <c r="D902" s="33"/>
      <c r="E902" s="33"/>
    </row>
    <row r="903" spans="1:5" s="11" customFormat="1" x14ac:dyDescent="0.2">
      <c r="A903" s="45"/>
      <c r="B903" s="45"/>
      <c r="C903" s="33" t="s">
        <v>101</v>
      </c>
      <c r="D903" s="33"/>
      <c r="E903" s="33"/>
    </row>
    <row r="904" spans="1:5" s="11" customFormat="1" x14ac:dyDescent="0.2">
      <c r="A904" s="60" t="s">
        <v>34</v>
      </c>
      <c r="B904" s="60" t="s">
        <v>1</v>
      </c>
      <c r="C904" s="31" t="s">
        <v>207</v>
      </c>
      <c r="D904" s="60" t="s">
        <v>1175</v>
      </c>
      <c r="E904" s="31"/>
    </row>
    <row r="905" spans="1:5" s="11" customFormat="1" x14ac:dyDescent="0.2">
      <c r="A905" s="61"/>
      <c r="B905" s="61"/>
      <c r="C905" s="31" t="s">
        <v>208</v>
      </c>
      <c r="D905" s="31"/>
      <c r="E905" s="31"/>
    </row>
    <row r="906" spans="1:5" s="11" customFormat="1" x14ac:dyDescent="0.2">
      <c r="A906" s="61"/>
      <c r="B906" s="61"/>
      <c r="C906" s="31" t="s">
        <v>72</v>
      </c>
      <c r="D906" s="31"/>
      <c r="E906" s="31"/>
    </row>
    <row r="907" spans="1:5" s="11" customFormat="1" x14ac:dyDescent="0.2">
      <c r="A907" s="61"/>
      <c r="B907" s="61"/>
      <c r="C907" s="31" t="s">
        <v>101</v>
      </c>
      <c r="D907" s="31"/>
      <c r="E907" s="31"/>
    </row>
    <row r="908" spans="1:5" s="11" customFormat="1" x14ac:dyDescent="0.2">
      <c r="A908" s="44" t="s">
        <v>36</v>
      </c>
      <c r="B908" s="44" t="s">
        <v>1</v>
      </c>
      <c r="C908" s="33" t="s">
        <v>626</v>
      </c>
      <c r="D908" s="33" t="str">
        <f>B908&amp;" "&amp;A908</f>
        <v>מאפיין עיקרי אופציות</v>
      </c>
      <c r="E908" s="33"/>
    </row>
    <row r="909" spans="1:5" s="11" customFormat="1" x14ac:dyDescent="0.2">
      <c r="A909" s="45"/>
      <c r="B909" s="45"/>
      <c r="C909" s="33" t="s">
        <v>1219</v>
      </c>
      <c r="D909" s="33"/>
      <c r="E909" s="120" t="s">
        <v>627</v>
      </c>
    </row>
    <row r="910" spans="1:5" s="11" customFormat="1" x14ac:dyDescent="0.2">
      <c r="A910" s="45"/>
      <c r="B910" s="45"/>
      <c r="C910" s="33" t="s">
        <v>1218</v>
      </c>
      <c r="D910" s="33"/>
      <c r="E910" s="33"/>
    </row>
    <row r="911" spans="1:5" s="11" customFormat="1" x14ac:dyDescent="0.2">
      <c r="A911" s="45"/>
      <c r="B911" s="45"/>
      <c r="C911" s="33" t="s">
        <v>71</v>
      </c>
      <c r="D911" s="33"/>
      <c r="E911" s="33"/>
    </row>
    <row r="912" spans="1:5" s="11" customFormat="1" x14ac:dyDescent="0.2">
      <c r="A912" s="45"/>
      <c r="B912" s="45"/>
      <c r="C912" s="33" t="s">
        <v>628</v>
      </c>
      <c r="D912" s="33"/>
      <c r="E912" s="33"/>
    </row>
    <row r="913" spans="1:6" x14ac:dyDescent="0.2">
      <c r="A913" s="45"/>
      <c r="B913" s="45"/>
      <c r="C913" s="33" t="s">
        <v>629</v>
      </c>
      <c r="D913" s="33"/>
      <c r="E913" s="33"/>
      <c r="F913" s="11"/>
    </row>
    <row r="914" spans="1:6" x14ac:dyDescent="0.2">
      <c r="A914" s="70" t="s">
        <v>38</v>
      </c>
      <c r="B914" s="70" t="s">
        <v>1</v>
      </c>
      <c r="C914" s="36" t="s">
        <v>235</v>
      </c>
      <c r="D914" s="36" t="str">
        <f>B914&amp;" "&amp;A914</f>
        <v>מאפיין עיקרי מוצרים מובנים</v>
      </c>
      <c r="E914" s="36"/>
      <c r="F914" s="11"/>
    </row>
    <row r="915" spans="1:6" x14ac:dyDescent="0.2">
      <c r="A915" s="71"/>
      <c r="B915" s="71"/>
      <c r="C915" s="36" t="s">
        <v>236</v>
      </c>
      <c r="D915" s="36"/>
      <c r="E915" s="36"/>
      <c r="F915" s="11"/>
    </row>
    <row r="916" spans="1:6" x14ac:dyDescent="0.2">
      <c r="A916" s="71"/>
      <c r="B916" s="71"/>
      <c r="C916" s="31" t="s">
        <v>645</v>
      </c>
      <c r="D916" s="31"/>
      <c r="E916" s="31"/>
      <c r="F916" s="11"/>
    </row>
    <row r="917" spans="1:6" x14ac:dyDescent="0.2">
      <c r="A917" s="71"/>
      <c r="B917" s="71"/>
      <c r="C917" s="31" t="s">
        <v>646</v>
      </c>
      <c r="D917" s="31"/>
      <c r="E917" s="31"/>
      <c r="F917" s="11"/>
    </row>
    <row r="918" spans="1:6" x14ac:dyDescent="0.2">
      <c r="A918" s="71"/>
      <c r="B918" s="71"/>
      <c r="C918" s="31" t="s">
        <v>647</v>
      </c>
      <c r="D918" s="31"/>
      <c r="E918" s="31"/>
      <c r="F918" s="11"/>
    </row>
    <row r="919" spans="1:6" x14ac:dyDescent="0.2">
      <c r="A919" s="71"/>
      <c r="B919" s="71"/>
      <c r="C919" s="31" t="s">
        <v>648</v>
      </c>
      <c r="D919" s="31"/>
      <c r="E919" s="31"/>
      <c r="F919" s="11"/>
    </row>
    <row r="920" spans="1:6" x14ac:dyDescent="0.2">
      <c r="A920" s="66" t="s">
        <v>40</v>
      </c>
      <c r="B920" s="66" t="s">
        <v>1</v>
      </c>
      <c r="C920" s="38" t="s">
        <v>217</v>
      </c>
      <c r="D920" s="33" t="s">
        <v>1169</v>
      </c>
      <c r="E920" s="38"/>
      <c r="F920" s="11"/>
    </row>
    <row r="921" spans="1:6" x14ac:dyDescent="0.2">
      <c r="A921" s="48"/>
      <c r="B921" s="48"/>
      <c r="C921" s="38" t="s">
        <v>218</v>
      </c>
      <c r="D921" s="38"/>
      <c r="E921" s="38"/>
      <c r="F921" s="11"/>
    </row>
    <row r="922" spans="1:6" x14ac:dyDescent="0.2">
      <c r="A922" s="48"/>
      <c r="B922" s="48"/>
      <c r="C922" s="33" t="s">
        <v>219</v>
      </c>
      <c r="D922" s="33"/>
      <c r="E922" s="33"/>
      <c r="F922" s="11"/>
    </row>
    <row r="923" spans="1:6" x14ac:dyDescent="0.2">
      <c r="A923" s="48"/>
      <c r="B923" s="48"/>
      <c r="C923" s="33" t="s">
        <v>220</v>
      </c>
      <c r="D923" s="33"/>
      <c r="E923" s="33"/>
      <c r="F923" s="11"/>
    </row>
    <row r="924" spans="1:6" x14ac:dyDescent="0.2">
      <c r="A924" s="48"/>
      <c r="B924" s="48"/>
      <c r="C924" s="33" t="s">
        <v>221</v>
      </c>
      <c r="D924" s="33"/>
      <c r="E924" s="33"/>
      <c r="F924" s="11"/>
    </row>
    <row r="925" spans="1:6" x14ac:dyDescent="0.2">
      <c r="A925" s="48"/>
      <c r="B925" s="48"/>
      <c r="C925" s="33" t="s">
        <v>222</v>
      </c>
      <c r="D925" s="33"/>
      <c r="E925" s="33"/>
      <c r="F925" s="11"/>
    </row>
    <row r="926" spans="1:6" x14ac:dyDescent="0.2">
      <c r="A926" s="48"/>
      <c r="B926" s="48"/>
      <c r="C926" s="38" t="s">
        <v>223</v>
      </c>
      <c r="D926" s="38"/>
      <c r="E926" s="38"/>
      <c r="F926" s="11"/>
    </row>
    <row r="927" spans="1:6" x14ac:dyDescent="0.2">
      <c r="A927" s="48"/>
      <c r="B927" s="48"/>
      <c r="C927" s="38" t="s">
        <v>242</v>
      </c>
      <c r="D927" s="38"/>
      <c r="E927" s="38"/>
      <c r="F927" s="11"/>
    </row>
    <row r="928" spans="1:6" ht="15" x14ac:dyDescent="0.25">
      <c r="A928" s="70" t="s">
        <v>41</v>
      </c>
      <c r="B928" s="70" t="s">
        <v>1</v>
      </c>
      <c r="C928" s="36" t="s">
        <v>597</v>
      </c>
      <c r="D928" s="36" t="str">
        <f>B928&amp;" "&amp;A928</f>
        <v>מאפיין עיקרי לא סחיר איגרות חוב מיועדות</v>
      </c>
      <c r="E928" s="36"/>
      <c r="F928" s="37"/>
    </row>
    <row r="929" spans="1:6" ht="15" x14ac:dyDescent="0.25">
      <c r="A929" s="71"/>
      <c r="B929" s="71"/>
      <c r="C929" s="36" t="s">
        <v>633</v>
      </c>
      <c r="D929" s="36"/>
      <c r="E929" s="36"/>
      <c r="F929" s="37"/>
    </row>
    <row r="930" spans="1:6" ht="15" x14ac:dyDescent="0.25">
      <c r="A930" s="71"/>
      <c r="B930" s="71"/>
      <c r="C930" s="31" t="s">
        <v>634</v>
      </c>
      <c r="D930" s="31"/>
      <c r="E930" s="31"/>
      <c r="F930" s="37"/>
    </row>
    <row r="931" spans="1:6" ht="15" x14ac:dyDescent="0.25">
      <c r="A931" s="71"/>
      <c r="B931" s="71"/>
      <c r="C931" s="31" t="s">
        <v>635</v>
      </c>
      <c r="D931" s="31"/>
      <c r="E931" s="31"/>
      <c r="F931" s="37"/>
    </row>
    <row r="932" spans="1:6" ht="15" x14ac:dyDescent="0.25">
      <c r="A932" s="71"/>
      <c r="B932" s="71"/>
      <c r="C932" s="31" t="s">
        <v>598</v>
      </c>
      <c r="D932" s="31"/>
      <c r="E932" s="31"/>
      <c r="F932" s="37"/>
    </row>
    <row r="933" spans="1:6" x14ac:dyDescent="0.2">
      <c r="A933" s="71"/>
      <c r="B933" s="71"/>
      <c r="C933" s="31" t="s">
        <v>101</v>
      </c>
      <c r="D933" s="31"/>
      <c r="E933" s="31"/>
      <c r="F933" s="11"/>
    </row>
    <row r="934" spans="1:6" x14ac:dyDescent="0.2">
      <c r="A934" s="66" t="s">
        <v>652</v>
      </c>
      <c r="B934" s="66" t="s">
        <v>1</v>
      </c>
      <c r="C934" s="33" t="s">
        <v>887</v>
      </c>
      <c r="D934" s="33" t="str">
        <f>B934&amp;" "&amp;A934</f>
        <v>מאפיין עיקרי אפיק השקעה מובטח תשואה</v>
      </c>
      <c r="E934" s="33"/>
      <c r="F934" s="11"/>
    </row>
    <row r="935" spans="1:6" x14ac:dyDescent="0.2">
      <c r="A935" s="48"/>
      <c r="B935" s="48"/>
      <c r="C935" s="33" t="s">
        <v>655</v>
      </c>
      <c r="D935" s="33"/>
      <c r="E935" s="33"/>
      <c r="F935" s="11"/>
    </row>
    <row r="936" spans="1:6" x14ac:dyDescent="0.2">
      <c r="A936" s="48"/>
      <c r="B936" s="48"/>
      <c r="C936" s="33" t="s">
        <v>1195</v>
      </c>
      <c r="D936" s="33"/>
      <c r="E936" s="33"/>
      <c r="F936" s="11"/>
    </row>
    <row r="937" spans="1:6" x14ac:dyDescent="0.2">
      <c r="A937" s="67" t="s">
        <v>42</v>
      </c>
      <c r="B937" s="67" t="s">
        <v>1</v>
      </c>
      <c r="C937" s="36" t="s">
        <v>225</v>
      </c>
      <c r="D937" s="36" t="str">
        <f>B937&amp;" "&amp;A937</f>
        <v>מאפיין עיקרי לא סחיר ניירות ערך מסחריים</v>
      </c>
      <c r="E937" s="36"/>
      <c r="F937" s="11"/>
    </row>
    <row r="938" spans="1:6" x14ac:dyDescent="0.2">
      <c r="A938" s="68"/>
      <c r="B938" s="68"/>
      <c r="C938" s="31" t="s">
        <v>224</v>
      </c>
      <c r="D938" s="36"/>
      <c r="E938" s="36"/>
      <c r="F938" s="11"/>
    </row>
    <row r="939" spans="1:6" x14ac:dyDescent="0.2">
      <c r="A939" s="68"/>
      <c r="B939" s="68"/>
      <c r="C939" s="31" t="s">
        <v>226</v>
      </c>
      <c r="D939" s="31"/>
      <c r="E939" s="31"/>
      <c r="F939" s="11"/>
    </row>
    <row r="940" spans="1:6" x14ac:dyDescent="0.2">
      <c r="A940" s="68"/>
      <c r="B940" s="68"/>
      <c r="C940" s="31" t="s">
        <v>242</v>
      </c>
      <c r="D940" s="31"/>
      <c r="E940" s="31"/>
      <c r="F940" s="11"/>
    </row>
    <row r="941" spans="1:6" x14ac:dyDescent="0.2">
      <c r="A941" s="68"/>
      <c r="B941" s="68"/>
      <c r="C941" s="31" t="s">
        <v>1185</v>
      </c>
      <c r="D941" s="31"/>
      <c r="E941" s="31"/>
      <c r="F941" s="11"/>
    </row>
    <row r="942" spans="1:6" x14ac:dyDescent="0.2">
      <c r="A942" s="68"/>
      <c r="B942" s="68"/>
      <c r="C942" s="31" t="s">
        <v>1184</v>
      </c>
      <c r="D942" s="31"/>
      <c r="E942" s="31"/>
      <c r="F942" s="11"/>
    </row>
    <row r="943" spans="1:6" x14ac:dyDescent="0.2">
      <c r="A943" s="68"/>
      <c r="B943" s="68"/>
      <c r="C943" s="31" t="s">
        <v>1186</v>
      </c>
      <c r="D943" s="31"/>
      <c r="E943" s="31"/>
      <c r="F943" s="11"/>
    </row>
    <row r="944" spans="1:6" x14ac:dyDescent="0.2">
      <c r="A944" s="68"/>
      <c r="B944" s="68"/>
      <c r="C944" s="31" t="s">
        <v>1199</v>
      </c>
      <c r="D944" s="31"/>
      <c r="E944" s="31"/>
      <c r="F944" s="11"/>
    </row>
    <row r="945" spans="1:5" s="11" customFormat="1" x14ac:dyDescent="0.2">
      <c r="A945" s="68"/>
      <c r="B945" s="68"/>
      <c r="C945" s="31" t="s">
        <v>101</v>
      </c>
      <c r="D945" s="31"/>
      <c r="E945" s="31"/>
    </row>
    <row r="946" spans="1:5" s="11" customFormat="1" x14ac:dyDescent="0.2">
      <c r="A946" s="74" t="s">
        <v>43</v>
      </c>
      <c r="B946" s="74" t="s">
        <v>1</v>
      </c>
      <c r="C946" s="38" t="s">
        <v>224</v>
      </c>
      <c r="D946" s="33" t="str">
        <f>B946&amp;" "&amp;A946</f>
        <v>מאפיין עיקרי לא סחיר איגרות חוב</v>
      </c>
      <c r="E946" s="38"/>
    </row>
    <row r="947" spans="1:5" s="11" customFormat="1" x14ac:dyDescent="0.2">
      <c r="A947" s="75"/>
      <c r="B947" s="75"/>
      <c r="C947" s="38" t="s">
        <v>225</v>
      </c>
      <c r="D947" s="38"/>
      <c r="E947" s="38"/>
    </row>
    <row r="948" spans="1:5" s="11" customFormat="1" x14ac:dyDescent="0.2">
      <c r="A948" s="75"/>
      <c r="B948" s="75"/>
      <c r="C948" s="33" t="s">
        <v>226</v>
      </c>
      <c r="D948" s="33"/>
      <c r="E948" s="33"/>
    </row>
    <row r="949" spans="1:5" s="11" customFormat="1" x14ac:dyDescent="0.2">
      <c r="A949" s="75"/>
      <c r="B949" s="75"/>
      <c r="C949" s="33" t="s">
        <v>242</v>
      </c>
      <c r="D949" s="33"/>
      <c r="E949" s="33"/>
    </row>
    <row r="950" spans="1:5" s="11" customFormat="1" x14ac:dyDescent="0.2">
      <c r="A950" s="75"/>
      <c r="B950" s="75"/>
      <c r="C950" s="33" t="s">
        <v>227</v>
      </c>
      <c r="D950" s="33"/>
      <c r="E950" s="33"/>
    </row>
    <row r="951" spans="1:5" s="11" customFormat="1" x14ac:dyDescent="0.2">
      <c r="A951" s="75"/>
      <c r="B951" s="75"/>
      <c r="C951" s="33" t="s">
        <v>594</v>
      </c>
      <c r="D951" s="33"/>
      <c r="E951" s="33"/>
    </row>
    <row r="952" spans="1:5" s="11" customFormat="1" x14ac:dyDescent="0.2">
      <c r="A952" s="75"/>
      <c r="B952" s="75"/>
      <c r="C952" s="38" t="s">
        <v>298</v>
      </c>
      <c r="D952" s="38"/>
      <c r="E952" s="38"/>
    </row>
    <row r="953" spans="1:5" s="11" customFormat="1" x14ac:dyDescent="0.2">
      <c r="A953" s="75"/>
      <c r="B953" s="75"/>
      <c r="C953" s="33" t="s">
        <v>299</v>
      </c>
      <c r="D953" s="33"/>
      <c r="E953" s="33"/>
    </row>
    <row r="954" spans="1:5" s="11" customFormat="1" x14ac:dyDescent="0.2">
      <c r="A954" s="75"/>
      <c r="B954" s="75"/>
      <c r="C954" s="38" t="s">
        <v>1200</v>
      </c>
      <c r="D954" s="38"/>
      <c r="E954" s="38"/>
    </row>
    <row r="955" spans="1:5" s="11" customFormat="1" x14ac:dyDescent="0.2">
      <c r="A955" s="75"/>
      <c r="B955" s="75"/>
      <c r="C955" s="38" t="s">
        <v>283</v>
      </c>
      <c r="D955" s="38"/>
      <c r="E955" s="38"/>
    </row>
    <row r="956" spans="1:5" s="11" customFormat="1" x14ac:dyDescent="0.2">
      <c r="A956" s="75"/>
      <c r="B956" s="75"/>
      <c r="C956" s="38" t="s">
        <v>1184</v>
      </c>
      <c r="D956" s="38"/>
      <c r="E956" s="38" t="e">
        <f ca="1">"["&amp;_xlfn.TEXTJOIN("], [",TRUE,C956:C960)&amp;"]"</f>
        <v>#NAME?</v>
      </c>
    </row>
    <row r="957" spans="1:5" s="11" customFormat="1" x14ac:dyDescent="0.2">
      <c r="A957" s="75"/>
      <c r="B957" s="75"/>
      <c r="C957" s="38" t="s">
        <v>1185</v>
      </c>
      <c r="D957" s="38"/>
      <c r="E957" s="38"/>
    </row>
    <row r="958" spans="1:5" s="11" customFormat="1" x14ac:dyDescent="0.2">
      <c r="A958" s="75"/>
      <c r="B958" s="75"/>
      <c r="C958" s="38" t="s">
        <v>1186</v>
      </c>
      <c r="D958" s="38"/>
      <c r="E958" s="38"/>
    </row>
    <row r="959" spans="1:5" s="11" customFormat="1" x14ac:dyDescent="0.2">
      <c r="A959" s="75"/>
      <c r="B959" s="75"/>
      <c r="C959" s="38" t="s">
        <v>1199</v>
      </c>
      <c r="D959" s="38"/>
      <c r="E959" s="38"/>
    </row>
    <row r="960" spans="1:5" s="11" customFormat="1" x14ac:dyDescent="0.2">
      <c r="A960" s="75"/>
      <c r="B960" s="75"/>
      <c r="C960" s="38" t="s">
        <v>1187</v>
      </c>
      <c r="D960" s="38"/>
      <c r="E960" s="38"/>
    </row>
    <row r="961" spans="1:6" x14ac:dyDescent="0.2">
      <c r="A961" s="75"/>
      <c r="B961" s="75"/>
      <c r="C961" s="33" t="s">
        <v>1188</v>
      </c>
      <c r="D961" s="33"/>
      <c r="E961" s="33" t="s">
        <v>745</v>
      </c>
      <c r="F961" s="11" t="s">
        <v>1131</v>
      </c>
    </row>
    <row r="962" spans="1:6" x14ac:dyDescent="0.2">
      <c r="A962" s="101"/>
      <c r="B962" s="101"/>
      <c r="C962" s="33" t="s">
        <v>101</v>
      </c>
      <c r="D962" s="33"/>
      <c r="E962" s="33"/>
      <c r="F962" s="11"/>
    </row>
    <row r="963" spans="1:6" ht="14.25" customHeight="1" x14ac:dyDescent="0.2">
      <c r="A963" s="67" t="s">
        <v>1163</v>
      </c>
      <c r="B963" s="67" t="s">
        <v>1</v>
      </c>
      <c r="C963" s="36" t="s">
        <v>454</v>
      </c>
      <c r="D963" s="36" t="str">
        <f>B963&amp;" "&amp;A963</f>
        <v>מאפיין עיקרי לא סחיר מניות מבכ ויהש</v>
      </c>
      <c r="E963" s="36"/>
      <c r="F963" s="11"/>
    </row>
    <row r="964" spans="1:6" x14ac:dyDescent="0.2">
      <c r="A964" s="68"/>
      <c r="B964" s="68"/>
      <c r="C964" s="36" t="s">
        <v>455</v>
      </c>
      <c r="D964" s="36"/>
      <c r="E964" s="36"/>
      <c r="F964" s="11"/>
    </row>
    <row r="965" spans="1:6" x14ac:dyDescent="0.2">
      <c r="A965" s="68"/>
      <c r="B965" s="68"/>
      <c r="C965" s="31" t="s">
        <v>456</v>
      </c>
      <c r="D965" s="31"/>
      <c r="E965" s="31"/>
      <c r="F965" s="11"/>
    </row>
    <row r="966" spans="1:6" x14ac:dyDescent="0.2">
      <c r="A966" s="68"/>
      <c r="B966" s="68"/>
      <c r="C966" s="31" t="s">
        <v>458</v>
      </c>
      <c r="D966" s="31"/>
      <c r="E966" s="31"/>
      <c r="F966" s="11"/>
    </row>
    <row r="967" spans="1:6" x14ac:dyDescent="0.2">
      <c r="A967" s="68"/>
      <c r="B967" s="68"/>
      <c r="C967" s="31" t="s">
        <v>453</v>
      </c>
      <c r="D967" s="31"/>
      <c r="E967" s="31"/>
      <c r="F967" s="11"/>
    </row>
    <row r="968" spans="1:6" x14ac:dyDescent="0.2">
      <c r="A968" s="68"/>
      <c r="B968" s="68"/>
      <c r="C968" s="36" t="s">
        <v>452</v>
      </c>
      <c r="D968" s="36"/>
      <c r="E968" s="36"/>
      <c r="F968" s="11"/>
    </row>
    <row r="969" spans="1:6" x14ac:dyDescent="0.2">
      <c r="A969" s="68"/>
      <c r="B969" s="68"/>
      <c r="C969" s="36" t="s">
        <v>304</v>
      </c>
      <c r="D969" s="36"/>
      <c r="E969" s="36"/>
      <c r="F969" s="11"/>
    </row>
    <row r="970" spans="1:6" x14ac:dyDescent="0.2">
      <c r="A970" s="68"/>
      <c r="B970" s="68"/>
      <c r="C970" s="31" t="s">
        <v>461</v>
      </c>
      <c r="D970" s="31"/>
      <c r="E970" s="31" t="s">
        <v>610</v>
      </c>
      <c r="F970" s="11"/>
    </row>
    <row r="971" spans="1:6" x14ac:dyDescent="0.2">
      <c r="A971" s="68"/>
      <c r="B971" s="68"/>
      <c r="C971" s="31" t="s">
        <v>407</v>
      </c>
      <c r="D971" s="31"/>
      <c r="E971" s="31" t="s">
        <v>408</v>
      </c>
      <c r="F971" s="11"/>
    </row>
    <row r="972" spans="1:6" x14ac:dyDescent="0.2">
      <c r="A972" s="68"/>
      <c r="B972" s="68"/>
      <c r="C972" s="31" t="s">
        <v>101</v>
      </c>
      <c r="D972" s="31"/>
      <c r="E972" s="31"/>
      <c r="F972" s="11"/>
    </row>
    <row r="973" spans="1:6" x14ac:dyDescent="0.2">
      <c r="A973" s="74" t="s">
        <v>44</v>
      </c>
      <c r="B973" s="74" t="s">
        <v>1</v>
      </c>
      <c r="C973" s="33" t="s">
        <v>729</v>
      </c>
      <c r="D973" s="33" t="str">
        <f>B973&amp;" "&amp;A973</f>
        <v>מאפיין עיקרי קרנות השקעה</v>
      </c>
      <c r="E973" s="33"/>
      <c r="F973" s="11"/>
    </row>
    <row r="974" spans="1:6" x14ac:dyDescent="0.2">
      <c r="A974" s="75"/>
      <c r="B974" s="75"/>
      <c r="C974" s="33" t="s">
        <v>728</v>
      </c>
      <c r="D974" s="33"/>
      <c r="E974" s="33"/>
      <c r="F974" s="11"/>
    </row>
    <row r="975" spans="1:6" x14ac:dyDescent="0.2">
      <c r="A975" s="75"/>
      <c r="B975" s="75"/>
      <c r="C975" s="33" t="s">
        <v>238</v>
      </c>
      <c r="D975" s="33"/>
      <c r="E975" s="33"/>
      <c r="F975" s="11"/>
    </row>
    <row r="976" spans="1:6" x14ac:dyDescent="0.2">
      <c r="A976" s="75"/>
      <c r="B976" s="75"/>
      <c r="C976" s="33" t="s">
        <v>274</v>
      </c>
      <c r="D976" s="33"/>
      <c r="E976" s="33"/>
      <c r="F976" s="11"/>
    </row>
    <row r="977" spans="1:6" x14ac:dyDescent="0.2">
      <c r="A977" s="75"/>
      <c r="B977" s="75"/>
      <c r="C977" s="33" t="s">
        <v>273</v>
      </c>
      <c r="D977" s="33"/>
      <c r="E977" s="33"/>
      <c r="F977" s="11"/>
    </row>
    <row r="978" spans="1:6" x14ac:dyDescent="0.2">
      <c r="A978" s="75"/>
      <c r="B978" s="75"/>
      <c r="C978" s="33" t="s">
        <v>237</v>
      </c>
      <c r="D978" s="33"/>
      <c r="E978" s="33"/>
      <c r="F978" s="11"/>
    </row>
    <row r="979" spans="1:6" x14ac:dyDescent="0.2">
      <c r="A979" s="75"/>
      <c r="B979" s="75"/>
      <c r="C979" s="33" t="s">
        <v>885</v>
      </c>
      <c r="D979" s="33"/>
      <c r="E979" s="33"/>
      <c r="F979" s="11"/>
    </row>
    <row r="980" spans="1:6" x14ac:dyDescent="0.2">
      <c r="A980" s="75"/>
      <c r="B980" s="75"/>
      <c r="C980" s="33" t="s">
        <v>1096</v>
      </c>
      <c r="D980" s="33"/>
      <c r="E980" s="33"/>
      <c r="F980" s="11" t="s">
        <v>1131</v>
      </c>
    </row>
    <row r="981" spans="1:6" x14ac:dyDescent="0.2">
      <c r="A981" s="76" t="s">
        <v>46</v>
      </c>
      <c r="B981" s="67" t="s">
        <v>1</v>
      </c>
      <c r="C981" s="31" t="s">
        <v>626</v>
      </c>
      <c r="D981" s="36" t="str">
        <f>B981&amp;" "&amp;A981</f>
        <v>מאפיין עיקרי לא סחיר אופציות</v>
      </c>
      <c r="E981" s="31"/>
      <c r="F981" s="11"/>
    </row>
    <row r="982" spans="1:6" x14ac:dyDescent="0.2">
      <c r="A982" s="77"/>
      <c r="B982" s="68"/>
      <c r="C982" s="31" t="s">
        <v>1219</v>
      </c>
      <c r="D982" s="31"/>
      <c r="E982" s="109" t="s">
        <v>627</v>
      </c>
      <c r="F982" s="11"/>
    </row>
    <row r="983" spans="1:6" x14ac:dyDescent="0.2">
      <c r="A983" s="77"/>
      <c r="B983" s="68"/>
      <c r="C983" s="31" t="s">
        <v>1218</v>
      </c>
      <c r="D983" s="31"/>
      <c r="E983" s="109"/>
      <c r="F983" s="11"/>
    </row>
    <row r="984" spans="1:6" x14ac:dyDescent="0.2">
      <c r="A984" s="77"/>
      <c r="B984" s="68"/>
      <c r="C984" s="31" t="s">
        <v>71</v>
      </c>
      <c r="D984" s="31"/>
      <c r="E984" s="31"/>
      <c r="F984" s="11"/>
    </row>
    <row r="985" spans="1:6" x14ac:dyDescent="0.2">
      <c r="A985" s="77"/>
      <c r="B985" s="68"/>
      <c r="C985" s="31" t="s">
        <v>628</v>
      </c>
      <c r="D985" s="31"/>
      <c r="E985" s="31"/>
      <c r="F985" s="11"/>
    </row>
    <row r="986" spans="1:6" x14ac:dyDescent="0.2">
      <c r="A986" s="77"/>
      <c r="B986" s="68"/>
      <c r="C986" s="31" t="s">
        <v>629</v>
      </c>
      <c r="D986" s="31"/>
      <c r="E986" s="31"/>
      <c r="F986" s="11"/>
    </row>
    <row r="987" spans="1:6" x14ac:dyDescent="0.2">
      <c r="A987" s="77"/>
      <c r="B987" s="68"/>
      <c r="C987" s="31" t="s">
        <v>910</v>
      </c>
      <c r="D987" s="31"/>
      <c r="E987" s="31"/>
      <c r="F987" s="11" t="s">
        <v>1131</v>
      </c>
    </row>
    <row r="988" spans="1:6" x14ac:dyDescent="0.2">
      <c r="A988" s="78" t="s">
        <v>47</v>
      </c>
      <c r="B988" s="74" t="s">
        <v>1</v>
      </c>
      <c r="C988" s="33" t="s">
        <v>457</v>
      </c>
      <c r="D988" s="33" t="str">
        <f>B988&amp;" "&amp;A988</f>
        <v>מאפיין עיקרי הלוואות</v>
      </c>
      <c r="E988" s="33"/>
      <c r="F988" s="11"/>
    </row>
    <row r="989" spans="1:6" x14ac:dyDescent="0.2">
      <c r="A989" s="79"/>
      <c r="B989" s="75"/>
      <c r="C989" s="33" t="s">
        <v>612</v>
      </c>
      <c r="D989" s="33"/>
      <c r="E989" s="33"/>
      <c r="F989" s="11"/>
    </row>
    <row r="990" spans="1:6" x14ac:dyDescent="0.2">
      <c r="A990" s="79"/>
      <c r="B990" s="75"/>
      <c r="C990" s="33" t="s">
        <v>239</v>
      </c>
      <c r="D990" s="33"/>
      <c r="E990" s="33"/>
      <c r="F990" s="11"/>
    </row>
    <row r="991" spans="1:6" x14ac:dyDescent="0.2">
      <c r="A991" s="79"/>
      <c r="B991" s="75"/>
      <c r="C991" s="33" t="s">
        <v>240</v>
      </c>
      <c r="D991" s="33"/>
      <c r="E991" s="33"/>
      <c r="F991" s="11"/>
    </row>
    <row r="992" spans="1:6" x14ac:dyDescent="0.2">
      <c r="A992" s="79"/>
      <c r="B992" s="75"/>
      <c r="C992" s="33" t="s">
        <v>613</v>
      </c>
      <c r="D992" s="33"/>
      <c r="E992" s="33"/>
      <c r="F992" s="11"/>
    </row>
    <row r="993" spans="1:6" x14ac:dyDescent="0.2">
      <c r="A993" s="79"/>
      <c r="B993" s="75"/>
      <c r="C993" s="33" t="s">
        <v>241</v>
      </c>
      <c r="D993" s="33"/>
      <c r="E993" s="33"/>
      <c r="F993" s="11"/>
    </row>
    <row r="994" spans="1:6" x14ac:dyDescent="0.2">
      <c r="A994" s="102"/>
      <c r="B994" s="101"/>
      <c r="C994" s="33" t="s">
        <v>101</v>
      </c>
      <c r="D994" s="33"/>
      <c r="E994" s="33"/>
      <c r="F994" s="11"/>
    </row>
    <row r="995" spans="1:6" x14ac:dyDescent="0.2">
      <c r="A995" s="67" t="s">
        <v>449</v>
      </c>
      <c r="B995" s="67" t="s">
        <v>1</v>
      </c>
      <c r="C995" s="31" t="s">
        <v>341</v>
      </c>
      <c r="D995" s="36" t="str">
        <f>B995&amp;" "&amp;A995</f>
        <v>מאפיין עיקרי לא סחיר נגזרים אחרים</v>
      </c>
      <c r="E995" s="31"/>
      <c r="F995" s="11" t="s">
        <v>1132</v>
      </c>
    </row>
    <row r="996" spans="1:6" x14ac:dyDescent="0.2">
      <c r="A996" s="68"/>
      <c r="B996" s="68"/>
      <c r="C996" s="31" t="s">
        <v>342</v>
      </c>
      <c r="D996" s="31"/>
      <c r="E996" s="31"/>
      <c r="F996" s="11"/>
    </row>
    <row r="997" spans="1:6" x14ac:dyDescent="0.2">
      <c r="A997" s="68"/>
      <c r="B997" s="68"/>
      <c r="C997" s="31" t="s">
        <v>343</v>
      </c>
      <c r="D997" s="31"/>
      <c r="E997" s="31"/>
      <c r="F997" s="11"/>
    </row>
    <row r="998" spans="1:6" x14ac:dyDescent="0.2">
      <c r="A998" s="68"/>
      <c r="B998" s="68"/>
      <c r="C998" s="31" t="s">
        <v>344</v>
      </c>
      <c r="D998" s="31"/>
      <c r="E998" s="31"/>
      <c r="F998" s="11"/>
    </row>
    <row r="999" spans="1:6" x14ac:dyDescent="0.2">
      <c r="A999" s="68"/>
      <c r="B999" s="68"/>
      <c r="C999" s="31" t="s">
        <v>345</v>
      </c>
      <c r="D999" s="31"/>
      <c r="E999" s="31"/>
      <c r="F999" s="11"/>
    </row>
    <row r="1000" spans="1:6" x14ac:dyDescent="0.2">
      <c r="A1000" s="68"/>
      <c r="B1000" s="68"/>
      <c r="C1000" s="31" t="s">
        <v>346</v>
      </c>
      <c r="D1000" s="31"/>
      <c r="E1000" s="31"/>
      <c r="F1000" s="11"/>
    </row>
    <row r="1001" spans="1:6" x14ac:dyDescent="0.2">
      <c r="A1001" s="68"/>
      <c r="B1001" s="68"/>
      <c r="C1001" s="31" t="s">
        <v>390</v>
      </c>
      <c r="D1001" s="31"/>
      <c r="E1001" s="31"/>
      <c r="F1001" s="11"/>
    </row>
    <row r="1002" spans="1:6" x14ac:dyDescent="0.2">
      <c r="A1002" s="68"/>
      <c r="B1002" s="68"/>
      <c r="C1002" s="31" t="s">
        <v>391</v>
      </c>
      <c r="D1002" s="31"/>
      <c r="E1002" s="31"/>
      <c r="F1002" s="11"/>
    </row>
    <row r="1003" spans="1:6" x14ac:dyDescent="0.2">
      <c r="A1003" s="68"/>
      <c r="B1003" s="68"/>
      <c r="C1003" s="31" t="s">
        <v>1078</v>
      </c>
      <c r="D1003" s="31"/>
      <c r="E1003" s="31" t="s">
        <v>1103</v>
      </c>
      <c r="F1003" s="11" t="s">
        <v>1131</v>
      </c>
    </row>
    <row r="1004" spans="1:6" x14ac:dyDescent="0.2">
      <c r="A1004" s="78" t="s">
        <v>48</v>
      </c>
      <c r="B1004" s="74" t="s">
        <v>1</v>
      </c>
      <c r="C1004" s="33" t="s">
        <v>235</v>
      </c>
      <c r="D1004" s="33" t="str">
        <f>B1004&amp;" "&amp;A1004</f>
        <v>מאפיין עיקרי לא סחיר מוצרים מובנים</v>
      </c>
      <c r="E1004" s="33"/>
      <c r="F1004" s="11"/>
    </row>
    <row r="1005" spans="1:6" x14ac:dyDescent="0.2">
      <c r="A1005" s="79"/>
      <c r="B1005" s="75"/>
      <c r="C1005" s="33" t="s">
        <v>236</v>
      </c>
      <c r="D1005" s="33"/>
      <c r="E1005" s="33"/>
      <c r="F1005" s="11"/>
    </row>
    <row r="1006" spans="1:6" x14ac:dyDescent="0.2">
      <c r="A1006" s="79"/>
      <c r="B1006" s="75"/>
      <c r="C1006" s="33" t="s">
        <v>630</v>
      </c>
      <c r="D1006" s="33"/>
      <c r="E1006" s="33"/>
      <c r="F1006" s="11"/>
    </row>
    <row r="1007" spans="1:6" x14ac:dyDescent="0.2">
      <c r="A1007" s="79"/>
      <c r="B1007" s="75"/>
      <c r="C1007" s="33" t="s">
        <v>631</v>
      </c>
      <c r="D1007" s="33"/>
      <c r="E1007" s="33"/>
      <c r="F1007" s="11"/>
    </row>
    <row r="1008" spans="1:6" x14ac:dyDescent="0.2">
      <c r="A1008" s="79"/>
      <c r="B1008" s="75"/>
      <c r="C1008" s="33" t="s">
        <v>632</v>
      </c>
      <c r="D1008" s="33"/>
      <c r="E1008" s="33"/>
      <c r="F1008" s="11"/>
    </row>
    <row r="1009" spans="1:6" x14ac:dyDescent="0.2">
      <c r="A1009" s="79"/>
      <c r="B1009" s="75"/>
      <c r="C1009" s="33" t="s">
        <v>653</v>
      </c>
      <c r="D1009" s="33"/>
      <c r="E1009" s="33"/>
      <c r="F1009" s="11"/>
    </row>
    <row r="1010" spans="1:6" x14ac:dyDescent="0.2">
      <c r="A1010" s="67" t="s">
        <v>49</v>
      </c>
      <c r="B1010" s="67" t="s">
        <v>1</v>
      </c>
      <c r="C1010" s="31" t="s">
        <v>225</v>
      </c>
      <c r="D1010" s="36" t="str">
        <f>B1010&amp;" "&amp;A1010</f>
        <v>מאפיין עיקרי פיקדונות מעל 3 חודשים</v>
      </c>
      <c r="E1010" s="31"/>
      <c r="F1010" s="11"/>
    </row>
    <row r="1011" spans="1:6" x14ac:dyDescent="0.2">
      <c r="A1011" s="68"/>
      <c r="B1011" s="68"/>
      <c r="C1011" s="31" t="s">
        <v>224</v>
      </c>
      <c r="D1011" s="31"/>
      <c r="E1011" s="31"/>
      <c r="F1011" s="11"/>
    </row>
    <row r="1012" spans="1:6" x14ac:dyDescent="0.2">
      <c r="A1012" s="68"/>
      <c r="B1012" s="68"/>
      <c r="C1012" s="31" t="s">
        <v>242</v>
      </c>
      <c r="D1012" s="31"/>
      <c r="E1012" s="31"/>
      <c r="F1012" s="11"/>
    </row>
    <row r="1013" spans="1:6" x14ac:dyDescent="0.2">
      <c r="A1013" s="68"/>
      <c r="B1013" s="68"/>
      <c r="C1013" s="31" t="s">
        <v>226</v>
      </c>
      <c r="D1013" s="31"/>
      <c r="E1013" s="31"/>
      <c r="F1013" s="11"/>
    </row>
    <row r="1014" spans="1:6" x14ac:dyDescent="0.2">
      <c r="A1014" s="68"/>
      <c r="B1014" s="68"/>
      <c r="C1014" s="31" t="s">
        <v>243</v>
      </c>
      <c r="D1014" s="31"/>
      <c r="E1014" s="31" t="s">
        <v>667</v>
      </c>
      <c r="F1014" s="11"/>
    </row>
    <row r="1015" spans="1:6" x14ac:dyDescent="0.2">
      <c r="A1015" s="68"/>
      <c r="B1015" s="68"/>
      <c r="C1015" s="31" t="s">
        <v>101</v>
      </c>
      <c r="D1015" s="31"/>
      <c r="E1015" s="31"/>
      <c r="F1015" s="11"/>
    </row>
    <row r="1016" spans="1:6" x14ac:dyDescent="0.2">
      <c r="A1016" s="74" t="s">
        <v>50</v>
      </c>
      <c r="B1016" s="74" t="s">
        <v>1</v>
      </c>
      <c r="C1016" s="33" t="s">
        <v>713</v>
      </c>
      <c r="D1016" s="33" t="str">
        <f>B1016&amp;" "&amp;A1016</f>
        <v>מאפיין עיקרי זכויות מקרקעין</v>
      </c>
      <c r="E1016" s="33"/>
      <c r="F1016" s="11" t="s">
        <v>1132</v>
      </c>
    </row>
    <row r="1017" spans="1:6" x14ac:dyDescent="0.2">
      <c r="A1017" s="75"/>
      <c r="B1017" s="75"/>
      <c r="C1017" s="33" t="s">
        <v>714</v>
      </c>
      <c r="D1017" s="33"/>
      <c r="E1017" s="33"/>
      <c r="F1017" s="11"/>
    </row>
    <row r="1018" spans="1:6" x14ac:dyDescent="0.2">
      <c r="A1018" s="67" t="s">
        <v>51</v>
      </c>
      <c r="B1018" s="67" t="s">
        <v>1</v>
      </c>
      <c r="C1018" s="31" t="s">
        <v>676</v>
      </c>
      <c r="D1018" s="36" t="str">
        <f>B1018&amp;" "&amp;A1018</f>
        <v>מאפיין עיקרי נכסים אחרים</v>
      </c>
      <c r="E1018" s="31"/>
      <c r="F1018" s="11"/>
    </row>
    <row r="1019" spans="1:6" x14ac:dyDescent="0.2">
      <c r="A1019" s="68"/>
      <c r="B1019" s="68"/>
      <c r="C1019" s="31" t="s">
        <v>677</v>
      </c>
      <c r="D1019" s="31"/>
      <c r="E1019" s="31"/>
      <c r="F1019" s="11"/>
    </row>
    <row r="1020" spans="1:6" x14ac:dyDescent="0.2">
      <c r="A1020" s="68"/>
      <c r="B1020" s="68"/>
      <c r="C1020" s="31" t="s">
        <v>678</v>
      </c>
      <c r="D1020" s="31"/>
      <c r="E1020" s="31"/>
      <c r="F1020" s="11"/>
    </row>
    <row r="1021" spans="1:6" x14ac:dyDescent="0.2">
      <c r="A1021" s="68"/>
      <c r="B1021" s="68"/>
      <c r="C1021" s="31" t="s">
        <v>1129</v>
      </c>
      <c r="D1021" s="31"/>
      <c r="E1021" s="31"/>
      <c r="F1021" s="11" t="s">
        <v>1131</v>
      </c>
    </row>
    <row r="1022" spans="1:6" x14ac:dyDescent="0.2">
      <c r="A1022" s="68"/>
      <c r="B1022" s="68"/>
      <c r="C1022" s="31" t="s">
        <v>679</v>
      </c>
      <c r="D1022" s="31"/>
      <c r="E1022" s="31"/>
      <c r="F1022" s="11"/>
    </row>
    <row r="1023" spans="1:6" x14ac:dyDescent="0.2">
      <c r="A1023" s="68"/>
      <c r="B1023" s="68"/>
      <c r="C1023" s="31" t="s">
        <v>680</v>
      </c>
      <c r="D1023" s="31"/>
      <c r="E1023" s="31"/>
      <c r="F1023" s="11"/>
    </row>
    <row r="1024" spans="1:6" x14ac:dyDescent="0.2">
      <c r="A1024" s="68"/>
      <c r="B1024" s="68"/>
      <c r="C1024" s="31" t="s">
        <v>1128</v>
      </c>
      <c r="D1024" s="31"/>
      <c r="E1024" s="31"/>
      <c r="F1024" s="11" t="s">
        <v>1131</v>
      </c>
    </row>
    <row r="1025" spans="1:5" s="11" customFormat="1" x14ac:dyDescent="0.2">
      <c r="A1025" s="68"/>
      <c r="B1025" s="68"/>
      <c r="C1025" s="31" t="s">
        <v>681</v>
      </c>
      <c r="D1025" s="31"/>
      <c r="E1025" s="31"/>
    </row>
    <row r="1026" spans="1:5" s="11" customFormat="1" x14ac:dyDescent="0.2">
      <c r="A1026" s="68"/>
      <c r="B1026" s="68"/>
      <c r="C1026" s="31" t="s">
        <v>682</v>
      </c>
      <c r="D1026" s="31"/>
      <c r="E1026" s="31"/>
    </row>
    <row r="1027" spans="1:5" s="11" customFormat="1" x14ac:dyDescent="0.2">
      <c r="A1027" s="68"/>
      <c r="B1027" s="68"/>
      <c r="C1027" s="31" t="s">
        <v>1196</v>
      </c>
      <c r="D1027" s="31"/>
      <c r="E1027" s="31"/>
    </row>
    <row r="1028" spans="1:5" s="11" customFormat="1" x14ac:dyDescent="0.2">
      <c r="A1028" s="68"/>
      <c r="B1028" s="68"/>
      <c r="C1028" s="31" t="s">
        <v>1197</v>
      </c>
      <c r="D1028" s="31"/>
      <c r="E1028" s="31"/>
    </row>
    <row r="1029" spans="1:5" s="11" customFormat="1" x14ac:dyDescent="0.2">
      <c r="A1029" s="68"/>
      <c r="B1029" s="68"/>
      <c r="C1029" s="31" t="s">
        <v>1198</v>
      </c>
      <c r="D1029" s="31"/>
      <c r="E1029" s="31"/>
    </row>
    <row r="1030" spans="1:5" s="11" customFormat="1" x14ac:dyDescent="0.2">
      <c r="A1030" s="68"/>
      <c r="B1030" s="68"/>
      <c r="C1030" s="31" t="s">
        <v>1130</v>
      </c>
      <c r="D1030" s="31"/>
      <c r="E1030" s="31"/>
    </row>
    <row r="1031" spans="1:5" s="11" customFormat="1" x14ac:dyDescent="0.2">
      <c r="A1031" s="68"/>
      <c r="B1031" s="68"/>
      <c r="C1031" s="31" t="s">
        <v>683</v>
      </c>
      <c r="D1031" s="31"/>
      <c r="E1031" s="31"/>
    </row>
    <row r="1032" spans="1:5" s="11" customFormat="1" x14ac:dyDescent="0.2">
      <c r="A1032" s="68"/>
      <c r="B1032" s="68"/>
      <c r="C1032" s="31" t="s">
        <v>684</v>
      </c>
      <c r="D1032" s="31"/>
      <c r="E1032" s="31"/>
    </row>
    <row r="1033" spans="1:5" s="11" customFormat="1" x14ac:dyDescent="0.2">
      <c r="A1033" s="68"/>
      <c r="B1033" s="68"/>
      <c r="C1033" s="31" t="s">
        <v>685</v>
      </c>
      <c r="D1033" s="31"/>
      <c r="E1033" s="31"/>
    </row>
    <row r="1034" spans="1:5" s="11" customFormat="1" x14ac:dyDescent="0.2">
      <c r="A1034" s="68"/>
      <c r="B1034" s="68"/>
      <c r="C1034" s="31" t="s">
        <v>686</v>
      </c>
      <c r="D1034" s="31"/>
      <c r="E1034" s="31"/>
    </row>
    <row r="1035" spans="1:5" s="11" customFormat="1" x14ac:dyDescent="0.2">
      <c r="A1035" s="68"/>
      <c r="B1035" s="68"/>
      <c r="C1035" s="31" t="s">
        <v>687</v>
      </c>
      <c r="D1035" s="31"/>
      <c r="E1035" s="31"/>
    </row>
    <row r="1036" spans="1:5" s="11" customFormat="1" x14ac:dyDescent="0.2">
      <c r="A1036" s="68"/>
      <c r="B1036" s="68"/>
      <c r="C1036" s="31" t="s">
        <v>688</v>
      </c>
      <c r="D1036" s="31"/>
      <c r="E1036" s="31"/>
    </row>
    <row r="1037" spans="1:5" s="11" customFormat="1" x14ac:dyDescent="0.2">
      <c r="A1037" s="68"/>
      <c r="B1037" s="68"/>
      <c r="C1037" s="31" t="s">
        <v>689</v>
      </c>
      <c r="D1037" s="31"/>
      <c r="E1037" s="31"/>
    </row>
    <row r="1038" spans="1:5" s="11" customFormat="1" x14ac:dyDescent="0.2">
      <c r="A1038" s="68"/>
      <c r="B1038" s="68"/>
      <c r="C1038" s="31" t="s">
        <v>690</v>
      </c>
      <c r="D1038" s="31"/>
      <c r="E1038" s="31"/>
    </row>
    <row r="1039" spans="1:5" s="11" customFormat="1" x14ac:dyDescent="0.2">
      <c r="A1039" s="68"/>
      <c r="B1039" s="68"/>
      <c r="C1039" s="31" t="s">
        <v>691</v>
      </c>
      <c r="D1039" s="31"/>
      <c r="E1039" s="31"/>
    </row>
    <row r="1040" spans="1:5" s="11" customFormat="1" x14ac:dyDescent="0.2">
      <c r="A1040" s="68"/>
      <c r="B1040" s="68"/>
      <c r="C1040" s="31" t="s">
        <v>878</v>
      </c>
      <c r="D1040" s="31"/>
      <c r="E1040" s="31"/>
    </row>
    <row r="1041" spans="1:6" x14ac:dyDescent="0.2">
      <c r="A1041" s="68"/>
      <c r="B1041" s="68"/>
      <c r="C1041" s="31" t="s">
        <v>692</v>
      </c>
      <c r="D1041" s="31"/>
      <c r="E1041" s="31"/>
      <c r="F1041" s="11"/>
    </row>
    <row r="1042" spans="1:6" x14ac:dyDescent="0.2">
      <c r="A1042" s="68"/>
      <c r="B1042" s="68"/>
      <c r="C1042" s="31" t="s">
        <v>693</v>
      </c>
      <c r="D1042" s="31"/>
      <c r="E1042" s="31"/>
      <c r="F1042" s="11"/>
    </row>
    <row r="1043" spans="1:6" x14ac:dyDescent="0.2">
      <c r="A1043" s="68"/>
      <c r="B1043" s="68"/>
      <c r="C1043" s="31" t="s">
        <v>694</v>
      </c>
      <c r="D1043" s="31"/>
      <c r="E1043" s="31"/>
      <c r="F1043" s="11"/>
    </row>
    <row r="1044" spans="1:6" x14ac:dyDescent="0.2">
      <c r="A1044" s="68"/>
      <c r="B1044" s="68"/>
      <c r="C1044" s="31" t="s">
        <v>695</v>
      </c>
      <c r="D1044" s="31"/>
      <c r="E1044" s="31"/>
      <c r="F1044" s="11"/>
    </row>
    <row r="1045" spans="1:6" x14ac:dyDescent="0.2">
      <c r="A1045" s="68"/>
      <c r="B1045" s="68"/>
      <c r="C1045" s="31" t="s">
        <v>696</v>
      </c>
      <c r="D1045" s="31"/>
      <c r="E1045" s="31"/>
      <c r="F1045" s="11"/>
    </row>
    <row r="1046" spans="1:6" x14ac:dyDescent="0.2">
      <c r="A1046" s="68"/>
      <c r="B1046" s="68"/>
      <c r="C1046" s="31" t="s">
        <v>697</v>
      </c>
      <c r="D1046" s="31"/>
      <c r="E1046" s="31"/>
      <c r="F1046" s="11"/>
    </row>
    <row r="1047" spans="1:6" x14ac:dyDescent="0.2">
      <c r="A1047" s="68"/>
      <c r="B1047" s="68"/>
      <c r="C1047" s="31" t="s">
        <v>698</v>
      </c>
      <c r="D1047" s="31"/>
      <c r="E1047" s="31"/>
      <c r="F1047" s="11"/>
    </row>
    <row r="1048" spans="1:6" x14ac:dyDescent="0.2">
      <c r="A1048" s="68"/>
      <c r="B1048" s="68"/>
      <c r="C1048" s="31" t="s">
        <v>699</v>
      </c>
      <c r="D1048" s="31"/>
      <c r="E1048" s="31"/>
      <c r="F1048" s="11"/>
    </row>
    <row r="1049" spans="1:6" x14ac:dyDescent="0.2">
      <c r="A1049" s="68"/>
      <c r="B1049" s="68"/>
      <c r="C1049" s="109" t="s">
        <v>700</v>
      </c>
      <c r="D1049" s="109"/>
      <c r="E1049" s="31"/>
      <c r="F1049" s="11" t="s">
        <v>1131</v>
      </c>
    </row>
    <row r="1050" spans="1:6" x14ac:dyDescent="0.2">
      <c r="A1050" s="68"/>
      <c r="B1050" s="68"/>
      <c r="C1050" s="31" t="s">
        <v>701</v>
      </c>
      <c r="D1050" s="31"/>
      <c r="E1050" s="31"/>
      <c r="F1050" s="11"/>
    </row>
    <row r="1051" spans="1:6" x14ac:dyDescent="0.2">
      <c r="A1051" s="68"/>
      <c r="B1051" s="68"/>
      <c r="C1051" s="31" t="s">
        <v>101</v>
      </c>
      <c r="D1051" s="31"/>
      <c r="E1051" s="31"/>
      <c r="F1051" s="11"/>
    </row>
    <row r="1052" spans="1:6" x14ac:dyDescent="0.2">
      <c r="A1052" s="44" t="s">
        <v>493</v>
      </c>
      <c r="B1052" s="44" t="s">
        <v>1</v>
      </c>
      <c r="C1052" s="33" t="s">
        <v>459</v>
      </c>
      <c r="D1052" s="33" t="str">
        <f>B1052&amp;" "&amp;A1052</f>
        <v>מאפיין עיקרי השקעה בחברות מוחזקות</v>
      </c>
      <c r="E1052" s="33"/>
      <c r="F1052" s="11" t="s">
        <v>1132</v>
      </c>
    </row>
    <row r="1053" spans="1:6" x14ac:dyDescent="0.2">
      <c r="A1053" s="45"/>
      <c r="B1053" s="45"/>
      <c r="C1053" s="33" t="s">
        <v>460</v>
      </c>
      <c r="D1053" s="33"/>
      <c r="E1053" s="33"/>
      <c r="F1053" s="11"/>
    </row>
    <row r="1054" spans="1:6" x14ac:dyDescent="0.2">
      <c r="A1054" s="45"/>
      <c r="B1054" s="45"/>
      <c r="C1054" s="33" t="s">
        <v>101</v>
      </c>
      <c r="D1054" s="33"/>
      <c r="E1054" s="33"/>
      <c r="F1054" s="11"/>
    </row>
    <row r="1055" spans="1:6" x14ac:dyDescent="0.2">
      <c r="A1055" s="67" t="s">
        <v>748</v>
      </c>
      <c r="B1055" s="67" t="s">
        <v>1</v>
      </c>
      <c r="C1055" s="31" t="s">
        <v>244</v>
      </c>
      <c r="D1055" s="36" t="str">
        <f>B1055&amp;" "&amp;A1055</f>
        <v>מאפיין עיקרי יתרות התחייבות להשקעה</v>
      </c>
      <c r="E1055" s="31"/>
      <c r="F1055" s="11"/>
    </row>
    <row r="1056" spans="1:6" x14ac:dyDescent="0.2">
      <c r="A1056" s="68"/>
      <c r="B1056" s="68"/>
      <c r="C1056" s="31" t="s">
        <v>639</v>
      </c>
      <c r="D1056" s="31"/>
      <c r="E1056" s="31" t="s">
        <v>640</v>
      </c>
      <c r="F1056" s="11"/>
    </row>
    <row r="1057" spans="1:6" x14ac:dyDescent="0.2">
      <c r="A1057" s="68"/>
      <c r="B1057" s="68"/>
      <c r="C1057" s="31" t="s">
        <v>637</v>
      </c>
      <c r="D1057" s="31"/>
      <c r="E1057" s="31" t="s">
        <v>642</v>
      </c>
      <c r="F1057" s="11"/>
    </row>
    <row r="1058" spans="1:6" x14ac:dyDescent="0.2">
      <c r="A1058" s="68"/>
      <c r="B1058" s="68"/>
      <c r="C1058" s="31" t="s">
        <v>638</v>
      </c>
      <c r="D1058" s="31"/>
      <c r="E1058" s="31" t="s">
        <v>641</v>
      </c>
      <c r="F1058" s="11"/>
    </row>
  </sheetData>
  <sortState ref="C81:C84">
    <sortCondition ref="C81:C84"/>
  </sortState>
  <pageMargins left="0.70866141732283505" right="0.70866141732283505" top="0.74803149606299202" bottom="0.74803149606299202" header="0.31496062992126" footer="0.31496062992126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9" tint="-0.49995422223578601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 x14ac:dyDescent="0.25"/>
  <cols>
    <col min="1" max="1" width="25.625" style="37" customWidth="1"/>
    <col min="2" max="2" width="48.75" style="37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87" t="s">
        <v>761</v>
      </c>
      <c r="B1" s="88" t="s">
        <v>762</v>
      </c>
      <c r="C1" s="88" t="s">
        <v>770</v>
      </c>
      <c r="D1" s="89" t="s">
        <v>900</v>
      </c>
    </row>
    <row r="2" spans="1:4" ht="15.75" hidden="1" outlineLevel="1" x14ac:dyDescent="0.2">
      <c r="A2" s="21" t="s">
        <v>30</v>
      </c>
      <c r="B2" s="22" t="s">
        <v>636</v>
      </c>
      <c r="C2" s="21">
        <v>5.0999999999999996</v>
      </c>
      <c r="D2" s="91"/>
    </row>
    <row r="3" spans="1:4" ht="15.75" hidden="1" outlineLevel="1" x14ac:dyDescent="0.2">
      <c r="A3" s="21" t="s">
        <v>30</v>
      </c>
      <c r="B3" s="22" t="s">
        <v>0</v>
      </c>
      <c r="C3" s="21">
        <v>5.2</v>
      </c>
      <c r="D3" s="91"/>
    </row>
    <row r="4" spans="1:4" ht="15.75" hidden="1" outlineLevel="1" x14ac:dyDescent="0.2">
      <c r="A4" s="21" t="s">
        <v>30</v>
      </c>
      <c r="B4" s="22" t="s">
        <v>702</v>
      </c>
      <c r="C4" s="21">
        <v>5.4</v>
      </c>
      <c r="D4" s="91"/>
    </row>
    <row r="5" spans="1:4" ht="15.75" hidden="1" outlineLevel="1" x14ac:dyDescent="0.2">
      <c r="A5" s="21" t="s">
        <v>30</v>
      </c>
      <c r="B5" s="22" t="s">
        <v>720</v>
      </c>
      <c r="C5" s="21">
        <v>5.7</v>
      </c>
      <c r="D5" s="91"/>
    </row>
    <row r="6" spans="1:4" ht="15.75" hidden="1" outlineLevel="1" x14ac:dyDescent="0.2">
      <c r="A6" s="21" t="s">
        <v>30</v>
      </c>
      <c r="B6" s="22" t="s">
        <v>721</v>
      </c>
      <c r="C6" s="21">
        <v>5.1100000000000003</v>
      </c>
      <c r="D6" s="91"/>
    </row>
    <row r="7" spans="1:4" ht="15.75" hidden="1" outlineLevel="1" x14ac:dyDescent="0.2">
      <c r="A7" s="21" t="s">
        <v>30</v>
      </c>
      <c r="B7" s="22" t="s">
        <v>1</v>
      </c>
      <c r="C7" s="21">
        <v>5.26</v>
      </c>
      <c r="D7" s="91"/>
    </row>
    <row r="8" spans="1:4" ht="15.75" hidden="1" outlineLevel="1" x14ac:dyDescent="0.2">
      <c r="A8" s="21" t="s">
        <v>30</v>
      </c>
      <c r="B8" s="22" t="s">
        <v>591</v>
      </c>
      <c r="C8" s="21">
        <v>5.27</v>
      </c>
      <c r="D8" s="91"/>
    </row>
    <row r="9" spans="1:4" ht="15.75" hidden="1" outlineLevel="1" x14ac:dyDescent="0.2">
      <c r="A9" s="21" t="s">
        <v>30</v>
      </c>
      <c r="B9" s="22" t="s">
        <v>593</v>
      </c>
      <c r="C9" s="21">
        <v>5.36</v>
      </c>
      <c r="D9" s="91"/>
    </row>
    <row r="10" spans="1:4" ht="15.75" hidden="1" outlineLevel="1" x14ac:dyDescent="0.2">
      <c r="A10" s="21" t="s">
        <v>30</v>
      </c>
      <c r="B10" s="22" t="s">
        <v>746</v>
      </c>
      <c r="C10" s="23">
        <v>5.5</v>
      </c>
      <c r="D10" s="91"/>
    </row>
    <row r="11" spans="1:4" ht="15.75" hidden="1" outlineLevel="1" x14ac:dyDescent="0.2">
      <c r="A11" s="21" t="s">
        <v>30</v>
      </c>
      <c r="B11" s="22" t="s">
        <v>7</v>
      </c>
      <c r="C11" s="21">
        <v>5.51</v>
      </c>
      <c r="D11" s="91"/>
    </row>
    <row r="12" spans="1:4" ht="15.75" hidden="1" outlineLevel="1" x14ac:dyDescent="0.2">
      <c r="A12" s="21" t="s">
        <v>30</v>
      </c>
      <c r="B12" s="22" t="s">
        <v>387</v>
      </c>
      <c r="C12" s="21">
        <v>5.53</v>
      </c>
      <c r="D12" s="91"/>
    </row>
    <row r="13" spans="1:4" ht="15.75" hidden="1" outlineLevel="1" x14ac:dyDescent="0.2">
      <c r="A13" s="21" t="s">
        <v>30</v>
      </c>
      <c r="B13" s="22" t="s">
        <v>881</v>
      </c>
      <c r="C13" s="21">
        <v>5.59</v>
      </c>
      <c r="D13" s="91"/>
    </row>
    <row r="14" spans="1:4" ht="15.75" hidden="1" outlineLevel="1" x14ac:dyDescent="0.2">
      <c r="A14" s="21" t="s">
        <v>30</v>
      </c>
      <c r="B14" s="22" t="s">
        <v>10</v>
      </c>
      <c r="C14" s="21">
        <v>5.54</v>
      </c>
      <c r="D14" s="91"/>
    </row>
    <row r="15" spans="1:4" ht="15.75" hidden="1" outlineLevel="1" x14ac:dyDescent="0.2">
      <c r="A15" s="21" t="s">
        <v>30</v>
      </c>
      <c r="B15" s="22" t="s">
        <v>13</v>
      </c>
      <c r="C15" s="23">
        <v>5.7</v>
      </c>
      <c r="D15" s="90" t="s">
        <v>893</v>
      </c>
    </row>
    <row r="16" spans="1:4" ht="15.75" hidden="1" outlineLevel="1" x14ac:dyDescent="0.2">
      <c r="A16" s="21" t="s">
        <v>30</v>
      </c>
      <c r="B16" s="22" t="s">
        <v>1105</v>
      </c>
      <c r="C16" s="21">
        <v>5.63</v>
      </c>
      <c r="D16" s="91"/>
    </row>
    <row r="17" spans="1:4" ht="15.75" hidden="1" outlineLevel="1" x14ac:dyDescent="0.2">
      <c r="A17" s="21" t="s">
        <v>30</v>
      </c>
      <c r="B17" s="22" t="s">
        <v>18</v>
      </c>
      <c r="C17" s="21">
        <v>5.47</v>
      </c>
      <c r="D17" s="91"/>
    </row>
    <row r="18" spans="1:4" ht="15.75" hidden="1" outlineLevel="1" x14ac:dyDescent="0.2">
      <c r="A18" s="21" t="s">
        <v>30</v>
      </c>
      <c r="B18" s="22" t="s">
        <v>29</v>
      </c>
      <c r="C18" s="21">
        <v>5.48</v>
      </c>
      <c r="D18" s="91"/>
    </row>
    <row r="19" spans="1:4" ht="15.75" collapsed="1" x14ac:dyDescent="0.2">
      <c r="A19" s="26" t="s">
        <v>30</v>
      </c>
      <c r="B19" s="22"/>
      <c r="C19" s="21"/>
      <c r="D19" s="91"/>
    </row>
    <row r="20" spans="1:4" ht="15.75" hidden="1" outlineLevel="1" x14ac:dyDescent="0.2">
      <c r="A20" s="21" t="s">
        <v>39</v>
      </c>
      <c r="B20" s="22" t="s">
        <v>636</v>
      </c>
      <c r="C20" s="21">
        <v>5.0999999999999996</v>
      </c>
      <c r="D20" s="91"/>
    </row>
    <row r="21" spans="1:4" ht="15.75" hidden="1" outlineLevel="1" x14ac:dyDescent="0.2">
      <c r="A21" s="21" t="s">
        <v>39</v>
      </c>
      <c r="B21" s="22" t="s">
        <v>0</v>
      </c>
      <c r="C21" s="21">
        <v>5.2</v>
      </c>
      <c r="D21" s="91"/>
    </row>
    <row r="22" spans="1:4" ht="15.75" hidden="1" outlineLevel="1" x14ac:dyDescent="0.2">
      <c r="A22" s="21" t="s">
        <v>39</v>
      </c>
      <c r="B22" s="22" t="s">
        <v>703</v>
      </c>
      <c r="C22" s="21">
        <v>5.3</v>
      </c>
      <c r="D22" s="91"/>
    </row>
    <row r="23" spans="1:4" ht="15.75" hidden="1" outlineLevel="1" x14ac:dyDescent="0.2">
      <c r="A23" s="21" t="s">
        <v>39</v>
      </c>
      <c r="B23" s="22" t="s">
        <v>3</v>
      </c>
      <c r="C23" s="21">
        <v>5.14</v>
      </c>
      <c r="D23" s="91"/>
    </row>
    <row r="24" spans="1:4" ht="15.75" hidden="1" outlineLevel="1" x14ac:dyDescent="0.2">
      <c r="A24" s="21" t="s">
        <v>39</v>
      </c>
      <c r="B24" s="22" t="s">
        <v>28</v>
      </c>
      <c r="C24" s="21">
        <v>5.19</v>
      </c>
      <c r="D24" s="91"/>
    </row>
    <row r="25" spans="1:4" ht="15.75" hidden="1" outlineLevel="1" x14ac:dyDescent="0.2">
      <c r="A25" s="21" t="s">
        <v>39</v>
      </c>
      <c r="B25" s="22" t="s">
        <v>1</v>
      </c>
      <c r="C25" s="21">
        <v>5.26</v>
      </c>
      <c r="D25" s="91"/>
    </row>
    <row r="26" spans="1:4" ht="15.75" hidden="1" outlineLevel="1" x14ac:dyDescent="0.2">
      <c r="A26" s="21" t="s">
        <v>39</v>
      </c>
      <c r="B26" s="22" t="s">
        <v>591</v>
      </c>
      <c r="C26" s="21">
        <v>5.27</v>
      </c>
      <c r="D26" s="91"/>
    </row>
    <row r="27" spans="1:4" ht="15.75" hidden="1" outlineLevel="1" x14ac:dyDescent="0.2">
      <c r="A27" s="21" t="s">
        <v>39</v>
      </c>
      <c r="B27" s="22" t="s">
        <v>592</v>
      </c>
      <c r="C27" s="21">
        <v>5.28</v>
      </c>
      <c r="D27" s="91"/>
    </row>
    <row r="28" spans="1:4" ht="15.75" hidden="1" outlineLevel="1" x14ac:dyDescent="0.2">
      <c r="A28" s="21" t="s">
        <v>39</v>
      </c>
      <c r="B28" s="22" t="s">
        <v>4</v>
      </c>
      <c r="C28" s="23">
        <v>5.3</v>
      </c>
      <c r="D28" s="91"/>
    </row>
    <row r="29" spans="1:4" ht="15.75" hidden="1" outlineLevel="1" x14ac:dyDescent="0.2">
      <c r="A29" s="21" t="s">
        <v>39</v>
      </c>
      <c r="B29" s="22" t="s">
        <v>5</v>
      </c>
      <c r="C29" s="21">
        <v>5.49</v>
      </c>
      <c r="D29" s="91"/>
    </row>
    <row r="30" spans="1:4" ht="15.75" hidden="1" outlineLevel="1" x14ac:dyDescent="0.2">
      <c r="A30" s="21" t="s">
        <v>39</v>
      </c>
      <c r="B30" s="22" t="s">
        <v>7</v>
      </c>
      <c r="C30" s="21">
        <v>5.51</v>
      </c>
      <c r="D30" s="91"/>
    </row>
    <row r="31" spans="1:4" ht="15.75" hidden="1" outlineLevel="1" x14ac:dyDescent="0.2">
      <c r="A31" s="21" t="s">
        <v>39</v>
      </c>
      <c r="B31" s="22" t="s">
        <v>387</v>
      </c>
      <c r="C31" s="21">
        <v>5.53</v>
      </c>
      <c r="D31" s="91"/>
    </row>
    <row r="32" spans="1:4" ht="15.75" hidden="1" outlineLevel="1" x14ac:dyDescent="0.2">
      <c r="A32" s="21" t="s">
        <v>39</v>
      </c>
      <c r="B32" s="22" t="s">
        <v>12</v>
      </c>
      <c r="C32" s="21">
        <v>5.69</v>
      </c>
      <c r="D32" s="91"/>
    </row>
    <row r="33" spans="1:4" ht="15.75" hidden="1" outlineLevel="1" x14ac:dyDescent="0.2">
      <c r="A33" s="21" t="s">
        <v>39</v>
      </c>
      <c r="B33" s="22" t="s">
        <v>412</v>
      </c>
      <c r="C33" s="21">
        <v>5.75</v>
      </c>
      <c r="D33" s="91"/>
    </row>
    <row r="34" spans="1:4" ht="15.75" hidden="1" outlineLevel="1" x14ac:dyDescent="0.2">
      <c r="A34" s="21" t="s">
        <v>39</v>
      </c>
      <c r="B34" s="22" t="s">
        <v>13</v>
      </c>
      <c r="C34" s="23">
        <v>5.7</v>
      </c>
      <c r="D34" s="91"/>
    </row>
    <row r="35" spans="1:4" ht="15.75" hidden="1" outlineLevel="1" x14ac:dyDescent="0.2">
      <c r="A35" s="21" t="s">
        <v>39</v>
      </c>
      <c r="B35" s="22" t="s">
        <v>608</v>
      </c>
      <c r="C35" s="21">
        <v>5.74</v>
      </c>
      <c r="D35" s="91"/>
    </row>
    <row r="36" spans="1:4" ht="15.75" hidden="1" outlineLevel="1" x14ac:dyDescent="0.2">
      <c r="A36" s="21" t="s">
        <v>39</v>
      </c>
      <c r="B36" s="22" t="s">
        <v>895</v>
      </c>
      <c r="C36" s="21">
        <v>5.62</v>
      </c>
      <c r="D36" s="91"/>
    </row>
    <row r="37" spans="1:4" ht="15.75" hidden="1" outlineLevel="1" x14ac:dyDescent="0.2">
      <c r="A37" s="21" t="s">
        <v>39</v>
      </c>
      <c r="B37" s="22" t="s">
        <v>747</v>
      </c>
      <c r="C37" s="21">
        <v>5.58</v>
      </c>
      <c r="D37" s="91"/>
    </row>
    <row r="38" spans="1:4" ht="15.75" hidden="1" outlineLevel="1" x14ac:dyDescent="0.2">
      <c r="A38" s="21" t="s">
        <v>39</v>
      </c>
      <c r="B38" s="22" t="s">
        <v>10</v>
      </c>
      <c r="C38" s="21">
        <v>5.54</v>
      </c>
      <c r="D38" s="91"/>
    </row>
    <row r="39" spans="1:4" ht="15.75" hidden="1" outlineLevel="1" x14ac:dyDescent="0.2">
      <c r="A39" s="21" t="s">
        <v>39</v>
      </c>
      <c r="B39" s="22" t="s">
        <v>14</v>
      </c>
      <c r="C39" s="21">
        <v>5.55</v>
      </c>
      <c r="D39" s="91"/>
    </row>
    <row r="40" spans="1:4" ht="15.75" hidden="1" outlineLevel="1" x14ac:dyDescent="0.2">
      <c r="A40" s="21" t="s">
        <v>39</v>
      </c>
      <c r="B40" s="22" t="s">
        <v>1105</v>
      </c>
      <c r="C40" s="21">
        <v>5.63</v>
      </c>
      <c r="D40" s="91"/>
    </row>
    <row r="41" spans="1:4" ht="15.75" hidden="1" outlineLevel="1" x14ac:dyDescent="0.2">
      <c r="A41" s="21" t="s">
        <v>39</v>
      </c>
      <c r="B41" s="22" t="s">
        <v>1106</v>
      </c>
      <c r="C41" s="21">
        <v>5.65</v>
      </c>
      <c r="D41" s="91"/>
    </row>
    <row r="42" spans="1:4" ht="15.75" hidden="1" outlineLevel="1" x14ac:dyDescent="0.2">
      <c r="A42" s="21" t="s">
        <v>39</v>
      </c>
      <c r="B42" s="22" t="s">
        <v>25</v>
      </c>
      <c r="C42" s="21">
        <v>5.68</v>
      </c>
      <c r="D42" s="91"/>
    </row>
    <row r="43" spans="1:4" ht="15.75" hidden="1" outlineLevel="1" x14ac:dyDescent="0.2">
      <c r="A43" s="21" t="s">
        <v>39</v>
      </c>
      <c r="B43" s="22" t="s">
        <v>17</v>
      </c>
      <c r="C43" s="21">
        <v>5.45</v>
      </c>
      <c r="D43" s="91"/>
    </row>
    <row r="44" spans="1:4" ht="15.75" hidden="1" outlineLevel="1" x14ac:dyDescent="0.2">
      <c r="A44" s="21" t="s">
        <v>39</v>
      </c>
      <c r="B44" s="22" t="s">
        <v>18</v>
      </c>
      <c r="C44" s="21">
        <v>5.47</v>
      </c>
      <c r="D44" s="91"/>
    </row>
    <row r="45" spans="1:4" ht="15.75" hidden="1" outlineLevel="1" x14ac:dyDescent="0.2">
      <c r="A45" s="21" t="s">
        <v>39</v>
      </c>
      <c r="B45" s="22" t="s">
        <v>29</v>
      </c>
      <c r="C45" s="21">
        <v>5.48</v>
      </c>
      <c r="D45" s="91"/>
    </row>
    <row r="46" spans="1:4" ht="15.75" collapsed="1" x14ac:dyDescent="0.2">
      <c r="A46" s="26" t="s">
        <v>39</v>
      </c>
      <c r="B46" s="22"/>
      <c r="C46" s="21"/>
      <c r="D46" s="91"/>
    </row>
    <row r="47" spans="1:4" ht="15.75" hidden="1" outlineLevel="1" x14ac:dyDescent="0.2">
      <c r="A47" s="21" t="s">
        <v>31</v>
      </c>
      <c r="B47" s="22" t="s">
        <v>636</v>
      </c>
      <c r="C47" s="21">
        <v>5.0999999999999996</v>
      </c>
      <c r="D47" s="91"/>
    </row>
    <row r="48" spans="1:4" ht="15.75" hidden="1" outlineLevel="1" x14ac:dyDescent="0.2">
      <c r="A48" s="21" t="s">
        <v>31</v>
      </c>
      <c r="B48" s="22" t="s">
        <v>0</v>
      </c>
      <c r="C48" s="21">
        <v>5.2</v>
      </c>
      <c r="D48" s="91"/>
    </row>
    <row r="49" spans="1:4" ht="15.75" hidden="1" outlineLevel="1" x14ac:dyDescent="0.2">
      <c r="A49" s="21" t="s">
        <v>31</v>
      </c>
      <c r="B49" s="22" t="s">
        <v>703</v>
      </c>
      <c r="C49" s="21">
        <v>5.3</v>
      </c>
      <c r="D49" s="91"/>
    </row>
    <row r="50" spans="1:4" ht="15.75" hidden="1" outlineLevel="1" x14ac:dyDescent="0.2">
      <c r="A50" s="21" t="s">
        <v>31</v>
      </c>
      <c r="B50" s="22" t="s">
        <v>2</v>
      </c>
      <c r="C50" s="21">
        <v>5.6</v>
      </c>
      <c r="D50" s="91"/>
    </row>
    <row r="51" spans="1:4" ht="15.75" hidden="1" outlineLevel="1" x14ac:dyDescent="0.2">
      <c r="A51" s="21" t="s">
        <v>31</v>
      </c>
      <c r="B51" s="22" t="s">
        <v>709</v>
      </c>
      <c r="C51" s="23">
        <v>5.0999999999999996</v>
      </c>
      <c r="D51" s="91"/>
    </row>
    <row r="52" spans="1:4" ht="15.75" hidden="1" outlineLevel="1" x14ac:dyDescent="0.2">
      <c r="A52" s="21" t="s">
        <v>31</v>
      </c>
      <c r="B52" s="22" t="s">
        <v>3</v>
      </c>
      <c r="C52" s="21">
        <v>5.14</v>
      </c>
      <c r="D52" s="91"/>
    </row>
    <row r="53" spans="1:4" ht="15.75" hidden="1" outlineLevel="1" x14ac:dyDescent="0.2">
      <c r="A53" s="21" t="s">
        <v>31</v>
      </c>
      <c r="B53" s="22" t="s">
        <v>28</v>
      </c>
      <c r="C53" s="21">
        <v>5.19</v>
      </c>
      <c r="D53" s="91"/>
    </row>
    <row r="54" spans="1:4" ht="15.75" hidden="1" outlineLevel="1" x14ac:dyDescent="0.2">
      <c r="A54" s="21" t="s">
        <v>31</v>
      </c>
      <c r="B54" s="22" t="s">
        <v>27</v>
      </c>
      <c r="C54" s="21">
        <v>5.24</v>
      </c>
      <c r="D54" s="91"/>
    </row>
    <row r="55" spans="1:4" ht="15.75" hidden="1" outlineLevel="1" x14ac:dyDescent="0.2">
      <c r="A55" s="21" t="s">
        <v>31</v>
      </c>
      <c r="B55" s="22" t="s">
        <v>1</v>
      </c>
      <c r="C55" s="21">
        <v>5.26</v>
      </c>
      <c r="D55" s="91"/>
    </row>
    <row r="56" spans="1:4" ht="15.75" hidden="1" outlineLevel="1" x14ac:dyDescent="0.2">
      <c r="A56" s="21" t="s">
        <v>31</v>
      </c>
      <c r="B56" s="22" t="s">
        <v>591</v>
      </c>
      <c r="C56" s="21">
        <v>5.27</v>
      </c>
      <c r="D56" s="91"/>
    </row>
    <row r="57" spans="1:4" ht="15.75" hidden="1" outlineLevel="1" x14ac:dyDescent="0.2">
      <c r="A57" s="21" t="s">
        <v>31</v>
      </c>
      <c r="B57" s="22" t="s">
        <v>592</v>
      </c>
      <c r="C57" s="21">
        <v>5.28</v>
      </c>
      <c r="D57" s="91"/>
    </row>
    <row r="58" spans="1:4" ht="15.75" hidden="1" outlineLevel="1" x14ac:dyDescent="0.2">
      <c r="A58" s="21" t="s">
        <v>31</v>
      </c>
      <c r="B58" s="22" t="s">
        <v>4</v>
      </c>
      <c r="C58" s="23">
        <v>5.3</v>
      </c>
      <c r="D58" s="91"/>
    </row>
    <row r="59" spans="1:4" ht="15.75" hidden="1" outlineLevel="1" x14ac:dyDescent="0.2">
      <c r="A59" s="21" t="s">
        <v>31</v>
      </c>
      <c r="B59" s="22" t="s">
        <v>8</v>
      </c>
      <c r="C59" s="21">
        <v>5.31</v>
      </c>
      <c r="D59" s="91"/>
    </row>
    <row r="60" spans="1:4" ht="15.75" hidden="1" outlineLevel="1" x14ac:dyDescent="0.2">
      <c r="A60" s="21" t="s">
        <v>31</v>
      </c>
      <c r="B60" s="22" t="s">
        <v>593</v>
      </c>
      <c r="C60" s="21">
        <v>5.36</v>
      </c>
      <c r="D60" s="91"/>
    </row>
    <row r="61" spans="1:4" ht="15.75" hidden="1" outlineLevel="1" x14ac:dyDescent="0.2">
      <c r="A61" s="21" t="s">
        <v>31</v>
      </c>
      <c r="B61" s="22" t="s">
        <v>5</v>
      </c>
      <c r="C61" s="21">
        <v>5.49</v>
      </c>
      <c r="D61" s="91"/>
    </row>
    <row r="62" spans="1:4" ht="15.75" hidden="1" outlineLevel="1" x14ac:dyDescent="0.2">
      <c r="A62" s="21" t="s">
        <v>31</v>
      </c>
      <c r="B62" s="22" t="s">
        <v>7</v>
      </c>
      <c r="C62" s="21">
        <v>5.51</v>
      </c>
      <c r="D62" s="91"/>
    </row>
    <row r="63" spans="1:4" ht="15.75" hidden="1" outlineLevel="1" x14ac:dyDescent="0.2">
      <c r="A63" s="21" t="s">
        <v>31</v>
      </c>
      <c r="B63" s="22" t="s">
        <v>6</v>
      </c>
      <c r="C63" s="21">
        <v>5.52</v>
      </c>
      <c r="D63" s="91"/>
    </row>
    <row r="64" spans="1:4" ht="15.75" hidden="1" outlineLevel="1" x14ac:dyDescent="0.2">
      <c r="A64" s="21" t="s">
        <v>31</v>
      </c>
      <c r="B64" s="22" t="s">
        <v>387</v>
      </c>
      <c r="C64" s="21">
        <v>5.53</v>
      </c>
      <c r="D64" s="91"/>
    </row>
    <row r="65" spans="1:4" ht="15.75" hidden="1" outlineLevel="1" x14ac:dyDescent="0.2">
      <c r="A65" s="21" t="s">
        <v>31</v>
      </c>
      <c r="B65" s="22" t="s">
        <v>12</v>
      </c>
      <c r="C65" s="21">
        <v>5.69</v>
      </c>
      <c r="D65" s="91"/>
    </row>
    <row r="66" spans="1:4" ht="15.75" hidden="1" outlineLevel="1" x14ac:dyDescent="0.2">
      <c r="A66" s="21" t="s">
        <v>31</v>
      </c>
      <c r="B66" s="22" t="s">
        <v>301</v>
      </c>
      <c r="C66" s="23">
        <v>5.72</v>
      </c>
      <c r="D66" s="91"/>
    </row>
    <row r="67" spans="1:4" ht="15.75" hidden="1" outlineLevel="1" x14ac:dyDescent="0.2">
      <c r="A67" s="21" t="s">
        <v>31</v>
      </c>
      <c r="B67" s="22" t="s">
        <v>412</v>
      </c>
      <c r="C67" s="21">
        <v>5.75</v>
      </c>
      <c r="D67" s="91"/>
    </row>
    <row r="68" spans="1:4" ht="15.75" hidden="1" outlineLevel="1" x14ac:dyDescent="0.2">
      <c r="A68" s="21" t="s">
        <v>31</v>
      </c>
      <c r="B68" s="22" t="s">
        <v>13</v>
      </c>
      <c r="C68" s="23">
        <v>5.7</v>
      </c>
      <c r="D68" s="91"/>
    </row>
    <row r="69" spans="1:4" ht="15.75" hidden="1" outlineLevel="1" x14ac:dyDescent="0.2">
      <c r="A69" s="21" t="s">
        <v>31</v>
      </c>
      <c r="B69" s="22" t="s">
        <v>608</v>
      </c>
      <c r="C69" s="21">
        <v>5.74</v>
      </c>
      <c r="D69" s="91"/>
    </row>
    <row r="70" spans="1:4" ht="15.75" hidden="1" outlineLevel="1" x14ac:dyDescent="0.2">
      <c r="A70" s="21" t="s">
        <v>31</v>
      </c>
      <c r="B70" s="22" t="s">
        <v>884</v>
      </c>
      <c r="C70" s="21">
        <v>5.76</v>
      </c>
      <c r="D70" s="91"/>
    </row>
    <row r="71" spans="1:4" ht="15.75" hidden="1" outlineLevel="1" x14ac:dyDescent="0.2">
      <c r="A71" s="21" t="s">
        <v>31</v>
      </c>
      <c r="B71" s="22" t="s">
        <v>654</v>
      </c>
      <c r="C71" s="21">
        <v>5.89</v>
      </c>
      <c r="D71" s="90" t="s">
        <v>893</v>
      </c>
    </row>
    <row r="72" spans="1:4" ht="15.75" hidden="1" outlineLevel="1" x14ac:dyDescent="0.2">
      <c r="A72" s="21" t="s">
        <v>31</v>
      </c>
      <c r="B72" s="22" t="s">
        <v>747</v>
      </c>
      <c r="C72" s="21">
        <v>5.58</v>
      </c>
      <c r="D72" s="91"/>
    </row>
    <row r="73" spans="1:4" ht="15.75" hidden="1" outlineLevel="1" x14ac:dyDescent="0.2">
      <c r="A73" s="21" t="s">
        <v>31</v>
      </c>
      <c r="B73" s="22" t="s">
        <v>895</v>
      </c>
      <c r="C73" s="21">
        <v>5.62</v>
      </c>
      <c r="D73" s="91"/>
    </row>
    <row r="74" spans="1:4" ht="15.75" hidden="1" outlineLevel="1" x14ac:dyDescent="0.2">
      <c r="A74" s="21" t="s">
        <v>31</v>
      </c>
      <c r="B74" s="22" t="s">
        <v>10</v>
      </c>
      <c r="C74" s="21">
        <v>5.54</v>
      </c>
      <c r="D74" s="91"/>
    </row>
    <row r="75" spans="1:4" ht="15.75" hidden="1" outlineLevel="1" x14ac:dyDescent="0.2">
      <c r="A75" s="21" t="s">
        <v>31</v>
      </c>
      <c r="B75" s="22" t="s">
        <v>14</v>
      </c>
      <c r="C75" s="21">
        <v>5.55</v>
      </c>
      <c r="D75" s="91"/>
    </row>
    <row r="76" spans="1:4" ht="15.75" hidden="1" outlineLevel="1" x14ac:dyDescent="0.2">
      <c r="A76" s="21" t="s">
        <v>31</v>
      </c>
      <c r="B76" s="22" t="s">
        <v>1105</v>
      </c>
      <c r="C76" s="21">
        <v>5.63</v>
      </c>
      <c r="D76" s="91"/>
    </row>
    <row r="77" spans="1:4" ht="15.75" hidden="1" outlineLevel="1" x14ac:dyDescent="0.2">
      <c r="A77" s="21" t="s">
        <v>31</v>
      </c>
      <c r="B77" s="22" t="s">
        <v>1106</v>
      </c>
      <c r="C77" s="21">
        <v>5.65</v>
      </c>
      <c r="D77" s="91"/>
    </row>
    <row r="78" spans="1:4" ht="15.75" hidden="1" outlineLevel="1" x14ac:dyDescent="0.2">
      <c r="A78" s="21" t="s">
        <v>31</v>
      </c>
      <c r="B78" s="22" t="s">
        <v>760</v>
      </c>
      <c r="C78" s="21">
        <v>5.66</v>
      </c>
      <c r="D78" s="91"/>
    </row>
    <row r="79" spans="1:4" ht="15.75" hidden="1" outlineLevel="1" x14ac:dyDescent="0.2">
      <c r="A79" s="21" t="s">
        <v>31</v>
      </c>
      <c r="B79" s="22" t="s">
        <v>25</v>
      </c>
      <c r="C79" s="21">
        <v>5.68</v>
      </c>
      <c r="D79" s="91"/>
    </row>
    <row r="80" spans="1:4" ht="15.75" hidden="1" outlineLevel="1" x14ac:dyDescent="0.2">
      <c r="A80" s="21" t="s">
        <v>31</v>
      </c>
      <c r="B80" s="22" t="s">
        <v>17</v>
      </c>
      <c r="C80" s="21">
        <v>5.45</v>
      </c>
      <c r="D80" s="91"/>
    </row>
    <row r="81" spans="1:4" ht="15.75" hidden="1" outlineLevel="1" x14ac:dyDescent="0.2">
      <c r="A81" s="21" t="s">
        <v>31</v>
      </c>
      <c r="B81" s="22" t="s">
        <v>18</v>
      </c>
      <c r="C81" s="21">
        <v>5.47</v>
      </c>
      <c r="D81" s="91"/>
    </row>
    <row r="82" spans="1:4" ht="15.75" hidden="1" outlineLevel="1" x14ac:dyDescent="0.2">
      <c r="A82" s="21" t="s">
        <v>31</v>
      </c>
      <c r="B82" s="22" t="s">
        <v>29</v>
      </c>
      <c r="C82" s="21">
        <v>5.48</v>
      </c>
      <c r="D82" s="91"/>
    </row>
    <row r="83" spans="1:4" ht="15.75" collapsed="1" x14ac:dyDescent="0.2">
      <c r="A83" s="26" t="s">
        <v>31</v>
      </c>
      <c r="B83" s="22"/>
      <c r="C83" s="21"/>
      <c r="D83" s="91"/>
    </row>
    <row r="84" spans="1:4" ht="15.75" hidden="1" outlineLevel="1" x14ac:dyDescent="0.2">
      <c r="A84" s="21" t="s">
        <v>32</v>
      </c>
      <c r="B84" s="22" t="s">
        <v>636</v>
      </c>
      <c r="C84" s="21">
        <v>5.0999999999999996</v>
      </c>
      <c r="D84" s="91"/>
    </row>
    <row r="85" spans="1:4" ht="15.75" hidden="1" outlineLevel="1" x14ac:dyDescent="0.2">
      <c r="A85" s="21" t="s">
        <v>32</v>
      </c>
      <c r="B85" s="22" t="s">
        <v>0</v>
      </c>
      <c r="C85" s="21">
        <v>5.2</v>
      </c>
      <c r="D85" s="91"/>
    </row>
    <row r="86" spans="1:4" ht="15.75" hidden="1" outlineLevel="1" x14ac:dyDescent="0.2">
      <c r="A86" s="21" t="s">
        <v>32</v>
      </c>
      <c r="B86" s="22" t="s">
        <v>703</v>
      </c>
      <c r="C86" s="21">
        <v>5.3</v>
      </c>
      <c r="D86" s="91"/>
    </row>
    <row r="87" spans="1:4" ht="15.75" hidden="1" outlineLevel="1" x14ac:dyDescent="0.2">
      <c r="A87" s="21" t="s">
        <v>32</v>
      </c>
      <c r="B87" s="22" t="s">
        <v>2</v>
      </c>
      <c r="C87" s="21">
        <v>5.6</v>
      </c>
      <c r="D87" s="91"/>
    </row>
    <row r="88" spans="1:4" ht="15.75" hidden="1" outlineLevel="1" x14ac:dyDescent="0.2">
      <c r="A88" s="21" t="s">
        <v>32</v>
      </c>
      <c r="B88" s="22" t="s">
        <v>709</v>
      </c>
      <c r="C88" s="23">
        <v>5.0999999999999996</v>
      </c>
      <c r="D88" s="91"/>
    </row>
    <row r="89" spans="1:4" ht="15.75" hidden="1" outlineLevel="1" x14ac:dyDescent="0.2">
      <c r="A89" s="21" t="s">
        <v>32</v>
      </c>
      <c r="B89" s="22" t="s">
        <v>3</v>
      </c>
      <c r="C89" s="21">
        <v>5.14</v>
      </c>
      <c r="D89" s="91"/>
    </row>
    <row r="90" spans="1:4" ht="15.75" hidden="1" outlineLevel="1" x14ac:dyDescent="0.2">
      <c r="A90" s="21" t="s">
        <v>32</v>
      </c>
      <c r="B90" s="22" t="s">
        <v>28</v>
      </c>
      <c r="C90" s="21">
        <v>5.19</v>
      </c>
      <c r="D90" s="91"/>
    </row>
    <row r="91" spans="1:4" ht="15.75" hidden="1" outlineLevel="1" x14ac:dyDescent="0.2">
      <c r="A91" s="21" t="s">
        <v>32</v>
      </c>
      <c r="B91" s="22" t="s">
        <v>27</v>
      </c>
      <c r="C91" s="21">
        <v>5.24</v>
      </c>
      <c r="D91" s="91"/>
    </row>
    <row r="92" spans="1:4" ht="15.75" hidden="1" outlineLevel="1" x14ac:dyDescent="0.2">
      <c r="A92" s="21" t="s">
        <v>32</v>
      </c>
      <c r="B92" s="22" t="s">
        <v>1</v>
      </c>
      <c r="C92" s="21">
        <v>5.26</v>
      </c>
      <c r="D92" s="91"/>
    </row>
    <row r="93" spans="1:4" ht="15.75" hidden="1" outlineLevel="1" x14ac:dyDescent="0.2">
      <c r="A93" s="21" t="s">
        <v>32</v>
      </c>
      <c r="B93" s="22" t="s">
        <v>591</v>
      </c>
      <c r="C93" s="21">
        <v>5.27</v>
      </c>
      <c r="D93" s="91"/>
    </row>
    <row r="94" spans="1:4" ht="15.75" hidden="1" outlineLevel="1" x14ac:dyDescent="0.2">
      <c r="A94" s="21" t="s">
        <v>32</v>
      </c>
      <c r="B94" s="22" t="s">
        <v>592</v>
      </c>
      <c r="C94" s="21">
        <v>5.28</v>
      </c>
      <c r="D94" s="91"/>
    </row>
    <row r="95" spans="1:4" ht="15.75" hidden="1" outlineLevel="1" x14ac:dyDescent="0.2">
      <c r="A95" s="21" t="s">
        <v>32</v>
      </c>
      <c r="B95" s="22" t="s">
        <v>596</v>
      </c>
      <c r="C95" s="21">
        <v>5.29</v>
      </c>
      <c r="D95" s="91"/>
    </row>
    <row r="96" spans="1:4" ht="15.75" hidden="1" outlineLevel="1" x14ac:dyDescent="0.2">
      <c r="A96" s="21" t="s">
        <v>32</v>
      </c>
      <c r="B96" s="22" t="s">
        <v>4</v>
      </c>
      <c r="C96" s="23">
        <v>5.3</v>
      </c>
      <c r="D96" s="91"/>
    </row>
    <row r="97" spans="1:4" ht="15.75" hidden="1" outlineLevel="1" x14ac:dyDescent="0.2">
      <c r="A97" s="21" t="s">
        <v>32</v>
      </c>
      <c r="B97" s="22" t="s">
        <v>8</v>
      </c>
      <c r="C97" s="21">
        <v>5.31</v>
      </c>
      <c r="D97" s="91"/>
    </row>
    <row r="98" spans="1:4" ht="15.75" hidden="1" outlineLevel="1" x14ac:dyDescent="0.2">
      <c r="A98" s="21" t="s">
        <v>32</v>
      </c>
      <c r="B98" s="22" t="s">
        <v>593</v>
      </c>
      <c r="C98" s="21">
        <v>5.36</v>
      </c>
      <c r="D98" s="91"/>
    </row>
    <row r="99" spans="1:4" ht="15.75" hidden="1" outlineLevel="1" x14ac:dyDescent="0.2">
      <c r="A99" s="21" t="s">
        <v>32</v>
      </c>
      <c r="B99" s="22" t="s">
        <v>5</v>
      </c>
      <c r="C99" s="21">
        <v>5.49</v>
      </c>
      <c r="D99" s="91"/>
    </row>
    <row r="100" spans="1:4" ht="15.75" hidden="1" outlineLevel="1" x14ac:dyDescent="0.2">
      <c r="A100" s="21" t="s">
        <v>32</v>
      </c>
      <c r="B100" s="22" t="s">
        <v>7</v>
      </c>
      <c r="C100" s="21">
        <v>5.51</v>
      </c>
      <c r="D100" s="91"/>
    </row>
    <row r="101" spans="1:4" ht="15.75" hidden="1" outlineLevel="1" x14ac:dyDescent="0.2">
      <c r="A101" s="21" t="s">
        <v>32</v>
      </c>
      <c r="B101" s="22" t="s">
        <v>6</v>
      </c>
      <c r="C101" s="21">
        <v>5.52</v>
      </c>
      <c r="D101" s="91"/>
    </row>
    <row r="102" spans="1:4" ht="15.75" hidden="1" outlineLevel="1" x14ac:dyDescent="0.2">
      <c r="A102" s="21" t="s">
        <v>32</v>
      </c>
      <c r="B102" s="22" t="s">
        <v>387</v>
      </c>
      <c r="C102" s="21">
        <v>5.53</v>
      </c>
      <c r="D102" s="91"/>
    </row>
    <row r="103" spans="1:4" ht="15.75" hidden="1" outlineLevel="1" x14ac:dyDescent="0.2">
      <c r="A103" s="21" t="s">
        <v>32</v>
      </c>
      <c r="B103" s="22" t="s">
        <v>12</v>
      </c>
      <c r="C103" s="21">
        <v>5.69</v>
      </c>
      <c r="D103" s="91"/>
    </row>
    <row r="104" spans="1:4" ht="15.75" hidden="1" outlineLevel="1" x14ac:dyDescent="0.2">
      <c r="A104" s="21" t="s">
        <v>32</v>
      </c>
      <c r="B104" s="22" t="s">
        <v>412</v>
      </c>
      <c r="C104" s="21">
        <v>5.75</v>
      </c>
      <c r="D104" s="91"/>
    </row>
    <row r="105" spans="1:4" ht="15.75" hidden="1" outlineLevel="1" x14ac:dyDescent="0.2">
      <c r="A105" s="21" t="s">
        <v>32</v>
      </c>
      <c r="B105" s="22" t="s">
        <v>13</v>
      </c>
      <c r="C105" s="23">
        <v>5.7</v>
      </c>
      <c r="D105" s="91"/>
    </row>
    <row r="106" spans="1:4" ht="15.75" hidden="1" outlineLevel="1" x14ac:dyDescent="0.2">
      <c r="A106" s="21" t="s">
        <v>32</v>
      </c>
      <c r="B106" s="22" t="s">
        <v>608</v>
      </c>
      <c r="C106" s="21">
        <v>5.74</v>
      </c>
      <c r="D106" s="91"/>
    </row>
    <row r="107" spans="1:4" ht="15.75" hidden="1" outlineLevel="1" x14ac:dyDescent="0.2">
      <c r="A107" s="21" t="s">
        <v>32</v>
      </c>
      <c r="B107" s="22" t="s">
        <v>884</v>
      </c>
      <c r="C107" s="21">
        <v>5.76</v>
      </c>
      <c r="D107" s="91"/>
    </row>
    <row r="108" spans="1:4" ht="15.75" hidden="1" outlineLevel="1" x14ac:dyDescent="0.2">
      <c r="A108" s="21" t="s">
        <v>32</v>
      </c>
      <c r="B108" s="22" t="s">
        <v>654</v>
      </c>
      <c r="C108" s="21">
        <v>5.89</v>
      </c>
      <c r="D108" s="90" t="s">
        <v>893</v>
      </c>
    </row>
    <row r="109" spans="1:4" ht="15.75" hidden="1" outlineLevel="1" x14ac:dyDescent="0.2">
      <c r="A109" s="21" t="s">
        <v>32</v>
      </c>
      <c r="B109" s="22" t="s">
        <v>747</v>
      </c>
      <c r="C109" s="21">
        <v>5.58</v>
      </c>
      <c r="D109" s="91"/>
    </row>
    <row r="110" spans="1:4" ht="15.75" hidden="1" outlineLevel="1" x14ac:dyDescent="0.2">
      <c r="A110" s="21" t="s">
        <v>32</v>
      </c>
      <c r="B110" s="22" t="s">
        <v>895</v>
      </c>
      <c r="C110" s="21">
        <v>5.62</v>
      </c>
      <c r="D110" s="91"/>
    </row>
    <row r="111" spans="1:4" ht="15.75" hidden="1" outlineLevel="1" x14ac:dyDescent="0.2">
      <c r="A111" s="21" t="s">
        <v>32</v>
      </c>
      <c r="B111" s="22" t="s">
        <v>10</v>
      </c>
      <c r="C111" s="21">
        <v>5.54</v>
      </c>
      <c r="D111" s="91"/>
    </row>
    <row r="112" spans="1:4" ht="15.75" hidden="1" outlineLevel="1" x14ac:dyDescent="0.2">
      <c r="A112" s="21" t="s">
        <v>32</v>
      </c>
      <c r="B112" s="22" t="s">
        <v>14</v>
      </c>
      <c r="C112" s="21">
        <v>5.55</v>
      </c>
      <c r="D112" s="91"/>
    </row>
    <row r="113" spans="1:4" ht="15.75" hidden="1" outlineLevel="1" x14ac:dyDescent="0.2">
      <c r="A113" s="21" t="s">
        <v>32</v>
      </c>
      <c r="B113" s="22" t="s">
        <v>1106</v>
      </c>
      <c r="C113" s="21">
        <v>5.65</v>
      </c>
      <c r="D113" s="91"/>
    </row>
    <row r="114" spans="1:4" ht="15.75" hidden="1" outlineLevel="1" x14ac:dyDescent="0.2">
      <c r="A114" s="21" t="s">
        <v>32</v>
      </c>
      <c r="B114" s="22" t="s">
        <v>760</v>
      </c>
      <c r="C114" s="21">
        <v>5.66</v>
      </c>
      <c r="D114" s="91"/>
    </row>
    <row r="115" spans="1:4" ht="15.75" hidden="1" outlineLevel="1" x14ac:dyDescent="0.2">
      <c r="A115" s="21" t="s">
        <v>32</v>
      </c>
      <c r="B115" s="22" t="s">
        <v>25</v>
      </c>
      <c r="C115" s="21">
        <v>5.68</v>
      </c>
      <c r="D115" s="91"/>
    </row>
    <row r="116" spans="1:4" ht="15.75" hidden="1" outlineLevel="1" x14ac:dyDescent="0.2">
      <c r="A116" s="21" t="s">
        <v>32</v>
      </c>
      <c r="B116" s="22" t="s">
        <v>17</v>
      </c>
      <c r="C116" s="21">
        <v>5.45</v>
      </c>
      <c r="D116" s="91"/>
    </row>
    <row r="117" spans="1:4" ht="15.75" hidden="1" outlineLevel="1" x14ac:dyDescent="0.2">
      <c r="A117" s="21" t="s">
        <v>32</v>
      </c>
      <c r="B117" s="22" t="s">
        <v>18</v>
      </c>
      <c r="C117" s="21">
        <v>5.47</v>
      </c>
      <c r="D117" s="91"/>
    </row>
    <row r="118" spans="1:4" ht="15.75" hidden="1" outlineLevel="1" x14ac:dyDescent="0.2">
      <c r="A118" s="21" t="s">
        <v>32</v>
      </c>
      <c r="B118" s="22" t="s">
        <v>29</v>
      </c>
      <c r="C118" s="21">
        <v>5.48</v>
      </c>
      <c r="D118" s="91"/>
    </row>
    <row r="119" spans="1:4" ht="15.75" collapsed="1" x14ac:dyDescent="0.2">
      <c r="A119" s="26" t="s">
        <v>32</v>
      </c>
      <c r="B119" s="22"/>
      <c r="C119" s="21"/>
      <c r="D119" s="91"/>
    </row>
    <row r="120" spans="1:4" ht="15.75" hidden="1" outlineLevel="1" x14ac:dyDescent="0.2">
      <c r="A120" s="21" t="s">
        <v>1162</v>
      </c>
      <c r="B120" s="22" t="s">
        <v>636</v>
      </c>
      <c r="C120" s="21">
        <v>5.0999999999999996</v>
      </c>
      <c r="D120" s="91"/>
    </row>
    <row r="121" spans="1:4" ht="15.75" hidden="1" outlineLevel="1" x14ac:dyDescent="0.2">
      <c r="A121" s="21" t="s">
        <v>1162</v>
      </c>
      <c r="B121" s="22" t="s">
        <v>0</v>
      </c>
      <c r="C121" s="21">
        <v>5.2</v>
      </c>
      <c r="D121" s="91"/>
    </row>
    <row r="122" spans="1:4" ht="15.75" hidden="1" outlineLevel="1" x14ac:dyDescent="0.2">
      <c r="A122" s="21" t="s">
        <v>1162</v>
      </c>
      <c r="B122" s="22" t="s">
        <v>703</v>
      </c>
      <c r="C122" s="21">
        <v>5.3</v>
      </c>
      <c r="D122" s="91"/>
    </row>
    <row r="123" spans="1:4" ht="15.75" hidden="1" outlineLevel="1" x14ac:dyDescent="0.2">
      <c r="A123" s="21" t="s">
        <v>1162</v>
      </c>
      <c r="B123" s="22" t="s">
        <v>2</v>
      </c>
      <c r="C123" s="21">
        <v>5.6</v>
      </c>
      <c r="D123" s="91"/>
    </row>
    <row r="124" spans="1:4" ht="15.75" hidden="1" outlineLevel="1" x14ac:dyDescent="0.2">
      <c r="A124" s="21" t="s">
        <v>1162</v>
      </c>
      <c r="B124" s="22" t="s">
        <v>709</v>
      </c>
      <c r="C124" s="23">
        <v>5.0999999999999996</v>
      </c>
      <c r="D124" s="91"/>
    </row>
    <row r="125" spans="1:4" ht="15.75" hidden="1" outlineLevel="1" x14ac:dyDescent="0.2">
      <c r="A125" s="21" t="s">
        <v>1162</v>
      </c>
      <c r="B125" s="22" t="s">
        <v>3</v>
      </c>
      <c r="C125" s="21">
        <v>5.14</v>
      </c>
      <c r="D125" s="91"/>
    </row>
    <row r="126" spans="1:4" ht="15.75" hidden="1" outlineLevel="1" x14ac:dyDescent="0.2">
      <c r="A126" s="21" t="s">
        <v>1162</v>
      </c>
      <c r="B126" s="22" t="s">
        <v>28</v>
      </c>
      <c r="C126" s="21">
        <v>5.19</v>
      </c>
      <c r="D126" s="91"/>
    </row>
    <row r="127" spans="1:4" ht="15.75" hidden="1" outlineLevel="1" x14ac:dyDescent="0.2">
      <c r="A127" s="21" t="s">
        <v>1162</v>
      </c>
      <c r="B127" s="22" t="s">
        <v>27</v>
      </c>
      <c r="C127" s="21">
        <v>5.24</v>
      </c>
      <c r="D127" s="91"/>
    </row>
    <row r="128" spans="1:4" ht="15.75" hidden="1" outlineLevel="1" x14ac:dyDescent="0.2">
      <c r="A128" s="21" t="s">
        <v>1162</v>
      </c>
      <c r="B128" s="22" t="s">
        <v>1</v>
      </c>
      <c r="C128" s="21">
        <v>5.26</v>
      </c>
      <c r="D128" s="91"/>
    </row>
    <row r="129" spans="1:4" ht="15.75" hidden="1" outlineLevel="1" x14ac:dyDescent="0.2">
      <c r="A129" s="21" t="s">
        <v>1162</v>
      </c>
      <c r="B129" s="22" t="s">
        <v>591</v>
      </c>
      <c r="C129" s="21">
        <v>5.27</v>
      </c>
      <c r="D129" s="91"/>
    </row>
    <row r="130" spans="1:4" ht="15.75" hidden="1" outlineLevel="1" x14ac:dyDescent="0.2">
      <c r="A130" s="21" t="s">
        <v>1162</v>
      </c>
      <c r="B130" s="22" t="s">
        <v>592</v>
      </c>
      <c r="C130" s="21">
        <v>5.28</v>
      </c>
      <c r="D130" s="91"/>
    </row>
    <row r="131" spans="1:4" ht="15.75" hidden="1" outlineLevel="1" x14ac:dyDescent="0.2">
      <c r="A131" s="21" t="s">
        <v>1162</v>
      </c>
      <c r="B131" s="22" t="s">
        <v>596</v>
      </c>
      <c r="C131" s="21">
        <v>5.29</v>
      </c>
      <c r="D131" s="91"/>
    </row>
    <row r="132" spans="1:4" ht="15.75" hidden="1" outlineLevel="1" x14ac:dyDescent="0.2">
      <c r="A132" s="21" t="s">
        <v>1162</v>
      </c>
      <c r="B132" s="22" t="s">
        <v>4</v>
      </c>
      <c r="C132" s="23">
        <v>5.3</v>
      </c>
      <c r="D132" s="91"/>
    </row>
    <row r="133" spans="1:4" ht="15.75" hidden="1" outlineLevel="1" x14ac:dyDescent="0.2">
      <c r="A133" s="21" t="s">
        <v>1162</v>
      </c>
      <c r="B133" s="22" t="s">
        <v>8</v>
      </c>
      <c r="C133" s="21">
        <v>5.31</v>
      </c>
      <c r="D133" s="91"/>
    </row>
    <row r="134" spans="1:4" ht="15.75" hidden="1" outlineLevel="1" x14ac:dyDescent="0.2">
      <c r="A134" s="21" t="s">
        <v>1162</v>
      </c>
      <c r="B134" s="22" t="s">
        <v>593</v>
      </c>
      <c r="C134" s="21">
        <v>5.36</v>
      </c>
      <c r="D134" s="91"/>
    </row>
    <row r="135" spans="1:4" ht="15.75" hidden="1" outlineLevel="1" x14ac:dyDescent="0.2">
      <c r="A135" s="21" t="s">
        <v>1162</v>
      </c>
      <c r="B135" s="22" t="s">
        <v>387</v>
      </c>
      <c r="C135" s="21">
        <v>5.53</v>
      </c>
      <c r="D135" s="91"/>
    </row>
    <row r="136" spans="1:4" ht="15.75" hidden="1" outlineLevel="1" x14ac:dyDescent="0.2">
      <c r="A136" s="21" t="s">
        <v>1162</v>
      </c>
      <c r="B136" s="22" t="s">
        <v>747</v>
      </c>
      <c r="C136" s="21">
        <v>5.58</v>
      </c>
      <c r="D136" s="91"/>
    </row>
    <row r="137" spans="1:4" ht="15.75" hidden="1" outlineLevel="1" x14ac:dyDescent="0.2">
      <c r="A137" s="21" t="s">
        <v>1162</v>
      </c>
      <c r="B137" s="22" t="s">
        <v>895</v>
      </c>
      <c r="C137" s="21">
        <v>5.62</v>
      </c>
      <c r="D137" s="91"/>
    </row>
    <row r="138" spans="1:4" ht="15.75" hidden="1" outlineLevel="1" x14ac:dyDescent="0.2">
      <c r="A138" s="21" t="s">
        <v>1162</v>
      </c>
      <c r="B138" s="22" t="s">
        <v>10</v>
      </c>
      <c r="C138" s="21">
        <v>5.54</v>
      </c>
      <c r="D138" s="91"/>
    </row>
    <row r="139" spans="1:4" ht="15.75" hidden="1" outlineLevel="1" x14ac:dyDescent="0.2">
      <c r="A139" s="21" t="s">
        <v>1162</v>
      </c>
      <c r="B139" s="22" t="s">
        <v>14</v>
      </c>
      <c r="C139" s="21">
        <v>5.55</v>
      </c>
      <c r="D139" s="91"/>
    </row>
    <row r="140" spans="1:4" ht="15.75" hidden="1" outlineLevel="1" x14ac:dyDescent="0.2">
      <c r="A140" s="21" t="s">
        <v>1162</v>
      </c>
      <c r="B140" s="22" t="s">
        <v>1105</v>
      </c>
      <c r="C140" s="21">
        <v>5.63</v>
      </c>
      <c r="D140" s="91"/>
    </row>
    <row r="141" spans="1:4" ht="15.75" hidden="1" outlineLevel="1" x14ac:dyDescent="0.2">
      <c r="A141" s="21" t="s">
        <v>1162</v>
      </c>
      <c r="B141" s="22" t="s">
        <v>17</v>
      </c>
      <c r="C141" s="21">
        <v>5.45</v>
      </c>
      <c r="D141" s="91"/>
    </row>
    <row r="142" spans="1:4" ht="15.75" hidden="1" outlineLevel="1" x14ac:dyDescent="0.2">
      <c r="A142" s="21" t="s">
        <v>1162</v>
      </c>
      <c r="B142" s="22" t="s">
        <v>18</v>
      </c>
      <c r="C142" s="21">
        <v>5.47</v>
      </c>
      <c r="D142" s="91"/>
    </row>
    <row r="143" spans="1:4" ht="15.75" hidden="1" outlineLevel="1" x14ac:dyDescent="0.2">
      <c r="A143" s="21" t="s">
        <v>1162</v>
      </c>
      <c r="B143" s="22" t="s">
        <v>29</v>
      </c>
      <c r="C143" s="21">
        <v>5.48</v>
      </c>
      <c r="D143" s="91"/>
    </row>
    <row r="144" spans="1:4" ht="15.75" collapsed="1" x14ac:dyDescent="0.2">
      <c r="A144" s="26" t="s">
        <v>1162</v>
      </c>
      <c r="B144" s="22"/>
      <c r="C144" s="21"/>
      <c r="D144" s="91"/>
    </row>
    <row r="145" spans="1:4" ht="15.75" hidden="1" outlineLevel="1" x14ac:dyDescent="0.2">
      <c r="A145" s="21" t="s">
        <v>33</v>
      </c>
      <c r="B145" s="22" t="s">
        <v>636</v>
      </c>
      <c r="C145" s="21">
        <v>5.0999999999999996</v>
      </c>
      <c r="D145" s="91"/>
    </row>
    <row r="146" spans="1:4" ht="15.75" hidden="1" outlineLevel="1" x14ac:dyDescent="0.2">
      <c r="A146" s="21" t="s">
        <v>33</v>
      </c>
      <c r="B146" s="22" t="s">
        <v>0</v>
      </c>
      <c r="C146" s="21">
        <v>5.2</v>
      </c>
      <c r="D146" s="91"/>
    </row>
    <row r="147" spans="1:4" ht="15.75" hidden="1" outlineLevel="1" x14ac:dyDescent="0.2">
      <c r="A147" s="21" t="s">
        <v>33</v>
      </c>
      <c r="B147" s="22" t="s">
        <v>703</v>
      </c>
      <c r="C147" s="21">
        <v>5.3</v>
      </c>
      <c r="D147" s="91"/>
    </row>
    <row r="148" spans="1:4" ht="15.75" hidden="1" outlineLevel="1" x14ac:dyDescent="0.2">
      <c r="A148" s="21" t="s">
        <v>33</v>
      </c>
      <c r="B148" s="22" t="s">
        <v>2</v>
      </c>
      <c r="C148" s="21">
        <v>5.6</v>
      </c>
      <c r="D148" s="91"/>
    </row>
    <row r="149" spans="1:4" ht="15.75" hidden="1" outlineLevel="1" x14ac:dyDescent="0.2">
      <c r="A149" s="21" t="s">
        <v>33</v>
      </c>
      <c r="B149" s="22" t="s">
        <v>709</v>
      </c>
      <c r="C149" s="23">
        <v>5.0999999999999996</v>
      </c>
      <c r="D149" s="91"/>
    </row>
    <row r="150" spans="1:4" ht="15.75" hidden="1" outlineLevel="1" x14ac:dyDescent="0.2">
      <c r="A150" s="21" t="s">
        <v>33</v>
      </c>
      <c r="B150" s="22" t="s">
        <v>3</v>
      </c>
      <c r="C150" s="21">
        <v>5.14</v>
      </c>
      <c r="D150" s="91"/>
    </row>
    <row r="151" spans="1:4" ht="15.75" hidden="1" outlineLevel="1" x14ac:dyDescent="0.2">
      <c r="A151" s="21" t="s">
        <v>33</v>
      </c>
      <c r="B151" s="22" t="s">
        <v>28</v>
      </c>
      <c r="C151" s="21">
        <v>5.19</v>
      </c>
      <c r="D151" s="91"/>
    </row>
    <row r="152" spans="1:4" ht="15.75" hidden="1" outlineLevel="1" x14ac:dyDescent="0.2">
      <c r="A152" s="21" t="s">
        <v>33</v>
      </c>
      <c r="B152" s="22" t="s">
        <v>27</v>
      </c>
      <c r="C152" s="21">
        <v>5.24</v>
      </c>
      <c r="D152" s="91"/>
    </row>
    <row r="153" spans="1:4" ht="15.75" hidden="1" outlineLevel="1" x14ac:dyDescent="0.2">
      <c r="A153" s="21" t="s">
        <v>33</v>
      </c>
      <c r="B153" s="22" t="s">
        <v>1</v>
      </c>
      <c r="C153" s="21">
        <v>5.26</v>
      </c>
      <c r="D153" s="91"/>
    </row>
    <row r="154" spans="1:4" ht="15.75" hidden="1" outlineLevel="1" x14ac:dyDescent="0.2">
      <c r="A154" s="21" t="s">
        <v>33</v>
      </c>
      <c r="B154" s="22" t="s">
        <v>591</v>
      </c>
      <c r="C154" s="21">
        <v>5.27</v>
      </c>
      <c r="D154" s="91"/>
    </row>
    <row r="155" spans="1:4" ht="15.75" hidden="1" outlineLevel="1" x14ac:dyDescent="0.2">
      <c r="A155" s="21" t="s">
        <v>33</v>
      </c>
      <c r="B155" s="22" t="s">
        <v>592</v>
      </c>
      <c r="C155" s="21">
        <v>5.28</v>
      </c>
      <c r="D155" s="91"/>
    </row>
    <row r="156" spans="1:4" ht="15.75" hidden="1" outlineLevel="1" x14ac:dyDescent="0.2">
      <c r="A156" s="21" t="s">
        <v>33</v>
      </c>
      <c r="B156" s="22" t="s">
        <v>4</v>
      </c>
      <c r="C156" s="23">
        <v>5.3</v>
      </c>
      <c r="D156" s="91"/>
    </row>
    <row r="157" spans="1:4" ht="15.75" hidden="1" outlineLevel="1" x14ac:dyDescent="0.2">
      <c r="A157" s="21" t="s">
        <v>33</v>
      </c>
      <c r="B157" s="22" t="s">
        <v>292</v>
      </c>
      <c r="C157" s="21">
        <v>5.32</v>
      </c>
      <c r="D157" s="91"/>
    </row>
    <row r="158" spans="1:4" ht="15.75" hidden="1" outlineLevel="1" x14ac:dyDescent="0.2">
      <c r="A158" s="21" t="s">
        <v>33</v>
      </c>
      <c r="B158" s="22" t="s">
        <v>593</v>
      </c>
      <c r="C158" s="21">
        <v>5.36</v>
      </c>
      <c r="D158" s="91"/>
    </row>
    <row r="159" spans="1:4" ht="15.75" hidden="1" outlineLevel="1" x14ac:dyDescent="0.2">
      <c r="A159" s="21" t="s">
        <v>33</v>
      </c>
      <c r="B159" s="22" t="s">
        <v>387</v>
      </c>
      <c r="C159" s="21">
        <v>5.53</v>
      </c>
      <c r="D159" s="91"/>
    </row>
    <row r="160" spans="1:4" ht="15.75" hidden="1" outlineLevel="1" x14ac:dyDescent="0.2">
      <c r="A160" s="21" t="s">
        <v>33</v>
      </c>
      <c r="B160" s="22" t="s">
        <v>747</v>
      </c>
      <c r="C160" s="21">
        <v>5.58</v>
      </c>
      <c r="D160" s="91"/>
    </row>
    <row r="161" spans="1:4" ht="15.75" hidden="1" outlineLevel="1" x14ac:dyDescent="0.2">
      <c r="A161" s="21" t="s">
        <v>33</v>
      </c>
      <c r="B161" s="22" t="s">
        <v>10</v>
      </c>
      <c r="C161" s="21">
        <v>5.54</v>
      </c>
      <c r="D161" s="91"/>
    </row>
    <row r="162" spans="1:4" ht="15.75" hidden="1" outlineLevel="1" x14ac:dyDescent="0.2">
      <c r="A162" s="21" t="s">
        <v>33</v>
      </c>
      <c r="B162" s="22" t="s">
        <v>14</v>
      </c>
      <c r="C162" s="21">
        <v>5.55</v>
      </c>
      <c r="D162" s="91"/>
    </row>
    <row r="163" spans="1:4" ht="15.75" hidden="1" outlineLevel="1" x14ac:dyDescent="0.2">
      <c r="A163" s="21" t="s">
        <v>33</v>
      </c>
      <c r="B163" s="22" t="s">
        <v>895</v>
      </c>
      <c r="C163" s="21">
        <v>5.62</v>
      </c>
      <c r="D163" s="91"/>
    </row>
    <row r="164" spans="1:4" ht="15.75" hidden="1" outlineLevel="1" x14ac:dyDescent="0.2">
      <c r="A164" s="21" t="s">
        <v>33</v>
      </c>
      <c r="B164" s="22" t="s">
        <v>1105</v>
      </c>
      <c r="C164" s="21">
        <v>5.63</v>
      </c>
      <c r="D164" s="91"/>
    </row>
    <row r="165" spans="1:4" ht="15.75" hidden="1" outlineLevel="1" x14ac:dyDescent="0.2">
      <c r="A165" s="21" t="s">
        <v>33</v>
      </c>
      <c r="B165" s="22" t="s">
        <v>17</v>
      </c>
      <c r="C165" s="21">
        <v>5.45</v>
      </c>
      <c r="D165" s="91"/>
    </row>
    <row r="166" spans="1:4" ht="15.75" hidden="1" outlineLevel="1" x14ac:dyDescent="0.2">
      <c r="A166" s="21" t="s">
        <v>33</v>
      </c>
      <c r="B166" s="22" t="s">
        <v>18</v>
      </c>
      <c r="C166" s="21">
        <v>5.47</v>
      </c>
      <c r="D166" s="91"/>
    </row>
    <row r="167" spans="1:4" ht="15.75" hidden="1" outlineLevel="1" x14ac:dyDescent="0.2">
      <c r="A167" s="21" t="s">
        <v>33</v>
      </c>
      <c r="B167" s="22" t="s">
        <v>29</v>
      </c>
      <c r="C167" s="21">
        <v>5.48</v>
      </c>
      <c r="D167" s="91"/>
    </row>
    <row r="168" spans="1:4" ht="15.75" collapsed="1" x14ac:dyDescent="0.2">
      <c r="A168" s="26" t="s">
        <v>33</v>
      </c>
      <c r="B168" s="22"/>
      <c r="C168" s="21"/>
      <c r="D168" s="91"/>
    </row>
    <row r="169" spans="1:4" ht="15.75" hidden="1" outlineLevel="1" x14ac:dyDescent="0.2">
      <c r="A169" s="21" t="s">
        <v>34</v>
      </c>
      <c r="B169" s="22" t="s">
        <v>636</v>
      </c>
      <c r="C169" s="21">
        <v>5.0999999999999996</v>
      </c>
      <c r="D169" s="91"/>
    </row>
    <row r="170" spans="1:4" ht="15.75" hidden="1" outlineLevel="1" x14ac:dyDescent="0.2">
      <c r="A170" s="21" t="s">
        <v>34</v>
      </c>
      <c r="B170" s="22" t="s">
        <v>0</v>
      </c>
      <c r="C170" s="21">
        <v>5.2</v>
      </c>
      <c r="D170" s="91"/>
    </row>
    <row r="171" spans="1:4" ht="15.75" hidden="1" outlineLevel="1" x14ac:dyDescent="0.2">
      <c r="A171" s="21" t="s">
        <v>34</v>
      </c>
      <c r="B171" s="22" t="s">
        <v>703</v>
      </c>
      <c r="C171" s="21">
        <v>5.3</v>
      </c>
      <c r="D171" s="91"/>
    </row>
    <row r="172" spans="1:4" ht="15.75" hidden="1" outlineLevel="1" x14ac:dyDescent="0.2">
      <c r="A172" s="21" t="s">
        <v>34</v>
      </c>
      <c r="B172" s="22" t="s">
        <v>2</v>
      </c>
      <c r="C172" s="21">
        <v>5.6</v>
      </c>
      <c r="D172" s="91"/>
    </row>
    <row r="173" spans="1:4" ht="15.75" hidden="1" outlineLevel="1" x14ac:dyDescent="0.2">
      <c r="A173" s="21" t="s">
        <v>34</v>
      </c>
      <c r="B173" s="22" t="s">
        <v>709</v>
      </c>
      <c r="C173" s="23">
        <v>5.0999999999999996</v>
      </c>
      <c r="D173" s="91"/>
    </row>
    <row r="174" spans="1:4" ht="15.75" hidden="1" outlineLevel="1" x14ac:dyDescent="0.2">
      <c r="A174" s="21" t="s">
        <v>34</v>
      </c>
      <c r="B174" s="22" t="s">
        <v>1097</v>
      </c>
      <c r="C174" s="21">
        <v>5.14</v>
      </c>
      <c r="D174" s="91"/>
    </row>
    <row r="175" spans="1:4" ht="15.75" hidden="1" outlineLevel="1" x14ac:dyDescent="0.2">
      <c r="A175" s="21" t="s">
        <v>34</v>
      </c>
      <c r="B175" s="22" t="s">
        <v>28</v>
      </c>
      <c r="C175" s="21">
        <v>5.19</v>
      </c>
      <c r="D175" s="91"/>
    </row>
    <row r="176" spans="1:4" ht="15.75" hidden="1" outlineLevel="1" x14ac:dyDescent="0.2">
      <c r="A176" s="21" t="s">
        <v>34</v>
      </c>
      <c r="B176" s="22" t="s">
        <v>27</v>
      </c>
      <c r="C176" s="21">
        <v>5.24</v>
      </c>
      <c r="D176" s="91"/>
    </row>
    <row r="177" spans="1:4" ht="15.75" hidden="1" outlineLevel="1" x14ac:dyDescent="0.2">
      <c r="A177" s="21" t="s">
        <v>34</v>
      </c>
      <c r="B177" s="22" t="s">
        <v>1</v>
      </c>
      <c r="C177" s="21">
        <v>5.26</v>
      </c>
      <c r="D177" s="91"/>
    </row>
    <row r="178" spans="1:4" ht="15.75" hidden="1" outlineLevel="1" x14ac:dyDescent="0.2">
      <c r="A178" s="21" t="s">
        <v>34</v>
      </c>
      <c r="B178" s="22" t="s">
        <v>591</v>
      </c>
      <c r="C178" s="21">
        <v>5.27</v>
      </c>
      <c r="D178" s="91"/>
    </row>
    <row r="179" spans="1:4" ht="15.75" hidden="1" outlineLevel="1" x14ac:dyDescent="0.2">
      <c r="A179" s="21" t="s">
        <v>34</v>
      </c>
      <c r="B179" s="22" t="s">
        <v>592</v>
      </c>
      <c r="C179" s="21">
        <v>5.28</v>
      </c>
      <c r="D179" s="91"/>
    </row>
    <row r="180" spans="1:4" ht="15.75" hidden="1" outlineLevel="1" x14ac:dyDescent="0.2">
      <c r="A180" s="21" t="s">
        <v>34</v>
      </c>
      <c r="B180" s="22" t="s">
        <v>596</v>
      </c>
      <c r="C180" s="21">
        <v>5.29</v>
      </c>
      <c r="D180" s="91"/>
    </row>
    <row r="181" spans="1:4" ht="15.75" hidden="1" outlineLevel="1" x14ac:dyDescent="0.2">
      <c r="A181" s="21" t="s">
        <v>34</v>
      </c>
      <c r="B181" s="22" t="s">
        <v>4</v>
      </c>
      <c r="C181" s="23">
        <v>5.3</v>
      </c>
      <c r="D181" s="91"/>
    </row>
    <row r="182" spans="1:4" ht="15.75" hidden="1" outlineLevel="1" x14ac:dyDescent="0.2">
      <c r="A182" s="21" t="s">
        <v>34</v>
      </c>
      <c r="B182" s="22" t="s">
        <v>292</v>
      </c>
      <c r="C182" s="21">
        <v>5.32</v>
      </c>
      <c r="D182" s="91"/>
    </row>
    <row r="183" spans="1:4" ht="15.75" hidden="1" outlineLevel="1" x14ac:dyDescent="0.2">
      <c r="A183" s="21" t="s">
        <v>34</v>
      </c>
      <c r="B183" s="22" t="s">
        <v>593</v>
      </c>
      <c r="C183" s="21">
        <v>5.36</v>
      </c>
      <c r="D183" s="91"/>
    </row>
    <row r="184" spans="1:4" ht="15.75" hidden="1" outlineLevel="1" x14ac:dyDescent="0.2">
      <c r="A184" s="21" t="s">
        <v>34</v>
      </c>
      <c r="B184" s="22" t="s">
        <v>387</v>
      </c>
      <c r="C184" s="21">
        <v>5.53</v>
      </c>
      <c r="D184" s="91"/>
    </row>
    <row r="185" spans="1:4" ht="15.75" hidden="1" outlineLevel="1" x14ac:dyDescent="0.2">
      <c r="A185" s="21" t="s">
        <v>34</v>
      </c>
      <c r="B185" s="22" t="s">
        <v>747</v>
      </c>
      <c r="C185" s="21">
        <v>5.58</v>
      </c>
      <c r="D185" s="91"/>
    </row>
    <row r="186" spans="1:4" ht="15.75" hidden="1" outlineLevel="1" x14ac:dyDescent="0.2">
      <c r="A186" s="21" t="s">
        <v>34</v>
      </c>
      <c r="B186" s="22" t="s">
        <v>10</v>
      </c>
      <c r="C186" s="21">
        <v>5.54</v>
      </c>
      <c r="D186" s="91"/>
    </row>
    <row r="187" spans="1:4" ht="15.75" hidden="1" outlineLevel="1" x14ac:dyDescent="0.2">
      <c r="A187" s="21" t="s">
        <v>34</v>
      </c>
      <c r="B187" s="22" t="s">
        <v>14</v>
      </c>
      <c r="C187" s="21">
        <v>5.55</v>
      </c>
      <c r="D187" s="91"/>
    </row>
    <row r="188" spans="1:4" ht="15.75" hidden="1" outlineLevel="1" x14ac:dyDescent="0.2">
      <c r="A188" s="21" t="s">
        <v>34</v>
      </c>
      <c r="B188" s="22" t="s">
        <v>1105</v>
      </c>
      <c r="C188" s="21">
        <v>5.63</v>
      </c>
      <c r="D188" s="91"/>
    </row>
    <row r="189" spans="1:4" ht="15.75" hidden="1" outlineLevel="1" x14ac:dyDescent="0.2">
      <c r="A189" s="21" t="s">
        <v>34</v>
      </c>
      <c r="B189" s="22" t="s">
        <v>17</v>
      </c>
      <c r="C189" s="21">
        <v>5.45</v>
      </c>
      <c r="D189" s="91"/>
    </row>
    <row r="190" spans="1:4" ht="15.75" hidden="1" outlineLevel="1" x14ac:dyDescent="0.2">
      <c r="A190" s="21" t="s">
        <v>34</v>
      </c>
      <c r="B190" s="22" t="s">
        <v>18</v>
      </c>
      <c r="C190" s="21">
        <v>5.47</v>
      </c>
      <c r="D190" s="91"/>
    </row>
    <row r="191" spans="1:4" ht="15.75" hidden="1" outlineLevel="1" x14ac:dyDescent="0.2">
      <c r="A191" s="21" t="s">
        <v>34</v>
      </c>
      <c r="B191" s="22" t="s">
        <v>29</v>
      </c>
      <c r="C191" s="21">
        <v>5.48</v>
      </c>
      <c r="D191" s="91"/>
    </row>
    <row r="192" spans="1:4" ht="15.75" collapsed="1" x14ac:dyDescent="0.2">
      <c r="A192" s="26" t="s">
        <v>34</v>
      </c>
      <c r="B192" s="22"/>
      <c r="C192" s="21"/>
      <c r="D192" s="91"/>
    </row>
    <row r="193" spans="1:4" ht="15.75" hidden="1" outlineLevel="1" x14ac:dyDescent="0.2">
      <c r="A193" s="21" t="s">
        <v>35</v>
      </c>
      <c r="B193" s="22" t="s">
        <v>636</v>
      </c>
      <c r="C193" s="21">
        <v>5.0999999999999996</v>
      </c>
      <c r="D193" s="91"/>
    </row>
    <row r="194" spans="1:4" ht="15.75" hidden="1" outlineLevel="1" x14ac:dyDescent="0.2">
      <c r="A194" s="21" t="s">
        <v>35</v>
      </c>
      <c r="B194" s="22" t="s">
        <v>0</v>
      </c>
      <c r="C194" s="21">
        <v>5.2</v>
      </c>
      <c r="D194" s="91"/>
    </row>
    <row r="195" spans="1:4" ht="15.75" hidden="1" outlineLevel="1" x14ac:dyDescent="0.2">
      <c r="A195" s="21" t="s">
        <v>35</v>
      </c>
      <c r="B195" s="22" t="s">
        <v>703</v>
      </c>
      <c r="C195" s="21">
        <v>5.3</v>
      </c>
      <c r="D195" s="91"/>
    </row>
    <row r="196" spans="1:4" ht="15.75" hidden="1" outlineLevel="1" x14ac:dyDescent="0.2">
      <c r="A196" s="21" t="s">
        <v>35</v>
      </c>
      <c r="B196" s="22" t="s">
        <v>2</v>
      </c>
      <c r="C196" s="21">
        <v>5.6</v>
      </c>
      <c r="D196" s="91"/>
    </row>
    <row r="197" spans="1:4" ht="15.75" hidden="1" outlineLevel="1" x14ac:dyDescent="0.2">
      <c r="A197" s="21" t="s">
        <v>35</v>
      </c>
      <c r="B197" s="22" t="s">
        <v>709</v>
      </c>
      <c r="C197" s="23">
        <v>5.0999999999999996</v>
      </c>
      <c r="D197" s="91"/>
    </row>
    <row r="198" spans="1:4" ht="15.75" hidden="1" outlineLevel="1" x14ac:dyDescent="0.2">
      <c r="A198" s="21" t="s">
        <v>35</v>
      </c>
      <c r="B198" s="22" t="s">
        <v>3</v>
      </c>
      <c r="C198" s="21">
        <v>5.14</v>
      </c>
      <c r="D198" s="91"/>
    </row>
    <row r="199" spans="1:4" ht="15.75" hidden="1" outlineLevel="1" x14ac:dyDescent="0.2">
      <c r="A199" s="21" t="s">
        <v>35</v>
      </c>
      <c r="B199" s="22" t="s">
        <v>28</v>
      </c>
      <c r="C199" s="21">
        <v>5.19</v>
      </c>
      <c r="D199" s="91"/>
    </row>
    <row r="200" spans="1:4" ht="15.75" hidden="1" outlineLevel="1" x14ac:dyDescent="0.2">
      <c r="A200" s="21" t="s">
        <v>35</v>
      </c>
      <c r="B200" s="22" t="s">
        <v>27</v>
      </c>
      <c r="C200" s="21">
        <v>5.24</v>
      </c>
      <c r="D200" s="91"/>
    </row>
    <row r="201" spans="1:4" ht="15.75" hidden="1" outlineLevel="1" x14ac:dyDescent="0.2">
      <c r="A201" s="21" t="s">
        <v>35</v>
      </c>
      <c r="B201" s="22" t="s">
        <v>591</v>
      </c>
      <c r="C201" s="21">
        <v>5.27</v>
      </c>
      <c r="D201" s="91"/>
    </row>
    <row r="202" spans="1:4" ht="15.75" hidden="1" outlineLevel="1" x14ac:dyDescent="0.2">
      <c r="A202" s="21" t="s">
        <v>35</v>
      </c>
      <c r="B202" s="22" t="s">
        <v>592</v>
      </c>
      <c r="C202" s="21">
        <v>5.28</v>
      </c>
      <c r="D202" s="91"/>
    </row>
    <row r="203" spans="1:4" ht="15.75" hidden="1" outlineLevel="1" x14ac:dyDescent="0.2">
      <c r="A203" s="21" t="s">
        <v>35</v>
      </c>
      <c r="B203" s="22" t="s">
        <v>596</v>
      </c>
      <c r="C203" s="21">
        <v>5.29</v>
      </c>
      <c r="D203" s="91"/>
    </row>
    <row r="204" spans="1:4" ht="15.75" hidden="1" outlineLevel="1" x14ac:dyDescent="0.2">
      <c r="A204" s="21" t="s">
        <v>35</v>
      </c>
      <c r="B204" s="22" t="s">
        <v>4</v>
      </c>
      <c r="C204" s="23">
        <v>5.3</v>
      </c>
      <c r="D204" s="91"/>
    </row>
    <row r="205" spans="1:4" ht="15.75" hidden="1" outlineLevel="1" x14ac:dyDescent="0.2">
      <c r="A205" s="21" t="s">
        <v>35</v>
      </c>
      <c r="B205" s="22" t="s">
        <v>717</v>
      </c>
      <c r="C205" s="21">
        <v>5.34</v>
      </c>
      <c r="D205" s="91"/>
    </row>
    <row r="206" spans="1:4" ht="15.75" hidden="1" outlineLevel="1" x14ac:dyDescent="0.2">
      <c r="A206" s="21" t="s">
        <v>35</v>
      </c>
      <c r="B206" s="22" t="s">
        <v>8</v>
      </c>
      <c r="C206" s="21">
        <v>5.31</v>
      </c>
      <c r="D206" s="91"/>
    </row>
    <row r="207" spans="1:4" ht="15.75" hidden="1" outlineLevel="1" x14ac:dyDescent="0.2">
      <c r="A207" s="21" t="s">
        <v>35</v>
      </c>
      <c r="B207" s="22" t="s">
        <v>651</v>
      </c>
      <c r="C207" s="21">
        <v>5.101</v>
      </c>
      <c r="D207" s="91"/>
    </row>
    <row r="208" spans="1:4" ht="15.75" hidden="1" outlineLevel="1" x14ac:dyDescent="0.2">
      <c r="A208" s="21" t="s">
        <v>35</v>
      </c>
      <c r="B208" s="22" t="s">
        <v>593</v>
      </c>
      <c r="C208" s="21">
        <v>5.36</v>
      </c>
      <c r="D208" s="91"/>
    </row>
    <row r="209" spans="1:4" ht="15.75" hidden="1" outlineLevel="1" x14ac:dyDescent="0.2">
      <c r="A209" s="21" t="s">
        <v>35</v>
      </c>
      <c r="B209" s="22" t="s">
        <v>387</v>
      </c>
      <c r="C209" s="21">
        <v>5.53</v>
      </c>
      <c r="D209" s="91"/>
    </row>
    <row r="210" spans="1:4" ht="15.75" hidden="1" outlineLevel="1" x14ac:dyDescent="0.2">
      <c r="A210" s="21" t="s">
        <v>35</v>
      </c>
      <c r="B210" s="22" t="s">
        <v>22</v>
      </c>
      <c r="C210" s="21">
        <v>5.1020000000000003</v>
      </c>
      <c r="D210" s="91"/>
    </row>
    <row r="211" spans="1:4" ht="15.75" hidden="1" outlineLevel="1" x14ac:dyDescent="0.2">
      <c r="A211" s="21" t="s">
        <v>35</v>
      </c>
      <c r="B211" s="22" t="s">
        <v>600</v>
      </c>
      <c r="C211" s="24">
        <v>5.0999999999999996</v>
      </c>
      <c r="D211" s="91"/>
    </row>
    <row r="212" spans="1:4" ht="15.75" hidden="1" outlineLevel="1" x14ac:dyDescent="0.2">
      <c r="A212" s="21" t="s">
        <v>35</v>
      </c>
      <c r="B212" s="22" t="s">
        <v>747</v>
      </c>
      <c r="C212" s="21">
        <v>5.58</v>
      </c>
      <c r="D212" s="91"/>
    </row>
    <row r="213" spans="1:4" ht="15.75" hidden="1" outlineLevel="1" x14ac:dyDescent="0.2">
      <c r="A213" s="21" t="s">
        <v>35</v>
      </c>
      <c r="B213" s="22" t="s">
        <v>10</v>
      </c>
      <c r="C213" s="21">
        <v>5.54</v>
      </c>
      <c r="D213" s="91"/>
    </row>
    <row r="214" spans="1:4" ht="15.75" hidden="1" outlineLevel="1" x14ac:dyDescent="0.2">
      <c r="A214" s="21" t="s">
        <v>35</v>
      </c>
      <c r="B214" s="22" t="s">
        <v>14</v>
      </c>
      <c r="C214" s="21">
        <v>5.55</v>
      </c>
      <c r="D214" s="91"/>
    </row>
    <row r="215" spans="1:4" ht="15.75" hidden="1" outlineLevel="1" x14ac:dyDescent="0.2">
      <c r="A215" s="21" t="s">
        <v>35</v>
      </c>
      <c r="B215" s="22" t="s">
        <v>1105</v>
      </c>
      <c r="C215" s="21">
        <v>5.63</v>
      </c>
      <c r="D215" s="91"/>
    </row>
    <row r="216" spans="1:4" ht="15.75" hidden="1" outlineLevel="1" x14ac:dyDescent="0.2">
      <c r="A216" s="21" t="s">
        <v>35</v>
      </c>
      <c r="B216" s="22" t="s">
        <v>18</v>
      </c>
      <c r="C216" s="21">
        <v>5.47</v>
      </c>
      <c r="D216" s="91"/>
    </row>
    <row r="217" spans="1:4" ht="15.75" hidden="1" outlineLevel="1" x14ac:dyDescent="0.2">
      <c r="A217" s="21" t="s">
        <v>35</v>
      </c>
      <c r="B217" s="22" t="s">
        <v>29</v>
      </c>
      <c r="C217" s="21">
        <v>5.48</v>
      </c>
      <c r="D217" s="91"/>
    </row>
    <row r="218" spans="1:4" ht="15.75" collapsed="1" x14ac:dyDescent="0.2">
      <c r="A218" s="26" t="s">
        <v>35</v>
      </c>
      <c r="B218" s="22"/>
      <c r="C218" s="21"/>
      <c r="D218" s="91"/>
    </row>
    <row r="219" spans="1:4" ht="15.75" hidden="1" outlineLevel="1" x14ac:dyDescent="0.2">
      <c r="A219" s="21" t="s">
        <v>36</v>
      </c>
      <c r="B219" s="22" t="s">
        <v>636</v>
      </c>
      <c r="C219" s="21">
        <v>5.0999999999999996</v>
      </c>
      <c r="D219" s="91"/>
    </row>
    <row r="220" spans="1:4" ht="15.75" hidden="1" outlineLevel="1" x14ac:dyDescent="0.2">
      <c r="A220" s="21" t="s">
        <v>36</v>
      </c>
      <c r="B220" s="22" t="s">
        <v>0</v>
      </c>
      <c r="C220" s="21">
        <v>5.2</v>
      </c>
      <c r="D220" s="91"/>
    </row>
    <row r="221" spans="1:4" ht="15.75" hidden="1" outlineLevel="1" x14ac:dyDescent="0.2">
      <c r="A221" s="21" t="s">
        <v>36</v>
      </c>
      <c r="B221" s="22" t="s">
        <v>703</v>
      </c>
      <c r="C221" s="21">
        <v>5.3</v>
      </c>
      <c r="D221" s="91"/>
    </row>
    <row r="222" spans="1:4" ht="15.75" hidden="1" outlineLevel="1" x14ac:dyDescent="0.2">
      <c r="A222" s="21" t="s">
        <v>36</v>
      </c>
      <c r="B222" s="22" t="s">
        <v>2</v>
      </c>
      <c r="C222" s="21">
        <v>5.6</v>
      </c>
      <c r="D222" s="91"/>
    </row>
    <row r="223" spans="1:4" ht="15.75" hidden="1" outlineLevel="1" x14ac:dyDescent="0.2">
      <c r="A223" s="21" t="s">
        <v>36</v>
      </c>
      <c r="B223" s="22" t="s">
        <v>709</v>
      </c>
      <c r="C223" s="23">
        <v>5.0999999999999996</v>
      </c>
      <c r="D223" s="91"/>
    </row>
    <row r="224" spans="1:4" ht="15.75" hidden="1" outlineLevel="1" x14ac:dyDescent="0.2">
      <c r="A224" s="21" t="s">
        <v>36</v>
      </c>
      <c r="B224" s="22" t="s">
        <v>3</v>
      </c>
      <c r="C224" s="21">
        <v>5.14</v>
      </c>
      <c r="D224" s="91"/>
    </row>
    <row r="225" spans="1:4" ht="15.75" hidden="1" outlineLevel="1" x14ac:dyDescent="0.2">
      <c r="A225" s="21" t="s">
        <v>36</v>
      </c>
      <c r="B225" s="22" t="s">
        <v>28</v>
      </c>
      <c r="C225" s="21">
        <v>5.19</v>
      </c>
      <c r="D225" s="91"/>
    </row>
    <row r="226" spans="1:4" ht="15.75" hidden="1" outlineLevel="1" x14ac:dyDescent="0.2">
      <c r="A226" s="21" t="s">
        <v>36</v>
      </c>
      <c r="B226" s="22" t="s">
        <v>27</v>
      </c>
      <c r="C226" s="21">
        <v>5.24</v>
      </c>
      <c r="D226" s="91"/>
    </row>
    <row r="227" spans="1:4" ht="15.75" hidden="1" outlineLevel="1" x14ac:dyDescent="0.2">
      <c r="A227" s="21" t="s">
        <v>36</v>
      </c>
      <c r="B227" s="22" t="s">
        <v>1</v>
      </c>
      <c r="C227" s="21">
        <v>5.26</v>
      </c>
      <c r="D227" s="91"/>
    </row>
    <row r="228" spans="1:4" ht="15.75" hidden="1" outlineLevel="1" x14ac:dyDescent="0.2">
      <c r="A228" s="21" t="s">
        <v>36</v>
      </c>
      <c r="B228" s="22" t="s">
        <v>591</v>
      </c>
      <c r="C228" s="21">
        <v>5.27</v>
      </c>
      <c r="D228" s="91"/>
    </row>
    <row r="229" spans="1:4" ht="15.75" hidden="1" outlineLevel="1" x14ac:dyDescent="0.2">
      <c r="A229" s="21" t="s">
        <v>36</v>
      </c>
      <c r="B229" s="22" t="s">
        <v>592</v>
      </c>
      <c r="C229" s="21">
        <v>5.28</v>
      </c>
      <c r="D229" s="91"/>
    </row>
    <row r="230" spans="1:4" ht="15.75" hidden="1" outlineLevel="1" x14ac:dyDescent="0.2">
      <c r="A230" s="21" t="s">
        <v>36</v>
      </c>
      <c r="B230" s="22" t="s">
        <v>596</v>
      </c>
      <c r="C230" s="21">
        <v>5.29</v>
      </c>
      <c r="D230" s="91"/>
    </row>
    <row r="231" spans="1:4" ht="15.75" hidden="1" outlineLevel="1" x14ac:dyDescent="0.2">
      <c r="A231" s="21" t="s">
        <v>36</v>
      </c>
      <c r="B231" s="22" t="s">
        <v>4</v>
      </c>
      <c r="C231" s="23">
        <v>5.3</v>
      </c>
      <c r="D231" s="91"/>
    </row>
    <row r="232" spans="1:4" ht="15.75" hidden="1" outlineLevel="1" x14ac:dyDescent="0.2">
      <c r="A232" s="21" t="s">
        <v>36</v>
      </c>
      <c r="B232" s="22" t="s">
        <v>8</v>
      </c>
      <c r="C232" s="21">
        <v>5.31</v>
      </c>
      <c r="D232" s="91"/>
    </row>
    <row r="233" spans="1:4" ht="15.75" hidden="1" outlineLevel="1" x14ac:dyDescent="0.2">
      <c r="A233" s="21" t="s">
        <v>36</v>
      </c>
      <c r="B233" s="22" t="s">
        <v>9</v>
      </c>
      <c r="C233" s="21">
        <v>5.33</v>
      </c>
      <c r="D233" s="91"/>
    </row>
    <row r="234" spans="1:4" ht="15.75" hidden="1" outlineLevel="1" x14ac:dyDescent="0.2">
      <c r="A234" s="21" t="s">
        <v>36</v>
      </c>
      <c r="B234" s="22" t="s">
        <v>651</v>
      </c>
      <c r="C234" s="21">
        <v>5.101</v>
      </c>
      <c r="D234" s="91"/>
    </row>
    <row r="235" spans="1:4" ht="15.75" hidden="1" outlineLevel="1" x14ac:dyDescent="0.2">
      <c r="A235" s="21" t="s">
        <v>36</v>
      </c>
      <c r="B235" s="22" t="s">
        <v>593</v>
      </c>
      <c r="C235" s="21">
        <v>5.36</v>
      </c>
      <c r="D235" s="91"/>
    </row>
    <row r="236" spans="1:4" ht="15.75" hidden="1" outlineLevel="1" x14ac:dyDescent="0.2">
      <c r="A236" s="21" t="s">
        <v>36</v>
      </c>
      <c r="B236" s="22" t="s">
        <v>387</v>
      </c>
      <c r="C236" s="21">
        <v>5.53</v>
      </c>
      <c r="D236" s="91"/>
    </row>
    <row r="237" spans="1:4" ht="15.75" hidden="1" outlineLevel="1" x14ac:dyDescent="0.2">
      <c r="A237" s="21" t="s">
        <v>36</v>
      </c>
      <c r="B237" s="22" t="s">
        <v>22</v>
      </c>
      <c r="C237" s="21">
        <v>5.1020000000000003</v>
      </c>
      <c r="D237" s="91"/>
    </row>
    <row r="238" spans="1:4" ht="15.75" hidden="1" outlineLevel="1" x14ac:dyDescent="0.2">
      <c r="A238" s="21" t="s">
        <v>36</v>
      </c>
      <c r="B238" s="22" t="s">
        <v>747</v>
      </c>
      <c r="C238" s="21">
        <v>5.58</v>
      </c>
      <c r="D238" s="91"/>
    </row>
    <row r="239" spans="1:4" ht="15.75" hidden="1" outlineLevel="1" x14ac:dyDescent="0.2">
      <c r="A239" s="21" t="s">
        <v>36</v>
      </c>
      <c r="B239" s="22" t="s">
        <v>10</v>
      </c>
      <c r="C239" s="21">
        <v>5.54</v>
      </c>
      <c r="D239" s="91"/>
    </row>
    <row r="240" spans="1:4" ht="15.75" hidden="1" outlineLevel="1" x14ac:dyDescent="0.2">
      <c r="A240" s="21" t="s">
        <v>36</v>
      </c>
      <c r="B240" s="22" t="s">
        <v>14</v>
      </c>
      <c r="C240" s="21">
        <v>5.55</v>
      </c>
      <c r="D240" s="91"/>
    </row>
    <row r="241" spans="1:4" ht="15.75" hidden="1" outlineLevel="1" x14ac:dyDescent="0.2">
      <c r="A241" s="21" t="s">
        <v>36</v>
      </c>
      <c r="B241" s="22" t="s">
        <v>1105</v>
      </c>
      <c r="C241" s="21">
        <v>5.63</v>
      </c>
      <c r="D241" s="91"/>
    </row>
    <row r="242" spans="1:4" ht="15.75" hidden="1" outlineLevel="1" x14ac:dyDescent="0.2">
      <c r="A242" s="21" t="s">
        <v>36</v>
      </c>
      <c r="B242" s="22" t="s">
        <v>18</v>
      </c>
      <c r="C242" s="21">
        <v>5.47</v>
      </c>
      <c r="D242" s="91"/>
    </row>
    <row r="243" spans="1:4" ht="15.75" hidden="1" outlineLevel="1" x14ac:dyDescent="0.2">
      <c r="A243" s="21" t="s">
        <v>36</v>
      </c>
      <c r="B243" s="22" t="s">
        <v>29</v>
      </c>
      <c r="C243" s="21">
        <v>5.48</v>
      </c>
      <c r="D243" s="91"/>
    </row>
    <row r="244" spans="1:4" ht="15.75" collapsed="1" x14ac:dyDescent="0.2">
      <c r="A244" s="26" t="s">
        <v>36</v>
      </c>
      <c r="B244" s="22"/>
      <c r="C244" s="21"/>
      <c r="D244" s="91"/>
    </row>
    <row r="245" spans="1:4" ht="15.75" hidden="1" outlineLevel="1" x14ac:dyDescent="0.2">
      <c r="A245" s="21" t="s">
        <v>37</v>
      </c>
      <c r="B245" s="22" t="s">
        <v>636</v>
      </c>
      <c r="C245" s="21">
        <v>5.0999999999999996</v>
      </c>
      <c r="D245" s="91"/>
    </row>
    <row r="246" spans="1:4" ht="15.75" hidden="1" outlineLevel="1" x14ac:dyDescent="0.2">
      <c r="A246" s="21" t="s">
        <v>37</v>
      </c>
      <c r="B246" s="22" t="s">
        <v>0</v>
      </c>
      <c r="C246" s="21">
        <v>5.2</v>
      </c>
      <c r="D246" s="91"/>
    </row>
    <row r="247" spans="1:4" ht="15.75" hidden="1" outlineLevel="1" x14ac:dyDescent="0.2">
      <c r="A247" s="21" t="s">
        <v>37</v>
      </c>
      <c r="B247" s="22" t="s">
        <v>703</v>
      </c>
      <c r="C247" s="21">
        <v>5.3</v>
      </c>
      <c r="D247" s="91"/>
    </row>
    <row r="248" spans="1:4" ht="15.75" hidden="1" outlineLevel="1" x14ac:dyDescent="0.2">
      <c r="A248" s="21" t="s">
        <v>37</v>
      </c>
      <c r="B248" s="22" t="s">
        <v>2</v>
      </c>
      <c r="C248" s="21">
        <v>5.6</v>
      </c>
      <c r="D248" s="91"/>
    </row>
    <row r="249" spans="1:4" ht="15.75" hidden="1" outlineLevel="1" x14ac:dyDescent="0.2">
      <c r="A249" s="21" t="s">
        <v>37</v>
      </c>
      <c r="B249" s="22" t="s">
        <v>709</v>
      </c>
      <c r="C249" s="23">
        <v>5.0999999999999996</v>
      </c>
      <c r="D249" s="91"/>
    </row>
    <row r="250" spans="1:4" ht="15.75" hidden="1" outlineLevel="1" x14ac:dyDescent="0.2">
      <c r="A250" s="21" t="s">
        <v>37</v>
      </c>
      <c r="B250" s="22" t="s">
        <v>3</v>
      </c>
      <c r="C250" s="21">
        <v>5.14</v>
      </c>
      <c r="D250" s="91"/>
    </row>
    <row r="251" spans="1:4" ht="15.75" hidden="1" outlineLevel="1" x14ac:dyDescent="0.2">
      <c r="A251" s="21" t="s">
        <v>37</v>
      </c>
      <c r="B251" s="22" t="s">
        <v>28</v>
      </c>
      <c r="C251" s="21">
        <v>5.19</v>
      </c>
      <c r="D251" s="91"/>
    </row>
    <row r="252" spans="1:4" ht="15.75" hidden="1" outlineLevel="1" x14ac:dyDescent="0.2">
      <c r="A252" s="21" t="s">
        <v>37</v>
      </c>
      <c r="B252" s="22" t="s">
        <v>27</v>
      </c>
      <c r="C252" s="21">
        <v>5.24</v>
      </c>
      <c r="D252" s="91"/>
    </row>
    <row r="253" spans="1:4" ht="15.75" hidden="1" outlineLevel="1" x14ac:dyDescent="0.2">
      <c r="A253" s="21" t="s">
        <v>37</v>
      </c>
      <c r="B253" s="22" t="s">
        <v>591</v>
      </c>
      <c r="C253" s="21">
        <v>5.27</v>
      </c>
      <c r="D253" s="91"/>
    </row>
    <row r="254" spans="1:4" ht="15.75" hidden="1" outlineLevel="1" x14ac:dyDescent="0.2">
      <c r="A254" s="21" t="s">
        <v>37</v>
      </c>
      <c r="B254" s="22" t="s">
        <v>592</v>
      </c>
      <c r="C254" s="21">
        <v>5.28</v>
      </c>
      <c r="D254" s="91"/>
    </row>
    <row r="255" spans="1:4" ht="15.75" hidden="1" outlineLevel="1" x14ac:dyDescent="0.2">
      <c r="A255" s="21" t="s">
        <v>37</v>
      </c>
      <c r="B255" s="22" t="s">
        <v>4</v>
      </c>
      <c r="C255" s="23">
        <v>5.3</v>
      </c>
      <c r="D255" s="91"/>
    </row>
    <row r="256" spans="1:4" ht="15.75" hidden="1" outlineLevel="1" x14ac:dyDescent="0.2">
      <c r="A256" s="21" t="s">
        <v>37</v>
      </c>
      <c r="B256" s="22" t="s">
        <v>9</v>
      </c>
      <c r="C256" s="21">
        <v>5.33</v>
      </c>
      <c r="D256" s="91"/>
    </row>
    <row r="257" spans="1:4" ht="15.75" hidden="1" outlineLevel="1" x14ac:dyDescent="0.2">
      <c r="A257" s="21" t="s">
        <v>37</v>
      </c>
      <c r="B257" s="22" t="s">
        <v>593</v>
      </c>
      <c r="C257" s="21">
        <v>5.36</v>
      </c>
      <c r="D257" s="91"/>
    </row>
    <row r="258" spans="1:4" ht="15.75" hidden="1" outlineLevel="1" x14ac:dyDescent="0.2">
      <c r="A258" s="21" t="s">
        <v>37</v>
      </c>
      <c r="B258" s="22" t="s">
        <v>387</v>
      </c>
      <c r="C258" s="21">
        <v>5.53</v>
      </c>
      <c r="D258" s="91"/>
    </row>
    <row r="259" spans="1:4" ht="15.75" hidden="1" outlineLevel="1" x14ac:dyDescent="0.2">
      <c r="A259" s="21" t="s">
        <v>37</v>
      </c>
      <c r="B259" s="22" t="s">
        <v>747</v>
      </c>
      <c r="C259" s="21">
        <v>5.58</v>
      </c>
      <c r="D259" s="91"/>
    </row>
    <row r="260" spans="1:4" ht="15.75" hidden="1" outlineLevel="1" x14ac:dyDescent="0.2">
      <c r="A260" s="21" t="s">
        <v>37</v>
      </c>
      <c r="B260" s="22" t="s">
        <v>10</v>
      </c>
      <c r="C260" s="21">
        <v>5.54</v>
      </c>
      <c r="D260" s="91"/>
    </row>
    <row r="261" spans="1:4" ht="15.75" hidden="1" outlineLevel="1" x14ac:dyDescent="0.2">
      <c r="A261" s="21" t="s">
        <v>37</v>
      </c>
      <c r="B261" s="22" t="s">
        <v>14</v>
      </c>
      <c r="C261" s="21">
        <v>5.55</v>
      </c>
      <c r="D261" s="91"/>
    </row>
    <row r="262" spans="1:4" ht="15.75" hidden="1" outlineLevel="1" x14ac:dyDescent="0.2">
      <c r="A262" s="21" t="s">
        <v>37</v>
      </c>
      <c r="B262" s="22" t="s">
        <v>1105</v>
      </c>
      <c r="C262" s="21">
        <v>5.63</v>
      </c>
      <c r="D262" s="91"/>
    </row>
    <row r="263" spans="1:4" ht="15.75" hidden="1" outlineLevel="1" x14ac:dyDescent="0.2">
      <c r="A263" s="21" t="s">
        <v>37</v>
      </c>
      <c r="B263" s="22" t="s">
        <v>18</v>
      </c>
      <c r="C263" s="21">
        <v>5.47</v>
      </c>
      <c r="D263" s="91"/>
    </row>
    <row r="264" spans="1:4" ht="15.75" hidden="1" outlineLevel="1" x14ac:dyDescent="0.2">
      <c r="A264" s="21" t="s">
        <v>37</v>
      </c>
      <c r="B264" s="22" t="s">
        <v>29</v>
      </c>
      <c r="C264" s="21">
        <v>5.48</v>
      </c>
      <c r="D264" s="91"/>
    </row>
    <row r="265" spans="1:4" ht="15.75" collapsed="1" x14ac:dyDescent="0.2">
      <c r="A265" s="26" t="s">
        <v>37</v>
      </c>
      <c r="B265" s="22"/>
      <c r="C265" s="21"/>
      <c r="D265" s="91"/>
    </row>
    <row r="266" spans="1:4" ht="15.75" hidden="1" outlineLevel="1" x14ac:dyDescent="0.2">
      <c r="A266" s="21" t="s">
        <v>38</v>
      </c>
      <c r="B266" s="22" t="s">
        <v>636</v>
      </c>
      <c r="C266" s="21">
        <v>5.0999999999999996</v>
      </c>
      <c r="D266" s="91"/>
    </row>
    <row r="267" spans="1:4" ht="15.75" hidden="1" outlineLevel="1" x14ac:dyDescent="0.2">
      <c r="A267" s="21" t="s">
        <v>38</v>
      </c>
      <c r="B267" s="22" t="s">
        <v>0</v>
      </c>
      <c r="C267" s="21">
        <v>5.2</v>
      </c>
      <c r="D267" s="91"/>
    </row>
    <row r="268" spans="1:4" ht="15.75" hidden="1" outlineLevel="1" x14ac:dyDescent="0.2">
      <c r="A268" s="21" t="s">
        <v>38</v>
      </c>
      <c r="B268" s="22" t="s">
        <v>703</v>
      </c>
      <c r="C268" s="21">
        <v>5.3</v>
      </c>
      <c r="D268" s="91"/>
    </row>
    <row r="269" spans="1:4" ht="15.75" hidden="1" outlineLevel="1" x14ac:dyDescent="0.2">
      <c r="A269" s="21" t="s">
        <v>38</v>
      </c>
      <c r="B269" s="22" t="s">
        <v>2</v>
      </c>
      <c r="C269" s="21">
        <v>5.6</v>
      </c>
      <c r="D269" s="91"/>
    </row>
    <row r="270" spans="1:4" ht="15.75" hidden="1" outlineLevel="1" x14ac:dyDescent="0.2">
      <c r="A270" s="21" t="s">
        <v>38</v>
      </c>
      <c r="B270" s="22" t="s">
        <v>709</v>
      </c>
      <c r="C270" s="23">
        <v>5.0999999999999996</v>
      </c>
      <c r="D270" s="91"/>
    </row>
    <row r="271" spans="1:4" ht="15.75" hidden="1" outlineLevel="1" x14ac:dyDescent="0.2">
      <c r="A271" s="21" t="s">
        <v>38</v>
      </c>
      <c r="B271" s="22" t="s">
        <v>3</v>
      </c>
      <c r="C271" s="21">
        <v>5.14</v>
      </c>
      <c r="D271" s="91"/>
    </row>
    <row r="272" spans="1:4" ht="15.75" hidden="1" outlineLevel="1" x14ac:dyDescent="0.2">
      <c r="A272" s="21" t="s">
        <v>38</v>
      </c>
      <c r="B272" s="22" t="s">
        <v>28</v>
      </c>
      <c r="C272" s="21">
        <v>5.19</v>
      </c>
      <c r="D272" s="91"/>
    </row>
    <row r="273" spans="1:4" ht="15.75" hidden="1" outlineLevel="1" x14ac:dyDescent="0.2">
      <c r="A273" s="21" t="s">
        <v>38</v>
      </c>
      <c r="B273" s="22" t="s">
        <v>27</v>
      </c>
      <c r="C273" s="21">
        <v>5.24</v>
      </c>
      <c r="D273" s="91"/>
    </row>
    <row r="274" spans="1:4" ht="15.75" hidden="1" outlineLevel="1" x14ac:dyDescent="0.2">
      <c r="A274" s="21" t="s">
        <v>38</v>
      </c>
      <c r="B274" s="22" t="s">
        <v>1</v>
      </c>
      <c r="C274" s="21">
        <v>5.26</v>
      </c>
      <c r="D274" s="91"/>
    </row>
    <row r="275" spans="1:4" ht="15.75" hidden="1" outlineLevel="1" x14ac:dyDescent="0.2">
      <c r="A275" s="21" t="s">
        <v>38</v>
      </c>
      <c r="B275" s="22" t="s">
        <v>591</v>
      </c>
      <c r="C275" s="21">
        <v>5.27</v>
      </c>
      <c r="D275" s="91"/>
    </row>
    <row r="276" spans="1:4" ht="15.75" hidden="1" outlineLevel="1" x14ac:dyDescent="0.2">
      <c r="A276" s="21" t="s">
        <v>38</v>
      </c>
      <c r="B276" s="22" t="s">
        <v>592</v>
      </c>
      <c r="C276" s="21">
        <v>5.28</v>
      </c>
      <c r="D276" s="91"/>
    </row>
    <row r="277" spans="1:4" ht="15.75" hidden="1" outlineLevel="1" x14ac:dyDescent="0.2">
      <c r="A277" s="21" t="s">
        <v>38</v>
      </c>
      <c r="B277" s="22" t="s">
        <v>596</v>
      </c>
      <c r="C277" s="21">
        <v>5.29</v>
      </c>
      <c r="D277" s="91"/>
    </row>
    <row r="278" spans="1:4" ht="15.75" hidden="1" outlineLevel="1" x14ac:dyDescent="0.2">
      <c r="A278" s="21" t="s">
        <v>38</v>
      </c>
      <c r="B278" s="22" t="s">
        <v>4</v>
      </c>
      <c r="C278" s="23">
        <v>5.3</v>
      </c>
      <c r="D278" s="91"/>
    </row>
    <row r="279" spans="1:4" ht="15.75" hidden="1" outlineLevel="1" x14ac:dyDescent="0.2">
      <c r="A279" s="21" t="s">
        <v>38</v>
      </c>
      <c r="B279" s="22" t="s">
        <v>9</v>
      </c>
      <c r="C279" s="21">
        <v>5.33</v>
      </c>
      <c r="D279" s="91"/>
    </row>
    <row r="280" spans="1:4" ht="15.75" hidden="1" outlineLevel="1" x14ac:dyDescent="0.2">
      <c r="A280" s="21" t="s">
        <v>38</v>
      </c>
      <c r="B280" s="22" t="s">
        <v>593</v>
      </c>
      <c r="C280" s="21">
        <v>5.36</v>
      </c>
      <c r="D280" s="91"/>
    </row>
    <row r="281" spans="1:4" ht="15.75" hidden="1" outlineLevel="1" x14ac:dyDescent="0.2">
      <c r="A281" s="21" t="s">
        <v>38</v>
      </c>
      <c r="B281" s="22" t="s">
        <v>12</v>
      </c>
      <c r="C281" s="21">
        <v>5.69</v>
      </c>
      <c r="D281" s="91"/>
    </row>
    <row r="282" spans="1:4" ht="15.75" hidden="1" outlineLevel="1" x14ac:dyDescent="0.2">
      <c r="A282" s="21" t="s">
        <v>38</v>
      </c>
      <c r="B282" s="22" t="s">
        <v>13</v>
      </c>
      <c r="C282" s="23">
        <v>5.7</v>
      </c>
      <c r="D282" s="91"/>
    </row>
    <row r="283" spans="1:4" ht="15.75" hidden="1" outlineLevel="1" x14ac:dyDescent="0.2">
      <c r="A283" s="21" t="s">
        <v>38</v>
      </c>
      <c r="B283" s="22" t="s">
        <v>608</v>
      </c>
      <c r="C283" s="21">
        <v>5.74</v>
      </c>
      <c r="D283" s="91"/>
    </row>
    <row r="284" spans="1:4" ht="15.75" hidden="1" outlineLevel="1" x14ac:dyDescent="0.2">
      <c r="A284" s="21" t="s">
        <v>38</v>
      </c>
      <c r="B284" s="22" t="s">
        <v>5</v>
      </c>
      <c r="C284" s="21">
        <v>5.49</v>
      </c>
      <c r="D284" s="91"/>
    </row>
    <row r="285" spans="1:4" ht="15.75" hidden="1" outlineLevel="1" x14ac:dyDescent="0.2">
      <c r="A285" s="21" t="s">
        <v>38</v>
      </c>
      <c r="B285" s="22" t="s">
        <v>7</v>
      </c>
      <c r="C285" s="21">
        <v>5.51</v>
      </c>
      <c r="D285" s="91"/>
    </row>
    <row r="286" spans="1:4" ht="15.75" hidden="1" outlineLevel="1" x14ac:dyDescent="0.2">
      <c r="A286" s="21" t="s">
        <v>38</v>
      </c>
      <c r="B286" s="22" t="s">
        <v>6</v>
      </c>
      <c r="C286" s="21">
        <v>5.52</v>
      </c>
      <c r="D286" s="91"/>
    </row>
    <row r="287" spans="1:4" ht="15.75" hidden="1" outlineLevel="1" x14ac:dyDescent="0.2">
      <c r="A287" s="21" t="s">
        <v>38</v>
      </c>
      <c r="B287" s="22" t="s">
        <v>387</v>
      </c>
      <c r="C287" s="21">
        <v>5.53</v>
      </c>
      <c r="D287" s="91"/>
    </row>
    <row r="288" spans="1:4" ht="15.75" hidden="1" outlineLevel="1" x14ac:dyDescent="0.2">
      <c r="A288" s="21" t="s">
        <v>38</v>
      </c>
      <c r="B288" s="22" t="s">
        <v>747</v>
      </c>
      <c r="C288" s="21">
        <v>5.58</v>
      </c>
      <c r="D288" s="91"/>
    </row>
    <row r="289" spans="1:4" ht="15.75" hidden="1" outlineLevel="1" x14ac:dyDescent="0.2">
      <c r="A289" s="21" t="s">
        <v>38</v>
      </c>
      <c r="B289" s="22" t="s">
        <v>10</v>
      </c>
      <c r="C289" s="21">
        <v>5.54</v>
      </c>
      <c r="D289" s="91"/>
    </row>
    <row r="290" spans="1:4" ht="15.75" hidden="1" outlineLevel="1" x14ac:dyDescent="0.2">
      <c r="A290" s="21" t="s">
        <v>38</v>
      </c>
      <c r="B290" s="22" t="s">
        <v>14</v>
      </c>
      <c r="C290" s="21">
        <v>5.55</v>
      </c>
      <c r="D290" s="91"/>
    </row>
    <row r="291" spans="1:4" ht="15.75" hidden="1" outlineLevel="1" x14ac:dyDescent="0.2">
      <c r="A291" s="21" t="s">
        <v>38</v>
      </c>
      <c r="B291" s="22" t="s">
        <v>1105</v>
      </c>
      <c r="C291" s="21">
        <v>5.63</v>
      </c>
      <c r="D291" s="91"/>
    </row>
    <row r="292" spans="1:4" ht="15.75" hidden="1" outlineLevel="1" x14ac:dyDescent="0.2">
      <c r="A292" s="21" t="s">
        <v>38</v>
      </c>
      <c r="B292" s="22" t="s">
        <v>18</v>
      </c>
      <c r="C292" s="21">
        <v>5.47</v>
      </c>
      <c r="D292" s="91"/>
    </row>
    <row r="293" spans="1:4" ht="15.75" hidden="1" outlineLevel="1" x14ac:dyDescent="0.2">
      <c r="A293" s="21" t="s">
        <v>38</v>
      </c>
      <c r="B293" s="22" t="s">
        <v>29</v>
      </c>
      <c r="C293" s="21">
        <v>5.48</v>
      </c>
      <c r="D293" s="91"/>
    </row>
    <row r="294" spans="1:4" ht="15.75" collapsed="1" x14ac:dyDescent="0.2">
      <c r="A294" s="26" t="s">
        <v>38</v>
      </c>
      <c r="B294" s="22"/>
      <c r="C294" s="21"/>
      <c r="D294" s="91"/>
    </row>
    <row r="295" spans="1:4" ht="15.75" hidden="1" outlineLevel="1" x14ac:dyDescent="0.2">
      <c r="A295" s="21" t="s">
        <v>40</v>
      </c>
      <c r="B295" s="22" t="s">
        <v>636</v>
      </c>
      <c r="C295" s="21">
        <v>5.0999999999999996</v>
      </c>
      <c r="D295" s="91"/>
    </row>
    <row r="296" spans="1:4" ht="15.75" hidden="1" outlineLevel="1" x14ac:dyDescent="0.2">
      <c r="A296" s="21" t="s">
        <v>40</v>
      </c>
      <c r="B296" s="22" t="s">
        <v>0</v>
      </c>
      <c r="C296" s="21">
        <v>5.2</v>
      </c>
      <c r="D296" s="91"/>
    </row>
    <row r="297" spans="1:4" ht="15.75" hidden="1" outlineLevel="1" x14ac:dyDescent="0.2">
      <c r="A297" s="21" t="s">
        <v>40</v>
      </c>
      <c r="B297" s="22" t="s">
        <v>703</v>
      </c>
      <c r="C297" s="21">
        <v>5.3</v>
      </c>
      <c r="D297" s="91"/>
    </row>
    <row r="298" spans="1:4" ht="15.75" hidden="1" outlineLevel="1" x14ac:dyDescent="0.2">
      <c r="A298" s="21" t="s">
        <v>40</v>
      </c>
      <c r="B298" s="22" t="s">
        <v>3</v>
      </c>
      <c r="C298" s="21">
        <v>5.14</v>
      </c>
      <c r="D298" s="91"/>
    </row>
    <row r="299" spans="1:4" ht="15.75" hidden="1" outlineLevel="1" x14ac:dyDescent="0.2">
      <c r="A299" s="21" t="s">
        <v>40</v>
      </c>
      <c r="B299" s="22" t="s">
        <v>28</v>
      </c>
      <c r="C299" s="21">
        <v>5.19</v>
      </c>
      <c r="D299" s="91"/>
    </row>
    <row r="300" spans="1:4" ht="15.75" hidden="1" outlineLevel="1" x14ac:dyDescent="0.2">
      <c r="A300" s="21" t="s">
        <v>40</v>
      </c>
      <c r="B300" s="22" t="s">
        <v>27</v>
      </c>
      <c r="C300" s="21">
        <v>5.24</v>
      </c>
      <c r="D300" s="91"/>
    </row>
    <row r="301" spans="1:4" ht="15.75" hidden="1" outlineLevel="1" x14ac:dyDescent="0.2">
      <c r="A301" s="21" t="s">
        <v>40</v>
      </c>
      <c r="B301" s="22" t="s">
        <v>1</v>
      </c>
      <c r="C301" s="21">
        <v>5.26</v>
      </c>
      <c r="D301" s="91"/>
    </row>
    <row r="302" spans="1:4" ht="15.75" hidden="1" outlineLevel="1" x14ac:dyDescent="0.2">
      <c r="A302" s="21" t="s">
        <v>40</v>
      </c>
      <c r="B302" s="22" t="s">
        <v>591</v>
      </c>
      <c r="C302" s="21">
        <v>5.27</v>
      </c>
      <c r="D302" s="91"/>
    </row>
    <row r="303" spans="1:4" ht="15.75" hidden="1" outlineLevel="1" x14ac:dyDescent="0.2">
      <c r="A303" s="21" t="s">
        <v>40</v>
      </c>
      <c r="B303" s="22" t="s">
        <v>592</v>
      </c>
      <c r="C303" s="21">
        <v>5.28</v>
      </c>
      <c r="D303" s="91"/>
    </row>
    <row r="304" spans="1:4" ht="15.75" hidden="1" outlineLevel="1" x14ac:dyDescent="0.2">
      <c r="A304" s="21" t="s">
        <v>40</v>
      </c>
      <c r="B304" s="22" t="s">
        <v>11</v>
      </c>
      <c r="C304" s="21">
        <v>5.37</v>
      </c>
      <c r="D304" s="91"/>
    </row>
    <row r="305" spans="1:4" ht="15.75" hidden="1" outlineLevel="1" x14ac:dyDescent="0.2">
      <c r="A305" s="21" t="s">
        <v>40</v>
      </c>
      <c r="B305" s="22" t="s">
        <v>5</v>
      </c>
      <c r="C305" s="21">
        <v>5.49</v>
      </c>
      <c r="D305" s="91"/>
    </row>
    <row r="306" spans="1:4" ht="15.75" hidden="1" outlineLevel="1" x14ac:dyDescent="0.2">
      <c r="A306" s="21" t="s">
        <v>40</v>
      </c>
      <c r="B306" s="22" t="s">
        <v>7</v>
      </c>
      <c r="C306" s="21">
        <v>5.51</v>
      </c>
      <c r="D306" s="91"/>
    </row>
    <row r="307" spans="1:4" ht="15.75" hidden="1" outlineLevel="1" x14ac:dyDescent="0.2">
      <c r="A307" s="21" t="s">
        <v>40</v>
      </c>
      <c r="B307" s="22" t="s">
        <v>387</v>
      </c>
      <c r="C307" s="21">
        <v>5.53</v>
      </c>
      <c r="D307" s="91"/>
    </row>
    <row r="308" spans="1:4" ht="15.75" hidden="1" outlineLevel="1" x14ac:dyDescent="0.2">
      <c r="A308" s="21" t="s">
        <v>40</v>
      </c>
      <c r="B308" s="22" t="s">
        <v>12</v>
      </c>
      <c r="C308" s="21">
        <v>5.69</v>
      </c>
      <c r="D308" s="91"/>
    </row>
    <row r="309" spans="1:4" ht="15.75" hidden="1" outlineLevel="1" x14ac:dyDescent="0.2">
      <c r="A309" s="21" t="s">
        <v>40</v>
      </c>
      <c r="B309" s="22" t="s">
        <v>412</v>
      </c>
      <c r="C309" s="21">
        <v>5.75</v>
      </c>
      <c r="D309" s="91"/>
    </row>
    <row r="310" spans="1:4" ht="15.75" hidden="1" outlineLevel="1" x14ac:dyDescent="0.2">
      <c r="A310" s="21" t="s">
        <v>40</v>
      </c>
      <c r="B310" s="22" t="s">
        <v>13</v>
      </c>
      <c r="C310" s="23">
        <v>5.7</v>
      </c>
      <c r="D310" s="91"/>
    </row>
    <row r="311" spans="1:4" ht="15.75" hidden="1" outlineLevel="1" x14ac:dyDescent="0.2">
      <c r="A311" s="21" t="s">
        <v>40</v>
      </c>
      <c r="B311" s="22" t="s">
        <v>608</v>
      </c>
      <c r="C311" s="21">
        <v>5.74</v>
      </c>
      <c r="D311" s="91"/>
    </row>
    <row r="312" spans="1:4" ht="15.75" hidden="1" outlineLevel="1" x14ac:dyDescent="0.2">
      <c r="A312" s="21" t="s">
        <v>40</v>
      </c>
      <c r="B312" s="22" t="s">
        <v>747</v>
      </c>
      <c r="C312" s="21">
        <v>5.58</v>
      </c>
      <c r="D312" s="91"/>
    </row>
    <row r="313" spans="1:4" ht="15.75" hidden="1" outlineLevel="1" x14ac:dyDescent="0.2">
      <c r="A313" s="21" t="s">
        <v>40</v>
      </c>
      <c r="B313" s="22" t="s">
        <v>10</v>
      </c>
      <c r="C313" s="21">
        <v>5.54</v>
      </c>
      <c r="D313" s="91"/>
    </row>
    <row r="314" spans="1:4" ht="15.75" hidden="1" outlineLevel="1" x14ac:dyDescent="0.2">
      <c r="A314" s="21" t="s">
        <v>40</v>
      </c>
      <c r="B314" s="22" t="s">
        <v>14</v>
      </c>
      <c r="C314" s="21">
        <v>5.55</v>
      </c>
      <c r="D314" s="91"/>
    </row>
    <row r="315" spans="1:4" ht="15.75" hidden="1" outlineLevel="1" x14ac:dyDescent="0.2">
      <c r="A315" s="21" t="s">
        <v>40</v>
      </c>
      <c r="B315" s="22" t="s">
        <v>1105</v>
      </c>
      <c r="C315" s="21">
        <v>5.63</v>
      </c>
      <c r="D315" s="91"/>
    </row>
    <row r="316" spans="1:4" ht="15.75" hidden="1" outlineLevel="1" x14ac:dyDescent="0.2">
      <c r="A316" s="21" t="s">
        <v>40</v>
      </c>
      <c r="B316" s="22" t="s">
        <v>1106</v>
      </c>
      <c r="C316" s="21">
        <v>5.65</v>
      </c>
      <c r="D316" s="91"/>
    </row>
    <row r="317" spans="1:4" ht="15.75" hidden="1" outlineLevel="1" x14ac:dyDescent="0.2">
      <c r="A317" s="21" t="s">
        <v>40</v>
      </c>
      <c r="B317" s="22" t="s">
        <v>25</v>
      </c>
      <c r="C317" s="21">
        <v>5.68</v>
      </c>
      <c r="D317" s="91"/>
    </row>
    <row r="318" spans="1:4" ht="15.75" hidden="1" outlineLevel="1" x14ac:dyDescent="0.2">
      <c r="A318" s="21" t="s">
        <v>40</v>
      </c>
      <c r="B318" s="22" t="s">
        <v>18</v>
      </c>
      <c r="C318" s="21">
        <v>5.47</v>
      </c>
      <c r="D318" s="91"/>
    </row>
    <row r="319" spans="1:4" ht="15.75" hidden="1" outlineLevel="1" x14ac:dyDescent="0.2">
      <c r="A319" s="21" t="s">
        <v>40</v>
      </c>
      <c r="B319" s="22" t="s">
        <v>29</v>
      </c>
      <c r="C319" s="21">
        <v>5.48</v>
      </c>
      <c r="D319" s="91"/>
    </row>
    <row r="320" spans="1:4" ht="15.75" collapsed="1" x14ac:dyDescent="0.2">
      <c r="A320" s="26" t="s">
        <v>40</v>
      </c>
      <c r="B320" s="22"/>
      <c r="C320" s="21"/>
      <c r="D320" s="91"/>
    </row>
    <row r="321" spans="1:4" ht="15.75" hidden="1" outlineLevel="1" x14ac:dyDescent="0.2">
      <c r="A321" s="21" t="s">
        <v>41</v>
      </c>
      <c r="B321" s="22" t="s">
        <v>636</v>
      </c>
      <c r="C321" s="21">
        <v>5.0999999999999996</v>
      </c>
      <c r="D321" s="91"/>
    </row>
    <row r="322" spans="1:4" ht="15.75" hidden="1" outlineLevel="1" x14ac:dyDescent="0.2">
      <c r="A322" s="21" t="s">
        <v>41</v>
      </c>
      <c r="B322" s="22" t="s">
        <v>0</v>
      </c>
      <c r="C322" s="21">
        <v>5.2</v>
      </c>
      <c r="D322" s="91"/>
    </row>
    <row r="323" spans="1:4" ht="15.75" hidden="1" outlineLevel="1" x14ac:dyDescent="0.2">
      <c r="A323" s="21" t="s">
        <v>41</v>
      </c>
      <c r="B323" s="22" t="s">
        <v>1</v>
      </c>
      <c r="C323" s="21">
        <v>5.26</v>
      </c>
      <c r="D323" s="91"/>
    </row>
    <row r="324" spans="1:4" ht="15.75" hidden="1" outlineLevel="1" x14ac:dyDescent="0.2">
      <c r="A324" s="21" t="s">
        <v>41</v>
      </c>
      <c r="B324" s="22" t="s">
        <v>3</v>
      </c>
      <c r="C324" s="21">
        <v>5.14</v>
      </c>
      <c r="D324" s="91"/>
    </row>
    <row r="325" spans="1:4" ht="15.75" hidden="1" outlineLevel="1" x14ac:dyDescent="0.2">
      <c r="A325" s="21" t="s">
        <v>41</v>
      </c>
      <c r="B325" s="22" t="s">
        <v>28</v>
      </c>
      <c r="C325" s="21">
        <v>5.19</v>
      </c>
      <c r="D325" s="91"/>
    </row>
    <row r="326" spans="1:4" ht="15.75" hidden="1" outlineLevel="1" x14ac:dyDescent="0.2">
      <c r="A326" s="21" t="s">
        <v>41</v>
      </c>
      <c r="B326" s="22" t="s">
        <v>11</v>
      </c>
      <c r="C326" s="21">
        <v>5.37</v>
      </c>
      <c r="D326" s="91"/>
    </row>
    <row r="327" spans="1:4" ht="15.75" hidden="1" outlineLevel="1" x14ac:dyDescent="0.2">
      <c r="A327" s="21" t="s">
        <v>41</v>
      </c>
      <c r="B327" s="22" t="s">
        <v>12</v>
      </c>
      <c r="C327" s="21">
        <v>5.69</v>
      </c>
      <c r="D327" s="91"/>
    </row>
    <row r="328" spans="1:4" ht="15.75" hidden="1" outlineLevel="1" x14ac:dyDescent="0.2">
      <c r="A328" s="21" t="s">
        <v>41</v>
      </c>
      <c r="B328" s="22" t="s">
        <v>275</v>
      </c>
      <c r="C328" s="23">
        <v>5.8</v>
      </c>
      <c r="D328" s="91"/>
    </row>
    <row r="329" spans="1:4" ht="15.75" hidden="1" outlineLevel="1" x14ac:dyDescent="0.2">
      <c r="A329" s="21" t="s">
        <v>41</v>
      </c>
      <c r="B329" s="22" t="s">
        <v>412</v>
      </c>
      <c r="C329" s="21">
        <v>5.75</v>
      </c>
      <c r="D329" s="91"/>
    </row>
    <row r="330" spans="1:4" ht="15.75" hidden="1" outlineLevel="1" x14ac:dyDescent="0.2">
      <c r="A330" s="21" t="s">
        <v>41</v>
      </c>
      <c r="B330" s="22" t="s">
        <v>13</v>
      </c>
      <c r="C330" s="23">
        <v>5.7</v>
      </c>
      <c r="D330" s="91"/>
    </row>
    <row r="331" spans="1:4" ht="15.75" hidden="1" outlineLevel="1" x14ac:dyDescent="0.2">
      <c r="A331" s="21" t="s">
        <v>41</v>
      </c>
      <c r="B331" s="22" t="s">
        <v>608</v>
      </c>
      <c r="C331" s="21">
        <v>5.74</v>
      </c>
      <c r="D331" s="91"/>
    </row>
    <row r="332" spans="1:4" ht="15.75" hidden="1" outlineLevel="1" x14ac:dyDescent="0.2">
      <c r="A332" s="21" t="s">
        <v>41</v>
      </c>
      <c r="B332" s="22" t="s">
        <v>747</v>
      </c>
      <c r="C332" s="21">
        <v>5.58</v>
      </c>
      <c r="D332" s="91"/>
    </row>
    <row r="333" spans="1:4" ht="15.75" hidden="1" outlineLevel="1" x14ac:dyDescent="0.2">
      <c r="A333" s="21" t="s">
        <v>41</v>
      </c>
      <c r="B333" s="22" t="s">
        <v>14</v>
      </c>
      <c r="C333" s="21">
        <v>5.55</v>
      </c>
      <c r="D333" s="91"/>
    </row>
    <row r="334" spans="1:4" ht="15.75" hidden="1" outlineLevel="1" x14ac:dyDescent="0.2">
      <c r="A334" s="21" t="s">
        <v>41</v>
      </c>
      <c r="B334" s="22" t="s">
        <v>1105</v>
      </c>
      <c r="C334" s="21">
        <v>5.63</v>
      </c>
      <c r="D334" s="91"/>
    </row>
    <row r="335" spans="1:4" ht="15.75" hidden="1" outlineLevel="1" x14ac:dyDescent="0.2">
      <c r="A335" s="21" t="s">
        <v>41</v>
      </c>
      <c r="B335" s="22" t="s">
        <v>1106</v>
      </c>
      <c r="C335" s="21">
        <v>5.65</v>
      </c>
      <c r="D335" s="91"/>
    </row>
    <row r="336" spans="1:4" ht="15.75" hidden="1" outlineLevel="1" x14ac:dyDescent="0.2">
      <c r="A336" s="21" t="s">
        <v>41</v>
      </c>
      <c r="B336" s="22" t="s">
        <v>25</v>
      </c>
      <c r="C336" s="21">
        <v>5.68</v>
      </c>
      <c r="D336" s="91"/>
    </row>
    <row r="337" spans="1:4" ht="15.75" hidden="1" outlineLevel="1" x14ac:dyDescent="0.2">
      <c r="A337" s="21" t="s">
        <v>41</v>
      </c>
      <c r="B337" s="22" t="s">
        <v>18</v>
      </c>
      <c r="C337" s="21">
        <v>5.47</v>
      </c>
      <c r="D337" s="91"/>
    </row>
    <row r="338" spans="1:4" ht="15.75" hidden="1" outlineLevel="1" x14ac:dyDescent="0.2">
      <c r="A338" s="21" t="s">
        <v>41</v>
      </c>
      <c r="B338" s="22" t="s">
        <v>29</v>
      </c>
      <c r="C338" s="21">
        <v>5.48</v>
      </c>
      <c r="D338" s="91"/>
    </row>
    <row r="339" spans="1:4" ht="15.75" collapsed="1" x14ac:dyDescent="0.2">
      <c r="A339" s="26" t="s">
        <v>41</v>
      </c>
      <c r="B339" s="22"/>
      <c r="C339" s="21"/>
      <c r="D339" s="91"/>
    </row>
    <row r="340" spans="1:4" ht="15.75" hidden="1" outlineLevel="1" x14ac:dyDescent="0.2">
      <c r="A340" s="21" t="s">
        <v>652</v>
      </c>
      <c r="B340" s="22" t="s">
        <v>756</v>
      </c>
      <c r="C340" s="21">
        <v>5.0999999999999996</v>
      </c>
      <c r="D340" s="91"/>
    </row>
    <row r="341" spans="1:4" ht="15.75" hidden="1" outlineLevel="1" x14ac:dyDescent="0.2">
      <c r="A341" s="21" t="s">
        <v>652</v>
      </c>
      <c r="B341" s="22" t="s">
        <v>0</v>
      </c>
      <c r="C341" s="21">
        <v>5.2</v>
      </c>
      <c r="D341" s="91"/>
    </row>
    <row r="342" spans="1:4" ht="15.75" hidden="1" outlineLevel="1" x14ac:dyDescent="0.2">
      <c r="A342" s="21" t="s">
        <v>652</v>
      </c>
      <c r="B342" s="22" t="s">
        <v>1</v>
      </c>
      <c r="C342" s="21">
        <v>5.26</v>
      </c>
      <c r="D342" s="91"/>
    </row>
    <row r="343" spans="1:4" ht="15.75" hidden="1" outlineLevel="1" x14ac:dyDescent="0.2">
      <c r="A343" s="21" t="s">
        <v>652</v>
      </c>
      <c r="B343" s="22" t="s">
        <v>734</v>
      </c>
      <c r="C343" s="21">
        <v>5.38</v>
      </c>
      <c r="D343" s="91"/>
    </row>
    <row r="344" spans="1:4" ht="15.75" hidden="1" outlineLevel="1" x14ac:dyDescent="0.2">
      <c r="A344" s="21" t="s">
        <v>652</v>
      </c>
      <c r="B344" s="22" t="s">
        <v>733</v>
      </c>
      <c r="C344" s="21">
        <v>5.39</v>
      </c>
      <c r="D344" s="91"/>
    </row>
    <row r="345" spans="1:4" ht="15.75" hidden="1" outlineLevel="1" x14ac:dyDescent="0.2">
      <c r="A345" s="21" t="s">
        <v>652</v>
      </c>
      <c r="B345" s="22" t="s">
        <v>1112</v>
      </c>
      <c r="C345" s="23">
        <v>5.6</v>
      </c>
      <c r="D345" s="91"/>
    </row>
    <row r="346" spans="1:4" ht="15.75" hidden="1" outlineLevel="1" x14ac:dyDescent="0.2">
      <c r="A346" s="21" t="s">
        <v>652</v>
      </c>
      <c r="B346" s="22" t="s">
        <v>29</v>
      </c>
      <c r="C346" s="21">
        <v>5.48</v>
      </c>
      <c r="D346" s="91"/>
    </row>
    <row r="347" spans="1:4" ht="15.75" collapsed="1" x14ac:dyDescent="0.2">
      <c r="A347" s="26" t="s">
        <v>652</v>
      </c>
      <c r="B347" s="22"/>
      <c r="C347" s="21"/>
      <c r="D347" s="91"/>
    </row>
    <row r="348" spans="1:4" ht="15.75" hidden="1" outlineLevel="1" x14ac:dyDescent="0.2">
      <c r="A348" s="21" t="s">
        <v>42</v>
      </c>
      <c r="B348" s="22" t="s">
        <v>636</v>
      </c>
      <c r="C348" s="21">
        <v>5.0999999999999996</v>
      </c>
      <c r="D348" s="91"/>
    </row>
    <row r="349" spans="1:4" ht="15.75" hidden="1" outlineLevel="1" x14ac:dyDescent="0.2">
      <c r="A349" s="21" t="s">
        <v>42</v>
      </c>
      <c r="B349" s="22" t="s">
        <v>0</v>
      </c>
      <c r="C349" s="21">
        <v>5.2</v>
      </c>
      <c r="D349" s="91"/>
    </row>
    <row r="350" spans="1:4" ht="15.75" hidden="1" outlineLevel="1" x14ac:dyDescent="0.2">
      <c r="A350" s="21" t="s">
        <v>42</v>
      </c>
      <c r="B350" s="22" t="s">
        <v>703</v>
      </c>
      <c r="C350" s="21">
        <v>5.3</v>
      </c>
      <c r="D350" s="91"/>
    </row>
    <row r="351" spans="1:4" ht="15.75" hidden="1" outlineLevel="1" x14ac:dyDescent="0.2">
      <c r="A351" s="21" t="s">
        <v>42</v>
      </c>
      <c r="B351" s="22" t="s">
        <v>2</v>
      </c>
      <c r="C351" s="21">
        <v>5.6</v>
      </c>
      <c r="D351" s="91"/>
    </row>
    <row r="352" spans="1:4" ht="15.75" hidden="1" outlineLevel="1" x14ac:dyDescent="0.2">
      <c r="A352" s="21" t="s">
        <v>42</v>
      </c>
      <c r="B352" s="22" t="s">
        <v>709</v>
      </c>
      <c r="C352" s="23">
        <v>5.0999999999999996</v>
      </c>
      <c r="D352" s="91"/>
    </row>
    <row r="353" spans="1:4" ht="15.75" hidden="1" outlineLevel="1" x14ac:dyDescent="0.2">
      <c r="A353" s="21" t="s">
        <v>42</v>
      </c>
      <c r="B353" s="22" t="s">
        <v>3</v>
      </c>
      <c r="C353" s="21">
        <v>5.14</v>
      </c>
      <c r="D353" s="91"/>
    </row>
    <row r="354" spans="1:4" ht="15.75" hidden="1" outlineLevel="1" x14ac:dyDescent="0.2">
      <c r="A354" s="21" t="s">
        <v>42</v>
      </c>
      <c r="B354" s="22" t="s">
        <v>28</v>
      </c>
      <c r="C354" s="21">
        <v>5.19</v>
      </c>
      <c r="D354" s="91"/>
    </row>
    <row r="355" spans="1:4" ht="15.75" hidden="1" outlineLevel="1" x14ac:dyDescent="0.2">
      <c r="A355" s="21" t="s">
        <v>42</v>
      </c>
      <c r="B355" s="22" t="s">
        <v>27</v>
      </c>
      <c r="C355" s="21">
        <v>5.24</v>
      </c>
      <c r="D355" s="91"/>
    </row>
    <row r="356" spans="1:4" ht="15.75" hidden="1" outlineLevel="1" x14ac:dyDescent="0.2">
      <c r="A356" s="21" t="s">
        <v>42</v>
      </c>
      <c r="B356" s="22" t="s">
        <v>1</v>
      </c>
      <c r="C356" s="21">
        <v>5.26</v>
      </c>
      <c r="D356" s="91"/>
    </row>
    <row r="357" spans="1:4" ht="15.75" hidden="1" outlineLevel="1" x14ac:dyDescent="0.2">
      <c r="A357" s="21" t="s">
        <v>42</v>
      </c>
      <c r="B357" s="22" t="s">
        <v>591</v>
      </c>
      <c r="C357" s="21">
        <v>5.27</v>
      </c>
      <c r="D357" s="91"/>
    </row>
    <row r="358" spans="1:4" ht="15.75" hidden="1" outlineLevel="1" x14ac:dyDescent="0.2">
      <c r="A358" s="21" t="s">
        <v>42</v>
      </c>
      <c r="B358" s="22" t="s">
        <v>592</v>
      </c>
      <c r="C358" s="21">
        <v>5.28</v>
      </c>
      <c r="D358" s="91"/>
    </row>
    <row r="359" spans="1:4" ht="15.75" hidden="1" outlineLevel="1" x14ac:dyDescent="0.2">
      <c r="A359" s="21" t="s">
        <v>42</v>
      </c>
      <c r="B359" s="22" t="s">
        <v>8</v>
      </c>
      <c r="C359" s="21">
        <v>5.31</v>
      </c>
      <c r="D359" s="91"/>
    </row>
    <row r="360" spans="1:4" ht="15.75" hidden="1" outlineLevel="1" x14ac:dyDescent="0.2">
      <c r="A360" s="21" t="s">
        <v>42</v>
      </c>
      <c r="B360" s="22" t="s">
        <v>593</v>
      </c>
      <c r="C360" s="21">
        <v>5.36</v>
      </c>
      <c r="D360" s="91"/>
    </row>
    <row r="361" spans="1:4" ht="15.75" hidden="1" outlineLevel="1" x14ac:dyDescent="0.2">
      <c r="A361" s="21" t="s">
        <v>42</v>
      </c>
      <c r="B361" s="22" t="s">
        <v>11</v>
      </c>
      <c r="C361" s="21">
        <v>5.37</v>
      </c>
      <c r="D361" s="91"/>
    </row>
    <row r="362" spans="1:4" ht="15.75" hidden="1" outlineLevel="1" x14ac:dyDescent="0.2">
      <c r="A362" s="21" t="s">
        <v>42</v>
      </c>
      <c r="B362" s="22" t="s">
        <v>5</v>
      </c>
      <c r="C362" s="21">
        <v>5.49</v>
      </c>
      <c r="D362" s="91"/>
    </row>
    <row r="363" spans="1:4" ht="15.75" hidden="1" outlineLevel="1" x14ac:dyDescent="0.2">
      <c r="A363" s="21" t="s">
        <v>42</v>
      </c>
      <c r="B363" s="22" t="s">
        <v>7</v>
      </c>
      <c r="C363" s="21">
        <v>5.51</v>
      </c>
      <c r="D363" s="91"/>
    </row>
    <row r="364" spans="1:4" ht="15.75" hidden="1" outlineLevel="1" x14ac:dyDescent="0.2">
      <c r="A364" s="21" t="s">
        <v>42</v>
      </c>
      <c r="B364" s="22" t="s">
        <v>6</v>
      </c>
      <c r="C364" s="21">
        <v>5.52</v>
      </c>
      <c r="D364" s="91"/>
    </row>
    <row r="365" spans="1:4" ht="15.75" hidden="1" outlineLevel="1" x14ac:dyDescent="0.2">
      <c r="A365" s="21" t="s">
        <v>42</v>
      </c>
      <c r="B365" s="22" t="s">
        <v>387</v>
      </c>
      <c r="C365" s="21">
        <v>5.53</v>
      </c>
      <c r="D365" s="91"/>
    </row>
    <row r="366" spans="1:4" ht="15.75" hidden="1" outlineLevel="1" x14ac:dyDescent="0.2">
      <c r="A366" s="21" t="s">
        <v>42</v>
      </c>
      <c r="B366" s="22" t="s">
        <v>12</v>
      </c>
      <c r="C366" s="21">
        <v>5.69</v>
      </c>
      <c r="D366" s="91"/>
    </row>
    <row r="367" spans="1:4" ht="15.75" hidden="1" outlineLevel="1" x14ac:dyDescent="0.2">
      <c r="A367" s="21" t="s">
        <v>42</v>
      </c>
      <c r="B367" s="22" t="s">
        <v>275</v>
      </c>
      <c r="C367" s="23">
        <v>5.8</v>
      </c>
      <c r="D367" s="91"/>
    </row>
    <row r="368" spans="1:4" ht="15.75" hidden="1" outlineLevel="1" x14ac:dyDescent="0.2">
      <c r="A368" s="21" t="s">
        <v>42</v>
      </c>
      <c r="B368" s="22" t="s">
        <v>301</v>
      </c>
      <c r="C368" s="23">
        <v>5.72</v>
      </c>
      <c r="D368" s="91"/>
    </row>
    <row r="369" spans="1:4" ht="15.75" hidden="1" outlineLevel="1" x14ac:dyDescent="0.2">
      <c r="A369" s="21" t="s">
        <v>42</v>
      </c>
      <c r="B369" s="22" t="s">
        <v>412</v>
      </c>
      <c r="C369" s="21">
        <v>5.75</v>
      </c>
      <c r="D369" s="91"/>
    </row>
    <row r="370" spans="1:4" ht="15.75" hidden="1" outlineLevel="1" x14ac:dyDescent="0.2">
      <c r="A370" s="21" t="s">
        <v>42</v>
      </c>
      <c r="B370" s="22" t="s">
        <v>13</v>
      </c>
      <c r="C370" s="23">
        <v>5.7</v>
      </c>
      <c r="D370" s="91"/>
    </row>
    <row r="371" spans="1:4" ht="15.75" hidden="1" outlineLevel="1" x14ac:dyDescent="0.2">
      <c r="A371" s="21" t="s">
        <v>42</v>
      </c>
      <c r="B371" s="22" t="s">
        <v>608</v>
      </c>
      <c r="C371" s="21">
        <v>5.74</v>
      </c>
      <c r="D371" s="91"/>
    </row>
    <row r="372" spans="1:4" ht="15.75" hidden="1" outlineLevel="1" x14ac:dyDescent="0.2">
      <c r="A372" s="21" t="s">
        <v>42</v>
      </c>
      <c r="B372" s="22" t="s">
        <v>884</v>
      </c>
      <c r="C372" s="21">
        <v>5.76</v>
      </c>
      <c r="D372" s="91"/>
    </row>
    <row r="373" spans="1:4" ht="15.75" hidden="1" outlineLevel="1" x14ac:dyDescent="0.2">
      <c r="A373" s="21" t="s">
        <v>42</v>
      </c>
      <c r="B373" s="22" t="s">
        <v>654</v>
      </c>
      <c r="C373" s="21">
        <v>5.89</v>
      </c>
      <c r="D373" s="90" t="s">
        <v>893</v>
      </c>
    </row>
    <row r="374" spans="1:4" ht="15.75" hidden="1" outlineLevel="1" x14ac:dyDescent="0.2">
      <c r="A374" s="21" t="s">
        <v>42</v>
      </c>
      <c r="B374" s="22" t="s">
        <v>876</v>
      </c>
      <c r="C374" s="21">
        <v>5.109</v>
      </c>
      <c r="D374" s="90"/>
    </row>
    <row r="375" spans="1:4" ht="15.75" hidden="1" outlineLevel="1" x14ac:dyDescent="0.2">
      <c r="A375" s="21" t="s">
        <v>42</v>
      </c>
      <c r="B375" s="22" t="s">
        <v>363</v>
      </c>
      <c r="C375" s="21">
        <v>5.1109999999999998</v>
      </c>
      <c r="D375" s="91"/>
    </row>
    <row r="376" spans="1:4" ht="15.75" hidden="1" outlineLevel="1" x14ac:dyDescent="0.2">
      <c r="A376" s="21" t="s">
        <v>42</v>
      </c>
      <c r="B376" s="22" t="s">
        <v>15</v>
      </c>
      <c r="C376" s="21">
        <v>5.1120000000000001</v>
      </c>
      <c r="D376" s="91"/>
    </row>
    <row r="377" spans="1:4" ht="15.75" hidden="1" outlineLevel="1" x14ac:dyDescent="0.2">
      <c r="A377" s="21" t="s">
        <v>42</v>
      </c>
      <c r="B377" s="25" t="s">
        <v>462</v>
      </c>
      <c r="C377" s="21">
        <v>5.1130000000000004</v>
      </c>
      <c r="D377" s="91"/>
    </row>
    <row r="378" spans="1:4" ht="15.75" hidden="1" outlineLevel="1" x14ac:dyDescent="0.2">
      <c r="A378" s="21" t="s">
        <v>42</v>
      </c>
      <c r="B378" s="22" t="s">
        <v>747</v>
      </c>
      <c r="C378" s="21">
        <v>5.58</v>
      </c>
      <c r="D378" s="91"/>
    </row>
    <row r="379" spans="1:4" ht="15.75" hidden="1" outlineLevel="1" x14ac:dyDescent="0.2">
      <c r="A379" s="21" t="s">
        <v>42</v>
      </c>
      <c r="B379" s="22" t="s">
        <v>10</v>
      </c>
      <c r="C379" s="21">
        <v>5.54</v>
      </c>
      <c r="D379" s="91"/>
    </row>
    <row r="380" spans="1:4" ht="15.75" hidden="1" outlineLevel="1" x14ac:dyDescent="0.2">
      <c r="A380" s="21" t="s">
        <v>42</v>
      </c>
      <c r="B380" s="22" t="s">
        <v>14</v>
      </c>
      <c r="C380" s="21">
        <v>5.55</v>
      </c>
      <c r="D380" s="91"/>
    </row>
    <row r="381" spans="1:4" ht="15.75" hidden="1" outlineLevel="1" x14ac:dyDescent="0.2">
      <c r="A381" s="21" t="s">
        <v>42</v>
      </c>
      <c r="B381" s="22" t="s">
        <v>1105</v>
      </c>
      <c r="C381" s="21">
        <v>5.63</v>
      </c>
      <c r="D381" s="91"/>
    </row>
    <row r="382" spans="1:4" ht="15.75" hidden="1" outlineLevel="1" x14ac:dyDescent="0.2">
      <c r="A382" s="21" t="s">
        <v>42</v>
      </c>
      <c r="B382" s="22" t="s">
        <v>1106</v>
      </c>
      <c r="C382" s="21">
        <v>5.65</v>
      </c>
      <c r="D382" s="91"/>
    </row>
    <row r="383" spans="1:4" ht="15.75" hidden="1" outlineLevel="1" x14ac:dyDescent="0.2">
      <c r="A383" s="21" t="s">
        <v>42</v>
      </c>
      <c r="B383" s="22" t="s">
        <v>760</v>
      </c>
      <c r="C383" s="21">
        <v>5.66</v>
      </c>
      <c r="D383" s="91"/>
    </row>
    <row r="384" spans="1:4" ht="15.75" hidden="1" outlineLevel="1" x14ac:dyDescent="0.2">
      <c r="A384" s="21" t="s">
        <v>42</v>
      </c>
      <c r="B384" s="22" t="s">
        <v>25</v>
      </c>
      <c r="C384" s="21">
        <v>5.68</v>
      </c>
      <c r="D384" s="91"/>
    </row>
    <row r="385" spans="1:4" ht="15.75" hidden="1" outlineLevel="1" x14ac:dyDescent="0.2">
      <c r="A385" s="21" t="s">
        <v>42</v>
      </c>
      <c r="B385" s="22" t="s">
        <v>18</v>
      </c>
      <c r="C385" s="21">
        <v>5.47</v>
      </c>
      <c r="D385" s="91"/>
    </row>
    <row r="386" spans="1:4" ht="15.75" hidden="1" outlineLevel="1" x14ac:dyDescent="0.2">
      <c r="A386" s="21" t="s">
        <v>42</v>
      </c>
      <c r="B386" s="22" t="s">
        <v>29</v>
      </c>
      <c r="C386" s="21">
        <v>5.48</v>
      </c>
      <c r="D386" s="91"/>
    </row>
    <row r="387" spans="1:4" ht="15.75" collapsed="1" x14ac:dyDescent="0.2">
      <c r="A387" s="26" t="s">
        <v>42</v>
      </c>
      <c r="B387" s="22"/>
      <c r="C387" s="21"/>
      <c r="D387" s="91"/>
    </row>
    <row r="388" spans="1:4" ht="15.75" hidden="1" outlineLevel="1" x14ac:dyDescent="0.2">
      <c r="A388" s="21" t="s">
        <v>43</v>
      </c>
      <c r="B388" s="22" t="s">
        <v>636</v>
      </c>
      <c r="C388" s="21">
        <v>5.0999999999999996</v>
      </c>
      <c r="D388" s="91"/>
    </row>
    <row r="389" spans="1:4" ht="15.75" hidden="1" outlineLevel="1" x14ac:dyDescent="0.2">
      <c r="A389" s="21" t="s">
        <v>43</v>
      </c>
      <c r="B389" s="22" t="s">
        <v>0</v>
      </c>
      <c r="C389" s="21">
        <v>5.2</v>
      </c>
      <c r="D389" s="91"/>
    </row>
    <row r="390" spans="1:4" ht="15.75" hidden="1" outlineLevel="1" x14ac:dyDescent="0.2">
      <c r="A390" s="21" t="s">
        <v>43</v>
      </c>
      <c r="B390" s="22" t="s">
        <v>703</v>
      </c>
      <c r="C390" s="21">
        <v>5.3</v>
      </c>
      <c r="D390" s="91"/>
    </row>
    <row r="391" spans="1:4" ht="15.75" hidden="1" outlineLevel="1" x14ac:dyDescent="0.2">
      <c r="A391" s="21" t="s">
        <v>43</v>
      </c>
      <c r="B391" s="22" t="s">
        <v>2</v>
      </c>
      <c r="C391" s="21">
        <v>5.6</v>
      </c>
      <c r="D391" s="91"/>
    </row>
    <row r="392" spans="1:4" ht="15.75" hidden="1" outlineLevel="1" x14ac:dyDescent="0.2">
      <c r="A392" s="21" t="s">
        <v>43</v>
      </c>
      <c r="B392" s="22" t="s">
        <v>709</v>
      </c>
      <c r="C392" s="23">
        <v>5.0999999999999996</v>
      </c>
      <c r="D392" s="91"/>
    </row>
    <row r="393" spans="1:4" ht="15.75" hidden="1" outlineLevel="1" x14ac:dyDescent="0.2">
      <c r="A393" s="21" t="s">
        <v>43</v>
      </c>
      <c r="B393" s="22" t="s">
        <v>3</v>
      </c>
      <c r="C393" s="21">
        <v>5.14</v>
      </c>
      <c r="D393" s="91"/>
    </row>
    <row r="394" spans="1:4" ht="15.75" hidden="1" outlineLevel="1" x14ac:dyDescent="0.2">
      <c r="A394" s="21" t="s">
        <v>43</v>
      </c>
      <c r="B394" s="22" t="s">
        <v>28</v>
      </c>
      <c r="C394" s="21">
        <v>5.19</v>
      </c>
      <c r="D394" s="91"/>
    </row>
    <row r="395" spans="1:4" ht="15.75" hidden="1" outlineLevel="1" x14ac:dyDescent="0.2">
      <c r="A395" s="21" t="s">
        <v>43</v>
      </c>
      <c r="B395" s="22" t="s">
        <v>27</v>
      </c>
      <c r="C395" s="21">
        <v>5.24</v>
      </c>
      <c r="D395" s="91"/>
    </row>
    <row r="396" spans="1:4" ht="15.75" hidden="1" outlineLevel="1" x14ac:dyDescent="0.2">
      <c r="A396" s="21" t="s">
        <v>43</v>
      </c>
      <c r="B396" s="22" t="s">
        <v>1</v>
      </c>
      <c r="C396" s="21">
        <v>5.26</v>
      </c>
      <c r="D396" s="91"/>
    </row>
    <row r="397" spans="1:4" ht="15.75" hidden="1" outlineLevel="1" x14ac:dyDescent="0.2">
      <c r="A397" s="21" t="s">
        <v>43</v>
      </c>
      <c r="B397" s="22" t="s">
        <v>591</v>
      </c>
      <c r="C397" s="21">
        <v>5.27</v>
      </c>
      <c r="D397" s="91"/>
    </row>
    <row r="398" spans="1:4" ht="15.75" hidden="1" outlineLevel="1" x14ac:dyDescent="0.2">
      <c r="A398" s="21" t="s">
        <v>43</v>
      </c>
      <c r="B398" s="22" t="s">
        <v>592</v>
      </c>
      <c r="C398" s="21">
        <v>5.28</v>
      </c>
      <c r="D398" s="91"/>
    </row>
    <row r="399" spans="1:4" ht="15.75" hidden="1" outlineLevel="1" x14ac:dyDescent="0.2">
      <c r="A399" s="21" t="s">
        <v>43</v>
      </c>
      <c r="B399" s="22" t="s">
        <v>596</v>
      </c>
      <c r="C399" s="21">
        <v>5.29</v>
      </c>
      <c r="D399" s="91"/>
    </row>
    <row r="400" spans="1:4" ht="15.75" hidden="1" outlineLevel="1" x14ac:dyDescent="0.2">
      <c r="A400" s="21" t="s">
        <v>43</v>
      </c>
      <c r="B400" s="22" t="s">
        <v>8</v>
      </c>
      <c r="C400" s="21">
        <v>5.31</v>
      </c>
      <c r="D400" s="91"/>
    </row>
    <row r="401" spans="1:4" ht="15.75" hidden="1" outlineLevel="1" x14ac:dyDescent="0.2">
      <c r="A401" s="21" t="s">
        <v>43</v>
      </c>
      <c r="B401" s="22" t="s">
        <v>593</v>
      </c>
      <c r="C401" s="21">
        <v>5.36</v>
      </c>
      <c r="D401" s="91"/>
    </row>
    <row r="402" spans="1:4" ht="15.75" hidden="1" outlineLevel="1" x14ac:dyDescent="0.2">
      <c r="A402" s="21" t="s">
        <v>43</v>
      </c>
      <c r="B402" s="22" t="s">
        <v>11</v>
      </c>
      <c r="C402" s="21">
        <v>5.37</v>
      </c>
      <c r="D402" s="91"/>
    </row>
    <row r="403" spans="1:4" ht="15.75" hidden="1" outlineLevel="1" x14ac:dyDescent="0.2">
      <c r="A403" s="21" t="s">
        <v>43</v>
      </c>
      <c r="B403" s="22" t="s">
        <v>5</v>
      </c>
      <c r="C403" s="21">
        <v>5.49</v>
      </c>
      <c r="D403" s="91"/>
    </row>
    <row r="404" spans="1:4" ht="15.75" hidden="1" outlineLevel="1" x14ac:dyDescent="0.2">
      <c r="A404" s="21" t="s">
        <v>43</v>
      </c>
      <c r="B404" s="22" t="s">
        <v>7</v>
      </c>
      <c r="C404" s="21">
        <v>5.51</v>
      </c>
      <c r="D404" s="91"/>
    </row>
    <row r="405" spans="1:4" ht="15.75" hidden="1" outlineLevel="1" x14ac:dyDescent="0.2">
      <c r="A405" s="21" t="s">
        <v>43</v>
      </c>
      <c r="B405" s="22" t="s">
        <v>6</v>
      </c>
      <c r="C405" s="21">
        <v>5.52</v>
      </c>
      <c r="D405" s="91"/>
    </row>
    <row r="406" spans="1:4" ht="15.75" hidden="1" outlineLevel="1" x14ac:dyDescent="0.2">
      <c r="A406" s="21" t="s">
        <v>43</v>
      </c>
      <c r="B406" s="22" t="s">
        <v>387</v>
      </c>
      <c r="C406" s="21">
        <v>5.53</v>
      </c>
      <c r="D406" s="91"/>
    </row>
    <row r="407" spans="1:4" ht="15.75" hidden="1" outlineLevel="1" x14ac:dyDescent="0.2">
      <c r="A407" s="21" t="s">
        <v>43</v>
      </c>
      <c r="B407" s="22" t="s">
        <v>12</v>
      </c>
      <c r="C407" s="21">
        <v>5.69</v>
      </c>
      <c r="D407" s="91"/>
    </row>
    <row r="408" spans="1:4" ht="15.75" hidden="1" outlineLevel="1" x14ac:dyDescent="0.2">
      <c r="A408" s="21" t="s">
        <v>43</v>
      </c>
      <c r="B408" s="22" t="s">
        <v>412</v>
      </c>
      <c r="C408" s="21">
        <v>5.75</v>
      </c>
      <c r="D408" s="91"/>
    </row>
    <row r="409" spans="1:4" ht="15.75" hidden="1" outlineLevel="1" x14ac:dyDescent="0.2">
      <c r="A409" s="21" t="s">
        <v>43</v>
      </c>
      <c r="B409" s="22" t="s">
        <v>608</v>
      </c>
      <c r="C409" s="21">
        <v>5.74</v>
      </c>
      <c r="D409" s="91"/>
    </row>
    <row r="410" spans="1:4" ht="15.75" hidden="1" outlineLevel="1" x14ac:dyDescent="0.2">
      <c r="A410" s="21" t="s">
        <v>43</v>
      </c>
      <c r="B410" s="22" t="s">
        <v>13</v>
      </c>
      <c r="C410" s="23">
        <v>5.7</v>
      </c>
      <c r="D410" s="91"/>
    </row>
    <row r="411" spans="1:4" ht="15.75" hidden="1" outlineLevel="1" x14ac:dyDescent="0.2">
      <c r="A411" s="21" t="s">
        <v>43</v>
      </c>
      <c r="B411" s="22" t="s">
        <v>884</v>
      </c>
      <c r="C411" s="21">
        <v>5.76</v>
      </c>
      <c r="D411" s="91"/>
    </row>
    <row r="412" spans="1:4" ht="15.75" hidden="1" outlineLevel="1" x14ac:dyDescent="0.2">
      <c r="A412" s="21" t="s">
        <v>43</v>
      </c>
      <c r="B412" s="22" t="s">
        <v>654</v>
      </c>
      <c r="C412" s="21">
        <v>5.89</v>
      </c>
      <c r="D412" s="90" t="s">
        <v>893</v>
      </c>
    </row>
    <row r="413" spans="1:4" ht="15.75" hidden="1" outlineLevel="1" x14ac:dyDescent="0.2">
      <c r="A413" s="21" t="s">
        <v>43</v>
      </c>
      <c r="B413" s="22" t="s">
        <v>876</v>
      </c>
      <c r="C413" s="21">
        <v>5.109</v>
      </c>
      <c r="D413" s="91"/>
    </row>
    <row r="414" spans="1:4" ht="15.75" hidden="1" outlineLevel="1" x14ac:dyDescent="0.2">
      <c r="A414" s="21" t="s">
        <v>43</v>
      </c>
      <c r="B414" s="22" t="s">
        <v>363</v>
      </c>
      <c r="C414" s="21">
        <v>5.1109999999999998</v>
      </c>
      <c r="D414" s="91"/>
    </row>
    <row r="415" spans="1:4" ht="15.75" hidden="1" outlineLevel="1" x14ac:dyDescent="0.2">
      <c r="A415" s="21" t="s">
        <v>43</v>
      </c>
      <c r="B415" s="22" t="s">
        <v>15</v>
      </c>
      <c r="C415" s="21">
        <v>5.1120000000000001</v>
      </c>
      <c r="D415" s="91"/>
    </row>
    <row r="416" spans="1:4" ht="15.75" hidden="1" outlineLevel="1" x14ac:dyDescent="0.2">
      <c r="A416" s="21" t="s">
        <v>43</v>
      </c>
      <c r="B416" s="25" t="s">
        <v>462</v>
      </c>
      <c r="C416" s="21">
        <v>5.1130000000000004</v>
      </c>
      <c r="D416" s="91"/>
    </row>
    <row r="417" spans="1:4" ht="15.75" hidden="1" outlineLevel="1" x14ac:dyDescent="0.2">
      <c r="A417" s="21" t="s">
        <v>43</v>
      </c>
      <c r="B417" s="22" t="s">
        <v>747</v>
      </c>
      <c r="C417" s="21">
        <v>5.58</v>
      </c>
      <c r="D417" s="91"/>
    </row>
    <row r="418" spans="1:4" ht="15.75" hidden="1" outlineLevel="1" x14ac:dyDescent="0.2">
      <c r="A418" s="21" t="s">
        <v>43</v>
      </c>
      <c r="B418" s="22" t="s">
        <v>10</v>
      </c>
      <c r="C418" s="21">
        <v>5.54</v>
      </c>
      <c r="D418" s="91"/>
    </row>
    <row r="419" spans="1:4" ht="15.75" hidden="1" outlineLevel="1" x14ac:dyDescent="0.2">
      <c r="A419" s="21" t="s">
        <v>43</v>
      </c>
      <c r="B419" s="22" t="s">
        <v>14</v>
      </c>
      <c r="C419" s="21">
        <v>5.55</v>
      </c>
      <c r="D419" s="91"/>
    </row>
    <row r="420" spans="1:4" ht="15.75" hidden="1" outlineLevel="1" x14ac:dyDescent="0.2">
      <c r="A420" s="21" t="s">
        <v>43</v>
      </c>
      <c r="B420" s="22" t="s">
        <v>1105</v>
      </c>
      <c r="C420" s="21">
        <v>5.63</v>
      </c>
      <c r="D420" s="91"/>
    </row>
    <row r="421" spans="1:4" ht="15.75" hidden="1" outlineLevel="1" x14ac:dyDescent="0.2">
      <c r="A421" s="21" t="s">
        <v>43</v>
      </c>
      <c r="B421" s="22" t="s">
        <v>1106</v>
      </c>
      <c r="C421" s="21">
        <v>5.65</v>
      </c>
      <c r="D421" s="91"/>
    </row>
    <row r="422" spans="1:4" ht="15.75" hidden="1" outlineLevel="1" x14ac:dyDescent="0.2">
      <c r="A422" s="21" t="s">
        <v>43</v>
      </c>
      <c r="B422" s="22" t="s">
        <v>760</v>
      </c>
      <c r="C422" s="21">
        <v>5.66</v>
      </c>
      <c r="D422" s="91"/>
    </row>
    <row r="423" spans="1:4" ht="15.75" hidden="1" outlineLevel="1" x14ac:dyDescent="0.2">
      <c r="A423" s="21" t="s">
        <v>43</v>
      </c>
      <c r="B423" s="22" t="s">
        <v>25</v>
      </c>
      <c r="C423" s="21">
        <v>5.68</v>
      </c>
      <c r="D423" s="91"/>
    </row>
    <row r="424" spans="1:4" ht="15.75" hidden="1" outlineLevel="1" x14ac:dyDescent="0.2">
      <c r="A424" s="21" t="s">
        <v>43</v>
      </c>
      <c r="B424" s="22" t="s">
        <v>18</v>
      </c>
      <c r="C424" s="21">
        <v>5.47</v>
      </c>
      <c r="D424" s="91"/>
    </row>
    <row r="425" spans="1:4" ht="15.75" hidden="1" outlineLevel="1" x14ac:dyDescent="0.2">
      <c r="A425" s="21" t="s">
        <v>43</v>
      </c>
      <c r="B425" s="22" t="s">
        <v>29</v>
      </c>
      <c r="C425" s="21">
        <v>5.48</v>
      </c>
      <c r="D425" s="91"/>
    </row>
    <row r="426" spans="1:4" ht="15.75" collapsed="1" x14ac:dyDescent="0.2">
      <c r="A426" s="26" t="s">
        <v>43</v>
      </c>
      <c r="B426" s="22"/>
      <c r="C426" s="21"/>
      <c r="D426" s="91"/>
    </row>
    <row r="427" spans="1:4" ht="15.75" hidden="1" outlineLevel="1" x14ac:dyDescent="0.2">
      <c r="A427" s="21" t="s">
        <v>1163</v>
      </c>
      <c r="B427" s="22" t="s">
        <v>636</v>
      </c>
      <c r="C427" s="21">
        <v>5.0999999999999996</v>
      </c>
      <c r="D427" s="91"/>
    </row>
    <row r="428" spans="1:4" ht="15.75" hidden="1" outlineLevel="1" x14ac:dyDescent="0.2">
      <c r="A428" s="21" t="s">
        <v>1163</v>
      </c>
      <c r="B428" s="22" t="s">
        <v>0</v>
      </c>
      <c r="C428" s="21">
        <v>5.2</v>
      </c>
      <c r="D428" s="91"/>
    </row>
    <row r="429" spans="1:4" ht="15.75" hidden="1" outlineLevel="1" x14ac:dyDescent="0.2">
      <c r="A429" s="21" t="s">
        <v>1163</v>
      </c>
      <c r="B429" s="22" t="s">
        <v>703</v>
      </c>
      <c r="C429" s="21">
        <v>5.3</v>
      </c>
      <c r="D429" s="91"/>
    </row>
    <row r="430" spans="1:4" ht="15.75" hidden="1" outlineLevel="1" x14ac:dyDescent="0.2">
      <c r="A430" s="21" t="s">
        <v>1163</v>
      </c>
      <c r="B430" s="22" t="s">
        <v>2</v>
      </c>
      <c r="C430" s="21">
        <v>5.6</v>
      </c>
      <c r="D430" s="91"/>
    </row>
    <row r="431" spans="1:4" ht="15.75" hidden="1" outlineLevel="1" x14ac:dyDescent="0.2">
      <c r="A431" s="21" t="s">
        <v>1163</v>
      </c>
      <c r="B431" s="22" t="s">
        <v>709</v>
      </c>
      <c r="C431" s="23">
        <v>5.0999999999999996</v>
      </c>
      <c r="D431" s="91"/>
    </row>
    <row r="432" spans="1:4" ht="15.75" hidden="1" outlineLevel="1" x14ac:dyDescent="0.2">
      <c r="A432" s="21" t="s">
        <v>1163</v>
      </c>
      <c r="B432" s="22" t="s">
        <v>3</v>
      </c>
      <c r="C432" s="21">
        <v>5.14</v>
      </c>
      <c r="D432" s="91"/>
    </row>
    <row r="433" spans="1:4" ht="15.75" hidden="1" outlineLevel="1" x14ac:dyDescent="0.2">
      <c r="A433" s="21" t="s">
        <v>1163</v>
      </c>
      <c r="B433" s="22" t="s">
        <v>28</v>
      </c>
      <c r="C433" s="21">
        <v>5.19</v>
      </c>
      <c r="D433" s="91"/>
    </row>
    <row r="434" spans="1:4" ht="15.75" hidden="1" outlineLevel="1" x14ac:dyDescent="0.2">
      <c r="A434" s="21" t="s">
        <v>1163</v>
      </c>
      <c r="B434" s="22" t="s">
        <v>27</v>
      </c>
      <c r="C434" s="21">
        <v>5.24</v>
      </c>
      <c r="D434" s="91"/>
    </row>
    <row r="435" spans="1:4" ht="15.75" hidden="1" outlineLevel="1" x14ac:dyDescent="0.2">
      <c r="A435" s="21" t="s">
        <v>1163</v>
      </c>
      <c r="B435" s="22" t="s">
        <v>1</v>
      </c>
      <c r="C435" s="21">
        <v>5.26</v>
      </c>
      <c r="D435" s="91"/>
    </row>
    <row r="436" spans="1:4" ht="15.75" hidden="1" outlineLevel="1" x14ac:dyDescent="0.2">
      <c r="A436" s="21" t="s">
        <v>1163</v>
      </c>
      <c r="B436" s="22" t="s">
        <v>591</v>
      </c>
      <c r="C436" s="21">
        <v>5.27</v>
      </c>
      <c r="D436" s="91"/>
    </row>
    <row r="437" spans="1:4" ht="15.75" hidden="1" outlineLevel="1" x14ac:dyDescent="0.2">
      <c r="A437" s="21" t="s">
        <v>1163</v>
      </c>
      <c r="B437" s="22" t="s">
        <v>592</v>
      </c>
      <c r="C437" s="21">
        <v>5.28</v>
      </c>
      <c r="D437" s="91"/>
    </row>
    <row r="438" spans="1:4" ht="15.75" hidden="1" outlineLevel="1" x14ac:dyDescent="0.2">
      <c r="A438" s="21" t="s">
        <v>1163</v>
      </c>
      <c r="B438" s="22" t="s">
        <v>596</v>
      </c>
      <c r="C438" s="21">
        <v>5.29</v>
      </c>
      <c r="D438" s="91"/>
    </row>
    <row r="439" spans="1:4" ht="15.75" hidden="1" outlineLevel="1" x14ac:dyDescent="0.2">
      <c r="A439" s="21" t="s">
        <v>1163</v>
      </c>
      <c r="B439" s="22" t="s">
        <v>8</v>
      </c>
      <c r="C439" s="21">
        <v>5.31</v>
      </c>
      <c r="D439" s="91"/>
    </row>
    <row r="440" spans="1:4" ht="15.75" hidden="1" outlineLevel="1" x14ac:dyDescent="0.2">
      <c r="A440" s="21" t="s">
        <v>1163</v>
      </c>
      <c r="B440" s="22" t="s">
        <v>593</v>
      </c>
      <c r="C440" s="21">
        <v>5.36</v>
      </c>
      <c r="D440" s="91"/>
    </row>
    <row r="441" spans="1:4" ht="15.75" hidden="1" outlineLevel="1" x14ac:dyDescent="0.2">
      <c r="A441" s="21" t="s">
        <v>1163</v>
      </c>
      <c r="B441" s="22" t="s">
        <v>11</v>
      </c>
      <c r="C441" s="21">
        <v>5.37</v>
      </c>
      <c r="D441" s="91"/>
    </row>
    <row r="442" spans="1:4" ht="15.75" hidden="1" outlineLevel="1" x14ac:dyDescent="0.2">
      <c r="A442" s="21" t="s">
        <v>1163</v>
      </c>
      <c r="B442" s="22" t="s">
        <v>387</v>
      </c>
      <c r="C442" s="21">
        <v>5.53</v>
      </c>
      <c r="D442" s="91"/>
    </row>
    <row r="443" spans="1:4" ht="15.75" hidden="1" outlineLevel="1" x14ac:dyDescent="0.2">
      <c r="A443" s="21" t="s">
        <v>1163</v>
      </c>
      <c r="B443" s="22" t="s">
        <v>876</v>
      </c>
      <c r="C443" s="21">
        <v>5.109</v>
      </c>
      <c r="D443" s="91"/>
    </row>
    <row r="444" spans="1:4" ht="15.75" hidden="1" outlineLevel="1" x14ac:dyDescent="0.2">
      <c r="A444" s="21" t="s">
        <v>1163</v>
      </c>
      <c r="B444" s="22" t="s">
        <v>363</v>
      </c>
      <c r="C444" s="21">
        <v>5.1109999999999998</v>
      </c>
      <c r="D444" s="91"/>
    </row>
    <row r="445" spans="1:4" ht="15.75" hidden="1" outlineLevel="1" x14ac:dyDescent="0.2">
      <c r="A445" s="21" t="s">
        <v>1163</v>
      </c>
      <c r="B445" s="22" t="s">
        <v>15</v>
      </c>
      <c r="C445" s="21">
        <v>5.1120000000000001</v>
      </c>
      <c r="D445" s="91"/>
    </row>
    <row r="446" spans="1:4" ht="15.75" hidden="1" outlineLevel="1" x14ac:dyDescent="0.2">
      <c r="A446" s="21" t="s">
        <v>1163</v>
      </c>
      <c r="B446" s="25" t="s">
        <v>462</v>
      </c>
      <c r="C446" s="21">
        <v>5.1130000000000004</v>
      </c>
      <c r="D446" s="91"/>
    </row>
    <row r="447" spans="1:4" ht="15.75" hidden="1" outlineLevel="1" x14ac:dyDescent="0.2">
      <c r="A447" s="21" t="s">
        <v>1163</v>
      </c>
      <c r="B447" s="22" t="s">
        <v>747</v>
      </c>
      <c r="C447" s="21">
        <v>5.58</v>
      </c>
      <c r="D447" s="91"/>
    </row>
    <row r="448" spans="1:4" ht="15.75" hidden="1" outlineLevel="1" x14ac:dyDescent="0.2">
      <c r="A448" s="21" t="s">
        <v>1163</v>
      </c>
      <c r="B448" s="22" t="s">
        <v>10</v>
      </c>
      <c r="C448" s="21">
        <v>5.54</v>
      </c>
      <c r="D448" s="91"/>
    </row>
    <row r="449" spans="1:4" ht="15.75" hidden="1" outlineLevel="1" x14ac:dyDescent="0.2">
      <c r="A449" s="21" t="s">
        <v>1163</v>
      </c>
      <c r="B449" s="22" t="s">
        <v>14</v>
      </c>
      <c r="C449" s="21">
        <v>5.55</v>
      </c>
      <c r="D449" s="91"/>
    </row>
    <row r="450" spans="1:4" ht="15.75" hidden="1" outlineLevel="1" x14ac:dyDescent="0.2">
      <c r="A450" s="21" t="s">
        <v>1163</v>
      </c>
      <c r="B450" s="22" t="s">
        <v>1105</v>
      </c>
      <c r="C450" s="21">
        <v>5.63</v>
      </c>
      <c r="D450" s="91"/>
    </row>
    <row r="451" spans="1:4" ht="15.75" hidden="1" outlineLevel="1" x14ac:dyDescent="0.2">
      <c r="A451" s="21" t="s">
        <v>1163</v>
      </c>
      <c r="B451" s="22" t="s">
        <v>18</v>
      </c>
      <c r="C451" s="21">
        <v>5.47</v>
      </c>
      <c r="D451" s="91"/>
    </row>
    <row r="452" spans="1:4" ht="15.75" hidden="1" outlineLevel="1" x14ac:dyDescent="0.2">
      <c r="A452" s="21" t="s">
        <v>1163</v>
      </c>
      <c r="B452" s="22" t="s">
        <v>29</v>
      </c>
      <c r="C452" s="21">
        <v>5.48</v>
      </c>
      <c r="D452" s="91"/>
    </row>
    <row r="453" spans="1:4" ht="15.75" collapsed="1" x14ac:dyDescent="0.2">
      <c r="A453" s="26" t="s">
        <v>1163</v>
      </c>
      <c r="B453" s="22"/>
      <c r="C453" s="21"/>
      <c r="D453" s="91"/>
    </row>
    <row r="454" spans="1:4" ht="15.75" hidden="1" outlineLevel="1" x14ac:dyDescent="0.2">
      <c r="A454" s="21" t="s">
        <v>44</v>
      </c>
      <c r="B454" s="22" t="s">
        <v>636</v>
      </c>
      <c r="C454" s="21">
        <v>5.0999999999999996</v>
      </c>
      <c r="D454" s="91"/>
    </row>
    <row r="455" spans="1:4" ht="15.75" hidden="1" outlineLevel="1" x14ac:dyDescent="0.2">
      <c r="A455" s="21" t="s">
        <v>44</v>
      </c>
      <c r="B455" s="22" t="s">
        <v>0</v>
      </c>
      <c r="C455" s="21">
        <v>5.2</v>
      </c>
      <c r="D455" s="91"/>
    </row>
    <row r="456" spans="1:4" ht="15.75" hidden="1" outlineLevel="1" x14ac:dyDescent="0.2">
      <c r="A456" s="21" t="s">
        <v>44</v>
      </c>
      <c r="B456" s="22" t="s">
        <v>753</v>
      </c>
      <c r="C456" s="21">
        <v>5.5</v>
      </c>
      <c r="D456" s="91"/>
    </row>
    <row r="457" spans="1:4" ht="15.75" hidden="1" outlineLevel="1" x14ac:dyDescent="0.2">
      <c r="A457" s="21" t="s">
        <v>44</v>
      </c>
      <c r="B457" s="22" t="s">
        <v>763</v>
      </c>
      <c r="C457" s="21">
        <v>5.8</v>
      </c>
      <c r="D457" s="90" t="s">
        <v>893</v>
      </c>
    </row>
    <row r="458" spans="1:4" ht="15.75" hidden="1" outlineLevel="1" x14ac:dyDescent="0.2">
      <c r="A458" s="21" t="s">
        <v>44</v>
      </c>
      <c r="B458" s="22" t="s">
        <v>754</v>
      </c>
      <c r="C458" s="21">
        <v>5.12</v>
      </c>
      <c r="D458" s="90" t="s">
        <v>893</v>
      </c>
    </row>
    <row r="459" spans="1:4" ht="15.75" hidden="1" outlineLevel="1" x14ac:dyDescent="0.2">
      <c r="A459" s="21" t="s">
        <v>44</v>
      </c>
      <c r="B459" s="22" t="s">
        <v>726</v>
      </c>
      <c r="C459" s="21">
        <v>5.15</v>
      </c>
      <c r="D459" s="91"/>
    </row>
    <row r="460" spans="1:4" ht="15.75" hidden="1" outlineLevel="1" x14ac:dyDescent="0.2">
      <c r="A460" s="21" t="s">
        <v>44</v>
      </c>
      <c r="B460" s="22" t="s">
        <v>725</v>
      </c>
      <c r="C460" s="23">
        <v>5.2</v>
      </c>
      <c r="D460" s="90"/>
    </row>
    <row r="461" spans="1:4" ht="15.75" hidden="1" outlineLevel="1" x14ac:dyDescent="0.2">
      <c r="A461" s="21" t="s">
        <v>44</v>
      </c>
      <c r="B461" s="22" t="s">
        <v>730</v>
      </c>
      <c r="C461" s="21">
        <v>5.25</v>
      </c>
      <c r="D461" s="91"/>
    </row>
    <row r="462" spans="1:4" ht="15.75" hidden="1" outlineLevel="1" x14ac:dyDescent="0.2">
      <c r="A462" s="21" t="s">
        <v>44</v>
      </c>
      <c r="B462" s="22" t="s">
        <v>1</v>
      </c>
      <c r="C462" s="21">
        <v>5.26</v>
      </c>
      <c r="D462" s="91"/>
    </row>
    <row r="463" spans="1:4" ht="15.75" hidden="1" outlineLevel="1" x14ac:dyDescent="0.2">
      <c r="A463" s="21" t="s">
        <v>44</v>
      </c>
      <c r="B463" s="22" t="s">
        <v>282</v>
      </c>
      <c r="C463" s="21">
        <v>5.1139999999999999</v>
      </c>
      <c r="D463" s="90" t="s">
        <v>893</v>
      </c>
    </row>
    <row r="464" spans="1:4" ht="15.75" hidden="1" outlineLevel="1" x14ac:dyDescent="0.2">
      <c r="A464" s="21" t="s">
        <v>44</v>
      </c>
      <c r="B464" s="22" t="s">
        <v>591</v>
      </c>
      <c r="C464" s="21">
        <v>5.27</v>
      </c>
      <c r="D464" s="91"/>
    </row>
    <row r="465" spans="1:4" ht="15.75" hidden="1" outlineLevel="1" x14ac:dyDescent="0.2">
      <c r="A465" s="21" t="s">
        <v>44</v>
      </c>
      <c r="B465" s="22" t="s">
        <v>718</v>
      </c>
      <c r="C465" s="21">
        <v>5.1150000000000002</v>
      </c>
      <c r="D465" s="90" t="s">
        <v>893</v>
      </c>
    </row>
    <row r="466" spans="1:4" ht="15.75" hidden="1" outlineLevel="1" x14ac:dyDescent="0.2">
      <c r="A466" s="21" t="s">
        <v>44</v>
      </c>
      <c r="B466" s="22" t="s">
        <v>731</v>
      </c>
      <c r="C466" s="21">
        <v>5.1159999999999997</v>
      </c>
      <c r="D466" s="90" t="s">
        <v>893</v>
      </c>
    </row>
    <row r="467" spans="1:4" ht="15.75" hidden="1" outlineLevel="1" x14ac:dyDescent="0.2">
      <c r="A467" s="21" t="s">
        <v>44</v>
      </c>
      <c r="B467" s="22" t="s">
        <v>592</v>
      </c>
      <c r="C467" s="21">
        <v>5.28</v>
      </c>
      <c r="D467" s="91"/>
    </row>
    <row r="468" spans="1:4" ht="15.75" hidden="1" outlineLevel="1" x14ac:dyDescent="0.2">
      <c r="A468" s="21" t="s">
        <v>44</v>
      </c>
      <c r="B468" s="22" t="s">
        <v>593</v>
      </c>
      <c r="C468" s="21">
        <v>5.36</v>
      </c>
      <c r="D468" s="91"/>
    </row>
    <row r="469" spans="1:4" ht="15.75" hidden="1" outlineLevel="1" x14ac:dyDescent="0.2">
      <c r="A469" s="21" t="s">
        <v>44</v>
      </c>
      <c r="B469" s="22" t="s">
        <v>11</v>
      </c>
      <c r="C469" s="21">
        <v>5.37</v>
      </c>
      <c r="D469" s="91"/>
    </row>
    <row r="470" spans="1:4" ht="15.75" hidden="1" outlineLevel="1" x14ac:dyDescent="0.2">
      <c r="A470" s="21" t="s">
        <v>44</v>
      </c>
      <c r="B470" s="22" t="s">
        <v>387</v>
      </c>
      <c r="C470" s="21">
        <v>5.53</v>
      </c>
      <c r="D470" s="91"/>
    </row>
    <row r="471" spans="1:4" ht="15.75" hidden="1" outlineLevel="1" x14ac:dyDescent="0.2">
      <c r="A471" s="21" t="s">
        <v>44</v>
      </c>
      <c r="B471" s="22" t="s">
        <v>876</v>
      </c>
      <c r="C471" s="21">
        <v>5.109</v>
      </c>
      <c r="D471" s="91"/>
    </row>
    <row r="472" spans="1:4" ht="15.75" hidden="1" outlineLevel="1" x14ac:dyDescent="0.2">
      <c r="A472" s="21" t="s">
        <v>44</v>
      </c>
      <c r="B472" s="22" t="s">
        <v>363</v>
      </c>
      <c r="C472" s="21">
        <v>5.1109999999999998</v>
      </c>
      <c r="D472" s="91"/>
    </row>
    <row r="473" spans="1:4" ht="15.75" hidden="1" outlineLevel="1" x14ac:dyDescent="0.2">
      <c r="A473" s="21" t="s">
        <v>44</v>
      </c>
      <c r="B473" s="22" t="s">
        <v>15</v>
      </c>
      <c r="C473" s="21">
        <v>5.1120000000000001</v>
      </c>
      <c r="D473" s="91"/>
    </row>
    <row r="474" spans="1:4" ht="15.75" hidden="1" outlineLevel="1" x14ac:dyDescent="0.2">
      <c r="A474" s="21" t="s">
        <v>44</v>
      </c>
      <c r="B474" s="22" t="s">
        <v>10</v>
      </c>
      <c r="C474" s="21">
        <v>5.54</v>
      </c>
      <c r="D474" s="91"/>
    </row>
    <row r="475" spans="1:4" ht="15.75" hidden="1" outlineLevel="1" x14ac:dyDescent="0.2">
      <c r="A475" s="21" t="s">
        <v>44</v>
      </c>
      <c r="B475" s="22" t="s">
        <v>894</v>
      </c>
      <c r="C475" s="21">
        <v>5.61</v>
      </c>
      <c r="D475" s="91"/>
    </row>
    <row r="476" spans="1:4" ht="15.75" hidden="1" outlineLevel="1" x14ac:dyDescent="0.2">
      <c r="A476" s="21" t="s">
        <v>44</v>
      </c>
      <c r="B476" s="22" t="s">
        <v>1105</v>
      </c>
      <c r="C476" s="21">
        <v>5.63</v>
      </c>
      <c r="D476" s="91"/>
    </row>
    <row r="477" spans="1:4" ht="15.75" hidden="1" outlineLevel="1" x14ac:dyDescent="0.2">
      <c r="A477" s="21" t="s">
        <v>44</v>
      </c>
      <c r="B477" s="22" t="s">
        <v>715</v>
      </c>
      <c r="C477" s="21">
        <v>5.46</v>
      </c>
      <c r="D477" s="91"/>
    </row>
    <row r="478" spans="1:4" ht="15.75" hidden="1" outlineLevel="1" x14ac:dyDescent="0.2">
      <c r="A478" s="21" t="s">
        <v>44</v>
      </c>
      <c r="B478" s="22" t="s">
        <v>18</v>
      </c>
      <c r="C478" s="21">
        <v>5.47</v>
      </c>
      <c r="D478" s="91"/>
    </row>
    <row r="479" spans="1:4" ht="15.75" hidden="1" outlineLevel="1" x14ac:dyDescent="0.2">
      <c r="A479" s="21" t="s">
        <v>44</v>
      </c>
      <c r="B479" s="22" t="s">
        <v>29</v>
      </c>
      <c r="C479" s="21">
        <v>5.48</v>
      </c>
      <c r="D479" s="91"/>
    </row>
    <row r="480" spans="1:4" ht="15.75" collapsed="1" x14ac:dyDescent="0.2">
      <c r="A480" s="26" t="s">
        <v>44</v>
      </c>
      <c r="B480" s="22"/>
      <c r="C480" s="21"/>
      <c r="D480" s="91"/>
    </row>
    <row r="481" spans="1:4" ht="15.75" hidden="1" outlineLevel="1" x14ac:dyDescent="0.2">
      <c r="A481" s="21" t="s">
        <v>45</v>
      </c>
      <c r="B481" s="22" t="s">
        <v>636</v>
      </c>
      <c r="C481" s="21">
        <v>5.0999999999999996</v>
      </c>
      <c r="D481" s="91"/>
    </row>
    <row r="482" spans="1:4" ht="15.75" hidden="1" outlineLevel="1" x14ac:dyDescent="0.2">
      <c r="A482" s="21" t="s">
        <v>45</v>
      </c>
      <c r="B482" s="22" t="s">
        <v>0</v>
      </c>
      <c r="C482" s="21">
        <v>5.2</v>
      </c>
      <c r="D482" s="91"/>
    </row>
    <row r="483" spans="1:4" ht="15.75" hidden="1" outlineLevel="1" x14ac:dyDescent="0.2">
      <c r="A483" s="21" t="s">
        <v>45</v>
      </c>
      <c r="B483" s="22" t="s">
        <v>703</v>
      </c>
      <c r="C483" s="21">
        <v>5.3</v>
      </c>
      <c r="D483" s="91"/>
    </row>
    <row r="484" spans="1:4" ht="15.75" hidden="1" outlineLevel="1" x14ac:dyDescent="0.2">
      <c r="A484" s="21" t="s">
        <v>45</v>
      </c>
      <c r="B484" s="22" t="s">
        <v>2</v>
      </c>
      <c r="C484" s="21">
        <v>5.6</v>
      </c>
      <c r="D484" s="91"/>
    </row>
    <row r="485" spans="1:4" ht="15.75" hidden="1" outlineLevel="1" x14ac:dyDescent="0.2">
      <c r="A485" s="21" t="s">
        <v>45</v>
      </c>
      <c r="B485" s="22" t="s">
        <v>709</v>
      </c>
      <c r="C485" s="23">
        <v>5.0999999999999996</v>
      </c>
      <c r="D485" s="91"/>
    </row>
    <row r="486" spans="1:4" ht="15.75" hidden="1" outlineLevel="1" x14ac:dyDescent="0.2">
      <c r="A486" s="21" t="s">
        <v>45</v>
      </c>
      <c r="B486" s="22" t="s">
        <v>3</v>
      </c>
      <c r="C486" s="21">
        <v>5.14</v>
      </c>
      <c r="D486" s="91"/>
    </row>
    <row r="487" spans="1:4" ht="15.75" hidden="1" outlineLevel="1" x14ac:dyDescent="0.2">
      <c r="A487" s="21" t="s">
        <v>45</v>
      </c>
      <c r="B487" s="22" t="s">
        <v>28</v>
      </c>
      <c r="C487" s="21">
        <v>5.19</v>
      </c>
      <c r="D487" s="91"/>
    </row>
    <row r="488" spans="1:4" ht="15.75" hidden="1" outlineLevel="1" x14ac:dyDescent="0.2">
      <c r="A488" s="21" t="s">
        <v>45</v>
      </c>
      <c r="B488" s="22" t="s">
        <v>27</v>
      </c>
      <c r="C488" s="21">
        <v>5.24</v>
      </c>
      <c r="D488" s="91"/>
    </row>
    <row r="489" spans="1:4" ht="15.75" hidden="1" outlineLevel="1" x14ac:dyDescent="0.2">
      <c r="A489" s="21" t="s">
        <v>45</v>
      </c>
      <c r="B489" s="22" t="s">
        <v>591</v>
      </c>
      <c r="C489" s="21">
        <v>5.27</v>
      </c>
      <c r="D489" s="91"/>
    </row>
    <row r="490" spans="1:4" ht="15.75" hidden="1" outlineLevel="1" x14ac:dyDescent="0.2">
      <c r="A490" s="21" t="s">
        <v>45</v>
      </c>
      <c r="B490" s="22" t="s">
        <v>592</v>
      </c>
      <c r="C490" s="21">
        <v>5.28</v>
      </c>
      <c r="D490" s="91"/>
    </row>
    <row r="491" spans="1:4" ht="15.75" hidden="1" outlineLevel="1" x14ac:dyDescent="0.2">
      <c r="A491" s="21" t="s">
        <v>45</v>
      </c>
      <c r="B491" s="22" t="s">
        <v>596</v>
      </c>
      <c r="C491" s="21">
        <v>5.29</v>
      </c>
      <c r="D491" s="91"/>
    </row>
    <row r="492" spans="1:4" ht="15.75" hidden="1" outlineLevel="1" x14ac:dyDescent="0.2">
      <c r="A492" s="21" t="s">
        <v>45</v>
      </c>
      <c r="B492" s="22" t="s">
        <v>717</v>
      </c>
      <c r="C492" s="21">
        <v>5.34</v>
      </c>
      <c r="D492" s="91"/>
    </row>
    <row r="493" spans="1:4" ht="15.75" hidden="1" outlineLevel="1" x14ac:dyDescent="0.2">
      <c r="A493" s="21" t="s">
        <v>45</v>
      </c>
      <c r="B493" s="22" t="s">
        <v>8</v>
      </c>
      <c r="C493" s="21">
        <v>5.31</v>
      </c>
      <c r="D493" s="91"/>
    </row>
    <row r="494" spans="1:4" ht="15.75" hidden="1" outlineLevel="1" x14ac:dyDescent="0.2">
      <c r="A494" s="21" t="s">
        <v>45</v>
      </c>
      <c r="B494" s="22" t="s">
        <v>651</v>
      </c>
      <c r="C494" s="21">
        <v>5.101</v>
      </c>
      <c r="D494" s="91"/>
    </row>
    <row r="495" spans="1:4" ht="15.75" hidden="1" outlineLevel="1" x14ac:dyDescent="0.2">
      <c r="A495" s="21" t="s">
        <v>45</v>
      </c>
      <c r="B495" s="22" t="s">
        <v>593</v>
      </c>
      <c r="C495" s="21">
        <v>5.36</v>
      </c>
      <c r="D495" s="91"/>
    </row>
    <row r="496" spans="1:4" ht="15.75" hidden="1" outlineLevel="1" x14ac:dyDescent="0.2">
      <c r="A496" s="21" t="s">
        <v>45</v>
      </c>
      <c r="B496" s="22" t="s">
        <v>11</v>
      </c>
      <c r="C496" s="21">
        <v>5.37</v>
      </c>
      <c r="D496" s="91"/>
    </row>
    <row r="497" spans="1:4" ht="15.75" hidden="1" outlineLevel="1" x14ac:dyDescent="0.2">
      <c r="A497" s="21" t="s">
        <v>45</v>
      </c>
      <c r="B497" s="22" t="s">
        <v>387</v>
      </c>
      <c r="C497" s="21">
        <v>5.53</v>
      </c>
      <c r="D497" s="91"/>
    </row>
    <row r="498" spans="1:4" ht="15.75" hidden="1" outlineLevel="1" x14ac:dyDescent="0.2">
      <c r="A498" s="21" t="s">
        <v>45</v>
      </c>
      <c r="B498" s="22" t="s">
        <v>876</v>
      </c>
      <c r="C498" s="21">
        <v>5.109</v>
      </c>
      <c r="D498" s="91"/>
    </row>
    <row r="499" spans="1:4" ht="15.75" hidden="1" outlineLevel="1" x14ac:dyDescent="0.2">
      <c r="A499" s="21" t="s">
        <v>45</v>
      </c>
      <c r="B499" s="22" t="s">
        <v>363</v>
      </c>
      <c r="C499" s="21">
        <v>5.1109999999999998</v>
      </c>
      <c r="D499" s="91"/>
    </row>
    <row r="500" spans="1:4" ht="15.75" hidden="1" outlineLevel="1" x14ac:dyDescent="0.2">
      <c r="A500" s="21" t="s">
        <v>45</v>
      </c>
      <c r="B500" s="22" t="s">
        <v>15</v>
      </c>
      <c r="C500" s="21">
        <v>5.1120000000000001</v>
      </c>
      <c r="D500" s="91"/>
    </row>
    <row r="501" spans="1:4" ht="15.75" hidden="1" outlineLevel="1" x14ac:dyDescent="0.2">
      <c r="A501" s="21" t="s">
        <v>45</v>
      </c>
      <c r="B501" s="22" t="s">
        <v>22</v>
      </c>
      <c r="C501" s="21">
        <v>5.1020000000000003</v>
      </c>
      <c r="D501" s="91"/>
    </row>
    <row r="502" spans="1:4" ht="15.75" hidden="1" outlineLevel="1" x14ac:dyDescent="0.2">
      <c r="A502" s="21" t="s">
        <v>45</v>
      </c>
      <c r="B502" s="22" t="s">
        <v>600</v>
      </c>
      <c r="C502" s="24">
        <v>5.0999999999999996</v>
      </c>
      <c r="D502" s="91"/>
    </row>
    <row r="503" spans="1:4" ht="15.75" hidden="1" outlineLevel="1" x14ac:dyDescent="0.2">
      <c r="A503" s="21" t="s">
        <v>45</v>
      </c>
      <c r="B503" s="22" t="s">
        <v>747</v>
      </c>
      <c r="C503" s="21">
        <v>5.58</v>
      </c>
      <c r="D503" s="91"/>
    </row>
    <row r="504" spans="1:4" ht="15.75" hidden="1" outlineLevel="1" x14ac:dyDescent="0.2">
      <c r="A504" s="21" t="s">
        <v>45</v>
      </c>
      <c r="B504" s="22" t="s">
        <v>14</v>
      </c>
      <c r="C504" s="21">
        <v>5.55</v>
      </c>
      <c r="D504" s="91"/>
    </row>
    <row r="505" spans="1:4" ht="15.75" hidden="1" outlineLevel="1" x14ac:dyDescent="0.2">
      <c r="A505" s="21" t="s">
        <v>45</v>
      </c>
      <c r="B505" s="22" t="s">
        <v>10</v>
      </c>
      <c r="C505" s="21">
        <v>5.54</v>
      </c>
      <c r="D505" s="91"/>
    </row>
    <row r="506" spans="1:4" ht="15.75" hidden="1" outlineLevel="1" x14ac:dyDescent="0.2">
      <c r="A506" s="21" t="s">
        <v>45</v>
      </c>
      <c r="B506" s="22" t="s">
        <v>1105</v>
      </c>
      <c r="C506" s="21">
        <v>5.63</v>
      </c>
      <c r="D506" s="91"/>
    </row>
    <row r="507" spans="1:4" ht="15.75" hidden="1" outlineLevel="1" x14ac:dyDescent="0.2">
      <c r="A507" s="21" t="s">
        <v>45</v>
      </c>
      <c r="B507" s="22" t="s">
        <v>18</v>
      </c>
      <c r="C507" s="21">
        <v>5.47</v>
      </c>
      <c r="D507" s="91"/>
    </row>
    <row r="508" spans="1:4" ht="15.75" hidden="1" outlineLevel="1" x14ac:dyDescent="0.2">
      <c r="A508" s="21" t="s">
        <v>45</v>
      </c>
      <c r="B508" s="22" t="s">
        <v>29</v>
      </c>
      <c r="C508" s="21">
        <v>5.48</v>
      </c>
      <c r="D508" s="91"/>
    </row>
    <row r="509" spans="1:4" ht="15.75" collapsed="1" x14ac:dyDescent="0.2">
      <c r="A509" s="26" t="s">
        <v>45</v>
      </c>
      <c r="B509" s="22"/>
      <c r="C509" s="21"/>
      <c r="D509" s="91"/>
    </row>
    <row r="510" spans="1:4" ht="15.75" hidden="1" outlineLevel="1" x14ac:dyDescent="0.2">
      <c r="A510" s="21" t="s">
        <v>46</v>
      </c>
      <c r="B510" s="22" t="s">
        <v>636</v>
      </c>
      <c r="C510" s="21">
        <v>5.0999999999999996</v>
      </c>
      <c r="D510" s="91"/>
    </row>
    <row r="511" spans="1:4" ht="15.75" hidden="1" outlineLevel="1" x14ac:dyDescent="0.2">
      <c r="A511" s="21" t="s">
        <v>46</v>
      </c>
      <c r="B511" s="22" t="s">
        <v>0</v>
      </c>
      <c r="C511" s="21">
        <v>5.2</v>
      </c>
      <c r="D511" s="91"/>
    </row>
    <row r="512" spans="1:4" ht="15.75" hidden="1" outlineLevel="1" x14ac:dyDescent="0.2">
      <c r="A512" s="21" t="s">
        <v>46</v>
      </c>
      <c r="B512" s="22" t="s">
        <v>703</v>
      </c>
      <c r="C512" s="21">
        <v>5.3</v>
      </c>
      <c r="D512" s="91"/>
    </row>
    <row r="513" spans="1:4" ht="15.75" hidden="1" outlineLevel="1" x14ac:dyDescent="0.2">
      <c r="A513" s="21" t="s">
        <v>46</v>
      </c>
      <c r="B513" s="22" t="s">
        <v>2</v>
      </c>
      <c r="C513" s="21">
        <v>5.6</v>
      </c>
      <c r="D513" s="91"/>
    </row>
    <row r="514" spans="1:4" ht="15.75" hidden="1" outlineLevel="1" x14ac:dyDescent="0.2">
      <c r="A514" s="21" t="s">
        <v>46</v>
      </c>
      <c r="B514" s="22" t="s">
        <v>709</v>
      </c>
      <c r="C514" s="23">
        <v>5.0999999999999996</v>
      </c>
      <c r="D514" s="91"/>
    </row>
    <row r="515" spans="1:4" ht="15.75" hidden="1" outlineLevel="1" x14ac:dyDescent="0.2">
      <c r="A515" s="21" t="s">
        <v>46</v>
      </c>
      <c r="B515" s="22" t="s">
        <v>3</v>
      </c>
      <c r="C515" s="21">
        <v>5.14</v>
      </c>
      <c r="D515" s="91"/>
    </row>
    <row r="516" spans="1:4" ht="15.75" hidden="1" outlineLevel="1" x14ac:dyDescent="0.2">
      <c r="A516" s="21" t="s">
        <v>46</v>
      </c>
      <c r="B516" s="22" t="s">
        <v>28</v>
      </c>
      <c r="C516" s="21">
        <v>5.19</v>
      </c>
      <c r="D516" s="91"/>
    </row>
    <row r="517" spans="1:4" ht="15.75" hidden="1" outlineLevel="1" x14ac:dyDescent="0.2">
      <c r="A517" s="21" t="s">
        <v>46</v>
      </c>
      <c r="B517" s="22" t="s">
        <v>27</v>
      </c>
      <c r="C517" s="21">
        <v>5.24</v>
      </c>
      <c r="D517" s="91"/>
    </row>
    <row r="518" spans="1:4" ht="15.75" hidden="1" outlineLevel="1" x14ac:dyDescent="0.2">
      <c r="A518" s="21" t="s">
        <v>46</v>
      </c>
      <c r="B518" s="22" t="s">
        <v>1</v>
      </c>
      <c r="C518" s="21">
        <v>5.26</v>
      </c>
      <c r="D518" s="91"/>
    </row>
    <row r="519" spans="1:4" ht="15.75" hidden="1" outlineLevel="1" x14ac:dyDescent="0.2">
      <c r="A519" s="21" t="s">
        <v>46</v>
      </c>
      <c r="B519" s="22" t="s">
        <v>591</v>
      </c>
      <c r="C519" s="21">
        <v>5.27</v>
      </c>
      <c r="D519" s="91"/>
    </row>
    <row r="520" spans="1:4" ht="15.75" hidden="1" outlineLevel="1" x14ac:dyDescent="0.2">
      <c r="A520" s="21" t="s">
        <v>46</v>
      </c>
      <c r="B520" s="22" t="s">
        <v>592</v>
      </c>
      <c r="C520" s="21">
        <v>5.28</v>
      </c>
      <c r="D520" s="91"/>
    </row>
    <row r="521" spans="1:4" ht="15.75" hidden="1" outlineLevel="1" x14ac:dyDescent="0.2">
      <c r="A521" s="21" t="s">
        <v>46</v>
      </c>
      <c r="B521" s="22" t="s">
        <v>8</v>
      </c>
      <c r="C521" s="21">
        <v>5.31</v>
      </c>
      <c r="D521" s="91"/>
    </row>
    <row r="522" spans="1:4" ht="15.75" hidden="1" outlineLevel="1" x14ac:dyDescent="0.2">
      <c r="A522" s="21" t="s">
        <v>46</v>
      </c>
      <c r="B522" s="22" t="s">
        <v>9</v>
      </c>
      <c r="C522" s="21">
        <v>5.33</v>
      </c>
      <c r="D522" s="91"/>
    </row>
    <row r="523" spans="1:4" ht="15.75" hidden="1" outlineLevel="1" x14ac:dyDescent="0.2">
      <c r="A523" s="21" t="s">
        <v>46</v>
      </c>
      <c r="B523" s="22" t="s">
        <v>651</v>
      </c>
      <c r="C523" s="21">
        <v>5.101</v>
      </c>
      <c r="D523" s="91"/>
    </row>
    <row r="524" spans="1:4" ht="15.75" hidden="1" outlineLevel="1" x14ac:dyDescent="0.2">
      <c r="A524" s="21" t="s">
        <v>46</v>
      </c>
      <c r="B524" s="22" t="s">
        <v>593</v>
      </c>
      <c r="C524" s="21">
        <v>5.36</v>
      </c>
      <c r="D524" s="91"/>
    </row>
    <row r="525" spans="1:4" ht="15.75" hidden="1" outlineLevel="1" x14ac:dyDescent="0.2">
      <c r="A525" s="21" t="s">
        <v>46</v>
      </c>
      <c r="B525" s="22" t="s">
        <v>11</v>
      </c>
      <c r="C525" s="21">
        <v>5.37</v>
      </c>
      <c r="D525" s="91"/>
    </row>
    <row r="526" spans="1:4" ht="15.75" hidden="1" outlineLevel="1" x14ac:dyDescent="0.2">
      <c r="A526" s="21" t="s">
        <v>46</v>
      </c>
      <c r="B526" s="22" t="s">
        <v>387</v>
      </c>
      <c r="C526" s="21">
        <v>5.53</v>
      </c>
      <c r="D526" s="91"/>
    </row>
    <row r="527" spans="1:4" ht="15.75" hidden="1" outlineLevel="1" x14ac:dyDescent="0.2">
      <c r="A527" s="21" t="s">
        <v>46</v>
      </c>
      <c r="B527" s="22" t="s">
        <v>876</v>
      </c>
      <c r="C527" s="21">
        <v>5.109</v>
      </c>
      <c r="D527" s="91"/>
    </row>
    <row r="528" spans="1:4" ht="15.75" hidden="1" outlineLevel="1" x14ac:dyDescent="0.2">
      <c r="A528" s="21" t="s">
        <v>46</v>
      </c>
      <c r="B528" s="22" t="s">
        <v>363</v>
      </c>
      <c r="C528" s="21">
        <v>5.1109999999999998</v>
      </c>
      <c r="D528" s="91"/>
    </row>
    <row r="529" spans="1:4" ht="15.75" hidden="1" outlineLevel="1" x14ac:dyDescent="0.2">
      <c r="A529" s="21" t="s">
        <v>46</v>
      </c>
      <c r="B529" s="22" t="s">
        <v>15</v>
      </c>
      <c r="C529" s="21">
        <v>5.1120000000000001</v>
      </c>
      <c r="D529" s="91"/>
    </row>
    <row r="530" spans="1:4" ht="15.75" hidden="1" outlineLevel="1" x14ac:dyDescent="0.2">
      <c r="A530" s="21" t="s">
        <v>46</v>
      </c>
      <c r="B530" s="22" t="s">
        <v>22</v>
      </c>
      <c r="C530" s="21">
        <v>5.1020000000000003</v>
      </c>
      <c r="D530" s="91"/>
    </row>
    <row r="531" spans="1:4" ht="15.75" hidden="1" outlineLevel="1" x14ac:dyDescent="0.2">
      <c r="A531" s="21" t="s">
        <v>46</v>
      </c>
      <c r="B531" s="22" t="s">
        <v>600</v>
      </c>
      <c r="C531" s="24">
        <v>5.0999999999999996</v>
      </c>
      <c r="D531" s="91"/>
    </row>
    <row r="532" spans="1:4" ht="15.75" hidden="1" outlineLevel="1" x14ac:dyDescent="0.2">
      <c r="A532" s="21" t="s">
        <v>46</v>
      </c>
      <c r="B532" s="22" t="s">
        <v>747</v>
      </c>
      <c r="C532" s="21">
        <v>5.58</v>
      </c>
      <c r="D532" s="91"/>
    </row>
    <row r="533" spans="1:4" ht="15.75" hidden="1" outlineLevel="1" x14ac:dyDescent="0.2">
      <c r="A533" s="21" t="s">
        <v>46</v>
      </c>
      <c r="B533" s="22" t="s">
        <v>14</v>
      </c>
      <c r="C533" s="21">
        <v>5.55</v>
      </c>
      <c r="D533" s="91"/>
    </row>
    <row r="534" spans="1:4" ht="15.75" hidden="1" outlineLevel="1" x14ac:dyDescent="0.2">
      <c r="A534" s="21" t="s">
        <v>46</v>
      </c>
      <c r="B534" s="22" t="s">
        <v>10</v>
      </c>
      <c r="C534" s="21">
        <v>5.54</v>
      </c>
      <c r="D534" s="91"/>
    </row>
    <row r="535" spans="1:4" ht="15.75" hidden="1" outlineLevel="1" x14ac:dyDescent="0.2">
      <c r="A535" s="21" t="s">
        <v>46</v>
      </c>
      <c r="B535" s="22" t="s">
        <v>1105</v>
      </c>
      <c r="C535" s="21">
        <v>5.63</v>
      </c>
      <c r="D535" s="91"/>
    </row>
    <row r="536" spans="1:4" ht="15.75" hidden="1" outlineLevel="1" x14ac:dyDescent="0.2">
      <c r="A536" s="21" t="s">
        <v>46</v>
      </c>
      <c r="B536" s="22" t="s">
        <v>18</v>
      </c>
      <c r="C536" s="21">
        <v>5.47</v>
      </c>
      <c r="D536" s="91"/>
    </row>
    <row r="537" spans="1:4" ht="15.75" hidden="1" outlineLevel="1" x14ac:dyDescent="0.2">
      <c r="A537" s="21" t="s">
        <v>46</v>
      </c>
      <c r="B537" s="22" t="s">
        <v>29</v>
      </c>
      <c r="C537" s="21">
        <v>5.48</v>
      </c>
      <c r="D537" s="91"/>
    </row>
    <row r="538" spans="1:4" ht="15.75" collapsed="1" x14ac:dyDescent="0.2">
      <c r="A538" s="26" t="s">
        <v>46</v>
      </c>
      <c r="B538" s="22"/>
      <c r="C538" s="21"/>
      <c r="D538" s="91"/>
    </row>
    <row r="539" spans="1:4" ht="15.75" hidden="1" outlineLevel="1" x14ac:dyDescent="0.2">
      <c r="A539" s="21" t="s">
        <v>449</v>
      </c>
      <c r="B539" s="22" t="s">
        <v>636</v>
      </c>
      <c r="C539" s="21">
        <v>5.0999999999999996</v>
      </c>
      <c r="D539" s="91"/>
    </row>
    <row r="540" spans="1:4" ht="15.75" hidden="1" outlineLevel="1" x14ac:dyDescent="0.2">
      <c r="A540" s="21" t="s">
        <v>449</v>
      </c>
      <c r="B540" s="22" t="s">
        <v>0</v>
      </c>
      <c r="C540" s="21">
        <v>5.2</v>
      </c>
      <c r="D540" s="91"/>
    </row>
    <row r="541" spans="1:4" ht="15.75" hidden="1" outlineLevel="1" x14ac:dyDescent="0.2">
      <c r="A541" s="21" t="s">
        <v>449</v>
      </c>
      <c r="B541" s="22" t="s">
        <v>1</v>
      </c>
      <c r="C541" s="21">
        <v>5.26</v>
      </c>
      <c r="D541" s="91"/>
    </row>
    <row r="542" spans="1:4" ht="15.75" hidden="1" outlineLevel="1" x14ac:dyDescent="0.2">
      <c r="A542" s="21" t="s">
        <v>449</v>
      </c>
      <c r="B542" s="22" t="s">
        <v>409</v>
      </c>
      <c r="C542" s="21">
        <v>5.21</v>
      </c>
      <c r="D542" s="91"/>
    </row>
    <row r="543" spans="1:4" ht="15.75" hidden="1" outlineLevel="1" x14ac:dyDescent="0.2">
      <c r="A543" s="21" t="s">
        <v>449</v>
      </c>
      <c r="B543" s="22" t="s">
        <v>768</v>
      </c>
      <c r="C543" s="21">
        <v>5.53</v>
      </c>
      <c r="D543" s="91"/>
    </row>
    <row r="544" spans="1:4" ht="15.75" hidden="1" outlineLevel="1" x14ac:dyDescent="0.2">
      <c r="A544" s="21" t="s">
        <v>449</v>
      </c>
      <c r="B544" s="22" t="s">
        <v>1213</v>
      </c>
      <c r="C544" s="21">
        <v>5.54</v>
      </c>
      <c r="D544" s="91"/>
    </row>
    <row r="545" spans="1:4" ht="15.75" hidden="1" outlineLevel="1" x14ac:dyDescent="0.2">
      <c r="A545" s="21" t="s">
        <v>449</v>
      </c>
      <c r="B545" s="22" t="s">
        <v>318</v>
      </c>
      <c r="C545" s="21">
        <v>5.58</v>
      </c>
      <c r="D545" s="91"/>
    </row>
    <row r="546" spans="1:4" ht="15.75" hidden="1" outlineLevel="1" x14ac:dyDescent="0.2">
      <c r="A546" s="21" t="s">
        <v>449</v>
      </c>
      <c r="B546" s="22" t="s">
        <v>322</v>
      </c>
      <c r="C546" s="21">
        <v>5.1180000000000003</v>
      </c>
      <c r="D546" s="91"/>
    </row>
    <row r="547" spans="1:4" ht="15.75" hidden="1" outlineLevel="1" x14ac:dyDescent="0.2">
      <c r="A547" s="21" t="s">
        <v>449</v>
      </c>
      <c r="B547" s="25" t="s">
        <v>320</v>
      </c>
      <c r="C547" s="21">
        <v>5.47</v>
      </c>
      <c r="D547" s="91"/>
    </row>
    <row r="548" spans="1:4" ht="15.75" hidden="1" outlineLevel="1" x14ac:dyDescent="0.2">
      <c r="A548" s="21" t="s">
        <v>449</v>
      </c>
      <c r="B548" s="22" t="s">
        <v>321</v>
      </c>
      <c r="C548" s="21">
        <v>5.48</v>
      </c>
      <c r="D548" s="91"/>
    </row>
    <row r="549" spans="1:4" ht="15.75" hidden="1" outlineLevel="1" x14ac:dyDescent="0.2">
      <c r="A549" s="21" t="s">
        <v>449</v>
      </c>
      <c r="B549" s="22" t="s">
        <v>410</v>
      </c>
      <c r="C549" s="21">
        <v>5.21</v>
      </c>
      <c r="D549" s="91"/>
    </row>
    <row r="550" spans="1:4" ht="15.75" hidden="1" outlineLevel="1" x14ac:dyDescent="0.2">
      <c r="A550" s="21" t="s">
        <v>449</v>
      </c>
      <c r="B550" s="22" t="s">
        <v>769</v>
      </c>
      <c r="C550" s="21">
        <v>5.53</v>
      </c>
      <c r="D550" s="91"/>
    </row>
    <row r="551" spans="1:4" ht="15.75" hidden="1" outlineLevel="1" x14ac:dyDescent="0.2">
      <c r="A551" s="21" t="s">
        <v>449</v>
      </c>
      <c r="B551" s="22" t="s">
        <v>1214</v>
      </c>
      <c r="C551" s="21">
        <v>5.54</v>
      </c>
      <c r="D551" s="91"/>
    </row>
    <row r="552" spans="1:4" ht="15.75" hidden="1" outlineLevel="1" x14ac:dyDescent="0.2">
      <c r="A552" s="21" t="s">
        <v>449</v>
      </c>
      <c r="B552" s="22" t="s">
        <v>319</v>
      </c>
      <c r="C552" s="21">
        <v>5.58</v>
      </c>
      <c r="D552" s="91"/>
    </row>
    <row r="553" spans="1:4" ht="15.75" hidden="1" outlineLevel="1" x14ac:dyDescent="0.2">
      <c r="A553" s="21" t="s">
        <v>449</v>
      </c>
      <c r="B553" s="22" t="s">
        <v>323</v>
      </c>
      <c r="C553" s="21">
        <v>5.1180000000000003</v>
      </c>
      <c r="D553" s="91"/>
    </row>
    <row r="554" spans="1:4" ht="15.75" hidden="1" outlineLevel="1" x14ac:dyDescent="0.2">
      <c r="A554" s="21" t="s">
        <v>449</v>
      </c>
      <c r="B554" s="22" t="s">
        <v>1248</v>
      </c>
      <c r="C554" s="21">
        <v>5.47</v>
      </c>
      <c r="D554" s="91"/>
    </row>
    <row r="555" spans="1:4" ht="15.75" hidden="1" outlineLevel="1" x14ac:dyDescent="0.2">
      <c r="A555" s="21" t="s">
        <v>449</v>
      </c>
      <c r="B555" s="22" t="s">
        <v>1249</v>
      </c>
      <c r="C555" s="21">
        <v>5.48</v>
      </c>
      <c r="D555" s="91"/>
    </row>
    <row r="556" spans="1:4" ht="15.75" hidden="1" outlineLevel="1" x14ac:dyDescent="0.2">
      <c r="A556" s="21" t="s">
        <v>449</v>
      </c>
      <c r="B556" s="22" t="s">
        <v>1111</v>
      </c>
      <c r="C556" s="21">
        <v>5.63</v>
      </c>
      <c r="D556" s="91"/>
    </row>
    <row r="557" spans="1:4" ht="15.75" hidden="1" outlineLevel="1" x14ac:dyDescent="0.2">
      <c r="A557" s="21" t="s">
        <v>449</v>
      </c>
      <c r="B557" s="22" t="s">
        <v>591</v>
      </c>
      <c r="C557" s="21">
        <v>5.27</v>
      </c>
      <c r="D557" s="91"/>
    </row>
    <row r="558" spans="1:4" ht="15.75" hidden="1" outlineLevel="1" x14ac:dyDescent="0.2">
      <c r="A558" s="21" t="s">
        <v>449</v>
      </c>
      <c r="B558" s="22" t="s">
        <v>592</v>
      </c>
      <c r="C558" s="21">
        <v>5.28</v>
      </c>
      <c r="D558" s="91"/>
    </row>
    <row r="559" spans="1:4" ht="15.75" hidden="1" outlineLevel="1" x14ac:dyDescent="0.2">
      <c r="A559" s="21" t="s">
        <v>449</v>
      </c>
      <c r="B559" s="22" t="s">
        <v>451</v>
      </c>
      <c r="C559" s="21">
        <v>5.35</v>
      </c>
      <c r="D559" s="91"/>
    </row>
    <row r="560" spans="1:4" ht="15.75" hidden="1" outlineLevel="1" x14ac:dyDescent="0.2">
      <c r="A560" s="21" t="s">
        <v>449</v>
      </c>
      <c r="B560" s="22" t="s">
        <v>335</v>
      </c>
      <c r="C560" s="21">
        <v>5.1189999999999998</v>
      </c>
      <c r="D560" s="91"/>
    </row>
    <row r="561" spans="1:4" ht="15.75" hidden="1" outlineLevel="1" x14ac:dyDescent="0.2">
      <c r="A561" s="21" t="s">
        <v>449</v>
      </c>
      <c r="B561" s="22" t="s">
        <v>450</v>
      </c>
      <c r="C561" s="24">
        <v>5.12</v>
      </c>
      <c r="D561" s="91"/>
    </row>
    <row r="562" spans="1:4" ht="15.75" hidden="1" outlineLevel="1" x14ac:dyDescent="0.2">
      <c r="A562" s="21" t="s">
        <v>449</v>
      </c>
      <c r="B562" s="22" t="s">
        <v>98</v>
      </c>
      <c r="C562" s="21">
        <v>5.1210000000000004</v>
      </c>
      <c r="D562" s="91"/>
    </row>
    <row r="563" spans="1:4" ht="15.75" hidden="1" outlineLevel="1" x14ac:dyDescent="0.2">
      <c r="A563" s="21" t="s">
        <v>449</v>
      </c>
      <c r="B563" s="22" t="s">
        <v>593</v>
      </c>
      <c r="C563" s="21">
        <v>5.36</v>
      </c>
      <c r="D563" s="91"/>
    </row>
    <row r="564" spans="1:4" ht="15.75" hidden="1" outlineLevel="1" x14ac:dyDescent="0.2">
      <c r="A564" s="21" t="s">
        <v>449</v>
      </c>
      <c r="B564" s="22" t="s">
        <v>356</v>
      </c>
      <c r="C564" s="21">
        <v>5.1219999999999999</v>
      </c>
      <c r="D564" s="91"/>
    </row>
    <row r="565" spans="1:4" ht="15.75" hidden="1" outlineLevel="1" x14ac:dyDescent="0.2">
      <c r="A565" s="21" t="s">
        <v>449</v>
      </c>
      <c r="B565" s="22" t="s">
        <v>357</v>
      </c>
      <c r="C565" s="21">
        <v>5.1230000000000002</v>
      </c>
      <c r="D565" s="91"/>
    </row>
    <row r="566" spans="1:4" ht="15.75" hidden="1" outlineLevel="1" x14ac:dyDescent="0.2">
      <c r="A566" s="21" t="s">
        <v>449</v>
      </c>
      <c r="B566" s="22" t="s">
        <v>599</v>
      </c>
      <c r="C566" s="21">
        <v>5.1239999999999997</v>
      </c>
      <c r="D566" s="91"/>
    </row>
    <row r="567" spans="1:4" ht="15.75" hidden="1" outlineLevel="1" x14ac:dyDescent="0.2">
      <c r="A567" s="21" t="s">
        <v>449</v>
      </c>
      <c r="B567" s="22" t="s">
        <v>300</v>
      </c>
      <c r="C567" s="21">
        <v>5.125</v>
      </c>
      <c r="D567" s="91"/>
    </row>
    <row r="568" spans="1:4" ht="15.75" hidden="1" outlineLevel="1" x14ac:dyDescent="0.2">
      <c r="A568" s="21" t="s">
        <v>449</v>
      </c>
      <c r="B568" s="22" t="s">
        <v>359</v>
      </c>
      <c r="C568" s="21">
        <v>5.1260000000000003</v>
      </c>
      <c r="D568" s="91"/>
    </row>
    <row r="569" spans="1:4" ht="15.75" hidden="1" outlineLevel="1" x14ac:dyDescent="0.2">
      <c r="A569" s="21" t="s">
        <v>449</v>
      </c>
      <c r="B569" s="22" t="s">
        <v>716</v>
      </c>
      <c r="C569" s="21">
        <v>5.1269999999999998</v>
      </c>
      <c r="D569" s="91"/>
    </row>
    <row r="570" spans="1:4" ht="15.75" hidden="1" outlineLevel="1" x14ac:dyDescent="0.2">
      <c r="A570" s="21" t="s">
        <v>449</v>
      </c>
      <c r="B570" s="22" t="s">
        <v>301</v>
      </c>
      <c r="C570" s="23">
        <v>5.72</v>
      </c>
      <c r="D570" s="91"/>
    </row>
    <row r="571" spans="1:4" ht="15.75" hidden="1" outlineLevel="1" x14ac:dyDescent="0.2">
      <c r="A571" s="21" t="s">
        <v>449</v>
      </c>
      <c r="B571" s="22" t="s">
        <v>302</v>
      </c>
      <c r="C571" s="21">
        <v>5.1280000000000001</v>
      </c>
      <c r="D571" s="91"/>
    </row>
    <row r="572" spans="1:4" ht="15.75" hidden="1" outlineLevel="1" x14ac:dyDescent="0.2">
      <c r="A572" s="21" t="s">
        <v>449</v>
      </c>
      <c r="B572" s="22" t="s">
        <v>340</v>
      </c>
      <c r="C572" s="21">
        <v>5.1289999999999996</v>
      </c>
      <c r="D572" s="90" t="s">
        <v>893</v>
      </c>
    </row>
    <row r="573" spans="1:4" ht="15.75" hidden="1" outlineLevel="1" x14ac:dyDescent="0.2">
      <c r="A573" s="21" t="s">
        <v>449</v>
      </c>
      <c r="B573" s="22" t="s">
        <v>358</v>
      </c>
      <c r="C573" s="21">
        <v>5.1310000000000002</v>
      </c>
      <c r="D573" s="91"/>
    </row>
    <row r="574" spans="1:4" ht="15.75" hidden="1" outlineLevel="1" x14ac:dyDescent="0.2">
      <c r="A574" s="21" t="s">
        <v>449</v>
      </c>
      <c r="B574" s="22" t="s">
        <v>604</v>
      </c>
      <c r="C574" s="21">
        <v>5.1319999999999997</v>
      </c>
      <c r="D574" s="90" t="s">
        <v>893</v>
      </c>
    </row>
    <row r="575" spans="1:4" ht="15.75" hidden="1" outlineLevel="1" x14ac:dyDescent="0.2">
      <c r="A575" s="21" t="s">
        <v>449</v>
      </c>
      <c r="B575" s="22" t="s">
        <v>355</v>
      </c>
      <c r="C575" s="21">
        <v>5.133</v>
      </c>
      <c r="D575" s="90" t="s">
        <v>893</v>
      </c>
    </row>
    <row r="576" spans="1:4" ht="15.75" hidden="1" outlineLevel="1" x14ac:dyDescent="0.2">
      <c r="A576" s="21" t="s">
        <v>449</v>
      </c>
      <c r="B576" s="22" t="s">
        <v>447</v>
      </c>
      <c r="C576" s="21">
        <v>5.1340000000000003</v>
      </c>
      <c r="D576" s="90" t="s">
        <v>893</v>
      </c>
    </row>
    <row r="577" spans="1:4" ht="15.75" hidden="1" outlineLevel="1" x14ac:dyDescent="0.2">
      <c r="A577" s="21" t="s">
        <v>449</v>
      </c>
      <c r="B577" s="22" t="s">
        <v>427</v>
      </c>
      <c r="C577" s="24">
        <v>5.13</v>
      </c>
      <c r="D577" s="91"/>
    </row>
    <row r="578" spans="1:4" ht="15.75" hidden="1" outlineLevel="1" x14ac:dyDescent="0.2">
      <c r="A578" s="21" t="s">
        <v>449</v>
      </c>
      <c r="B578" s="22" t="s">
        <v>18</v>
      </c>
      <c r="C578" s="21">
        <v>5.47</v>
      </c>
      <c r="D578" s="91"/>
    </row>
    <row r="579" spans="1:4" ht="15.75" hidden="1" outlineLevel="1" x14ac:dyDescent="0.2">
      <c r="A579" s="21" t="s">
        <v>449</v>
      </c>
      <c r="B579" s="22" t="s">
        <v>29</v>
      </c>
      <c r="C579" s="21">
        <v>5.48</v>
      </c>
      <c r="D579" s="91"/>
    </row>
    <row r="580" spans="1:4" ht="15.75" collapsed="1" x14ac:dyDescent="0.2">
      <c r="A580" s="26" t="s">
        <v>449</v>
      </c>
      <c r="B580" s="22"/>
      <c r="C580" s="21"/>
      <c r="D580" s="91"/>
    </row>
    <row r="581" spans="1:4" ht="15.75" hidden="1" outlineLevel="1" x14ac:dyDescent="0.2">
      <c r="A581" s="21" t="s">
        <v>47</v>
      </c>
      <c r="B581" s="22" t="s">
        <v>636</v>
      </c>
      <c r="C581" s="21">
        <v>5.0999999999999996</v>
      </c>
      <c r="D581" s="91"/>
    </row>
    <row r="582" spans="1:4" ht="15.75" hidden="1" outlineLevel="1" x14ac:dyDescent="0.2">
      <c r="A582" s="21" t="s">
        <v>47</v>
      </c>
      <c r="B582" s="22" t="s">
        <v>0</v>
      </c>
      <c r="C582" s="21">
        <v>5.2</v>
      </c>
      <c r="D582" s="91"/>
    </row>
    <row r="583" spans="1:4" ht="15.75" hidden="1" outlineLevel="1" x14ac:dyDescent="0.2">
      <c r="A583" s="21" t="s">
        <v>47</v>
      </c>
      <c r="B583" s="22" t="s">
        <v>704</v>
      </c>
      <c r="C583" s="21">
        <v>5.9</v>
      </c>
      <c r="D583" s="90" t="s">
        <v>893</v>
      </c>
    </row>
    <row r="584" spans="1:4" ht="15.75" hidden="1" outlineLevel="1" x14ac:dyDescent="0.2">
      <c r="A584" s="21" t="s">
        <v>47</v>
      </c>
      <c r="B584" s="22" t="s">
        <v>705</v>
      </c>
      <c r="C584" s="21">
        <v>5.13</v>
      </c>
      <c r="D584" s="90" t="s">
        <v>893</v>
      </c>
    </row>
    <row r="585" spans="1:4" ht="15.75" hidden="1" outlineLevel="1" x14ac:dyDescent="0.2">
      <c r="A585" s="21" t="s">
        <v>47</v>
      </c>
      <c r="B585" s="22" t="s">
        <v>706</v>
      </c>
      <c r="C585" s="21">
        <v>5.16</v>
      </c>
      <c r="D585" s="90" t="s">
        <v>893</v>
      </c>
    </row>
    <row r="586" spans="1:4" ht="15.75" hidden="1" outlineLevel="1" x14ac:dyDescent="0.2">
      <c r="A586" s="21" t="s">
        <v>47</v>
      </c>
      <c r="B586" s="22" t="s">
        <v>707</v>
      </c>
      <c r="C586" s="21">
        <v>5.22</v>
      </c>
      <c r="D586" s="90"/>
    </row>
    <row r="587" spans="1:4" ht="15.75" hidden="1" outlineLevel="1" x14ac:dyDescent="0.2">
      <c r="A587" s="21" t="s">
        <v>47</v>
      </c>
      <c r="B587" s="22" t="s">
        <v>1</v>
      </c>
      <c r="C587" s="21">
        <v>5.26</v>
      </c>
      <c r="D587" s="91"/>
    </row>
    <row r="588" spans="1:4" ht="15.75" hidden="1" outlineLevel="1" x14ac:dyDescent="0.2">
      <c r="A588" s="21" t="s">
        <v>47</v>
      </c>
      <c r="B588" s="22" t="s">
        <v>875</v>
      </c>
      <c r="C588" s="21">
        <v>5.77</v>
      </c>
      <c r="D588" s="91"/>
    </row>
    <row r="589" spans="1:4" ht="15.75" hidden="1" outlineLevel="1" x14ac:dyDescent="0.2">
      <c r="A589" s="21" t="s">
        <v>47</v>
      </c>
      <c r="B589" s="22" t="s">
        <v>591</v>
      </c>
      <c r="C589" s="21">
        <v>5.27</v>
      </c>
      <c r="D589" s="91"/>
    </row>
    <row r="590" spans="1:4" ht="15.75" hidden="1" outlineLevel="1" x14ac:dyDescent="0.2">
      <c r="A590" s="21" t="s">
        <v>47</v>
      </c>
      <c r="B590" s="22" t="s">
        <v>592</v>
      </c>
      <c r="C590" s="21">
        <v>5.28</v>
      </c>
      <c r="D590" s="90" t="s">
        <v>893</v>
      </c>
    </row>
    <row r="591" spans="1:4" ht="15.75" hidden="1" outlineLevel="1" x14ac:dyDescent="0.2">
      <c r="A591" s="21" t="s">
        <v>47</v>
      </c>
      <c r="B591" s="22" t="s">
        <v>8</v>
      </c>
      <c r="C591" s="21">
        <v>5.31</v>
      </c>
      <c r="D591" s="91"/>
    </row>
    <row r="592" spans="1:4" ht="15.75" hidden="1" outlineLevel="1" x14ac:dyDescent="0.2">
      <c r="A592" s="21" t="s">
        <v>47</v>
      </c>
      <c r="B592" s="22" t="s">
        <v>593</v>
      </c>
      <c r="C592" s="21">
        <v>5.36</v>
      </c>
      <c r="D592" s="91"/>
    </row>
    <row r="593" spans="1:4" ht="15.75" hidden="1" outlineLevel="1" x14ac:dyDescent="0.2">
      <c r="A593" s="21" t="s">
        <v>47</v>
      </c>
      <c r="B593" s="22" t="s">
        <v>289</v>
      </c>
      <c r="C593" s="21">
        <v>5.78</v>
      </c>
      <c r="D593" s="91"/>
    </row>
    <row r="594" spans="1:4" ht="15.75" hidden="1" outlineLevel="1" x14ac:dyDescent="0.2">
      <c r="A594" s="21" t="s">
        <v>47</v>
      </c>
      <c r="B594" s="22" t="s">
        <v>579</v>
      </c>
      <c r="C594" s="21">
        <v>5.79</v>
      </c>
      <c r="D594" s="90" t="s">
        <v>893</v>
      </c>
    </row>
    <row r="595" spans="1:4" ht="15.75" hidden="1" outlineLevel="1" x14ac:dyDescent="0.2">
      <c r="A595" s="21" t="s">
        <v>47</v>
      </c>
      <c r="B595" s="22" t="s">
        <v>711</v>
      </c>
      <c r="C595" s="21">
        <v>5.41</v>
      </c>
      <c r="D595" s="91"/>
    </row>
    <row r="596" spans="1:4" ht="15.75" hidden="1" outlineLevel="1" x14ac:dyDescent="0.2">
      <c r="A596" s="21" t="s">
        <v>47</v>
      </c>
      <c r="B596" s="22" t="s">
        <v>5</v>
      </c>
      <c r="C596" s="21">
        <v>5.49</v>
      </c>
      <c r="D596" s="91"/>
    </row>
    <row r="597" spans="1:4" ht="15.75" hidden="1" outlineLevel="1" x14ac:dyDescent="0.2">
      <c r="A597" s="21" t="s">
        <v>47</v>
      </c>
      <c r="B597" s="22" t="s">
        <v>7</v>
      </c>
      <c r="C597" s="21">
        <v>5.51</v>
      </c>
      <c r="D597" s="91"/>
    </row>
    <row r="598" spans="1:4" ht="15.75" hidden="1" outlineLevel="1" x14ac:dyDescent="0.2">
      <c r="A598" s="21" t="s">
        <v>47</v>
      </c>
      <c r="B598" s="22" t="s">
        <v>751</v>
      </c>
      <c r="C598" s="21">
        <v>5.52</v>
      </c>
      <c r="D598" s="91"/>
    </row>
    <row r="599" spans="1:4" ht="15.75" hidden="1" outlineLevel="1" x14ac:dyDescent="0.2">
      <c r="A599" s="21" t="s">
        <v>47</v>
      </c>
      <c r="B599" s="22" t="s">
        <v>387</v>
      </c>
      <c r="C599" s="21">
        <v>5.53</v>
      </c>
      <c r="D599" s="91"/>
    </row>
    <row r="600" spans="1:4" ht="15.75" hidden="1" outlineLevel="1" x14ac:dyDescent="0.2">
      <c r="A600" s="21" t="s">
        <v>47</v>
      </c>
      <c r="B600" s="22" t="s">
        <v>12</v>
      </c>
      <c r="C600" s="21">
        <v>5.69</v>
      </c>
      <c r="D600" s="91"/>
    </row>
    <row r="601" spans="1:4" ht="15.75" hidden="1" outlineLevel="1" x14ac:dyDescent="0.2">
      <c r="A601" s="21" t="s">
        <v>47</v>
      </c>
      <c r="B601" s="22" t="s">
        <v>431</v>
      </c>
      <c r="C601" s="21">
        <v>5.71</v>
      </c>
      <c r="D601" s="91"/>
    </row>
    <row r="602" spans="1:4" ht="15.75" hidden="1" outlineLevel="1" x14ac:dyDescent="0.2">
      <c r="A602" s="21" t="s">
        <v>47</v>
      </c>
      <c r="B602" s="22" t="s">
        <v>13</v>
      </c>
      <c r="C602" s="23">
        <v>5.7</v>
      </c>
      <c r="D602" s="91"/>
    </row>
    <row r="603" spans="1:4" ht="15.75" hidden="1" outlineLevel="1" x14ac:dyDescent="0.2">
      <c r="A603" s="21" t="s">
        <v>47</v>
      </c>
      <c r="B603" s="22" t="s">
        <v>275</v>
      </c>
      <c r="C603" s="23">
        <v>5.8</v>
      </c>
      <c r="D603" s="90" t="s">
        <v>893</v>
      </c>
    </row>
    <row r="604" spans="1:4" ht="15.75" hidden="1" outlineLevel="1" x14ac:dyDescent="0.2">
      <c r="A604" s="21" t="s">
        <v>47</v>
      </c>
      <c r="B604" s="22" t="s">
        <v>301</v>
      </c>
      <c r="C604" s="23">
        <v>5.72</v>
      </c>
      <c r="D604" s="90" t="s">
        <v>893</v>
      </c>
    </row>
    <row r="605" spans="1:4" ht="15.75" hidden="1" outlineLevel="1" x14ac:dyDescent="0.2">
      <c r="A605" s="21" t="s">
        <v>47</v>
      </c>
      <c r="B605" s="22" t="s">
        <v>656</v>
      </c>
      <c r="C605" s="21">
        <v>5.73</v>
      </c>
      <c r="D605" s="90" t="s">
        <v>893</v>
      </c>
    </row>
    <row r="606" spans="1:4" ht="15.75" hidden="1" outlineLevel="1" x14ac:dyDescent="0.2">
      <c r="A606" s="21" t="s">
        <v>47</v>
      </c>
      <c r="B606" s="22" t="s">
        <v>608</v>
      </c>
      <c r="C606" s="21">
        <v>5.74</v>
      </c>
      <c r="D606" s="91"/>
    </row>
    <row r="607" spans="1:4" ht="15.75" hidden="1" outlineLevel="1" x14ac:dyDescent="0.2">
      <c r="A607" s="21" t="s">
        <v>47</v>
      </c>
      <c r="B607" s="22" t="s">
        <v>412</v>
      </c>
      <c r="C607" s="21">
        <v>5.75</v>
      </c>
      <c r="D607" s="91"/>
    </row>
    <row r="608" spans="1:4" ht="15.75" hidden="1" outlineLevel="1" x14ac:dyDescent="0.2">
      <c r="A608" s="21" t="s">
        <v>47</v>
      </c>
      <c r="B608" s="22" t="s">
        <v>884</v>
      </c>
      <c r="C608" s="21">
        <v>5.76</v>
      </c>
      <c r="D608" s="91"/>
    </row>
    <row r="609" spans="1:4" ht="15.75" hidden="1" outlineLevel="1" x14ac:dyDescent="0.2">
      <c r="A609" s="21" t="s">
        <v>47</v>
      </c>
      <c r="B609" s="22" t="s">
        <v>19</v>
      </c>
      <c r="C609" s="21">
        <v>5.81</v>
      </c>
      <c r="D609" s="90" t="s">
        <v>893</v>
      </c>
    </row>
    <row r="610" spans="1:4" ht="15.75" hidden="1" outlineLevel="1" x14ac:dyDescent="0.2">
      <c r="A610" s="21" t="s">
        <v>47</v>
      </c>
      <c r="B610" s="22" t="s">
        <v>744</v>
      </c>
      <c r="C610" s="21">
        <v>5.82</v>
      </c>
      <c r="D610" s="90" t="s">
        <v>893</v>
      </c>
    </row>
    <row r="611" spans="1:4" ht="15.75" hidden="1" outlineLevel="1" x14ac:dyDescent="0.2">
      <c r="A611" s="21" t="s">
        <v>47</v>
      </c>
      <c r="B611" s="22" t="s">
        <v>643</v>
      </c>
      <c r="C611" s="21">
        <v>5.83</v>
      </c>
      <c r="D611" s="90" t="s">
        <v>893</v>
      </c>
    </row>
    <row r="612" spans="1:4" ht="15.75" hidden="1" outlineLevel="1" x14ac:dyDescent="0.2">
      <c r="A612" s="21" t="s">
        <v>47</v>
      </c>
      <c r="B612" s="22" t="s">
        <v>644</v>
      </c>
      <c r="C612" s="21">
        <v>5.84</v>
      </c>
      <c r="D612" s="91"/>
    </row>
    <row r="613" spans="1:4" ht="15.75" hidden="1" outlineLevel="1" x14ac:dyDescent="0.2">
      <c r="A613" s="21" t="s">
        <v>47</v>
      </c>
      <c r="B613" s="22" t="s">
        <v>809</v>
      </c>
      <c r="C613" s="21">
        <v>5.85</v>
      </c>
      <c r="D613" s="90" t="s">
        <v>893</v>
      </c>
    </row>
    <row r="614" spans="1:4" ht="15.75" hidden="1" outlineLevel="1" x14ac:dyDescent="0.2">
      <c r="A614" s="21" t="s">
        <v>47</v>
      </c>
      <c r="B614" s="22" t="s">
        <v>411</v>
      </c>
      <c r="C614" s="21">
        <v>5.86</v>
      </c>
      <c r="D614" s="90" t="s">
        <v>893</v>
      </c>
    </row>
    <row r="615" spans="1:4" ht="15.75" hidden="1" outlineLevel="1" x14ac:dyDescent="0.2">
      <c r="A615" s="21" t="s">
        <v>47</v>
      </c>
      <c r="B615" s="22" t="s">
        <v>20</v>
      </c>
      <c r="C615" s="21">
        <v>5.88</v>
      </c>
      <c r="D615" s="90" t="s">
        <v>893</v>
      </c>
    </row>
    <row r="616" spans="1:4" ht="15.75" hidden="1" outlineLevel="1" x14ac:dyDescent="0.2">
      <c r="A616" s="21" t="s">
        <v>47</v>
      </c>
      <c r="B616" s="22" t="s">
        <v>657</v>
      </c>
      <c r="C616" s="21">
        <v>5.87</v>
      </c>
      <c r="D616" s="91"/>
    </row>
    <row r="617" spans="1:4" ht="15.75" hidden="1" outlineLevel="1" x14ac:dyDescent="0.2">
      <c r="A617" s="21" t="s">
        <v>47</v>
      </c>
      <c r="B617" s="22" t="s">
        <v>876</v>
      </c>
      <c r="C617" s="21">
        <v>5.109</v>
      </c>
      <c r="D617" s="91"/>
    </row>
    <row r="618" spans="1:4" ht="15.75" hidden="1" outlineLevel="1" x14ac:dyDescent="0.2">
      <c r="A618" s="21" t="s">
        <v>47</v>
      </c>
      <c r="B618" s="22" t="s">
        <v>710</v>
      </c>
      <c r="C618" s="24">
        <v>5.1100000000000003</v>
      </c>
      <c r="D618" s="90" t="s">
        <v>893</v>
      </c>
    </row>
    <row r="619" spans="1:4" ht="15.75" hidden="1" outlineLevel="1" x14ac:dyDescent="0.2">
      <c r="A619" s="21" t="s">
        <v>47</v>
      </c>
      <c r="B619" s="22" t="s">
        <v>363</v>
      </c>
      <c r="C619" s="21">
        <v>5.1109999999999998</v>
      </c>
      <c r="D619" s="91"/>
    </row>
    <row r="620" spans="1:4" ht="15.75" hidden="1" outlineLevel="1" x14ac:dyDescent="0.2">
      <c r="A620" s="21" t="s">
        <v>47</v>
      </c>
      <c r="B620" s="22" t="s">
        <v>15</v>
      </c>
      <c r="C620" s="21">
        <v>5.1120000000000001</v>
      </c>
      <c r="D620" s="91"/>
    </row>
    <row r="621" spans="1:4" ht="15.75" hidden="1" outlineLevel="1" x14ac:dyDescent="0.2">
      <c r="A621" s="21" t="s">
        <v>47</v>
      </c>
      <c r="B621" s="22" t="s">
        <v>462</v>
      </c>
      <c r="C621" s="21">
        <v>5.1130000000000004</v>
      </c>
      <c r="D621" s="91"/>
    </row>
    <row r="622" spans="1:4" ht="15.75" hidden="1" outlineLevel="1" x14ac:dyDescent="0.2">
      <c r="A622" s="21" t="s">
        <v>47</v>
      </c>
      <c r="B622" s="22" t="s">
        <v>609</v>
      </c>
      <c r="C622" s="21">
        <v>5.99</v>
      </c>
      <c r="D622" s="90" t="s">
        <v>893</v>
      </c>
    </row>
    <row r="623" spans="1:4" ht="15.75" hidden="1" outlineLevel="1" x14ac:dyDescent="0.2">
      <c r="A623" s="21" t="s">
        <v>47</v>
      </c>
      <c r="B623" s="22" t="s">
        <v>901</v>
      </c>
      <c r="C623" s="21">
        <v>5.58</v>
      </c>
      <c r="D623" s="90"/>
    </row>
    <row r="624" spans="1:4" ht="15.75" hidden="1" outlineLevel="1" x14ac:dyDescent="0.2">
      <c r="A624" s="21" t="s">
        <v>47</v>
      </c>
      <c r="B624" s="22" t="s">
        <v>10</v>
      </c>
      <c r="C624" s="21">
        <v>5.54</v>
      </c>
      <c r="D624" s="91"/>
    </row>
    <row r="625" spans="1:4" ht="15.75" hidden="1" outlineLevel="1" x14ac:dyDescent="0.2">
      <c r="A625" s="21" t="s">
        <v>47</v>
      </c>
      <c r="B625" s="22" t="s">
        <v>708</v>
      </c>
      <c r="C625" s="21">
        <v>5.56</v>
      </c>
      <c r="D625" s="91"/>
    </row>
    <row r="626" spans="1:4" ht="15.75" hidden="1" outlineLevel="1" x14ac:dyDescent="0.2">
      <c r="A626" s="21" t="s">
        <v>47</v>
      </c>
      <c r="B626" s="22" t="s">
        <v>1105</v>
      </c>
      <c r="C626" s="21">
        <v>5.63</v>
      </c>
      <c r="D626" s="91"/>
    </row>
    <row r="627" spans="1:4" ht="15.75" hidden="1" outlineLevel="1" x14ac:dyDescent="0.2">
      <c r="A627" s="21" t="s">
        <v>47</v>
      </c>
      <c r="B627" s="22" t="s">
        <v>759</v>
      </c>
      <c r="C627" s="21">
        <v>5.64</v>
      </c>
      <c r="D627" s="91"/>
    </row>
    <row r="628" spans="1:4" ht="15.75" hidden="1" outlineLevel="1" x14ac:dyDescent="0.2">
      <c r="A628" s="21" t="s">
        <v>47</v>
      </c>
      <c r="B628" s="22" t="s">
        <v>1106</v>
      </c>
      <c r="C628" s="21">
        <v>5.65</v>
      </c>
      <c r="D628" s="91"/>
    </row>
    <row r="629" spans="1:4" ht="15.75" hidden="1" outlineLevel="1" x14ac:dyDescent="0.2">
      <c r="A629" s="21" t="s">
        <v>47</v>
      </c>
      <c r="B629" s="22" t="s">
        <v>760</v>
      </c>
      <c r="C629" s="21">
        <v>5.66</v>
      </c>
      <c r="D629" s="91"/>
    </row>
    <row r="630" spans="1:4" ht="15.75" hidden="1" outlineLevel="1" x14ac:dyDescent="0.2">
      <c r="A630" s="21" t="s">
        <v>47</v>
      </c>
      <c r="B630" s="22" t="s">
        <v>654</v>
      </c>
      <c r="C630" s="21">
        <v>5.89</v>
      </c>
      <c r="D630" s="90" t="s">
        <v>893</v>
      </c>
    </row>
    <row r="631" spans="1:4" ht="15.75" hidden="1" outlineLevel="1" x14ac:dyDescent="0.2">
      <c r="A631" s="21" t="s">
        <v>47</v>
      </c>
      <c r="B631" s="22" t="s">
        <v>25</v>
      </c>
      <c r="C631" s="21">
        <v>5.68</v>
      </c>
      <c r="D631" s="91"/>
    </row>
    <row r="632" spans="1:4" ht="15.75" hidden="1" outlineLevel="1" x14ac:dyDescent="0.2">
      <c r="A632" s="21" t="s">
        <v>47</v>
      </c>
      <c r="B632" s="22" t="s">
        <v>18</v>
      </c>
      <c r="C632" s="21">
        <v>5.47</v>
      </c>
      <c r="D632" s="91"/>
    </row>
    <row r="633" spans="1:4" ht="15.75" hidden="1" outlineLevel="1" x14ac:dyDescent="0.2">
      <c r="A633" s="21" t="s">
        <v>47</v>
      </c>
      <c r="B633" s="22" t="s">
        <v>29</v>
      </c>
      <c r="C633" s="21">
        <v>5.48</v>
      </c>
      <c r="D633" s="91"/>
    </row>
    <row r="634" spans="1:4" ht="15.75" collapsed="1" x14ac:dyDescent="0.2">
      <c r="A634" s="26" t="s">
        <v>47</v>
      </c>
      <c r="B634" s="22"/>
      <c r="C634" s="21"/>
      <c r="D634" s="91"/>
    </row>
    <row r="635" spans="1:4" ht="15.75" hidden="1" outlineLevel="1" x14ac:dyDescent="0.2">
      <c r="A635" s="21" t="s">
        <v>48</v>
      </c>
      <c r="B635" s="22" t="s">
        <v>636</v>
      </c>
      <c r="C635" s="21">
        <v>5.0999999999999996</v>
      </c>
      <c r="D635" s="91"/>
    </row>
    <row r="636" spans="1:4" ht="15.75" hidden="1" outlineLevel="1" x14ac:dyDescent="0.2">
      <c r="A636" s="21" t="s">
        <v>48</v>
      </c>
      <c r="B636" s="22" t="s">
        <v>0</v>
      </c>
      <c r="C636" s="21">
        <v>5.2</v>
      </c>
      <c r="D636" s="91"/>
    </row>
    <row r="637" spans="1:4" ht="15.75" hidden="1" outlineLevel="1" x14ac:dyDescent="0.2">
      <c r="A637" s="21" t="s">
        <v>48</v>
      </c>
      <c r="B637" s="22" t="s">
        <v>703</v>
      </c>
      <c r="C637" s="21">
        <v>5.3</v>
      </c>
      <c r="D637" s="91"/>
    </row>
    <row r="638" spans="1:4" ht="15.75" hidden="1" outlineLevel="1" x14ac:dyDescent="0.2">
      <c r="A638" s="21" t="s">
        <v>48</v>
      </c>
      <c r="B638" s="22" t="s">
        <v>2</v>
      </c>
      <c r="C638" s="21">
        <v>5.6</v>
      </c>
      <c r="D638" s="91"/>
    </row>
    <row r="639" spans="1:4" ht="15.75" hidden="1" outlineLevel="1" x14ac:dyDescent="0.2">
      <c r="A639" s="21" t="s">
        <v>48</v>
      </c>
      <c r="B639" s="22" t="s">
        <v>709</v>
      </c>
      <c r="C639" s="23">
        <v>5.0999999999999996</v>
      </c>
      <c r="D639" s="91"/>
    </row>
    <row r="640" spans="1:4" ht="15.75" hidden="1" outlineLevel="1" x14ac:dyDescent="0.2">
      <c r="A640" s="21" t="s">
        <v>48</v>
      </c>
      <c r="B640" s="22" t="s">
        <v>3</v>
      </c>
      <c r="C640" s="21">
        <v>5.14</v>
      </c>
      <c r="D640" s="91"/>
    </row>
    <row r="641" spans="1:4" ht="15.75" hidden="1" outlineLevel="1" x14ac:dyDescent="0.2">
      <c r="A641" s="21" t="s">
        <v>48</v>
      </c>
      <c r="B641" s="22" t="s">
        <v>28</v>
      </c>
      <c r="C641" s="21">
        <v>5.19</v>
      </c>
      <c r="D641" s="91"/>
    </row>
    <row r="642" spans="1:4" ht="15.75" hidden="1" outlineLevel="1" x14ac:dyDescent="0.2">
      <c r="A642" s="21" t="s">
        <v>48</v>
      </c>
      <c r="B642" s="22" t="s">
        <v>27</v>
      </c>
      <c r="C642" s="21">
        <v>5.24</v>
      </c>
      <c r="D642" s="91"/>
    </row>
    <row r="643" spans="1:4" ht="15.75" hidden="1" outlineLevel="1" x14ac:dyDescent="0.2">
      <c r="A643" s="21" t="s">
        <v>48</v>
      </c>
      <c r="B643" s="22" t="s">
        <v>1</v>
      </c>
      <c r="C643" s="21">
        <v>5.26</v>
      </c>
      <c r="D643" s="91"/>
    </row>
    <row r="644" spans="1:4" ht="15.75" hidden="1" outlineLevel="1" x14ac:dyDescent="0.2">
      <c r="A644" s="21" t="s">
        <v>48</v>
      </c>
      <c r="B644" s="22" t="s">
        <v>591</v>
      </c>
      <c r="C644" s="21">
        <v>5.27</v>
      </c>
      <c r="D644" s="91"/>
    </row>
    <row r="645" spans="1:4" ht="15.75" hidden="1" outlineLevel="1" x14ac:dyDescent="0.2">
      <c r="A645" s="21" t="s">
        <v>48</v>
      </c>
      <c r="B645" s="22" t="s">
        <v>592</v>
      </c>
      <c r="C645" s="21">
        <v>5.28</v>
      </c>
      <c r="D645" s="91"/>
    </row>
    <row r="646" spans="1:4" ht="15.75" hidden="1" outlineLevel="1" x14ac:dyDescent="0.2">
      <c r="A646" s="21" t="s">
        <v>48</v>
      </c>
      <c r="B646" s="22" t="s">
        <v>593</v>
      </c>
      <c r="C646" s="21">
        <v>5.36</v>
      </c>
      <c r="D646" s="91"/>
    </row>
    <row r="647" spans="1:4" ht="15.75" hidden="1" outlineLevel="1" x14ac:dyDescent="0.2">
      <c r="A647" s="21" t="s">
        <v>48</v>
      </c>
      <c r="B647" s="22" t="s">
        <v>9</v>
      </c>
      <c r="C647" s="21">
        <v>5.33</v>
      </c>
      <c r="D647" s="91"/>
    </row>
    <row r="648" spans="1:4" ht="15.75" hidden="1" outlineLevel="1" x14ac:dyDescent="0.2">
      <c r="A648" s="21" t="s">
        <v>48</v>
      </c>
      <c r="B648" s="22" t="s">
        <v>11</v>
      </c>
      <c r="C648" s="21">
        <v>5.37</v>
      </c>
      <c r="D648" s="91"/>
    </row>
    <row r="649" spans="1:4" ht="15.75" hidden="1" outlineLevel="1" x14ac:dyDescent="0.2">
      <c r="A649" s="21" t="s">
        <v>48</v>
      </c>
      <c r="B649" s="22" t="s">
        <v>5</v>
      </c>
      <c r="C649" s="21">
        <v>5.49</v>
      </c>
      <c r="D649" s="91"/>
    </row>
    <row r="650" spans="1:4" ht="15.75" hidden="1" outlineLevel="1" x14ac:dyDescent="0.2">
      <c r="A650" s="21" t="s">
        <v>48</v>
      </c>
      <c r="B650" s="22" t="s">
        <v>7</v>
      </c>
      <c r="C650" s="21">
        <v>5.51</v>
      </c>
      <c r="D650" s="91"/>
    </row>
    <row r="651" spans="1:4" ht="15.75" hidden="1" outlineLevel="1" x14ac:dyDescent="0.2">
      <c r="A651" s="21" t="s">
        <v>48</v>
      </c>
      <c r="B651" s="22" t="s">
        <v>6</v>
      </c>
      <c r="C651" s="21">
        <v>5.52</v>
      </c>
      <c r="D651" s="91"/>
    </row>
    <row r="652" spans="1:4" ht="15.75" hidden="1" outlineLevel="1" x14ac:dyDescent="0.2">
      <c r="A652" s="21" t="s">
        <v>48</v>
      </c>
      <c r="B652" s="22" t="s">
        <v>387</v>
      </c>
      <c r="C652" s="21">
        <v>5.53</v>
      </c>
      <c r="D652" s="91"/>
    </row>
    <row r="653" spans="1:4" ht="15.75" hidden="1" outlineLevel="1" x14ac:dyDescent="0.2">
      <c r="A653" s="21" t="s">
        <v>48</v>
      </c>
      <c r="B653" s="22" t="s">
        <v>12</v>
      </c>
      <c r="C653" s="21">
        <v>5.69</v>
      </c>
      <c r="D653" s="91"/>
    </row>
    <row r="654" spans="1:4" ht="15.75" hidden="1" outlineLevel="1" x14ac:dyDescent="0.2">
      <c r="A654" s="21" t="s">
        <v>48</v>
      </c>
      <c r="B654" s="22" t="s">
        <v>13</v>
      </c>
      <c r="C654" s="23">
        <v>5.7</v>
      </c>
      <c r="D654" s="91"/>
    </row>
    <row r="655" spans="1:4" ht="15.75" hidden="1" outlineLevel="1" x14ac:dyDescent="0.2">
      <c r="A655" s="21" t="s">
        <v>48</v>
      </c>
      <c r="B655" s="22" t="s">
        <v>608</v>
      </c>
      <c r="C655" s="21">
        <v>5.74</v>
      </c>
      <c r="D655" s="91"/>
    </row>
    <row r="656" spans="1:4" ht="15.75" hidden="1" outlineLevel="1" x14ac:dyDescent="0.2">
      <c r="A656" s="21" t="s">
        <v>48</v>
      </c>
      <c r="B656" s="22" t="s">
        <v>876</v>
      </c>
      <c r="C656" s="21">
        <v>5.109</v>
      </c>
      <c r="D656" s="91"/>
    </row>
    <row r="657" spans="1:4" ht="15.75" hidden="1" outlineLevel="1" x14ac:dyDescent="0.2">
      <c r="A657" s="21" t="s">
        <v>48</v>
      </c>
      <c r="B657" s="22" t="s">
        <v>363</v>
      </c>
      <c r="C657" s="21">
        <v>5.1109999999999998</v>
      </c>
      <c r="D657" s="91"/>
    </row>
    <row r="658" spans="1:4" ht="15.75" hidden="1" outlineLevel="1" x14ac:dyDescent="0.2">
      <c r="A658" s="21" t="s">
        <v>48</v>
      </c>
      <c r="B658" s="22" t="s">
        <v>15</v>
      </c>
      <c r="C658" s="21">
        <v>5.1120000000000001</v>
      </c>
      <c r="D658" s="91"/>
    </row>
    <row r="659" spans="1:4" ht="15.75" hidden="1" outlineLevel="1" x14ac:dyDescent="0.2">
      <c r="A659" s="21" t="s">
        <v>48</v>
      </c>
      <c r="B659" s="22" t="s">
        <v>747</v>
      </c>
      <c r="C659" s="21">
        <v>5.58</v>
      </c>
      <c r="D659" s="91"/>
    </row>
    <row r="660" spans="1:4" ht="15.75" hidden="1" outlineLevel="1" x14ac:dyDescent="0.2">
      <c r="A660" s="21" t="s">
        <v>48</v>
      </c>
      <c r="B660" s="22" t="s">
        <v>10</v>
      </c>
      <c r="C660" s="21">
        <v>5.54</v>
      </c>
      <c r="D660" s="91"/>
    </row>
    <row r="661" spans="1:4" ht="15.75" hidden="1" outlineLevel="1" x14ac:dyDescent="0.2">
      <c r="A661" s="21" t="s">
        <v>48</v>
      </c>
      <c r="B661" s="22" t="s">
        <v>14</v>
      </c>
      <c r="C661" s="21">
        <v>5.55</v>
      </c>
      <c r="D661" s="91"/>
    </row>
    <row r="662" spans="1:4" ht="15.75" hidden="1" outlineLevel="1" x14ac:dyDescent="0.2">
      <c r="A662" s="21" t="s">
        <v>48</v>
      </c>
      <c r="B662" s="22" t="s">
        <v>1105</v>
      </c>
      <c r="C662" s="21">
        <v>5.63</v>
      </c>
      <c r="D662" s="91"/>
    </row>
    <row r="663" spans="1:4" ht="15.75" hidden="1" outlineLevel="1" x14ac:dyDescent="0.2">
      <c r="A663" s="21" t="s">
        <v>48</v>
      </c>
      <c r="B663" s="22" t="s">
        <v>18</v>
      </c>
      <c r="C663" s="21">
        <v>5.47</v>
      </c>
      <c r="D663" s="91"/>
    </row>
    <row r="664" spans="1:4" ht="15.75" hidden="1" outlineLevel="1" x14ac:dyDescent="0.2">
      <c r="A664" s="21" t="s">
        <v>48</v>
      </c>
      <c r="B664" s="22" t="s">
        <v>29</v>
      </c>
      <c r="C664" s="21">
        <v>5.48</v>
      </c>
      <c r="D664" s="91"/>
    </row>
    <row r="665" spans="1:4" ht="15.75" collapsed="1" x14ac:dyDescent="0.2">
      <c r="A665" s="26" t="s">
        <v>48</v>
      </c>
      <c r="B665" s="22"/>
      <c r="C665" s="21"/>
      <c r="D665" s="91"/>
    </row>
    <row r="666" spans="1:4" ht="15.75" hidden="1" outlineLevel="1" x14ac:dyDescent="0.2">
      <c r="A666" s="21" t="s">
        <v>49</v>
      </c>
      <c r="B666" s="22" t="s">
        <v>636</v>
      </c>
      <c r="C666" s="21">
        <v>5.0999999999999996</v>
      </c>
      <c r="D666" s="91"/>
    </row>
    <row r="667" spans="1:4" ht="15.75" hidden="1" outlineLevel="1" x14ac:dyDescent="0.2">
      <c r="A667" s="21" t="s">
        <v>49</v>
      </c>
      <c r="B667" s="22" t="s">
        <v>0</v>
      </c>
      <c r="C667" s="21">
        <v>5.2</v>
      </c>
      <c r="D667" s="91"/>
    </row>
    <row r="668" spans="1:4" ht="15.75" hidden="1" outlineLevel="1" x14ac:dyDescent="0.2">
      <c r="A668" s="21" t="s">
        <v>49</v>
      </c>
      <c r="B668" s="22" t="s">
        <v>702</v>
      </c>
      <c r="C668" s="21">
        <v>5.4</v>
      </c>
      <c r="D668" s="91"/>
    </row>
    <row r="669" spans="1:4" ht="15.75" hidden="1" outlineLevel="1" x14ac:dyDescent="0.2">
      <c r="A669" s="21" t="s">
        <v>49</v>
      </c>
      <c r="B669" s="22" t="s">
        <v>720</v>
      </c>
      <c r="C669" s="21">
        <v>5.7</v>
      </c>
      <c r="D669" s="91"/>
    </row>
    <row r="670" spans="1:4" ht="15.75" hidden="1" outlineLevel="1" x14ac:dyDescent="0.2">
      <c r="A670" s="21" t="s">
        <v>49</v>
      </c>
      <c r="B670" s="22" t="s">
        <v>721</v>
      </c>
      <c r="C670" s="21">
        <v>5.1100000000000003</v>
      </c>
      <c r="D670" s="91"/>
    </row>
    <row r="671" spans="1:4" ht="15.75" hidden="1" outlineLevel="1" x14ac:dyDescent="0.2">
      <c r="A671" s="21" t="s">
        <v>49</v>
      </c>
      <c r="B671" s="22" t="s">
        <v>1</v>
      </c>
      <c r="C671" s="21">
        <v>5.26</v>
      </c>
      <c r="D671" s="91"/>
    </row>
    <row r="672" spans="1:4" ht="15.75" hidden="1" outlineLevel="1" x14ac:dyDescent="0.2">
      <c r="A672" s="21" t="s">
        <v>49</v>
      </c>
      <c r="B672" s="22" t="s">
        <v>611</v>
      </c>
      <c r="C672" s="21">
        <v>5.43</v>
      </c>
      <c r="D672" s="91"/>
    </row>
    <row r="673" spans="1:4" ht="15.75" hidden="1" outlineLevel="1" x14ac:dyDescent="0.2">
      <c r="A673" s="21" t="s">
        <v>49</v>
      </c>
      <c r="B673" s="22" t="s">
        <v>591</v>
      </c>
      <c r="C673" s="21">
        <v>5.27</v>
      </c>
      <c r="D673" s="91"/>
    </row>
    <row r="674" spans="1:4" ht="15.75" hidden="1" outlineLevel="1" x14ac:dyDescent="0.2">
      <c r="A674" s="21" t="s">
        <v>49</v>
      </c>
      <c r="B674" s="22" t="s">
        <v>592</v>
      </c>
      <c r="C674" s="21">
        <v>5.28</v>
      </c>
      <c r="D674" s="91"/>
    </row>
    <row r="675" spans="1:4" ht="15.75" hidden="1" outlineLevel="1" x14ac:dyDescent="0.2">
      <c r="A675" s="21" t="s">
        <v>49</v>
      </c>
      <c r="B675" s="22" t="s">
        <v>593</v>
      </c>
      <c r="C675" s="21">
        <v>5.36</v>
      </c>
      <c r="D675" s="91"/>
    </row>
    <row r="676" spans="1:4" ht="15.75" hidden="1" outlineLevel="1" x14ac:dyDescent="0.2">
      <c r="A676" s="21" t="s">
        <v>49</v>
      </c>
      <c r="B676" s="22" t="s">
        <v>746</v>
      </c>
      <c r="C676" s="23">
        <v>5.5</v>
      </c>
      <c r="D676" s="91"/>
    </row>
    <row r="677" spans="1:4" ht="15.75" hidden="1" outlineLevel="1" x14ac:dyDescent="0.2">
      <c r="A677" s="21" t="s">
        <v>49</v>
      </c>
      <c r="B677" s="22" t="s">
        <v>7</v>
      </c>
      <c r="C677" s="21">
        <v>5.51</v>
      </c>
      <c r="D677" s="91"/>
    </row>
    <row r="678" spans="1:4" ht="15.75" hidden="1" outlineLevel="1" x14ac:dyDescent="0.2">
      <c r="A678" s="21" t="s">
        <v>49</v>
      </c>
      <c r="B678" s="22" t="s">
        <v>387</v>
      </c>
      <c r="C678" s="21">
        <v>5.53</v>
      </c>
      <c r="D678" s="91"/>
    </row>
    <row r="679" spans="1:4" ht="15.75" hidden="1" outlineLevel="1" x14ac:dyDescent="0.2">
      <c r="A679" s="21" t="s">
        <v>49</v>
      </c>
      <c r="B679" s="22" t="s">
        <v>12</v>
      </c>
      <c r="C679" s="21">
        <v>5.69</v>
      </c>
      <c r="D679" s="91"/>
    </row>
    <row r="680" spans="1:4" ht="15.75" hidden="1" outlineLevel="1" x14ac:dyDescent="0.2">
      <c r="A680" s="21" t="s">
        <v>49</v>
      </c>
      <c r="B680" s="22" t="s">
        <v>13</v>
      </c>
      <c r="C680" s="23">
        <v>5.7</v>
      </c>
      <c r="D680" s="90" t="s">
        <v>893</v>
      </c>
    </row>
    <row r="681" spans="1:4" ht="15.75" hidden="1" outlineLevel="1" x14ac:dyDescent="0.2">
      <c r="A681" s="21" t="s">
        <v>49</v>
      </c>
      <c r="B681" s="22" t="s">
        <v>608</v>
      </c>
      <c r="C681" s="21">
        <v>5.74</v>
      </c>
      <c r="D681" s="91"/>
    </row>
    <row r="682" spans="1:4" ht="15.75" hidden="1" outlineLevel="1" x14ac:dyDescent="0.2">
      <c r="A682" s="21" t="s">
        <v>49</v>
      </c>
      <c r="B682" s="22" t="s">
        <v>881</v>
      </c>
      <c r="C682" s="21">
        <v>5.59</v>
      </c>
      <c r="D682" s="91"/>
    </row>
    <row r="683" spans="1:4" ht="15.75" hidden="1" outlineLevel="1" x14ac:dyDescent="0.2">
      <c r="A683" s="21" t="s">
        <v>49</v>
      </c>
      <c r="B683" s="22" t="s">
        <v>10</v>
      </c>
      <c r="C683" s="21">
        <v>5.54</v>
      </c>
      <c r="D683" s="91"/>
    </row>
    <row r="684" spans="1:4" ht="15.75" hidden="1" outlineLevel="1" x14ac:dyDescent="0.2">
      <c r="A684" s="21" t="s">
        <v>49</v>
      </c>
      <c r="B684" s="22" t="s">
        <v>765</v>
      </c>
      <c r="C684" s="21">
        <v>5.57</v>
      </c>
      <c r="D684" s="91"/>
    </row>
    <row r="685" spans="1:4" ht="15.75" hidden="1" outlineLevel="1" x14ac:dyDescent="0.2">
      <c r="A685" s="21" t="s">
        <v>49</v>
      </c>
      <c r="B685" s="22" t="s">
        <v>1105</v>
      </c>
      <c r="C685" s="21">
        <v>5.63</v>
      </c>
      <c r="D685" s="91"/>
    </row>
    <row r="686" spans="1:4" ht="15.75" hidden="1" outlineLevel="1" x14ac:dyDescent="0.2">
      <c r="A686" s="21" t="s">
        <v>49</v>
      </c>
      <c r="B686" s="22" t="s">
        <v>18</v>
      </c>
      <c r="C686" s="21">
        <v>5.47</v>
      </c>
      <c r="D686" s="91"/>
    </row>
    <row r="687" spans="1:4" ht="15.75" hidden="1" outlineLevel="1" x14ac:dyDescent="0.2">
      <c r="A687" s="21" t="s">
        <v>49</v>
      </c>
      <c r="B687" s="22" t="s">
        <v>29</v>
      </c>
      <c r="C687" s="21">
        <v>5.48</v>
      </c>
      <c r="D687" s="91"/>
    </row>
    <row r="688" spans="1:4" ht="15.75" collapsed="1" x14ac:dyDescent="0.2">
      <c r="A688" s="26" t="s">
        <v>49</v>
      </c>
      <c r="B688" s="22"/>
      <c r="C688" s="21"/>
      <c r="D688" s="91"/>
    </row>
    <row r="689" spans="1:4" ht="15.75" hidden="1" outlineLevel="1" x14ac:dyDescent="0.2">
      <c r="A689" s="21" t="s">
        <v>50</v>
      </c>
      <c r="B689" s="22" t="s">
        <v>636</v>
      </c>
      <c r="C689" s="21">
        <v>5.0999999999999996</v>
      </c>
      <c r="D689" s="91"/>
    </row>
    <row r="690" spans="1:4" ht="15.75" hidden="1" outlineLevel="1" x14ac:dyDescent="0.2">
      <c r="A690" s="21" t="s">
        <v>50</v>
      </c>
      <c r="B690" s="22" t="s">
        <v>0</v>
      </c>
      <c r="C690" s="21">
        <v>5.2</v>
      </c>
      <c r="D690" s="91"/>
    </row>
    <row r="691" spans="1:4" ht="15.75" hidden="1" outlineLevel="1" x14ac:dyDescent="0.2">
      <c r="A691" s="21" t="s">
        <v>50</v>
      </c>
      <c r="B691" s="22" t="s">
        <v>291</v>
      </c>
      <c r="C691" s="21">
        <v>5.17</v>
      </c>
      <c r="D691" s="91"/>
    </row>
    <row r="692" spans="1:4" ht="15.75" hidden="1" outlineLevel="1" x14ac:dyDescent="0.2">
      <c r="A692" s="21" t="s">
        <v>50</v>
      </c>
      <c r="B692" s="22" t="s">
        <v>1</v>
      </c>
      <c r="C692" s="21">
        <v>5.26</v>
      </c>
      <c r="D692" s="91"/>
    </row>
    <row r="693" spans="1:4" ht="15.75" hidden="1" outlineLevel="1" x14ac:dyDescent="0.2">
      <c r="A693" s="21" t="s">
        <v>50</v>
      </c>
      <c r="B693" s="22" t="s">
        <v>755</v>
      </c>
      <c r="C693" s="21">
        <v>5.1029999999999998</v>
      </c>
      <c r="D693" s="91"/>
    </row>
    <row r="694" spans="1:4" ht="15.75" hidden="1" outlineLevel="1" x14ac:dyDescent="0.2">
      <c r="A694" s="21" t="s">
        <v>50</v>
      </c>
      <c r="B694" s="22" t="s">
        <v>593</v>
      </c>
      <c r="C694" s="21">
        <v>5.36</v>
      </c>
      <c r="D694" s="91"/>
    </row>
    <row r="695" spans="1:4" ht="15.75" hidden="1" outlineLevel="1" x14ac:dyDescent="0.2">
      <c r="A695" s="21" t="s">
        <v>50</v>
      </c>
      <c r="B695" s="22" t="s">
        <v>11</v>
      </c>
      <c r="C695" s="21">
        <v>5.37</v>
      </c>
      <c r="D695" s="91"/>
    </row>
    <row r="696" spans="1:4" ht="15.75" hidden="1" outlineLevel="1" x14ac:dyDescent="0.2">
      <c r="A696" s="21" t="s">
        <v>50</v>
      </c>
      <c r="B696" s="22" t="s">
        <v>23</v>
      </c>
      <c r="C696" s="21">
        <v>5.1040000000000001</v>
      </c>
      <c r="D696" s="91"/>
    </row>
    <row r="697" spans="1:4" ht="15.75" hidden="1" outlineLevel="1" x14ac:dyDescent="0.2">
      <c r="A697" s="21" t="s">
        <v>50</v>
      </c>
      <c r="B697" s="22" t="s">
        <v>279</v>
      </c>
      <c r="C697" s="21">
        <v>5.1050000000000004</v>
      </c>
      <c r="D697" s="91"/>
    </row>
    <row r="698" spans="1:4" ht="15.75" hidden="1" outlineLevel="1" x14ac:dyDescent="0.2">
      <c r="A698" s="21" t="s">
        <v>50</v>
      </c>
      <c r="B698" s="22" t="s">
        <v>24</v>
      </c>
      <c r="C698" s="21">
        <v>5.1059999999999999</v>
      </c>
      <c r="D698" s="91"/>
    </row>
    <row r="699" spans="1:4" ht="15.75" hidden="1" outlineLevel="1" x14ac:dyDescent="0.2">
      <c r="A699" s="21" t="s">
        <v>50</v>
      </c>
      <c r="B699" s="22" t="s">
        <v>902</v>
      </c>
      <c r="C699" s="21">
        <v>5.1070000000000002</v>
      </c>
      <c r="D699" s="91"/>
    </row>
    <row r="700" spans="1:4" ht="15.75" hidden="1" outlineLevel="1" x14ac:dyDescent="0.2">
      <c r="A700" s="21" t="s">
        <v>50</v>
      </c>
      <c r="B700" s="22" t="s">
        <v>281</v>
      </c>
      <c r="C700" s="21">
        <v>5.1079999999999997</v>
      </c>
      <c r="D700" s="90" t="s">
        <v>893</v>
      </c>
    </row>
    <row r="701" spans="1:4" ht="15.75" hidden="1" outlineLevel="1" x14ac:dyDescent="0.2">
      <c r="A701" s="21" t="s">
        <v>50</v>
      </c>
      <c r="B701" s="22" t="s">
        <v>876</v>
      </c>
      <c r="C701" s="21">
        <v>5.109</v>
      </c>
      <c r="D701" s="91"/>
    </row>
    <row r="702" spans="1:4" ht="15.75" hidden="1" outlineLevel="1" x14ac:dyDescent="0.2">
      <c r="A702" s="21" t="s">
        <v>50</v>
      </c>
      <c r="B702" s="22" t="s">
        <v>710</v>
      </c>
      <c r="C702" s="24">
        <v>5.1100000000000003</v>
      </c>
      <c r="D702" s="90" t="s">
        <v>893</v>
      </c>
    </row>
    <row r="703" spans="1:4" ht="15.75" hidden="1" outlineLevel="1" x14ac:dyDescent="0.2">
      <c r="A703" s="21" t="s">
        <v>50</v>
      </c>
      <c r="B703" s="22" t="s">
        <v>363</v>
      </c>
      <c r="C703" s="21">
        <v>5.1109999999999998</v>
      </c>
      <c r="D703" s="91"/>
    </row>
    <row r="704" spans="1:4" ht="15.75" hidden="1" outlineLevel="1" x14ac:dyDescent="0.2">
      <c r="A704" s="21" t="s">
        <v>50</v>
      </c>
      <c r="B704" s="22" t="s">
        <v>15</v>
      </c>
      <c r="C704" s="21">
        <v>5.1120000000000001</v>
      </c>
      <c r="D704" s="91"/>
    </row>
    <row r="705" spans="1:4" ht="15.75" hidden="1" outlineLevel="1" x14ac:dyDescent="0.2">
      <c r="A705" s="21" t="s">
        <v>50</v>
      </c>
      <c r="B705" s="22" t="s">
        <v>387</v>
      </c>
      <c r="C705" s="21">
        <v>5.53</v>
      </c>
      <c r="D705" s="91"/>
    </row>
    <row r="706" spans="1:4" ht="15.75" hidden="1" outlineLevel="1" x14ac:dyDescent="0.2">
      <c r="A706" s="21" t="s">
        <v>50</v>
      </c>
      <c r="B706" s="22" t="s">
        <v>759</v>
      </c>
      <c r="C706" s="21">
        <v>5.64</v>
      </c>
      <c r="D706" s="91"/>
    </row>
    <row r="707" spans="1:4" ht="15.75" hidden="1" outlineLevel="1" x14ac:dyDescent="0.2">
      <c r="A707" s="21" t="s">
        <v>50</v>
      </c>
      <c r="B707" s="22" t="s">
        <v>1105</v>
      </c>
      <c r="C707" s="21">
        <v>5.63</v>
      </c>
      <c r="D707" s="91"/>
    </row>
    <row r="708" spans="1:4" ht="15.75" hidden="1" outlineLevel="1" x14ac:dyDescent="0.2">
      <c r="A708" s="21" t="s">
        <v>50</v>
      </c>
      <c r="B708" s="22" t="s">
        <v>1106</v>
      </c>
      <c r="C708" s="21">
        <v>5.65</v>
      </c>
      <c r="D708" s="91"/>
    </row>
    <row r="709" spans="1:4" ht="15.75" hidden="1" outlineLevel="1" x14ac:dyDescent="0.2">
      <c r="A709" s="21" t="s">
        <v>50</v>
      </c>
      <c r="B709" s="22" t="s">
        <v>760</v>
      </c>
      <c r="C709" s="21">
        <v>5.66</v>
      </c>
      <c r="D709" s="91"/>
    </row>
    <row r="710" spans="1:4" ht="15.75" hidden="1" outlineLevel="1" x14ac:dyDescent="0.2">
      <c r="A710" s="21" t="s">
        <v>50</v>
      </c>
      <c r="B710" s="22" t="s">
        <v>25</v>
      </c>
      <c r="C710" s="21">
        <v>5.68</v>
      </c>
      <c r="D710" s="91"/>
    </row>
    <row r="711" spans="1:4" ht="15.75" hidden="1" outlineLevel="1" x14ac:dyDescent="0.2">
      <c r="A711" s="21" t="s">
        <v>50</v>
      </c>
      <c r="B711" s="22" t="s">
        <v>18</v>
      </c>
      <c r="C711" s="21">
        <v>5.47</v>
      </c>
      <c r="D711" s="91"/>
    </row>
    <row r="712" spans="1:4" ht="15.75" hidden="1" outlineLevel="1" x14ac:dyDescent="0.2">
      <c r="A712" s="21" t="s">
        <v>50</v>
      </c>
      <c r="B712" s="22" t="s">
        <v>29</v>
      </c>
      <c r="C712" s="21">
        <v>5.48</v>
      </c>
      <c r="D712" s="91"/>
    </row>
    <row r="713" spans="1:4" ht="15.75" collapsed="1" x14ac:dyDescent="0.2">
      <c r="A713" s="26" t="s">
        <v>50</v>
      </c>
      <c r="B713" s="22"/>
      <c r="C713" s="21"/>
      <c r="D713" s="91"/>
    </row>
    <row r="714" spans="1:4" ht="15.75" hidden="1" outlineLevel="1" x14ac:dyDescent="0.2">
      <c r="A714" s="21" t="s">
        <v>493</v>
      </c>
      <c r="B714" s="22" t="s">
        <v>636</v>
      </c>
      <c r="C714" s="21">
        <v>5.0999999999999996</v>
      </c>
      <c r="D714" s="91"/>
    </row>
    <row r="715" spans="1:4" ht="15.75" hidden="1" outlineLevel="1" x14ac:dyDescent="0.2">
      <c r="A715" s="21" t="s">
        <v>493</v>
      </c>
      <c r="B715" s="22" t="s">
        <v>0</v>
      </c>
      <c r="C715" s="21">
        <v>5.2</v>
      </c>
      <c r="D715" s="91"/>
    </row>
    <row r="716" spans="1:4" ht="15.75" hidden="1" outlineLevel="1" x14ac:dyDescent="0.2">
      <c r="A716" s="21" t="s">
        <v>493</v>
      </c>
      <c r="B716" s="22" t="s">
        <v>703</v>
      </c>
      <c r="C716" s="21">
        <v>5.3</v>
      </c>
      <c r="D716" s="91"/>
    </row>
    <row r="717" spans="1:4" ht="15.75" hidden="1" outlineLevel="1" x14ac:dyDescent="0.2">
      <c r="A717" s="21" t="s">
        <v>493</v>
      </c>
      <c r="B717" s="22" t="s">
        <v>2</v>
      </c>
      <c r="C717" s="21">
        <v>5.6</v>
      </c>
      <c r="D717" s="91"/>
    </row>
    <row r="718" spans="1:4" ht="15.75" hidden="1" outlineLevel="1" x14ac:dyDescent="0.2">
      <c r="A718" s="21" t="s">
        <v>493</v>
      </c>
      <c r="B718" s="22" t="s">
        <v>709</v>
      </c>
      <c r="C718" s="23">
        <v>5.0999999999999996</v>
      </c>
      <c r="D718" s="91"/>
    </row>
    <row r="719" spans="1:4" ht="15.75" hidden="1" outlineLevel="1" x14ac:dyDescent="0.2">
      <c r="A719" s="21" t="s">
        <v>493</v>
      </c>
      <c r="B719" s="22" t="s">
        <v>3</v>
      </c>
      <c r="C719" s="21">
        <v>5.14</v>
      </c>
      <c r="D719" s="91"/>
    </row>
    <row r="720" spans="1:4" ht="15.75" hidden="1" outlineLevel="1" x14ac:dyDescent="0.2">
      <c r="A720" s="21" t="s">
        <v>493</v>
      </c>
      <c r="B720" s="22" t="s">
        <v>28</v>
      </c>
      <c r="C720" s="21">
        <v>5.19</v>
      </c>
      <c r="D720" s="91"/>
    </row>
    <row r="721" spans="1:4" ht="15.75" hidden="1" outlineLevel="1" x14ac:dyDescent="0.2">
      <c r="A721" s="21" t="s">
        <v>493</v>
      </c>
      <c r="B721" s="22" t="s">
        <v>27</v>
      </c>
      <c r="C721" s="21">
        <v>5.24</v>
      </c>
      <c r="D721" s="91"/>
    </row>
    <row r="722" spans="1:4" ht="15.75" hidden="1" outlineLevel="1" x14ac:dyDescent="0.2">
      <c r="A722" s="21" t="s">
        <v>493</v>
      </c>
      <c r="B722" s="22" t="s">
        <v>1</v>
      </c>
      <c r="C722" s="21">
        <v>5.26</v>
      </c>
      <c r="D722" s="91"/>
    </row>
    <row r="723" spans="1:4" ht="15.75" hidden="1" outlineLevel="1" x14ac:dyDescent="0.2">
      <c r="A723" s="21" t="s">
        <v>493</v>
      </c>
      <c r="B723" s="22" t="s">
        <v>591</v>
      </c>
      <c r="C723" s="21">
        <v>5.27</v>
      </c>
      <c r="D723" s="91"/>
    </row>
    <row r="724" spans="1:4" ht="15.75" hidden="1" outlineLevel="1" x14ac:dyDescent="0.2">
      <c r="A724" s="21" t="s">
        <v>493</v>
      </c>
      <c r="B724" s="22" t="s">
        <v>592</v>
      </c>
      <c r="C724" s="21">
        <v>5.28</v>
      </c>
      <c r="D724" s="91"/>
    </row>
    <row r="725" spans="1:4" ht="15.75" hidden="1" outlineLevel="1" x14ac:dyDescent="0.2">
      <c r="A725" s="21" t="s">
        <v>493</v>
      </c>
      <c r="B725" s="22" t="s">
        <v>8</v>
      </c>
      <c r="C725" s="21">
        <v>5.31</v>
      </c>
      <c r="D725" s="91"/>
    </row>
    <row r="726" spans="1:4" ht="15.75" hidden="1" outlineLevel="1" x14ac:dyDescent="0.2">
      <c r="A726" s="21" t="s">
        <v>493</v>
      </c>
      <c r="B726" s="22" t="s">
        <v>593</v>
      </c>
      <c r="C726" s="21">
        <v>5.36</v>
      </c>
      <c r="D726" s="91"/>
    </row>
    <row r="727" spans="1:4" ht="15.75" hidden="1" outlineLevel="1" x14ac:dyDescent="0.2">
      <c r="A727" s="21" t="s">
        <v>493</v>
      </c>
      <c r="B727" s="22" t="s">
        <v>387</v>
      </c>
      <c r="C727" s="21">
        <v>5.53</v>
      </c>
      <c r="D727" s="91"/>
    </row>
    <row r="728" spans="1:4" ht="15.75" hidden="1" outlineLevel="1" x14ac:dyDescent="0.2">
      <c r="A728" s="21" t="s">
        <v>493</v>
      </c>
      <c r="B728" s="22" t="s">
        <v>876</v>
      </c>
      <c r="C728" s="21">
        <v>5.109</v>
      </c>
      <c r="D728" s="91"/>
    </row>
    <row r="729" spans="1:4" ht="15.75" hidden="1" outlineLevel="1" x14ac:dyDescent="0.2">
      <c r="A729" s="21" t="s">
        <v>493</v>
      </c>
      <c r="B729" s="22" t="s">
        <v>363</v>
      </c>
      <c r="C729" s="21">
        <v>5.1109999999999998</v>
      </c>
      <c r="D729" s="91"/>
    </row>
    <row r="730" spans="1:4" ht="15.75" hidden="1" outlineLevel="1" x14ac:dyDescent="0.2">
      <c r="A730" s="21" t="s">
        <v>493</v>
      </c>
      <c r="B730" s="22" t="s">
        <v>15</v>
      </c>
      <c r="C730" s="21">
        <v>5.1120000000000001</v>
      </c>
      <c r="D730" s="91"/>
    </row>
    <row r="731" spans="1:4" ht="15.75" hidden="1" outlineLevel="1" x14ac:dyDescent="0.2">
      <c r="A731" s="21" t="s">
        <v>493</v>
      </c>
      <c r="B731" s="22" t="s">
        <v>462</v>
      </c>
      <c r="C731" s="21">
        <v>5.1130000000000004</v>
      </c>
      <c r="D731" s="91"/>
    </row>
    <row r="732" spans="1:4" ht="15.75" hidden="1" outlineLevel="1" x14ac:dyDescent="0.2">
      <c r="A732" s="21" t="s">
        <v>493</v>
      </c>
      <c r="B732" s="22" t="s">
        <v>605</v>
      </c>
      <c r="C732" s="21">
        <v>5.117</v>
      </c>
      <c r="D732" s="91"/>
    </row>
    <row r="733" spans="1:4" ht="15.75" hidden="1" outlineLevel="1" x14ac:dyDescent="0.2">
      <c r="A733" s="21" t="s">
        <v>493</v>
      </c>
      <c r="B733" s="22" t="s">
        <v>1107</v>
      </c>
      <c r="C733" s="21">
        <v>5.67</v>
      </c>
      <c r="D733" s="91"/>
    </row>
    <row r="734" spans="1:4" ht="15.75" hidden="1" outlineLevel="1" x14ac:dyDescent="0.2">
      <c r="A734" s="21" t="s">
        <v>493</v>
      </c>
      <c r="B734" s="22" t="s">
        <v>1105</v>
      </c>
      <c r="C734" s="21">
        <v>5.63</v>
      </c>
      <c r="D734" s="91"/>
    </row>
    <row r="735" spans="1:4" ht="15.75" hidden="1" outlineLevel="1" x14ac:dyDescent="0.2">
      <c r="A735" s="21" t="s">
        <v>493</v>
      </c>
      <c r="B735" s="22" t="s">
        <v>18</v>
      </c>
      <c r="C735" s="21">
        <v>5.47</v>
      </c>
      <c r="D735" s="91"/>
    </row>
    <row r="736" spans="1:4" ht="15.75" hidden="1" outlineLevel="1" x14ac:dyDescent="0.2">
      <c r="A736" s="21" t="s">
        <v>493</v>
      </c>
      <c r="B736" s="22" t="s">
        <v>29</v>
      </c>
      <c r="C736" s="21">
        <v>5.48</v>
      </c>
      <c r="D736" s="91"/>
    </row>
    <row r="737" spans="1:4" ht="15.75" collapsed="1" x14ac:dyDescent="0.2">
      <c r="A737" s="26" t="s">
        <v>493</v>
      </c>
      <c r="B737" s="22"/>
      <c r="C737" s="21"/>
      <c r="D737" s="91"/>
    </row>
    <row r="738" spans="1:4" ht="15.75" hidden="1" outlineLevel="1" x14ac:dyDescent="0.2">
      <c r="A738" s="21" t="s">
        <v>51</v>
      </c>
      <c r="B738" s="22" t="s">
        <v>636</v>
      </c>
      <c r="C738" s="21">
        <v>5.0999999999999996</v>
      </c>
      <c r="D738" s="91"/>
    </row>
    <row r="739" spans="1:4" ht="15.75" hidden="1" outlineLevel="1" x14ac:dyDescent="0.2">
      <c r="A739" s="21" t="s">
        <v>51</v>
      </c>
      <c r="B739" s="22" t="s">
        <v>0</v>
      </c>
      <c r="C739" s="21">
        <v>5.2</v>
      </c>
      <c r="D739" s="91"/>
    </row>
    <row r="740" spans="1:4" ht="15.75" hidden="1" outlineLevel="1" x14ac:dyDescent="0.2">
      <c r="A740" s="21" t="s">
        <v>51</v>
      </c>
      <c r="B740" s="22" t="s">
        <v>757</v>
      </c>
      <c r="C740" s="21">
        <v>5.18</v>
      </c>
      <c r="D740" s="91"/>
    </row>
    <row r="741" spans="1:4" ht="15.75" hidden="1" outlineLevel="1" x14ac:dyDescent="0.2">
      <c r="A741" s="21" t="s">
        <v>51</v>
      </c>
      <c r="B741" s="22" t="s">
        <v>758</v>
      </c>
      <c r="C741" s="21">
        <v>5.23</v>
      </c>
      <c r="D741" s="91"/>
    </row>
    <row r="742" spans="1:4" ht="15.75" hidden="1" outlineLevel="1" x14ac:dyDescent="0.2">
      <c r="A742" s="21" t="s">
        <v>51</v>
      </c>
      <c r="B742" s="22" t="s">
        <v>1</v>
      </c>
      <c r="C742" s="21">
        <v>5.26</v>
      </c>
      <c r="D742" s="91"/>
    </row>
    <row r="743" spans="1:4" ht="15.75" hidden="1" outlineLevel="1" x14ac:dyDescent="0.2">
      <c r="A743" s="21" t="s">
        <v>51</v>
      </c>
      <c r="B743" s="22" t="s">
        <v>591</v>
      </c>
      <c r="C743" s="21">
        <v>5.27</v>
      </c>
      <c r="D743" s="91"/>
    </row>
    <row r="744" spans="1:4" ht="15.75" hidden="1" outlineLevel="1" x14ac:dyDescent="0.2">
      <c r="A744" s="21" t="s">
        <v>51</v>
      </c>
      <c r="B744" s="22" t="s">
        <v>592</v>
      </c>
      <c r="C744" s="21">
        <v>5.28</v>
      </c>
      <c r="D744" s="91"/>
    </row>
    <row r="745" spans="1:4" ht="15.75" hidden="1" outlineLevel="1" x14ac:dyDescent="0.2">
      <c r="A745" s="21" t="s">
        <v>51</v>
      </c>
      <c r="B745" s="22" t="s">
        <v>593</v>
      </c>
      <c r="C745" s="21">
        <v>5.36</v>
      </c>
      <c r="D745" s="91"/>
    </row>
    <row r="746" spans="1:4" ht="15.75" hidden="1" outlineLevel="1" x14ac:dyDescent="0.2">
      <c r="A746" s="21" t="s">
        <v>51</v>
      </c>
      <c r="B746" s="22" t="s">
        <v>764</v>
      </c>
      <c r="C746" s="21">
        <v>5.44</v>
      </c>
      <c r="D746" s="91"/>
    </row>
    <row r="747" spans="1:4" ht="15.75" hidden="1" outlineLevel="1" x14ac:dyDescent="0.2">
      <c r="A747" s="21" t="s">
        <v>51</v>
      </c>
      <c r="B747" s="22" t="s">
        <v>387</v>
      </c>
      <c r="C747" s="21">
        <v>5.53</v>
      </c>
      <c r="D747" s="91"/>
    </row>
    <row r="748" spans="1:4" ht="15.75" hidden="1" outlineLevel="1" x14ac:dyDescent="0.2">
      <c r="A748" s="21" t="s">
        <v>51</v>
      </c>
      <c r="B748" s="22" t="s">
        <v>15</v>
      </c>
      <c r="C748" s="21">
        <v>5.1120000000000001</v>
      </c>
      <c r="D748" s="91"/>
    </row>
    <row r="749" spans="1:4" ht="15.75" hidden="1" outlineLevel="1" x14ac:dyDescent="0.2">
      <c r="A749" s="21" t="s">
        <v>51</v>
      </c>
      <c r="B749" s="22" t="s">
        <v>881</v>
      </c>
      <c r="C749" s="21">
        <v>5.59</v>
      </c>
      <c r="D749" s="91"/>
    </row>
    <row r="750" spans="1:4" ht="15.75" hidden="1" outlineLevel="1" x14ac:dyDescent="0.2">
      <c r="A750" s="21" t="s">
        <v>51</v>
      </c>
      <c r="B750" s="22" t="s">
        <v>10</v>
      </c>
      <c r="C750" s="21">
        <v>5.54</v>
      </c>
      <c r="D750" s="91"/>
    </row>
    <row r="751" spans="1:4" ht="15.75" hidden="1" outlineLevel="1" x14ac:dyDescent="0.2">
      <c r="A751" s="21" t="s">
        <v>51</v>
      </c>
      <c r="B751" s="22" t="s">
        <v>1105</v>
      </c>
      <c r="C751" s="21">
        <v>5.63</v>
      </c>
      <c r="D751" s="91"/>
    </row>
    <row r="752" spans="1:4" ht="15.75" hidden="1" outlineLevel="1" x14ac:dyDescent="0.2">
      <c r="A752" s="21" t="s">
        <v>51</v>
      </c>
      <c r="B752" s="22" t="s">
        <v>1106</v>
      </c>
      <c r="C752" s="21">
        <v>5.65</v>
      </c>
      <c r="D752" s="91"/>
    </row>
    <row r="753" spans="1:4" ht="15.75" hidden="1" outlineLevel="1" x14ac:dyDescent="0.2">
      <c r="A753" s="21" t="s">
        <v>51</v>
      </c>
      <c r="B753" s="22" t="s">
        <v>25</v>
      </c>
      <c r="C753" s="21">
        <v>5.68</v>
      </c>
      <c r="D753" s="91"/>
    </row>
    <row r="754" spans="1:4" ht="15.75" hidden="1" outlineLevel="1" x14ac:dyDescent="0.2">
      <c r="A754" s="21" t="s">
        <v>51</v>
      </c>
      <c r="B754" s="22" t="s">
        <v>18</v>
      </c>
      <c r="C754" s="21">
        <v>5.47</v>
      </c>
      <c r="D754" s="91"/>
    </row>
    <row r="755" spans="1:4" ht="15.75" hidden="1" outlineLevel="1" x14ac:dyDescent="0.2">
      <c r="A755" s="21" t="s">
        <v>51</v>
      </c>
      <c r="B755" s="22" t="s">
        <v>29</v>
      </c>
      <c r="C755" s="21">
        <v>5.48</v>
      </c>
      <c r="D755" s="91"/>
    </row>
    <row r="756" spans="1:4" ht="15.75" collapsed="1" x14ac:dyDescent="0.2">
      <c r="A756" s="26" t="s">
        <v>51</v>
      </c>
      <c r="B756" s="22"/>
      <c r="C756" s="21"/>
      <c r="D756" s="91"/>
    </row>
    <row r="757" spans="1:4" ht="15.75" hidden="1" outlineLevel="1" x14ac:dyDescent="0.2">
      <c r="A757" s="21" t="s">
        <v>732</v>
      </c>
      <c r="B757" s="22" t="s">
        <v>636</v>
      </c>
      <c r="C757" s="21">
        <v>5.0999999999999996</v>
      </c>
      <c r="D757" s="91"/>
    </row>
    <row r="758" spans="1:4" ht="15.75" hidden="1" outlineLevel="1" x14ac:dyDescent="0.2">
      <c r="A758" s="21" t="s">
        <v>732</v>
      </c>
      <c r="B758" s="22" t="s">
        <v>0</v>
      </c>
      <c r="C758" s="21">
        <v>5.2</v>
      </c>
      <c r="D758" s="91"/>
    </row>
    <row r="759" spans="1:4" ht="15.75" hidden="1" outlineLevel="1" x14ac:dyDescent="0.2">
      <c r="A759" s="21" t="s">
        <v>732</v>
      </c>
      <c r="B759" s="22" t="s">
        <v>704</v>
      </c>
      <c r="C759" s="21">
        <v>5.9</v>
      </c>
      <c r="D759" s="90" t="s">
        <v>893</v>
      </c>
    </row>
    <row r="760" spans="1:4" ht="15.75" hidden="1" outlineLevel="1" x14ac:dyDescent="0.2">
      <c r="A760" s="21" t="s">
        <v>732</v>
      </c>
      <c r="B760" s="22" t="s">
        <v>705</v>
      </c>
      <c r="C760" s="21">
        <v>5.13</v>
      </c>
      <c r="D760" s="91"/>
    </row>
    <row r="761" spans="1:4" ht="15.75" hidden="1" outlineLevel="1" x14ac:dyDescent="0.2">
      <c r="A761" s="21" t="s">
        <v>732</v>
      </c>
      <c r="B761" s="22" t="s">
        <v>706</v>
      </c>
      <c r="C761" s="21">
        <v>5.16</v>
      </c>
      <c r="D761" s="90" t="s">
        <v>893</v>
      </c>
    </row>
    <row r="762" spans="1:4" ht="15.75" hidden="1" outlineLevel="1" x14ac:dyDescent="0.2">
      <c r="A762" s="21" t="s">
        <v>732</v>
      </c>
      <c r="B762" s="22" t="s">
        <v>707</v>
      </c>
      <c r="C762" s="21">
        <v>5.22</v>
      </c>
      <c r="D762" s="90"/>
    </row>
    <row r="763" spans="1:4" ht="15.75" hidden="1" outlineLevel="1" x14ac:dyDescent="0.2">
      <c r="A763" s="21" t="s">
        <v>732</v>
      </c>
      <c r="B763" s="22" t="s">
        <v>712</v>
      </c>
      <c r="C763" s="21">
        <v>5.42</v>
      </c>
      <c r="D763" s="91"/>
    </row>
    <row r="764" spans="1:4" ht="15.75" hidden="1" outlineLevel="1" x14ac:dyDescent="0.2">
      <c r="A764" s="21" t="s">
        <v>732</v>
      </c>
      <c r="B764" s="22" t="s">
        <v>591</v>
      </c>
      <c r="C764" s="21">
        <v>5.27</v>
      </c>
      <c r="D764" s="91"/>
    </row>
    <row r="765" spans="1:4" ht="15.75" hidden="1" outlineLevel="1" x14ac:dyDescent="0.2">
      <c r="A765" s="21" t="s">
        <v>732</v>
      </c>
      <c r="B765" s="22" t="s">
        <v>592</v>
      </c>
      <c r="C765" s="21">
        <v>5.28</v>
      </c>
      <c r="D765" s="90" t="s">
        <v>893</v>
      </c>
    </row>
    <row r="766" spans="1:4" ht="15.75" hidden="1" outlineLevel="1" x14ac:dyDescent="0.2">
      <c r="A766" s="21" t="s">
        <v>732</v>
      </c>
      <c r="B766" s="22" t="s">
        <v>593</v>
      </c>
      <c r="C766" s="21">
        <v>5.36</v>
      </c>
      <c r="D766" s="91"/>
    </row>
    <row r="767" spans="1:4" ht="15.75" hidden="1" outlineLevel="1" x14ac:dyDescent="0.2">
      <c r="A767" s="21" t="s">
        <v>732</v>
      </c>
      <c r="B767" s="22" t="s">
        <v>5</v>
      </c>
      <c r="C767" s="21">
        <v>5.49</v>
      </c>
      <c r="D767" s="91"/>
    </row>
    <row r="768" spans="1:4" ht="15.75" hidden="1" outlineLevel="1" x14ac:dyDescent="0.2">
      <c r="A768" s="21" t="s">
        <v>732</v>
      </c>
      <c r="B768" s="22" t="s">
        <v>7</v>
      </c>
      <c r="C768" s="21">
        <v>5.51</v>
      </c>
      <c r="D768" s="91"/>
    </row>
    <row r="769" spans="1:4" ht="15.75" hidden="1" outlineLevel="1" x14ac:dyDescent="0.2">
      <c r="A769" s="21" t="s">
        <v>732</v>
      </c>
      <c r="B769" s="22" t="s">
        <v>751</v>
      </c>
      <c r="C769" s="21">
        <v>5.52</v>
      </c>
      <c r="D769" s="91"/>
    </row>
    <row r="770" spans="1:4" ht="15.75" hidden="1" outlineLevel="1" x14ac:dyDescent="0.2">
      <c r="A770" s="21" t="s">
        <v>732</v>
      </c>
      <c r="B770" s="22" t="s">
        <v>387</v>
      </c>
      <c r="C770" s="21">
        <v>5.53</v>
      </c>
      <c r="D770" s="91"/>
    </row>
    <row r="771" spans="1:4" ht="15.75" hidden="1" outlineLevel="1" x14ac:dyDescent="0.2">
      <c r="A771" s="21" t="s">
        <v>732</v>
      </c>
      <c r="B771" s="22" t="s">
        <v>10</v>
      </c>
      <c r="C771" s="21">
        <v>5.54</v>
      </c>
      <c r="D771" s="91"/>
    </row>
    <row r="772" spans="1:4" ht="15.75" hidden="1" outlineLevel="1" x14ac:dyDescent="0.2">
      <c r="A772" s="21" t="s">
        <v>732</v>
      </c>
      <c r="B772" s="22" t="s">
        <v>13</v>
      </c>
      <c r="C772" s="23">
        <v>5.7</v>
      </c>
      <c r="D772" s="91"/>
    </row>
    <row r="773" spans="1:4" ht="15.75" hidden="1" outlineLevel="1" x14ac:dyDescent="0.2">
      <c r="A773" s="21" t="s">
        <v>732</v>
      </c>
      <c r="B773" s="22" t="s">
        <v>431</v>
      </c>
      <c r="C773" s="21">
        <v>5.71</v>
      </c>
      <c r="D773" s="91"/>
    </row>
    <row r="774" spans="1:4" ht="15.75" hidden="1" outlineLevel="1" x14ac:dyDescent="0.2">
      <c r="A774" s="21" t="s">
        <v>732</v>
      </c>
      <c r="B774" s="22" t="s">
        <v>766</v>
      </c>
      <c r="C774" s="23">
        <v>5.9</v>
      </c>
      <c r="D774" s="91"/>
    </row>
    <row r="775" spans="1:4" ht="15.75" hidden="1" outlineLevel="1" x14ac:dyDescent="0.2">
      <c r="A775" s="21" t="s">
        <v>732</v>
      </c>
      <c r="B775" s="22" t="s">
        <v>1108</v>
      </c>
      <c r="C775" s="21">
        <v>5.91</v>
      </c>
      <c r="D775" s="91"/>
    </row>
    <row r="776" spans="1:4" ht="15.75" hidden="1" outlineLevel="1" x14ac:dyDescent="0.2">
      <c r="A776" s="21" t="s">
        <v>732</v>
      </c>
      <c r="B776" s="22" t="s">
        <v>727</v>
      </c>
      <c r="C776" s="21">
        <v>5.97</v>
      </c>
      <c r="D776" s="91"/>
    </row>
    <row r="777" spans="1:4" ht="15.75" collapsed="1" x14ac:dyDescent="0.2">
      <c r="A777" s="26" t="s">
        <v>732</v>
      </c>
      <c r="B777" s="22"/>
      <c r="C777" s="21"/>
      <c r="D777" s="91"/>
    </row>
    <row r="778" spans="1:4" ht="15.75" hidden="1" outlineLevel="1" x14ac:dyDescent="0.2">
      <c r="A778" s="21" t="s">
        <v>748</v>
      </c>
      <c r="B778" s="22" t="s">
        <v>636</v>
      </c>
      <c r="C778" s="21">
        <v>5.0999999999999996</v>
      </c>
      <c r="D778" s="91"/>
    </row>
    <row r="779" spans="1:4" ht="15.75" hidden="1" outlineLevel="1" x14ac:dyDescent="0.2">
      <c r="A779" s="21" t="s">
        <v>748</v>
      </c>
      <c r="B779" s="22" t="s">
        <v>0</v>
      </c>
      <c r="C779" s="21">
        <v>5.2</v>
      </c>
      <c r="D779" s="91"/>
    </row>
    <row r="780" spans="1:4" ht="15.75" hidden="1" outlineLevel="1" x14ac:dyDescent="0.2">
      <c r="A780" s="21" t="s">
        <v>748</v>
      </c>
      <c r="B780" s="22" t="s">
        <v>1</v>
      </c>
      <c r="C780" s="21">
        <v>5.26</v>
      </c>
      <c r="D780" s="91"/>
    </row>
    <row r="781" spans="1:4" ht="15.75" hidden="1" outlineLevel="1" x14ac:dyDescent="0.2">
      <c r="A781" s="21" t="s">
        <v>748</v>
      </c>
      <c r="B781" s="22" t="s">
        <v>753</v>
      </c>
      <c r="C781" s="21">
        <v>5.5</v>
      </c>
      <c r="D781" s="91"/>
    </row>
    <row r="782" spans="1:4" ht="15.75" hidden="1" outlineLevel="1" x14ac:dyDescent="0.2">
      <c r="A782" s="21" t="s">
        <v>748</v>
      </c>
      <c r="B782" s="22" t="s">
        <v>763</v>
      </c>
      <c r="C782" s="21">
        <v>5.8</v>
      </c>
      <c r="D782" s="90" t="s">
        <v>893</v>
      </c>
    </row>
    <row r="783" spans="1:4" ht="15.75" hidden="1" outlineLevel="1" x14ac:dyDescent="0.2">
      <c r="A783" s="21" t="s">
        <v>748</v>
      </c>
      <c r="B783" s="22" t="s">
        <v>754</v>
      </c>
      <c r="C783" s="21">
        <v>5.12</v>
      </c>
      <c r="D783" s="21"/>
    </row>
    <row r="784" spans="1:4" ht="15.75" hidden="1" outlineLevel="1" x14ac:dyDescent="0.2">
      <c r="A784" s="21" t="s">
        <v>748</v>
      </c>
      <c r="B784" s="22" t="s">
        <v>726</v>
      </c>
      <c r="C784" s="21">
        <v>5.15</v>
      </c>
      <c r="D784" s="21"/>
    </row>
    <row r="785" spans="1:4" ht="15.75" hidden="1" outlineLevel="1" x14ac:dyDescent="0.2">
      <c r="A785" s="21" t="s">
        <v>748</v>
      </c>
      <c r="B785" s="22" t="s">
        <v>725</v>
      </c>
      <c r="C785" s="23">
        <v>5.2</v>
      </c>
      <c r="D785" s="90"/>
    </row>
    <row r="786" spans="1:4" ht="15.75" hidden="1" outlineLevel="1" x14ac:dyDescent="0.2">
      <c r="A786" s="21" t="s">
        <v>748</v>
      </c>
      <c r="B786" s="22" t="s">
        <v>730</v>
      </c>
      <c r="C786" s="21">
        <v>5.25</v>
      </c>
      <c r="D786" s="21"/>
    </row>
    <row r="787" spans="1:4" ht="15.75" hidden="1" outlineLevel="1" x14ac:dyDescent="0.2">
      <c r="A787" s="21" t="s">
        <v>748</v>
      </c>
      <c r="B787" s="22" t="s">
        <v>387</v>
      </c>
      <c r="C787" s="21">
        <v>5.53</v>
      </c>
      <c r="D787" s="21"/>
    </row>
    <row r="788" spans="1:4" ht="15.75" hidden="1" outlineLevel="1" x14ac:dyDescent="0.2">
      <c r="A788" s="21" t="s">
        <v>748</v>
      </c>
      <c r="B788" s="22" t="s">
        <v>724</v>
      </c>
      <c r="C788" s="23">
        <v>5.4</v>
      </c>
      <c r="D788" s="21"/>
    </row>
    <row r="789" spans="1:4" ht="15.75" hidden="1" outlineLevel="1" x14ac:dyDescent="0.2">
      <c r="A789" s="21" t="s">
        <v>748</v>
      </c>
      <c r="B789" s="22" t="s">
        <v>882</v>
      </c>
      <c r="C789" s="21">
        <v>5.92</v>
      </c>
      <c r="D789" s="21"/>
    </row>
    <row r="790" spans="1:4" ht="15.75" hidden="1" outlineLevel="1" x14ac:dyDescent="0.2">
      <c r="A790" s="21" t="s">
        <v>748</v>
      </c>
      <c r="B790" s="22" t="s">
        <v>1109</v>
      </c>
      <c r="C790" s="21">
        <v>5.93</v>
      </c>
      <c r="D790" s="21"/>
    </row>
    <row r="791" spans="1:4" ht="31.5" hidden="1" outlineLevel="1" x14ac:dyDescent="0.2">
      <c r="A791" s="21" t="s">
        <v>748</v>
      </c>
      <c r="B791" s="22" t="s">
        <v>883</v>
      </c>
      <c r="C791" s="21">
        <v>5.94</v>
      </c>
      <c r="D791" s="21"/>
    </row>
    <row r="792" spans="1:4" ht="15.75" hidden="1" outlineLevel="1" x14ac:dyDescent="0.2">
      <c r="A792" s="21" t="s">
        <v>748</v>
      </c>
      <c r="B792" s="22" t="s">
        <v>1110</v>
      </c>
      <c r="C792" s="21">
        <v>5.95</v>
      </c>
      <c r="D792" s="21"/>
    </row>
    <row r="793" spans="1:4" ht="15.75" hidden="1" outlineLevel="1" x14ac:dyDescent="0.2">
      <c r="A793" s="21" t="s">
        <v>748</v>
      </c>
      <c r="B793" s="22" t="s">
        <v>21</v>
      </c>
      <c r="C793" s="21">
        <v>5.98</v>
      </c>
      <c r="D793" s="21"/>
    </row>
    <row r="794" spans="1:4" ht="15.75" hidden="1" outlineLevel="1" x14ac:dyDescent="0.2">
      <c r="A794" s="21" t="s">
        <v>748</v>
      </c>
      <c r="B794" s="22" t="s">
        <v>767</v>
      </c>
      <c r="C794" s="21">
        <v>5.96</v>
      </c>
      <c r="D794" s="21"/>
    </row>
    <row r="795" spans="1:4" ht="15.75" collapsed="1" x14ac:dyDescent="0.2">
      <c r="A795" s="26" t="s">
        <v>748</v>
      </c>
      <c r="B795" s="22"/>
      <c r="C795" s="21"/>
      <c r="D795" s="21"/>
    </row>
  </sheetData>
  <autoFilter ref="A1:D795"/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C17"/>
  <sheetViews>
    <sheetView rightToLeft="1" workbookViewId="0"/>
  </sheetViews>
  <sheetFormatPr defaultRowHeight="14.25" x14ac:dyDescent="0.2"/>
  <cols>
    <col min="1" max="1" width="17.375" bestFit="1" customWidth="1"/>
    <col min="2" max="2" width="32.125" customWidth="1"/>
    <col min="3" max="3" width="172.375" bestFit="1" customWidth="1"/>
  </cols>
  <sheetData>
    <row r="1" spans="1:3" ht="15" x14ac:dyDescent="0.25">
      <c r="A1" s="16" t="s">
        <v>1246</v>
      </c>
      <c r="B1" s="16" t="s">
        <v>1245</v>
      </c>
      <c r="C1" s="16" t="s">
        <v>1244</v>
      </c>
    </row>
    <row r="2" spans="1:3" x14ac:dyDescent="0.2">
      <c r="A2" t="s">
        <v>1230</v>
      </c>
      <c r="B2" t="s">
        <v>1239</v>
      </c>
      <c r="C2" s="121" t="s">
        <v>1243</v>
      </c>
    </row>
    <row r="3" spans="1:3" x14ac:dyDescent="0.2">
      <c r="A3" t="s">
        <v>1230</v>
      </c>
      <c r="B3" t="s">
        <v>1239</v>
      </c>
      <c r="C3" s="121" t="s">
        <v>1242</v>
      </c>
    </row>
    <row r="4" spans="1:3" x14ac:dyDescent="0.2">
      <c r="A4" t="s">
        <v>1230</v>
      </c>
      <c r="B4" t="s">
        <v>1239</v>
      </c>
      <c r="C4" s="121" t="s">
        <v>1241</v>
      </c>
    </row>
    <row r="5" spans="1:3" x14ac:dyDescent="0.2">
      <c r="A5" t="s">
        <v>1230</v>
      </c>
      <c r="B5" t="s">
        <v>1239</v>
      </c>
      <c r="C5" s="121" t="s">
        <v>1240</v>
      </c>
    </row>
    <row r="6" spans="1:3" x14ac:dyDescent="0.2">
      <c r="A6" t="s">
        <v>1230</v>
      </c>
      <c r="B6" t="s">
        <v>1239</v>
      </c>
      <c r="C6" s="121" t="s">
        <v>1238</v>
      </c>
    </row>
    <row r="7" spans="1:3" x14ac:dyDescent="0.2">
      <c r="A7" t="s">
        <v>1230</v>
      </c>
      <c r="B7" t="s">
        <v>1231</v>
      </c>
      <c r="C7" s="121" t="s">
        <v>2513</v>
      </c>
    </row>
    <row r="8" spans="1:3" x14ac:dyDescent="0.2">
      <c r="A8" t="s">
        <v>1230</v>
      </c>
      <c r="B8" t="s">
        <v>1237</v>
      </c>
      <c r="C8" s="121" t="s">
        <v>1236</v>
      </c>
    </row>
    <row r="9" spans="1:3" x14ac:dyDescent="0.2">
      <c r="A9" t="s">
        <v>1230</v>
      </c>
      <c r="B9" t="s">
        <v>1235</v>
      </c>
      <c r="C9" s="121" t="s">
        <v>1234</v>
      </c>
    </row>
    <row r="10" spans="1:3" x14ac:dyDescent="0.2">
      <c r="A10" t="s">
        <v>1230</v>
      </c>
      <c r="B10" t="s">
        <v>1233</v>
      </c>
      <c r="C10" s="121" t="s">
        <v>1232</v>
      </c>
    </row>
    <row r="11" spans="1:3" x14ac:dyDescent="0.2">
      <c r="A11" t="s">
        <v>1230</v>
      </c>
      <c r="B11" t="s">
        <v>1231</v>
      </c>
      <c r="C11" s="121" t="s">
        <v>1247</v>
      </c>
    </row>
    <row r="12" spans="1:3" x14ac:dyDescent="0.2">
      <c r="A12" t="s">
        <v>1230</v>
      </c>
      <c r="B12" t="s">
        <v>1229</v>
      </c>
      <c r="C12" s="121" t="s">
        <v>1228</v>
      </c>
    </row>
    <row r="13" spans="1:3" x14ac:dyDescent="0.2">
      <c r="A13" t="s">
        <v>34</v>
      </c>
      <c r="B13" t="s">
        <v>1223</v>
      </c>
      <c r="C13" s="121" t="s">
        <v>1227</v>
      </c>
    </row>
    <row r="14" spans="1:3" x14ac:dyDescent="0.2">
      <c r="A14" t="s">
        <v>449</v>
      </c>
      <c r="B14" t="s">
        <v>1223</v>
      </c>
      <c r="C14" s="121" t="s">
        <v>1226</v>
      </c>
    </row>
    <row r="15" spans="1:3" x14ac:dyDescent="0.2">
      <c r="A15" t="s">
        <v>46</v>
      </c>
      <c r="B15" t="s">
        <v>1223</v>
      </c>
      <c r="C15" s="121" t="s">
        <v>1225</v>
      </c>
    </row>
    <row r="16" spans="1:3" x14ac:dyDescent="0.2">
      <c r="A16" t="s">
        <v>449</v>
      </c>
      <c r="B16" t="s">
        <v>1223</v>
      </c>
      <c r="C16" s="121" t="s">
        <v>1250</v>
      </c>
    </row>
    <row r="17" spans="1:3" x14ac:dyDescent="0.2">
      <c r="A17" t="s">
        <v>1224</v>
      </c>
      <c r="B17" t="s">
        <v>1223</v>
      </c>
      <c r="C17" s="121" t="s">
        <v>1222</v>
      </c>
    </row>
  </sheetData>
  <pageMargins left="0.7" right="0.7" top="0.75" bottom="0.75" header="0.3" footer="0.3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6" t="s">
        <v>784</v>
      </c>
    </row>
    <row r="3" spans="1:2" x14ac:dyDescent="0.2">
      <c r="A3" t="s">
        <v>780</v>
      </c>
      <c r="B3" t="s">
        <v>771</v>
      </c>
    </row>
    <row r="4" spans="1:2" x14ac:dyDescent="0.2">
      <c r="A4" t="s">
        <v>776</v>
      </c>
      <c r="B4" t="s">
        <v>783</v>
      </c>
    </row>
    <row r="5" spans="1:2" x14ac:dyDescent="0.2">
      <c r="A5" t="s">
        <v>777</v>
      </c>
      <c r="B5" t="s">
        <v>782</v>
      </c>
    </row>
    <row r="6" spans="1:2" x14ac:dyDescent="0.2">
      <c r="A6" t="s">
        <v>778</v>
      </c>
      <c r="B6" t="s">
        <v>772</v>
      </c>
    </row>
    <row r="7" spans="1:2" x14ac:dyDescent="0.2">
      <c r="A7" t="s">
        <v>779</v>
      </c>
      <c r="B7" t="s">
        <v>658</v>
      </c>
    </row>
    <row r="8" spans="1:2" x14ac:dyDescent="0.2">
      <c r="A8" t="s">
        <v>781</v>
      </c>
      <c r="B8" t="s">
        <v>659</v>
      </c>
    </row>
    <row r="10" spans="1:2" ht="15" x14ac:dyDescent="0.25">
      <c r="A10" s="16" t="s">
        <v>785</v>
      </c>
    </row>
    <row r="11" spans="1:2" x14ac:dyDescent="0.2">
      <c r="A11" t="s">
        <v>585</v>
      </c>
    </row>
    <row r="12" spans="1:2" x14ac:dyDescent="0.2">
      <c r="A12" t="s">
        <v>586</v>
      </c>
      <c r="B12" t="s">
        <v>498</v>
      </c>
    </row>
    <row r="14" spans="1:2" x14ac:dyDescent="0.2">
      <c r="A14" s="20"/>
    </row>
    <row r="15" spans="1:2" ht="15" x14ac:dyDescent="0.25">
      <c r="A15" s="16" t="s">
        <v>500</v>
      </c>
    </row>
    <row r="16" spans="1:2" x14ac:dyDescent="0.2">
      <c r="A16" s="18" t="s">
        <v>501</v>
      </c>
    </row>
    <row r="17" spans="1:2" x14ac:dyDescent="0.2">
      <c r="A17" s="18" t="s">
        <v>502</v>
      </c>
    </row>
    <row r="18" spans="1:2" x14ac:dyDescent="0.2">
      <c r="A18" s="18" t="s">
        <v>503</v>
      </c>
    </row>
    <row r="19" spans="1:2" x14ac:dyDescent="0.2">
      <c r="A19" s="18" t="s">
        <v>504</v>
      </c>
    </row>
    <row r="21" spans="1:2" ht="15" x14ac:dyDescent="0.25">
      <c r="A21" s="19" t="s">
        <v>499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6" t="s">
        <v>558</v>
      </c>
      <c r="B34" s="16" t="s">
        <v>420</v>
      </c>
    </row>
    <row r="35" spans="1:2" x14ac:dyDescent="0.2">
      <c r="A35" s="110" t="s">
        <v>561</v>
      </c>
      <c r="B35" s="111">
        <v>520023185</v>
      </c>
    </row>
    <row r="36" spans="1:2" x14ac:dyDescent="0.2">
      <c r="A36" s="112" t="s">
        <v>562</v>
      </c>
      <c r="B36" s="111">
        <v>520024647</v>
      </c>
    </row>
    <row r="37" spans="1:2" x14ac:dyDescent="0.2">
      <c r="A37" s="112" t="s">
        <v>565</v>
      </c>
      <c r="B37" s="111">
        <v>520004896</v>
      </c>
    </row>
    <row r="38" spans="1:2" x14ac:dyDescent="0.2">
      <c r="A38" s="112" t="s">
        <v>560</v>
      </c>
      <c r="B38" s="111">
        <v>520042540</v>
      </c>
    </row>
    <row r="39" spans="1:2" x14ac:dyDescent="0.2">
      <c r="A39" s="112" t="s">
        <v>1135</v>
      </c>
      <c r="B39" s="111">
        <v>520021916</v>
      </c>
    </row>
    <row r="40" spans="1:2" x14ac:dyDescent="0.2">
      <c r="A40" s="112" t="s">
        <v>573</v>
      </c>
      <c r="B40" s="113">
        <v>510015951</v>
      </c>
    </row>
    <row r="41" spans="1:2" x14ac:dyDescent="0.2">
      <c r="A41" s="112" t="s">
        <v>1136</v>
      </c>
      <c r="B41" s="113">
        <v>510888985</v>
      </c>
    </row>
    <row r="42" spans="1:2" x14ac:dyDescent="0.2">
      <c r="A42" s="112" t="s">
        <v>564</v>
      </c>
      <c r="B42" s="113">
        <v>520042177</v>
      </c>
    </row>
    <row r="43" spans="1:2" x14ac:dyDescent="0.2">
      <c r="A43" s="112" t="s">
        <v>572</v>
      </c>
      <c r="B43" s="112">
        <v>520031030</v>
      </c>
    </row>
    <row r="44" spans="1:2" x14ac:dyDescent="0.2">
      <c r="A44" s="112" t="s">
        <v>563</v>
      </c>
      <c r="B44" s="112">
        <v>520030677</v>
      </c>
    </row>
    <row r="45" spans="1:2" x14ac:dyDescent="0.2">
      <c r="A45" s="112" t="s">
        <v>576</v>
      </c>
      <c r="B45" s="112">
        <v>513879189</v>
      </c>
    </row>
    <row r="46" spans="1:2" x14ac:dyDescent="0.2">
      <c r="A46" s="112" t="s">
        <v>1137</v>
      </c>
      <c r="B46" s="113">
        <v>520027848</v>
      </c>
    </row>
    <row r="47" spans="1:2" x14ac:dyDescent="0.2">
      <c r="A47" s="112" t="s">
        <v>1138</v>
      </c>
      <c r="B47" s="113">
        <v>570003152</v>
      </c>
    </row>
    <row r="48" spans="1:2" x14ac:dyDescent="0.2">
      <c r="A48" s="112" t="s">
        <v>566</v>
      </c>
      <c r="B48" s="112">
        <v>513910703</v>
      </c>
    </row>
    <row r="49" spans="1:2" x14ac:dyDescent="0.2">
      <c r="A49" s="112" t="s">
        <v>1139</v>
      </c>
      <c r="B49" s="113">
        <v>512304882</v>
      </c>
    </row>
    <row r="50" spans="1:2" x14ac:dyDescent="0.2">
      <c r="A50" s="112" t="s">
        <v>1140</v>
      </c>
      <c r="B50" s="113">
        <v>512310509</v>
      </c>
    </row>
    <row r="51" spans="1:2" x14ac:dyDescent="0.2">
      <c r="A51" s="112" t="s">
        <v>1141</v>
      </c>
      <c r="B51" s="113">
        <v>512904608</v>
      </c>
    </row>
    <row r="52" spans="1:2" x14ac:dyDescent="0.2">
      <c r="A52" s="112" t="s">
        <v>1142</v>
      </c>
      <c r="B52" s="113">
        <v>500500376</v>
      </c>
    </row>
    <row r="53" spans="1:2" x14ac:dyDescent="0.2">
      <c r="A53" s="112" t="s">
        <v>568</v>
      </c>
      <c r="B53" s="113">
        <v>520044025</v>
      </c>
    </row>
    <row r="54" spans="1:2" x14ac:dyDescent="0.2">
      <c r="A54" s="112" t="s">
        <v>1143</v>
      </c>
      <c r="B54" s="113">
        <v>513136895</v>
      </c>
    </row>
    <row r="55" spans="1:2" x14ac:dyDescent="0.2">
      <c r="A55" s="112" t="s">
        <v>567</v>
      </c>
      <c r="B55" s="113">
        <v>520004078</v>
      </c>
    </row>
    <row r="56" spans="1:2" x14ac:dyDescent="0.2">
      <c r="A56" s="112" t="s">
        <v>571</v>
      </c>
      <c r="B56" s="113">
        <v>515761625</v>
      </c>
    </row>
    <row r="57" spans="1:2" x14ac:dyDescent="0.2">
      <c r="A57" s="112" t="s">
        <v>570</v>
      </c>
      <c r="B57" s="113">
        <v>515764868</v>
      </c>
    </row>
    <row r="58" spans="1:2" x14ac:dyDescent="0.2">
      <c r="A58" s="112" t="s">
        <v>569</v>
      </c>
      <c r="B58" s="114">
        <v>515859379</v>
      </c>
    </row>
    <row r="59" spans="1:2" x14ac:dyDescent="0.2">
      <c r="A59" s="112" t="s">
        <v>1144</v>
      </c>
      <c r="B59" s="113">
        <v>516687407</v>
      </c>
    </row>
    <row r="60" spans="1:2" x14ac:dyDescent="0.2">
      <c r="A60" s="112" t="s">
        <v>1145</v>
      </c>
      <c r="B60" s="113">
        <v>516885639</v>
      </c>
    </row>
    <row r="61" spans="1:2" x14ac:dyDescent="0.2">
      <c r="A61" s="112" t="s">
        <v>543</v>
      </c>
      <c r="B61" s="112">
        <v>570009449</v>
      </c>
    </row>
    <row r="62" spans="1:2" x14ac:dyDescent="0.2">
      <c r="A62" s="112" t="s">
        <v>541</v>
      </c>
      <c r="B62" s="113">
        <v>520027954</v>
      </c>
    </row>
    <row r="63" spans="1:2" x14ac:dyDescent="0.2">
      <c r="A63" s="112" t="s">
        <v>523</v>
      </c>
      <c r="B63" s="113">
        <v>512362914</v>
      </c>
    </row>
    <row r="64" spans="1:2" x14ac:dyDescent="0.2">
      <c r="A64" s="112" t="s">
        <v>550</v>
      </c>
      <c r="B64" s="113">
        <v>511880460</v>
      </c>
    </row>
    <row r="65" spans="1:2" x14ac:dyDescent="0.2">
      <c r="A65" s="112" t="s">
        <v>537</v>
      </c>
      <c r="B65" s="112">
        <v>511033060</v>
      </c>
    </row>
    <row r="66" spans="1:2" x14ac:dyDescent="0.2">
      <c r="A66" s="112" t="s">
        <v>511</v>
      </c>
      <c r="B66" s="112">
        <v>570005850</v>
      </c>
    </row>
    <row r="67" spans="1:2" x14ac:dyDescent="0.2">
      <c r="A67" s="112" t="s">
        <v>542</v>
      </c>
      <c r="B67" s="113">
        <v>510694821</v>
      </c>
    </row>
    <row r="68" spans="1:2" x14ac:dyDescent="0.2">
      <c r="A68" s="112" t="s">
        <v>1146</v>
      </c>
      <c r="B68" s="112">
        <v>520027624</v>
      </c>
    </row>
    <row r="69" spans="1:2" x14ac:dyDescent="0.2">
      <c r="A69" s="112" t="s">
        <v>526</v>
      </c>
      <c r="B69" s="113">
        <v>520027715</v>
      </c>
    </row>
    <row r="70" spans="1:2" x14ac:dyDescent="0.2">
      <c r="A70" s="112" t="s">
        <v>540</v>
      </c>
      <c r="B70" s="113">
        <v>520028861</v>
      </c>
    </row>
    <row r="71" spans="1:2" x14ac:dyDescent="0.2">
      <c r="A71" s="112" t="s">
        <v>578</v>
      </c>
      <c r="B71" s="113">
        <v>520029620</v>
      </c>
    </row>
    <row r="72" spans="1:2" x14ac:dyDescent="0.2">
      <c r="A72" s="112" t="s">
        <v>507</v>
      </c>
      <c r="B72" s="113">
        <v>520030743</v>
      </c>
    </row>
    <row r="73" spans="1:2" x14ac:dyDescent="0.2">
      <c r="A73" s="112" t="s">
        <v>1147</v>
      </c>
      <c r="B73" s="113">
        <v>520030198</v>
      </c>
    </row>
    <row r="74" spans="1:2" x14ac:dyDescent="0.2">
      <c r="A74" s="112" t="s">
        <v>1148</v>
      </c>
      <c r="B74" s="113">
        <v>520042631</v>
      </c>
    </row>
    <row r="75" spans="1:2" x14ac:dyDescent="0.2">
      <c r="A75" s="112" t="s">
        <v>529</v>
      </c>
      <c r="B75" s="113">
        <v>520030941</v>
      </c>
    </row>
    <row r="76" spans="1:2" x14ac:dyDescent="0.2">
      <c r="A76" s="112" t="s">
        <v>549</v>
      </c>
      <c r="B76" s="113">
        <v>520032269</v>
      </c>
    </row>
    <row r="77" spans="1:2" x14ac:dyDescent="0.2">
      <c r="A77" s="112" t="s">
        <v>515</v>
      </c>
      <c r="B77" s="112">
        <v>510806870</v>
      </c>
    </row>
    <row r="78" spans="1:2" x14ac:dyDescent="0.2">
      <c r="A78" s="112" t="s">
        <v>544</v>
      </c>
      <c r="B78" s="112">
        <v>520031824</v>
      </c>
    </row>
    <row r="79" spans="1:2" x14ac:dyDescent="0.2">
      <c r="A79" s="112" t="s">
        <v>510</v>
      </c>
      <c r="B79" s="113">
        <v>510927536</v>
      </c>
    </row>
    <row r="80" spans="1:2" x14ac:dyDescent="0.2">
      <c r="A80" s="112" t="s">
        <v>1149</v>
      </c>
      <c r="B80" s="113">
        <v>510930654</v>
      </c>
    </row>
    <row r="81" spans="1:2" x14ac:dyDescent="0.2">
      <c r="A81" s="112" t="s">
        <v>545</v>
      </c>
      <c r="B81" s="112">
        <v>510930670</v>
      </c>
    </row>
    <row r="82" spans="1:2" x14ac:dyDescent="0.2">
      <c r="A82" s="112" t="s">
        <v>506</v>
      </c>
      <c r="B82" s="113">
        <v>520034968</v>
      </c>
    </row>
    <row r="83" spans="1:2" x14ac:dyDescent="0.2">
      <c r="A83" s="112" t="s">
        <v>518</v>
      </c>
      <c r="B83" s="113">
        <v>520024985</v>
      </c>
    </row>
    <row r="84" spans="1:2" x14ac:dyDescent="0.2">
      <c r="A84" s="112" t="s">
        <v>538</v>
      </c>
      <c r="B84" s="112">
        <v>520030990</v>
      </c>
    </row>
    <row r="85" spans="1:2" x14ac:dyDescent="0.2">
      <c r="A85" s="112" t="s">
        <v>522</v>
      </c>
      <c r="B85" s="113">
        <v>520042615</v>
      </c>
    </row>
    <row r="86" spans="1:2" x14ac:dyDescent="0.2">
      <c r="A86" s="112" t="s">
        <v>535</v>
      </c>
      <c r="B86" s="113">
        <v>520042607</v>
      </c>
    </row>
    <row r="87" spans="1:2" x14ac:dyDescent="0.2">
      <c r="A87" s="112" t="s">
        <v>513</v>
      </c>
      <c r="B87" s="113">
        <v>520019688</v>
      </c>
    </row>
    <row r="88" spans="1:2" x14ac:dyDescent="0.2">
      <c r="A88" s="112" t="s">
        <v>551</v>
      </c>
      <c r="B88" s="113">
        <v>570014928</v>
      </c>
    </row>
    <row r="89" spans="1:2" x14ac:dyDescent="0.2">
      <c r="A89" s="112" t="s">
        <v>530</v>
      </c>
      <c r="B89" s="113">
        <v>510960586</v>
      </c>
    </row>
    <row r="90" spans="1:2" x14ac:dyDescent="0.2">
      <c r="A90" s="112" t="s">
        <v>547</v>
      </c>
      <c r="B90" s="112">
        <v>520042581</v>
      </c>
    </row>
    <row r="91" spans="1:2" x14ac:dyDescent="0.2">
      <c r="A91" s="112" t="s">
        <v>531</v>
      </c>
      <c r="B91" s="113">
        <v>570005959</v>
      </c>
    </row>
    <row r="92" spans="1:2" x14ac:dyDescent="0.2">
      <c r="A92" s="112" t="s">
        <v>527</v>
      </c>
      <c r="B92" s="113">
        <v>570002618</v>
      </c>
    </row>
    <row r="93" spans="1:2" x14ac:dyDescent="0.2">
      <c r="A93" s="112" t="s">
        <v>1150</v>
      </c>
      <c r="B93" s="113">
        <v>511789190</v>
      </c>
    </row>
    <row r="94" spans="1:2" x14ac:dyDescent="0.2">
      <c r="A94" s="112" t="s">
        <v>509</v>
      </c>
      <c r="B94" s="113">
        <v>520022518</v>
      </c>
    </row>
    <row r="95" spans="1:2" x14ac:dyDescent="0.2">
      <c r="A95" s="112" t="s">
        <v>508</v>
      </c>
      <c r="B95" s="113">
        <v>520031659</v>
      </c>
    </row>
    <row r="96" spans="1:2" x14ac:dyDescent="0.2">
      <c r="A96" s="112" t="s">
        <v>512</v>
      </c>
      <c r="B96" s="113">
        <v>570007476</v>
      </c>
    </row>
    <row r="97" spans="1:2" x14ac:dyDescent="0.2">
      <c r="A97" s="112" t="s">
        <v>514</v>
      </c>
      <c r="B97" s="113">
        <v>570009852</v>
      </c>
    </row>
    <row r="98" spans="1:2" x14ac:dyDescent="0.2">
      <c r="A98" s="112" t="s">
        <v>505</v>
      </c>
      <c r="B98" s="113">
        <v>510800402</v>
      </c>
    </row>
    <row r="99" spans="1:2" x14ac:dyDescent="0.2">
      <c r="A99" s="112" t="s">
        <v>539</v>
      </c>
      <c r="B99" s="113">
        <v>510773922</v>
      </c>
    </row>
    <row r="100" spans="1:2" x14ac:dyDescent="0.2">
      <c r="A100" s="112" t="s">
        <v>546</v>
      </c>
      <c r="B100" s="113">
        <v>512008335</v>
      </c>
    </row>
    <row r="101" spans="1:2" x14ac:dyDescent="0.2">
      <c r="A101" s="112" t="s">
        <v>557</v>
      </c>
      <c r="B101" s="113">
        <v>510142789</v>
      </c>
    </row>
    <row r="102" spans="1:2" x14ac:dyDescent="0.2">
      <c r="A102" s="112" t="s">
        <v>534</v>
      </c>
      <c r="B102" s="113">
        <v>520028556</v>
      </c>
    </row>
    <row r="103" spans="1:2" x14ac:dyDescent="0.2">
      <c r="A103" s="112" t="s">
        <v>524</v>
      </c>
      <c r="B103" s="113">
        <v>520030693</v>
      </c>
    </row>
    <row r="104" spans="1:2" x14ac:dyDescent="0.2">
      <c r="A104" s="112" t="s">
        <v>548</v>
      </c>
      <c r="B104" s="113">
        <v>520042573</v>
      </c>
    </row>
    <row r="105" spans="1:2" x14ac:dyDescent="0.2">
      <c r="A105" s="112" t="s">
        <v>552</v>
      </c>
      <c r="B105" s="113">
        <v>511423048</v>
      </c>
    </row>
    <row r="106" spans="1:2" x14ac:dyDescent="0.2">
      <c r="A106" s="112" t="s">
        <v>517</v>
      </c>
      <c r="B106" s="113">
        <v>570011767</v>
      </c>
    </row>
    <row r="107" spans="1:2" x14ac:dyDescent="0.2">
      <c r="A107" s="112" t="s">
        <v>1151</v>
      </c>
      <c r="B107" s="113">
        <v>512065202</v>
      </c>
    </row>
    <row r="108" spans="1:2" x14ac:dyDescent="0.2">
      <c r="A108" s="112" t="s">
        <v>1152</v>
      </c>
      <c r="B108" s="113">
        <v>512711409</v>
      </c>
    </row>
    <row r="109" spans="1:2" x14ac:dyDescent="0.2">
      <c r="A109" s="112" t="s">
        <v>1153</v>
      </c>
      <c r="B109" s="113">
        <v>520005497</v>
      </c>
    </row>
    <row r="110" spans="1:2" x14ac:dyDescent="0.2">
      <c r="A110" s="112" t="s">
        <v>1154</v>
      </c>
      <c r="B110" s="113">
        <v>570024109</v>
      </c>
    </row>
    <row r="111" spans="1:2" x14ac:dyDescent="0.2">
      <c r="A111" s="112" t="s">
        <v>555</v>
      </c>
      <c r="B111" s="113">
        <v>520020447</v>
      </c>
    </row>
    <row r="112" spans="1:2" x14ac:dyDescent="0.2">
      <c r="A112" s="112" t="s">
        <v>553</v>
      </c>
      <c r="B112" s="113">
        <v>520023094</v>
      </c>
    </row>
    <row r="113" spans="1:2" x14ac:dyDescent="0.2">
      <c r="A113" s="112" t="s">
        <v>556</v>
      </c>
      <c r="B113" s="113">
        <v>520028812</v>
      </c>
    </row>
    <row r="114" spans="1:2" x14ac:dyDescent="0.2">
      <c r="A114" s="112" t="s">
        <v>554</v>
      </c>
      <c r="B114" s="113">
        <v>520022963</v>
      </c>
    </row>
    <row r="115" spans="1:2" x14ac:dyDescent="0.2">
      <c r="A115" s="112" t="s">
        <v>532</v>
      </c>
      <c r="B115" s="113">
        <v>520027251</v>
      </c>
    </row>
    <row r="116" spans="1:2" x14ac:dyDescent="0.2">
      <c r="A116" s="112" t="s">
        <v>533</v>
      </c>
      <c r="B116" s="113">
        <v>520028390</v>
      </c>
    </row>
    <row r="117" spans="1:2" x14ac:dyDescent="0.2">
      <c r="A117" s="112" t="s">
        <v>1155</v>
      </c>
      <c r="B117" s="113">
        <v>513026484</v>
      </c>
    </row>
    <row r="118" spans="1:2" x14ac:dyDescent="0.2">
      <c r="A118" s="112" t="s">
        <v>520</v>
      </c>
      <c r="B118" s="113">
        <v>513173393</v>
      </c>
    </row>
    <row r="119" spans="1:2" x14ac:dyDescent="0.2">
      <c r="A119" s="112" t="s">
        <v>528</v>
      </c>
      <c r="B119" s="113">
        <v>513452003</v>
      </c>
    </row>
    <row r="120" spans="1:2" x14ac:dyDescent="0.2">
      <c r="A120" s="112" t="s">
        <v>519</v>
      </c>
      <c r="B120" s="113">
        <v>513611509</v>
      </c>
    </row>
    <row r="121" spans="1:2" x14ac:dyDescent="0.2">
      <c r="A121" s="112" t="s">
        <v>773</v>
      </c>
      <c r="B121" s="113">
        <v>513621110</v>
      </c>
    </row>
    <row r="122" spans="1:2" x14ac:dyDescent="0.2">
      <c r="A122" s="112" t="s">
        <v>516</v>
      </c>
      <c r="B122" s="112">
        <v>512244146</v>
      </c>
    </row>
    <row r="123" spans="1:2" x14ac:dyDescent="0.2">
      <c r="A123" s="112" t="s">
        <v>521</v>
      </c>
      <c r="B123" s="113">
        <v>512237744</v>
      </c>
    </row>
    <row r="124" spans="1:2" x14ac:dyDescent="0.2">
      <c r="A124" s="112" t="s">
        <v>536</v>
      </c>
      <c r="B124" s="113">
        <v>512267592</v>
      </c>
    </row>
    <row r="125" spans="1:2" x14ac:dyDescent="0.2">
      <c r="A125" s="112" t="s">
        <v>1156</v>
      </c>
      <c r="B125" s="113">
        <v>514767490</v>
      </c>
    </row>
    <row r="126" spans="1:2" x14ac:dyDescent="0.2">
      <c r="A126" s="112" t="s">
        <v>774</v>
      </c>
      <c r="B126" s="113">
        <v>514956465</v>
      </c>
    </row>
    <row r="127" spans="1:2" x14ac:dyDescent="0.2">
      <c r="A127" s="112" t="s">
        <v>525</v>
      </c>
      <c r="B127" s="113">
        <v>512245812</v>
      </c>
    </row>
    <row r="128" spans="1:2" x14ac:dyDescent="0.2">
      <c r="A128" s="112" t="s">
        <v>1157</v>
      </c>
      <c r="B128" s="113">
        <v>515447035</v>
      </c>
    </row>
    <row r="129" spans="1:2" x14ac:dyDescent="0.2">
      <c r="A129" s="112" t="s">
        <v>1158</v>
      </c>
      <c r="B129" s="113">
        <v>516463635</v>
      </c>
    </row>
    <row r="130" spans="1:2" x14ac:dyDescent="0.2">
      <c r="A130" s="112" t="s">
        <v>1159</v>
      </c>
      <c r="B130" s="113">
        <v>515977338</v>
      </c>
    </row>
  </sheetData>
  <sortState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36</vt:i4>
      </vt:variant>
      <vt:variant>
        <vt:lpstr>טווחים בעלי שם</vt:lpstr>
      </vt:variant>
      <vt:variant>
        <vt:i4>61</vt:i4>
      </vt:variant>
    </vt:vector>
  </HeadingPairs>
  <TitlesOfParts>
    <vt:vector size="97" baseType="lpstr">
      <vt:lpstr>מקרא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דיין תמיר</dc:creator>
  <cp:keywords/>
  <dc:description/>
  <cp:lastModifiedBy>Fibi</cp:lastModifiedBy>
  <dcterms:created xsi:type="dcterms:W3CDTF">2026-04-12T10:00:46Z</dcterms:created>
  <dcterms:modified xsi:type="dcterms:W3CDTF">2026-05-12T11:08:48Z</dcterms:modified>
  <cp:category/>
</cp:coreProperties>
</file>