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שליחה שניה אותות\"/>
    </mc:Choice>
  </mc:AlternateContent>
  <xr:revisionPtr revIDLastSave="0" documentId="13_ncr:1_{AD3879F1-8EC8-44E6-81B3-B1A973175C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2" hidden="1">'לא סחיר נגזרים אחרים'!$A$1:$AO$4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D31" i="2"/>
  <c r="D32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28" i="2" l="1"/>
  <c r="E9" i="2"/>
  <c r="E11" i="2"/>
  <c r="E21" i="2"/>
  <c r="E12" i="2"/>
  <c r="E30" i="2"/>
  <c r="E4" i="2"/>
  <c r="E7" i="2"/>
  <c r="E10" i="2"/>
  <c r="E18" i="2"/>
  <c r="E26" i="2"/>
  <c r="E29" i="2"/>
  <c r="E5" i="2"/>
  <c r="E19" i="2"/>
  <c r="E23" i="2"/>
  <c r="E14" i="2"/>
  <c r="E20" i="2"/>
  <c r="E25" i="2"/>
  <c r="E8" i="2"/>
  <c r="E16" i="2"/>
  <c r="E22" i="2"/>
  <c r="E24" i="2"/>
  <c r="E15" i="2"/>
  <c r="E3" i="2"/>
  <c r="E6" i="2"/>
  <c r="E27" i="2"/>
  <c r="E13" i="2"/>
</calcChain>
</file>

<file path=xl/sharedStrings.xml><?xml version="1.0" encoding="utf-8"?>
<sst xmlns="http://schemas.openxmlformats.org/spreadsheetml/2006/main" count="5051" uniqueCount="1401">
  <si>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</si>
  <si>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</si>
  <si>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</si>
  <si>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</si>
  <si>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</si>
  <si>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</si>
  <si>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</si>
  <si>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</si>
  <si>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</si>
  <si>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</si>
  <si>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</si>
  <si>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</si>
  <si>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</si>
  <si>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</si>
  <si>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</si>
  <si>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</si>
  <si>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</si>
  <si>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</si>
  <si>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</si>
  <si>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</si>
  <si>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</si>
  <si>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</si>
  <si>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</si>
  <si>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</si>
  <si>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</si>
  <si>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</si>
  <si>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</si>
  <si>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</si>
  <si>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</si>
  <si>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</si>
  <si>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</si>
  <si>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</si>
  <si>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</si>
  <si>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</si>
  <si>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</si>
  <si>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</si>
  <si>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</si>
  <si>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</si>
  <si>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</si>
  <si>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</si>
  <si>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</si>
  <si>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</si>
  <si>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</si>
  <si>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</si>
  <si>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</si>
  <si>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</si>
  <si>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</si>
  <si>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</si>
  <si>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</si>
  <si>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</si>
  <si>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</si>
  <si>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</si>
  <si>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</si>
  <si>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</si>
  <si>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</si>
  <si>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</si>
  <si>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</si>
  <si>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</si>
  <si>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</si>
  <si>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</si>
  <si>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</si>
  <si>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</si>
  <si>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</si>
  <si>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</si>
  <si>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</si>
  <si>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</si>
  <si>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</si>
  <si>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</si>
  <si>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</si>
  <si>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</si>
  <si>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</si>
  <si>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</si>
  <si>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</si>
  <si>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</si>
  <si>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</si>
  <si>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</si>
  <si>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</si>
  <si>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</si>
  <si>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</si>
  <si>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</si>
  <si>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</si>
  <si>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</si>
  <si>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</si>
  <si>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</si>
  <si>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</si>
  <si>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</si>
  <si>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</si>
  <si>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</si>
  <si>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</si>
  <si>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</si>
  <si>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</si>
  <si>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</si>
  <si>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</si>
  <si>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</si>
  <si>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</si>
  <si>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</si>
  <si>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</si>
  <si>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</si>
  <si>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</si>
  <si>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</si>
  <si>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</si>
  <si>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</si>
  <si>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</si>
  <si>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</si>
  <si>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</si>
  <si>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</si>
  <si>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</si>
  <si>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</si>
  <si>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</si>
  <si>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</si>
  <si>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</si>
  <si>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</si>
  <si>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</si>
  <si>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</si>
  <si>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</si>
  <si>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</si>
  <si>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</si>
  <si>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</si>
  <si>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</si>
  <si>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</si>
  <si>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</si>
  <si>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</si>
  <si>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</si>
  <si>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</si>
  <si>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</si>
  <si>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</si>
  <si>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</si>
  <si>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</si>
  <si>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</si>
  <si>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</si>
  <si>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</si>
  <si>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</si>
  <si>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</si>
  <si>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</si>
  <si>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</si>
  <si>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</si>
  <si>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</si>
  <si>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</si>
  <si>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</si>
  <si>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</si>
  <si>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</si>
  <si>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</si>
  <si>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</si>
  <si>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</si>
  <si>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</si>
  <si>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</si>
  <si>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</si>
  <si>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</si>
  <si>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</si>
  <si>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</si>
  <si>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</si>
  <si>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</si>
  <si>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</si>
  <si>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</si>
  <si>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</si>
  <si>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</si>
  <si>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</si>
  <si>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</si>
  <si>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</si>
  <si>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</si>
  <si>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</si>
  <si>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</si>
  <si>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</si>
  <si>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</si>
  <si>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</si>
  <si>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</si>
  <si>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</si>
  <si>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</si>
  <si>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</si>
  <si>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</si>
  <si>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</si>
  <si>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</si>
  <si>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</si>
  <si>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</si>
  <si>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</si>
  <si>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</si>
  <si>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</si>
  <si>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</si>
  <si>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</si>
  <si>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</si>
  <si>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</si>
  <si>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</si>
  <si>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</si>
  <si>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</si>
  <si>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</si>
  <si>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</si>
  <si>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</si>
  <si>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</si>
  <si>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</si>
  <si>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</si>
  <si>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</si>
  <si>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</si>
  <si>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</si>
  <si>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</si>
  <si>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</si>
  <si>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</si>
  <si>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</si>
  <si>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</si>
  <si>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</si>
  <si>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</si>
  <si>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</si>
  <si>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</si>
  <si>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</si>
  <si>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</si>
  <si>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</si>
  <si>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</si>
  <si>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</si>
  <si>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</si>
  <si>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</si>
  <si>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</si>
  <si>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</si>
  <si>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</si>
  <si>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</si>
  <si>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</si>
  <si>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</si>
  <si>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</si>
  <si>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</si>
  <si>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</si>
  <si>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</si>
  <si>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</si>
  <si>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</si>
  <si>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</si>
  <si>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</si>
  <si>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</si>
  <si>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</si>
  <si>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</si>
  <si>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</si>
  <si>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</si>
  <si>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</si>
  <si>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</si>
  <si>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</si>
  <si>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</si>
  <si>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</si>
  <si>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</si>
  <si>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</si>
  <si>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</si>
  <si>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</si>
  <si>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</si>
  <si>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</si>
  <si>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</si>
  <si>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</si>
  <si>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</si>
  <si>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</si>
  <si>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</si>
  <si>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</si>
  <si>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</si>
  <si>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</si>
  <si>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</si>
  <si>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</si>
  <si>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</si>
  <si>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</si>
  <si>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</si>
  <si>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</si>
  <si>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</si>
  <si>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</si>
  <si>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</si>
  <si>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</si>
  <si>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</si>
  <si>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</si>
  <si>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</si>
  <si>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</si>
  <si>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</si>
  <si>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</si>
  <si>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</si>
  <si>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</si>
  <si>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</si>
  <si>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</si>
  <si>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</si>
  <si>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</si>
  <si>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</si>
  <si>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</si>
  <si>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</si>
  <si>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</si>
  <si>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</si>
  <si>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</si>
  <si>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</si>
  <si>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</si>
  <si>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</si>
  <si>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</si>
  <si>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</si>
  <si>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</si>
  <si>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</si>
  <si>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</si>
  <si>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</si>
  <si>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</si>
  <si>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</si>
  <si>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</si>
  <si>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</si>
  <si>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</si>
  <si>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</si>
  <si>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</si>
  <si>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</si>
  <si>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</si>
  <si>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</si>
  <si>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</si>
  <si>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</si>
  <si>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</si>
  <si>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</si>
  <si>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</si>
  <si>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</si>
  <si>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</si>
  <si>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</si>
  <si>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</si>
  <si>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</si>
  <si>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</si>
  <si>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</si>
  <si>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</si>
  <si>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</si>
  <si>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</si>
  <si>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</si>
  <si>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</si>
  <si>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</si>
  <si>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</si>
  <si>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</si>
  <si>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</si>
  <si>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</si>
  <si>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</si>
  <si>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</si>
  <si>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</si>
  <si>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</si>
  <si>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</si>
  <si>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</si>
  <si>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</si>
  <si>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</si>
  <si>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</si>
  <si>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</si>
  <si>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</si>
  <si>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</si>
  <si>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</si>
  <si>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</si>
  <si>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</si>
  <si>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</si>
  <si>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</si>
  <si>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</si>
  <si>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</si>
  <si>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</si>
  <si>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</si>
  <si>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</si>
  <si>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</si>
  <si>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</si>
  <si>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</si>
  <si>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</si>
  <si>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</si>
  <si>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</si>
  <si>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</si>
  <si>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</si>
  <si>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</si>
  <si>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</si>
  <si>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</si>
  <si>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</si>
  <si>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</si>
  <si>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</si>
  <si>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</si>
  <si>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</si>
  <si>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</si>
  <si>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</si>
  <si>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</si>
  <si>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</si>
  <si>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</si>
  <si>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</si>
  <si>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</si>
  <si>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</si>
  <si>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</si>
  <si>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</si>
  <si>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</si>
  <si>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</si>
  <si>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</si>
  <si>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</si>
  <si>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</si>
  <si>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</si>
  <si>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</si>
  <si>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</si>
  <si>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</si>
  <si>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</si>
  <si>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</si>
  <si>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</si>
  <si>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</si>
  <si>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</si>
  <si>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</si>
  <si>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</si>
  <si>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</si>
  <si>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</si>
  <si>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</si>
  <si>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</si>
  <si>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</si>
  <si>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</si>
  <si>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</si>
  <si>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</si>
  <si>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</si>
  <si>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</si>
  <si>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</si>
  <si>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</si>
  <si>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</si>
  <si>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</si>
  <si>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</si>
  <si>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</si>
  <si>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</si>
  <si>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</si>
  <si>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</si>
  <si>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</si>
  <si>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</si>
  <si>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</si>
  <si>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</si>
  <si>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</si>
  <si>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</si>
  <si>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</si>
  <si>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</si>
  <si>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</si>
  <si>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</si>
  <si>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</si>
  <si>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</si>
  <si>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</si>
  <si>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</si>
  <si>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</si>
  <si>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</si>
  <si>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</si>
  <si>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</si>
  <si>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</si>
  <si>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</si>
  <si>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</si>
  <si>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</si>
  <si>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</si>
  <si>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</si>
  <si>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</si>
  <si>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</si>
  <si>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</si>
  <si>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</si>
  <si>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</si>
  <si>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</si>
  <si>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</si>
  <si>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</si>
  <si>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</si>
  <si>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</si>
  <si>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</si>
  <si>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</si>
  <si>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</si>
  <si>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</si>
  <si>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</si>
  <si>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</si>
  <si>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</si>
  <si>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</si>
  <si>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</si>
  <si>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</si>
  <si>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</si>
  <si>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</si>
  <si>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</si>
  <si>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</si>
  <si>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</si>
  <si>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</si>
  <si>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</si>
  <si>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</si>
  <si>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</si>
  <si>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</si>
  <si>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</si>
  <si>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</si>
  <si>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</si>
  <si>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</si>
  <si>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</si>
  <si>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</si>
  <si>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</si>
  <si>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</si>
  <si>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</si>
  <si>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</si>
  <si>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</si>
  <si>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</si>
  <si>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</si>
  <si>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</si>
  <si>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</si>
  <si>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</si>
  <si>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</si>
  <si>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</si>
  <si>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</si>
  <si>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</si>
  <si>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</si>
  <si>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</si>
  <si>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</si>
  <si>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</si>
  <si>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</si>
  <si>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</si>
  <si>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</si>
  <si>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</si>
  <si>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</si>
  <si>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</si>
  <si>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</si>
  <si>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</si>
  <si>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</si>
  <si>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</si>
  <si>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</si>
  <si>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</si>
  <si>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</si>
  <si>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</si>
  <si>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</si>
  <si>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</si>
  <si>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</si>
  <si>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</si>
  <si>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</si>
  <si>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</si>
  <si>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</si>
  <si>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</si>
  <si>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</si>
  <si>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</si>
  <si>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</si>
  <si>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</si>
  <si>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</si>
  <si>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</si>
  <si>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</si>
  <si>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</si>
  <si>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</si>
  <si>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</si>
  <si>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</si>
  <si>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</si>
  <si>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</si>
  <si>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</si>
  <si>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</si>
  <si>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</si>
  <si>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</si>
  <si>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</si>
  <si>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</si>
  <si>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</si>
  <si>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</si>
  <si>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</si>
  <si>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</si>
  <si>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</si>
  <si>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</si>
  <si>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</si>
  <si>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</si>
  <si>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</si>
  <si>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</si>
  <si>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</si>
  <si>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</si>
  <si>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</si>
  <si>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</si>
  <si>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</si>
  <si>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</si>
  <si>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</si>
  <si>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</si>
  <si>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</si>
  <si>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</si>
  <si>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</si>
  <si>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</si>
  <si>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</si>
  <si>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</si>
  <si>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</si>
  <si>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</si>
  <si>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</si>
  <si>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</si>
  <si>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</si>
  <si>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</si>
  <si>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</si>
  <si>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</si>
  <si>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</si>
  <si>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</si>
  <si>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</si>
  <si>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</si>
  <si>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</si>
  <si>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</si>
  <si>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</si>
  <si>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</si>
  <si>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</si>
  <si>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</si>
  <si>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</si>
  <si>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</si>
  <si>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</si>
  <si>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</si>
  <si>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</si>
  <si>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</si>
  <si>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</si>
  <si>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</si>
  <si>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</si>
  <si>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</si>
  <si>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</si>
  <si>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</si>
  <si>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</si>
  <si>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</si>
  <si>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</si>
  <si>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</si>
  <si>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</si>
  <si>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</si>
  <si>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</si>
  <si>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</si>
  <si>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</si>
  <si>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</si>
  <si>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</si>
  <si>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</si>
  <si>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</si>
  <si>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</si>
  <si>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</si>
  <si>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</si>
  <si>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</si>
  <si>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</si>
  <si>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</si>
  <si>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</si>
  <si>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</si>
  <si>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</si>
  <si>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</si>
  <si>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</si>
  <si>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</si>
  <si>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</si>
  <si>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</si>
  <si>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</si>
  <si>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</si>
  <si>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</si>
  <si>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</si>
  <si>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</si>
  <si>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</si>
  <si>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</si>
  <si>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</si>
  <si>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</si>
  <si>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</si>
  <si>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</si>
  <si>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</si>
  <si>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</si>
  <si>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</si>
  <si>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</si>
  <si>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</si>
  <si>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</si>
  <si>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</si>
  <si>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</si>
  <si>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</si>
  <si>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</si>
  <si>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</si>
  <si>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</si>
  <si>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</si>
  <si>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</si>
  <si>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</si>
  <si>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</si>
  <si>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</si>
  <si>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</si>
  <si>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</si>
  <si>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</si>
  <si>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</si>
  <si>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</si>
  <si>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</si>
  <si>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</si>
  <si>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</si>
  <si>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</si>
  <si>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</si>
  <si>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</si>
  <si>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</si>
  <si>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</si>
  <si>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</si>
  <si>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</si>
  <si>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</si>
  <si>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</si>
  <si>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</si>
  <si>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</si>
  <si>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</si>
  <si>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</si>
  <si>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</si>
  <si>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</si>
  <si>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</si>
  <si>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</si>
  <si>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</si>
  <si>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</si>
  <si>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</si>
  <si>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</si>
  <si>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</si>
  <si>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</si>
  <si>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</si>
  <si>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</si>
  <si>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</si>
  <si>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</si>
  <si>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</si>
  <si>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</si>
  <si>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</si>
  <si>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</si>
  <si>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</si>
  <si>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</si>
  <si>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</si>
  <si>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</si>
  <si>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</si>
  <si>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</si>
  <si>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</si>
  <si>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</si>
  <si>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</si>
  <si>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</si>
  <si>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</si>
  <si>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</si>
  <si>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</si>
  <si>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</si>
  <si>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</si>
  <si>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</si>
  <si>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</si>
  <si>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</si>
  <si>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</si>
  <si>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</si>
  <si>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</si>
  <si>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</si>
  <si>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</si>
  <si>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</si>
  <si>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</si>
  <si>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</si>
  <si>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</si>
  <si>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</si>
  <si>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</si>
  <si>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</si>
  <si>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</si>
  <si>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</si>
  <si>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</si>
  <si>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</si>
  <si>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</si>
  <si>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</si>
  <si>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</si>
  <si>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</si>
  <si>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</si>
  <si>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</si>
  <si>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</si>
  <si>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</si>
  <si>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</si>
  <si>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</si>
  <si>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</si>
  <si>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</si>
  <si>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</si>
  <si>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</si>
  <si>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</si>
  <si>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</si>
  <si>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</si>
  <si>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</si>
  <si>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</si>
  <si>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</si>
  <si>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</si>
  <si>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</si>
  <si>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</si>
  <si>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</si>
  <si>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</si>
  <si>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</si>
  <si>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</si>
  <si>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</si>
  <si>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</si>
  <si>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</si>
  <si>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</si>
  <si>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</si>
  <si>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</si>
  <si>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</si>
  <si>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</si>
  <si>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</si>
  <si>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</si>
  <si>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</si>
  <si>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</si>
  <si>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</si>
  <si>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</si>
  <si>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</si>
  <si>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</si>
  <si>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</si>
  <si>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</si>
  <si>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</si>
  <si>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</si>
  <si>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</si>
  <si>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</si>
  <si>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</si>
  <si>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</si>
  <si>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</si>
  <si>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</si>
  <si>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</si>
  <si>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</si>
  <si>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</si>
  <si>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</si>
  <si>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</si>
  <si>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</si>
  <si>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</si>
  <si>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</si>
  <si>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</si>
  <si>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</si>
  <si>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</si>
  <si>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</si>
  <si>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</si>
  <si>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</si>
  <si>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</si>
  <si>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</si>
  <si>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</si>
  <si>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</si>
  <si>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</si>
  <si>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</si>
  <si>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</si>
  <si>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</si>
  <si>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</si>
  <si>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</si>
  <si>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</si>
  <si>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</si>
  <si>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</si>
  <si>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</si>
  <si>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</si>
  <si>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</si>
  <si>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</si>
  <si>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</si>
  <si>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</si>
  <si>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</si>
  <si>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</si>
  <si>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</si>
  <si>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</si>
  <si>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</si>
  <si>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</si>
  <si>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</si>
  <si>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</si>
  <si>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</si>
  <si>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</si>
  <si>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</si>
  <si>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</si>
  <si>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</si>
  <si>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</si>
  <si>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</si>
  <si>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</si>
  <si>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</si>
  <si>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</si>
  <si>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</si>
  <si>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</si>
  <si>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</si>
  <si>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</si>
  <si>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</si>
  <si>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</si>
  <si>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</si>
  <si>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</si>
  <si>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</si>
  <si>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</si>
  <si>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</si>
  <si>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</si>
  <si>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</si>
  <si>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</si>
  <si>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</si>
  <si>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</si>
  <si>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</si>
  <si>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</si>
  <si>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</si>
  <si>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</si>
  <si>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</si>
  <si>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</si>
  <si>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</si>
  <si>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</si>
  <si>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</si>
  <si>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</si>
  <si>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</si>
  <si>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</si>
  <si>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</si>
  <si>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</si>
  <si>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</si>
  <si>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</si>
  <si>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</si>
  <si>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</si>
  <si>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</si>
  <si>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</si>
  <si>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</si>
  <si>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</si>
  <si>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</si>
  <si>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</si>
  <si>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</si>
  <si>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</si>
  <si>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</si>
  <si>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</si>
  <si>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</si>
  <si>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</si>
  <si>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</si>
  <si>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</si>
  <si>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</si>
  <si>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</si>
  <si>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</si>
  <si>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</si>
  <si>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</si>
  <si>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</si>
  <si>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</si>
  <si>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</si>
  <si>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</si>
  <si>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</si>
  <si>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</si>
  <si>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</si>
  <si>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</si>
  <si>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</si>
  <si>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</si>
  <si>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</si>
  <si>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</si>
  <si>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</si>
  <si>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</si>
  <si>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</si>
  <si>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</si>
  <si>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</si>
  <si>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</si>
  <si>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</si>
  <si>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</si>
  <si>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</si>
  <si>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</si>
  <si>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</si>
  <si>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</si>
  <si>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</si>
  <si>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</si>
  <si>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</si>
  <si>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</si>
  <si>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</si>
  <si>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</si>
  <si>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</si>
  <si>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</si>
  <si>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</si>
  <si>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</si>
  <si>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</si>
  <si>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</si>
  <si>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</si>
  <si>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</si>
  <si>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</si>
  <si>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</si>
  <si>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</si>
  <si>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</si>
  <si>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</si>
  <si>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</si>
  <si>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</si>
  <si>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</si>
  <si>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</si>
  <si>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</si>
  <si>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</si>
  <si>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</si>
  <si>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</si>
  <si>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</si>
  <si>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</si>
  <si>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</si>
  <si>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</si>
  <si>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</si>
  <si>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</si>
  <si>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</si>
  <si>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</si>
  <si>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</si>
  <si>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</si>
  <si>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</si>
  <si>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</si>
  <si>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</si>
  <si>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</si>
  <si>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</si>
  <si>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</si>
  <si>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</si>
  <si>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</si>
  <si>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</si>
  <si>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</si>
  <si>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</si>
  <si>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</si>
  <si>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</si>
  <si>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</si>
  <si>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</si>
  <si>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</si>
  <si>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</si>
  <si>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</si>
  <si>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</si>
  <si>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</si>
  <si>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</si>
  <si>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</si>
  <si>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</si>
  <si>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</si>
  <si>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</si>
  <si>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</si>
  <si>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</si>
  <si>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</si>
  <si>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</si>
  <si>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</si>
  <si>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</si>
  <si>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</si>
  <si>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</si>
  <si>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</si>
  <si>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</si>
  <si>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</si>
  <si>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</si>
  <si>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</si>
  <si>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</si>
  <si>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</si>
  <si>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</si>
  <si>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</si>
  <si>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</si>
  <si>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</si>
  <si>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</si>
  <si>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</si>
  <si>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</si>
  <si>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</si>
  <si>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</si>
  <si>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</si>
  <si>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</si>
  <si>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</si>
  <si>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</si>
  <si>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</si>
  <si>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</si>
  <si>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</si>
  <si>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</si>
  <si>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</si>
  <si>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</si>
  <si>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</si>
  <si>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</si>
  <si>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</si>
  <si>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</si>
  <si>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</si>
  <si>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</si>
  <si>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</si>
  <si>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</si>
  <si>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</si>
  <si>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</si>
  <si>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</si>
  <si>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</si>
  <si>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</si>
  <si>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</si>
  <si>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</si>
  <si>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</si>
  <si>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</si>
  <si>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</si>
  <si>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</si>
  <si>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</si>
  <si>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</si>
  <si>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</si>
  <si>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</si>
  <si>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</si>
  <si>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</si>
  <si>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</si>
  <si>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</si>
  <si>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</si>
  <si>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</si>
  <si>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</si>
  <si>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</si>
  <si>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</si>
  <si>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</si>
  <si>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</si>
  <si>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</si>
  <si>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</si>
  <si>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</si>
  <si>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</si>
  <si>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</si>
  <si>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</si>
  <si>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</si>
  <si>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</si>
  <si>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</si>
  <si>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</si>
  <si>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</si>
  <si>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</si>
  <si>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</si>
  <si>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</si>
  <si>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</si>
  <si>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</si>
  <si>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</si>
  <si>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</si>
  <si>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</si>
  <si>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</si>
  <si>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</si>
  <si>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</si>
  <si>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</si>
  <si>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</si>
  <si>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</si>
  <si>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</si>
  <si>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</si>
  <si>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</si>
  <si>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</si>
  <si>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</si>
  <si>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</si>
  <si>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</si>
  <si>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</si>
  <si>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</si>
  <si>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</si>
  <si>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</si>
  <si>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</si>
  <si>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</si>
  <si>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</si>
  <si>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</si>
  <si>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</si>
  <si>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</si>
  <si>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</si>
  <si>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</si>
  <si>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</si>
  <si>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</si>
  <si>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</si>
  <si>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</si>
  <si>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</si>
  <si>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</si>
  <si>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</si>
  <si>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</si>
  <si>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</si>
  <si>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</si>
  <si>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</si>
  <si>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</si>
  <si>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</si>
  <si>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</si>
  <si>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</si>
  <si>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</si>
  <si>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</si>
  <si>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</si>
  <si>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</si>
  <si>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</si>
  <si>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</si>
  <si>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</si>
  <si>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</si>
  <si>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</si>
  <si>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</si>
  <si>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</si>
  <si>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</si>
  <si>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</si>
  <si>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</si>
  <si>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</si>
  <si>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</si>
  <si>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</si>
  <si>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</si>
  <si>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</si>
  <si>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</si>
  <si>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</si>
  <si>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</si>
  <si>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</si>
  <si>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</si>
  <si>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</si>
  <si>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</si>
  <si>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</si>
  <si>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</si>
  <si>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</si>
  <si>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</si>
  <si>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</si>
  <si>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</si>
  <si>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</si>
  <si>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</si>
  <si>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</si>
  <si>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</si>
  <si>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</si>
  <si>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</si>
  <si>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</si>
  <si>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</si>
  <si>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</si>
  <si>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</si>
  <si>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</si>
  <si>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</si>
  <si>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</si>
  <si>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</si>
  <si>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</si>
  <si>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</si>
  <si>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</si>
  <si>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</si>
  <si>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</si>
  <si>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</si>
  <si>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</si>
  <si>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</si>
  <si>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</si>
  <si>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</si>
  <si>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</si>
  <si>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</si>
  <si>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</si>
  <si>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</si>
  <si>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</si>
  <si>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</si>
  <si>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</si>
  <si>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</si>
  <si>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</si>
  <si>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</si>
  <si>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</si>
  <si>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</si>
  <si>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</si>
  <si>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</si>
  <si>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</si>
  <si>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</si>
  <si>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</si>
  <si>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</si>
  <si>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</si>
  <si>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</si>
  <si>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</si>
  <si>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</si>
  <si>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</si>
  <si>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</si>
  <si>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</si>
  <si>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</si>
  <si>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</si>
  <si>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</si>
  <si>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</si>
  <si>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</si>
  <si>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</si>
  <si>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</si>
  <si>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</si>
  <si>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</si>
  <si>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</si>
  <si>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</si>
  <si>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</si>
  <si>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</si>
  <si>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</si>
  <si>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</si>
  <si>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</si>
  <si>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</si>
  <si>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</si>
  <si>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</si>
  <si>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</si>
  <si>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</si>
  <si>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</si>
  <si>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</si>
  <si>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</si>
  <si>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</si>
  <si>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</si>
  <si>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</si>
  <si>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</si>
  <si>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</si>
  <si>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</si>
  <si>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</si>
  <si>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</si>
  <si>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</si>
  <si>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</si>
  <si>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</si>
  <si>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</si>
  <si>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</si>
  <si>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</si>
  <si>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</si>
  <si>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</si>
  <si>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</si>
  <si>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</si>
  <si>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</si>
  <si>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</si>
  <si>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</si>
  <si>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</si>
  <si>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</si>
  <si>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</si>
  <si>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</si>
  <si>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</si>
  <si>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</si>
  <si>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</si>
  <si>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</si>
  <si>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</si>
  <si>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</si>
  <si>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</si>
  <si>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</si>
  <si>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</si>
  <si>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</si>
  <si>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</si>
  <si>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</si>
  <si>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</si>
  <si>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</si>
  <si>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</si>
  <si>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</si>
  <si>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</si>
  <si>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</si>
  <si>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</si>
  <si>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</si>
  <si>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</si>
  <si>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</si>
  <si>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</si>
  <si>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</si>
  <si>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</si>
  <si>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</si>
  <si>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</si>
  <si>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</si>
  <si>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</si>
  <si>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</si>
  <si>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נתיב קרן הפנסיה של פועלי ועובדי מפעלי משק ההסתדרות בע"מ</t>
  </si>
  <si>
    <t>בנק לאומי</t>
  </si>
  <si>
    <t>10-800</t>
  </si>
  <si>
    <t>ilAAA</t>
  </si>
  <si>
    <t>ILS</t>
  </si>
  <si>
    <t>בנק מזרחי</t>
  </si>
  <si>
    <t>20-21</t>
  </si>
  <si>
    <t>Aaa.il</t>
  </si>
  <si>
    <t>USD</t>
  </si>
  <si>
    <t>בנק הפועלים</t>
  </si>
  <si>
    <t>12-600</t>
  </si>
  <si>
    <t>EUR</t>
  </si>
  <si>
    <t>ממשלת ישראל</t>
  </si>
  <si>
    <t>ממשל צמודה 1131</t>
  </si>
  <si>
    <t>IL0011722209</t>
  </si>
  <si>
    <t>ilRF</t>
  </si>
  <si>
    <t>ממשל צמודה 0456</t>
  </si>
  <si>
    <t>IL0012307133</t>
  </si>
  <si>
    <t>ממשלתי שקלי 347</t>
  </si>
  <si>
    <t>IL0011401937</t>
  </si>
  <si>
    <t>ממשלתי צמוד  1151</t>
  </si>
  <si>
    <t>IL0011683013</t>
  </si>
  <si>
    <t>ממשלתי  צמוד 0841</t>
  </si>
  <si>
    <t>IL0011205833</t>
  </si>
  <si>
    <t>ממשל צמודה 0726</t>
  </si>
  <si>
    <t>IL0011695645</t>
  </si>
  <si>
    <t>ממשל שקלית 0330</t>
  </si>
  <si>
    <t>IL0011609851</t>
  </si>
  <si>
    <t>ממשלתי צמוד 0536</t>
  </si>
  <si>
    <t>IL0010977085</t>
  </si>
  <si>
    <t>ממשל צמודה 1033</t>
  </si>
  <si>
    <t>IL0012043795</t>
  </si>
  <si>
    <t>ממשלתי צמוד 0545</t>
  </si>
  <si>
    <t>IL0011348658</t>
  </si>
  <si>
    <t>ממשלתי צמוד 0837</t>
  </si>
  <si>
    <t>IL0012372053</t>
  </si>
  <si>
    <t>GOLDMAN</t>
  </si>
  <si>
    <t>BBB+</t>
  </si>
  <si>
    <t>US Government</t>
  </si>
  <si>
    <t>B 0 04/15/27</t>
  </si>
  <si>
    <t>US912797UE52</t>
  </si>
  <si>
    <t>Aa1</t>
  </si>
  <si>
    <t>נתיבי הגז הטבעי לישראל בע"מ</t>
  </si>
  <si>
    <t>נתיבי גז אגח ד</t>
  </si>
  <si>
    <t>IL0011475030</t>
  </si>
  <si>
    <t>מזרחי טפחות הנפקות</t>
  </si>
  <si>
    <t>מזרחי  טפחות הנפקות  52</t>
  </si>
  <si>
    <t>IL0023103810</t>
  </si>
  <si>
    <t>לאומי</t>
  </si>
  <si>
    <t>לאומי 186</t>
  </si>
  <si>
    <t>IL0012018391</t>
  </si>
  <si>
    <t>לאומי אגח 182</t>
  </si>
  <si>
    <t>IL0060405391</t>
  </si>
  <si>
    <t>מזרחי טפ הנ אגח 68</t>
  </si>
  <si>
    <t>IL0012021429</t>
  </si>
  <si>
    <t>פועלים אגח 201</t>
  </si>
  <si>
    <t>IL0011913451</t>
  </si>
  <si>
    <t>לאומי 183</t>
  </si>
  <si>
    <t>IL0060405474</t>
  </si>
  <si>
    <t>פועלים 200</t>
  </si>
  <si>
    <t>IL0066204962</t>
  </si>
  <si>
    <t>מימון ישיר</t>
  </si>
  <si>
    <t>מימון ישיר קבוצה ו</t>
  </si>
  <si>
    <t>IL0011916595</t>
  </si>
  <si>
    <t>A1.il</t>
  </si>
  <si>
    <t>קבוצת עזריאלי בע"מ</t>
  </si>
  <si>
    <t>עזריאלי אגח יא</t>
  </si>
  <si>
    <t>IL0012433285</t>
  </si>
  <si>
    <t>ilAA+</t>
  </si>
  <si>
    <t>מקורות חברת מים בע"מ</t>
  </si>
  <si>
    <t>מקורות סדרה 11</t>
  </si>
  <si>
    <t>IL0011584765</t>
  </si>
  <si>
    <t>מזרחי  טפחות הנפקות 64</t>
  </si>
  <si>
    <t>IL0023105559</t>
  </si>
  <si>
    <t>מזרחי טפחות הנפקות אגח 62</t>
  </si>
  <si>
    <t>IL0023104982</t>
  </si>
  <si>
    <t>חברת החשמל לישראל בע"מ</t>
  </si>
  <si>
    <t>חשמל אגח 27</t>
  </si>
  <si>
    <t>IL0060002107</t>
  </si>
  <si>
    <t>חשמל אגח 33</t>
  </si>
  <si>
    <t>IL0060003923</t>
  </si>
  <si>
    <t>מזרחי טפחות הנפקות 46</t>
  </si>
  <si>
    <t>IL0023102259</t>
  </si>
  <si>
    <t>מז טפ הנ אגח 66</t>
  </si>
  <si>
    <t>IL0011916678</t>
  </si>
  <si>
    <t>פועלים התח נד ז</t>
  </si>
  <si>
    <t>IL0011913295</t>
  </si>
  <si>
    <t>ilAA-</t>
  </si>
  <si>
    <t>דיסקונט מנפיקים בע"מ</t>
  </si>
  <si>
    <t>דיסקונט מנפיקים אגח טו</t>
  </si>
  <si>
    <t>IL0074803045</t>
  </si>
  <si>
    <t>חשמל 31</t>
  </si>
  <si>
    <t>IL0060002859</t>
  </si>
  <si>
    <t>מימון ישיר אגח ח</t>
  </si>
  <si>
    <t>IL0012426016</t>
  </si>
  <si>
    <t>קסם קרנות נאמנות בע"מ</t>
  </si>
  <si>
    <t>קסם ETF תלבונד 20</t>
  </si>
  <si>
    <t>IL0011459604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</si>
  <si>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</si>
  <si>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</si>
  <si>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</si>
  <si>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</si>
  <si>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20</t>
  </si>
  <si>
    <t>IL0011504409</t>
  </si>
  <si>
    <t>מיטב תכלית קרנות נאמנות בע"מ</t>
  </si>
  <si>
    <t>תכלית סל (00) תל בונד 40</t>
  </si>
  <si>
    <t>IL0011450934</t>
  </si>
  <si>
    <t>הראל סל תא 35</t>
  </si>
  <si>
    <t>IL0011489072</t>
  </si>
  <si>
    <t>תכלית סל תא 35</t>
  </si>
  <si>
    <t>IL0011437006</t>
  </si>
  <si>
    <t>קסם ETF תלבונד 40</t>
  </si>
  <si>
    <t>IL0011462160</t>
  </si>
  <si>
    <t>הראל סל תלבונד 40</t>
  </si>
  <si>
    <t>IL0011504995</t>
  </si>
  <si>
    <t>קסם ETF תא 35</t>
  </si>
  <si>
    <t>IL0011465700</t>
  </si>
  <si>
    <t>מגדל קרנות נאמנות בע"מ</t>
  </si>
  <si>
    <t>MTF סל (4A) ת"א 35</t>
  </si>
  <si>
    <t>IL0011501843</t>
  </si>
  <si>
    <t>INVESCO MARKETS PLC</t>
  </si>
  <si>
    <t>ECPGFXU8A2SHKVVGJI15</t>
  </si>
  <si>
    <t>MXWO  LN -  MSCI World (P)</t>
  </si>
  <si>
    <t>IE00B60SX394</t>
  </si>
  <si>
    <t>AMUNDI INVT SOLUTIONS</t>
  </si>
  <si>
    <t>213800WAVVOPS85N2205</t>
  </si>
  <si>
    <t>U127  LN -  MSCI Emerging Markets (P)</t>
  </si>
  <si>
    <t>LU2573966905</t>
  </si>
  <si>
    <t>State Street</t>
  </si>
  <si>
    <t>549300ZFEEJ2IP5VME73</t>
  </si>
  <si>
    <t>SWRD  LN -  MSCI World (P)</t>
  </si>
  <si>
    <t>IE00BFY0GT14</t>
  </si>
  <si>
    <t>ISHARES</t>
  </si>
  <si>
    <t>529900VBK42Y5HHRMD23</t>
  </si>
  <si>
    <t>IWDA  LN -  MSCI World (P)</t>
  </si>
  <si>
    <t>IE00B4L5Y983</t>
  </si>
  <si>
    <t>DWS</t>
  </si>
  <si>
    <t>7LTWFZYICNSX8D621K86</t>
  </si>
  <si>
    <t>XDWD  LN -  MSCI World (P)</t>
  </si>
  <si>
    <t>IE00BJ0KDQ92</t>
  </si>
  <si>
    <t>ערד 8798 01.01.28 4.8%</t>
  </si>
  <si>
    <t>ערד 8894 01.02.36 4.8%</t>
  </si>
  <si>
    <t>ערד 8893 01.01.36 4.8%</t>
  </si>
  <si>
    <t>ערד 8883 02.02.35 4.8%</t>
  </si>
  <si>
    <t>ערד 8871 1.02.34 4.8%</t>
  </si>
  <si>
    <t>ערד 8859 01.02.33 4.8%</t>
  </si>
  <si>
    <t>ערד 8847 1.2.32 4.8%</t>
  </si>
  <si>
    <t>ערד 8835 01.02.31 4.8%</t>
  </si>
  <si>
    <t>ערד 8822 1.1.30 4.8%</t>
  </si>
  <si>
    <t>ערד 8807 01.10.28 4.8%</t>
  </si>
  <si>
    <t>ערד 8897 02.05.36 4.8%</t>
  </si>
  <si>
    <t>ערד 8898 01.06.36 4.8%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</si>
  <si>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</si>
  <si>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</si>
  <si>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</si>
  <si>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</si>
  <si>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</si>
  <si>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</si>
  <si>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קרן השקעות של ח.העובדים וחב"ע</t>
  </si>
  <si>
    <t>ILSILS</t>
  </si>
  <si>
    <t>GOLDUS33001</t>
  </si>
  <si>
    <t>נתניה -בן צבי ג.8244 שטח חקל</t>
  </si>
  <si>
    <t>רפאל איתן פינת שדרות בן צבי נתניה</t>
  </si>
  <si>
    <t>נייר ריבית על העו"ש לקבל</t>
  </si>
  <si>
    <t>נתיב ס.מ.ישיר 31.03.26</t>
  </si>
  <si>
    <t>התח.ממש.אי העלאת ג.פרישה נשים</t>
  </si>
  <si>
    <t>ממשלתי צמוד 1131- ריפו</t>
  </si>
  <si>
    <t>ממשלתי צמוד 1033- ריפו</t>
  </si>
  <si>
    <t>ממשלתי צמוד 0536- ריפו</t>
  </si>
  <si>
    <t>ממשלתי צמוד 1131- בטחונות ריפו</t>
  </si>
  <si>
    <t>520022351_pn_p_0226.xlsx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</si>
</sst>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0" fillId="0" borderId="0" xfId="0" quotePrefix="1" applyAlignment="1">
      <alignment horizontal="righ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5" sqref="D15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1230</v>
      </c>
    </row>
    <row r="12" spans="1:4" ht="13.5" customHeight="1"/>
    <row r="13" spans="1:4" ht="13.5" customHeight="1">
      <c r="A13" s="3" t="s">
        <v>6</v>
      </c>
      <c r="D13" s="4">
        <v>520022351</v>
      </c>
    </row>
    <row r="14" spans="1:4" ht="13.5" customHeight="1"/>
    <row r="15" spans="1:4" ht="13.5" customHeight="1">
      <c r="A15" s="6" t="s">
        <v>7</v>
      </c>
      <c r="D15" s="114" t="s">
        <v>1400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8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8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99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4" operator="containsText" text="Please fill in data">
      <formula>NOT(ISERROR(SEARCH(("Please fill in data"),(D3))))</formula>
    </cfRule>
  </conditionalFormatting>
  <conditionalFormatting sqref="D5">
    <cfRule type="containsText" dxfId="6" priority="5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7" operator="containsText" text="Please fill in data">
      <formula>NOT(ISERROR(SEARCH(("Please fill in data"),(D11))))</formula>
    </cfRule>
  </conditionalFormatting>
  <conditionalFormatting sqref="D13">
    <cfRule type="containsText" dxfId="3" priority="8" operator="containsText" text="Please fill in data">
      <formula>NOT(ISERROR(SEARCH(("Please fill in data"),(D13))))</formula>
    </cfRule>
  </conditionalFormatting>
  <conditionalFormatting sqref="D15:D17">
    <cfRule type="containsText" dxfId="2" priority="3" operator="containsText" text="Please fill in data">
      <formula>NOT(ISERROR(SEARCH(("Please fill in data"),(D15))))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C20" sqref="C20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522518.91084000003</v>
      </c>
      <c r="C3" s="92"/>
      <c r="D3" s="95"/>
      <c r="E3" s="96">
        <f>IFERROR(B3/$B$30,0)</f>
        <v>3.0522351456673487E-2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2607965.1487000003</v>
      </c>
      <c r="C4" s="92"/>
      <c r="D4" s="95"/>
      <c r="E4" s="96">
        <f t="shared" ref="E4:E30" si="0">IFERROR(B4/$B$30,0)</f>
        <v>0.15234133579473788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195342.45050999997</v>
      </c>
      <c r="C6" s="92"/>
      <c r="D6" s="95"/>
      <c r="E6" s="96">
        <f t="shared" si="0"/>
        <v>1.1410708407259501E-2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1074997.0644399999</v>
      </c>
      <c r="C8" s="92"/>
      <c r="D8" s="95"/>
      <c r="E8" s="96">
        <f t="shared" si="0"/>
        <v>6.2794738209536516E-2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1013493.53091</v>
      </c>
      <c r="C15" s="92"/>
      <c r="D15" s="95"/>
      <c r="E15" s="96">
        <f t="shared" si="0"/>
        <v>5.9202078829587709E-2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117073.98766</v>
      </c>
      <c r="C16" s="92"/>
      <c r="D16" s="95"/>
      <c r="E16" s="96">
        <f t="shared" si="0"/>
        <v>6.8387446342338676E-3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25871.289580000001</v>
      </c>
      <c r="C18" s="92"/>
      <c r="D18" s="95"/>
      <c r="E18" s="96">
        <f t="shared" si="0"/>
        <v>1.5112421327080608E-3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1E-4</v>
      </c>
      <c r="C19" s="92"/>
      <c r="D19" s="95"/>
      <c r="E19" s="96">
        <f t="shared" si="0"/>
        <v>5.8413869476237398E-12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758.47973000000002</v>
      </c>
      <c r="C23" s="92"/>
      <c r="D23" s="95"/>
      <c r="E23" s="96">
        <f t="shared" si="0"/>
        <v>4.4305735948591785E-5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-2004.53051</v>
      </c>
      <c r="C26" s="92"/>
      <c r="D26" s="95"/>
      <c r="E26" s="96">
        <f t="shared" si="0"/>
        <v>-1.1709238357227558E-4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117580</v>
      </c>
      <c r="C27" s="92"/>
      <c r="D27" s="95"/>
      <c r="E27" s="96">
        <f t="shared" si="0"/>
        <v>6.868302773015993E-3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מוחזקות'!U:U)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11445625.677579999</v>
      </c>
      <c r="C29" s="92"/>
      <c r="D29" s="95"/>
      <c r="E29" s="96">
        <f t="shared" si="0"/>
        <v>0.66858328440402925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17119222.009539999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0">
        <v>332</v>
      </c>
      <c r="B2" s="100">
        <v>332</v>
      </c>
      <c r="C2" s="100" t="s">
        <v>1231</v>
      </c>
      <c r="D2" s="100" t="s">
        <v>1232</v>
      </c>
      <c r="E2" s="100" t="s">
        <v>314</v>
      </c>
      <c r="F2" s="100" t="s">
        <v>940</v>
      </c>
      <c r="G2" s="100" t="s">
        <v>202</v>
      </c>
      <c r="H2" s="100" t="s">
        <v>336</v>
      </c>
      <c r="I2" s="100" t="s">
        <v>1233</v>
      </c>
      <c r="J2" s="100" t="s">
        <v>411</v>
      </c>
      <c r="K2" s="100" t="s">
        <v>1234</v>
      </c>
      <c r="L2" s="103">
        <v>10825.12637</v>
      </c>
      <c r="M2" s="103">
        <v>1</v>
      </c>
      <c r="N2" s="102"/>
      <c r="O2" s="103">
        <v>10825.12637</v>
      </c>
      <c r="P2" s="102">
        <v>2.0716999999999999E-2</v>
      </c>
      <c r="Q2" s="102">
        <v>6.3199999999999997E-4</v>
      </c>
    </row>
    <row r="3" spans="1:26" ht="13.5" customHeight="1">
      <c r="A3" s="100">
        <v>332</v>
      </c>
      <c r="B3" s="100">
        <v>332</v>
      </c>
      <c r="C3" s="100" t="s">
        <v>1235</v>
      </c>
      <c r="D3" s="100" t="s">
        <v>1236</v>
      </c>
      <c r="E3" s="100" t="s">
        <v>314</v>
      </c>
      <c r="F3" s="100" t="s">
        <v>945</v>
      </c>
      <c r="G3" s="100" t="s">
        <v>202</v>
      </c>
      <c r="H3" s="100" t="s">
        <v>336</v>
      </c>
      <c r="I3" s="100" t="s">
        <v>1233</v>
      </c>
      <c r="J3" s="100" t="s">
        <v>411</v>
      </c>
      <c r="K3" s="100" t="s">
        <v>1234</v>
      </c>
      <c r="L3" s="103">
        <v>139415.95000000001</v>
      </c>
      <c r="M3" s="103">
        <v>1</v>
      </c>
      <c r="N3" s="102"/>
      <c r="O3" s="103">
        <v>139415.95000000001</v>
      </c>
      <c r="P3" s="102">
        <v>0.26681500000000002</v>
      </c>
      <c r="Q3" s="102">
        <v>8.1429999999999992E-3</v>
      </c>
    </row>
    <row r="4" spans="1:26" ht="13.5" customHeight="1">
      <c r="A4" s="100">
        <v>332</v>
      </c>
      <c r="B4" s="100">
        <v>332</v>
      </c>
      <c r="C4" s="100" t="s">
        <v>1231</v>
      </c>
      <c r="D4" s="100" t="s">
        <v>1232</v>
      </c>
      <c r="E4" s="100" t="s">
        <v>314</v>
      </c>
      <c r="F4" s="100" t="s">
        <v>943</v>
      </c>
      <c r="G4" s="100" t="s">
        <v>202</v>
      </c>
      <c r="H4" s="100" t="s">
        <v>336</v>
      </c>
      <c r="I4" s="100" t="s">
        <v>1233</v>
      </c>
      <c r="J4" s="100" t="s">
        <v>411</v>
      </c>
      <c r="K4" s="100" t="s">
        <v>1238</v>
      </c>
      <c r="L4" s="103">
        <v>1104.1715899999999</v>
      </c>
      <c r="M4" s="103">
        <v>2.9780000000000002</v>
      </c>
      <c r="N4" s="102"/>
      <c r="O4" s="103">
        <v>3288.223</v>
      </c>
      <c r="P4" s="102">
        <v>6.293E-3</v>
      </c>
      <c r="Q4" s="102">
        <v>1.92E-4</v>
      </c>
    </row>
    <row r="5" spans="1:26" ht="13.5" customHeight="1">
      <c r="A5" s="100">
        <v>332</v>
      </c>
      <c r="B5" s="100">
        <v>332</v>
      </c>
      <c r="C5" s="100" t="s">
        <v>1235</v>
      </c>
      <c r="D5" s="100" t="s">
        <v>1236</v>
      </c>
      <c r="E5" s="100" t="s">
        <v>314</v>
      </c>
      <c r="F5" s="100" t="s">
        <v>940</v>
      </c>
      <c r="G5" s="100" t="s">
        <v>202</v>
      </c>
      <c r="H5" s="100" t="s">
        <v>336</v>
      </c>
      <c r="I5" s="100" t="s">
        <v>1233</v>
      </c>
      <c r="J5" s="100" t="s">
        <v>411</v>
      </c>
      <c r="K5" s="100" t="s">
        <v>1234</v>
      </c>
      <c r="L5" s="103">
        <v>85318.240489999996</v>
      </c>
      <c r="M5" s="103">
        <v>1</v>
      </c>
      <c r="N5" s="102"/>
      <c r="O5" s="103">
        <v>85318.240489999996</v>
      </c>
      <c r="P5" s="102">
        <v>0.16328100000000001</v>
      </c>
      <c r="Q5" s="102">
        <v>4.9829999999999996E-3</v>
      </c>
    </row>
    <row r="6" spans="1:26" ht="13.5" customHeight="1">
      <c r="A6" s="100">
        <v>332</v>
      </c>
      <c r="B6" s="100">
        <v>332</v>
      </c>
      <c r="C6" s="100" t="s">
        <v>1235</v>
      </c>
      <c r="D6" s="100" t="s">
        <v>1236</v>
      </c>
      <c r="E6" s="100" t="s">
        <v>314</v>
      </c>
      <c r="F6" s="100" t="s">
        <v>943</v>
      </c>
      <c r="G6" s="100" t="s">
        <v>202</v>
      </c>
      <c r="H6" s="100" t="s">
        <v>336</v>
      </c>
      <c r="I6" s="100" t="s">
        <v>1233</v>
      </c>
      <c r="J6" s="100" t="s">
        <v>411</v>
      </c>
      <c r="K6" s="100" t="s">
        <v>1238</v>
      </c>
      <c r="L6" s="103">
        <v>2865.1424400000001</v>
      </c>
      <c r="M6" s="103">
        <v>2.9780000000000002</v>
      </c>
      <c r="N6" s="102"/>
      <c r="O6" s="103">
        <v>8532.3941900000009</v>
      </c>
      <c r="P6" s="102">
        <v>1.6329E-2</v>
      </c>
      <c r="Q6" s="102">
        <v>4.9799999999999996E-4</v>
      </c>
    </row>
    <row r="7" spans="1:26" ht="13.5" customHeight="1">
      <c r="A7" s="100">
        <v>332</v>
      </c>
      <c r="B7" s="100">
        <v>332</v>
      </c>
      <c r="C7" s="100" t="s">
        <v>1239</v>
      </c>
      <c r="D7" s="100" t="s">
        <v>1240</v>
      </c>
      <c r="E7" s="100" t="s">
        <v>314</v>
      </c>
      <c r="F7" s="100" t="s">
        <v>943</v>
      </c>
      <c r="G7" s="100" t="s">
        <v>202</v>
      </c>
      <c r="H7" s="100" t="s">
        <v>336</v>
      </c>
      <c r="I7" s="100" t="s">
        <v>1233</v>
      </c>
      <c r="J7" s="100" t="s">
        <v>411</v>
      </c>
      <c r="K7" s="100" t="s">
        <v>1238</v>
      </c>
      <c r="L7" s="103">
        <v>2623.91905</v>
      </c>
      <c r="M7" s="103">
        <v>2.9780000000000002</v>
      </c>
      <c r="N7" s="102"/>
      <c r="O7" s="103">
        <v>7814.0309299999999</v>
      </c>
      <c r="P7" s="102">
        <v>1.4954E-2</v>
      </c>
      <c r="Q7" s="102">
        <v>4.5600000000000003E-4</v>
      </c>
    </row>
    <row r="8" spans="1:26" ht="13.5" customHeight="1">
      <c r="A8" s="100">
        <v>332</v>
      </c>
      <c r="B8" s="100">
        <v>332</v>
      </c>
      <c r="C8" s="100" t="s">
        <v>1235</v>
      </c>
      <c r="D8" s="100" t="s">
        <v>1236</v>
      </c>
      <c r="E8" s="100" t="s">
        <v>314</v>
      </c>
      <c r="F8" s="100" t="s">
        <v>945</v>
      </c>
      <c r="G8" s="100" t="s">
        <v>202</v>
      </c>
      <c r="H8" s="100" t="s">
        <v>336</v>
      </c>
      <c r="I8" s="100" t="s">
        <v>1233</v>
      </c>
      <c r="J8" s="100" t="s">
        <v>411</v>
      </c>
      <c r="K8" s="100" t="s">
        <v>1234</v>
      </c>
      <c r="L8" s="103">
        <v>69924.399999999994</v>
      </c>
      <c r="M8" s="103">
        <v>1</v>
      </c>
      <c r="N8" s="102"/>
      <c r="O8" s="103">
        <v>69924.399999999994</v>
      </c>
      <c r="P8" s="102">
        <v>0.133821</v>
      </c>
      <c r="Q8" s="102">
        <v>4.084E-3</v>
      </c>
    </row>
    <row r="9" spans="1:26" ht="13.5" customHeight="1">
      <c r="A9" s="100">
        <v>332</v>
      </c>
      <c r="B9" s="100">
        <v>332</v>
      </c>
      <c r="C9" s="100" t="s">
        <v>1231</v>
      </c>
      <c r="D9" s="100" t="s">
        <v>1232</v>
      </c>
      <c r="E9" s="100" t="s">
        <v>314</v>
      </c>
      <c r="F9" s="100" t="s">
        <v>945</v>
      </c>
      <c r="G9" s="100" t="s">
        <v>202</v>
      </c>
      <c r="H9" s="100" t="s">
        <v>336</v>
      </c>
      <c r="I9" s="100" t="s">
        <v>1233</v>
      </c>
      <c r="J9" s="100" t="s">
        <v>411</v>
      </c>
      <c r="K9" s="100" t="s">
        <v>1234</v>
      </c>
      <c r="L9" s="103">
        <v>94001.961639999994</v>
      </c>
      <c r="M9" s="103">
        <v>1</v>
      </c>
      <c r="N9" s="102"/>
      <c r="O9" s="103">
        <v>94001.961639999994</v>
      </c>
      <c r="P9" s="102">
        <v>0.1799</v>
      </c>
      <c r="Q9" s="102">
        <v>5.4900000000000001E-3</v>
      </c>
    </row>
    <row r="10" spans="1:26" ht="13.5" customHeight="1">
      <c r="A10" s="100">
        <v>332</v>
      </c>
      <c r="B10" s="100">
        <v>332</v>
      </c>
      <c r="C10" s="100" t="s">
        <v>1239</v>
      </c>
      <c r="D10" s="100" t="s">
        <v>1240</v>
      </c>
      <c r="E10" s="100" t="s">
        <v>314</v>
      </c>
      <c r="F10" s="100" t="s">
        <v>940</v>
      </c>
      <c r="G10" s="100" t="s">
        <v>202</v>
      </c>
      <c r="H10" s="100" t="s">
        <v>336</v>
      </c>
      <c r="I10" s="100" t="s">
        <v>1233</v>
      </c>
      <c r="J10" s="100" t="s">
        <v>411</v>
      </c>
      <c r="K10" s="100" t="s">
        <v>1234</v>
      </c>
      <c r="L10" s="103">
        <v>103131.00324999999</v>
      </c>
      <c r="M10" s="103">
        <v>1</v>
      </c>
      <c r="N10" s="102"/>
      <c r="O10" s="103">
        <v>103131.00324999999</v>
      </c>
      <c r="P10" s="102">
        <v>0.19737099999999999</v>
      </c>
      <c r="Q10" s="102">
        <v>6.0229999999999997E-3</v>
      </c>
    </row>
    <row r="11" spans="1:26" ht="13.5" customHeight="1">
      <c r="A11" s="100">
        <v>332</v>
      </c>
      <c r="B11" s="100">
        <v>332</v>
      </c>
      <c r="C11" s="100" t="s">
        <v>1231</v>
      </c>
      <c r="D11" s="100" t="s">
        <v>1232</v>
      </c>
      <c r="E11" s="100" t="s">
        <v>314</v>
      </c>
      <c r="F11" s="100" t="s">
        <v>943</v>
      </c>
      <c r="G11" s="100" t="s">
        <v>202</v>
      </c>
      <c r="H11" s="100" t="s">
        <v>336</v>
      </c>
      <c r="I11" s="100" t="s">
        <v>1233</v>
      </c>
      <c r="J11" s="100" t="s">
        <v>411</v>
      </c>
      <c r="K11" s="100" t="s">
        <v>1241</v>
      </c>
      <c r="L11" s="103">
        <v>78.827799999999996</v>
      </c>
      <c r="M11" s="103">
        <v>3.3944999999999999</v>
      </c>
      <c r="N11" s="102"/>
      <c r="O11" s="103">
        <v>267.58096999999998</v>
      </c>
      <c r="P11" s="102">
        <v>5.1199999999999998E-4</v>
      </c>
      <c r="Q11" s="102">
        <v>1.5E-5</v>
      </c>
    </row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D13" sqref="D13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33.625" bestFit="1" customWidth="1"/>
    <col min="5" max="5" width="14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5.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7.12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4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0">
        <v>332</v>
      </c>
      <c r="B2" s="100">
        <v>332</v>
      </c>
      <c r="C2" s="100" t="s">
        <v>1242</v>
      </c>
      <c r="D2" s="100" t="s">
        <v>1243</v>
      </c>
      <c r="E2" s="100" t="s">
        <v>1244</v>
      </c>
      <c r="F2" s="100" t="s">
        <v>950</v>
      </c>
      <c r="G2" s="100" t="s">
        <v>202</v>
      </c>
      <c r="H2" s="100" t="s">
        <v>202</v>
      </c>
      <c r="I2" s="100" t="s">
        <v>337</v>
      </c>
      <c r="J2" s="100" t="s">
        <v>1245</v>
      </c>
      <c r="K2" s="100" t="s">
        <v>411</v>
      </c>
      <c r="L2" s="100" t="s">
        <v>1234</v>
      </c>
      <c r="M2" s="103">
        <v>5.4</v>
      </c>
      <c r="N2" s="106">
        <v>48182</v>
      </c>
      <c r="O2" s="102">
        <v>1E-3</v>
      </c>
      <c r="P2" s="102">
        <v>1.6500000000000001E-2</v>
      </c>
      <c r="Q2" s="103">
        <v>0</v>
      </c>
      <c r="R2" s="103">
        <v>90767894</v>
      </c>
      <c r="S2" s="103">
        <v>1</v>
      </c>
      <c r="T2" s="103">
        <v>109.97</v>
      </c>
      <c r="U2" s="103">
        <v>99817.453030000004</v>
      </c>
      <c r="V2" s="103"/>
      <c r="W2" s="100"/>
      <c r="X2" s="102">
        <v>2.6510000000000001E-3</v>
      </c>
      <c r="Y2" s="102">
        <v>3.8274000000000002E-2</v>
      </c>
      <c r="Z2" s="102">
        <v>5.8300000000000001E-3</v>
      </c>
    </row>
    <row r="3" spans="1:26" ht="13.5" customHeight="1">
      <c r="A3" s="100">
        <v>332</v>
      </c>
      <c r="B3" s="100">
        <v>332</v>
      </c>
      <c r="C3" s="100" t="s">
        <v>1242</v>
      </c>
      <c r="D3" s="113" t="s">
        <v>1397</v>
      </c>
      <c r="E3" s="100" t="s">
        <v>1261</v>
      </c>
      <c r="F3" s="100" t="s">
        <v>950</v>
      </c>
      <c r="G3" s="100" t="s">
        <v>202</v>
      </c>
      <c r="H3" s="100" t="s">
        <v>202</v>
      </c>
      <c r="I3" s="100" t="s">
        <v>337</v>
      </c>
      <c r="J3" s="100" t="s">
        <v>1245</v>
      </c>
      <c r="K3" s="100" t="s">
        <v>411</v>
      </c>
      <c r="L3" s="100" t="s">
        <v>1234</v>
      </c>
      <c r="M3" s="103">
        <v>6.91</v>
      </c>
      <c r="N3" s="106">
        <v>48883</v>
      </c>
      <c r="O3" s="102">
        <v>1.6E-2</v>
      </c>
      <c r="P3" s="102">
        <v>1.7999999999999999E-2</v>
      </c>
      <c r="Q3" s="103">
        <v>0</v>
      </c>
      <c r="R3" s="103">
        <v>84000000</v>
      </c>
      <c r="S3" s="103">
        <v>1</v>
      </c>
      <c r="T3" s="103">
        <v>106.86</v>
      </c>
      <c r="U3" s="103">
        <v>89762.4</v>
      </c>
      <c r="V3" s="101"/>
      <c r="W3" s="100"/>
      <c r="X3" s="102">
        <v>2.6090000000000002E-3</v>
      </c>
      <c r="Y3" s="102">
        <v>3.4417999999999997E-2</v>
      </c>
      <c r="Z3" s="102">
        <v>5.2430000000000003E-3</v>
      </c>
    </row>
    <row r="4" spans="1:26" ht="13.5" customHeight="1">
      <c r="A4" s="100">
        <v>332</v>
      </c>
      <c r="B4" s="100">
        <v>332</v>
      </c>
      <c r="C4" s="100" t="s">
        <v>1242</v>
      </c>
      <c r="D4" s="100" t="s">
        <v>1246</v>
      </c>
      <c r="E4" s="100" t="s">
        <v>1247</v>
      </c>
      <c r="F4" s="100" t="s">
        <v>950</v>
      </c>
      <c r="G4" s="100" t="s">
        <v>202</v>
      </c>
      <c r="H4" s="100" t="s">
        <v>202</v>
      </c>
      <c r="I4" s="100" t="s">
        <v>337</v>
      </c>
      <c r="J4" s="100" t="s">
        <v>1245</v>
      </c>
      <c r="K4" s="100" t="s">
        <v>411</v>
      </c>
      <c r="L4" s="100" t="s">
        <v>1234</v>
      </c>
      <c r="M4" s="103">
        <v>22.39</v>
      </c>
      <c r="N4" s="106">
        <v>57100</v>
      </c>
      <c r="O4" s="102">
        <v>0.02</v>
      </c>
      <c r="P4" s="102">
        <v>2.3199999999999998E-2</v>
      </c>
      <c r="Q4" s="103">
        <v>0</v>
      </c>
      <c r="R4" s="103">
        <v>379375506</v>
      </c>
      <c r="S4" s="103">
        <v>1</v>
      </c>
      <c r="T4" s="103">
        <v>94.65</v>
      </c>
      <c r="U4" s="103">
        <v>359078.91642999998</v>
      </c>
      <c r="V4" s="101"/>
      <c r="W4" s="100"/>
      <c r="X4" s="102">
        <v>4.9813000000000003E-2</v>
      </c>
      <c r="Y4" s="102">
        <v>0.137685</v>
      </c>
      <c r="Z4" s="102">
        <v>2.0975000000000001E-2</v>
      </c>
    </row>
    <row r="5" spans="1:26" ht="13.5" customHeight="1">
      <c r="A5" s="100">
        <v>332</v>
      </c>
      <c r="B5" s="100">
        <v>332</v>
      </c>
      <c r="C5" s="100" t="s">
        <v>1242</v>
      </c>
      <c r="D5" s="100" t="s">
        <v>1248</v>
      </c>
      <c r="E5" s="100" t="s">
        <v>1249</v>
      </c>
      <c r="F5" s="100" t="s">
        <v>953</v>
      </c>
      <c r="G5" s="100" t="s">
        <v>202</v>
      </c>
      <c r="H5" s="100" t="s">
        <v>202</v>
      </c>
      <c r="I5" s="100" t="s">
        <v>337</v>
      </c>
      <c r="J5" s="100" t="s">
        <v>1245</v>
      </c>
      <c r="K5" s="100" t="s">
        <v>411</v>
      </c>
      <c r="L5" s="100" t="s">
        <v>1234</v>
      </c>
      <c r="M5" s="103">
        <v>14.47</v>
      </c>
      <c r="N5" s="106">
        <v>53782</v>
      </c>
      <c r="O5" s="102">
        <v>3.7499999999999999E-2</v>
      </c>
      <c r="P5" s="102">
        <v>4.1300000000000003E-2</v>
      </c>
      <c r="Q5" s="103">
        <v>0</v>
      </c>
      <c r="R5" s="103">
        <v>2731122</v>
      </c>
      <c r="S5" s="103">
        <v>1</v>
      </c>
      <c r="T5" s="103">
        <v>95.7</v>
      </c>
      <c r="U5" s="103">
        <v>2613.6837500000001</v>
      </c>
      <c r="V5" s="101"/>
      <c r="W5" s="100"/>
      <c r="X5" s="102">
        <v>9.7E-5</v>
      </c>
      <c r="Y5" s="102">
        <v>1.0020000000000001E-3</v>
      </c>
      <c r="Z5" s="102">
        <v>1.5200000000000001E-4</v>
      </c>
    </row>
    <row r="6" spans="1:26" ht="13.5" customHeight="1">
      <c r="A6" s="100">
        <v>332</v>
      </c>
      <c r="B6" s="100">
        <v>332</v>
      </c>
      <c r="C6" s="100" t="s">
        <v>1242</v>
      </c>
      <c r="D6" s="100" t="s">
        <v>1250</v>
      </c>
      <c r="E6" s="100" t="s">
        <v>1251</v>
      </c>
      <c r="F6" s="100" t="s">
        <v>950</v>
      </c>
      <c r="G6" s="100" t="s">
        <v>202</v>
      </c>
      <c r="H6" s="100" t="s">
        <v>202</v>
      </c>
      <c r="I6" s="100" t="s">
        <v>337</v>
      </c>
      <c r="J6" s="100" t="s">
        <v>1245</v>
      </c>
      <c r="K6" s="100" t="s">
        <v>411</v>
      </c>
      <c r="L6" s="100" t="s">
        <v>1234</v>
      </c>
      <c r="M6" s="103">
        <v>23.39</v>
      </c>
      <c r="N6" s="106">
        <v>55487</v>
      </c>
      <c r="O6" s="102">
        <v>5.0000000000000001E-3</v>
      </c>
      <c r="P6" s="102">
        <v>2.2599999999999999E-2</v>
      </c>
      <c r="Q6" s="103">
        <v>0</v>
      </c>
      <c r="R6" s="103">
        <v>1216450007</v>
      </c>
      <c r="S6" s="103">
        <v>1</v>
      </c>
      <c r="T6" s="103">
        <v>79.3</v>
      </c>
      <c r="U6" s="103">
        <v>964644.85554999998</v>
      </c>
      <c r="V6" s="101"/>
      <c r="W6" s="100"/>
      <c r="X6" s="102">
        <v>3.7830000000000003E-2</v>
      </c>
      <c r="Y6" s="102">
        <v>0.36988399999999999</v>
      </c>
      <c r="Z6" s="102">
        <v>5.6348000000000002E-2</v>
      </c>
    </row>
    <row r="7" spans="1:26" ht="13.5" customHeight="1">
      <c r="A7" s="100">
        <v>332</v>
      </c>
      <c r="B7" s="100">
        <v>332</v>
      </c>
      <c r="C7" s="100" t="s">
        <v>1242</v>
      </c>
      <c r="D7" s="100" t="s">
        <v>1252</v>
      </c>
      <c r="E7" s="100" t="s">
        <v>1253</v>
      </c>
      <c r="F7" s="100" t="s">
        <v>950</v>
      </c>
      <c r="G7" s="100" t="s">
        <v>202</v>
      </c>
      <c r="H7" s="100" t="s">
        <v>202</v>
      </c>
      <c r="I7" s="100" t="s">
        <v>337</v>
      </c>
      <c r="J7" s="100" t="s">
        <v>1245</v>
      </c>
      <c r="K7" s="100" t="s">
        <v>411</v>
      </c>
      <c r="L7" s="100" t="s">
        <v>1234</v>
      </c>
      <c r="M7" s="103">
        <v>12.48</v>
      </c>
      <c r="N7" s="106">
        <v>51744</v>
      </c>
      <c r="O7" s="102">
        <v>2.75E-2</v>
      </c>
      <c r="P7" s="102">
        <v>2.06E-2</v>
      </c>
      <c r="Q7" s="103">
        <v>0</v>
      </c>
      <c r="R7" s="103">
        <v>36158308</v>
      </c>
      <c r="S7" s="103">
        <v>1</v>
      </c>
      <c r="T7" s="103">
        <v>142</v>
      </c>
      <c r="U7" s="103">
        <v>51344.797359999997</v>
      </c>
      <c r="V7" s="101"/>
      <c r="W7" s="100"/>
      <c r="X7" s="102">
        <v>1.755E-3</v>
      </c>
      <c r="Y7" s="102">
        <v>1.9687E-2</v>
      </c>
      <c r="Z7" s="102">
        <v>2.9989999999999999E-3</v>
      </c>
    </row>
    <row r="8" spans="1:26" ht="13.5" customHeight="1">
      <c r="A8" s="100">
        <v>332</v>
      </c>
      <c r="B8" s="100">
        <v>332</v>
      </c>
      <c r="C8" s="100" t="s">
        <v>1242</v>
      </c>
      <c r="D8" s="100" t="s">
        <v>1254</v>
      </c>
      <c r="E8" s="100" t="s">
        <v>1255</v>
      </c>
      <c r="F8" s="100" t="s">
        <v>950</v>
      </c>
      <c r="G8" s="100" t="s">
        <v>202</v>
      </c>
      <c r="H8" s="100" t="s">
        <v>202</v>
      </c>
      <c r="I8" s="100" t="s">
        <v>337</v>
      </c>
      <c r="J8" s="100" t="s">
        <v>1245</v>
      </c>
      <c r="K8" s="100" t="s">
        <v>411</v>
      </c>
      <c r="L8" s="100" t="s">
        <v>1234</v>
      </c>
      <c r="M8" s="103">
        <v>0.08</v>
      </c>
      <c r="N8" s="106">
        <v>46234</v>
      </c>
      <c r="O8" s="102">
        <v>1E-3</v>
      </c>
      <c r="P8" s="102">
        <v>4.8399999999999999E-2</v>
      </c>
      <c r="Q8" s="103">
        <v>0</v>
      </c>
      <c r="R8" s="103">
        <v>1388873</v>
      </c>
      <c r="S8" s="103">
        <v>1</v>
      </c>
      <c r="T8" s="103">
        <v>119.09</v>
      </c>
      <c r="U8" s="103">
        <v>1654.0088599999999</v>
      </c>
      <c r="V8" s="101"/>
      <c r="W8" s="100"/>
      <c r="X8" s="102">
        <v>1.15E-4</v>
      </c>
      <c r="Y8" s="102">
        <v>6.3400000000000001E-4</v>
      </c>
      <c r="Z8" s="102">
        <v>9.6000000000000002E-5</v>
      </c>
    </row>
    <row r="9" spans="1:26" ht="13.5" customHeight="1">
      <c r="A9" s="100">
        <v>332</v>
      </c>
      <c r="B9" s="100">
        <v>332</v>
      </c>
      <c r="C9" s="100" t="s">
        <v>1242</v>
      </c>
      <c r="D9" s="100" t="s">
        <v>1256</v>
      </c>
      <c r="E9" s="100" t="s">
        <v>1257</v>
      </c>
      <c r="F9" s="100" t="s">
        <v>953</v>
      </c>
      <c r="G9" s="100" t="s">
        <v>202</v>
      </c>
      <c r="H9" s="100" t="s">
        <v>202</v>
      </c>
      <c r="I9" s="100" t="s">
        <v>337</v>
      </c>
      <c r="J9" s="100" t="s">
        <v>1245</v>
      </c>
      <c r="K9" s="100" t="s">
        <v>411</v>
      </c>
      <c r="L9" s="100" t="s">
        <v>1234</v>
      </c>
      <c r="M9" s="103">
        <v>3.69</v>
      </c>
      <c r="N9" s="106">
        <v>47573</v>
      </c>
      <c r="O9" s="102">
        <v>0.01</v>
      </c>
      <c r="P9" s="102">
        <v>3.3599999999999998E-2</v>
      </c>
      <c r="Q9" s="103">
        <v>0</v>
      </c>
      <c r="R9" s="103">
        <v>94992</v>
      </c>
      <c r="S9" s="103">
        <v>1</v>
      </c>
      <c r="T9" s="103">
        <v>92.07</v>
      </c>
      <c r="U9" s="103">
        <v>87.459130000000002</v>
      </c>
      <c r="V9" s="101"/>
      <c r="W9" s="100"/>
      <c r="X9" s="102">
        <v>1.9999999999999999E-6</v>
      </c>
      <c r="Y9" s="102">
        <v>3.3000000000000003E-5</v>
      </c>
      <c r="Z9" s="102">
        <v>5.0000000000000004E-6</v>
      </c>
    </row>
    <row r="10" spans="1:26" ht="13.5" customHeight="1">
      <c r="A10" s="100">
        <v>332</v>
      </c>
      <c r="B10" s="100">
        <v>332</v>
      </c>
      <c r="C10" s="100" t="s">
        <v>1242</v>
      </c>
      <c r="D10" s="100" t="s">
        <v>1258</v>
      </c>
      <c r="E10" s="100" t="s">
        <v>1259</v>
      </c>
      <c r="F10" s="100" t="s">
        <v>950</v>
      </c>
      <c r="G10" s="100" t="s">
        <v>202</v>
      </c>
      <c r="H10" s="100" t="s">
        <v>202</v>
      </c>
      <c r="I10" s="100" t="s">
        <v>337</v>
      </c>
      <c r="J10" s="100" t="s">
        <v>1245</v>
      </c>
      <c r="K10" s="100" t="s">
        <v>411</v>
      </c>
      <c r="L10" s="100" t="s">
        <v>1234</v>
      </c>
      <c r="M10" s="103">
        <v>8.51</v>
      </c>
      <c r="N10" s="106">
        <v>49825</v>
      </c>
      <c r="O10" s="102">
        <v>0.04</v>
      </c>
      <c r="P10" s="102">
        <v>1.8700000000000001E-2</v>
      </c>
      <c r="Q10" s="103">
        <v>0</v>
      </c>
      <c r="R10" s="103">
        <v>73938870</v>
      </c>
      <c r="S10" s="103">
        <v>1</v>
      </c>
      <c r="T10" s="103">
        <v>169.52</v>
      </c>
      <c r="U10" s="103">
        <v>125341.17242</v>
      </c>
      <c r="V10" s="101"/>
      <c r="W10" s="100"/>
      <c r="X10" s="102">
        <v>4.64E-3</v>
      </c>
      <c r="Y10" s="102">
        <v>4.8059999999999999E-2</v>
      </c>
      <c r="Z10" s="102">
        <v>7.3210000000000003E-3</v>
      </c>
    </row>
    <row r="11" spans="1:26" ht="13.5" customHeight="1">
      <c r="A11" s="100">
        <v>332</v>
      </c>
      <c r="B11" s="100">
        <v>332</v>
      </c>
      <c r="C11" s="100" t="s">
        <v>1242</v>
      </c>
      <c r="D11" t="s">
        <v>1396</v>
      </c>
      <c r="E11" s="100" t="s">
        <v>1244</v>
      </c>
      <c r="F11" s="100" t="s">
        <v>950</v>
      </c>
      <c r="G11" s="100" t="s">
        <v>202</v>
      </c>
      <c r="H11" s="100" t="s">
        <v>202</v>
      </c>
      <c r="I11" s="100" t="s">
        <v>337</v>
      </c>
      <c r="J11" s="100" t="s">
        <v>1245</v>
      </c>
      <c r="K11" s="100" t="s">
        <v>411</v>
      </c>
      <c r="L11" s="100" t="s">
        <v>1234</v>
      </c>
      <c r="M11" s="103">
        <v>5.4</v>
      </c>
      <c r="N11" s="106">
        <v>48182</v>
      </c>
      <c r="O11" s="102">
        <v>1E-3</v>
      </c>
      <c r="P11" s="102">
        <v>1.6500000000000001E-2</v>
      </c>
      <c r="Q11" s="103">
        <v>0</v>
      </c>
      <c r="R11" s="103">
        <v>190000000</v>
      </c>
      <c r="S11" s="103">
        <v>1</v>
      </c>
      <c r="T11" s="103">
        <v>109.97</v>
      </c>
      <c r="U11" s="103">
        <v>208943</v>
      </c>
      <c r="V11" s="101"/>
      <c r="W11" s="100"/>
      <c r="X11" s="102">
        <v>5.5469999999999998E-3</v>
      </c>
      <c r="Y11" s="102">
        <v>8.0116999999999994E-2</v>
      </c>
      <c r="Z11" s="102">
        <v>1.2205000000000001E-2</v>
      </c>
    </row>
    <row r="12" spans="1:26" ht="13.5" customHeight="1">
      <c r="A12" s="100">
        <v>332</v>
      </c>
      <c r="B12" s="100">
        <v>332</v>
      </c>
      <c r="C12" s="100" t="s">
        <v>1242</v>
      </c>
      <c r="D12" s="100" t="s">
        <v>1260</v>
      </c>
      <c r="E12" s="100" t="s">
        <v>1261</v>
      </c>
      <c r="F12" s="100" t="s">
        <v>950</v>
      </c>
      <c r="G12" s="100" t="s">
        <v>202</v>
      </c>
      <c r="H12" s="100" t="s">
        <v>202</v>
      </c>
      <c r="I12" s="100" t="s">
        <v>337</v>
      </c>
      <c r="J12" s="100" t="s">
        <v>1245</v>
      </c>
      <c r="K12" s="100" t="s">
        <v>411</v>
      </c>
      <c r="L12" s="100" t="s">
        <v>1234</v>
      </c>
      <c r="M12" s="103">
        <v>6.91</v>
      </c>
      <c r="N12" s="106">
        <v>48883</v>
      </c>
      <c r="O12" s="102">
        <v>1.6E-2</v>
      </c>
      <c r="P12" s="102">
        <v>1.7999999999999999E-2</v>
      </c>
      <c r="Q12" s="103">
        <v>0</v>
      </c>
      <c r="R12" s="103">
        <v>40884620</v>
      </c>
      <c r="S12" s="103">
        <v>1</v>
      </c>
      <c r="T12" s="103">
        <v>106.86</v>
      </c>
      <c r="U12" s="103">
        <v>43689.304929999998</v>
      </c>
      <c r="V12" s="101"/>
      <c r="W12" s="100"/>
      <c r="X12" s="102">
        <v>1.274E-3</v>
      </c>
      <c r="Y12" s="102">
        <v>1.6752E-2</v>
      </c>
      <c r="Z12" s="102">
        <v>2.552E-3</v>
      </c>
    </row>
    <row r="13" spans="1:26" ht="13.5" customHeight="1">
      <c r="A13" s="100">
        <v>332</v>
      </c>
      <c r="B13" s="100">
        <v>332</v>
      </c>
      <c r="C13" s="100" t="s">
        <v>1242</v>
      </c>
      <c r="D13" s="113" t="s">
        <v>1398</v>
      </c>
      <c r="E13" s="100" t="s">
        <v>1259</v>
      </c>
      <c r="F13" s="100" t="s">
        <v>950</v>
      </c>
      <c r="G13" s="100" t="s">
        <v>202</v>
      </c>
      <c r="H13" s="100" t="s">
        <v>202</v>
      </c>
      <c r="I13" s="100" t="s">
        <v>337</v>
      </c>
      <c r="J13" s="100" t="s">
        <v>1245</v>
      </c>
      <c r="K13" s="100" t="s">
        <v>411</v>
      </c>
      <c r="L13" s="100" t="s">
        <v>1234</v>
      </c>
      <c r="M13" s="103">
        <v>8.51</v>
      </c>
      <c r="N13" s="106">
        <v>49825</v>
      </c>
      <c r="O13" s="102">
        <v>0.04</v>
      </c>
      <c r="P13" s="102">
        <v>1.8700000000000001E-2</v>
      </c>
      <c r="Q13" s="103">
        <v>0</v>
      </c>
      <c r="R13" s="103">
        <v>54000000</v>
      </c>
      <c r="S13" s="103">
        <v>1</v>
      </c>
      <c r="T13" s="103">
        <v>169.52</v>
      </c>
      <c r="U13" s="103">
        <v>91540.800000000003</v>
      </c>
      <c r="V13" s="101"/>
      <c r="W13" s="100"/>
      <c r="X13" s="102">
        <v>3.3887000000000001E-3</v>
      </c>
      <c r="Y13" s="102">
        <v>3.5099999999999999E-2</v>
      </c>
      <c r="Z13" s="102">
        <v>5.3470000000000002E-3</v>
      </c>
    </row>
    <row r="14" spans="1:26" ht="13.5" customHeight="1">
      <c r="A14" s="100">
        <v>332</v>
      </c>
      <c r="B14" s="100">
        <v>332</v>
      </c>
      <c r="C14" s="100" t="s">
        <v>1242</v>
      </c>
      <c r="D14" s="100" t="s">
        <v>1262</v>
      </c>
      <c r="E14" s="100" t="s">
        <v>1263</v>
      </c>
      <c r="F14" s="100" t="s">
        <v>950</v>
      </c>
      <c r="G14" s="100" t="s">
        <v>202</v>
      </c>
      <c r="H14" s="100" t="s">
        <v>202</v>
      </c>
      <c r="I14" s="100" t="s">
        <v>337</v>
      </c>
      <c r="J14" s="100" t="s">
        <v>1245</v>
      </c>
      <c r="K14" s="100" t="s">
        <v>411</v>
      </c>
      <c r="L14" s="100" t="s">
        <v>1234</v>
      </c>
      <c r="M14" s="103">
        <v>17.11</v>
      </c>
      <c r="N14" s="106">
        <v>53113</v>
      </c>
      <c r="O14" s="102">
        <v>0.01</v>
      </c>
      <c r="P14" s="102">
        <v>2.1600000000000001E-2</v>
      </c>
      <c r="Q14" s="103">
        <v>0</v>
      </c>
      <c r="R14" s="103">
        <v>447143901</v>
      </c>
      <c r="S14" s="103">
        <v>1</v>
      </c>
      <c r="T14" s="103">
        <v>99</v>
      </c>
      <c r="U14" s="103">
        <v>442672.46198999998</v>
      </c>
      <c r="V14" s="101"/>
      <c r="W14" s="100"/>
      <c r="X14" s="102">
        <v>1.9703999999999999E-2</v>
      </c>
      <c r="Y14" s="102">
        <v>0.169738</v>
      </c>
      <c r="Z14" s="102">
        <v>2.5857999999999999E-2</v>
      </c>
    </row>
    <row r="15" spans="1:26" ht="13.5" customHeight="1">
      <c r="A15" s="100">
        <v>332</v>
      </c>
      <c r="B15" s="100">
        <v>332</v>
      </c>
      <c r="C15" s="100" t="s">
        <v>1242</v>
      </c>
      <c r="D15" s="100" t="s">
        <v>1264</v>
      </c>
      <c r="E15" s="100" t="s">
        <v>1265</v>
      </c>
      <c r="F15" s="100" t="s">
        <v>950</v>
      </c>
      <c r="G15" s="100" t="s">
        <v>202</v>
      </c>
      <c r="H15" s="100" t="s">
        <v>202</v>
      </c>
      <c r="I15" s="100" t="s">
        <v>337</v>
      </c>
      <c r="J15" s="100" t="s">
        <v>1245</v>
      </c>
      <c r="K15" s="100" t="s">
        <v>411</v>
      </c>
      <c r="L15" s="100" t="s">
        <v>1234</v>
      </c>
      <c r="M15" s="103">
        <v>10.130000000000001</v>
      </c>
      <c r="N15" s="106">
        <v>50283</v>
      </c>
      <c r="O15" s="102">
        <v>1.8499999999999999E-2</v>
      </c>
      <c r="P15" s="102">
        <v>1.95E-2</v>
      </c>
      <c r="Q15" s="103">
        <v>0</v>
      </c>
      <c r="R15" s="103">
        <v>108737050</v>
      </c>
      <c r="S15" s="103">
        <v>1</v>
      </c>
      <c r="T15" s="103">
        <v>101</v>
      </c>
      <c r="U15" s="103">
        <v>109824.42049999999</v>
      </c>
      <c r="V15" s="101"/>
      <c r="W15" s="100"/>
      <c r="X15" s="102">
        <v>1.32E-2</v>
      </c>
      <c r="Y15" s="102">
        <v>4.2111000000000003E-2</v>
      </c>
      <c r="Z15" s="102">
        <v>6.4149999999999997E-3</v>
      </c>
    </row>
    <row r="16" spans="1:26" ht="13.5" customHeight="1">
      <c r="A16" s="100">
        <v>332</v>
      </c>
      <c r="B16" s="100">
        <v>332</v>
      </c>
      <c r="C16" s="100" t="s">
        <v>1242</v>
      </c>
      <c r="D16" s="113" t="s">
        <v>1399</v>
      </c>
      <c r="E16" s="100" t="s">
        <v>1244</v>
      </c>
      <c r="F16" s="100" t="s">
        <v>950</v>
      </c>
      <c r="G16" s="100" t="s">
        <v>202</v>
      </c>
      <c r="H16" s="100" t="s">
        <v>202</v>
      </c>
      <c r="I16" s="100" t="s">
        <v>337</v>
      </c>
      <c r="J16" s="100" t="s">
        <v>1245</v>
      </c>
      <c r="K16" s="100" t="s">
        <v>411</v>
      </c>
      <c r="L16" s="100" t="s">
        <v>1234</v>
      </c>
      <c r="M16" s="103">
        <v>5.4</v>
      </c>
      <c r="N16" s="106">
        <v>48182</v>
      </c>
      <c r="O16" s="102">
        <v>1E-3</v>
      </c>
      <c r="P16" s="102">
        <v>1.6500000000000001E-2</v>
      </c>
      <c r="Q16" s="103">
        <v>0</v>
      </c>
      <c r="R16" s="103">
        <v>1820000</v>
      </c>
      <c r="S16" s="103">
        <v>1</v>
      </c>
      <c r="T16" s="103">
        <v>109.97</v>
      </c>
      <c r="U16" s="103">
        <v>2001.454</v>
      </c>
      <c r="V16" s="101"/>
      <c r="W16" s="100"/>
      <c r="X16" s="102">
        <v>5.3000000000000001E-5</v>
      </c>
      <c r="Y16" s="102">
        <v>7.67E-4</v>
      </c>
      <c r="Z16" s="102">
        <v>1.16E-4</v>
      </c>
    </row>
    <row r="17" spans="1:26" ht="13.5" customHeight="1">
      <c r="A17" s="100">
        <v>332</v>
      </c>
      <c r="B17" s="100">
        <v>332</v>
      </c>
      <c r="C17" s="100" t="s">
        <v>1268</v>
      </c>
      <c r="D17" s="100" t="s">
        <v>1269</v>
      </c>
      <c r="E17" s="100" t="s">
        <v>1270</v>
      </c>
      <c r="F17" s="100" t="s">
        <v>957</v>
      </c>
      <c r="G17" s="100" t="s">
        <v>203</v>
      </c>
      <c r="H17" s="100" t="s">
        <v>223</v>
      </c>
      <c r="I17" s="100" t="s">
        <v>313</v>
      </c>
      <c r="J17" s="100" t="s">
        <v>1271</v>
      </c>
      <c r="K17" s="100" t="s">
        <v>429</v>
      </c>
      <c r="L17" s="100" t="s">
        <v>1238</v>
      </c>
      <c r="M17" s="103">
        <v>0.79</v>
      </c>
      <c r="N17" s="106">
        <v>46492</v>
      </c>
      <c r="O17" s="102">
        <v>0</v>
      </c>
      <c r="P17" s="102">
        <v>3.95E-2</v>
      </c>
      <c r="Q17" s="103">
        <v>0</v>
      </c>
      <c r="R17" s="103">
        <v>5176000</v>
      </c>
      <c r="S17" s="103">
        <v>2.9780000000000002</v>
      </c>
      <c r="T17" s="103">
        <v>96.982200000000006</v>
      </c>
      <c r="U17" s="103">
        <v>14948.96075</v>
      </c>
      <c r="V17" s="101"/>
      <c r="W17" s="100"/>
      <c r="X17" s="102">
        <v>9.8999999999999994E-5</v>
      </c>
      <c r="Y17" s="102">
        <v>5.7320000000000001E-3</v>
      </c>
      <c r="Z17" s="102">
        <v>8.7299999999999997E-4</v>
      </c>
    </row>
    <row r="18" spans="1:26" ht="13.5" customHeight="1"/>
    <row r="19" spans="1:26" ht="13.5" customHeight="1"/>
    <row r="20" spans="1:26" ht="13.5" customHeight="1"/>
    <row r="21" spans="1:26" ht="13.5" customHeight="1"/>
    <row r="22" spans="1:26" ht="13.5" customHeight="1"/>
    <row r="23" spans="1:26" ht="13.5" customHeight="1"/>
    <row r="24" spans="1:26" ht="13.5" customHeight="1"/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84</v>
      </c>
      <c r="U1" s="107" t="s">
        <v>73</v>
      </c>
      <c r="V1" s="108" t="s">
        <v>63</v>
      </c>
      <c r="W1" s="108" t="s">
        <v>74</v>
      </c>
      <c r="X1" s="21" t="s">
        <v>85</v>
      </c>
      <c r="Y1" s="21" t="s">
        <v>86</v>
      </c>
      <c r="Z1" s="104" t="s">
        <v>76</v>
      </c>
      <c r="AA1" s="104" t="s">
        <v>62</v>
      </c>
      <c r="AB1" s="104" t="s">
        <v>77</v>
      </c>
      <c r="AC1" s="104" t="s">
        <v>75</v>
      </c>
      <c r="AD1" s="104" t="s">
        <v>16</v>
      </c>
      <c r="AE1" s="104" t="s">
        <v>17</v>
      </c>
      <c r="AF1" s="104" t="s">
        <v>87</v>
      </c>
      <c r="AG1" s="21" t="s">
        <v>18</v>
      </c>
      <c r="AH1" s="108" t="s">
        <v>78</v>
      </c>
      <c r="AI1" s="108" t="s">
        <v>64</v>
      </c>
      <c r="AJ1" s="108" t="s">
        <v>65</v>
      </c>
    </row>
    <row r="2" spans="1:36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3"/>
      <c r="T2" s="100"/>
      <c r="U2" s="106"/>
      <c r="V2" s="102"/>
      <c r="W2" s="102"/>
      <c r="X2" s="100"/>
      <c r="Y2" s="100"/>
      <c r="Z2" s="103"/>
      <c r="AA2" s="103"/>
      <c r="AB2" s="103"/>
      <c r="AC2" s="103"/>
      <c r="AD2" s="103"/>
      <c r="AE2" s="103"/>
      <c r="AF2" s="103"/>
      <c r="AG2" s="100"/>
      <c r="AH2" s="102"/>
      <c r="AI2" s="102"/>
      <c r="AJ2" s="102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22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4" t="s">
        <v>17</v>
      </c>
      <c r="AF1" s="104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0">
        <v>332</v>
      </c>
      <c r="B2" s="100">
        <v>332</v>
      </c>
      <c r="C2" s="100" t="s">
        <v>1272</v>
      </c>
      <c r="D2" s="100">
        <v>513436394</v>
      </c>
      <c r="E2" s="100" t="s">
        <v>308</v>
      </c>
      <c r="F2" s="100" t="s">
        <v>1273</v>
      </c>
      <c r="G2" s="100" t="s">
        <v>1274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322</v>
      </c>
      <c r="M2" s="100" t="s">
        <v>337</v>
      </c>
      <c r="N2" s="100" t="s">
        <v>475</v>
      </c>
      <c r="O2" s="100" t="s">
        <v>336</v>
      </c>
      <c r="P2" s="100" t="s">
        <v>1233</v>
      </c>
      <c r="Q2" s="100" t="s">
        <v>411</v>
      </c>
      <c r="R2" s="100" t="s">
        <v>404</v>
      </c>
      <c r="S2" s="100" t="s">
        <v>1234</v>
      </c>
      <c r="T2" s="103">
        <v>4.3499999999999996</v>
      </c>
      <c r="U2" s="106">
        <v>48760</v>
      </c>
      <c r="V2" s="102">
        <v>2.9499999999999998E-2</v>
      </c>
      <c r="W2" s="102">
        <v>2.1499999999999998E-2</v>
      </c>
      <c r="X2" s="100" t="s">
        <v>410</v>
      </c>
      <c r="Y2" s="100"/>
      <c r="Z2" s="103">
        <v>14352123.59</v>
      </c>
      <c r="AA2" s="103">
        <v>1</v>
      </c>
      <c r="AB2" s="103">
        <v>122.68</v>
      </c>
      <c r="AC2" s="103">
        <v>0</v>
      </c>
      <c r="AD2" s="103">
        <v>17607.185219999999</v>
      </c>
      <c r="AE2" s="103"/>
      <c r="AF2" s="103"/>
      <c r="AG2" s="100"/>
      <c r="AH2" s="102">
        <v>1.0499E-2</v>
      </c>
      <c r="AI2" s="102">
        <v>9.0134000000000006E-2</v>
      </c>
      <c r="AJ2" s="102">
        <v>1.0280000000000001E-3</v>
      </c>
    </row>
    <row r="3" spans="1:36" ht="13.5" customHeight="1">
      <c r="A3" s="100">
        <v>332</v>
      </c>
      <c r="B3" s="100">
        <v>332</v>
      </c>
      <c r="C3" s="100" t="s">
        <v>1275</v>
      </c>
      <c r="D3" s="100">
        <v>520032046</v>
      </c>
      <c r="E3" s="100" t="s">
        <v>308</v>
      </c>
      <c r="F3" s="100" t="s">
        <v>1276</v>
      </c>
      <c r="G3" s="100" t="s">
        <v>1277</v>
      </c>
      <c r="H3" s="100" t="s">
        <v>319</v>
      </c>
      <c r="I3" s="100" t="s">
        <v>751</v>
      </c>
      <c r="J3" s="100" t="s">
        <v>202</v>
      </c>
      <c r="K3" s="100" t="s">
        <v>202</v>
      </c>
      <c r="L3" s="100" t="s">
        <v>322</v>
      </c>
      <c r="M3" s="100" t="s">
        <v>337</v>
      </c>
      <c r="N3" s="100" t="s">
        <v>446</v>
      </c>
      <c r="O3" s="100" t="s">
        <v>336</v>
      </c>
      <c r="P3" s="100" t="s">
        <v>1233</v>
      </c>
      <c r="Q3" s="100" t="s">
        <v>411</v>
      </c>
      <c r="R3" s="100" t="s">
        <v>404</v>
      </c>
      <c r="S3" s="100" t="s">
        <v>1234</v>
      </c>
      <c r="T3" s="103">
        <v>3.99</v>
      </c>
      <c r="U3" s="106">
        <v>47665</v>
      </c>
      <c r="V3" s="102">
        <v>2E-3</v>
      </c>
      <c r="W3" s="102">
        <v>2.2200000000000001E-2</v>
      </c>
      <c r="X3" s="100" t="s">
        <v>410</v>
      </c>
      <c r="Y3" s="100"/>
      <c r="Z3" s="103">
        <v>14626266</v>
      </c>
      <c r="AA3" s="103">
        <v>1</v>
      </c>
      <c r="AB3" s="103">
        <v>110.28</v>
      </c>
      <c r="AC3" s="103">
        <v>37.892870000000002</v>
      </c>
      <c r="AD3" s="103">
        <v>16167.739009999999</v>
      </c>
      <c r="AE3" s="101"/>
      <c r="AF3" s="101"/>
      <c r="AG3" s="100"/>
      <c r="AH3" s="102">
        <v>4.2290000000000001E-3</v>
      </c>
      <c r="AI3" s="102">
        <v>8.2765000000000005E-2</v>
      </c>
      <c r="AJ3" s="102">
        <v>9.4399999999999996E-4</v>
      </c>
    </row>
    <row r="4" spans="1:36" ht="13.5" customHeight="1">
      <c r="A4" s="100">
        <v>332</v>
      </c>
      <c r="B4" s="100">
        <v>332</v>
      </c>
      <c r="C4" s="100" t="s">
        <v>1278</v>
      </c>
      <c r="D4" s="100">
        <v>520018078</v>
      </c>
      <c r="E4" s="100" t="s">
        <v>308</v>
      </c>
      <c r="F4" s="100" t="s">
        <v>1279</v>
      </c>
      <c r="G4" s="100" t="s">
        <v>1280</v>
      </c>
      <c r="H4" s="100" t="s">
        <v>319</v>
      </c>
      <c r="I4" s="100" t="s">
        <v>751</v>
      </c>
      <c r="J4" s="100" t="s">
        <v>202</v>
      </c>
      <c r="K4" s="100" t="s">
        <v>202</v>
      </c>
      <c r="L4" s="100" t="s">
        <v>322</v>
      </c>
      <c r="M4" s="100" t="s">
        <v>337</v>
      </c>
      <c r="N4" s="100" t="s">
        <v>446</v>
      </c>
      <c r="O4" s="100" t="s">
        <v>336</v>
      </c>
      <c r="P4" s="100" t="s">
        <v>1233</v>
      </c>
      <c r="Q4" s="100" t="s">
        <v>411</v>
      </c>
      <c r="R4" s="100" t="s">
        <v>404</v>
      </c>
      <c r="S4" s="100" t="s">
        <v>1234</v>
      </c>
      <c r="T4" s="103">
        <v>3.73</v>
      </c>
      <c r="U4" s="106">
        <v>48913</v>
      </c>
      <c r="V4" s="102">
        <v>2.0199999999999999E-2</v>
      </c>
      <c r="W4" s="102">
        <v>2.2200000000000001E-2</v>
      </c>
      <c r="X4" s="100" t="s">
        <v>410</v>
      </c>
      <c r="Y4" s="100"/>
      <c r="Z4" s="103">
        <v>4875000</v>
      </c>
      <c r="AA4" s="103">
        <v>1</v>
      </c>
      <c r="AB4" s="103">
        <v>106.52</v>
      </c>
      <c r="AC4" s="103">
        <v>0</v>
      </c>
      <c r="AD4" s="103">
        <v>5192.8500000000004</v>
      </c>
      <c r="AE4" s="101"/>
      <c r="AF4" s="101"/>
      <c r="AG4" s="100"/>
      <c r="AH4" s="102">
        <v>9.68E-4</v>
      </c>
      <c r="AI4" s="102">
        <v>2.6582999999999999E-2</v>
      </c>
      <c r="AJ4" s="102">
        <v>3.0299999999999999E-4</v>
      </c>
    </row>
    <row r="5" spans="1:36" ht="13.5" customHeight="1">
      <c r="A5" s="100">
        <v>332</v>
      </c>
      <c r="B5" s="100">
        <v>332</v>
      </c>
      <c r="C5" s="100" t="s">
        <v>1278</v>
      </c>
      <c r="D5" s="100">
        <v>520018078</v>
      </c>
      <c r="E5" s="100" t="s">
        <v>308</v>
      </c>
      <c r="F5" s="100" t="s">
        <v>1281</v>
      </c>
      <c r="G5" s="100" t="s">
        <v>1282</v>
      </c>
      <c r="H5" s="100" t="s">
        <v>319</v>
      </c>
      <c r="I5" s="100" t="s">
        <v>751</v>
      </c>
      <c r="J5" s="100" t="s">
        <v>202</v>
      </c>
      <c r="K5" s="100" t="s">
        <v>202</v>
      </c>
      <c r="L5" s="100" t="s">
        <v>322</v>
      </c>
      <c r="M5" s="100" t="s">
        <v>337</v>
      </c>
      <c r="N5" s="100" t="s">
        <v>446</v>
      </c>
      <c r="O5" s="100" t="s">
        <v>336</v>
      </c>
      <c r="P5" s="100" t="s">
        <v>1233</v>
      </c>
      <c r="Q5" s="100" t="s">
        <v>411</v>
      </c>
      <c r="R5" s="100" t="s">
        <v>404</v>
      </c>
      <c r="S5" s="100" t="s">
        <v>1234</v>
      </c>
      <c r="T5" s="103">
        <v>1.4</v>
      </c>
      <c r="U5" s="106">
        <v>46716</v>
      </c>
      <c r="V5" s="102">
        <v>1E-3</v>
      </c>
      <c r="W5" s="102">
        <v>2.0799999999999999E-2</v>
      </c>
      <c r="X5" s="100" t="s">
        <v>410</v>
      </c>
      <c r="Y5" s="100"/>
      <c r="Z5" s="103">
        <v>3491740</v>
      </c>
      <c r="AA5" s="103">
        <v>1</v>
      </c>
      <c r="AB5" s="103">
        <v>113.31</v>
      </c>
      <c r="AC5" s="103">
        <v>0</v>
      </c>
      <c r="AD5" s="103">
        <v>3956.4905899999999</v>
      </c>
      <c r="AE5" s="101"/>
      <c r="AF5" s="101"/>
      <c r="AG5" s="100"/>
      <c r="AH5" s="102">
        <v>1.1119999999999999E-3</v>
      </c>
      <c r="AI5" s="102">
        <v>2.0254000000000001E-2</v>
      </c>
      <c r="AJ5" s="102">
        <v>2.31E-4</v>
      </c>
    </row>
    <row r="6" spans="1:36" ht="13.5" customHeight="1">
      <c r="A6" s="100">
        <v>332</v>
      </c>
      <c r="B6" s="100">
        <v>332</v>
      </c>
      <c r="C6" s="100" t="s">
        <v>1275</v>
      </c>
      <c r="D6" s="100">
        <v>520032046</v>
      </c>
      <c r="E6" s="100" t="s">
        <v>308</v>
      </c>
      <c r="F6" s="100" t="s">
        <v>1283</v>
      </c>
      <c r="G6" s="100" t="s">
        <v>1284</v>
      </c>
      <c r="H6" s="100" t="s">
        <v>319</v>
      </c>
      <c r="I6" s="100" t="s">
        <v>751</v>
      </c>
      <c r="J6" s="100" t="s">
        <v>202</v>
      </c>
      <c r="K6" s="100" t="s">
        <v>202</v>
      </c>
      <c r="L6" s="100" t="s">
        <v>322</v>
      </c>
      <c r="M6" s="100" t="s">
        <v>337</v>
      </c>
      <c r="N6" s="100" t="s">
        <v>446</v>
      </c>
      <c r="O6" s="100" t="s">
        <v>336</v>
      </c>
      <c r="P6" s="100" t="s">
        <v>1233</v>
      </c>
      <c r="Q6" s="100" t="s">
        <v>411</v>
      </c>
      <c r="R6" s="100" t="s">
        <v>404</v>
      </c>
      <c r="S6" s="100" t="s">
        <v>1234</v>
      </c>
      <c r="T6" s="103">
        <v>3.78</v>
      </c>
      <c r="U6" s="106">
        <v>48938</v>
      </c>
      <c r="V6" s="102">
        <v>1.9900000000000001E-2</v>
      </c>
      <c r="W6" s="102">
        <v>2.1899999999999999E-2</v>
      </c>
      <c r="X6" s="100" t="s">
        <v>410</v>
      </c>
      <c r="Y6" s="100"/>
      <c r="Z6" s="103">
        <v>14631689.779999999</v>
      </c>
      <c r="AA6" s="103">
        <v>1</v>
      </c>
      <c r="AB6" s="103">
        <v>107.39</v>
      </c>
      <c r="AC6" s="103">
        <v>0</v>
      </c>
      <c r="AD6" s="103">
        <v>15712.971649999999</v>
      </c>
      <c r="AE6" s="101"/>
      <c r="AF6" s="101"/>
      <c r="AG6" s="100"/>
      <c r="AH6" s="102">
        <v>6.7730000000000004E-3</v>
      </c>
      <c r="AI6" s="102">
        <v>8.0437999999999996E-2</v>
      </c>
      <c r="AJ6" s="102">
        <v>9.1699999999999995E-4</v>
      </c>
    </row>
    <row r="7" spans="1:36" ht="13.5" customHeight="1">
      <c r="A7" s="100">
        <v>332</v>
      </c>
      <c r="B7" s="100">
        <v>332</v>
      </c>
      <c r="C7" s="100" t="s">
        <v>1239</v>
      </c>
      <c r="D7" s="100">
        <v>520000118</v>
      </c>
      <c r="E7" s="100" t="s">
        <v>308</v>
      </c>
      <c r="F7" s="100" t="s">
        <v>1285</v>
      </c>
      <c r="G7" s="100" t="s">
        <v>1286</v>
      </c>
      <c r="H7" s="100" t="s">
        <v>319</v>
      </c>
      <c r="I7" s="100" t="s">
        <v>751</v>
      </c>
      <c r="J7" s="100" t="s">
        <v>202</v>
      </c>
      <c r="K7" s="100" t="s">
        <v>202</v>
      </c>
      <c r="L7" s="100" t="s">
        <v>322</v>
      </c>
      <c r="M7" s="100" t="s">
        <v>337</v>
      </c>
      <c r="N7" s="100" t="s">
        <v>446</v>
      </c>
      <c r="O7" s="100" t="s">
        <v>336</v>
      </c>
      <c r="P7" s="100" t="s">
        <v>1237</v>
      </c>
      <c r="Q7" s="100" t="s">
        <v>413</v>
      </c>
      <c r="R7" s="100" t="s">
        <v>404</v>
      </c>
      <c r="S7" s="100" t="s">
        <v>1234</v>
      </c>
      <c r="T7" s="103">
        <v>3.28</v>
      </c>
      <c r="U7" s="106">
        <v>48547</v>
      </c>
      <c r="V7" s="102">
        <v>1.3899999999999999E-2</v>
      </c>
      <c r="W7" s="102">
        <v>2.1700000000000001E-2</v>
      </c>
      <c r="X7" s="100" t="s">
        <v>410</v>
      </c>
      <c r="Y7" s="100"/>
      <c r="Z7" s="103">
        <v>998200</v>
      </c>
      <c r="AA7" s="103">
        <v>1</v>
      </c>
      <c r="AB7" s="103">
        <v>108.9</v>
      </c>
      <c r="AC7" s="103">
        <v>0</v>
      </c>
      <c r="AD7" s="103">
        <v>1087.0398</v>
      </c>
      <c r="AE7" s="101"/>
      <c r="AF7" s="101"/>
      <c r="AG7" s="100"/>
      <c r="AH7" s="102">
        <v>3.2200000000000002E-4</v>
      </c>
      <c r="AI7" s="102">
        <v>5.5640000000000004E-3</v>
      </c>
      <c r="AJ7" s="102">
        <v>6.3E-5</v>
      </c>
    </row>
    <row r="8" spans="1:36" ht="13.5" customHeight="1">
      <c r="A8" s="100">
        <v>332</v>
      </c>
      <c r="B8" s="100">
        <v>332</v>
      </c>
      <c r="C8" s="100" t="s">
        <v>1278</v>
      </c>
      <c r="D8" s="100">
        <v>520018078</v>
      </c>
      <c r="E8" s="100" t="s">
        <v>308</v>
      </c>
      <c r="F8" s="100" t="s">
        <v>1287</v>
      </c>
      <c r="G8" s="100" t="s">
        <v>1288</v>
      </c>
      <c r="H8" s="100" t="s">
        <v>319</v>
      </c>
      <c r="I8" s="100" t="s">
        <v>751</v>
      </c>
      <c r="J8" s="100" t="s">
        <v>202</v>
      </c>
      <c r="K8" s="100" t="s">
        <v>202</v>
      </c>
      <c r="L8" s="100" t="s">
        <v>322</v>
      </c>
      <c r="M8" s="100" t="s">
        <v>337</v>
      </c>
      <c r="N8" s="100" t="s">
        <v>446</v>
      </c>
      <c r="O8" s="100" t="s">
        <v>336</v>
      </c>
      <c r="P8" s="100" t="s">
        <v>1233</v>
      </c>
      <c r="Q8" s="100" t="s">
        <v>411</v>
      </c>
      <c r="R8" s="100" t="s">
        <v>404</v>
      </c>
      <c r="S8" s="100" t="s">
        <v>1234</v>
      </c>
      <c r="T8" s="103">
        <v>3.4</v>
      </c>
      <c r="U8" s="106">
        <v>47447</v>
      </c>
      <c r="V8" s="102">
        <v>1E-3</v>
      </c>
      <c r="W8" s="102">
        <v>2.1399999999999999E-2</v>
      </c>
      <c r="X8" s="100" t="s">
        <v>410</v>
      </c>
      <c r="Y8" s="100"/>
      <c r="Z8" s="103">
        <v>2427332</v>
      </c>
      <c r="AA8" s="103">
        <v>1</v>
      </c>
      <c r="AB8" s="103">
        <v>108.74</v>
      </c>
      <c r="AC8" s="103">
        <v>0</v>
      </c>
      <c r="AD8" s="103">
        <v>2639.4808200000002</v>
      </c>
      <c r="AE8" s="101"/>
      <c r="AF8" s="101"/>
      <c r="AG8" s="100"/>
      <c r="AH8" s="102">
        <v>5.6599999999999999E-4</v>
      </c>
      <c r="AI8" s="102">
        <v>1.3512E-2</v>
      </c>
      <c r="AJ8" s="102">
        <v>1.54E-4</v>
      </c>
    </row>
    <row r="9" spans="1:36" ht="13.5" customHeight="1">
      <c r="A9" s="100">
        <v>332</v>
      </c>
      <c r="B9" s="100">
        <v>332</v>
      </c>
      <c r="C9" s="100" t="s">
        <v>1239</v>
      </c>
      <c r="D9" s="100">
        <v>520000118</v>
      </c>
      <c r="E9" s="100" t="s">
        <v>308</v>
      </c>
      <c r="F9" s="100" t="s">
        <v>1289</v>
      </c>
      <c r="G9" s="100" t="s">
        <v>1290</v>
      </c>
      <c r="H9" s="100" t="s">
        <v>319</v>
      </c>
      <c r="I9" s="100" t="s">
        <v>751</v>
      </c>
      <c r="J9" s="100" t="s">
        <v>202</v>
      </c>
      <c r="K9" s="100" t="s">
        <v>202</v>
      </c>
      <c r="L9" s="100" t="s">
        <v>322</v>
      </c>
      <c r="M9" s="100" t="s">
        <v>337</v>
      </c>
      <c r="N9" s="100" t="s">
        <v>446</v>
      </c>
      <c r="O9" s="100" t="s">
        <v>336</v>
      </c>
      <c r="P9" s="100" t="s">
        <v>1237</v>
      </c>
      <c r="Q9" s="100" t="s">
        <v>413</v>
      </c>
      <c r="R9" s="100" t="s">
        <v>404</v>
      </c>
      <c r="S9" s="100" t="s">
        <v>1234</v>
      </c>
      <c r="T9" s="103">
        <v>2.88</v>
      </c>
      <c r="U9" s="106">
        <v>48191</v>
      </c>
      <c r="V9" s="102">
        <v>1E-3</v>
      </c>
      <c r="W9" s="102">
        <v>2.1100000000000001E-2</v>
      </c>
      <c r="X9" s="100" t="s">
        <v>410</v>
      </c>
      <c r="Y9" s="100"/>
      <c r="Z9" s="103">
        <v>9410362.1099999994</v>
      </c>
      <c r="AA9" s="103">
        <v>1</v>
      </c>
      <c r="AB9" s="103">
        <v>109.94</v>
      </c>
      <c r="AC9" s="103">
        <v>0</v>
      </c>
      <c r="AD9" s="103">
        <v>10345.7521</v>
      </c>
      <c r="AE9" s="101"/>
      <c r="AF9" s="101"/>
      <c r="AG9" s="100"/>
      <c r="AH9" s="102">
        <v>1.1155E-2</v>
      </c>
      <c r="AI9" s="102">
        <v>5.2962000000000002E-2</v>
      </c>
      <c r="AJ9" s="102">
        <v>6.0400000000000004E-4</v>
      </c>
    </row>
    <row r="10" spans="1:36" ht="13.5" customHeight="1">
      <c r="A10" s="100">
        <v>332</v>
      </c>
      <c r="B10" s="100">
        <v>332</v>
      </c>
      <c r="C10" s="100" t="s">
        <v>1291</v>
      </c>
      <c r="D10" s="100">
        <v>513893123</v>
      </c>
      <c r="E10" s="100" t="s">
        <v>308</v>
      </c>
      <c r="F10" s="100" t="s">
        <v>1292</v>
      </c>
      <c r="G10" s="100" t="s">
        <v>1293</v>
      </c>
      <c r="H10" s="100" t="s">
        <v>319</v>
      </c>
      <c r="I10" s="100" t="s">
        <v>751</v>
      </c>
      <c r="J10" s="100" t="s">
        <v>202</v>
      </c>
      <c r="K10" s="100" t="s">
        <v>202</v>
      </c>
      <c r="L10" s="100" t="s">
        <v>322</v>
      </c>
      <c r="M10" s="100" t="s">
        <v>337</v>
      </c>
      <c r="N10" s="100" t="s">
        <v>441</v>
      </c>
      <c r="O10" s="100" t="s">
        <v>336</v>
      </c>
      <c r="P10" s="100" t="s">
        <v>1294</v>
      </c>
      <c r="Q10" s="100" t="s">
        <v>413</v>
      </c>
      <c r="R10" s="100" t="s">
        <v>404</v>
      </c>
      <c r="S10" s="100" t="s">
        <v>1234</v>
      </c>
      <c r="T10" s="103">
        <v>0.49</v>
      </c>
      <c r="U10" s="106">
        <v>46477</v>
      </c>
      <c r="V10" s="102">
        <v>3.5400000000000001E-2</v>
      </c>
      <c r="W10" s="102">
        <v>3.6799999999999999E-2</v>
      </c>
      <c r="X10" s="100" t="s">
        <v>410</v>
      </c>
      <c r="Y10" s="100"/>
      <c r="Z10" s="103">
        <v>1592003</v>
      </c>
      <c r="AA10" s="103">
        <v>1</v>
      </c>
      <c r="AB10" s="103">
        <v>111.7</v>
      </c>
      <c r="AC10" s="103">
        <v>0</v>
      </c>
      <c r="AD10" s="103">
        <v>1778.2673500000001</v>
      </c>
      <c r="AE10" s="101"/>
      <c r="AF10" s="101"/>
      <c r="AG10" s="100"/>
      <c r="AH10" s="102">
        <v>2.8500000000000001E-3</v>
      </c>
      <c r="AI10" s="102">
        <v>9.103E-3</v>
      </c>
      <c r="AJ10" s="102">
        <v>1.03E-4</v>
      </c>
    </row>
    <row r="11" spans="1:36" ht="13.5" customHeight="1">
      <c r="A11" s="100">
        <v>332</v>
      </c>
      <c r="B11" s="100">
        <v>332</v>
      </c>
      <c r="C11" s="100" t="s">
        <v>1295</v>
      </c>
      <c r="D11" s="100">
        <v>510960719</v>
      </c>
      <c r="E11" s="100" t="s">
        <v>308</v>
      </c>
      <c r="F11" s="100" t="s">
        <v>1296</v>
      </c>
      <c r="G11" s="100" t="s">
        <v>1297</v>
      </c>
      <c r="H11" s="100" t="s">
        <v>319</v>
      </c>
      <c r="I11" s="100" t="s">
        <v>751</v>
      </c>
      <c r="J11" s="100" t="s">
        <v>202</v>
      </c>
      <c r="K11" s="100" t="s">
        <v>202</v>
      </c>
      <c r="L11" s="100" t="s">
        <v>322</v>
      </c>
      <c r="M11" s="100" t="s">
        <v>337</v>
      </c>
      <c r="N11" s="100" t="s">
        <v>462</v>
      </c>
      <c r="O11" s="100" t="s">
        <v>336</v>
      </c>
      <c r="P11" s="100" t="s">
        <v>1298</v>
      </c>
      <c r="Q11" s="100" t="s">
        <v>411</v>
      </c>
      <c r="R11" s="100" t="s">
        <v>404</v>
      </c>
      <c r="S11" s="100" t="s">
        <v>1234</v>
      </c>
      <c r="T11" s="103">
        <v>15.34</v>
      </c>
      <c r="U11" s="106">
        <v>55334</v>
      </c>
      <c r="V11" s="102">
        <v>3.0200000000000001E-2</v>
      </c>
      <c r="W11" s="102">
        <v>3.0700000000000002E-2</v>
      </c>
      <c r="X11" s="100" t="s">
        <v>410</v>
      </c>
      <c r="Y11" s="100"/>
      <c r="Z11" s="103">
        <v>2370000</v>
      </c>
      <c r="AA11" s="103">
        <v>1</v>
      </c>
      <c r="AB11" s="103">
        <v>99.75</v>
      </c>
      <c r="AC11" s="103">
        <v>0</v>
      </c>
      <c r="AD11" s="103">
        <v>2364.0749999999998</v>
      </c>
      <c r="AE11" s="101"/>
      <c r="AF11" s="101"/>
      <c r="AG11" s="100"/>
      <c r="AH11" s="102">
        <v>1.126E-3</v>
      </c>
      <c r="AI11" s="102">
        <v>1.2102E-2</v>
      </c>
      <c r="AJ11" s="102">
        <v>1.3799999999999999E-4</v>
      </c>
    </row>
    <row r="12" spans="1:36" ht="13.5" customHeight="1">
      <c r="A12" s="100">
        <v>332</v>
      </c>
      <c r="B12" s="100">
        <v>332</v>
      </c>
      <c r="C12" s="100" t="s">
        <v>1299</v>
      </c>
      <c r="D12" s="100">
        <v>520010869</v>
      </c>
      <c r="E12" s="100" t="s">
        <v>308</v>
      </c>
      <c r="F12" s="100" t="s">
        <v>1300</v>
      </c>
      <c r="G12" s="100" t="s">
        <v>1301</v>
      </c>
      <c r="H12" s="100" t="s">
        <v>319</v>
      </c>
      <c r="I12" s="100" t="s">
        <v>751</v>
      </c>
      <c r="J12" s="100" t="s">
        <v>202</v>
      </c>
      <c r="K12" s="100" t="s">
        <v>202</v>
      </c>
      <c r="L12" s="100" t="s">
        <v>322</v>
      </c>
      <c r="M12" s="100" t="s">
        <v>337</v>
      </c>
      <c r="N12" s="100" t="s">
        <v>475</v>
      </c>
      <c r="O12" s="100" t="s">
        <v>336</v>
      </c>
      <c r="P12" s="100" t="s">
        <v>1233</v>
      </c>
      <c r="Q12" s="100" t="s">
        <v>411</v>
      </c>
      <c r="R12" s="100" t="s">
        <v>404</v>
      </c>
      <c r="S12" s="100" t="s">
        <v>1234</v>
      </c>
      <c r="T12" s="103">
        <v>11.44</v>
      </c>
      <c r="U12" s="106">
        <v>56249</v>
      </c>
      <c r="V12" s="102">
        <v>2.07E-2</v>
      </c>
      <c r="W12" s="102">
        <v>2.7400000000000001E-2</v>
      </c>
      <c r="X12" s="100" t="s">
        <v>410</v>
      </c>
      <c r="Y12" s="100"/>
      <c r="Z12" s="103">
        <v>58436599.640000001</v>
      </c>
      <c r="AA12" s="103">
        <v>1</v>
      </c>
      <c r="AB12" s="103">
        <v>109.08</v>
      </c>
      <c r="AC12" s="103">
        <v>0</v>
      </c>
      <c r="AD12" s="103">
        <v>63742.642890000003</v>
      </c>
      <c r="AE12" s="101"/>
      <c r="AF12" s="101"/>
      <c r="AG12" s="100"/>
      <c r="AH12" s="102">
        <v>7.1450000000000003E-3</v>
      </c>
      <c r="AI12" s="102">
        <v>0.32631199999999999</v>
      </c>
      <c r="AJ12" s="102">
        <v>3.7230000000000002E-3</v>
      </c>
    </row>
    <row r="13" spans="1:36" ht="13.5" customHeight="1">
      <c r="A13" s="100">
        <v>332</v>
      </c>
      <c r="B13" s="100">
        <v>332</v>
      </c>
      <c r="C13" s="100" t="s">
        <v>1275</v>
      </c>
      <c r="D13" s="100">
        <v>520032046</v>
      </c>
      <c r="E13" s="100" t="s">
        <v>308</v>
      </c>
      <c r="F13" s="100" t="s">
        <v>1302</v>
      </c>
      <c r="G13" s="100" t="s">
        <v>1303</v>
      </c>
      <c r="H13" s="100" t="s">
        <v>319</v>
      </c>
      <c r="I13" s="100" t="s">
        <v>751</v>
      </c>
      <c r="J13" s="100" t="s">
        <v>202</v>
      </c>
      <c r="K13" s="100" t="s">
        <v>202</v>
      </c>
      <c r="L13" s="100" t="s">
        <v>322</v>
      </c>
      <c r="M13" s="100" t="s">
        <v>337</v>
      </c>
      <c r="N13" s="100" t="s">
        <v>446</v>
      </c>
      <c r="O13" s="100" t="s">
        <v>336</v>
      </c>
      <c r="P13" s="100" t="s">
        <v>1233</v>
      </c>
      <c r="Q13" s="100" t="s">
        <v>411</v>
      </c>
      <c r="R13" s="100" t="s">
        <v>404</v>
      </c>
      <c r="S13" s="100" t="s">
        <v>1234</v>
      </c>
      <c r="T13" s="103">
        <v>2.74</v>
      </c>
      <c r="U13" s="106">
        <v>47950</v>
      </c>
      <c r="V13" s="102">
        <v>1E-3</v>
      </c>
      <c r="W13" s="102">
        <v>2.1399999999999999E-2</v>
      </c>
      <c r="X13" s="100" t="s">
        <v>410</v>
      </c>
      <c r="Y13" s="100"/>
      <c r="Z13" s="103">
        <v>1209132.42</v>
      </c>
      <c r="AA13" s="103">
        <v>1</v>
      </c>
      <c r="AB13" s="103">
        <v>108.95</v>
      </c>
      <c r="AC13" s="103">
        <v>0</v>
      </c>
      <c r="AD13" s="103">
        <v>1317.34977</v>
      </c>
      <c r="AE13" s="101"/>
      <c r="AF13" s="101"/>
      <c r="AG13" s="100"/>
      <c r="AH13" s="102">
        <v>6.4999999999999997E-4</v>
      </c>
      <c r="AI13" s="102">
        <v>6.7429999999999999E-3</v>
      </c>
      <c r="AJ13" s="102">
        <v>7.6000000000000004E-5</v>
      </c>
    </row>
    <row r="14" spans="1:36" ht="13.5" customHeight="1">
      <c r="A14" s="100">
        <v>332</v>
      </c>
      <c r="B14" s="100">
        <v>332</v>
      </c>
      <c r="C14" s="100" t="s">
        <v>1275</v>
      </c>
      <c r="D14" s="100">
        <v>520032046</v>
      </c>
      <c r="E14" s="100" t="s">
        <v>308</v>
      </c>
      <c r="F14" s="100" t="s">
        <v>1304</v>
      </c>
      <c r="G14" s="100" t="s">
        <v>1305</v>
      </c>
      <c r="H14" s="100" t="s">
        <v>319</v>
      </c>
      <c r="I14" s="100" t="s">
        <v>751</v>
      </c>
      <c r="J14" s="100" t="s">
        <v>202</v>
      </c>
      <c r="K14" s="100" t="s">
        <v>202</v>
      </c>
      <c r="L14" s="100" t="s">
        <v>322</v>
      </c>
      <c r="M14" s="100" t="s">
        <v>337</v>
      </c>
      <c r="N14" s="100" t="s">
        <v>446</v>
      </c>
      <c r="O14" s="100" t="s">
        <v>336</v>
      </c>
      <c r="P14" s="100" t="s">
        <v>1233</v>
      </c>
      <c r="Q14" s="100" t="s">
        <v>411</v>
      </c>
      <c r="R14" s="100" t="s">
        <v>404</v>
      </c>
      <c r="S14" s="100" t="s">
        <v>1234</v>
      </c>
      <c r="T14" s="103">
        <v>2.31</v>
      </c>
      <c r="U14" s="106">
        <v>47048</v>
      </c>
      <c r="V14" s="102">
        <v>1E-3</v>
      </c>
      <c r="W14" s="102">
        <v>2.1399999999999999E-2</v>
      </c>
      <c r="X14" s="100" t="s">
        <v>410</v>
      </c>
      <c r="Y14" s="100"/>
      <c r="Z14" s="103">
        <v>2948804</v>
      </c>
      <c r="AA14" s="103">
        <v>1</v>
      </c>
      <c r="AB14" s="103">
        <v>111.29</v>
      </c>
      <c r="AC14" s="103">
        <v>0</v>
      </c>
      <c r="AD14" s="103">
        <v>3281.72397</v>
      </c>
      <c r="AE14" s="101"/>
      <c r="AF14" s="101"/>
      <c r="AG14" s="100"/>
      <c r="AH14" s="102">
        <v>8.7299999999999997E-4</v>
      </c>
      <c r="AI14" s="102">
        <v>1.6799000000000001E-2</v>
      </c>
      <c r="AJ14" s="102">
        <v>1.9100000000000001E-4</v>
      </c>
    </row>
    <row r="15" spans="1:36" ht="13.5" customHeight="1">
      <c r="A15" s="100">
        <v>332</v>
      </c>
      <c r="B15" s="100">
        <v>332</v>
      </c>
      <c r="C15" s="100" t="s">
        <v>1306</v>
      </c>
      <c r="D15" s="100">
        <v>520000472</v>
      </c>
      <c r="E15" s="100" t="s">
        <v>308</v>
      </c>
      <c r="F15" s="100" t="s">
        <v>1307</v>
      </c>
      <c r="G15" s="100" t="s">
        <v>1308</v>
      </c>
      <c r="H15" s="100" t="s">
        <v>319</v>
      </c>
      <c r="I15" s="100" t="s">
        <v>751</v>
      </c>
      <c r="J15" s="100" t="s">
        <v>202</v>
      </c>
      <c r="K15" s="100" t="s">
        <v>202</v>
      </c>
      <c r="L15" s="100" t="s">
        <v>322</v>
      </c>
      <c r="M15" s="100" t="s">
        <v>337</v>
      </c>
      <c r="N15" s="100" t="s">
        <v>438</v>
      </c>
      <c r="O15" s="100" t="s">
        <v>336</v>
      </c>
      <c r="P15" s="100" t="s">
        <v>1233</v>
      </c>
      <c r="Q15" s="100" t="s">
        <v>411</v>
      </c>
      <c r="R15" s="100" t="s">
        <v>404</v>
      </c>
      <c r="S15" s="100" t="s">
        <v>1234</v>
      </c>
      <c r="T15" s="103">
        <v>1.88</v>
      </c>
      <c r="U15" s="106">
        <v>47220</v>
      </c>
      <c r="V15" s="102">
        <v>3.85E-2</v>
      </c>
      <c r="W15" s="102">
        <v>2.24E-2</v>
      </c>
      <c r="X15" s="100" t="s">
        <v>410</v>
      </c>
      <c r="Y15" s="100"/>
      <c r="Z15" s="103">
        <v>5613150.3200000003</v>
      </c>
      <c r="AA15" s="103">
        <v>1</v>
      </c>
      <c r="AB15" s="103">
        <v>124.83</v>
      </c>
      <c r="AC15" s="103">
        <v>0</v>
      </c>
      <c r="AD15" s="103">
        <v>7006.8955400000004</v>
      </c>
      <c r="AE15" s="101"/>
      <c r="AF15" s="101"/>
      <c r="AG15" s="100"/>
      <c r="AH15" s="102">
        <v>2.245E-3</v>
      </c>
      <c r="AI15" s="102">
        <v>3.5868999999999998E-2</v>
      </c>
      <c r="AJ15" s="102">
        <v>4.0900000000000002E-4</v>
      </c>
    </row>
    <row r="16" spans="1:36" ht="13.5" customHeight="1">
      <c r="A16" s="100">
        <v>332</v>
      </c>
      <c r="B16" s="100">
        <v>332</v>
      </c>
      <c r="C16" s="100" t="s">
        <v>1306</v>
      </c>
      <c r="D16" s="100">
        <v>520000472</v>
      </c>
      <c r="E16" s="100" t="s">
        <v>308</v>
      </c>
      <c r="F16" s="100" t="s">
        <v>1309</v>
      </c>
      <c r="G16" s="100" t="s">
        <v>1310</v>
      </c>
      <c r="H16" s="100" t="s">
        <v>319</v>
      </c>
      <c r="I16" s="100" t="s">
        <v>751</v>
      </c>
      <c r="J16" s="100" t="s">
        <v>202</v>
      </c>
      <c r="K16" s="100" t="s">
        <v>202</v>
      </c>
      <c r="L16" s="100" t="s">
        <v>322</v>
      </c>
      <c r="M16" s="100" t="s">
        <v>337</v>
      </c>
      <c r="N16" s="100" t="s">
        <v>438</v>
      </c>
      <c r="O16" s="100" t="s">
        <v>336</v>
      </c>
      <c r="P16" s="100" t="s">
        <v>1233</v>
      </c>
      <c r="Q16" s="100" t="s">
        <v>411</v>
      </c>
      <c r="R16" s="100" t="s">
        <v>404</v>
      </c>
      <c r="S16" s="100" t="s">
        <v>1234</v>
      </c>
      <c r="T16" s="103">
        <v>9.34</v>
      </c>
      <c r="U16" s="106">
        <v>49825</v>
      </c>
      <c r="V16" s="102">
        <v>1.2500000000000001E-2</v>
      </c>
      <c r="W16" s="102">
        <v>2.52E-2</v>
      </c>
      <c r="X16" s="100" t="s">
        <v>410</v>
      </c>
      <c r="Y16" s="100"/>
      <c r="Z16" s="103">
        <v>4957600</v>
      </c>
      <c r="AA16" s="103">
        <v>1</v>
      </c>
      <c r="AB16" s="103">
        <v>104.72</v>
      </c>
      <c r="AC16" s="103">
        <v>0</v>
      </c>
      <c r="AD16" s="103">
        <v>5191.59872</v>
      </c>
      <c r="AE16" s="101"/>
      <c r="AF16" s="101"/>
      <c r="AG16" s="100"/>
      <c r="AH16" s="102">
        <v>1.155E-3</v>
      </c>
      <c r="AI16" s="102">
        <v>2.6575999999999999E-2</v>
      </c>
      <c r="AJ16" s="102">
        <v>3.0299999999999999E-4</v>
      </c>
    </row>
    <row r="17" spans="1:36" ht="13.5" customHeight="1">
      <c r="A17" s="100">
        <v>332</v>
      </c>
      <c r="B17" s="100">
        <v>332</v>
      </c>
      <c r="C17" s="100" t="s">
        <v>1275</v>
      </c>
      <c r="D17" s="100">
        <v>520032046</v>
      </c>
      <c r="E17" s="100" t="s">
        <v>308</v>
      </c>
      <c r="F17" s="100" t="s">
        <v>1311</v>
      </c>
      <c r="G17" s="100" t="s">
        <v>1312</v>
      </c>
      <c r="H17" s="100" t="s">
        <v>319</v>
      </c>
      <c r="I17" s="100" t="s">
        <v>751</v>
      </c>
      <c r="J17" s="100" t="s">
        <v>202</v>
      </c>
      <c r="K17" s="100" t="s">
        <v>202</v>
      </c>
      <c r="L17" s="100" t="s">
        <v>322</v>
      </c>
      <c r="M17" s="100" t="s">
        <v>337</v>
      </c>
      <c r="N17" s="100" t="s">
        <v>446</v>
      </c>
      <c r="O17" s="100" t="s">
        <v>336</v>
      </c>
      <c r="P17" s="100" t="s">
        <v>1233</v>
      </c>
      <c r="Q17" s="100" t="s">
        <v>411</v>
      </c>
      <c r="R17" s="100" t="s">
        <v>404</v>
      </c>
      <c r="S17" s="100" t="s">
        <v>1234</v>
      </c>
      <c r="T17" s="103">
        <v>1.23</v>
      </c>
      <c r="U17" s="106">
        <v>46658</v>
      </c>
      <c r="V17" s="102">
        <v>1.2200000000000001E-2</v>
      </c>
      <c r="W17" s="102">
        <v>2.1899999999999999E-2</v>
      </c>
      <c r="X17" s="100" t="s">
        <v>410</v>
      </c>
      <c r="Y17" s="100"/>
      <c r="Z17" s="103">
        <v>346996</v>
      </c>
      <c r="AA17" s="103">
        <v>1</v>
      </c>
      <c r="AB17" s="103">
        <v>120.2</v>
      </c>
      <c r="AC17" s="103">
        <v>0</v>
      </c>
      <c r="AD17" s="103">
        <v>417.08918999999997</v>
      </c>
      <c r="AE17" s="101"/>
      <c r="AF17" s="101"/>
      <c r="AG17" s="100"/>
      <c r="AH17" s="102">
        <v>1.15E-4</v>
      </c>
      <c r="AI17" s="102">
        <v>2.1350000000000002E-3</v>
      </c>
      <c r="AJ17" s="102">
        <v>2.4000000000000001E-5</v>
      </c>
    </row>
    <row r="18" spans="1:36" ht="13.5" customHeight="1">
      <c r="A18" s="100">
        <v>332</v>
      </c>
      <c r="B18" s="100">
        <v>332</v>
      </c>
      <c r="C18" s="100" t="s">
        <v>1275</v>
      </c>
      <c r="D18" s="100">
        <v>520032046</v>
      </c>
      <c r="E18" s="100" t="s">
        <v>308</v>
      </c>
      <c r="F18" s="100" t="s">
        <v>1313</v>
      </c>
      <c r="G18" s="100" t="s">
        <v>1314</v>
      </c>
      <c r="H18" s="100" t="s">
        <v>319</v>
      </c>
      <c r="I18" s="100" t="s">
        <v>751</v>
      </c>
      <c r="J18" s="100" t="s">
        <v>202</v>
      </c>
      <c r="K18" s="100" t="s">
        <v>202</v>
      </c>
      <c r="L18" s="100" t="s">
        <v>322</v>
      </c>
      <c r="M18" s="100" t="s">
        <v>337</v>
      </c>
      <c r="N18" s="100" t="s">
        <v>446</v>
      </c>
      <c r="O18" s="100" t="s">
        <v>336</v>
      </c>
      <c r="P18" s="100" t="s">
        <v>1233</v>
      </c>
      <c r="Q18" s="100" t="s">
        <v>411</v>
      </c>
      <c r="R18" s="100" t="s">
        <v>404</v>
      </c>
      <c r="S18" s="100" t="s">
        <v>1234</v>
      </c>
      <c r="T18" s="103">
        <v>2.83</v>
      </c>
      <c r="U18" s="106">
        <v>48190</v>
      </c>
      <c r="V18" s="102">
        <v>1.6400000000000001E-2</v>
      </c>
      <c r="W18" s="102">
        <v>2.0899999999999998E-2</v>
      </c>
      <c r="X18" s="100" t="s">
        <v>410</v>
      </c>
      <c r="Y18" s="100"/>
      <c r="Z18" s="103">
        <v>3504175.2</v>
      </c>
      <c r="AA18" s="103">
        <v>1</v>
      </c>
      <c r="AB18" s="103">
        <v>110.39</v>
      </c>
      <c r="AC18" s="103">
        <v>0</v>
      </c>
      <c r="AD18" s="103">
        <v>3868.259</v>
      </c>
      <c r="AE18" s="101"/>
      <c r="AF18" s="101"/>
      <c r="AG18" s="100"/>
      <c r="AH18" s="102">
        <v>4.3429999999999996E-3</v>
      </c>
      <c r="AI18" s="102">
        <v>1.9802E-2</v>
      </c>
      <c r="AJ18" s="102">
        <v>2.2499999999999999E-4</v>
      </c>
    </row>
    <row r="19" spans="1:36" ht="13.5" customHeight="1">
      <c r="A19" s="100">
        <v>332</v>
      </c>
      <c r="B19" s="100">
        <v>332</v>
      </c>
      <c r="C19" s="100" t="s">
        <v>1239</v>
      </c>
      <c r="D19" s="100">
        <v>520000118</v>
      </c>
      <c r="E19" s="100" t="s">
        <v>308</v>
      </c>
      <c r="F19" s="100" t="s">
        <v>1315</v>
      </c>
      <c r="G19" s="100" t="s">
        <v>1316</v>
      </c>
      <c r="H19" s="100" t="s">
        <v>319</v>
      </c>
      <c r="I19" s="100" t="s">
        <v>751</v>
      </c>
      <c r="J19" s="100" t="s">
        <v>202</v>
      </c>
      <c r="K19" s="100" t="s">
        <v>202</v>
      </c>
      <c r="L19" s="100" t="s">
        <v>322</v>
      </c>
      <c r="M19" s="100" t="s">
        <v>337</v>
      </c>
      <c r="N19" s="100" t="s">
        <v>446</v>
      </c>
      <c r="O19" s="100" t="s">
        <v>336</v>
      </c>
      <c r="P19" s="100" t="s">
        <v>1317</v>
      </c>
      <c r="Q19" s="100" t="s">
        <v>411</v>
      </c>
      <c r="R19" s="100" t="s">
        <v>404</v>
      </c>
      <c r="S19" s="100" t="s">
        <v>1234</v>
      </c>
      <c r="T19" s="103">
        <v>2.33</v>
      </c>
      <c r="U19" s="106">
        <v>47086</v>
      </c>
      <c r="V19" s="102">
        <v>3.09E-2</v>
      </c>
      <c r="W19" s="102">
        <v>2.3800000000000002E-2</v>
      </c>
      <c r="X19" s="100" t="s">
        <v>410</v>
      </c>
      <c r="Y19" s="100"/>
      <c r="Z19" s="103">
        <v>2350000</v>
      </c>
      <c r="AA19" s="103">
        <v>1</v>
      </c>
      <c r="AB19" s="103">
        <v>114.59</v>
      </c>
      <c r="AC19" s="103">
        <v>0</v>
      </c>
      <c r="AD19" s="103">
        <v>2692.8649999999998</v>
      </c>
      <c r="AE19" s="101"/>
      <c r="AF19" s="101"/>
      <c r="AG19" s="100"/>
      <c r="AH19" s="102">
        <v>2.4729999999999999E-3</v>
      </c>
      <c r="AI19" s="102">
        <v>1.3785E-2</v>
      </c>
      <c r="AJ19" s="102">
        <v>1.5699999999999999E-4</v>
      </c>
    </row>
    <row r="20" spans="1:36" ht="13.5" customHeight="1">
      <c r="A20" s="100">
        <v>332</v>
      </c>
      <c r="B20" s="100">
        <v>332</v>
      </c>
      <c r="C20" s="100" t="s">
        <v>1318</v>
      </c>
      <c r="D20" s="100">
        <v>520029935</v>
      </c>
      <c r="E20" s="100" t="s">
        <v>308</v>
      </c>
      <c r="F20" s="100" t="s">
        <v>1319</v>
      </c>
      <c r="G20" s="100" t="s">
        <v>1320</v>
      </c>
      <c r="H20" s="100" t="s">
        <v>319</v>
      </c>
      <c r="I20" s="100" t="s">
        <v>751</v>
      </c>
      <c r="J20" s="100" t="s">
        <v>202</v>
      </c>
      <c r="K20" s="100" t="s">
        <v>202</v>
      </c>
      <c r="L20" s="100" t="s">
        <v>322</v>
      </c>
      <c r="M20" s="100" t="s">
        <v>337</v>
      </c>
      <c r="N20" s="100" t="s">
        <v>446</v>
      </c>
      <c r="O20" s="100" t="s">
        <v>336</v>
      </c>
      <c r="P20" s="100" t="s">
        <v>1233</v>
      </c>
      <c r="Q20" s="100" t="s">
        <v>411</v>
      </c>
      <c r="R20" s="100" t="s">
        <v>404</v>
      </c>
      <c r="S20" s="100" t="s">
        <v>1234</v>
      </c>
      <c r="T20" s="103">
        <v>3.05</v>
      </c>
      <c r="U20" s="106">
        <v>48441</v>
      </c>
      <c r="V20" s="102">
        <v>2E-3</v>
      </c>
      <c r="W20" s="102">
        <v>2.1499999999999998E-2</v>
      </c>
      <c r="X20" s="100" t="s">
        <v>410</v>
      </c>
      <c r="Y20" s="100"/>
      <c r="Z20" s="103">
        <v>5167591.01</v>
      </c>
      <c r="AA20" s="103">
        <v>1</v>
      </c>
      <c r="AB20" s="103">
        <v>109.76</v>
      </c>
      <c r="AC20" s="103">
        <v>0</v>
      </c>
      <c r="AD20" s="103">
        <v>5671.9478900000004</v>
      </c>
      <c r="AE20" s="101"/>
      <c r="AF20" s="101"/>
      <c r="AG20" s="100"/>
      <c r="AH20" s="102">
        <v>1.7489999999999999E-3</v>
      </c>
      <c r="AI20" s="102">
        <v>2.9034999999999998E-2</v>
      </c>
      <c r="AJ20" s="102">
        <v>3.3100000000000002E-4</v>
      </c>
    </row>
    <row r="21" spans="1:36" ht="13.5" customHeight="1">
      <c r="A21" s="100">
        <v>332</v>
      </c>
      <c r="B21" s="100">
        <v>332</v>
      </c>
      <c r="C21" s="100" t="s">
        <v>1306</v>
      </c>
      <c r="D21" s="100">
        <v>520000472</v>
      </c>
      <c r="E21" s="100" t="s">
        <v>308</v>
      </c>
      <c r="F21" s="100" t="s">
        <v>1321</v>
      </c>
      <c r="G21" s="100" t="s">
        <v>1322</v>
      </c>
      <c r="H21" s="100" t="s">
        <v>319</v>
      </c>
      <c r="I21" s="100" t="s">
        <v>751</v>
      </c>
      <c r="J21" s="100" t="s">
        <v>202</v>
      </c>
      <c r="K21" s="100" t="s">
        <v>202</v>
      </c>
      <c r="L21" s="100" t="s">
        <v>322</v>
      </c>
      <c r="M21" s="100" t="s">
        <v>337</v>
      </c>
      <c r="N21" s="100" t="s">
        <v>438</v>
      </c>
      <c r="O21" s="100" t="s">
        <v>336</v>
      </c>
      <c r="P21" s="100" t="s">
        <v>1233</v>
      </c>
      <c r="Q21" s="100" t="s">
        <v>411</v>
      </c>
      <c r="R21" s="100" t="s">
        <v>404</v>
      </c>
      <c r="S21" s="100" t="s">
        <v>1234</v>
      </c>
      <c r="T21" s="103">
        <v>4.24</v>
      </c>
      <c r="U21" s="106">
        <v>48112</v>
      </c>
      <c r="V21" s="102">
        <v>2.3900000000000001E-2</v>
      </c>
      <c r="W21" s="102">
        <v>2.23E-2</v>
      </c>
      <c r="X21" s="100" t="s">
        <v>410</v>
      </c>
      <c r="Y21" s="100"/>
      <c r="Z21" s="103">
        <v>19795500</v>
      </c>
      <c r="AA21" s="103">
        <v>1</v>
      </c>
      <c r="AB21" s="103">
        <v>120.6</v>
      </c>
      <c r="AC21" s="103">
        <v>0</v>
      </c>
      <c r="AD21" s="103">
        <v>23873.373</v>
      </c>
      <c r="AE21" s="101"/>
      <c r="AF21" s="101"/>
      <c r="AG21" s="100"/>
      <c r="AH21" s="102">
        <v>5.0889999999999998E-3</v>
      </c>
      <c r="AI21" s="102">
        <v>0.122212</v>
      </c>
      <c r="AJ21" s="102">
        <v>1.3940000000000001E-3</v>
      </c>
    </row>
    <row r="22" spans="1:36" ht="13.5" customHeight="1">
      <c r="A22" s="100">
        <v>332</v>
      </c>
      <c r="B22" s="100">
        <v>332</v>
      </c>
      <c r="C22" s="100" t="s">
        <v>1291</v>
      </c>
      <c r="D22" s="100">
        <v>513893123</v>
      </c>
      <c r="E22" s="100" t="s">
        <v>308</v>
      </c>
      <c r="F22" s="100" t="s">
        <v>1323</v>
      </c>
      <c r="G22" s="100" t="s">
        <v>1324</v>
      </c>
      <c r="H22" s="100" t="s">
        <v>319</v>
      </c>
      <c r="I22" s="100" t="s">
        <v>751</v>
      </c>
      <c r="J22" s="100" t="s">
        <v>202</v>
      </c>
      <c r="K22" s="100" t="s">
        <v>202</v>
      </c>
      <c r="L22" s="100" t="s">
        <v>322</v>
      </c>
      <c r="M22" s="100" t="s">
        <v>337</v>
      </c>
      <c r="N22" s="100" t="s">
        <v>441</v>
      </c>
      <c r="O22" s="100" t="s">
        <v>336</v>
      </c>
      <c r="P22" s="100" t="s">
        <v>1294</v>
      </c>
      <c r="Q22" s="100" t="s">
        <v>413</v>
      </c>
      <c r="R22" s="100" t="s">
        <v>404</v>
      </c>
      <c r="S22" s="100" t="s">
        <v>1234</v>
      </c>
      <c r="T22" s="103">
        <v>5.41</v>
      </c>
      <c r="U22" s="106">
        <v>49856</v>
      </c>
      <c r="V22" s="102">
        <v>2.8500000000000001E-2</v>
      </c>
      <c r="W22" s="102">
        <v>2.9499999999999998E-2</v>
      </c>
      <c r="X22" s="100" t="s">
        <v>410</v>
      </c>
      <c r="Y22" s="100"/>
      <c r="Z22" s="103">
        <v>1430000</v>
      </c>
      <c r="AA22" s="103">
        <v>1</v>
      </c>
      <c r="AB22" s="103">
        <v>99.78</v>
      </c>
      <c r="AC22" s="103">
        <v>0</v>
      </c>
      <c r="AD22" s="103">
        <v>1426.854</v>
      </c>
      <c r="AE22" s="101"/>
      <c r="AF22" s="101"/>
      <c r="AG22" s="100"/>
      <c r="AH22" s="102">
        <v>3.382E-3</v>
      </c>
      <c r="AI22" s="102">
        <v>7.3039999999999997E-3</v>
      </c>
      <c r="AJ22" s="102">
        <v>8.2999999999999998E-5</v>
      </c>
    </row>
    <row r="23" spans="1:36" ht="13.5" customHeight="1"/>
    <row r="24" spans="1:36" ht="13.5" customHeight="1"/>
    <row r="25" spans="1:36" ht="13.5" customHeight="1"/>
    <row r="26" spans="1:36" ht="13.5" customHeight="1"/>
    <row r="27" spans="1:36" ht="13.5" customHeight="1"/>
    <row r="28" spans="1:36" ht="13.5" customHeight="1"/>
    <row r="29" spans="1:36" ht="13.5" customHeight="1"/>
    <row r="30" spans="1:36" ht="13.5" customHeight="1"/>
    <row r="31" spans="1:36" ht="13.5" customHeight="1"/>
    <row r="32" spans="1:3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75</v>
      </c>
      <c r="U1" s="104" t="s">
        <v>16</v>
      </c>
      <c r="V1" s="108" t="s">
        <v>78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3"/>
      <c r="R2" s="103"/>
      <c r="S2" s="103"/>
      <c r="T2" s="103"/>
      <c r="U2" s="103"/>
      <c r="V2" s="102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3.8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8.375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0">
        <v>332</v>
      </c>
      <c r="B2" s="100">
        <v>332</v>
      </c>
      <c r="C2" s="100" t="s">
        <v>1325</v>
      </c>
      <c r="D2" s="100">
        <v>510938608</v>
      </c>
      <c r="E2" s="100" t="s">
        <v>308</v>
      </c>
      <c r="F2" s="100" t="s">
        <v>1326</v>
      </c>
      <c r="G2" s="100" t="s">
        <v>1327</v>
      </c>
      <c r="H2" s="100" t="s">
        <v>319</v>
      </c>
      <c r="I2" s="100" t="s">
        <v>981</v>
      </c>
      <c r="J2" s="100" t="s">
        <v>202</v>
      </c>
      <c r="K2" s="100" t="s">
        <v>202</v>
      </c>
      <c r="L2" s="100" t="s">
        <v>337</v>
      </c>
      <c r="M2" s="111" t="s">
        <v>571</v>
      </c>
      <c r="N2" s="100" t="s">
        <v>336</v>
      </c>
      <c r="O2" s="100" t="s">
        <v>1234</v>
      </c>
      <c r="P2" s="103">
        <v>832723.37</v>
      </c>
      <c r="Q2" s="103">
        <v>1</v>
      </c>
      <c r="R2" s="103">
        <v>4135.78</v>
      </c>
      <c r="S2" s="103">
        <v>0</v>
      </c>
      <c r="T2" s="103">
        <v>34439.606590000003</v>
      </c>
      <c r="U2" s="102">
        <v>1.5959999999999998E-2</v>
      </c>
      <c r="V2" s="102">
        <v>3.2036000000000002E-2</v>
      </c>
      <c r="W2" s="102">
        <v>2.0110000000000002E-3</v>
      </c>
    </row>
    <row r="3" spans="1:26" ht="13.5" customHeight="1">
      <c r="A3" s="100">
        <v>332</v>
      </c>
      <c r="B3" s="100">
        <v>332</v>
      </c>
      <c r="C3" s="100" t="s">
        <v>1328</v>
      </c>
      <c r="D3" s="100">
        <v>513765339</v>
      </c>
      <c r="E3" s="100" t="s">
        <v>308</v>
      </c>
      <c r="F3" s="100" t="s">
        <v>1329</v>
      </c>
      <c r="G3" s="100" t="s">
        <v>1330</v>
      </c>
      <c r="H3" s="100" t="s">
        <v>319</v>
      </c>
      <c r="I3" s="100" t="s">
        <v>981</v>
      </c>
      <c r="J3" s="100" t="s">
        <v>202</v>
      </c>
      <c r="K3" s="100" t="s">
        <v>202</v>
      </c>
      <c r="L3" s="100" t="s">
        <v>337</v>
      </c>
      <c r="M3" s="111" t="s">
        <v>573</v>
      </c>
      <c r="N3" s="100" t="s">
        <v>336</v>
      </c>
      <c r="O3" s="100" t="s">
        <v>1234</v>
      </c>
      <c r="P3" s="103">
        <v>3177180</v>
      </c>
      <c r="Q3" s="103">
        <v>1</v>
      </c>
      <c r="R3" s="103">
        <v>396.31</v>
      </c>
      <c r="S3" s="103">
        <v>0</v>
      </c>
      <c r="T3" s="103">
        <v>12591.48206</v>
      </c>
      <c r="U3" s="102">
        <v>3.3310000000000002E-3</v>
      </c>
      <c r="V3" s="102">
        <v>1.1712999999999999E-2</v>
      </c>
      <c r="W3" s="102">
        <v>7.3499999999999998E-4</v>
      </c>
    </row>
    <row r="4" spans="1:26" ht="13.5" customHeight="1">
      <c r="A4" s="100">
        <v>332</v>
      </c>
      <c r="B4" s="100">
        <v>332</v>
      </c>
      <c r="C4" s="100" t="s">
        <v>1331</v>
      </c>
      <c r="D4" s="100">
        <v>511776783</v>
      </c>
      <c r="E4" s="100" t="s">
        <v>308</v>
      </c>
      <c r="F4" s="100" t="s">
        <v>1332</v>
      </c>
      <c r="G4" s="100" t="s">
        <v>1333</v>
      </c>
      <c r="H4" s="100" t="s">
        <v>319</v>
      </c>
      <c r="I4" s="100" t="s">
        <v>981</v>
      </c>
      <c r="J4" s="100" t="s">
        <v>202</v>
      </c>
      <c r="K4" s="100" t="s">
        <v>202</v>
      </c>
      <c r="L4" s="100" t="s">
        <v>337</v>
      </c>
      <c r="M4" s="111" t="s">
        <v>571</v>
      </c>
      <c r="N4" s="100" t="s">
        <v>336</v>
      </c>
      <c r="O4" s="100" t="s">
        <v>1234</v>
      </c>
      <c r="P4" s="103">
        <v>4845640</v>
      </c>
      <c r="Q4" s="103">
        <v>1</v>
      </c>
      <c r="R4" s="103">
        <v>418.08</v>
      </c>
      <c r="S4" s="103">
        <v>0</v>
      </c>
      <c r="T4" s="103">
        <v>20258.651709999998</v>
      </c>
      <c r="U4" s="102">
        <v>1.9875E-2</v>
      </c>
      <c r="V4" s="102">
        <v>1.8845000000000001E-2</v>
      </c>
      <c r="W4" s="102">
        <v>1.183E-3</v>
      </c>
    </row>
    <row r="5" spans="1:26" ht="13.5" customHeight="1">
      <c r="A5" s="100">
        <v>332</v>
      </c>
      <c r="B5" s="100">
        <v>332</v>
      </c>
      <c r="C5" s="100" t="s">
        <v>1334</v>
      </c>
      <c r="D5" s="100">
        <v>513534974</v>
      </c>
      <c r="E5" s="100" t="s">
        <v>308</v>
      </c>
      <c r="F5" s="100" t="s">
        <v>1335</v>
      </c>
      <c r="G5" s="100" t="s">
        <v>1336</v>
      </c>
      <c r="H5" s="100" t="s">
        <v>319</v>
      </c>
      <c r="I5" s="100" t="s">
        <v>981</v>
      </c>
      <c r="J5" s="100" t="s">
        <v>202</v>
      </c>
      <c r="K5" s="100" t="s">
        <v>202</v>
      </c>
      <c r="L5" s="100" t="s">
        <v>337</v>
      </c>
      <c r="M5" s="111" t="s">
        <v>573</v>
      </c>
      <c r="N5" s="100" t="s">
        <v>336</v>
      </c>
      <c r="O5" s="100" t="s">
        <v>1234</v>
      </c>
      <c r="P5" s="103">
        <v>517738</v>
      </c>
      <c r="Q5" s="103">
        <v>1</v>
      </c>
      <c r="R5" s="103">
        <v>396.04</v>
      </c>
      <c r="S5" s="103">
        <v>0</v>
      </c>
      <c r="T5" s="103">
        <v>2050.44958</v>
      </c>
      <c r="U5" s="102">
        <v>9.01E-4</v>
      </c>
      <c r="V5" s="102">
        <v>1.9070000000000001E-3</v>
      </c>
      <c r="W5" s="102">
        <v>1.1900000000000001E-4</v>
      </c>
    </row>
    <row r="6" spans="1:26" ht="13.5" customHeight="1">
      <c r="A6" s="100">
        <v>332</v>
      </c>
      <c r="B6" s="100">
        <v>332</v>
      </c>
      <c r="C6" s="100" t="s">
        <v>1331</v>
      </c>
      <c r="D6" s="100">
        <v>511776783</v>
      </c>
      <c r="E6" s="100" t="s">
        <v>308</v>
      </c>
      <c r="F6" s="100" t="s">
        <v>1337</v>
      </c>
      <c r="G6" s="100" t="s">
        <v>1338</v>
      </c>
      <c r="H6" s="100" t="s">
        <v>319</v>
      </c>
      <c r="I6" s="100" t="s">
        <v>978</v>
      </c>
      <c r="J6" s="100" t="s">
        <v>202</v>
      </c>
      <c r="K6" s="100" t="s">
        <v>202</v>
      </c>
      <c r="L6" s="100" t="s">
        <v>337</v>
      </c>
      <c r="M6" s="111" t="s">
        <v>572</v>
      </c>
      <c r="N6" s="100" t="s">
        <v>336</v>
      </c>
      <c r="O6" s="100" t="s">
        <v>1234</v>
      </c>
      <c r="P6" s="103">
        <v>234781</v>
      </c>
      <c r="Q6" s="103">
        <v>1</v>
      </c>
      <c r="R6" s="103">
        <v>3992</v>
      </c>
      <c r="S6" s="103">
        <v>0</v>
      </c>
      <c r="T6" s="103">
        <v>9372.4575199999999</v>
      </c>
      <c r="U6" s="102">
        <v>2.7550000000000001E-3</v>
      </c>
      <c r="V6" s="102">
        <v>8.7180000000000001E-3</v>
      </c>
      <c r="W6" s="102">
        <v>5.4699999999999996E-4</v>
      </c>
    </row>
    <row r="7" spans="1:26" ht="13.5" customHeight="1">
      <c r="A7" s="100">
        <v>332</v>
      </c>
      <c r="B7" s="100">
        <v>332</v>
      </c>
      <c r="C7" s="100" t="s">
        <v>1334</v>
      </c>
      <c r="D7" s="100">
        <v>513534974</v>
      </c>
      <c r="E7" s="100" t="s">
        <v>308</v>
      </c>
      <c r="F7" s="100" t="s">
        <v>1339</v>
      </c>
      <c r="G7" s="100" t="s">
        <v>1340</v>
      </c>
      <c r="H7" s="100" t="s">
        <v>319</v>
      </c>
      <c r="I7" s="100" t="s">
        <v>978</v>
      </c>
      <c r="J7" s="100" t="s">
        <v>202</v>
      </c>
      <c r="K7" s="100" t="s">
        <v>202</v>
      </c>
      <c r="L7" s="100" t="s">
        <v>337</v>
      </c>
      <c r="M7" s="111" t="s">
        <v>572</v>
      </c>
      <c r="N7" s="100" t="s">
        <v>336</v>
      </c>
      <c r="O7" s="100" t="s">
        <v>1234</v>
      </c>
      <c r="P7" s="103">
        <v>2064854</v>
      </c>
      <c r="Q7" s="103">
        <v>1</v>
      </c>
      <c r="R7" s="103">
        <v>3974</v>
      </c>
      <c r="S7" s="103">
        <v>0</v>
      </c>
      <c r="T7" s="103">
        <v>82057.297959999996</v>
      </c>
      <c r="U7" s="102">
        <v>8.0520000000000001E-3</v>
      </c>
      <c r="V7" s="102">
        <v>7.6331999999999997E-2</v>
      </c>
      <c r="W7" s="102">
        <v>4.7930000000000004E-3</v>
      </c>
    </row>
    <row r="8" spans="1:26" ht="13.5" customHeight="1">
      <c r="A8" s="100">
        <v>332</v>
      </c>
      <c r="B8" s="100">
        <v>332</v>
      </c>
      <c r="C8" s="100" t="s">
        <v>1325</v>
      </c>
      <c r="D8" s="100">
        <v>510938608</v>
      </c>
      <c r="E8" s="100" t="s">
        <v>308</v>
      </c>
      <c r="F8" s="100" t="s">
        <v>1341</v>
      </c>
      <c r="G8" s="100" t="s">
        <v>1342</v>
      </c>
      <c r="H8" s="100" t="s">
        <v>319</v>
      </c>
      <c r="I8" s="100" t="s">
        <v>981</v>
      </c>
      <c r="J8" s="100" t="s">
        <v>202</v>
      </c>
      <c r="K8" s="100" t="s">
        <v>202</v>
      </c>
      <c r="L8" s="100" t="s">
        <v>337</v>
      </c>
      <c r="M8" s="111" t="s">
        <v>573</v>
      </c>
      <c r="N8" s="100" t="s">
        <v>336</v>
      </c>
      <c r="O8" s="100" t="s">
        <v>1234</v>
      </c>
      <c r="P8" s="103">
        <v>313071</v>
      </c>
      <c r="Q8" s="103">
        <v>1</v>
      </c>
      <c r="R8" s="103">
        <v>3935.81</v>
      </c>
      <c r="S8" s="103">
        <v>0</v>
      </c>
      <c r="T8" s="103">
        <v>12321.879730000001</v>
      </c>
      <c r="U8" s="102">
        <v>1.4227999999999999E-2</v>
      </c>
      <c r="V8" s="102">
        <v>1.1462E-2</v>
      </c>
      <c r="W8" s="102">
        <v>7.1900000000000002E-4</v>
      </c>
    </row>
    <row r="9" spans="1:26" ht="13.5" customHeight="1">
      <c r="A9" s="100">
        <v>332</v>
      </c>
      <c r="B9" s="100">
        <v>332</v>
      </c>
      <c r="C9" s="100" t="s">
        <v>1331</v>
      </c>
      <c r="D9" s="100">
        <v>511776783</v>
      </c>
      <c r="E9" s="100" t="s">
        <v>308</v>
      </c>
      <c r="F9" s="100" t="s">
        <v>1343</v>
      </c>
      <c r="G9" s="100" t="s">
        <v>1344</v>
      </c>
      <c r="H9" s="100" t="s">
        <v>319</v>
      </c>
      <c r="I9" s="100" t="s">
        <v>981</v>
      </c>
      <c r="J9" s="100" t="s">
        <v>202</v>
      </c>
      <c r="K9" s="100" t="s">
        <v>202</v>
      </c>
      <c r="L9" s="100" t="s">
        <v>337</v>
      </c>
      <c r="M9" s="111" t="s">
        <v>573</v>
      </c>
      <c r="N9" s="100" t="s">
        <v>336</v>
      </c>
      <c r="O9" s="100" t="s">
        <v>1234</v>
      </c>
      <c r="P9" s="103">
        <v>2238580</v>
      </c>
      <c r="Q9" s="103">
        <v>1</v>
      </c>
      <c r="R9" s="103">
        <v>396.28</v>
      </c>
      <c r="S9" s="103">
        <v>0</v>
      </c>
      <c r="T9" s="103">
        <v>8871.0448199999992</v>
      </c>
      <c r="U9" s="102">
        <v>1.5448999999999999E-2</v>
      </c>
      <c r="V9" s="102">
        <v>8.2520000000000007E-3</v>
      </c>
      <c r="W9" s="102">
        <v>5.1800000000000001E-4</v>
      </c>
    </row>
    <row r="10" spans="1:26" ht="13.5" customHeight="1">
      <c r="A10" s="100">
        <v>332</v>
      </c>
      <c r="B10" s="100">
        <v>332</v>
      </c>
      <c r="C10" s="100" t="s">
        <v>1325</v>
      </c>
      <c r="D10" s="100">
        <v>510938608</v>
      </c>
      <c r="E10" s="100" t="s">
        <v>308</v>
      </c>
      <c r="F10" s="100" t="s">
        <v>1345</v>
      </c>
      <c r="G10" s="100" t="s">
        <v>1346</v>
      </c>
      <c r="H10" s="100" t="s">
        <v>319</v>
      </c>
      <c r="I10" s="100" t="s">
        <v>978</v>
      </c>
      <c r="J10" s="100" t="s">
        <v>202</v>
      </c>
      <c r="K10" s="100" t="s">
        <v>202</v>
      </c>
      <c r="L10" s="100" t="s">
        <v>337</v>
      </c>
      <c r="M10" s="111" t="s">
        <v>572</v>
      </c>
      <c r="N10" s="100" t="s">
        <v>336</v>
      </c>
      <c r="O10" s="100" t="s">
        <v>1234</v>
      </c>
      <c r="P10" s="103">
        <v>143531.29</v>
      </c>
      <c r="Q10" s="103">
        <v>1</v>
      </c>
      <c r="R10" s="103">
        <v>39660</v>
      </c>
      <c r="S10" s="103">
        <v>0</v>
      </c>
      <c r="T10" s="103">
        <v>56924.509610000001</v>
      </c>
      <c r="U10" s="102">
        <v>7.4190000000000002E-3</v>
      </c>
      <c r="V10" s="102">
        <v>5.2953E-2</v>
      </c>
      <c r="W10" s="102">
        <v>3.3249999999999998E-3</v>
      </c>
    </row>
    <row r="11" spans="1:26" ht="13.5" customHeight="1">
      <c r="A11" s="100">
        <v>332</v>
      </c>
      <c r="B11" s="100">
        <v>332</v>
      </c>
      <c r="C11" s="100" t="s">
        <v>1347</v>
      </c>
      <c r="D11" s="100">
        <v>511303661</v>
      </c>
      <c r="E11" s="100" t="s">
        <v>308</v>
      </c>
      <c r="F11" s="100" t="s">
        <v>1348</v>
      </c>
      <c r="G11" s="100" t="s">
        <v>1349</v>
      </c>
      <c r="H11" s="100" t="s">
        <v>319</v>
      </c>
      <c r="I11" s="100" t="s">
        <v>978</v>
      </c>
      <c r="J11" s="100" t="s">
        <v>202</v>
      </c>
      <c r="K11" s="100" t="s">
        <v>202</v>
      </c>
      <c r="L11" s="100" t="s">
        <v>337</v>
      </c>
      <c r="M11" s="111" t="s">
        <v>572</v>
      </c>
      <c r="N11" s="100" t="s">
        <v>336</v>
      </c>
      <c r="O11" s="100" t="s">
        <v>1234</v>
      </c>
      <c r="P11" s="103">
        <v>669146</v>
      </c>
      <c r="Q11" s="103">
        <v>1</v>
      </c>
      <c r="R11" s="103">
        <v>5417</v>
      </c>
      <c r="S11" s="103">
        <v>0</v>
      </c>
      <c r="T11" s="103">
        <v>36247.63882</v>
      </c>
      <c r="U11" s="102">
        <v>9.5589999999999998E-3</v>
      </c>
      <c r="V11" s="102">
        <v>3.3717999999999998E-2</v>
      </c>
      <c r="W11" s="102">
        <v>2.117E-3</v>
      </c>
    </row>
    <row r="12" spans="1:26" ht="13.5" customHeight="1">
      <c r="A12" s="100">
        <v>332</v>
      </c>
      <c r="B12" s="100">
        <v>332</v>
      </c>
      <c r="C12" s="100" t="s">
        <v>1350</v>
      </c>
      <c r="D12" s="100" t="s">
        <v>1351</v>
      </c>
      <c r="E12" s="100" t="s">
        <v>312</v>
      </c>
      <c r="F12" s="100" t="s">
        <v>1352</v>
      </c>
      <c r="G12" s="100" t="s">
        <v>1353</v>
      </c>
      <c r="H12" s="100" t="s">
        <v>319</v>
      </c>
      <c r="I12" s="100" t="s">
        <v>980</v>
      </c>
      <c r="J12" s="100" t="s">
        <v>203</v>
      </c>
      <c r="K12" s="100" t="s">
        <v>288</v>
      </c>
      <c r="L12" s="100" t="s">
        <v>377</v>
      </c>
      <c r="M12" s="111" t="s">
        <v>733</v>
      </c>
      <c r="N12" s="100" t="s">
        <v>336</v>
      </c>
      <c r="O12" s="100" t="s">
        <v>1238</v>
      </c>
      <c r="P12" s="103">
        <v>825000</v>
      </c>
      <c r="Q12" s="103">
        <v>2.9780000000000002</v>
      </c>
      <c r="R12" s="103">
        <v>15347</v>
      </c>
      <c r="S12" s="103">
        <v>0</v>
      </c>
      <c r="T12" s="103">
        <v>377052.76949999999</v>
      </c>
      <c r="U12" s="102">
        <v>1.4897000000000001E-2</v>
      </c>
      <c r="V12" s="102">
        <v>0.35074699999999998</v>
      </c>
      <c r="W12" s="102">
        <v>2.2024999999999999E-2</v>
      </c>
    </row>
    <row r="13" spans="1:26" ht="13.5" customHeight="1">
      <c r="A13" s="100">
        <v>332</v>
      </c>
      <c r="B13" s="100">
        <v>332</v>
      </c>
      <c r="C13" s="100" t="s">
        <v>1354</v>
      </c>
      <c r="D13" s="100" t="s">
        <v>1355</v>
      </c>
      <c r="E13" s="100" t="s">
        <v>312</v>
      </c>
      <c r="F13" s="100" t="s">
        <v>1356</v>
      </c>
      <c r="G13" s="100" t="s">
        <v>1357</v>
      </c>
      <c r="H13" s="100" t="s">
        <v>319</v>
      </c>
      <c r="I13" s="100" t="s">
        <v>980</v>
      </c>
      <c r="J13" s="100" t="s">
        <v>203</v>
      </c>
      <c r="K13" s="100" t="s">
        <v>295</v>
      </c>
      <c r="L13" s="100" t="s">
        <v>377</v>
      </c>
      <c r="M13" s="111" t="s">
        <v>733</v>
      </c>
      <c r="N13" s="100" t="s">
        <v>336</v>
      </c>
      <c r="O13" s="100" t="s">
        <v>1238</v>
      </c>
      <c r="P13" s="103">
        <v>420854</v>
      </c>
      <c r="Q13" s="103">
        <v>2.9780000000000002</v>
      </c>
      <c r="R13" s="103">
        <v>7694.5</v>
      </c>
      <c r="S13" s="103">
        <v>0</v>
      </c>
      <c r="T13" s="103">
        <v>96435.415649999995</v>
      </c>
      <c r="U13" s="102">
        <v>5.4270000000000004E-3</v>
      </c>
      <c r="V13" s="102">
        <v>8.9706999999999995E-2</v>
      </c>
      <c r="W13" s="102">
        <v>5.633E-3</v>
      </c>
    </row>
    <row r="14" spans="1:26" ht="13.5" customHeight="1">
      <c r="A14" s="100">
        <v>332</v>
      </c>
      <c r="B14" s="100">
        <v>332</v>
      </c>
      <c r="C14" s="100" t="s">
        <v>1358</v>
      </c>
      <c r="D14" s="100" t="s">
        <v>1359</v>
      </c>
      <c r="E14" s="100" t="s">
        <v>312</v>
      </c>
      <c r="F14" s="100" t="s">
        <v>1360</v>
      </c>
      <c r="G14" s="100" t="s">
        <v>1361</v>
      </c>
      <c r="H14" s="100" t="s">
        <v>319</v>
      </c>
      <c r="I14" s="100" t="s">
        <v>980</v>
      </c>
      <c r="J14" s="100" t="s">
        <v>203</v>
      </c>
      <c r="K14" s="100" t="s">
        <v>288</v>
      </c>
      <c r="L14" s="100" t="s">
        <v>377</v>
      </c>
      <c r="M14" s="111" t="s">
        <v>733</v>
      </c>
      <c r="N14" s="100" t="s">
        <v>336</v>
      </c>
      <c r="O14" s="100" t="s">
        <v>1238</v>
      </c>
      <c r="P14" s="103">
        <v>390491</v>
      </c>
      <c r="Q14" s="103">
        <v>2.9780000000000002</v>
      </c>
      <c r="R14" s="103">
        <v>5225</v>
      </c>
      <c r="S14" s="103">
        <v>0</v>
      </c>
      <c r="T14" s="103">
        <v>60760.594850000001</v>
      </c>
      <c r="U14" s="102">
        <v>1.042E-3</v>
      </c>
      <c r="V14" s="102">
        <v>5.6521000000000002E-2</v>
      </c>
      <c r="W14" s="102">
        <v>3.5490000000000001E-3</v>
      </c>
    </row>
    <row r="15" spans="1:26" ht="13.5" customHeight="1">
      <c r="A15" s="100">
        <v>332</v>
      </c>
      <c r="B15" s="100">
        <v>332</v>
      </c>
      <c r="C15" s="100" t="s">
        <v>1362</v>
      </c>
      <c r="D15" s="100" t="s">
        <v>1363</v>
      </c>
      <c r="E15" s="100" t="s">
        <v>312</v>
      </c>
      <c r="F15" s="100" t="s">
        <v>1364</v>
      </c>
      <c r="G15" s="100" t="s">
        <v>1365</v>
      </c>
      <c r="H15" s="100" t="s">
        <v>319</v>
      </c>
      <c r="I15" s="100" t="s">
        <v>980</v>
      </c>
      <c r="J15" s="100" t="s">
        <v>203</v>
      </c>
      <c r="K15" s="100" t="s">
        <v>288</v>
      </c>
      <c r="L15" s="100" t="s">
        <v>377</v>
      </c>
      <c r="M15" s="111" t="s">
        <v>733</v>
      </c>
      <c r="N15" s="100" t="s">
        <v>336</v>
      </c>
      <c r="O15" s="100" t="s">
        <v>1238</v>
      </c>
      <c r="P15" s="103">
        <v>442630</v>
      </c>
      <c r="Q15" s="103">
        <v>2.9780000000000002</v>
      </c>
      <c r="R15" s="103">
        <v>14288</v>
      </c>
      <c r="S15" s="103">
        <v>0</v>
      </c>
      <c r="T15" s="103">
        <v>188337.57775999999</v>
      </c>
      <c r="U15" s="102">
        <v>4.4700000000000002E-4</v>
      </c>
      <c r="V15" s="102">
        <v>0.17519799999999999</v>
      </c>
      <c r="W15" s="102">
        <v>1.1001E-2</v>
      </c>
    </row>
    <row r="16" spans="1:26" ht="13.5" customHeight="1">
      <c r="A16" s="100">
        <v>332</v>
      </c>
      <c r="B16" s="100">
        <v>332</v>
      </c>
      <c r="C16" s="100" t="s">
        <v>1366</v>
      </c>
      <c r="D16" s="100" t="s">
        <v>1367</v>
      </c>
      <c r="E16" s="100" t="s">
        <v>312</v>
      </c>
      <c r="F16" s="100" t="s">
        <v>1368</v>
      </c>
      <c r="G16" s="100" t="s">
        <v>1369</v>
      </c>
      <c r="H16" s="100" t="s">
        <v>319</v>
      </c>
      <c r="I16" s="100" t="s">
        <v>980</v>
      </c>
      <c r="J16" s="100" t="s">
        <v>203</v>
      </c>
      <c r="K16" s="100" t="s">
        <v>288</v>
      </c>
      <c r="L16" s="100" t="s">
        <v>377</v>
      </c>
      <c r="M16" s="111" t="s">
        <v>733</v>
      </c>
      <c r="N16" s="100" t="s">
        <v>336</v>
      </c>
      <c r="O16" s="100" t="s">
        <v>1238</v>
      </c>
      <c r="P16" s="103">
        <v>165924</v>
      </c>
      <c r="Q16" s="103">
        <v>2.9780000000000002</v>
      </c>
      <c r="R16" s="103">
        <v>15639</v>
      </c>
      <c r="S16" s="103">
        <v>0</v>
      </c>
      <c r="T16" s="103">
        <v>77275.688280000002</v>
      </c>
      <c r="U16" s="102">
        <v>1.1540000000000001E-3</v>
      </c>
      <c r="V16" s="102">
        <v>7.1884000000000003E-2</v>
      </c>
      <c r="W16" s="102">
        <v>4.5129999999999997E-3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2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16</v>
      </c>
      <c r="U1" s="108" t="s">
        <v>78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11"/>
      <c r="O2" s="100"/>
      <c r="P2" s="100"/>
      <c r="Q2" s="103"/>
      <c r="R2" s="103"/>
      <c r="S2" s="103"/>
      <c r="T2" s="103"/>
      <c r="U2" s="102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93</v>
      </c>
      <c r="T1" s="104" t="s">
        <v>76</v>
      </c>
      <c r="U1" s="104" t="s">
        <v>62</v>
      </c>
      <c r="V1" s="104" t="s">
        <v>77</v>
      </c>
      <c r="W1" s="104" t="s">
        <v>16</v>
      </c>
      <c r="X1" s="108" t="s">
        <v>64</v>
      </c>
      <c r="Y1" s="108" t="s">
        <v>65</v>
      </c>
      <c r="Z1" s="9"/>
    </row>
    <row r="2" spans="1:26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3"/>
      <c r="X2" s="102"/>
      <c r="Y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76</v>
      </c>
      <c r="T1" s="104" t="s">
        <v>62</v>
      </c>
      <c r="U1" s="104" t="s">
        <v>77</v>
      </c>
      <c r="V1" s="104" t="s">
        <v>16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4" t="s">
        <v>76</v>
      </c>
      <c r="P1" s="104" t="s">
        <v>62</v>
      </c>
      <c r="Q1" s="104" t="s">
        <v>77</v>
      </c>
      <c r="R1" s="104" t="s">
        <v>16</v>
      </c>
      <c r="S1" s="108" t="s">
        <v>64</v>
      </c>
      <c r="T1" s="108" t="s">
        <v>65</v>
      </c>
      <c r="U1" s="9"/>
      <c r="V1" s="9"/>
      <c r="W1" s="9"/>
      <c r="X1" s="9"/>
      <c r="Y1" s="9"/>
      <c r="Z1" s="9"/>
    </row>
    <row r="2" spans="1:26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3"/>
      <c r="P2" s="103"/>
      <c r="Q2" s="103"/>
      <c r="R2" s="103"/>
      <c r="S2" s="102"/>
      <c r="T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4" t="s">
        <v>72</v>
      </c>
      <c r="Q1" s="108" t="s">
        <v>63</v>
      </c>
      <c r="R1" s="108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4" t="s">
        <v>76</v>
      </c>
      <c r="X1" s="104" t="s">
        <v>62</v>
      </c>
      <c r="Y1" s="104" t="s">
        <v>77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3"/>
      <c r="Q2" s="102"/>
      <c r="R2" s="102"/>
      <c r="S2" s="100"/>
      <c r="T2" s="100"/>
      <c r="U2" s="100"/>
      <c r="V2" s="100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7" t="s">
        <v>95</v>
      </c>
      <c r="K1" s="21" t="s">
        <v>71</v>
      </c>
      <c r="L1" s="21" t="s">
        <v>59</v>
      </c>
      <c r="M1" s="21" t="s">
        <v>60</v>
      </c>
      <c r="N1" s="104" t="s">
        <v>72</v>
      </c>
      <c r="O1" s="107" t="s">
        <v>73</v>
      </c>
      <c r="P1" s="108" t="s">
        <v>63</v>
      </c>
      <c r="Q1" s="108" t="s">
        <v>74</v>
      </c>
      <c r="R1" s="104" t="s">
        <v>76</v>
      </c>
      <c r="S1" s="104" t="s">
        <v>62</v>
      </c>
      <c r="T1" s="104" t="s">
        <v>77</v>
      </c>
      <c r="U1" s="104" t="s">
        <v>16</v>
      </c>
      <c r="V1" s="104" t="s">
        <v>17</v>
      </c>
      <c r="W1" s="21" t="s">
        <v>18</v>
      </c>
      <c r="X1" s="108" t="s">
        <v>64</v>
      </c>
      <c r="Y1" s="108" t="s">
        <v>65</v>
      </c>
    </row>
    <row r="2" spans="1:25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6"/>
      <c r="K2" s="100"/>
      <c r="L2" s="100"/>
      <c r="M2" s="100"/>
      <c r="N2" s="103"/>
      <c r="O2" s="106"/>
      <c r="P2" s="102"/>
      <c r="Q2" s="102"/>
      <c r="R2" s="103"/>
      <c r="S2" s="103"/>
      <c r="T2" s="103"/>
      <c r="U2" s="103"/>
      <c r="V2" s="103"/>
      <c r="W2" s="100"/>
      <c r="X2" s="102"/>
      <c r="Y2" s="102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4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332</v>
      </c>
      <c r="B2" s="100">
        <v>332</v>
      </c>
      <c r="C2" s="100" t="s">
        <v>1001</v>
      </c>
      <c r="D2" s="100" t="s">
        <v>1370</v>
      </c>
      <c r="E2" s="100">
        <v>8287989</v>
      </c>
      <c r="F2" s="106">
        <v>41275</v>
      </c>
      <c r="G2" s="103">
        <v>1.44</v>
      </c>
      <c r="H2" s="100" t="s">
        <v>751</v>
      </c>
      <c r="I2" s="106">
        <v>46754</v>
      </c>
      <c r="J2" s="102">
        <v>4.8000000000000001E-2</v>
      </c>
      <c r="K2" s="102">
        <v>1.7100000000000001E-2</v>
      </c>
      <c r="L2" s="103">
        <v>57618000</v>
      </c>
      <c r="M2" s="103">
        <v>129.92400000000001</v>
      </c>
      <c r="N2" s="103">
        <v>74859.597070000003</v>
      </c>
      <c r="O2" s="103"/>
      <c r="P2" s="100"/>
      <c r="Q2" s="102">
        <v>7.3861999999999997E-2</v>
      </c>
      <c r="R2" s="102">
        <v>4.372E-3</v>
      </c>
    </row>
    <row r="3" spans="1:26" ht="13.5" customHeight="1">
      <c r="A3" s="100">
        <v>332</v>
      </c>
      <c r="B3" s="100">
        <v>332</v>
      </c>
      <c r="C3" s="100" t="s">
        <v>1001</v>
      </c>
      <c r="D3" s="100" t="s">
        <v>1371</v>
      </c>
      <c r="E3" s="100">
        <v>8288946</v>
      </c>
      <c r="F3" s="106">
        <v>44228</v>
      </c>
      <c r="G3" s="103">
        <v>7.91</v>
      </c>
      <c r="H3" s="100" t="s">
        <v>751</v>
      </c>
      <c r="I3" s="106">
        <v>49706</v>
      </c>
      <c r="J3" s="102">
        <v>4.8000000000000001E-2</v>
      </c>
      <c r="K3" s="102">
        <v>1.8700000000000001E-2</v>
      </c>
      <c r="L3" s="103">
        <v>74862000</v>
      </c>
      <c r="M3" s="103">
        <v>152.4426</v>
      </c>
      <c r="N3" s="103">
        <v>114121.55474000001</v>
      </c>
      <c r="O3" s="101"/>
      <c r="P3" s="100"/>
      <c r="Q3" s="102">
        <v>0.11260199999999999</v>
      </c>
      <c r="R3" s="102">
        <v>6.6660000000000001E-3</v>
      </c>
    </row>
    <row r="4" spans="1:26" ht="13.5" customHeight="1">
      <c r="A4" s="100">
        <v>332</v>
      </c>
      <c r="B4" s="100">
        <v>332</v>
      </c>
      <c r="C4" s="100" t="s">
        <v>1001</v>
      </c>
      <c r="D4" s="100" t="s">
        <v>1372</v>
      </c>
      <c r="E4" s="100">
        <v>8288938</v>
      </c>
      <c r="F4" s="106">
        <v>44197</v>
      </c>
      <c r="G4" s="103">
        <v>7.82</v>
      </c>
      <c r="H4" s="100" t="s">
        <v>751</v>
      </c>
      <c r="I4" s="106">
        <v>49675</v>
      </c>
      <c r="J4" s="102">
        <v>4.8000000000000001E-2</v>
      </c>
      <c r="K4" s="102">
        <v>1.8700000000000001E-2</v>
      </c>
      <c r="L4" s="103">
        <v>8142000</v>
      </c>
      <c r="M4" s="103">
        <v>152.52610000000001</v>
      </c>
      <c r="N4" s="103">
        <v>12418.67382</v>
      </c>
      <c r="O4" s="101"/>
      <c r="P4" s="100"/>
      <c r="Q4" s="102">
        <v>1.2253E-2</v>
      </c>
      <c r="R4" s="102">
        <v>7.2499999999999995E-4</v>
      </c>
    </row>
    <row r="5" spans="1:26" ht="13.5" customHeight="1">
      <c r="A5" s="100">
        <v>332</v>
      </c>
      <c r="B5" s="100">
        <v>332</v>
      </c>
      <c r="C5" s="100" t="s">
        <v>1001</v>
      </c>
      <c r="D5" s="100" t="s">
        <v>1373</v>
      </c>
      <c r="E5" s="100">
        <v>8288839</v>
      </c>
      <c r="F5" s="106">
        <v>43863</v>
      </c>
      <c r="G5" s="103">
        <v>7.21</v>
      </c>
      <c r="H5" s="100" t="s">
        <v>751</v>
      </c>
      <c r="I5" s="106">
        <v>49342</v>
      </c>
      <c r="J5" s="102">
        <v>4.8000000000000001E-2</v>
      </c>
      <c r="K5" s="102">
        <v>1.84E-2</v>
      </c>
      <c r="L5" s="103">
        <v>28080000</v>
      </c>
      <c r="M5" s="103">
        <v>148.8133</v>
      </c>
      <c r="N5" s="103">
        <v>41786.770640000002</v>
      </c>
      <c r="O5" s="101"/>
      <c r="P5" s="100"/>
      <c r="Q5" s="102">
        <v>4.1230000000000003E-2</v>
      </c>
      <c r="R5" s="102">
        <v>2.4399999999999999E-3</v>
      </c>
    </row>
    <row r="6" spans="1:26" ht="13.5" customHeight="1">
      <c r="A6" s="100">
        <v>332</v>
      </c>
      <c r="B6" s="100">
        <v>332</v>
      </c>
      <c r="C6" s="100" t="s">
        <v>1001</v>
      </c>
      <c r="D6" s="100" t="s">
        <v>1374</v>
      </c>
      <c r="E6" s="100">
        <v>8288714</v>
      </c>
      <c r="F6" s="106">
        <v>43497</v>
      </c>
      <c r="G6" s="103">
        <v>6.48</v>
      </c>
      <c r="H6" s="100" t="s">
        <v>751</v>
      </c>
      <c r="I6" s="106">
        <v>48976</v>
      </c>
      <c r="J6" s="102">
        <v>4.8000000000000001E-2</v>
      </c>
      <c r="K6" s="102">
        <v>1.7999999999999999E-2</v>
      </c>
      <c r="L6" s="103">
        <v>51977000</v>
      </c>
      <c r="M6" s="103">
        <v>147.00640000000001</v>
      </c>
      <c r="N6" s="103">
        <v>76409.515039999998</v>
      </c>
      <c r="O6" s="101"/>
      <c r="P6" s="100"/>
      <c r="Q6" s="102">
        <v>7.5392000000000001E-2</v>
      </c>
      <c r="R6" s="102">
        <v>4.463E-3</v>
      </c>
    </row>
    <row r="7" spans="1:26" ht="13.5" customHeight="1">
      <c r="A7" s="100">
        <v>332</v>
      </c>
      <c r="B7" s="100">
        <v>332</v>
      </c>
      <c r="C7" s="100" t="s">
        <v>1001</v>
      </c>
      <c r="D7" s="100" t="s">
        <v>1375</v>
      </c>
      <c r="E7" s="100">
        <v>8288599</v>
      </c>
      <c r="F7" s="106">
        <v>43132</v>
      </c>
      <c r="G7" s="103">
        <v>5.72</v>
      </c>
      <c r="H7" s="100" t="s">
        <v>751</v>
      </c>
      <c r="I7" s="106">
        <v>48611</v>
      </c>
      <c r="J7" s="102">
        <v>4.8000000000000001E-2</v>
      </c>
      <c r="K7" s="102">
        <v>1.7600000000000001E-2</v>
      </c>
      <c r="L7" s="103">
        <v>47201000</v>
      </c>
      <c r="M7" s="103">
        <v>145.303</v>
      </c>
      <c r="N7" s="103">
        <v>68584.465639999995</v>
      </c>
      <c r="O7" s="101"/>
      <c r="P7" s="100"/>
      <c r="Q7" s="102">
        <v>6.7670999999999995E-2</v>
      </c>
      <c r="R7" s="102">
        <v>4.006E-3</v>
      </c>
    </row>
    <row r="8" spans="1:26" ht="13.5" customHeight="1">
      <c r="A8" s="100">
        <v>332</v>
      </c>
      <c r="B8" s="100">
        <v>332</v>
      </c>
      <c r="C8" s="100" t="s">
        <v>1001</v>
      </c>
      <c r="D8" s="100" t="s">
        <v>1376</v>
      </c>
      <c r="E8" s="100">
        <v>8288474</v>
      </c>
      <c r="F8" s="106">
        <v>42767</v>
      </c>
      <c r="G8" s="103">
        <v>4.9400000000000004</v>
      </c>
      <c r="H8" s="100" t="s">
        <v>751</v>
      </c>
      <c r="I8" s="106">
        <v>48245</v>
      </c>
      <c r="J8" s="102">
        <v>4.8000000000000001E-2</v>
      </c>
      <c r="K8" s="102">
        <v>1.7299999999999999E-2</v>
      </c>
      <c r="L8" s="103">
        <v>71372000</v>
      </c>
      <c r="M8" s="103">
        <v>142.8563</v>
      </c>
      <c r="N8" s="103">
        <v>101959.42524</v>
      </c>
      <c r="O8" s="101"/>
      <c r="P8" s="100"/>
      <c r="Q8" s="102">
        <v>0.100601</v>
      </c>
      <c r="R8" s="102">
        <v>5.9550000000000002E-3</v>
      </c>
    </row>
    <row r="9" spans="1:26" ht="13.5" customHeight="1">
      <c r="A9" s="100">
        <v>332</v>
      </c>
      <c r="B9" s="100">
        <v>332</v>
      </c>
      <c r="C9" s="100" t="s">
        <v>1001</v>
      </c>
      <c r="D9" s="100" t="s">
        <v>1377</v>
      </c>
      <c r="E9" s="100">
        <v>8288359</v>
      </c>
      <c r="F9" s="106">
        <v>42401</v>
      </c>
      <c r="G9" s="103">
        <v>4.1399999999999997</v>
      </c>
      <c r="H9" s="100" t="s">
        <v>751</v>
      </c>
      <c r="I9" s="106">
        <v>47880</v>
      </c>
      <c r="J9" s="102">
        <v>4.8000000000000001E-2</v>
      </c>
      <c r="K9" s="102">
        <v>1.7000000000000001E-2</v>
      </c>
      <c r="L9" s="103">
        <v>17243000</v>
      </c>
      <c r="M9" s="103">
        <v>139.3706</v>
      </c>
      <c r="N9" s="103">
        <v>24031.67785</v>
      </c>
      <c r="O9" s="101"/>
      <c r="P9" s="100"/>
      <c r="Q9" s="102">
        <v>2.3710999999999999E-2</v>
      </c>
      <c r="R9" s="102">
        <v>1.403E-3</v>
      </c>
    </row>
    <row r="10" spans="1:26" ht="13.5" customHeight="1">
      <c r="A10" s="100">
        <v>332</v>
      </c>
      <c r="B10" s="100">
        <v>332</v>
      </c>
      <c r="C10" s="100" t="s">
        <v>1001</v>
      </c>
      <c r="D10" s="100" t="s">
        <v>1378</v>
      </c>
      <c r="E10" s="100">
        <v>8288227</v>
      </c>
      <c r="F10" s="106">
        <v>42005</v>
      </c>
      <c r="G10" s="103">
        <v>3.22</v>
      </c>
      <c r="H10" s="100" t="s">
        <v>751</v>
      </c>
      <c r="I10" s="106">
        <v>47484</v>
      </c>
      <c r="J10" s="102">
        <v>4.8000000000000001E-2</v>
      </c>
      <c r="K10" s="102">
        <v>1.67E-2</v>
      </c>
      <c r="L10" s="103">
        <v>9850000</v>
      </c>
      <c r="M10" s="103">
        <v>134.8092</v>
      </c>
      <c r="N10" s="103">
        <v>13278.70326</v>
      </c>
      <c r="O10" s="101"/>
      <c r="P10" s="100"/>
      <c r="Q10" s="102">
        <v>1.3101E-2</v>
      </c>
      <c r="R10" s="102">
        <v>7.7499999999999997E-4</v>
      </c>
    </row>
    <row r="11" spans="1:26" ht="13.5" customHeight="1">
      <c r="A11" s="100">
        <v>332</v>
      </c>
      <c r="B11" s="100">
        <v>332</v>
      </c>
      <c r="C11" s="100" t="s">
        <v>1001</v>
      </c>
      <c r="D11" s="100" t="s">
        <v>1379</v>
      </c>
      <c r="E11" s="100">
        <v>8288078</v>
      </c>
      <c r="F11" s="106">
        <v>41548</v>
      </c>
      <c r="G11" s="103">
        <v>2.15</v>
      </c>
      <c r="H11" s="100" t="s">
        <v>751</v>
      </c>
      <c r="I11" s="106">
        <v>47027</v>
      </c>
      <c r="J11" s="102">
        <v>4.8000000000000001E-2</v>
      </c>
      <c r="K11" s="102">
        <v>1.6799999999999999E-2</v>
      </c>
      <c r="L11" s="103">
        <v>126456000</v>
      </c>
      <c r="M11" s="103">
        <v>128.6738</v>
      </c>
      <c r="N11" s="103">
        <v>162715.75717999999</v>
      </c>
      <c r="O11" s="101"/>
      <c r="P11" s="100"/>
      <c r="Q11" s="102">
        <v>0.160549</v>
      </c>
      <c r="R11" s="102">
        <v>9.5040000000000003E-3</v>
      </c>
    </row>
    <row r="12" spans="1:26" ht="13.5" customHeight="1">
      <c r="A12" s="100">
        <v>332</v>
      </c>
      <c r="B12" s="100">
        <v>332</v>
      </c>
      <c r="C12" s="100" t="s">
        <v>1001</v>
      </c>
      <c r="D12" s="100" t="s">
        <v>1380</v>
      </c>
      <c r="E12" s="100">
        <v>8288979</v>
      </c>
      <c r="F12" s="106">
        <v>44318</v>
      </c>
      <c r="G12" s="103">
        <v>8.16</v>
      </c>
      <c r="H12" s="100" t="s">
        <v>751</v>
      </c>
      <c r="I12" s="106">
        <v>49797</v>
      </c>
      <c r="J12" s="102">
        <v>4.8000000000000001E-2</v>
      </c>
      <c r="K12" s="102">
        <v>1.8800000000000001E-2</v>
      </c>
      <c r="L12" s="103">
        <v>51909000</v>
      </c>
      <c r="M12" s="103">
        <v>150.42179999999999</v>
      </c>
      <c r="N12" s="103">
        <v>78082.460940000004</v>
      </c>
      <c r="O12" s="101"/>
      <c r="P12" s="100"/>
      <c r="Q12" s="102">
        <v>7.7041999999999999E-2</v>
      </c>
      <c r="R12" s="102">
        <v>4.561E-3</v>
      </c>
    </row>
    <row r="13" spans="1:26" ht="13.5" customHeight="1">
      <c r="A13" s="100">
        <v>332</v>
      </c>
      <c r="B13" s="100">
        <v>332</v>
      </c>
      <c r="C13" s="100" t="s">
        <v>1001</v>
      </c>
      <c r="D13" s="100" t="s">
        <v>1381</v>
      </c>
      <c r="E13" s="100">
        <v>8288987</v>
      </c>
      <c r="F13" s="106">
        <v>44348</v>
      </c>
      <c r="G13" s="103">
        <v>8.24</v>
      </c>
      <c r="H13" s="100" t="s">
        <v>751</v>
      </c>
      <c r="I13" s="106">
        <v>49827</v>
      </c>
      <c r="J13" s="102">
        <v>4.8000000000000001E-2</v>
      </c>
      <c r="K13" s="102">
        <v>1.89E-2</v>
      </c>
      <c r="L13" s="103">
        <v>163872000</v>
      </c>
      <c r="M13" s="103">
        <v>149.65639999999999</v>
      </c>
      <c r="N13" s="103">
        <v>245244.92949000001</v>
      </c>
      <c r="O13" s="101"/>
      <c r="P13" s="100"/>
      <c r="Q13" s="102">
        <v>0.241979</v>
      </c>
      <c r="R13" s="102">
        <v>1.4324999999999999E-2</v>
      </c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>
      <selection activeCell="D6" sqref="D6"/>
    </sheetView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1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7" t="s">
        <v>98</v>
      </c>
      <c r="E1" s="107" t="s">
        <v>99</v>
      </c>
      <c r="F1" s="21" t="s">
        <v>100</v>
      </c>
      <c r="G1" s="21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332</v>
      </c>
      <c r="B2" s="100">
        <v>332</v>
      </c>
      <c r="C2" s="100" t="s">
        <v>1005</v>
      </c>
      <c r="D2" s="106"/>
      <c r="E2" s="106"/>
      <c r="F2" s="103">
        <v>110840.85587</v>
      </c>
      <c r="G2" s="102">
        <v>6.4700000000000001E-3</v>
      </c>
    </row>
    <row r="3" spans="1:26" ht="13.5" customHeight="1">
      <c r="A3" s="100">
        <v>332</v>
      </c>
      <c r="B3" s="100">
        <v>332</v>
      </c>
      <c r="C3" s="100" t="s">
        <v>1006</v>
      </c>
      <c r="D3" s="106"/>
      <c r="E3" s="106"/>
      <c r="F3" s="103">
        <v>6233.1317900000004</v>
      </c>
      <c r="G3" s="102">
        <v>3.6400000000000001E-4</v>
      </c>
    </row>
    <row r="4" spans="1:26" ht="13.5" customHeight="1">
      <c r="A4" s="100"/>
      <c r="B4" s="100"/>
      <c r="C4" s="100"/>
      <c r="D4" s="106"/>
      <c r="E4" s="106"/>
      <c r="F4" s="103"/>
      <c r="G4" s="102"/>
    </row>
    <row r="5" spans="1:26" ht="13.5" customHeight="1">
      <c r="A5" s="100"/>
      <c r="B5" s="100"/>
      <c r="C5" s="100"/>
      <c r="D5" s="106"/>
      <c r="E5" s="106"/>
      <c r="F5" s="103"/>
      <c r="G5" s="102"/>
    </row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96</v>
      </c>
      <c r="U1" s="21" t="s">
        <v>84</v>
      </c>
      <c r="V1" s="107" t="s">
        <v>73</v>
      </c>
      <c r="W1" s="108" t="s">
        <v>63</v>
      </c>
      <c r="X1" s="108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7" t="s">
        <v>104</v>
      </c>
      <c r="AE1" s="107" t="s">
        <v>105</v>
      </c>
      <c r="AF1" s="104" t="s">
        <v>76</v>
      </c>
      <c r="AG1" s="104" t="s">
        <v>62</v>
      </c>
      <c r="AH1" s="104" t="s">
        <v>77</v>
      </c>
      <c r="AI1" s="104" t="s">
        <v>16</v>
      </c>
      <c r="AJ1" s="104" t="s">
        <v>17</v>
      </c>
      <c r="AK1" s="104" t="s">
        <v>87</v>
      </c>
      <c r="AL1" s="21" t="s">
        <v>18</v>
      </c>
      <c r="AM1" s="108" t="s">
        <v>64</v>
      </c>
      <c r="AN1" s="108" t="s">
        <v>65</v>
      </c>
    </row>
    <row r="2" spans="1:40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0"/>
      <c r="U2" s="100"/>
      <c r="V2" s="106"/>
      <c r="W2" s="102"/>
      <c r="X2" s="102"/>
      <c r="Y2" s="100"/>
      <c r="Z2" s="100"/>
      <c r="AA2" s="100"/>
      <c r="AB2" s="100"/>
      <c r="AC2" s="100"/>
      <c r="AD2" s="106"/>
      <c r="AE2" s="106"/>
      <c r="AF2" s="103"/>
      <c r="AG2" s="103"/>
      <c r="AH2" s="103"/>
      <c r="AI2" s="103"/>
      <c r="AJ2" s="103"/>
      <c r="AK2" s="103"/>
      <c r="AL2" s="100"/>
      <c r="AM2" s="102"/>
      <c r="AN2" s="102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7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4" t="s">
        <v>17</v>
      </c>
      <c r="AI1" s="104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0">
        <v>332</v>
      </c>
      <c r="B2" s="100">
        <v>332</v>
      </c>
      <c r="C2" s="100" t="s">
        <v>1299</v>
      </c>
      <c r="D2" s="100">
        <v>520010869</v>
      </c>
      <c r="E2" s="100" t="s">
        <v>308</v>
      </c>
      <c r="F2" s="100" t="s">
        <v>1382</v>
      </c>
      <c r="G2" s="100" t="s">
        <v>1383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323</v>
      </c>
      <c r="M2" s="100" t="s">
        <v>475</v>
      </c>
      <c r="N2" s="100" t="s">
        <v>336</v>
      </c>
      <c r="O2" s="106">
        <v>39076</v>
      </c>
      <c r="P2" s="100" t="s">
        <v>1233</v>
      </c>
      <c r="Q2" s="100" t="s">
        <v>411</v>
      </c>
      <c r="R2" s="100" t="s">
        <v>404</v>
      </c>
      <c r="S2" s="100" t="s">
        <v>1234</v>
      </c>
      <c r="T2" s="103">
        <v>4.8899999999999997</v>
      </c>
      <c r="U2" s="106">
        <v>50034</v>
      </c>
      <c r="V2" s="102">
        <v>2.2800000000000001E-2</v>
      </c>
      <c r="W2" s="102">
        <v>4.9000000000000002E-2</v>
      </c>
      <c r="X2" s="100" t="s">
        <v>410</v>
      </c>
      <c r="Y2" s="100"/>
      <c r="Z2" s="100" t="s">
        <v>890</v>
      </c>
      <c r="AA2" s="100" t="s">
        <v>893</v>
      </c>
      <c r="AB2" s="106">
        <v>46203</v>
      </c>
      <c r="AC2" s="106"/>
      <c r="AD2" s="103">
        <v>1808400.76</v>
      </c>
      <c r="AE2" s="103">
        <v>1</v>
      </c>
      <c r="AF2" s="103">
        <v>166.62</v>
      </c>
      <c r="AG2" s="103">
        <v>3013.15735</v>
      </c>
      <c r="AH2" s="103"/>
      <c r="AI2" s="103"/>
      <c r="AJ2" s="100"/>
      <c r="AK2" s="102">
        <v>0.116467</v>
      </c>
      <c r="AL2" s="102">
        <v>1.76E-4</v>
      </c>
    </row>
    <row r="3" spans="1:38" ht="13.5" customHeight="1">
      <c r="A3" s="100">
        <v>332</v>
      </c>
      <c r="B3" s="100">
        <v>332</v>
      </c>
      <c r="C3" s="100" t="s">
        <v>1299</v>
      </c>
      <c r="D3" s="100">
        <v>520010869</v>
      </c>
      <c r="E3" s="100" t="s">
        <v>308</v>
      </c>
      <c r="F3" s="100" t="s">
        <v>1384</v>
      </c>
      <c r="G3" s="100" t="s">
        <v>1385</v>
      </c>
      <c r="H3" s="100" t="s">
        <v>319</v>
      </c>
      <c r="I3" s="100" t="s">
        <v>751</v>
      </c>
      <c r="J3" s="100" t="s">
        <v>202</v>
      </c>
      <c r="K3" s="100" t="s">
        <v>202</v>
      </c>
      <c r="L3" s="100" t="s">
        <v>323</v>
      </c>
      <c r="M3" s="100" t="s">
        <v>475</v>
      </c>
      <c r="N3" s="100" t="s">
        <v>336</v>
      </c>
      <c r="O3" s="106">
        <v>40738</v>
      </c>
      <c r="P3" s="100" t="s">
        <v>1233</v>
      </c>
      <c r="Q3" s="100" t="s">
        <v>411</v>
      </c>
      <c r="R3" s="100" t="s">
        <v>404</v>
      </c>
      <c r="S3" s="100" t="s">
        <v>1234</v>
      </c>
      <c r="T3" s="103">
        <v>8.75</v>
      </c>
      <c r="U3" s="106">
        <v>54253</v>
      </c>
      <c r="V3" s="102">
        <v>2.64E-2</v>
      </c>
      <c r="W3" s="102">
        <v>4.1000000000000002E-2</v>
      </c>
      <c r="X3" s="100" t="s">
        <v>410</v>
      </c>
      <c r="Y3" s="100"/>
      <c r="Z3" s="100" t="s">
        <v>890</v>
      </c>
      <c r="AA3" s="100" t="s">
        <v>893</v>
      </c>
      <c r="AB3" s="106">
        <v>46203</v>
      </c>
      <c r="AC3" s="106"/>
      <c r="AD3" s="103">
        <v>13269232.98</v>
      </c>
      <c r="AE3" s="103">
        <v>1</v>
      </c>
      <c r="AF3" s="103">
        <v>144.81989999999999</v>
      </c>
      <c r="AG3" s="103">
        <v>19216.503199999999</v>
      </c>
      <c r="AH3" s="101"/>
      <c r="AI3" s="101"/>
      <c r="AJ3" s="100"/>
      <c r="AK3" s="102">
        <v>0.74277300000000002</v>
      </c>
      <c r="AL3" s="102">
        <v>1.122E-3</v>
      </c>
    </row>
    <row r="4" spans="1:38" ht="13.5" customHeight="1">
      <c r="A4" s="100">
        <v>332</v>
      </c>
      <c r="B4" s="100">
        <v>332</v>
      </c>
      <c r="C4" s="100" t="s">
        <v>1272</v>
      </c>
      <c r="D4" s="100">
        <v>513436394</v>
      </c>
      <c r="E4" s="100" t="s">
        <v>308</v>
      </c>
      <c r="F4" s="100" t="s">
        <v>1386</v>
      </c>
      <c r="G4" s="100" t="s">
        <v>1387</v>
      </c>
      <c r="H4" s="100" t="s">
        <v>319</v>
      </c>
      <c r="I4" s="100" t="s">
        <v>751</v>
      </c>
      <c r="J4" s="100" t="s">
        <v>202</v>
      </c>
      <c r="K4" s="100" t="s">
        <v>202</v>
      </c>
      <c r="L4" s="100" t="s">
        <v>323</v>
      </c>
      <c r="M4" s="100" t="s">
        <v>475</v>
      </c>
      <c r="N4" s="100" t="s">
        <v>336</v>
      </c>
      <c r="O4" s="106">
        <v>40910</v>
      </c>
      <c r="P4" s="100" t="s">
        <v>1233</v>
      </c>
      <c r="Q4" s="100" t="s">
        <v>411</v>
      </c>
      <c r="R4" s="100" t="s">
        <v>404</v>
      </c>
      <c r="S4" s="100" t="s">
        <v>1234</v>
      </c>
      <c r="T4" s="103">
        <v>2.63</v>
      </c>
      <c r="U4" s="106">
        <v>48213</v>
      </c>
      <c r="V4" s="102">
        <v>2.2499999999999999E-2</v>
      </c>
      <c r="W4" s="102">
        <v>4.8000000000000001E-2</v>
      </c>
      <c r="X4" s="100" t="s">
        <v>410</v>
      </c>
      <c r="Y4" s="100"/>
      <c r="Z4" s="100" t="s">
        <v>890</v>
      </c>
      <c r="AA4" s="100" t="s">
        <v>893</v>
      </c>
      <c r="AB4" s="106">
        <v>46203</v>
      </c>
      <c r="AC4" s="106"/>
      <c r="AD4" s="103">
        <v>2768878.52</v>
      </c>
      <c r="AE4" s="103">
        <v>1</v>
      </c>
      <c r="AF4" s="103">
        <v>131.52000000000001</v>
      </c>
      <c r="AG4" s="103">
        <v>3641.6290300000001</v>
      </c>
      <c r="AH4" s="101"/>
      <c r="AI4" s="101"/>
      <c r="AJ4" s="100"/>
      <c r="AK4" s="102">
        <v>0.140759</v>
      </c>
      <c r="AL4" s="102">
        <v>2.12E-4</v>
      </c>
    </row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25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9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7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0">
        <v>332</v>
      </c>
      <c r="B2" s="100">
        <v>332</v>
      </c>
      <c r="C2" s="100" t="s">
        <v>313</v>
      </c>
      <c r="D2" s="100">
        <v>510905847</v>
      </c>
      <c r="E2" s="100" t="s">
        <v>308</v>
      </c>
      <c r="F2" s="100" t="s">
        <v>1388</v>
      </c>
      <c r="G2" s="100">
        <v>31000359</v>
      </c>
      <c r="H2" s="100" t="s">
        <v>311</v>
      </c>
      <c r="I2" s="100" t="s">
        <v>762</v>
      </c>
      <c r="J2" s="100" t="s">
        <v>202</v>
      </c>
      <c r="K2" s="100" t="s">
        <v>202</v>
      </c>
      <c r="L2" s="100" t="s">
        <v>323</v>
      </c>
      <c r="M2" s="100" t="s">
        <v>313</v>
      </c>
      <c r="N2" s="100" t="s">
        <v>336</v>
      </c>
      <c r="O2" s="106">
        <v>24473</v>
      </c>
      <c r="P2" s="100" t="s">
        <v>1234</v>
      </c>
      <c r="Q2" s="100" t="s">
        <v>313</v>
      </c>
      <c r="R2" s="100" t="s">
        <v>893</v>
      </c>
      <c r="S2" s="106">
        <v>46022</v>
      </c>
      <c r="T2" s="106"/>
      <c r="U2" s="103">
        <v>9405.1200000000008</v>
      </c>
      <c r="V2" s="103">
        <v>1</v>
      </c>
      <c r="W2" s="103">
        <v>1E-4</v>
      </c>
      <c r="X2" s="103">
        <v>1E-4</v>
      </c>
      <c r="Y2" s="102">
        <v>0</v>
      </c>
      <c r="Z2" s="102">
        <v>0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62</v>
      </c>
      <c r="V1" s="23" t="s">
        <v>115</v>
      </c>
      <c r="W1" s="104" t="s">
        <v>16</v>
      </c>
      <c r="X1" s="108" t="s">
        <v>116</v>
      </c>
      <c r="Y1" s="108" t="s">
        <v>64</v>
      </c>
      <c r="Z1" s="108" t="s">
        <v>65</v>
      </c>
    </row>
    <row r="2" spans="1:26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6"/>
      <c r="Q2" s="100"/>
      <c r="R2" s="100"/>
      <c r="S2" s="100"/>
      <c r="T2" s="106"/>
      <c r="U2" s="103"/>
      <c r="V2" s="101"/>
      <c r="W2" s="103"/>
      <c r="X2" s="102"/>
      <c r="Y2" s="102"/>
      <c r="Z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5.5" bestFit="1" customWidth="1"/>
    <col min="8" max="8" width="11.875" bestFit="1" customWidth="1"/>
    <col min="9" max="9" width="11" bestFit="1" customWidth="1"/>
    <col min="10" max="10" width="8.75" bestFit="1" customWidth="1"/>
    <col min="11" max="11" width="9.625" bestFit="1" customWidth="1"/>
    <col min="12" max="12" width="10.375" bestFit="1" customWidth="1"/>
    <col min="13" max="13" width="9.625" style="105" bestFit="1" customWidth="1"/>
    <col min="14" max="14" width="16.125" bestFit="1" customWidth="1"/>
    <col min="15" max="15" width="12.5" bestFit="1" customWidth="1"/>
    <col min="16" max="16" width="9.75" bestFit="1" customWidth="1"/>
    <col min="17" max="17" width="11.625" bestFit="1" customWidth="1"/>
    <col min="18" max="18" width="10.5" bestFit="1" customWidth="1"/>
    <col min="19" max="19" width="8.75" bestFit="1" customWidth="1"/>
    <col min="20" max="20" width="8.125" bestFit="1" customWidth="1"/>
    <col min="21" max="21" width="9.25" bestFit="1" customWidth="1"/>
    <col min="22" max="22" width="9.375" bestFit="1" customWidth="1"/>
    <col min="23" max="23" width="8.875" bestFit="1" customWidth="1"/>
    <col min="24" max="24" width="6.12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9.875" bestFit="1" customWidth="1"/>
    <col min="30" max="30" width="8.8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3.7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4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0">
        <v>332</v>
      </c>
      <c r="B2" s="100">
        <v>332</v>
      </c>
      <c r="C2" s="100" t="s">
        <v>1044</v>
      </c>
      <c r="D2" s="100">
        <v>11723368</v>
      </c>
      <c r="E2" s="100" t="s">
        <v>1234</v>
      </c>
      <c r="F2" s="103">
        <v>1</v>
      </c>
      <c r="G2" s="103">
        <v>54000000</v>
      </c>
      <c r="H2" s="103">
        <v>78725.088000000003</v>
      </c>
      <c r="I2" s="102">
        <v>0.23457191895782714</v>
      </c>
      <c r="J2" s="102">
        <v>4.5986370149614791E-3</v>
      </c>
      <c r="K2" s="100">
        <v>11723369</v>
      </c>
      <c r="L2" s="100" t="s">
        <v>1234</v>
      </c>
      <c r="M2" s="103">
        <v>1</v>
      </c>
      <c r="N2" s="103">
        <v>-54000000</v>
      </c>
      <c r="O2" s="103">
        <v>-80409.655190000005</v>
      </c>
      <c r="P2" s="102">
        <v>-4.6970391029226089E-3</v>
      </c>
      <c r="Q2" s="102">
        <v>0.24013401286950567</v>
      </c>
      <c r="R2" s="103">
        <v>-1684.56719</v>
      </c>
      <c r="S2" s="100" t="s">
        <v>202</v>
      </c>
      <c r="T2" s="100" t="s">
        <v>202</v>
      </c>
      <c r="U2" s="100" t="s">
        <v>749</v>
      </c>
      <c r="V2" s="100" t="s">
        <v>313</v>
      </c>
      <c r="W2" s="100" t="s">
        <v>933</v>
      </c>
      <c r="X2" s="100" t="s">
        <v>1389</v>
      </c>
      <c r="Y2" s="100" t="s">
        <v>336</v>
      </c>
      <c r="Z2" s="106">
        <v>46104</v>
      </c>
      <c r="AA2" s="106">
        <v>46336</v>
      </c>
      <c r="AB2" s="100" t="s">
        <v>903</v>
      </c>
      <c r="AC2" s="100" t="s">
        <v>905</v>
      </c>
      <c r="AD2" s="100" t="s">
        <v>917</v>
      </c>
      <c r="AE2" s="100" t="s">
        <v>920</v>
      </c>
      <c r="AF2" s="100" t="s">
        <v>903</v>
      </c>
      <c r="AG2" s="100" t="s">
        <v>903</v>
      </c>
      <c r="AH2" s="102"/>
      <c r="AI2" s="103">
        <v>100</v>
      </c>
      <c r="AJ2" s="103"/>
      <c r="AK2" s="100"/>
      <c r="AL2" s="102"/>
      <c r="AM2" s="100" t="s">
        <v>1390</v>
      </c>
      <c r="AN2" s="102">
        <v>-2.2209785223924179</v>
      </c>
      <c r="AO2" s="102">
        <v>-9.8402087961129331E-5</v>
      </c>
    </row>
    <row r="3" spans="1:41" ht="13.5" customHeight="1">
      <c r="A3" s="100">
        <v>332</v>
      </c>
      <c r="B3" s="100">
        <v>332</v>
      </c>
      <c r="C3" s="100" t="s">
        <v>1044</v>
      </c>
      <c r="D3" s="100">
        <v>11723373</v>
      </c>
      <c r="E3" s="100" t="s">
        <v>1234</v>
      </c>
      <c r="F3" s="103">
        <v>1</v>
      </c>
      <c r="G3" s="103">
        <v>84000000</v>
      </c>
      <c r="H3" s="103">
        <v>77195.664000000004</v>
      </c>
      <c r="I3" s="102">
        <v>0.2300147957878898</v>
      </c>
      <c r="J3" s="102">
        <v>4.5092974410511849E-3</v>
      </c>
      <c r="K3" s="100">
        <v>11723374</v>
      </c>
      <c r="L3" s="100" t="s">
        <v>1234</v>
      </c>
      <c r="M3" s="103">
        <v>1</v>
      </c>
      <c r="N3" s="103">
        <v>-84000000</v>
      </c>
      <c r="O3" s="103">
        <v>-76500.2834</v>
      </c>
      <c r="P3" s="102">
        <v>-4.4686775694462635E-3</v>
      </c>
      <c r="Q3" s="102">
        <v>0.22845913211652499</v>
      </c>
      <c r="R3" s="103">
        <v>695.38059999999996</v>
      </c>
      <c r="S3" s="100" t="s">
        <v>202</v>
      </c>
      <c r="T3" s="100" t="s">
        <v>202</v>
      </c>
      <c r="U3" s="100" t="s">
        <v>749</v>
      </c>
      <c r="V3" s="100" t="s">
        <v>313</v>
      </c>
      <c r="W3" s="100" t="s">
        <v>933</v>
      </c>
      <c r="X3" s="100" t="s">
        <v>1389</v>
      </c>
      <c r="Y3" s="100" t="s">
        <v>336</v>
      </c>
      <c r="Z3" s="106">
        <v>46104</v>
      </c>
      <c r="AA3" s="106">
        <v>46336</v>
      </c>
      <c r="AB3" s="100" t="s">
        <v>903</v>
      </c>
      <c r="AC3" s="100" t="s">
        <v>905</v>
      </c>
      <c r="AD3" s="100" t="s">
        <v>917</v>
      </c>
      <c r="AE3" s="100" t="s">
        <v>920</v>
      </c>
      <c r="AF3" s="100" t="s">
        <v>903</v>
      </c>
      <c r="AG3" s="100" t="s">
        <v>903</v>
      </c>
      <c r="AH3" s="102"/>
      <c r="AI3" s="103">
        <v>100</v>
      </c>
      <c r="AJ3" s="103"/>
      <c r="AK3" s="100"/>
      <c r="AL3" s="102"/>
      <c r="AM3" s="100" t="s">
        <v>1390</v>
      </c>
      <c r="AN3" s="102">
        <v>0.91680841622491338</v>
      </c>
      <c r="AO3" s="102">
        <v>4.0619871604921191E-5</v>
      </c>
    </row>
    <row r="4" spans="1:41" ht="13.5" customHeight="1">
      <c r="A4" s="100">
        <v>332</v>
      </c>
      <c r="B4" s="100">
        <v>332</v>
      </c>
      <c r="C4" s="100" t="s">
        <v>1044</v>
      </c>
      <c r="D4" s="100">
        <v>11723378</v>
      </c>
      <c r="E4" s="100" t="s">
        <v>1234</v>
      </c>
      <c r="F4" s="103">
        <v>1</v>
      </c>
      <c r="G4" s="103">
        <v>190000000</v>
      </c>
      <c r="H4" s="103">
        <v>179690.98</v>
      </c>
      <c r="I4" s="102">
        <v>0.53541328525428311</v>
      </c>
      <c r="J4" s="102">
        <v>1.0496445451832367E-2</v>
      </c>
      <c r="K4" s="100">
        <v>11723379</v>
      </c>
      <c r="L4" s="100" t="s">
        <v>1234</v>
      </c>
      <c r="M4" s="103">
        <v>1</v>
      </c>
      <c r="N4" s="103">
        <v>-190000000</v>
      </c>
      <c r="O4" s="103">
        <v>-177943.31367999999</v>
      </c>
      <c r="P4" s="102">
        <v>-1.0394357499527333E-2</v>
      </c>
      <c r="Q4" s="102">
        <v>0.53140685501396934</v>
      </c>
      <c r="R4" s="103">
        <v>1747.66632</v>
      </c>
      <c r="S4" s="100" t="s">
        <v>202</v>
      </c>
      <c r="T4" s="100" t="s">
        <v>202</v>
      </c>
      <c r="U4" s="100" t="s">
        <v>749</v>
      </c>
      <c r="V4" s="100" t="s">
        <v>313</v>
      </c>
      <c r="W4" s="100" t="s">
        <v>933</v>
      </c>
      <c r="X4" s="100" t="s">
        <v>1389</v>
      </c>
      <c r="Y4" s="100" t="s">
        <v>336</v>
      </c>
      <c r="Z4" s="106">
        <v>46104</v>
      </c>
      <c r="AA4" s="106">
        <v>46336</v>
      </c>
      <c r="AB4" s="100" t="s">
        <v>903</v>
      </c>
      <c r="AC4" s="100" t="s">
        <v>905</v>
      </c>
      <c r="AD4" s="100" t="s">
        <v>917</v>
      </c>
      <c r="AE4" s="100" t="s">
        <v>920</v>
      </c>
      <c r="AF4" s="100" t="s">
        <v>903</v>
      </c>
      <c r="AG4" s="100" t="s">
        <v>903</v>
      </c>
      <c r="AH4" s="102"/>
      <c r="AI4" s="103">
        <v>100</v>
      </c>
      <c r="AJ4" s="103"/>
      <c r="AK4" s="100"/>
      <c r="AL4" s="102"/>
      <c r="AM4" s="100" t="s">
        <v>1390</v>
      </c>
      <c r="AN4" s="102">
        <v>2.3041701061675042</v>
      </c>
      <c r="AO4" s="102">
        <v>1.0208795230503285E-4</v>
      </c>
    </row>
    <row r="5" spans="1:41" ht="13.5" customHeight="1"/>
    <row r="6" spans="1:41" ht="13.5" customHeight="1"/>
    <row r="7" spans="1:41" ht="13.5" customHeight="1"/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7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4" t="s">
        <v>72</v>
      </c>
      <c r="U1" s="21" t="s">
        <v>158</v>
      </c>
      <c r="V1" s="108" t="s">
        <v>63</v>
      </c>
      <c r="W1" s="21" t="s">
        <v>96</v>
      </c>
      <c r="X1" s="21" t="s">
        <v>84</v>
      </c>
      <c r="Y1" s="108" t="s">
        <v>159</v>
      </c>
      <c r="Z1" s="108" t="s">
        <v>74</v>
      </c>
      <c r="AA1" s="107" t="s">
        <v>73</v>
      </c>
      <c r="AB1" s="21" t="s">
        <v>85</v>
      </c>
      <c r="AC1" s="21" t="s">
        <v>160</v>
      </c>
      <c r="AD1" s="104" t="s">
        <v>161</v>
      </c>
      <c r="AE1" s="108" t="s">
        <v>162</v>
      </c>
      <c r="AF1" s="107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7" t="s">
        <v>104</v>
      </c>
      <c r="AO1" s="107" t="s">
        <v>105</v>
      </c>
      <c r="AP1" s="108" t="s">
        <v>168</v>
      </c>
      <c r="AQ1" s="104" t="s">
        <v>169</v>
      </c>
      <c r="AR1" s="104" t="s">
        <v>170</v>
      </c>
      <c r="AS1" s="104" t="s">
        <v>62</v>
      </c>
      <c r="AT1" s="104" t="s">
        <v>16</v>
      </c>
      <c r="AU1" s="104" t="s">
        <v>171</v>
      </c>
      <c r="AV1" s="104" t="s">
        <v>17</v>
      </c>
      <c r="AW1" s="104" t="s">
        <v>87</v>
      </c>
      <c r="AX1" s="21" t="s">
        <v>86</v>
      </c>
      <c r="AY1" s="21" t="s">
        <v>18</v>
      </c>
      <c r="AZ1" s="108" t="s">
        <v>64</v>
      </c>
      <c r="BA1" s="108" t="s">
        <v>65</v>
      </c>
    </row>
    <row r="2" spans="1:53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0"/>
      <c r="T2" s="103"/>
      <c r="U2" s="100"/>
      <c r="V2" s="102"/>
      <c r="W2" s="100"/>
      <c r="X2" s="100"/>
      <c r="Y2" s="102"/>
      <c r="Z2" s="102"/>
      <c r="AA2" s="106"/>
      <c r="AB2" s="100"/>
      <c r="AC2" s="100"/>
      <c r="AD2" s="103"/>
      <c r="AE2" s="102"/>
      <c r="AF2" s="106"/>
      <c r="AG2" s="100"/>
      <c r="AH2" s="100"/>
      <c r="AI2" s="100"/>
      <c r="AJ2" s="100"/>
      <c r="AK2" s="100"/>
      <c r="AL2" s="100"/>
      <c r="AM2" s="100"/>
      <c r="AN2" s="106"/>
      <c r="AO2" s="106"/>
      <c r="AP2" s="102"/>
      <c r="AQ2" s="103"/>
      <c r="AR2" s="103"/>
      <c r="AS2" s="103"/>
      <c r="AT2" s="103"/>
      <c r="AU2" s="103"/>
      <c r="AV2" s="103"/>
      <c r="AW2" s="103"/>
      <c r="AX2" s="100"/>
      <c r="AY2" s="100"/>
      <c r="AZ2" s="102"/>
      <c r="BA2" s="102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108" t="s">
        <v>63</v>
      </c>
      <c r="U1" s="108" t="s">
        <v>74</v>
      </c>
      <c r="V1" s="21" t="s">
        <v>101</v>
      </c>
      <c r="W1" s="21" t="s">
        <v>102</v>
      </c>
      <c r="X1" s="107" t="s">
        <v>104</v>
      </c>
      <c r="Y1" s="104" t="s">
        <v>76</v>
      </c>
      <c r="Z1" s="104" t="s">
        <v>62</v>
      </c>
      <c r="AA1" s="104" t="s">
        <v>77</v>
      </c>
      <c r="AB1" s="104" t="s">
        <v>16</v>
      </c>
      <c r="AC1" s="108" t="s">
        <v>64</v>
      </c>
      <c r="AD1" s="108" t="s">
        <v>65</v>
      </c>
    </row>
    <row r="2" spans="1:30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2"/>
      <c r="U2" s="102"/>
      <c r="V2" s="100"/>
      <c r="W2" s="100"/>
      <c r="X2" s="106"/>
      <c r="Y2" s="103"/>
      <c r="Z2" s="103"/>
      <c r="AA2" s="103"/>
      <c r="AB2" s="103"/>
      <c r="AC2" s="102"/>
      <c r="AD2" s="102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3.75" bestFit="1" customWidth="1"/>
    <col min="5" max="5" width="8" bestFit="1" customWidth="1"/>
    <col min="6" max="6" width="1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9" bestFit="1" customWidth="1"/>
    <col min="18" max="18" width="8.625" bestFit="1" customWidth="1"/>
    <col min="19" max="19" width="8.75" bestFit="1" customWidth="1"/>
    <col min="20" max="20" width="10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7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4" t="s">
        <v>72</v>
      </c>
      <c r="O1" s="21" t="s">
        <v>63</v>
      </c>
      <c r="P1" s="108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100">
        <v>332</v>
      </c>
      <c r="B2" s="100">
        <v>332</v>
      </c>
      <c r="C2" s="100" t="s">
        <v>1266</v>
      </c>
      <c r="D2" s="100" t="s">
        <v>1390</v>
      </c>
      <c r="E2" s="100" t="s">
        <v>315</v>
      </c>
      <c r="F2" s="100" t="s">
        <v>1050</v>
      </c>
      <c r="G2" s="106"/>
      <c r="H2" s="100" t="s">
        <v>202</v>
      </c>
      <c r="I2" s="100" t="s">
        <v>202</v>
      </c>
      <c r="J2" s="100" t="s">
        <v>336</v>
      </c>
      <c r="K2" s="100" t="s">
        <v>1267</v>
      </c>
      <c r="L2" s="100" t="s">
        <v>431</v>
      </c>
      <c r="M2" s="100" t="s">
        <v>1238</v>
      </c>
      <c r="N2" s="103"/>
      <c r="O2" s="102"/>
      <c r="P2" s="102">
        <v>0</v>
      </c>
      <c r="Q2" s="103">
        <v>-673.11300000000006</v>
      </c>
      <c r="R2" s="103">
        <v>2.9780000000000002</v>
      </c>
      <c r="S2" s="103">
        <v>100</v>
      </c>
      <c r="T2" s="103">
        <v>-2004.53051</v>
      </c>
      <c r="U2" s="102">
        <v>1</v>
      </c>
      <c r="V2" s="102">
        <v>-1.17E-4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27" bestFit="1" customWidth="1"/>
    <col min="11" max="11" width="10.75" bestFit="1" customWidth="1"/>
    <col min="12" max="12" width="12.25" bestFit="1" customWidth="1"/>
    <col min="13" max="13" width="13.25" bestFit="1" customWidth="1"/>
    <col min="14" max="14" width="14.1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1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21" t="s">
        <v>95</v>
      </c>
      <c r="H1" s="21" t="s">
        <v>176</v>
      </c>
      <c r="I1" s="21" t="s">
        <v>177</v>
      </c>
      <c r="J1" s="21" t="s">
        <v>178</v>
      </c>
      <c r="K1" s="108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21" t="s">
        <v>104</v>
      </c>
      <c r="Q1" s="21" t="s">
        <v>60</v>
      </c>
      <c r="R1" s="21" t="s">
        <v>171</v>
      </c>
      <c r="S1" s="21" t="s">
        <v>16</v>
      </c>
      <c r="T1" s="104" t="s">
        <v>17</v>
      </c>
      <c r="U1" s="104" t="s">
        <v>87</v>
      </c>
      <c r="V1" s="21" t="s">
        <v>18</v>
      </c>
      <c r="W1" s="21" t="s">
        <v>64</v>
      </c>
      <c r="X1" s="21" t="s">
        <v>65</v>
      </c>
      <c r="Y1" s="9"/>
      <c r="Z1" s="9"/>
    </row>
    <row r="2" spans="1:26" ht="13.5" customHeight="1">
      <c r="A2" s="100">
        <v>332</v>
      </c>
      <c r="B2" s="100">
        <v>332</v>
      </c>
      <c r="C2" s="100" t="s">
        <v>1391</v>
      </c>
      <c r="D2" s="100" t="s">
        <v>1052</v>
      </c>
      <c r="E2" s="100" t="s">
        <v>202</v>
      </c>
      <c r="F2" s="100" t="s">
        <v>336</v>
      </c>
      <c r="G2" s="106">
        <v>21976</v>
      </c>
      <c r="H2" s="100" t="s">
        <v>863</v>
      </c>
      <c r="I2" s="100" t="s">
        <v>872</v>
      </c>
      <c r="J2" s="100" t="s">
        <v>1392</v>
      </c>
      <c r="K2" s="102">
        <v>0</v>
      </c>
      <c r="L2" s="100"/>
      <c r="M2" s="100" t="s">
        <v>891</v>
      </c>
      <c r="N2" s="100"/>
      <c r="O2" s="100" t="s">
        <v>893</v>
      </c>
      <c r="P2" s="106">
        <v>46203</v>
      </c>
      <c r="Q2" s="100" t="s">
        <v>1234</v>
      </c>
      <c r="R2" s="103">
        <v>117580</v>
      </c>
      <c r="S2" s="103">
        <v>117580</v>
      </c>
      <c r="T2" s="103"/>
      <c r="U2" s="103"/>
      <c r="V2" s="100"/>
      <c r="W2" s="102">
        <v>1</v>
      </c>
      <c r="X2" s="102">
        <v>6.868E-3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7" t="s">
        <v>104</v>
      </c>
      <c r="R1" s="107" t="s">
        <v>105</v>
      </c>
      <c r="S1" s="108" t="s">
        <v>181</v>
      </c>
      <c r="T1" s="104" t="s">
        <v>182</v>
      </c>
      <c r="U1" s="104" t="s">
        <v>16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6"/>
      <c r="R2" s="106"/>
      <c r="S2" s="102"/>
      <c r="T2" s="103"/>
      <c r="U2" s="103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4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332</v>
      </c>
      <c r="B2" s="100">
        <v>332</v>
      </c>
      <c r="C2" s="100" t="s">
        <v>1393</v>
      </c>
      <c r="D2" s="100">
        <v>1111115</v>
      </c>
      <c r="E2" s="100" t="s">
        <v>1057</v>
      </c>
      <c r="F2" s="100" t="s">
        <v>202</v>
      </c>
      <c r="G2" s="100" t="s">
        <v>202</v>
      </c>
      <c r="H2" s="100" t="s">
        <v>336</v>
      </c>
      <c r="I2" s="106">
        <v>46203</v>
      </c>
      <c r="J2" s="100" t="s">
        <v>1234</v>
      </c>
      <c r="K2" s="106">
        <v>46203</v>
      </c>
      <c r="L2" s="103">
        <v>955.69215999999994</v>
      </c>
      <c r="M2" s="103">
        <v>1</v>
      </c>
      <c r="N2" s="103">
        <v>955.69215999999994</v>
      </c>
      <c r="O2" s="103"/>
      <c r="P2" s="100"/>
      <c r="Q2" s="102">
        <v>8.2999999999999998E-5</v>
      </c>
      <c r="R2" s="102">
        <v>5.5000000000000002E-5</v>
      </c>
    </row>
    <row r="3" spans="1:26" ht="13.5" customHeight="1">
      <c r="A3" s="100">
        <v>332</v>
      </c>
      <c r="B3" s="100">
        <v>332</v>
      </c>
      <c r="C3" s="100" t="s">
        <v>1394</v>
      </c>
      <c r="D3" s="100">
        <v>7893907</v>
      </c>
      <c r="E3" s="100" t="s">
        <v>1055</v>
      </c>
      <c r="F3" s="100" t="s">
        <v>202</v>
      </c>
      <c r="G3" s="100" t="s">
        <v>202</v>
      </c>
      <c r="H3" s="100" t="s">
        <v>336</v>
      </c>
      <c r="I3" s="106">
        <v>37668</v>
      </c>
      <c r="J3" s="100" t="s">
        <v>1234</v>
      </c>
      <c r="K3" s="106">
        <v>46203</v>
      </c>
      <c r="L3" s="103">
        <v>11379669.98542</v>
      </c>
      <c r="M3" s="103">
        <v>1</v>
      </c>
      <c r="N3" s="103">
        <v>11379669.98542</v>
      </c>
      <c r="O3" s="101"/>
      <c r="P3" s="100"/>
      <c r="Q3" s="102">
        <v>0.99423700000000004</v>
      </c>
      <c r="R3" s="102">
        <v>0.66473000000000004</v>
      </c>
    </row>
    <row r="4" spans="1:26" ht="13.5" customHeight="1">
      <c r="A4" s="100">
        <v>332</v>
      </c>
      <c r="B4" s="100">
        <v>332</v>
      </c>
      <c r="C4" s="100" t="s">
        <v>1395</v>
      </c>
      <c r="D4" s="100">
        <v>7900000</v>
      </c>
      <c r="E4" s="100" t="s">
        <v>1054</v>
      </c>
      <c r="F4" s="100" t="s">
        <v>202</v>
      </c>
      <c r="G4" s="100" t="s">
        <v>202</v>
      </c>
      <c r="H4" s="100" t="s">
        <v>336</v>
      </c>
      <c r="I4" s="106">
        <v>39658</v>
      </c>
      <c r="J4" s="100" t="s">
        <v>1234</v>
      </c>
      <c r="K4" s="106">
        <v>46203</v>
      </c>
      <c r="L4" s="103">
        <v>65000</v>
      </c>
      <c r="M4" s="103">
        <v>1</v>
      </c>
      <c r="N4" s="103">
        <v>65000</v>
      </c>
      <c r="O4" s="101"/>
      <c r="P4" s="100"/>
      <c r="Q4" s="102">
        <v>5.679E-3</v>
      </c>
      <c r="R4" s="102">
        <v>3.7959999999999999E-3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7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4" t="s">
        <v>62</v>
      </c>
      <c r="P1" s="108" t="s">
        <v>63</v>
      </c>
      <c r="Q1" s="21" t="s">
        <v>158</v>
      </c>
      <c r="R1" s="104" t="s">
        <v>187</v>
      </c>
      <c r="S1" s="104" t="s">
        <v>188</v>
      </c>
      <c r="T1" s="108" t="s">
        <v>189</v>
      </c>
    </row>
    <row r="2" spans="1:20" ht="13.5" customHeight="1">
      <c r="A2" s="100">
        <v>332</v>
      </c>
      <c r="B2" s="100">
        <v>332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0"/>
      <c r="O2" s="103"/>
      <c r="P2" s="102"/>
      <c r="Q2" s="100"/>
      <c r="R2" s="103"/>
      <c r="S2" s="103"/>
      <c r="T2" s="102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7" t="s">
        <v>190</v>
      </c>
      <c r="L1" s="104" t="s">
        <v>191</v>
      </c>
      <c r="M1" s="104" t="s">
        <v>192</v>
      </c>
      <c r="N1" s="104" t="s">
        <v>193</v>
      </c>
      <c r="O1" s="104" t="s">
        <v>194</v>
      </c>
      <c r="P1" s="108" t="s">
        <v>195</v>
      </c>
      <c r="Q1" s="107" t="s">
        <v>196</v>
      </c>
    </row>
    <row r="2" spans="1:17" ht="13.5" customHeight="1">
      <c r="A2" s="100">
        <v>332</v>
      </c>
      <c r="B2" s="100">
        <v>332</v>
      </c>
      <c r="C2" s="100"/>
      <c r="D2" s="100"/>
      <c r="E2" s="100"/>
      <c r="F2" s="100"/>
      <c r="G2" s="100"/>
      <c r="H2" s="100"/>
      <c r="I2" s="100"/>
      <c r="J2" s="100"/>
      <c r="K2" s="106"/>
      <c r="L2" s="103"/>
      <c r="M2" s="103"/>
      <c r="N2" s="103"/>
      <c r="O2" s="103"/>
      <c r="P2" s="102"/>
      <c r="Q2" s="106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2026-07-27T05:39:39Z</dcterms:modified>
</cp:coreProperties>
</file>