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517BF3CF-3E4B-4371-9F3E-3C70D259E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3" i="2" l="1"/>
  <c r="E24" i="2"/>
  <c r="E19" i="2"/>
  <c r="E9" i="2"/>
  <c r="E6" i="2"/>
  <c r="E16" i="2"/>
  <c r="E11" i="2"/>
  <c r="E4" i="2"/>
  <c r="E5" i="2"/>
  <c r="E30" i="2"/>
  <c r="E25" i="2"/>
  <c r="E28" i="2"/>
  <c r="E27" i="2"/>
  <c r="E13" i="2"/>
  <c r="E14" i="2"/>
  <c r="E12" i="2"/>
  <c r="E20" i="2"/>
  <c r="E8" i="2"/>
  <c r="E15" i="2"/>
  <c r="E10" i="2"/>
  <c r="E29" i="2"/>
  <c r="E18" i="2"/>
  <c r="E7" i="2"/>
  <c r="E26" i="2"/>
  <c r="E21" i="2"/>
  <c r="E3" i="2"/>
  <c r="E22" i="2"/>
</calcChain>
</file>

<file path=xl/sharedStrings.xml><?xml version="1.0" encoding="utf-8"?>
<sst xmlns="http://schemas.openxmlformats.org/spreadsheetml/2006/main" count="5176" uniqueCount="1424">
  <si>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</si>
  <si>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</si>
  <si>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</si>
  <si>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</si>
  <si>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</si>
  <si>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</si>
  <si>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</si>
  <si>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</si>
  <si>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</si>
  <si>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</si>
  <si>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</si>
  <si>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</si>
  <si>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</si>
  <si>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</si>
  <si>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</si>
  <si>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</si>
  <si>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</si>
  <si>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</si>
  <si>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</si>
  <si>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</si>
  <si>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</si>
  <si>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</si>
  <si>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</si>
  <si>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</si>
  <si>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</si>
  <si>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</si>
  <si>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</si>
  <si>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</si>
  <si>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</si>
  <si>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</si>
  <si>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</si>
  <si>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</si>
  <si>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</si>
  <si>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</si>
  <si>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</si>
  <si>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</si>
  <si>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</si>
  <si>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</si>
  <si>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</si>
  <si>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</si>
  <si>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</si>
  <si>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</si>
  <si>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</si>
  <si>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</si>
  <si>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</si>
  <si>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</si>
  <si>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</si>
  <si>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</si>
  <si>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</si>
  <si>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</si>
  <si>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</si>
  <si>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</si>
  <si>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</si>
  <si>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</si>
  <si>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</si>
  <si>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</si>
  <si>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</si>
  <si>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</si>
  <si>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</si>
  <si>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</si>
  <si>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</si>
  <si>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</si>
  <si>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</si>
  <si>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</si>
  <si>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</si>
  <si>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</si>
  <si>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</si>
  <si>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</si>
  <si>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</si>
  <si>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</si>
  <si>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</si>
  <si>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</si>
  <si>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</si>
  <si>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</si>
  <si>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</si>
  <si>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</si>
  <si>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</si>
  <si>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</si>
  <si>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</si>
  <si>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</si>
  <si>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</si>
  <si>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</si>
  <si>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</si>
  <si>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</si>
  <si>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</si>
  <si>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</si>
  <si>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</si>
  <si>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</si>
  <si>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</si>
  <si>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</si>
  <si>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</si>
  <si>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</si>
  <si>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</si>
  <si>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</si>
  <si>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</si>
  <si>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</si>
  <si>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</si>
  <si>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</si>
  <si>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</si>
  <si>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</si>
  <si>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</si>
  <si>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</si>
  <si>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</si>
  <si>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</si>
  <si>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</si>
  <si>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</si>
  <si>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</si>
  <si>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</si>
  <si>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</si>
  <si>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</si>
  <si>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</si>
  <si>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</si>
  <si>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</si>
  <si>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</si>
  <si>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</si>
  <si>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</si>
  <si>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</si>
  <si>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</si>
  <si>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</si>
  <si>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</si>
  <si>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</si>
  <si>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</si>
  <si>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</si>
  <si>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</si>
  <si>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</si>
  <si>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</si>
  <si>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</si>
  <si>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</si>
  <si>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</si>
  <si>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</si>
  <si>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</si>
  <si>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</si>
  <si>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</si>
  <si>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</si>
  <si>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</si>
  <si>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</si>
  <si>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</si>
  <si>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</si>
  <si>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</si>
  <si>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</si>
  <si>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</si>
  <si>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</si>
  <si>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</si>
  <si>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</si>
  <si>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</si>
  <si>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</si>
  <si>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</si>
  <si>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</si>
  <si>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</si>
  <si>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</si>
  <si>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</si>
  <si>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</si>
  <si>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</si>
  <si>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</si>
  <si>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</si>
  <si>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</si>
  <si>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</si>
  <si>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</si>
  <si>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</si>
  <si>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</si>
  <si>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</si>
  <si>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</si>
  <si>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</si>
  <si>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</si>
  <si>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</si>
  <si>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</si>
  <si>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</si>
  <si>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</si>
  <si>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</si>
  <si>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</si>
  <si>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</si>
  <si>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</si>
  <si>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</si>
  <si>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</si>
  <si>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</si>
  <si>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</si>
  <si>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</si>
  <si>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</si>
  <si>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</si>
  <si>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</si>
  <si>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</si>
  <si>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</si>
  <si>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</si>
  <si>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</si>
  <si>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</si>
  <si>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</si>
  <si>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</si>
  <si>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</si>
  <si>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</si>
  <si>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</si>
  <si>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</si>
  <si>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</si>
  <si>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</si>
  <si>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</si>
  <si>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</si>
  <si>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</si>
  <si>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</si>
  <si>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</si>
  <si>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</si>
  <si>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</si>
  <si>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</si>
  <si>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</si>
  <si>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</si>
  <si>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</si>
  <si>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</si>
  <si>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</si>
  <si>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</si>
  <si>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</si>
  <si>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</si>
  <si>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</si>
  <si>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</si>
  <si>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</si>
  <si>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</si>
  <si>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</si>
  <si>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</si>
  <si>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</si>
  <si>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</si>
  <si>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</si>
  <si>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</si>
  <si>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</si>
  <si>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</si>
  <si>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</si>
  <si>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</si>
  <si>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</si>
  <si>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</si>
  <si>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</si>
  <si>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</si>
  <si>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</si>
  <si>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</si>
  <si>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</si>
  <si>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</si>
  <si>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</si>
  <si>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</si>
  <si>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</si>
  <si>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</si>
  <si>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</si>
  <si>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</si>
  <si>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</si>
  <si>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</si>
  <si>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</si>
  <si>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</si>
  <si>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</si>
  <si>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</si>
  <si>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</si>
  <si>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</si>
  <si>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</si>
  <si>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</si>
  <si>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</si>
  <si>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</si>
  <si>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</si>
  <si>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</si>
  <si>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</si>
  <si>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</si>
  <si>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</si>
  <si>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</si>
  <si>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</si>
  <si>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</si>
  <si>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</si>
  <si>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</si>
  <si>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</si>
  <si>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</si>
  <si>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</si>
  <si>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</si>
  <si>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</si>
  <si>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</si>
  <si>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</si>
  <si>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</si>
  <si>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</si>
  <si>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</si>
  <si>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</si>
  <si>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</si>
  <si>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</si>
  <si>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</si>
  <si>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</si>
  <si>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</si>
  <si>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</si>
  <si>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</si>
  <si>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</si>
  <si>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</si>
  <si>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</si>
  <si>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</si>
  <si>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</si>
  <si>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</si>
  <si>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</si>
  <si>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</si>
  <si>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</si>
  <si>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</si>
  <si>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</si>
  <si>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</si>
  <si>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</si>
  <si>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</si>
  <si>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</si>
  <si>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</si>
  <si>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</si>
  <si>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</si>
  <si>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</si>
  <si>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</si>
  <si>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</si>
  <si>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</si>
  <si>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</si>
  <si>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</si>
  <si>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</si>
  <si>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</si>
  <si>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</si>
  <si>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</si>
  <si>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</si>
  <si>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</si>
  <si>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</si>
  <si>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</si>
  <si>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</si>
  <si>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</si>
  <si>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</si>
  <si>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</si>
  <si>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</si>
  <si>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</si>
  <si>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</si>
  <si>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</si>
  <si>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</si>
  <si>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</si>
  <si>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</si>
  <si>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</si>
  <si>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</si>
  <si>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</si>
  <si>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</si>
  <si>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</si>
  <si>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</si>
  <si>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</si>
  <si>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</si>
  <si>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</si>
  <si>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</si>
  <si>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</si>
  <si>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</si>
  <si>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</si>
  <si>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</si>
  <si>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</si>
  <si>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</si>
  <si>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</si>
  <si>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</si>
  <si>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</si>
  <si>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</si>
  <si>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</si>
  <si>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</si>
  <si>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</si>
  <si>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</si>
  <si>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</si>
  <si>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</si>
  <si>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</si>
  <si>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</si>
  <si>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</si>
  <si>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</si>
  <si>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</si>
  <si>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</si>
  <si>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</si>
  <si>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</si>
  <si>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</si>
  <si>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</si>
  <si>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</si>
  <si>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</si>
  <si>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</si>
  <si>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</si>
  <si>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</si>
  <si>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</si>
  <si>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</si>
  <si>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</si>
  <si>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</si>
  <si>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</si>
  <si>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</si>
  <si>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</si>
  <si>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</si>
  <si>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</si>
  <si>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</si>
  <si>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</si>
  <si>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</si>
  <si>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</si>
  <si>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</si>
  <si>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</si>
  <si>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</si>
  <si>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</si>
  <si>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</si>
  <si>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</si>
  <si>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</si>
  <si>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</si>
  <si>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</si>
  <si>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</si>
  <si>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</si>
  <si>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</si>
  <si>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</si>
  <si>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</si>
  <si>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</si>
  <si>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</si>
  <si>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</si>
  <si>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</si>
  <si>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</si>
  <si>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</si>
  <si>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</si>
  <si>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</si>
  <si>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</si>
  <si>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</si>
  <si>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</si>
  <si>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</si>
  <si>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</si>
  <si>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</si>
  <si>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</si>
  <si>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</si>
  <si>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</si>
  <si>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</si>
  <si>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</si>
  <si>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</si>
  <si>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</si>
  <si>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</si>
  <si>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</si>
  <si>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</si>
  <si>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</si>
  <si>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</si>
  <si>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</si>
  <si>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</si>
  <si>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</si>
  <si>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</si>
  <si>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</si>
  <si>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</si>
  <si>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</si>
  <si>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</si>
  <si>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</si>
  <si>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</si>
  <si>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</si>
  <si>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</si>
  <si>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</si>
  <si>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</si>
  <si>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</si>
  <si>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</si>
  <si>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</si>
  <si>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</si>
  <si>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</si>
  <si>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</si>
  <si>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</si>
  <si>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</si>
  <si>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</si>
  <si>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</si>
  <si>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</si>
  <si>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</si>
  <si>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</si>
  <si>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</si>
  <si>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</si>
  <si>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</si>
  <si>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</si>
  <si>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</si>
  <si>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</si>
  <si>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</si>
  <si>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</si>
  <si>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</si>
  <si>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</si>
  <si>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</si>
  <si>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</si>
  <si>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</si>
  <si>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</si>
  <si>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</si>
  <si>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</si>
  <si>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</si>
  <si>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</si>
  <si>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</si>
  <si>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</si>
  <si>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</si>
  <si>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</si>
  <si>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</si>
  <si>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</si>
  <si>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</si>
  <si>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</si>
  <si>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</si>
  <si>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</si>
  <si>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</si>
  <si>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</si>
  <si>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</si>
  <si>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</si>
  <si>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</si>
  <si>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</si>
  <si>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</si>
  <si>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</si>
  <si>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</si>
  <si>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</si>
  <si>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</si>
  <si>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</si>
  <si>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</si>
  <si>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</si>
  <si>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</si>
  <si>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</si>
  <si>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</si>
  <si>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</si>
  <si>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</si>
  <si>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</si>
  <si>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</si>
  <si>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</si>
  <si>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</si>
  <si>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</si>
  <si>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</si>
  <si>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</si>
  <si>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</si>
  <si>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</si>
  <si>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</si>
  <si>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</si>
  <si>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</si>
  <si>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</si>
  <si>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</si>
  <si>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</si>
  <si>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</si>
  <si>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</si>
  <si>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</si>
  <si>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</si>
  <si>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</si>
  <si>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</si>
  <si>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</si>
  <si>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</si>
  <si>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</si>
  <si>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</si>
  <si>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</si>
  <si>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</si>
  <si>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</si>
  <si>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</si>
  <si>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</si>
  <si>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</si>
  <si>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</si>
  <si>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</si>
  <si>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</si>
  <si>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</si>
  <si>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</si>
  <si>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</si>
  <si>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</si>
  <si>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</si>
  <si>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</si>
  <si>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</si>
  <si>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</si>
  <si>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</si>
  <si>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</si>
  <si>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</si>
  <si>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</si>
  <si>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</si>
  <si>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</si>
  <si>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</si>
  <si>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</si>
  <si>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</si>
  <si>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</si>
  <si>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</si>
  <si>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</si>
  <si>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</si>
  <si>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</si>
  <si>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</si>
  <si>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</si>
  <si>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</si>
  <si>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</si>
  <si>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</si>
  <si>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</si>
  <si>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</si>
  <si>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</si>
  <si>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</si>
  <si>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</si>
  <si>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</si>
  <si>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</si>
  <si>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</si>
  <si>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</si>
  <si>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</si>
  <si>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</si>
  <si>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</si>
  <si>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</si>
  <si>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</si>
  <si>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</si>
  <si>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</si>
  <si>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</si>
  <si>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</si>
  <si>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</si>
  <si>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</si>
  <si>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</si>
  <si>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</si>
  <si>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</si>
  <si>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</si>
  <si>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</si>
  <si>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</si>
  <si>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</si>
  <si>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</si>
  <si>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</si>
  <si>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</si>
  <si>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</si>
  <si>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</si>
  <si>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</si>
  <si>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</si>
  <si>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</si>
  <si>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</si>
  <si>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</si>
  <si>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</si>
  <si>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</si>
  <si>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</si>
  <si>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</si>
  <si>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</si>
  <si>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</si>
  <si>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</si>
  <si>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</si>
  <si>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</si>
  <si>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</si>
  <si>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</si>
  <si>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</si>
  <si>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</si>
  <si>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</si>
  <si>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</si>
  <si>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</si>
  <si>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</si>
  <si>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</si>
  <si>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</si>
  <si>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</si>
  <si>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</si>
  <si>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</si>
  <si>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</si>
  <si>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</si>
  <si>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</si>
  <si>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</si>
  <si>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</si>
  <si>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</si>
  <si>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</si>
  <si>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</si>
  <si>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</si>
  <si>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</si>
  <si>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</si>
  <si>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</si>
  <si>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</si>
  <si>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</si>
  <si>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</si>
  <si>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</si>
  <si>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</si>
  <si>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</si>
  <si>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</si>
  <si>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</si>
  <si>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</si>
  <si>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</si>
  <si>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</si>
  <si>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</si>
  <si>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</si>
  <si>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</si>
  <si>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</si>
  <si>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</si>
  <si>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</si>
  <si>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</si>
  <si>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</si>
  <si>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</si>
  <si>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</si>
  <si>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</si>
  <si>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</si>
  <si>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</si>
  <si>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</si>
  <si>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</si>
  <si>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</si>
  <si>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</si>
  <si>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</si>
  <si>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</si>
  <si>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</si>
  <si>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</si>
  <si>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</si>
  <si>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</si>
  <si>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</si>
  <si>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</si>
  <si>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</si>
  <si>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</si>
  <si>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</si>
  <si>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</si>
  <si>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</si>
  <si>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</si>
  <si>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</si>
  <si>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</si>
  <si>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</si>
  <si>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</si>
  <si>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</si>
  <si>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</si>
  <si>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</si>
  <si>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</si>
  <si>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</si>
  <si>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</si>
  <si>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</si>
  <si>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</si>
  <si>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</si>
  <si>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</si>
  <si>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</si>
  <si>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</si>
  <si>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</si>
  <si>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</si>
  <si>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</si>
  <si>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</si>
  <si>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</si>
  <si>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</si>
  <si>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</si>
  <si>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</si>
  <si>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</si>
  <si>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</si>
  <si>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</si>
  <si>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</si>
  <si>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</si>
  <si>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</si>
  <si>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</si>
  <si>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</si>
  <si>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</si>
  <si>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</si>
  <si>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</si>
  <si>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</si>
  <si>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</si>
  <si>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</si>
  <si>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</si>
  <si>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</si>
  <si>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</si>
  <si>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</si>
  <si>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</si>
  <si>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</si>
  <si>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</si>
  <si>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</si>
  <si>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</si>
  <si>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</si>
  <si>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</si>
  <si>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</si>
  <si>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</si>
  <si>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</si>
  <si>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</si>
  <si>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</si>
  <si>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</si>
  <si>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</si>
  <si>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</si>
  <si>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</si>
  <si>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</si>
  <si>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</si>
  <si>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</si>
  <si>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</si>
  <si>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</si>
  <si>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</si>
  <si>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</si>
  <si>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</si>
  <si>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</si>
  <si>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</si>
  <si>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</si>
  <si>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</si>
  <si>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</si>
  <si>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</si>
  <si>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</si>
  <si>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</si>
  <si>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</si>
  <si>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</si>
  <si>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</si>
  <si>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</si>
  <si>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</si>
  <si>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</si>
  <si>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</si>
  <si>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</si>
  <si>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</si>
  <si>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</si>
  <si>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</si>
  <si>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</si>
  <si>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</si>
  <si>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</si>
  <si>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</si>
  <si>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</si>
  <si>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</si>
  <si>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</si>
  <si>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</si>
  <si>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</si>
  <si>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</si>
  <si>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</si>
  <si>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</si>
  <si>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</si>
  <si>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</si>
  <si>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</si>
  <si>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</si>
  <si>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</si>
  <si>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</si>
  <si>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</si>
  <si>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</si>
  <si>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</si>
  <si>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</si>
  <si>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</si>
  <si>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</si>
  <si>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</si>
  <si>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</si>
  <si>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</si>
  <si>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</si>
  <si>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</si>
  <si>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</si>
  <si>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</si>
  <si>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</si>
  <si>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</si>
  <si>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</si>
  <si>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</si>
  <si>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</si>
  <si>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</si>
  <si>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</si>
  <si>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</si>
  <si>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</si>
  <si>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</si>
  <si>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</si>
  <si>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</si>
  <si>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</si>
  <si>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</si>
  <si>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</si>
  <si>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</si>
  <si>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</si>
  <si>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</si>
  <si>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</si>
  <si>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</si>
  <si>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</si>
  <si>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</si>
  <si>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</si>
  <si>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</si>
  <si>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</si>
  <si>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</si>
  <si>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</si>
  <si>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</si>
  <si>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</si>
  <si>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</si>
  <si>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</si>
  <si>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</si>
  <si>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</si>
  <si>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</si>
  <si>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</si>
  <si>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</si>
  <si>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</si>
  <si>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</si>
  <si>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</si>
  <si>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</si>
  <si>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</si>
  <si>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</si>
  <si>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</si>
  <si>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</si>
  <si>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</si>
  <si>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</si>
  <si>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</si>
  <si>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</si>
  <si>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</si>
  <si>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</si>
  <si>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</si>
  <si>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</si>
  <si>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</si>
  <si>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</si>
  <si>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</si>
  <si>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</si>
  <si>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</si>
  <si>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</si>
  <si>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</si>
  <si>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</si>
  <si>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</si>
  <si>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</si>
  <si>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</si>
  <si>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</si>
  <si>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</si>
  <si>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</si>
  <si>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</si>
  <si>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</si>
  <si>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</si>
  <si>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</si>
  <si>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</si>
  <si>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</si>
  <si>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</si>
  <si>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</si>
  <si>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</si>
  <si>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</si>
  <si>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</si>
  <si>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</si>
  <si>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</si>
  <si>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</si>
  <si>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</si>
  <si>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</si>
  <si>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</si>
  <si>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</si>
  <si>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</si>
  <si>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</si>
  <si>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</si>
  <si>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</si>
  <si>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</si>
  <si>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</si>
  <si>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</si>
  <si>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</si>
  <si>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</si>
  <si>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</si>
  <si>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</si>
  <si>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</si>
  <si>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</si>
  <si>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</si>
  <si>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</si>
  <si>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</si>
  <si>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</si>
  <si>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</si>
  <si>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</si>
  <si>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</si>
  <si>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</si>
  <si>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</si>
  <si>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</si>
  <si>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</si>
  <si>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</si>
  <si>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</si>
  <si>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</si>
  <si>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</si>
  <si>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</si>
  <si>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</si>
  <si>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</si>
  <si>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</si>
  <si>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</si>
  <si>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</si>
  <si>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</si>
  <si>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</si>
  <si>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</si>
  <si>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</si>
  <si>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</si>
  <si>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</si>
  <si>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</si>
  <si>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</si>
  <si>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</si>
  <si>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</si>
  <si>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</si>
  <si>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</si>
  <si>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</si>
  <si>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</si>
  <si>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</si>
  <si>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</si>
  <si>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</si>
  <si>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</si>
  <si>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</si>
  <si>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</si>
  <si>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</si>
  <si>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</si>
  <si>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</si>
  <si>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</si>
  <si>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</si>
  <si>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</si>
  <si>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</si>
  <si>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</si>
  <si>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</si>
  <si>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</si>
  <si>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</si>
  <si>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</si>
  <si>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</si>
  <si>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</si>
  <si>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</si>
  <si>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</si>
  <si>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</si>
  <si>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</si>
  <si>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</si>
  <si>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</si>
  <si>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</si>
  <si>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</si>
  <si>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</si>
  <si>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</si>
  <si>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</si>
  <si>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</si>
  <si>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</si>
  <si>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</si>
  <si>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</si>
  <si>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</si>
  <si>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</si>
  <si>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</si>
  <si>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</si>
  <si>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</si>
  <si>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</si>
  <si>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</si>
  <si>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</si>
  <si>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</si>
  <si>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</si>
  <si>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</si>
  <si>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</si>
  <si>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</si>
  <si>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</si>
  <si>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</si>
  <si>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</si>
  <si>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</si>
  <si>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</si>
  <si>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</si>
  <si>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</si>
  <si>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</si>
  <si>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</si>
  <si>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</si>
  <si>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</si>
  <si>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</si>
  <si>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</si>
  <si>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</si>
  <si>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</si>
  <si>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</si>
  <si>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</si>
  <si>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</si>
  <si>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</si>
  <si>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</si>
  <si>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</si>
  <si>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</si>
  <si>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</si>
  <si>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</si>
  <si>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</si>
  <si>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</si>
  <si>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</si>
  <si>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</si>
  <si>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</si>
  <si>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</si>
  <si>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</si>
  <si>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</si>
  <si>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</si>
  <si>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</si>
  <si>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</si>
  <si>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</si>
  <si>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</si>
  <si>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</si>
  <si>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</si>
  <si>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</si>
  <si>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</si>
  <si>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</si>
  <si>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</si>
  <si>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</si>
  <si>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</si>
  <si>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</si>
  <si>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</si>
  <si>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</si>
  <si>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</si>
  <si>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</si>
  <si>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</si>
  <si>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</si>
  <si>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</si>
  <si>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</si>
  <si>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</si>
  <si>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</si>
  <si>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</si>
  <si>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</si>
  <si>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</si>
  <si>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</si>
  <si>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</si>
  <si>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</si>
  <si>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</si>
  <si>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</si>
  <si>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</si>
  <si>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</si>
  <si>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</si>
  <si>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</si>
  <si>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</si>
  <si>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</si>
  <si>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</si>
  <si>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</si>
  <si>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</si>
  <si>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</si>
  <si>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</si>
  <si>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</si>
  <si>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</si>
  <si>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</si>
  <si>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</si>
  <si>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</si>
  <si>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</si>
  <si>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</si>
  <si>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</si>
  <si>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</si>
  <si>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</si>
  <si>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</si>
  <si>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</si>
  <si>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</si>
  <si>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</si>
  <si>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</si>
  <si>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</si>
  <si>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</si>
  <si>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</si>
  <si>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</si>
  <si>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</si>
  <si>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</si>
  <si>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</si>
  <si>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</si>
  <si>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</si>
  <si>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</si>
  <si>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</si>
  <si>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</si>
  <si>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</si>
  <si>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</si>
  <si>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</si>
  <si>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</si>
  <si>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</si>
  <si>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</si>
  <si>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</si>
  <si>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</si>
  <si>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</si>
  <si>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</si>
  <si>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</si>
  <si>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</si>
  <si>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</si>
  <si>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</si>
  <si>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</si>
  <si>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</si>
  <si>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</si>
  <si>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</si>
  <si>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</si>
  <si>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</si>
  <si>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</si>
  <si>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</si>
  <si>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</si>
  <si>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</si>
  <si>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</si>
  <si>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</si>
  <si>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</si>
  <si>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</si>
  <si>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</si>
  <si>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</si>
  <si>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</si>
  <si>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</si>
  <si>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</si>
  <si>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</si>
  <si>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</si>
  <si>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</si>
  <si>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</si>
  <si>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</si>
  <si>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</si>
  <si>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</si>
  <si>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</si>
  <si>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</si>
  <si>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</si>
  <si>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</si>
  <si>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</si>
  <si>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</si>
  <si>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</si>
  <si>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</si>
  <si>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</si>
  <si>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</si>
  <si>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</si>
  <si>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</si>
  <si>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</si>
  <si>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</si>
  <si>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</si>
  <si>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</si>
  <si>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</si>
  <si>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</si>
  <si>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</si>
  <si>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</si>
  <si>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</si>
  <si>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</si>
  <si>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</si>
  <si>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</si>
  <si>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</si>
  <si>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</si>
  <si>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</si>
  <si>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</si>
  <si>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</si>
  <si>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</si>
  <si>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</si>
  <si>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</si>
  <si>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</si>
  <si>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</si>
  <si>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</si>
  <si>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</si>
  <si>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</si>
  <si>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</si>
  <si>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</si>
  <si>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</si>
  <si>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</si>
  <si>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</si>
  <si>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</si>
  <si>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</si>
  <si>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</si>
  <si>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</si>
  <si>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</si>
  <si>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</si>
  <si>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</si>
  <si>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</si>
  <si>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</si>
  <si>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</si>
  <si>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</si>
  <si>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</si>
  <si>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</si>
  <si>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</si>
  <si>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</si>
  <si>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</si>
  <si>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</si>
  <si>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</si>
  <si>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</si>
  <si>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</si>
  <si>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</si>
  <si>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</si>
  <si>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</si>
  <si>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</si>
  <si>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</si>
  <si>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</si>
  <si>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</si>
  <si>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</si>
  <si>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</si>
  <si>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</si>
  <si>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</si>
  <si>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</si>
  <si>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</si>
  <si>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</si>
  <si>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</si>
  <si>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</si>
  <si>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</si>
  <si>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</si>
  <si>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</si>
  <si>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</si>
  <si>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</si>
  <si>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</si>
  <si>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</si>
  <si>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</si>
  <si>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</si>
  <si>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</si>
  <si>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</si>
  <si>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</si>
  <si>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</si>
  <si>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</si>
  <si>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</si>
  <si>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</si>
  <si>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</si>
  <si>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</si>
  <si>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</si>
  <si>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</si>
  <si>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</si>
  <si>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</si>
  <si>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</si>
  <si>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</si>
  <si>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</si>
  <si>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</si>
  <si>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</si>
  <si>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</si>
  <si>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</si>
  <si>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</si>
  <si>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</si>
  <si>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</si>
  <si>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</si>
  <si>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</si>
  <si>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</si>
  <si>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</si>
  <si>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</si>
  <si>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</si>
  <si>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</si>
  <si>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</si>
  <si>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</si>
  <si>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</si>
  <si>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</si>
  <si>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</si>
  <si>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</si>
  <si>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</si>
  <si>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</si>
  <si>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</si>
  <si>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</si>
  <si>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</si>
  <si>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</si>
  <si>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</si>
  <si>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</si>
  <si>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</si>
  <si>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</si>
  <si>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EUR</t>
  </si>
  <si>
    <t>בנק מזרחי</t>
  </si>
  <si>
    <t>20-21</t>
  </si>
  <si>
    <t>Aaa.il</t>
  </si>
  <si>
    <t>ILS</t>
  </si>
  <si>
    <t>USD</t>
  </si>
  <si>
    <t>בנק הפועלים</t>
  </si>
  <si>
    <t>12-600</t>
  </si>
  <si>
    <t>יו-בנק</t>
  </si>
  <si>
    <t>26-273</t>
  </si>
  <si>
    <t>ממשלת ישראל</t>
  </si>
  <si>
    <t>ממשל צמודה 0456</t>
  </si>
  <si>
    <t>IL0012307133</t>
  </si>
  <si>
    <t>ilRF</t>
  </si>
  <si>
    <t>ממשלתי  צמוד 0841</t>
  </si>
  <si>
    <t>IL0011205833</t>
  </si>
  <si>
    <t>ממשל צמודה 1131</t>
  </si>
  <si>
    <t>IL0011722209</t>
  </si>
  <si>
    <t>ממשלתי שקלי 1152</t>
  </si>
  <si>
    <t>IL0011840761</t>
  </si>
  <si>
    <t>ממשלתי צמוד 0837</t>
  </si>
  <si>
    <t>IL0012372053</t>
  </si>
  <si>
    <t>ממשלתי צמוד  1151</t>
  </si>
  <si>
    <t>IL0011683013</t>
  </si>
  <si>
    <t>ממשלתי שקלי 142</t>
  </si>
  <si>
    <t>IL0011254005</t>
  </si>
  <si>
    <t>ממשל צמודה 1033</t>
  </si>
  <si>
    <t>IL0012043795</t>
  </si>
  <si>
    <t>ממשל שקלית 0330</t>
  </si>
  <si>
    <t>IL0011609851</t>
  </si>
  <si>
    <t>ממשלתי צמוד 0545</t>
  </si>
  <si>
    <t>IL0011348658</t>
  </si>
  <si>
    <t>ממשלתי 0928</t>
  </si>
  <si>
    <t>IL0011508798</t>
  </si>
  <si>
    <t>ממשלתי צמוד 0536</t>
  </si>
  <si>
    <t>IL0010977085</t>
  </si>
  <si>
    <t>ממשלתי שקלי 347</t>
  </si>
  <si>
    <t>IL0011401937</t>
  </si>
  <si>
    <t>US Government</t>
  </si>
  <si>
    <t>B 0 04/15/27</t>
  </si>
  <si>
    <t>US912797UE52</t>
  </si>
  <si>
    <t>Aa1</t>
  </si>
  <si>
    <t>חברת החשמל לישראל בע"מ</t>
  </si>
  <si>
    <t>חשמל אגח 33</t>
  </si>
  <si>
    <t>IL0060003923</t>
  </si>
  <si>
    <t>דיסקונט מנפיקים בע"מ</t>
  </si>
  <si>
    <t>דיסקונט מנפיקים אגח טו</t>
  </si>
  <si>
    <t>IL0074803045</t>
  </si>
  <si>
    <t>פועלים התח נד ז</t>
  </si>
  <si>
    <t>IL0011913295</t>
  </si>
  <si>
    <t>ilAA-</t>
  </si>
  <si>
    <t>מזרחי טפחות הנפקות</t>
  </si>
  <si>
    <t>מזרחי טפחות הנפקות אגח 62</t>
  </si>
  <si>
    <t>IL0023104982</t>
  </si>
  <si>
    <t>חשמל 31</t>
  </si>
  <si>
    <t>IL0060002859</t>
  </si>
  <si>
    <t>פועלים 200</t>
  </si>
  <si>
    <t>IL0066204962</t>
  </si>
  <si>
    <t>מזרחי  טפחות הנפקות 64</t>
  </si>
  <si>
    <t>IL0023105559</t>
  </si>
  <si>
    <t>מימון ישיר</t>
  </si>
  <si>
    <t>מימון ישיר קבוצה ו</t>
  </si>
  <si>
    <t>IL0011916595</t>
  </si>
  <si>
    <t>A1.il</t>
  </si>
  <si>
    <t>מזרחי טפחות הנפקות 46</t>
  </si>
  <si>
    <t>IL0023102259</t>
  </si>
  <si>
    <t>מז טפ הנ אגח 66</t>
  </si>
  <si>
    <t>IL0011916678</t>
  </si>
  <si>
    <t>פועלים אגח 201</t>
  </si>
  <si>
    <t>IL0011913451</t>
  </si>
  <si>
    <t>מזרחי  טפחות הנפקות  52</t>
  </si>
  <si>
    <t>IL0023103810</t>
  </si>
  <si>
    <t>מקורות חברת מים בע"מ</t>
  </si>
  <si>
    <t>מקורות סדרה 10</t>
  </si>
  <si>
    <t>IL0011584682</t>
  </si>
  <si>
    <t>לאומי</t>
  </si>
  <si>
    <t>לאומי 186</t>
  </si>
  <si>
    <t>IL0012018391</t>
  </si>
  <si>
    <t>לאומי אגח 182</t>
  </si>
  <si>
    <t>IL0060405391</t>
  </si>
  <si>
    <t>לאומי 183</t>
  </si>
  <si>
    <t>IL0060405474</t>
  </si>
  <si>
    <t>מימון ישיר אגח ח</t>
  </si>
  <si>
    <t>IL0012426016</t>
  </si>
  <si>
    <t>מקורות סדרה 11</t>
  </si>
  <si>
    <t>IL0011584765</t>
  </si>
  <si>
    <t>חשמל אגח 27</t>
  </si>
  <si>
    <t>IL0060002107</t>
  </si>
  <si>
    <t>מזרחי טפ הנ אגח 68</t>
  </si>
  <si>
    <t>IL0012021429</t>
  </si>
  <si>
    <t>קבוצת עזריאלי בע"מ</t>
  </si>
  <si>
    <t>עזריאלי אגח יא</t>
  </si>
  <si>
    <t>IL0012433285</t>
  </si>
  <si>
    <t>ilAA+</t>
  </si>
  <si>
    <t>עזריאלי אגח ה</t>
  </si>
  <si>
    <t>IL0011566036</t>
  </si>
  <si>
    <t>Aa1.il</t>
  </si>
  <si>
    <t>נתיבי הגז הטבעי לישראל בע"מ</t>
  </si>
  <si>
    <t>נתיבי גז אגח ד</t>
  </si>
  <si>
    <t>IL0011475030</t>
  </si>
  <si>
    <t>קסם קרנות נאמנות בע"מ</t>
  </si>
  <si>
    <t>קסם ETF תלבונד 20</t>
  </si>
  <si>
    <t>IL0011459604</t>
  </si>
  <si>
    <t>הראל קרנות נאמנות בע"מ</t>
  </si>
  <si>
    <t>הראל סל תלבונד 40</t>
  </si>
  <si>
    <t>IL0011504995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</si>
  <si>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</si>
  <si>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</si>
  <si>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</si>
  <si>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</si>
  <si>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</si>
  <si>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</si>
  <si>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</si>
  <si>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</si>
  <si>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</si>
  <si>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</si>
  <si>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תכלית סל (00) תל בונד 40</t>
  </si>
  <si>
    <t>IL0011450934</t>
  </si>
  <si>
    <t>מגדל קרנות נאמנות בע"מ</t>
  </si>
  <si>
    <t>MTF סל (4A) ת"א 35</t>
  </si>
  <si>
    <t>IL0011501843</t>
  </si>
  <si>
    <t>הראל סל תא 35</t>
  </si>
  <si>
    <t>IL0011489072</t>
  </si>
  <si>
    <t>קסם ETF תא 35</t>
  </si>
  <si>
    <t>IL0011465700</t>
  </si>
  <si>
    <t>MTF סל תל בונד 60</t>
  </si>
  <si>
    <t>IL0011499964</t>
  </si>
  <si>
    <t>AMUNDI INVT SOLUTIONS</t>
  </si>
  <si>
    <t>213800WAVVOPS85N2205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</si>
  <si>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</si>
  <si>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</si>
  <si>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</si>
  <si>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</si>
  <si>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</si>
  <si>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</si>
  <si>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ISHARES</t>
  </si>
  <si>
    <t>529900VBK42Y5HHRMD23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</si>
  <si>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</si>
  <si>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</si>
  <si>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</si>
  <si>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</si>
  <si>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</si>
  <si>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</si>
  <si>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U127  LN -  MSCI Emerging Markets (P)</t>
  </si>
  <si>
    <t>LU2573966905</t>
  </si>
  <si>
    <t>ערד 8799 01.02.28 4.8%</t>
  </si>
  <si>
    <t>ערד 8894 01.02.36 4.8%</t>
  </si>
  <si>
    <t>ערד 8893 01.01.36 4.8%</t>
  </si>
  <si>
    <t>ערד 8883 02.02.35 4.8%</t>
  </si>
  <si>
    <t>ערד 8860 01.03.33 4.8%</t>
  </si>
  <si>
    <t>ערד 8859 01.02.33 4.8%</t>
  </si>
  <si>
    <t>ערד 8847 1.2.32 4.8%</t>
  </si>
  <si>
    <t>ערד 8835 01.02.31 4.8%</t>
  </si>
  <si>
    <t>ערד 8825 01.04.30 4.8%</t>
  </si>
  <si>
    <t>ערד 8824 01.03.30 4.8%</t>
  </si>
  <si>
    <t>ערד 8823 01.02.30 4.8%</t>
  </si>
  <si>
    <t>ערד 8822 1.1.30 4.8%</t>
  </si>
  <si>
    <t>ערד 8814 01.5.29 4.8%</t>
  </si>
  <si>
    <t>ערד 8811 02.2.29 4.8%</t>
  </si>
  <si>
    <t>ערד 8810 01.1.29 4.8%</t>
  </si>
  <si>
    <t>ערד 8808 01.11.28 4.8%</t>
  </si>
  <si>
    <t>ערד 8897 02.05.36 4.8%</t>
  </si>
  <si>
    <t>ערד 8898 01.06.36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</si>
  <si>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</si>
  <si>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</si>
  <si>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</si>
  <si>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</si>
  <si>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</si>
  <si>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</si>
  <si>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</si>
  <si>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</si>
  <si>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</si>
  <si>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</si>
  <si>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</si>
  <si>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</si>
  <si>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</si>
  <si>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</si>
  <si>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</si>
  <si>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</si>
  <si>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</si>
  <si>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</si>
  <si>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</si>
  <si>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</si>
  <si>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</si>
  <si>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</si>
  <si>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</si>
  <si>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</si>
  <si>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נייר ריבית על העו"ש לקבל</t>
  </si>
  <si>
    <t>חקלאים ס.מ.ישיר 31.03.26</t>
  </si>
  <si>
    <t>התח.ממש.אי העלאת ג.פרישה נשים</t>
  </si>
  <si>
    <t>570007476_pn_p_0226.xlsx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</si>
</sst>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1192</v>
      </c>
    </row>
    <row r="12" spans="1:4" ht="13.5" customHeight="1"/>
    <row r="13" spans="1:4" ht="13.5" customHeight="1">
      <c r="A13" s="3" t="s">
        <v>6</v>
      </c>
      <c r="D13" s="4">
        <v>570007476</v>
      </c>
    </row>
    <row r="14" spans="1:4" ht="13.5" customHeight="1"/>
    <row r="15" spans="1:4" ht="13.5" customHeight="1">
      <c r="A15" s="6" t="s">
        <v>7</v>
      </c>
      <c r="D15" s="113" t="s">
        <v>1423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3" sqref="B3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86100.643750000003</v>
      </c>
      <c r="C3" s="92"/>
      <c r="D3" s="95"/>
      <c r="E3" s="96">
        <f>IFERROR(B3/$B$30,0)</f>
        <v>3.0218798674441005E-2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576415.73560999997</v>
      </c>
      <c r="C4" s="92"/>
      <c r="D4" s="95"/>
      <c r="E4" s="96">
        <f t="shared" ref="E4:E30" si="0">IFERROR(B4/$B$30,0)</f>
        <v>0.20230500387145367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43000.697899999999</v>
      </c>
      <c r="C6" s="92"/>
      <c r="D6" s="95"/>
      <c r="E6" s="96">
        <f t="shared" si="0"/>
        <v>1.5091982778590526E-2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322291.31456999999</v>
      </c>
      <c r="C8" s="92"/>
      <c r="D8" s="95"/>
      <c r="E8" s="96">
        <f t="shared" si="0"/>
        <v>0.11311479131085782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311701.19381000003</v>
      </c>
      <c r="C15" s="92"/>
      <c r="D15" s="95"/>
      <c r="E15" s="96">
        <f t="shared" si="0"/>
        <v>0.10939796977217499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22193.29234</v>
      </c>
      <c r="C16" s="92"/>
      <c r="D16" s="95"/>
      <c r="E16" s="96">
        <f t="shared" si="0"/>
        <v>7.7891941794624928E-3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4404.7149299999992</v>
      </c>
      <c r="C18" s="92"/>
      <c r="D18" s="95"/>
      <c r="E18" s="96">
        <f t="shared" si="0"/>
        <v>1.5459256503871897E-3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1.4300000000000001E-3</v>
      </c>
      <c r="C19" s="92"/>
      <c r="D19" s="95"/>
      <c r="E19" s="96">
        <f t="shared" si="0"/>
        <v>5.0188802571468157E-10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0</v>
      </c>
      <c r="C23" s="92"/>
      <c r="D23" s="95"/>
      <c r="E23" s="96">
        <f t="shared" si="0"/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1483133.5246599999</v>
      </c>
      <c r="C29" s="92"/>
      <c r="D29" s="95"/>
      <c r="E29" s="96">
        <f t="shared" si="0"/>
        <v>0.52053633326074422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2849241.1189999999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N2" sqref="N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307</v>
      </c>
      <c r="B2" s="100">
        <v>307</v>
      </c>
      <c r="C2" s="100" t="s">
        <v>1230</v>
      </c>
      <c r="D2" s="100" t="s">
        <v>1231</v>
      </c>
      <c r="E2" s="100" t="s">
        <v>314</v>
      </c>
      <c r="F2" s="100" t="s">
        <v>943</v>
      </c>
      <c r="G2" s="100" t="s">
        <v>202</v>
      </c>
      <c r="H2" s="100" t="s">
        <v>336</v>
      </c>
      <c r="I2" s="100" t="s">
        <v>1232</v>
      </c>
      <c r="J2" s="100" t="s">
        <v>411</v>
      </c>
      <c r="K2" s="100" t="s">
        <v>1233</v>
      </c>
      <c r="L2" s="103">
        <v>8.0382499999999997</v>
      </c>
      <c r="M2" s="103">
        <v>3.3944999999999999</v>
      </c>
      <c r="N2" s="102"/>
      <c r="O2" s="103">
        <v>27.28584</v>
      </c>
      <c r="P2" s="102">
        <v>3.1599999999999998E-4</v>
      </c>
      <c r="Q2" s="102">
        <v>9.0000000000000002E-6</v>
      </c>
    </row>
    <row r="3" spans="1:26" ht="13.5" customHeight="1">
      <c r="A3" s="100">
        <v>307</v>
      </c>
      <c r="B3" s="100">
        <v>307</v>
      </c>
      <c r="C3" s="100" t="s">
        <v>1234</v>
      </c>
      <c r="D3" s="100" t="s">
        <v>1235</v>
      </c>
      <c r="E3" s="100" t="s">
        <v>314</v>
      </c>
      <c r="F3" s="100" t="s">
        <v>945</v>
      </c>
      <c r="G3" s="100" t="s">
        <v>202</v>
      </c>
      <c r="H3" s="100" t="s">
        <v>336</v>
      </c>
      <c r="I3" s="100" t="s">
        <v>1236</v>
      </c>
      <c r="J3" s="100" t="s">
        <v>413</v>
      </c>
      <c r="K3" s="100" t="s">
        <v>1237</v>
      </c>
      <c r="L3" s="103">
        <v>12970.51</v>
      </c>
      <c r="M3" s="103">
        <v>1</v>
      </c>
      <c r="N3" s="102"/>
      <c r="O3" s="103">
        <v>12970.51</v>
      </c>
      <c r="P3" s="102">
        <v>0.150643</v>
      </c>
      <c r="Q3" s="102">
        <v>4.5519999999999996E-3</v>
      </c>
    </row>
    <row r="4" spans="1:26" ht="13.5" customHeight="1">
      <c r="A4" s="100">
        <v>307</v>
      </c>
      <c r="B4" s="100">
        <v>307</v>
      </c>
      <c r="C4" s="100" t="s">
        <v>1230</v>
      </c>
      <c r="D4" s="100" t="s">
        <v>1231</v>
      </c>
      <c r="E4" s="100" t="s">
        <v>314</v>
      </c>
      <c r="F4" s="100" t="s">
        <v>940</v>
      </c>
      <c r="G4" s="100" t="s">
        <v>202</v>
      </c>
      <c r="H4" s="100" t="s">
        <v>336</v>
      </c>
      <c r="I4" s="100" t="s">
        <v>1232</v>
      </c>
      <c r="J4" s="100" t="s">
        <v>411</v>
      </c>
      <c r="K4" s="100" t="s">
        <v>1237</v>
      </c>
      <c r="L4" s="103">
        <v>3103.3273100000001</v>
      </c>
      <c r="M4" s="103">
        <v>1</v>
      </c>
      <c r="N4" s="102"/>
      <c r="O4" s="103">
        <v>3103.3273100000001</v>
      </c>
      <c r="P4" s="102">
        <v>3.6042999999999999E-2</v>
      </c>
      <c r="Q4" s="102">
        <v>1.0889999999999999E-3</v>
      </c>
    </row>
    <row r="5" spans="1:26" ht="13.5" customHeight="1">
      <c r="A5" s="100">
        <v>307</v>
      </c>
      <c r="B5" s="100">
        <v>307</v>
      </c>
      <c r="C5" s="100" t="s">
        <v>1230</v>
      </c>
      <c r="D5" s="100" t="s">
        <v>1231</v>
      </c>
      <c r="E5" s="100" t="s">
        <v>314</v>
      </c>
      <c r="F5" s="100" t="s">
        <v>943</v>
      </c>
      <c r="G5" s="100" t="s">
        <v>202</v>
      </c>
      <c r="H5" s="100" t="s">
        <v>336</v>
      </c>
      <c r="I5" s="100" t="s">
        <v>1232</v>
      </c>
      <c r="J5" s="100" t="s">
        <v>411</v>
      </c>
      <c r="K5" s="100" t="s">
        <v>1238</v>
      </c>
      <c r="L5" s="103">
        <v>209.34605999999999</v>
      </c>
      <c r="M5" s="103">
        <v>2.9780000000000002</v>
      </c>
      <c r="N5" s="102"/>
      <c r="O5" s="103">
        <v>623.43257000000006</v>
      </c>
      <c r="P5" s="102">
        <v>7.2399999999999999E-3</v>
      </c>
      <c r="Q5" s="102">
        <v>2.1800000000000001E-4</v>
      </c>
    </row>
    <row r="6" spans="1:26" ht="13.5" customHeight="1">
      <c r="A6" s="100">
        <v>307</v>
      </c>
      <c r="B6" s="100">
        <v>307</v>
      </c>
      <c r="C6" s="100" t="s">
        <v>1234</v>
      </c>
      <c r="D6" s="100" t="s">
        <v>1235</v>
      </c>
      <c r="E6" s="100" t="s">
        <v>314</v>
      </c>
      <c r="F6" s="100" t="s">
        <v>940</v>
      </c>
      <c r="G6" s="100" t="s">
        <v>202</v>
      </c>
      <c r="H6" s="100" t="s">
        <v>336</v>
      </c>
      <c r="I6" s="100" t="s">
        <v>1232</v>
      </c>
      <c r="J6" s="100" t="s">
        <v>411</v>
      </c>
      <c r="K6" s="100" t="s">
        <v>1237</v>
      </c>
      <c r="L6" s="103">
        <v>14897.4077</v>
      </c>
      <c r="M6" s="103">
        <v>1</v>
      </c>
      <c r="N6" s="102"/>
      <c r="O6" s="103">
        <v>14897.4077</v>
      </c>
      <c r="P6" s="102">
        <v>0.17302200000000001</v>
      </c>
      <c r="Q6" s="102">
        <v>5.228E-3</v>
      </c>
    </row>
    <row r="7" spans="1:26" ht="13.5" customHeight="1">
      <c r="A7" s="100">
        <v>307</v>
      </c>
      <c r="B7" s="100">
        <v>307</v>
      </c>
      <c r="C7" s="100" t="s">
        <v>1234</v>
      </c>
      <c r="D7" s="100" t="s">
        <v>1235</v>
      </c>
      <c r="E7" s="100" t="s">
        <v>314</v>
      </c>
      <c r="F7" s="100" t="s">
        <v>943</v>
      </c>
      <c r="G7" s="100" t="s">
        <v>202</v>
      </c>
      <c r="H7" s="100" t="s">
        <v>336</v>
      </c>
      <c r="I7" s="100" t="s">
        <v>1232</v>
      </c>
      <c r="J7" s="100" t="s">
        <v>411</v>
      </c>
      <c r="K7" s="100" t="s">
        <v>1238</v>
      </c>
      <c r="L7" s="103">
        <v>134.96316999999999</v>
      </c>
      <c r="M7" s="103">
        <v>2.9780000000000002</v>
      </c>
      <c r="N7" s="102"/>
      <c r="O7" s="103">
        <v>401.92032</v>
      </c>
      <c r="P7" s="102">
        <v>4.6680000000000003E-3</v>
      </c>
      <c r="Q7" s="102">
        <v>1.4100000000000001E-4</v>
      </c>
    </row>
    <row r="8" spans="1:26" ht="13.5" customHeight="1">
      <c r="A8" s="100">
        <v>307</v>
      </c>
      <c r="B8" s="100">
        <v>307</v>
      </c>
      <c r="C8" s="100" t="s">
        <v>1239</v>
      </c>
      <c r="D8" s="100" t="s">
        <v>1240</v>
      </c>
      <c r="E8" s="100" t="s">
        <v>314</v>
      </c>
      <c r="F8" s="100" t="s">
        <v>943</v>
      </c>
      <c r="G8" s="100" t="s">
        <v>202</v>
      </c>
      <c r="H8" s="100" t="s">
        <v>336</v>
      </c>
      <c r="I8" s="100" t="s">
        <v>1232</v>
      </c>
      <c r="J8" s="100" t="s">
        <v>411</v>
      </c>
      <c r="K8" s="100" t="s">
        <v>1238</v>
      </c>
      <c r="L8" s="103">
        <v>836.96158000000003</v>
      </c>
      <c r="M8" s="103">
        <v>2.9780000000000002</v>
      </c>
      <c r="N8" s="102"/>
      <c r="O8" s="103">
        <v>2492.4715900000001</v>
      </c>
      <c r="P8" s="102">
        <v>2.8948000000000002E-2</v>
      </c>
      <c r="Q8" s="102">
        <v>8.7399999999999999E-4</v>
      </c>
    </row>
    <row r="9" spans="1:26" ht="13.5" customHeight="1">
      <c r="A9" s="100">
        <v>307</v>
      </c>
      <c r="B9" s="100">
        <v>307</v>
      </c>
      <c r="C9" s="100" t="s">
        <v>1241</v>
      </c>
      <c r="D9" s="100" t="s">
        <v>1242</v>
      </c>
      <c r="E9" s="100" t="s">
        <v>314</v>
      </c>
      <c r="F9" s="100" t="s">
        <v>940</v>
      </c>
      <c r="G9" s="100" t="s">
        <v>202</v>
      </c>
      <c r="H9" s="100" t="s">
        <v>336</v>
      </c>
      <c r="I9" s="100" t="s">
        <v>1232</v>
      </c>
      <c r="J9" s="100" t="s">
        <v>411</v>
      </c>
      <c r="K9" s="100" t="s">
        <v>1237</v>
      </c>
      <c r="L9" s="103">
        <v>2.24742</v>
      </c>
      <c r="M9" s="103">
        <v>1</v>
      </c>
      <c r="N9" s="102"/>
      <c r="O9" s="103">
        <v>2.24742</v>
      </c>
      <c r="P9" s="102">
        <v>2.5999999999999998E-5</v>
      </c>
      <c r="Q9" s="102">
        <v>0</v>
      </c>
    </row>
    <row r="10" spans="1:26" ht="13.5" customHeight="1">
      <c r="A10" s="100">
        <v>307</v>
      </c>
      <c r="B10" s="100">
        <v>307</v>
      </c>
      <c r="C10" s="100" t="s">
        <v>1234</v>
      </c>
      <c r="D10" s="100" t="s">
        <v>1235</v>
      </c>
      <c r="E10" s="100" t="s">
        <v>314</v>
      </c>
      <c r="F10" s="100" t="s">
        <v>945</v>
      </c>
      <c r="G10" s="100" t="s">
        <v>202</v>
      </c>
      <c r="H10" s="100" t="s">
        <v>336</v>
      </c>
      <c r="I10" s="100" t="s">
        <v>1232</v>
      </c>
      <c r="J10" s="100" t="s">
        <v>411</v>
      </c>
      <c r="K10" s="100" t="s">
        <v>1237</v>
      </c>
      <c r="L10" s="103">
        <v>21902.79</v>
      </c>
      <c r="M10" s="103">
        <v>1</v>
      </c>
      <c r="N10" s="102"/>
      <c r="O10" s="103">
        <v>21902.79</v>
      </c>
      <c r="P10" s="102">
        <v>0.25438499999999997</v>
      </c>
      <c r="Q10" s="102">
        <v>7.6870000000000003E-3</v>
      </c>
    </row>
    <row r="11" spans="1:26" ht="13.5" customHeight="1">
      <c r="A11" s="100">
        <v>307</v>
      </c>
      <c r="B11" s="100">
        <v>307</v>
      </c>
      <c r="C11" s="100" t="s">
        <v>1230</v>
      </c>
      <c r="D11" s="100" t="s">
        <v>1231</v>
      </c>
      <c r="E11" s="100" t="s">
        <v>314</v>
      </c>
      <c r="F11" s="100" t="s">
        <v>945</v>
      </c>
      <c r="G11" s="100" t="s">
        <v>202</v>
      </c>
      <c r="H11" s="100" t="s">
        <v>336</v>
      </c>
      <c r="I11" s="100" t="s">
        <v>1232</v>
      </c>
      <c r="J11" s="100" t="s">
        <v>411</v>
      </c>
      <c r="K11" s="100" t="s">
        <v>1237</v>
      </c>
      <c r="L11" s="103">
        <v>13000.49041</v>
      </c>
      <c r="M11" s="103">
        <v>1</v>
      </c>
      <c r="N11" s="102"/>
      <c r="O11" s="103">
        <v>13000.49041</v>
      </c>
      <c r="P11" s="102">
        <v>0.15099099999999999</v>
      </c>
      <c r="Q11" s="102">
        <v>4.5620000000000001E-3</v>
      </c>
    </row>
    <row r="12" spans="1:26" ht="13.5" customHeight="1">
      <c r="A12" s="100">
        <v>307</v>
      </c>
      <c r="B12" s="100">
        <v>307</v>
      </c>
      <c r="C12" s="100" t="s">
        <v>1239</v>
      </c>
      <c r="D12" s="100" t="s">
        <v>1240</v>
      </c>
      <c r="E12" s="100" t="s">
        <v>314</v>
      </c>
      <c r="F12" s="100" t="s">
        <v>940</v>
      </c>
      <c r="G12" s="100" t="s">
        <v>202</v>
      </c>
      <c r="H12" s="100" t="s">
        <v>336</v>
      </c>
      <c r="I12" s="100" t="s">
        <v>1232</v>
      </c>
      <c r="J12" s="100" t="s">
        <v>411</v>
      </c>
      <c r="K12" s="100" t="s">
        <v>1237</v>
      </c>
      <c r="L12" s="103">
        <v>16678.760590000002</v>
      </c>
      <c r="M12" s="103">
        <v>1</v>
      </c>
      <c r="N12" s="102"/>
      <c r="O12" s="103">
        <v>16678.760590000002</v>
      </c>
      <c r="P12" s="102">
        <v>0.19370999999999999</v>
      </c>
      <c r="Q12" s="102">
        <v>5.8529999999999997E-3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5.875" bestFit="1" customWidth="1"/>
    <col min="5" max="5" width="14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307</v>
      </c>
      <c r="B2" s="100">
        <v>307</v>
      </c>
      <c r="C2" s="100" t="s">
        <v>1243</v>
      </c>
      <c r="D2" s="100" t="s">
        <v>1244</v>
      </c>
      <c r="E2" s="100" t="s">
        <v>1245</v>
      </c>
      <c r="F2" s="100" t="s">
        <v>950</v>
      </c>
      <c r="G2" s="100" t="s">
        <v>202</v>
      </c>
      <c r="H2" s="100" t="s">
        <v>202</v>
      </c>
      <c r="I2" s="100" t="s">
        <v>337</v>
      </c>
      <c r="J2" s="100" t="s">
        <v>1246</v>
      </c>
      <c r="K2" s="100" t="s">
        <v>411</v>
      </c>
      <c r="L2" s="100" t="s">
        <v>1237</v>
      </c>
      <c r="M2" s="103">
        <v>22.39</v>
      </c>
      <c r="N2" s="106">
        <v>57100</v>
      </c>
      <c r="O2" s="102">
        <v>0.02</v>
      </c>
      <c r="P2" s="102">
        <v>2.3199999999999998E-2</v>
      </c>
      <c r="Q2" s="103">
        <v>0</v>
      </c>
      <c r="R2" s="103">
        <v>30653050</v>
      </c>
      <c r="S2" s="103">
        <v>1</v>
      </c>
      <c r="T2" s="103">
        <v>94.65</v>
      </c>
      <c r="U2" s="103">
        <v>29013.111830000002</v>
      </c>
      <c r="V2" s="103"/>
      <c r="W2" s="100"/>
      <c r="X2" s="102">
        <v>4.0239999999999998E-3</v>
      </c>
      <c r="Y2" s="102">
        <v>5.0333000000000003E-2</v>
      </c>
      <c r="Z2" s="102">
        <v>1.0182E-2</v>
      </c>
    </row>
    <row r="3" spans="1:26" ht="13.5" customHeight="1">
      <c r="A3" s="100">
        <v>307</v>
      </c>
      <c r="B3" s="100">
        <v>307</v>
      </c>
      <c r="C3" s="100" t="s">
        <v>1243</v>
      </c>
      <c r="D3" s="100" t="s">
        <v>1247</v>
      </c>
      <c r="E3" s="100" t="s">
        <v>1248</v>
      </c>
      <c r="F3" s="100" t="s">
        <v>950</v>
      </c>
      <c r="G3" s="100" t="s">
        <v>202</v>
      </c>
      <c r="H3" s="100" t="s">
        <v>202</v>
      </c>
      <c r="I3" s="100" t="s">
        <v>337</v>
      </c>
      <c r="J3" s="100" t="s">
        <v>1246</v>
      </c>
      <c r="K3" s="100" t="s">
        <v>411</v>
      </c>
      <c r="L3" s="100" t="s">
        <v>1237</v>
      </c>
      <c r="M3" s="103">
        <v>12.48</v>
      </c>
      <c r="N3" s="106">
        <v>51744</v>
      </c>
      <c r="O3" s="102">
        <v>2.75E-2</v>
      </c>
      <c r="P3" s="102">
        <v>2.06E-2</v>
      </c>
      <c r="Q3" s="103">
        <v>0</v>
      </c>
      <c r="R3" s="103">
        <v>72515442</v>
      </c>
      <c r="S3" s="103">
        <v>1</v>
      </c>
      <c r="T3" s="103">
        <v>142</v>
      </c>
      <c r="U3" s="103">
        <v>102971.92763999999</v>
      </c>
      <c r="V3" s="101"/>
      <c r="W3" s="100"/>
      <c r="X3" s="102">
        <v>3.519E-3</v>
      </c>
      <c r="Y3" s="102">
        <v>0.17864099999999999</v>
      </c>
      <c r="Z3" s="102">
        <v>3.6139999999999999E-2</v>
      </c>
    </row>
    <row r="4" spans="1:26" ht="13.5" customHeight="1">
      <c r="A4" s="100">
        <v>307</v>
      </c>
      <c r="B4" s="100">
        <v>307</v>
      </c>
      <c r="C4" s="100" t="s">
        <v>1243</v>
      </c>
      <c r="D4" s="100" t="s">
        <v>1249</v>
      </c>
      <c r="E4" s="100" t="s">
        <v>1250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1246</v>
      </c>
      <c r="K4" s="100" t="s">
        <v>411</v>
      </c>
      <c r="L4" s="100" t="s">
        <v>1237</v>
      </c>
      <c r="M4" s="103">
        <v>5.4</v>
      </c>
      <c r="N4" s="106">
        <v>48182</v>
      </c>
      <c r="O4" s="102">
        <v>1E-3</v>
      </c>
      <c r="P4" s="102">
        <v>1.6500000000000001E-2</v>
      </c>
      <c r="Q4" s="103">
        <v>0</v>
      </c>
      <c r="R4" s="103">
        <v>34380719</v>
      </c>
      <c r="S4" s="103">
        <v>1</v>
      </c>
      <c r="T4" s="103">
        <v>109.97</v>
      </c>
      <c r="U4" s="103">
        <v>37808.47668</v>
      </c>
      <c r="V4" s="101"/>
      <c r="W4" s="100"/>
      <c r="X4" s="102">
        <v>1.0039999999999999E-3</v>
      </c>
      <c r="Y4" s="102">
        <v>6.5591999999999998E-2</v>
      </c>
      <c r="Z4" s="102">
        <v>1.3269E-2</v>
      </c>
    </row>
    <row r="5" spans="1:26" ht="13.5" customHeight="1">
      <c r="A5" s="100">
        <v>307</v>
      </c>
      <c r="B5" s="100">
        <v>307</v>
      </c>
      <c r="C5" s="100" t="s">
        <v>1243</v>
      </c>
      <c r="D5" s="100" t="s">
        <v>1251</v>
      </c>
      <c r="E5" s="100" t="s">
        <v>1252</v>
      </c>
      <c r="F5" s="100" t="s">
        <v>953</v>
      </c>
      <c r="G5" s="100" t="s">
        <v>202</v>
      </c>
      <c r="H5" s="100" t="s">
        <v>202</v>
      </c>
      <c r="I5" s="100" t="s">
        <v>337</v>
      </c>
      <c r="J5" s="100" t="s">
        <v>1246</v>
      </c>
      <c r="K5" s="100" t="s">
        <v>411</v>
      </c>
      <c r="L5" s="100" t="s">
        <v>1237</v>
      </c>
      <c r="M5" s="103">
        <v>17.440000000000001</v>
      </c>
      <c r="N5" s="106">
        <v>55852</v>
      </c>
      <c r="O5" s="102">
        <v>2.8000000000000001E-2</v>
      </c>
      <c r="P5" s="102">
        <v>4.2999999999999997E-2</v>
      </c>
      <c r="Q5" s="103">
        <v>0</v>
      </c>
      <c r="R5" s="103">
        <v>29104587</v>
      </c>
      <c r="S5" s="103">
        <v>1</v>
      </c>
      <c r="T5" s="103">
        <v>78.16</v>
      </c>
      <c r="U5" s="103">
        <v>22748.145199999999</v>
      </c>
      <c r="V5" s="101"/>
      <c r="W5" s="100"/>
      <c r="X5" s="102">
        <v>8.0000000000000004E-4</v>
      </c>
      <c r="Y5" s="102">
        <v>3.9463999999999999E-2</v>
      </c>
      <c r="Z5" s="102">
        <v>7.9830000000000005E-3</v>
      </c>
    </row>
    <row r="6" spans="1:26" ht="13.5" customHeight="1">
      <c r="A6" s="100">
        <v>307</v>
      </c>
      <c r="B6" s="100">
        <v>307</v>
      </c>
      <c r="C6" s="100" t="s">
        <v>1243</v>
      </c>
      <c r="D6" s="100" t="s">
        <v>1253</v>
      </c>
      <c r="E6" s="100" t="s">
        <v>1254</v>
      </c>
      <c r="F6" s="100" t="s">
        <v>950</v>
      </c>
      <c r="G6" s="100" t="s">
        <v>202</v>
      </c>
      <c r="H6" s="100" t="s">
        <v>202</v>
      </c>
      <c r="I6" s="100" t="s">
        <v>337</v>
      </c>
      <c r="J6" s="100" t="s">
        <v>1246</v>
      </c>
      <c r="K6" s="100" t="s">
        <v>411</v>
      </c>
      <c r="L6" s="100" t="s">
        <v>1237</v>
      </c>
      <c r="M6" s="103">
        <v>10.130000000000001</v>
      </c>
      <c r="N6" s="106">
        <v>50283</v>
      </c>
      <c r="O6" s="102">
        <v>1.8499999999999999E-2</v>
      </c>
      <c r="P6" s="102">
        <v>1.95E-2</v>
      </c>
      <c r="Q6" s="103">
        <v>0</v>
      </c>
      <c r="R6" s="103">
        <v>19100000</v>
      </c>
      <c r="S6" s="103">
        <v>1</v>
      </c>
      <c r="T6" s="103">
        <v>101</v>
      </c>
      <c r="U6" s="103">
        <v>19291</v>
      </c>
      <c r="V6" s="101"/>
      <c r="W6" s="100"/>
      <c r="X6" s="102">
        <v>2.3180000000000002E-3</v>
      </c>
      <c r="Y6" s="102">
        <v>3.3466999999999997E-2</v>
      </c>
      <c r="Z6" s="102">
        <v>6.77E-3</v>
      </c>
    </row>
    <row r="7" spans="1:26" ht="13.5" customHeight="1">
      <c r="A7" s="100">
        <v>307</v>
      </c>
      <c r="B7" s="100">
        <v>307</v>
      </c>
      <c r="C7" s="100" t="s">
        <v>1243</v>
      </c>
      <c r="D7" s="100" t="s">
        <v>1255</v>
      </c>
      <c r="E7" s="100" t="s">
        <v>1256</v>
      </c>
      <c r="F7" s="100" t="s">
        <v>950</v>
      </c>
      <c r="G7" s="100" t="s">
        <v>202</v>
      </c>
      <c r="H7" s="100" t="s">
        <v>202</v>
      </c>
      <c r="I7" s="100" t="s">
        <v>337</v>
      </c>
      <c r="J7" s="100" t="s">
        <v>1246</v>
      </c>
      <c r="K7" s="100" t="s">
        <v>411</v>
      </c>
      <c r="L7" s="100" t="s">
        <v>1237</v>
      </c>
      <c r="M7" s="103">
        <v>23.39</v>
      </c>
      <c r="N7" s="106">
        <v>55487</v>
      </c>
      <c r="O7" s="102">
        <v>5.0000000000000001E-3</v>
      </c>
      <c r="P7" s="102">
        <v>2.2599999999999999E-2</v>
      </c>
      <c r="Q7" s="103">
        <v>0</v>
      </c>
      <c r="R7" s="103">
        <v>255223883</v>
      </c>
      <c r="S7" s="103">
        <v>1</v>
      </c>
      <c r="T7" s="103">
        <v>79.3</v>
      </c>
      <c r="U7" s="103">
        <v>202392.53922000001</v>
      </c>
      <c r="V7" s="101"/>
      <c r="W7" s="100"/>
      <c r="X7" s="102">
        <v>7.9369999999999996E-3</v>
      </c>
      <c r="Y7" s="102">
        <v>0.35112199999999999</v>
      </c>
      <c r="Z7" s="102">
        <v>7.1032999999999999E-2</v>
      </c>
    </row>
    <row r="8" spans="1:26" ht="13.5" customHeight="1">
      <c r="A8" s="100">
        <v>307</v>
      </c>
      <c r="B8" s="100">
        <v>307</v>
      </c>
      <c r="C8" s="100" t="s">
        <v>1243</v>
      </c>
      <c r="D8" s="100" t="s">
        <v>1257</v>
      </c>
      <c r="E8" s="100" t="s">
        <v>1258</v>
      </c>
      <c r="F8" s="100" t="s">
        <v>953</v>
      </c>
      <c r="G8" s="100" t="s">
        <v>202</v>
      </c>
      <c r="H8" s="100" t="s">
        <v>202</v>
      </c>
      <c r="I8" s="100" t="s">
        <v>337</v>
      </c>
      <c r="J8" s="100" t="s">
        <v>1246</v>
      </c>
      <c r="K8" s="100" t="s">
        <v>411</v>
      </c>
      <c r="L8" s="100" t="s">
        <v>1237</v>
      </c>
      <c r="M8" s="103">
        <v>11.06</v>
      </c>
      <c r="N8" s="106">
        <v>51897</v>
      </c>
      <c r="O8" s="102">
        <v>5.5E-2</v>
      </c>
      <c r="P8" s="102">
        <v>3.9399999999999998E-2</v>
      </c>
      <c r="Q8" s="103">
        <v>0</v>
      </c>
      <c r="R8" s="103">
        <v>792637</v>
      </c>
      <c r="S8" s="103">
        <v>1</v>
      </c>
      <c r="T8" s="103">
        <v>120.13</v>
      </c>
      <c r="U8" s="103">
        <v>952.19483000000002</v>
      </c>
      <c r="V8" s="101"/>
      <c r="W8" s="100"/>
      <c r="X8" s="102">
        <v>2.0999999999999999E-5</v>
      </c>
      <c r="Y8" s="102">
        <v>1.6509999999999999E-3</v>
      </c>
      <c r="Z8" s="102">
        <v>3.3399999999999999E-4</v>
      </c>
    </row>
    <row r="9" spans="1:26" ht="13.5" customHeight="1">
      <c r="A9" s="100">
        <v>307</v>
      </c>
      <c r="B9" s="100">
        <v>307</v>
      </c>
      <c r="C9" s="100" t="s">
        <v>1243</v>
      </c>
      <c r="D9" s="100" t="s">
        <v>1259</v>
      </c>
      <c r="E9" s="100" t="s">
        <v>1260</v>
      </c>
      <c r="F9" s="100" t="s">
        <v>950</v>
      </c>
      <c r="G9" s="100" t="s">
        <v>202</v>
      </c>
      <c r="H9" s="100" t="s">
        <v>202</v>
      </c>
      <c r="I9" s="100" t="s">
        <v>337</v>
      </c>
      <c r="J9" s="100" t="s">
        <v>1246</v>
      </c>
      <c r="K9" s="100" t="s">
        <v>411</v>
      </c>
      <c r="L9" s="100" t="s">
        <v>1237</v>
      </c>
      <c r="M9" s="103">
        <v>6.91</v>
      </c>
      <c r="N9" s="106">
        <v>48883</v>
      </c>
      <c r="O9" s="102">
        <v>1.6E-2</v>
      </c>
      <c r="P9" s="102">
        <v>1.7999999999999999E-2</v>
      </c>
      <c r="Q9" s="103">
        <v>0</v>
      </c>
      <c r="R9" s="103">
        <v>30518860</v>
      </c>
      <c r="S9" s="103">
        <v>1</v>
      </c>
      <c r="T9" s="103">
        <v>106.86</v>
      </c>
      <c r="U9" s="103">
        <v>32612.453799999999</v>
      </c>
      <c r="V9" s="101"/>
      <c r="W9" s="100"/>
      <c r="X9" s="102">
        <v>9.5100000000000002E-4</v>
      </c>
      <c r="Y9" s="102">
        <v>5.6578000000000003E-2</v>
      </c>
      <c r="Z9" s="102">
        <v>1.1446E-2</v>
      </c>
    </row>
    <row r="10" spans="1:26" ht="13.5" customHeight="1">
      <c r="A10" s="100">
        <v>307</v>
      </c>
      <c r="B10" s="100">
        <v>307</v>
      </c>
      <c r="C10" s="100" t="s">
        <v>1243</v>
      </c>
      <c r="D10" s="100" t="s">
        <v>1261</v>
      </c>
      <c r="E10" s="100" t="s">
        <v>1262</v>
      </c>
      <c r="F10" s="100" t="s">
        <v>953</v>
      </c>
      <c r="G10" s="100" t="s">
        <v>202</v>
      </c>
      <c r="H10" s="100" t="s">
        <v>202</v>
      </c>
      <c r="I10" s="100" t="s">
        <v>337</v>
      </c>
      <c r="J10" s="100" t="s">
        <v>1246</v>
      </c>
      <c r="K10" s="100" t="s">
        <v>411</v>
      </c>
      <c r="L10" s="100" t="s">
        <v>1237</v>
      </c>
      <c r="M10" s="103">
        <v>3.69</v>
      </c>
      <c r="N10" s="106">
        <v>47573</v>
      </c>
      <c r="O10" s="102">
        <v>0.01</v>
      </c>
      <c r="P10" s="102">
        <v>3.3599999999999998E-2</v>
      </c>
      <c r="Q10" s="103">
        <v>0</v>
      </c>
      <c r="R10" s="103">
        <v>364618</v>
      </c>
      <c r="S10" s="103">
        <v>1</v>
      </c>
      <c r="T10" s="103">
        <v>92.07</v>
      </c>
      <c r="U10" s="103">
        <v>335.70379000000003</v>
      </c>
      <c r="V10" s="101"/>
      <c r="W10" s="100"/>
      <c r="X10" s="102">
        <v>9.0000000000000002E-6</v>
      </c>
      <c r="Y10" s="102">
        <v>5.8200000000000005E-4</v>
      </c>
      <c r="Z10" s="102">
        <v>1.17E-4</v>
      </c>
    </row>
    <row r="11" spans="1:26" ht="13.5" customHeight="1">
      <c r="A11" s="100">
        <v>307</v>
      </c>
      <c r="B11" s="100">
        <v>307</v>
      </c>
      <c r="C11" s="100" t="s">
        <v>1243</v>
      </c>
      <c r="D11" s="100" t="s">
        <v>1263</v>
      </c>
      <c r="E11" s="100" t="s">
        <v>1264</v>
      </c>
      <c r="F11" s="100" t="s">
        <v>950</v>
      </c>
      <c r="G11" s="100" t="s">
        <v>202</v>
      </c>
      <c r="H11" s="100" t="s">
        <v>202</v>
      </c>
      <c r="I11" s="100" t="s">
        <v>337</v>
      </c>
      <c r="J11" s="100" t="s">
        <v>1246</v>
      </c>
      <c r="K11" s="100" t="s">
        <v>411</v>
      </c>
      <c r="L11" s="100" t="s">
        <v>1237</v>
      </c>
      <c r="M11" s="103">
        <v>17.11</v>
      </c>
      <c r="N11" s="106">
        <v>53113</v>
      </c>
      <c r="O11" s="102">
        <v>0.01</v>
      </c>
      <c r="P11" s="102">
        <v>2.1600000000000001E-2</v>
      </c>
      <c r="Q11" s="103">
        <v>0</v>
      </c>
      <c r="R11" s="103">
        <v>91353869</v>
      </c>
      <c r="S11" s="103">
        <v>1</v>
      </c>
      <c r="T11" s="103">
        <v>99</v>
      </c>
      <c r="U11" s="103">
        <v>90440.330310000005</v>
      </c>
      <c r="V11" s="101"/>
      <c r="W11" s="100"/>
      <c r="X11" s="102">
        <v>4.0249999999999999E-3</v>
      </c>
      <c r="Y11" s="102">
        <v>0.15690100000000001</v>
      </c>
      <c r="Z11" s="102">
        <v>3.1740999999999998E-2</v>
      </c>
    </row>
    <row r="12" spans="1:26" ht="13.5" customHeight="1">
      <c r="A12" s="100">
        <v>307</v>
      </c>
      <c r="B12" s="100">
        <v>307</v>
      </c>
      <c r="C12" s="100" t="s">
        <v>1243</v>
      </c>
      <c r="D12" s="100" t="s">
        <v>1265</v>
      </c>
      <c r="E12" s="100" t="s">
        <v>1266</v>
      </c>
      <c r="F12" s="100" t="s">
        <v>953</v>
      </c>
      <c r="G12" s="100" t="s">
        <v>202</v>
      </c>
      <c r="H12" s="100" t="s">
        <v>202</v>
      </c>
      <c r="I12" s="100" t="s">
        <v>337</v>
      </c>
      <c r="J12" s="100" t="s">
        <v>1246</v>
      </c>
      <c r="K12" s="100" t="s">
        <v>411</v>
      </c>
      <c r="L12" s="100" t="s">
        <v>1237</v>
      </c>
      <c r="M12" s="103">
        <v>2.1800000000000002</v>
      </c>
      <c r="N12" s="106">
        <v>47024</v>
      </c>
      <c r="O12" s="102">
        <v>2.2499999999999999E-2</v>
      </c>
      <c r="P12" s="102">
        <v>3.2800000000000003E-2</v>
      </c>
      <c r="Q12" s="103">
        <v>0</v>
      </c>
      <c r="R12" s="103">
        <v>6971</v>
      </c>
      <c r="S12" s="103">
        <v>1</v>
      </c>
      <c r="T12" s="103">
        <v>99.5</v>
      </c>
      <c r="U12" s="103">
        <v>6.9361499999999996</v>
      </c>
      <c r="V12" s="101"/>
      <c r="W12" s="100"/>
      <c r="X12" s="102">
        <v>0</v>
      </c>
      <c r="Y12" s="102">
        <v>1.2E-5</v>
      </c>
      <c r="Z12" s="102">
        <v>1.9999999999999999E-6</v>
      </c>
    </row>
    <row r="13" spans="1:26" ht="13.5" customHeight="1">
      <c r="A13" s="100">
        <v>307</v>
      </c>
      <c r="B13" s="100">
        <v>307</v>
      </c>
      <c r="C13" s="100" t="s">
        <v>1243</v>
      </c>
      <c r="D13" s="100" t="s">
        <v>1267</v>
      </c>
      <c r="E13" s="100" t="s">
        <v>1268</v>
      </c>
      <c r="F13" s="100" t="s">
        <v>950</v>
      </c>
      <c r="G13" s="100" t="s">
        <v>202</v>
      </c>
      <c r="H13" s="100" t="s">
        <v>202</v>
      </c>
      <c r="I13" s="100" t="s">
        <v>337</v>
      </c>
      <c r="J13" s="100" t="s">
        <v>1246</v>
      </c>
      <c r="K13" s="100" t="s">
        <v>411</v>
      </c>
      <c r="L13" s="100" t="s">
        <v>1237</v>
      </c>
      <c r="M13" s="103">
        <v>8.51</v>
      </c>
      <c r="N13" s="106">
        <v>49825</v>
      </c>
      <c r="O13" s="102">
        <v>0.04</v>
      </c>
      <c r="P13" s="102">
        <v>1.8700000000000001E-2</v>
      </c>
      <c r="Q13" s="103">
        <v>0</v>
      </c>
      <c r="R13" s="103">
        <v>20066763</v>
      </c>
      <c r="S13" s="103">
        <v>1</v>
      </c>
      <c r="T13" s="103">
        <v>169.52</v>
      </c>
      <c r="U13" s="103">
        <v>34017.176639999998</v>
      </c>
      <c r="V13" s="101"/>
      <c r="W13" s="100"/>
      <c r="X13" s="102">
        <v>1.2589999999999999E-3</v>
      </c>
      <c r="Y13" s="102">
        <v>5.9014999999999998E-2</v>
      </c>
      <c r="Z13" s="102">
        <v>1.1939E-2</v>
      </c>
    </row>
    <row r="14" spans="1:26" ht="13.5" customHeight="1">
      <c r="A14" s="100">
        <v>307</v>
      </c>
      <c r="B14" s="100">
        <v>307</v>
      </c>
      <c r="C14" s="100" t="s">
        <v>1243</v>
      </c>
      <c r="D14" s="100" t="s">
        <v>1269</v>
      </c>
      <c r="E14" s="100" t="s">
        <v>1270</v>
      </c>
      <c r="F14" s="100" t="s">
        <v>953</v>
      </c>
      <c r="G14" s="100" t="s">
        <v>202</v>
      </c>
      <c r="H14" s="100" t="s">
        <v>202</v>
      </c>
      <c r="I14" s="100" t="s">
        <v>337</v>
      </c>
      <c r="J14" s="100" t="s">
        <v>1246</v>
      </c>
      <c r="K14" s="100" t="s">
        <v>411</v>
      </c>
      <c r="L14" s="100" t="s">
        <v>1237</v>
      </c>
      <c r="M14" s="103">
        <v>14.47</v>
      </c>
      <c r="N14" s="106">
        <v>53782</v>
      </c>
      <c r="O14" s="102">
        <v>3.7499999999999999E-2</v>
      </c>
      <c r="P14" s="102">
        <v>4.1300000000000003E-2</v>
      </c>
      <c r="Q14" s="103">
        <v>0</v>
      </c>
      <c r="R14" s="103">
        <v>1800607</v>
      </c>
      <c r="S14" s="103">
        <v>1</v>
      </c>
      <c r="T14" s="103">
        <v>95.7</v>
      </c>
      <c r="U14" s="103">
        <v>1723.1809000000001</v>
      </c>
      <c r="V14" s="101"/>
      <c r="W14" s="100"/>
      <c r="X14" s="102">
        <v>6.3999999999999997E-5</v>
      </c>
      <c r="Y14" s="102">
        <v>2.9889999999999999E-3</v>
      </c>
      <c r="Z14" s="102">
        <v>6.0400000000000004E-4</v>
      </c>
    </row>
    <row r="15" spans="1:26" ht="13.5" customHeight="1">
      <c r="A15" s="100">
        <v>307</v>
      </c>
      <c r="B15" s="100">
        <v>307</v>
      </c>
      <c r="C15" s="100" t="s">
        <v>1271</v>
      </c>
      <c r="D15" s="100" t="s">
        <v>1272</v>
      </c>
      <c r="E15" s="100" t="s">
        <v>1273</v>
      </c>
      <c r="F15" s="100" t="s">
        <v>957</v>
      </c>
      <c r="G15" s="100" t="s">
        <v>203</v>
      </c>
      <c r="H15" s="100" t="s">
        <v>223</v>
      </c>
      <c r="I15" s="100" t="s">
        <v>313</v>
      </c>
      <c r="J15" s="100" t="s">
        <v>1274</v>
      </c>
      <c r="K15" s="100" t="s">
        <v>429</v>
      </c>
      <c r="L15" s="100" t="s">
        <v>1238</v>
      </c>
      <c r="M15" s="103">
        <v>0.79</v>
      </c>
      <c r="N15" s="106">
        <v>46492</v>
      </c>
      <c r="O15" s="102">
        <v>0</v>
      </c>
      <c r="P15" s="102">
        <v>3.95E-2</v>
      </c>
      <c r="Q15" s="103">
        <v>0</v>
      </c>
      <c r="R15" s="103">
        <v>728000</v>
      </c>
      <c r="S15" s="103">
        <v>2.9780000000000002</v>
      </c>
      <c r="T15" s="103">
        <v>96.982200000000006</v>
      </c>
      <c r="U15" s="103">
        <v>2102.5586199999998</v>
      </c>
      <c r="V15" s="101"/>
      <c r="W15" s="100"/>
      <c r="X15" s="102">
        <v>1.4E-5</v>
      </c>
      <c r="Y15" s="102">
        <v>3.6470000000000001E-3</v>
      </c>
      <c r="Z15" s="102">
        <v>7.3700000000000002E-4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307</v>
      </c>
      <c r="B2" s="100">
        <v>307</v>
      </c>
      <c r="C2" s="100" t="s">
        <v>1275</v>
      </c>
      <c r="D2" s="100">
        <v>520000472</v>
      </c>
      <c r="E2" s="100" t="s">
        <v>308</v>
      </c>
      <c r="F2" s="100" t="s">
        <v>1276</v>
      </c>
      <c r="G2" s="100" t="s">
        <v>1277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438</v>
      </c>
      <c r="O2" s="100" t="s">
        <v>336</v>
      </c>
      <c r="P2" s="100" t="s">
        <v>1232</v>
      </c>
      <c r="Q2" s="100" t="s">
        <v>411</v>
      </c>
      <c r="R2" s="100" t="s">
        <v>404</v>
      </c>
      <c r="S2" s="100" t="s">
        <v>1237</v>
      </c>
      <c r="T2" s="103">
        <v>9.34</v>
      </c>
      <c r="U2" s="106">
        <v>49825</v>
      </c>
      <c r="V2" s="102">
        <v>1.2500000000000001E-2</v>
      </c>
      <c r="W2" s="102">
        <v>2.52E-2</v>
      </c>
      <c r="X2" s="100" t="s">
        <v>410</v>
      </c>
      <c r="Y2" s="100"/>
      <c r="Z2" s="103">
        <v>745200</v>
      </c>
      <c r="AA2" s="103">
        <v>1</v>
      </c>
      <c r="AB2" s="103">
        <v>104.72</v>
      </c>
      <c r="AC2" s="103">
        <v>0</v>
      </c>
      <c r="AD2" s="103">
        <v>780.37343999999996</v>
      </c>
      <c r="AE2" s="103"/>
      <c r="AF2" s="103"/>
      <c r="AG2" s="100"/>
      <c r="AH2" s="102">
        <v>1.73E-4</v>
      </c>
      <c r="AI2" s="102">
        <v>1.8147E-2</v>
      </c>
      <c r="AJ2" s="102">
        <v>2.7300000000000002E-4</v>
      </c>
    </row>
    <row r="3" spans="1:36" ht="13.5" customHeight="1">
      <c r="A3" s="100">
        <v>307</v>
      </c>
      <c r="B3" s="100">
        <v>307</v>
      </c>
      <c r="C3" s="100" t="s">
        <v>1278</v>
      </c>
      <c r="D3" s="100">
        <v>520029935</v>
      </c>
      <c r="E3" s="100" t="s">
        <v>308</v>
      </c>
      <c r="F3" s="100" t="s">
        <v>1279</v>
      </c>
      <c r="G3" s="100" t="s">
        <v>1280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446</v>
      </c>
      <c r="O3" s="100" t="s">
        <v>336</v>
      </c>
      <c r="P3" s="100" t="s">
        <v>1232</v>
      </c>
      <c r="Q3" s="100" t="s">
        <v>411</v>
      </c>
      <c r="R3" s="100" t="s">
        <v>404</v>
      </c>
      <c r="S3" s="100" t="s">
        <v>1237</v>
      </c>
      <c r="T3" s="103">
        <v>3.05</v>
      </c>
      <c r="U3" s="106">
        <v>48441</v>
      </c>
      <c r="V3" s="102">
        <v>2E-3</v>
      </c>
      <c r="W3" s="102">
        <v>2.1499999999999998E-2</v>
      </c>
      <c r="X3" s="100" t="s">
        <v>410</v>
      </c>
      <c r="Y3" s="100"/>
      <c r="Z3" s="103">
        <v>1162791.83</v>
      </c>
      <c r="AA3" s="103">
        <v>1</v>
      </c>
      <c r="AB3" s="103">
        <v>109.76</v>
      </c>
      <c r="AC3" s="103">
        <v>0</v>
      </c>
      <c r="AD3" s="103">
        <v>1276.2803100000001</v>
      </c>
      <c r="AE3" s="101"/>
      <c r="AF3" s="101"/>
      <c r="AG3" s="100"/>
      <c r="AH3" s="102">
        <v>3.9300000000000001E-4</v>
      </c>
      <c r="AI3" s="102">
        <v>2.9680000000000002E-2</v>
      </c>
      <c r="AJ3" s="102">
        <v>4.4700000000000002E-4</v>
      </c>
    </row>
    <row r="4" spans="1:36" ht="13.5" customHeight="1">
      <c r="A4" s="100">
        <v>307</v>
      </c>
      <c r="B4" s="100">
        <v>307</v>
      </c>
      <c r="C4" s="100" t="s">
        <v>1239</v>
      </c>
      <c r="D4" s="100">
        <v>520000118</v>
      </c>
      <c r="E4" s="100" t="s">
        <v>308</v>
      </c>
      <c r="F4" s="100" t="s">
        <v>1281</v>
      </c>
      <c r="G4" s="100" t="s">
        <v>1282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322</v>
      </c>
      <c r="M4" s="100" t="s">
        <v>337</v>
      </c>
      <c r="N4" s="100" t="s">
        <v>446</v>
      </c>
      <c r="O4" s="100" t="s">
        <v>336</v>
      </c>
      <c r="P4" s="100" t="s">
        <v>1283</v>
      </c>
      <c r="Q4" s="100" t="s">
        <v>411</v>
      </c>
      <c r="R4" s="100" t="s">
        <v>404</v>
      </c>
      <c r="S4" s="100" t="s">
        <v>1237</v>
      </c>
      <c r="T4" s="103">
        <v>2.33</v>
      </c>
      <c r="U4" s="106">
        <v>47086</v>
      </c>
      <c r="V4" s="102">
        <v>3.09E-2</v>
      </c>
      <c r="W4" s="102">
        <v>2.3800000000000002E-2</v>
      </c>
      <c r="X4" s="100" t="s">
        <v>410</v>
      </c>
      <c r="Y4" s="100"/>
      <c r="Z4" s="103">
        <v>350000</v>
      </c>
      <c r="AA4" s="103">
        <v>1</v>
      </c>
      <c r="AB4" s="103">
        <v>114.59</v>
      </c>
      <c r="AC4" s="103">
        <v>0</v>
      </c>
      <c r="AD4" s="103">
        <v>401.065</v>
      </c>
      <c r="AE4" s="101"/>
      <c r="AF4" s="101"/>
      <c r="AG4" s="100"/>
      <c r="AH4" s="102">
        <v>3.68E-4</v>
      </c>
      <c r="AI4" s="102">
        <v>9.3259999999999992E-3</v>
      </c>
      <c r="AJ4" s="102">
        <v>1.3999999999999999E-4</v>
      </c>
    </row>
    <row r="5" spans="1:36" ht="13.5" customHeight="1">
      <c r="A5" s="100">
        <v>307</v>
      </c>
      <c r="B5" s="100">
        <v>307</v>
      </c>
      <c r="C5" s="100" t="s">
        <v>1284</v>
      </c>
      <c r="D5" s="100">
        <v>520032046</v>
      </c>
      <c r="E5" s="100" t="s">
        <v>308</v>
      </c>
      <c r="F5" s="100" t="s">
        <v>1285</v>
      </c>
      <c r="G5" s="100" t="s">
        <v>1286</v>
      </c>
      <c r="H5" s="100" t="s">
        <v>319</v>
      </c>
      <c r="I5" s="100" t="s">
        <v>751</v>
      </c>
      <c r="J5" s="100" t="s">
        <v>202</v>
      </c>
      <c r="K5" s="100" t="s">
        <v>202</v>
      </c>
      <c r="L5" s="100" t="s">
        <v>322</v>
      </c>
      <c r="M5" s="100" t="s">
        <v>337</v>
      </c>
      <c r="N5" s="100" t="s">
        <v>446</v>
      </c>
      <c r="O5" s="100" t="s">
        <v>336</v>
      </c>
      <c r="P5" s="100" t="s">
        <v>1232</v>
      </c>
      <c r="Q5" s="100" t="s">
        <v>411</v>
      </c>
      <c r="R5" s="100" t="s">
        <v>404</v>
      </c>
      <c r="S5" s="100" t="s">
        <v>1237</v>
      </c>
      <c r="T5" s="103">
        <v>2.31</v>
      </c>
      <c r="U5" s="106">
        <v>47048</v>
      </c>
      <c r="V5" s="102">
        <v>1E-3</v>
      </c>
      <c r="W5" s="102">
        <v>2.1399999999999999E-2</v>
      </c>
      <c r="X5" s="100" t="s">
        <v>410</v>
      </c>
      <c r="Y5" s="100"/>
      <c r="Z5" s="103">
        <v>4904631</v>
      </c>
      <c r="AA5" s="103">
        <v>1</v>
      </c>
      <c r="AB5" s="103">
        <v>111.29</v>
      </c>
      <c r="AC5" s="103">
        <v>0</v>
      </c>
      <c r="AD5" s="103">
        <v>5458.36384</v>
      </c>
      <c r="AE5" s="101"/>
      <c r="AF5" s="101"/>
      <c r="AG5" s="100"/>
      <c r="AH5" s="102">
        <v>1.4519999999999999E-3</v>
      </c>
      <c r="AI5" s="102">
        <v>0.12693599999999999</v>
      </c>
      <c r="AJ5" s="102">
        <v>1.915E-3</v>
      </c>
    </row>
    <row r="6" spans="1:36" ht="13.5" customHeight="1">
      <c r="A6" s="100">
        <v>307</v>
      </c>
      <c r="B6" s="100">
        <v>307</v>
      </c>
      <c r="C6" s="100" t="s">
        <v>1275</v>
      </c>
      <c r="D6" s="100">
        <v>520000472</v>
      </c>
      <c r="E6" s="100" t="s">
        <v>308</v>
      </c>
      <c r="F6" s="100" t="s">
        <v>1287</v>
      </c>
      <c r="G6" s="100" t="s">
        <v>1288</v>
      </c>
      <c r="H6" s="100" t="s">
        <v>319</v>
      </c>
      <c r="I6" s="100" t="s">
        <v>751</v>
      </c>
      <c r="J6" s="100" t="s">
        <v>202</v>
      </c>
      <c r="K6" s="100" t="s">
        <v>202</v>
      </c>
      <c r="L6" s="100" t="s">
        <v>322</v>
      </c>
      <c r="M6" s="100" t="s">
        <v>337</v>
      </c>
      <c r="N6" s="100" t="s">
        <v>438</v>
      </c>
      <c r="O6" s="100" t="s">
        <v>336</v>
      </c>
      <c r="P6" s="100" t="s">
        <v>1232</v>
      </c>
      <c r="Q6" s="100" t="s">
        <v>411</v>
      </c>
      <c r="R6" s="100" t="s">
        <v>404</v>
      </c>
      <c r="S6" s="100" t="s">
        <v>1237</v>
      </c>
      <c r="T6" s="103">
        <v>4.24</v>
      </c>
      <c r="U6" s="106">
        <v>48112</v>
      </c>
      <c r="V6" s="102">
        <v>2.3900000000000001E-2</v>
      </c>
      <c r="W6" s="102">
        <v>2.23E-2</v>
      </c>
      <c r="X6" s="100" t="s">
        <v>410</v>
      </c>
      <c r="Y6" s="100"/>
      <c r="Z6" s="103">
        <v>2984937</v>
      </c>
      <c r="AA6" s="103">
        <v>1</v>
      </c>
      <c r="AB6" s="103">
        <v>120.6</v>
      </c>
      <c r="AC6" s="103">
        <v>0</v>
      </c>
      <c r="AD6" s="103">
        <v>3599.8340199999998</v>
      </c>
      <c r="AE6" s="101"/>
      <c r="AF6" s="101"/>
      <c r="AG6" s="100"/>
      <c r="AH6" s="102">
        <v>7.67E-4</v>
      </c>
      <c r="AI6" s="102">
        <v>8.3714999999999998E-2</v>
      </c>
      <c r="AJ6" s="102">
        <v>1.263E-3</v>
      </c>
    </row>
    <row r="7" spans="1:36" ht="13.5" customHeight="1">
      <c r="A7" s="100">
        <v>307</v>
      </c>
      <c r="B7" s="100">
        <v>307</v>
      </c>
      <c r="C7" s="100" t="s">
        <v>1239</v>
      </c>
      <c r="D7" s="100">
        <v>520000118</v>
      </c>
      <c r="E7" s="100" t="s">
        <v>308</v>
      </c>
      <c r="F7" s="100" t="s">
        <v>1289</v>
      </c>
      <c r="G7" s="100" t="s">
        <v>1290</v>
      </c>
      <c r="H7" s="100" t="s">
        <v>319</v>
      </c>
      <c r="I7" s="100" t="s">
        <v>751</v>
      </c>
      <c r="J7" s="100" t="s">
        <v>202</v>
      </c>
      <c r="K7" s="100" t="s">
        <v>202</v>
      </c>
      <c r="L7" s="100" t="s">
        <v>322</v>
      </c>
      <c r="M7" s="100" t="s">
        <v>337</v>
      </c>
      <c r="N7" s="100" t="s">
        <v>446</v>
      </c>
      <c r="O7" s="100" t="s">
        <v>336</v>
      </c>
      <c r="P7" s="100" t="s">
        <v>1236</v>
      </c>
      <c r="Q7" s="100" t="s">
        <v>413</v>
      </c>
      <c r="R7" s="100" t="s">
        <v>404</v>
      </c>
      <c r="S7" s="100" t="s">
        <v>1237</v>
      </c>
      <c r="T7" s="103">
        <v>2.88</v>
      </c>
      <c r="U7" s="106">
        <v>48191</v>
      </c>
      <c r="V7" s="102">
        <v>1E-3</v>
      </c>
      <c r="W7" s="102">
        <v>2.1100000000000001E-2</v>
      </c>
      <c r="X7" s="100" t="s">
        <v>410</v>
      </c>
      <c r="Y7" s="100"/>
      <c r="Z7" s="103">
        <v>1168079.1399999999</v>
      </c>
      <c r="AA7" s="103">
        <v>1</v>
      </c>
      <c r="AB7" s="103">
        <v>109.94</v>
      </c>
      <c r="AC7" s="103">
        <v>0</v>
      </c>
      <c r="AD7" s="103">
        <v>1284.1862100000001</v>
      </c>
      <c r="AE7" s="101"/>
      <c r="AF7" s="101"/>
      <c r="AG7" s="100"/>
      <c r="AH7" s="102">
        <v>1.384E-3</v>
      </c>
      <c r="AI7" s="102">
        <v>2.9864000000000002E-2</v>
      </c>
      <c r="AJ7" s="102">
        <v>4.4999999999999999E-4</v>
      </c>
    </row>
    <row r="8" spans="1:36" ht="13.5" customHeight="1">
      <c r="A8" s="100">
        <v>307</v>
      </c>
      <c r="B8" s="100">
        <v>307</v>
      </c>
      <c r="C8" s="100" t="s">
        <v>1284</v>
      </c>
      <c r="D8" s="100">
        <v>520032046</v>
      </c>
      <c r="E8" s="100" t="s">
        <v>308</v>
      </c>
      <c r="F8" s="100" t="s">
        <v>1291</v>
      </c>
      <c r="G8" s="100" t="s">
        <v>1292</v>
      </c>
      <c r="H8" s="100" t="s">
        <v>319</v>
      </c>
      <c r="I8" s="100" t="s">
        <v>751</v>
      </c>
      <c r="J8" s="100" t="s">
        <v>202</v>
      </c>
      <c r="K8" s="100" t="s">
        <v>202</v>
      </c>
      <c r="L8" s="100" t="s">
        <v>322</v>
      </c>
      <c r="M8" s="100" t="s">
        <v>337</v>
      </c>
      <c r="N8" s="100" t="s">
        <v>446</v>
      </c>
      <c r="O8" s="100" t="s">
        <v>336</v>
      </c>
      <c r="P8" s="100" t="s">
        <v>1232</v>
      </c>
      <c r="Q8" s="100" t="s">
        <v>411</v>
      </c>
      <c r="R8" s="100" t="s">
        <v>404</v>
      </c>
      <c r="S8" s="100" t="s">
        <v>1237</v>
      </c>
      <c r="T8" s="103">
        <v>2.74</v>
      </c>
      <c r="U8" s="106">
        <v>47950</v>
      </c>
      <c r="V8" s="102">
        <v>1E-3</v>
      </c>
      <c r="W8" s="102">
        <v>2.1399999999999999E-2</v>
      </c>
      <c r="X8" s="100" t="s">
        <v>410</v>
      </c>
      <c r="Y8" s="100"/>
      <c r="Z8" s="103">
        <v>249211.27</v>
      </c>
      <c r="AA8" s="103">
        <v>1</v>
      </c>
      <c r="AB8" s="103">
        <v>108.95</v>
      </c>
      <c r="AC8" s="103">
        <v>0</v>
      </c>
      <c r="AD8" s="103">
        <v>271.51567999999997</v>
      </c>
      <c r="AE8" s="101"/>
      <c r="AF8" s="101"/>
      <c r="AG8" s="100"/>
      <c r="AH8" s="102">
        <v>1.34E-4</v>
      </c>
      <c r="AI8" s="102">
        <v>6.3140000000000002E-3</v>
      </c>
      <c r="AJ8" s="102">
        <v>9.5000000000000005E-5</v>
      </c>
    </row>
    <row r="9" spans="1:36" ht="13.5" customHeight="1">
      <c r="A9" s="100">
        <v>307</v>
      </c>
      <c r="B9" s="100">
        <v>307</v>
      </c>
      <c r="C9" s="100" t="s">
        <v>1293</v>
      </c>
      <c r="D9" s="100">
        <v>513893123</v>
      </c>
      <c r="E9" s="100" t="s">
        <v>308</v>
      </c>
      <c r="F9" s="100" t="s">
        <v>1294</v>
      </c>
      <c r="G9" s="100" t="s">
        <v>1295</v>
      </c>
      <c r="H9" s="100" t="s">
        <v>319</v>
      </c>
      <c r="I9" s="100" t="s">
        <v>751</v>
      </c>
      <c r="J9" s="100" t="s">
        <v>202</v>
      </c>
      <c r="K9" s="100" t="s">
        <v>202</v>
      </c>
      <c r="L9" s="100" t="s">
        <v>322</v>
      </c>
      <c r="M9" s="100" t="s">
        <v>337</v>
      </c>
      <c r="N9" s="100" t="s">
        <v>441</v>
      </c>
      <c r="O9" s="100" t="s">
        <v>336</v>
      </c>
      <c r="P9" s="100" t="s">
        <v>1296</v>
      </c>
      <c r="Q9" s="100" t="s">
        <v>413</v>
      </c>
      <c r="R9" s="100" t="s">
        <v>404</v>
      </c>
      <c r="S9" s="100" t="s">
        <v>1237</v>
      </c>
      <c r="T9" s="103">
        <v>0.49</v>
      </c>
      <c r="U9" s="106">
        <v>46477</v>
      </c>
      <c r="V9" s="102">
        <v>3.5400000000000001E-2</v>
      </c>
      <c r="W9" s="102">
        <v>3.6799999999999999E-2</v>
      </c>
      <c r="X9" s="100" t="s">
        <v>410</v>
      </c>
      <c r="Y9" s="100"/>
      <c r="Z9" s="103">
        <v>356828.5</v>
      </c>
      <c r="AA9" s="103">
        <v>1</v>
      </c>
      <c r="AB9" s="103">
        <v>111.7</v>
      </c>
      <c r="AC9" s="103">
        <v>0</v>
      </c>
      <c r="AD9" s="103">
        <v>398.57742999999999</v>
      </c>
      <c r="AE9" s="101"/>
      <c r="AF9" s="101"/>
      <c r="AG9" s="100"/>
      <c r="AH9" s="102">
        <v>6.38E-4</v>
      </c>
      <c r="AI9" s="102">
        <v>9.2689999999999995E-3</v>
      </c>
      <c r="AJ9" s="102">
        <v>1.3899999999999999E-4</v>
      </c>
    </row>
    <row r="10" spans="1:36" ht="13.5" customHeight="1">
      <c r="A10" s="100">
        <v>307</v>
      </c>
      <c r="B10" s="100">
        <v>307</v>
      </c>
      <c r="C10" s="100" t="s">
        <v>1284</v>
      </c>
      <c r="D10" s="100">
        <v>520032046</v>
      </c>
      <c r="E10" s="100" t="s">
        <v>308</v>
      </c>
      <c r="F10" s="100" t="s">
        <v>1297</v>
      </c>
      <c r="G10" s="100" t="s">
        <v>1298</v>
      </c>
      <c r="H10" s="100" t="s">
        <v>319</v>
      </c>
      <c r="I10" s="100" t="s">
        <v>751</v>
      </c>
      <c r="J10" s="100" t="s">
        <v>202</v>
      </c>
      <c r="K10" s="100" t="s">
        <v>202</v>
      </c>
      <c r="L10" s="100" t="s">
        <v>322</v>
      </c>
      <c r="M10" s="100" t="s">
        <v>337</v>
      </c>
      <c r="N10" s="100" t="s">
        <v>446</v>
      </c>
      <c r="O10" s="100" t="s">
        <v>336</v>
      </c>
      <c r="P10" s="100" t="s">
        <v>1232</v>
      </c>
      <c r="Q10" s="100" t="s">
        <v>411</v>
      </c>
      <c r="R10" s="100" t="s">
        <v>404</v>
      </c>
      <c r="S10" s="100" t="s">
        <v>1237</v>
      </c>
      <c r="T10" s="103">
        <v>1.23</v>
      </c>
      <c r="U10" s="106">
        <v>46658</v>
      </c>
      <c r="V10" s="102">
        <v>1.2200000000000001E-2</v>
      </c>
      <c r="W10" s="102">
        <v>2.1899999999999999E-2</v>
      </c>
      <c r="X10" s="100" t="s">
        <v>410</v>
      </c>
      <c r="Y10" s="100"/>
      <c r="Z10" s="103">
        <v>125490</v>
      </c>
      <c r="AA10" s="103">
        <v>1</v>
      </c>
      <c r="AB10" s="103">
        <v>120.2</v>
      </c>
      <c r="AC10" s="103">
        <v>0</v>
      </c>
      <c r="AD10" s="103">
        <v>150.83897999999999</v>
      </c>
      <c r="AE10" s="101"/>
      <c r="AF10" s="101"/>
      <c r="AG10" s="100"/>
      <c r="AH10" s="102">
        <v>4.1E-5</v>
      </c>
      <c r="AI10" s="102">
        <v>3.5070000000000001E-3</v>
      </c>
      <c r="AJ10" s="102">
        <v>5.1999999999999997E-5</v>
      </c>
    </row>
    <row r="11" spans="1:36" ht="13.5" customHeight="1">
      <c r="A11" s="100">
        <v>307</v>
      </c>
      <c r="B11" s="100">
        <v>307</v>
      </c>
      <c r="C11" s="100" t="s">
        <v>1284</v>
      </c>
      <c r="D11" s="100">
        <v>520032046</v>
      </c>
      <c r="E11" s="100" t="s">
        <v>308</v>
      </c>
      <c r="F11" s="100" t="s">
        <v>1299</v>
      </c>
      <c r="G11" s="100" t="s">
        <v>1300</v>
      </c>
      <c r="H11" s="100" t="s">
        <v>319</v>
      </c>
      <c r="I11" s="100" t="s">
        <v>751</v>
      </c>
      <c r="J11" s="100" t="s">
        <v>202</v>
      </c>
      <c r="K11" s="100" t="s">
        <v>202</v>
      </c>
      <c r="L11" s="100" t="s">
        <v>322</v>
      </c>
      <c r="M11" s="100" t="s">
        <v>337</v>
      </c>
      <c r="N11" s="100" t="s">
        <v>446</v>
      </c>
      <c r="O11" s="100" t="s">
        <v>336</v>
      </c>
      <c r="P11" s="100" t="s">
        <v>1232</v>
      </c>
      <c r="Q11" s="100" t="s">
        <v>411</v>
      </c>
      <c r="R11" s="100" t="s">
        <v>404</v>
      </c>
      <c r="S11" s="100" t="s">
        <v>1237</v>
      </c>
      <c r="T11" s="103">
        <v>2.83</v>
      </c>
      <c r="U11" s="106">
        <v>48190</v>
      </c>
      <c r="V11" s="102">
        <v>1.6400000000000001E-2</v>
      </c>
      <c r="W11" s="102">
        <v>2.0899999999999998E-2</v>
      </c>
      <c r="X11" s="100" t="s">
        <v>410</v>
      </c>
      <c r="Y11" s="100"/>
      <c r="Z11" s="103">
        <v>736036.8</v>
      </c>
      <c r="AA11" s="103">
        <v>1</v>
      </c>
      <c r="AB11" s="103">
        <v>110.39</v>
      </c>
      <c r="AC11" s="103">
        <v>0</v>
      </c>
      <c r="AD11" s="103">
        <v>812.51102000000003</v>
      </c>
      <c r="AE11" s="101"/>
      <c r="AF11" s="101"/>
      <c r="AG11" s="100"/>
      <c r="AH11" s="102">
        <v>9.1200000000000005E-4</v>
      </c>
      <c r="AI11" s="102">
        <v>1.8894999999999999E-2</v>
      </c>
      <c r="AJ11" s="102">
        <v>2.8499999999999999E-4</v>
      </c>
    </row>
    <row r="12" spans="1:36" ht="13.5" customHeight="1">
      <c r="A12" s="100">
        <v>307</v>
      </c>
      <c r="B12" s="100">
        <v>307</v>
      </c>
      <c r="C12" s="100" t="s">
        <v>1239</v>
      </c>
      <c r="D12" s="100">
        <v>520000118</v>
      </c>
      <c r="E12" s="100" t="s">
        <v>308</v>
      </c>
      <c r="F12" s="100" t="s">
        <v>1301</v>
      </c>
      <c r="G12" s="100" t="s">
        <v>1302</v>
      </c>
      <c r="H12" s="100" t="s">
        <v>319</v>
      </c>
      <c r="I12" s="100" t="s">
        <v>751</v>
      </c>
      <c r="J12" s="100" t="s">
        <v>202</v>
      </c>
      <c r="K12" s="100" t="s">
        <v>202</v>
      </c>
      <c r="L12" s="100" t="s">
        <v>322</v>
      </c>
      <c r="M12" s="100" t="s">
        <v>337</v>
      </c>
      <c r="N12" s="100" t="s">
        <v>446</v>
      </c>
      <c r="O12" s="100" t="s">
        <v>336</v>
      </c>
      <c r="P12" s="100" t="s">
        <v>1236</v>
      </c>
      <c r="Q12" s="100" t="s">
        <v>413</v>
      </c>
      <c r="R12" s="100" t="s">
        <v>404</v>
      </c>
      <c r="S12" s="100" t="s">
        <v>1237</v>
      </c>
      <c r="T12" s="103">
        <v>3.28</v>
      </c>
      <c r="U12" s="106">
        <v>48547</v>
      </c>
      <c r="V12" s="102">
        <v>1.3899999999999999E-2</v>
      </c>
      <c r="W12" s="102">
        <v>2.1700000000000001E-2</v>
      </c>
      <c r="X12" s="100" t="s">
        <v>410</v>
      </c>
      <c r="Y12" s="100"/>
      <c r="Z12" s="103">
        <v>207900</v>
      </c>
      <c r="AA12" s="103">
        <v>1</v>
      </c>
      <c r="AB12" s="103">
        <v>108.9</v>
      </c>
      <c r="AC12" s="103">
        <v>0</v>
      </c>
      <c r="AD12" s="103">
        <v>226.40309999999999</v>
      </c>
      <c r="AE12" s="101"/>
      <c r="AF12" s="101"/>
      <c r="AG12" s="100"/>
      <c r="AH12" s="102">
        <v>6.7000000000000002E-5</v>
      </c>
      <c r="AI12" s="102">
        <v>5.2649999999999997E-3</v>
      </c>
      <c r="AJ12" s="102">
        <v>7.8999999999999996E-5</v>
      </c>
    </row>
    <row r="13" spans="1:36" ht="13.5" customHeight="1">
      <c r="A13" s="100">
        <v>307</v>
      </c>
      <c r="B13" s="100">
        <v>307</v>
      </c>
      <c r="C13" s="100" t="s">
        <v>1284</v>
      </c>
      <c r="D13" s="100">
        <v>520032046</v>
      </c>
      <c r="E13" s="100" t="s">
        <v>308</v>
      </c>
      <c r="F13" s="100" t="s">
        <v>1303</v>
      </c>
      <c r="G13" s="100" t="s">
        <v>1304</v>
      </c>
      <c r="H13" s="100" t="s">
        <v>319</v>
      </c>
      <c r="I13" s="100" t="s">
        <v>751</v>
      </c>
      <c r="J13" s="100" t="s">
        <v>202</v>
      </c>
      <c r="K13" s="100" t="s">
        <v>202</v>
      </c>
      <c r="L13" s="100" t="s">
        <v>322</v>
      </c>
      <c r="M13" s="100" t="s">
        <v>337</v>
      </c>
      <c r="N13" s="100" t="s">
        <v>446</v>
      </c>
      <c r="O13" s="100" t="s">
        <v>336</v>
      </c>
      <c r="P13" s="100" t="s">
        <v>1232</v>
      </c>
      <c r="Q13" s="100" t="s">
        <v>411</v>
      </c>
      <c r="R13" s="100" t="s">
        <v>404</v>
      </c>
      <c r="S13" s="100" t="s">
        <v>1237</v>
      </c>
      <c r="T13" s="103">
        <v>3.99</v>
      </c>
      <c r="U13" s="106">
        <v>47665</v>
      </c>
      <c r="V13" s="102">
        <v>2E-3</v>
      </c>
      <c r="W13" s="102">
        <v>2.2200000000000001E-2</v>
      </c>
      <c r="X13" s="100" t="s">
        <v>410</v>
      </c>
      <c r="Y13" s="100"/>
      <c r="Z13" s="103">
        <v>2630559</v>
      </c>
      <c r="AA13" s="103">
        <v>1</v>
      </c>
      <c r="AB13" s="103">
        <v>110.28</v>
      </c>
      <c r="AC13" s="103">
        <v>6.8151000000000002</v>
      </c>
      <c r="AD13" s="103">
        <v>2907.7955700000002</v>
      </c>
      <c r="AE13" s="101"/>
      <c r="AF13" s="101"/>
      <c r="AG13" s="100"/>
      <c r="AH13" s="102">
        <v>7.6000000000000004E-4</v>
      </c>
      <c r="AI13" s="102">
        <v>6.7621000000000001E-2</v>
      </c>
      <c r="AJ13" s="102">
        <v>1.0200000000000001E-3</v>
      </c>
    </row>
    <row r="14" spans="1:36" ht="13.5" customHeight="1">
      <c r="A14" s="100">
        <v>307</v>
      </c>
      <c r="B14" s="100">
        <v>307</v>
      </c>
      <c r="C14" s="100" t="s">
        <v>1305</v>
      </c>
      <c r="D14" s="100">
        <v>520010869</v>
      </c>
      <c r="E14" s="100" t="s">
        <v>308</v>
      </c>
      <c r="F14" s="100" t="s">
        <v>1306</v>
      </c>
      <c r="G14" s="100" t="s">
        <v>1307</v>
      </c>
      <c r="H14" s="100" t="s">
        <v>319</v>
      </c>
      <c r="I14" s="100" t="s">
        <v>751</v>
      </c>
      <c r="J14" s="100" t="s">
        <v>202</v>
      </c>
      <c r="K14" s="100" t="s">
        <v>202</v>
      </c>
      <c r="L14" s="100" t="s">
        <v>322</v>
      </c>
      <c r="M14" s="100" t="s">
        <v>337</v>
      </c>
      <c r="N14" s="100" t="s">
        <v>475</v>
      </c>
      <c r="O14" s="100" t="s">
        <v>336</v>
      </c>
      <c r="P14" s="100" t="s">
        <v>1232</v>
      </c>
      <c r="Q14" s="100" t="s">
        <v>411</v>
      </c>
      <c r="R14" s="100" t="s">
        <v>404</v>
      </c>
      <c r="S14" s="100" t="s">
        <v>1237</v>
      </c>
      <c r="T14" s="103">
        <v>1</v>
      </c>
      <c r="U14" s="106">
        <v>46752</v>
      </c>
      <c r="V14" s="102">
        <v>1E-3</v>
      </c>
      <c r="W14" s="102">
        <v>2.2200000000000001E-2</v>
      </c>
      <c r="X14" s="100" t="s">
        <v>410</v>
      </c>
      <c r="Y14" s="100"/>
      <c r="Z14" s="103">
        <v>166800</v>
      </c>
      <c r="AA14" s="103">
        <v>1</v>
      </c>
      <c r="AB14" s="103">
        <v>115.12</v>
      </c>
      <c r="AC14" s="103">
        <v>0</v>
      </c>
      <c r="AD14" s="103">
        <v>192.02016</v>
      </c>
      <c r="AE14" s="101"/>
      <c r="AF14" s="101"/>
      <c r="AG14" s="100"/>
      <c r="AH14" s="102">
        <v>3.8900000000000002E-4</v>
      </c>
      <c r="AI14" s="102">
        <v>4.4650000000000002E-3</v>
      </c>
      <c r="AJ14" s="102">
        <v>6.7000000000000002E-5</v>
      </c>
    </row>
    <row r="15" spans="1:36" ht="13.5" customHeight="1">
      <c r="A15" s="100">
        <v>307</v>
      </c>
      <c r="B15" s="100">
        <v>307</v>
      </c>
      <c r="C15" s="100" t="s">
        <v>1308</v>
      </c>
      <c r="D15" s="100">
        <v>520018078</v>
      </c>
      <c r="E15" s="100" t="s">
        <v>308</v>
      </c>
      <c r="F15" s="100" t="s">
        <v>1309</v>
      </c>
      <c r="G15" s="100" t="s">
        <v>1310</v>
      </c>
      <c r="H15" s="100" t="s">
        <v>319</v>
      </c>
      <c r="I15" s="100" t="s">
        <v>751</v>
      </c>
      <c r="J15" s="100" t="s">
        <v>202</v>
      </c>
      <c r="K15" s="100" t="s">
        <v>202</v>
      </c>
      <c r="L15" s="100" t="s">
        <v>322</v>
      </c>
      <c r="M15" s="100" t="s">
        <v>337</v>
      </c>
      <c r="N15" s="100" t="s">
        <v>446</v>
      </c>
      <c r="O15" s="100" t="s">
        <v>336</v>
      </c>
      <c r="P15" s="100" t="s">
        <v>1232</v>
      </c>
      <c r="Q15" s="100" t="s">
        <v>411</v>
      </c>
      <c r="R15" s="100" t="s">
        <v>404</v>
      </c>
      <c r="S15" s="100" t="s">
        <v>1237</v>
      </c>
      <c r="T15" s="103">
        <v>3.73</v>
      </c>
      <c r="U15" s="106">
        <v>48913</v>
      </c>
      <c r="V15" s="102">
        <v>2.0199999999999999E-2</v>
      </c>
      <c r="W15" s="102">
        <v>2.2200000000000001E-2</v>
      </c>
      <c r="X15" s="100" t="s">
        <v>410</v>
      </c>
      <c r="Y15" s="100"/>
      <c r="Z15" s="103">
        <v>4500000</v>
      </c>
      <c r="AA15" s="103">
        <v>1</v>
      </c>
      <c r="AB15" s="103">
        <v>106.52</v>
      </c>
      <c r="AC15" s="103">
        <v>0</v>
      </c>
      <c r="AD15" s="103">
        <v>4793.3999999999996</v>
      </c>
      <c r="AE15" s="101"/>
      <c r="AF15" s="101"/>
      <c r="AG15" s="100"/>
      <c r="AH15" s="102">
        <v>8.9300000000000002E-4</v>
      </c>
      <c r="AI15" s="102">
        <v>0.111472</v>
      </c>
      <c r="AJ15" s="102">
        <v>1.6819999999999999E-3</v>
      </c>
    </row>
    <row r="16" spans="1:36" ht="13.5" customHeight="1">
      <c r="A16" s="100">
        <v>307</v>
      </c>
      <c r="B16" s="100">
        <v>307</v>
      </c>
      <c r="C16" s="100" t="s">
        <v>1308</v>
      </c>
      <c r="D16" s="100">
        <v>520018078</v>
      </c>
      <c r="E16" s="100" t="s">
        <v>308</v>
      </c>
      <c r="F16" s="100" t="s">
        <v>1311</v>
      </c>
      <c r="G16" s="100" t="s">
        <v>1312</v>
      </c>
      <c r="H16" s="100" t="s">
        <v>319</v>
      </c>
      <c r="I16" s="100" t="s">
        <v>751</v>
      </c>
      <c r="J16" s="100" t="s">
        <v>202</v>
      </c>
      <c r="K16" s="100" t="s">
        <v>202</v>
      </c>
      <c r="L16" s="100" t="s">
        <v>322</v>
      </c>
      <c r="M16" s="100" t="s">
        <v>337</v>
      </c>
      <c r="N16" s="100" t="s">
        <v>446</v>
      </c>
      <c r="O16" s="100" t="s">
        <v>336</v>
      </c>
      <c r="P16" s="100" t="s">
        <v>1232</v>
      </c>
      <c r="Q16" s="100" t="s">
        <v>411</v>
      </c>
      <c r="R16" s="100" t="s">
        <v>404</v>
      </c>
      <c r="S16" s="100" t="s">
        <v>1237</v>
      </c>
      <c r="T16" s="103">
        <v>1.4</v>
      </c>
      <c r="U16" s="106">
        <v>46716</v>
      </c>
      <c r="V16" s="102">
        <v>1E-3</v>
      </c>
      <c r="W16" s="102">
        <v>2.0799999999999999E-2</v>
      </c>
      <c r="X16" s="100" t="s">
        <v>410</v>
      </c>
      <c r="Y16" s="100"/>
      <c r="Z16" s="103">
        <v>182451</v>
      </c>
      <c r="AA16" s="103">
        <v>1</v>
      </c>
      <c r="AB16" s="103">
        <v>113.31</v>
      </c>
      <c r="AC16" s="103">
        <v>0</v>
      </c>
      <c r="AD16" s="103">
        <v>206.73523</v>
      </c>
      <c r="AE16" s="101"/>
      <c r="AF16" s="101"/>
      <c r="AG16" s="100"/>
      <c r="AH16" s="102">
        <v>5.8E-5</v>
      </c>
      <c r="AI16" s="102">
        <v>4.8069999999999996E-3</v>
      </c>
      <c r="AJ16" s="102">
        <v>7.2000000000000002E-5</v>
      </c>
    </row>
    <row r="17" spans="1:36" ht="13.5" customHeight="1">
      <c r="A17" s="100">
        <v>307</v>
      </c>
      <c r="B17" s="100">
        <v>307</v>
      </c>
      <c r="C17" s="100" t="s">
        <v>1308</v>
      </c>
      <c r="D17" s="100">
        <v>520018078</v>
      </c>
      <c r="E17" s="100" t="s">
        <v>308</v>
      </c>
      <c r="F17" s="100" t="s">
        <v>1313</v>
      </c>
      <c r="G17" s="100" t="s">
        <v>1314</v>
      </c>
      <c r="H17" s="100" t="s">
        <v>319</v>
      </c>
      <c r="I17" s="100" t="s">
        <v>751</v>
      </c>
      <c r="J17" s="100" t="s">
        <v>202</v>
      </c>
      <c r="K17" s="100" t="s">
        <v>202</v>
      </c>
      <c r="L17" s="100" t="s">
        <v>322</v>
      </c>
      <c r="M17" s="100" t="s">
        <v>337</v>
      </c>
      <c r="N17" s="100" t="s">
        <v>446</v>
      </c>
      <c r="O17" s="100" t="s">
        <v>336</v>
      </c>
      <c r="P17" s="100" t="s">
        <v>1232</v>
      </c>
      <c r="Q17" s="100" t="s">
        <v>411</v>
      </c>
      <c r="R17" s="100" t="s">
        <v>404</v>
      </c>
      <c r="S17" s="100" t="s">
        <v>1237</v>
      </c>
      <c r="T17" s="103">
        <v>3.4</v>
      </c>
      <c r="U17" s="106">
        <v>47447</v>
      </c>
      <c r="V17" s="102">
        <v>1E-3</v>
      </c>
      <c r="W17" s="102">
        <v>2.1399999999999999E-2</v>
      </c>
      <c r="X17" s="100" t="s">
        <v>410</v>
      </c>
      <c r="Y17" s="100"/>
      <c r="Z17" s="103">
        <v>486317</v>
      </c>
      <c r="AA17" s="103">
        <v>1</v>
      </c>
      <c r="AB17" s="103">
        <v>108.74</v>
      </c>
      <c r="AC17" s="103">
        <v>0</v>
      </c>
      <c r="AD17" s="103">
        <v>528.82110999999998</v>
      </c>
      <c r="AE17" s="101"/>
      <c r="AF17" s="101"/>
      <c r="AG17" s="100"/>
      <c r="AH17" s="102">
        <v>1.13E-4</v>
      </c>
      <c r="AI17" s="102">
        <v>1.2297000000000001E-2</v>
      </c>
      <c r="AJ17" s="102">
        <v>1.85E-4</v>
      </c>
    </row>
    <row r="18" spans="1:36" ht="13.5" customHeight="1">
      <c r="A18" s="100">
        <v>307</v>
      </c>
      <c r="B18" s="100">
        <v>307</v>
      </c>
      <c r="C18" s="100" t="s">
        <v>1293</v>
      </c>
      <c r="D18" s="100">
        <v>513893123</v>
      </c>
      <c r="E18" s="100" t="s">
        <v>308</v>
      </c>
      <c r="F18" s="100" t="s">
        <v>1315</v>
      </c>
      <c r="G18" s="100" t="s">
        <v>1316</v>
      </c>
      <c r="H18" s="100" t="s">
        <v>319</v>
      </c>
      <c r="I18" s="100" t="s">
        <v>751</v>
      </c>
      <c r="J18" s="100" t="s">
        <v>202</v>
      </c>
      <c r="K18" s="100" t="s">
        <v>202</v>
      </c>
      <c r="L18" s="100" t="s">
        <v>322</v>
      </c>
      <c r="M18" s="100" t="s">
        <v>337</v>
      </c>
      <c r="N18" s="100" t="s">
        <v>441</v>
      </c>
      <c r="O18" s="100" t="s">
        <v>336</v>
      </c>
      <c r="P18" s="100" t="s">
        <v>1296</v>
      </c>
      <c r="Q18" s="100" t="s">
        <v>413</v>
      </c>
      <c r="R18" s="100" t="s">
        <v>404</v>
      </c>
      <c r="S18" s="100" t="s">
        <v>1237</v>
      </c>
      <c r="T18" s="103">
        <v>5.41</v>
      </c>
      <c r="U18" s="106">
        <v>49856</v>
      </c>
      <c r="V18" s="102">
        <v>2.8500000000000001E-2</v>
      </c>
      <c r="W18" s="102">
        <v>2.9499999999999998E-2</v>
      </c>
      <c r="X18" s="100" t="s">
        <v>410</v>
      </c>
      <c r="Y18" s="100"/>
      <c r="Z18" s="103">
        <v>240000</v>
      </c>
      <c r="AA18" s="103">
        <v>1</v>
      </c>
      <c r="AB18" s="103">
        <v>99.78</v>
      </c>
      <c r="AC18" s="103">
        <v>0</v>
      </c>
      <c r="AD18" s="103">
        <v>239.47200000000001</v>
      </c>
      <c r="AE18" s="101"/>
      <c r="AF18" s="101"/>
      <c r="AG18" s="100"/>
      <c r="AH18" s="102">
        <v>5.6700000000000001E-4</v>
      </c>
      <c r="AI18" s="102">
        <v>5.5690000000000002E-3</v>
      </c>
      <c r="AJ18" s="102">
        <v>8.3999999999999995E-5</v>
      </c>
    </row>
    <row r="19" spans="1:36" ht="13.5" customHeight="1">
      <c r="A19" s="100">
        <v>307</v>
      </c>
      <c r="B19" s="100">
        <v>307</v>
      </c>
      <c r="C19" s="100" t="s">
        <v>1305</v>
      </c>
      <c r="D19" s="100">
        <v>520010869</v>
      </c>
      <c r="E19" s="100" t="s">
        <v>308</v>
      </c>
      <c r="F19" s="100" t="s">
        <v>1317</v>
      </c>
      <c r="G19" s="100" t="s">
        <v>1318</v>
      </c>
      <c r="H19" s="100" t="s">
        <v>319</v>
      </c>
      <c r="I19" s="100" t="s">
        <v>751</v>
      </c>
      <c r="J19" s="100" t="s">
        <v>202</v>
      </c>
      <c r="K19" s="100" t="s">
        <v>202</v>
      </c>
      <c r="L19" s="100" t="s">
        <v>322</v>
      </c>
      <c r="M19" s="100" t="s">
        <v>337</v>
      </c>
      <c r="N19" s="100" t="s">
        <v>475</v>
      </c>
      <c r="O19" s="100" t="s">
        <v>336</v>
      </c>
      <c r="P19" s="100" t="s">
        <v>1232</v>
      </c>
      <c r="Q19" s="100" t="s">
        <v>411</v>
      </c>
      <c r="R19" s="100" t="s">
        <v>404</v>
      </c>
      <c r="S19" s="100" t="s">
        <v>1237</v>
      </c>
      <c r="T19" s="103">
        <v>11.44</v>
      </c>
      <c r="U19" s="106">
        <v>56249</v>
      </c>
      <c r="V19" s="102">
        <v>2.07E-2</v>
      </c>
      <c r="W19" s="102">
        <v>2.7400000000000001E-2</v>
      </c>
      <c r="X19" s="100" t="s">
        <v>410</v>
      </c>
      <c r="Y19" s="100"/>
      <c r="Z19" s="103">
        <v>10664441.789999999</v>
      </c>
      <c r="AA19" s="103">
        <v>1</v>
      </c>
      <c r="AB19" s="103">
        <v>109.08</v>
      </c>
      <c r="AC19" s="103">
        <v>0</v>
      </c>
      <c r="AD19" s="103">
        <v>11632.7731</v>
      </c>
      <c r="AE19" s="101"/>
      <c r="AF19" s="101"/>
      <c r="AG19" s="100"/>
      <c r="AH19" s="102">
        <v>1.304E-3</v>
      </c>
      <c r="AI19" s="102">
        <v>0.27052500000000002</v>
      </c>
      <c r="AJ19" s="102">
        <v>4.0819999999999997E-3</v>
      </c>
    </row>
    <row r="20" spans="1:36" ht="13.5" customHeight="1">
      <c r="A20" s="100">
        <v>307</v>
      </c>
      <c r="B20" s="100">
        <v>307</v>
      </c>
      <c r="C20" s="100" t="s">
        <v>1275</v>
      </c>
      <c r="D20" s="100">
        <v>520000472</v>
      </c>
      <c r="E20" s="100" t="s">
        <v>308</v>
      </c>
      <c r="F20" s="100" t="s">
        <v>1319</v>
      </c>
      <c r="G20" s="100" t="s">
        <v>1320</v>
      </c>
      <c r="H20" s="100" t="s">
        <v>319</v>
      </c>
      <c r="I20" s="100" t="s">
        <v>751</v>
      </c>
      <c r="J20" s="100" t="s">
        <v>202</v>
      </c>
      <c r="K20" s="100" t="s">
        <v>202</v>
      </c>
      <c r="L20" s="100" t="s">
        <v>322</v>
      </c>
      <c r="M20" s="100" t="s">
        <v>337</v>
      </c>
      <c r="N20" s="100" t="s">
        <v>438</v>
      </c>
      <c r="O20" s="100" t="s">
        <v>336</v>
      </c>
      <c r="P20" s="100" t="s">
        <v>1232</v>
      </c>
      <c r="Q20" s="100" t="s">
        <v>411</v>
      </c>
      <c r="R20" s="100" t="s">
        <v>404</v>
      </c>
      <c r="S20" s="100" t="s">
        <v>1237</v>
      </c>
      <c r="T20" s="103">
        <v>1.88</v>
      </c>
      <c r="U20" s="106">
        <v>47220</v>
      </c>
      <c r="V20" s="102">
        <v>3.85E-2</v>
      </c>
      <c r="W20" s="102">
        <v>2.24E-2</v>
      </c>
      <c r="X20" s="100" t="s">
        <v>410</v>
      </c>
      <c r="Y20" s="100"/>
      <c r="Z20" s="103">
        <v>819510.9</v>
      </c>
      <c r="AA20" s="103">
        <v>1</v>
      </c>
      <c r="AB20" s="103">
        <v>124.83</v>
      </c>
      <c r="AC20" s="103">
        <v>0</v>
      </c>
      <c r="AD20" s="103">
        <v>1022.99546</v>
      </c>
      <c r="AE20" s="101"/>
      <c r="AF20" s="101"/>
      <c r="AG20" s="100"/>
      <c r="AH20" s="102">
        <v>3.2699999999999998E-4</v>
      </c>
      <c r="AI20" s="102">
        <v>2.3789999999999999E-2</v>
      </c>
      <c r="AJ20" s="102">
        <v>3.59E-4</v>
      </c>
    </row>
    <row r="21" spans="1:36" ht="13.5" customHeight="1">
      <c r="A21" s="100">
        <v>307</v>
      </c>
      <c r="B21" s="100">
        <v>307</v>
      </c>
      <c r="C21" s="100" t="s">
        <v>1284</v>
      </c>
      <c r="D21" s="100">
        <v>520032046</v>
      </c>
      <c r="E21" s="100" t="s">
        <v>308</v>
      </c>
      <c r="F21" s="100" t="s">
        <v>1321</v>
      </c>
      <c r="G21" s="100" t="s">
        <v>1322</v>
      </c>
      <c r="H21" s="100" t="s">
        <v>319</v>
      </c>
      <c r="I21" s="100" t="s">
        <v>751</v>
      </c>
      <c r="J21" s="100" t="s">
        <v>202</v>
      </c>
      <c r="K21" s="100" t="s">
        <v>202</v>
      </c>
      <c r="L21" s="100" t="s">
        <v>322</v>
      </c>
      <c r="M21" s="100" t="s">
        <v>337</v>
      </c>
      <c r="N21" s="100" t="s">
        <v>446</v>
      </c>
      <c r="O21" s="100" t="s">
        <v>336</v>
      </c>
      <c r="P21" s="100" t="s">
        <v>1232</v>
      </c>
      <c r="Q21" s="100" t="s">
        <v>411</v>
      </c>
      <c r="R21" s="100" t="s">
        <v>404</v>
      </c>
      <c r="S21" s="100" t="s">
        <v>1237</v>
      </c>
      <c r="T21" s="103">
        <v>3.78</v>
      </c>
      <c r="U21" s="106">
        <v>48938</v>
      </c>
      <c r="V21" s="102">
        <v>1.9900000000000001E-2</v>
      </c>
      <c r="W21" s="102">
        <v>2.1899999999999999E-2</v>
      </c>
      <c r="X21" s="100" t="s">
        <v>410</v>
      </c>
      <c r="Y21" s="100"/>
      <c r="Z21" s="103">
        <v>3840000</v>
      </c>
      <c r="AA21" s="103">
        <v>1</v>
      </c>
      <c r="AB21" s="103">
        <v>107.39</v>
      </c>
      <c r="AC21" s="103">
        <v>0</v>
      </c>
      <c r="AD21" s="103">
        <v>4123.7759999999998</v>
      </c>
      <c r="AE21" s="101"/>
      <c r="AF21" s="101"/>
      <c r="AG21" s="100"/>
      <c r="AH21" s="102">
        <v>1.7769999999999999E-3</v>
      </c>
      <c r="AI21" s="102">
        <v>9.5899999999999999E-2</v>
      </c>
      <c r="AJ21" s="102">
        <v>1.4469999999999999E-3</v>
      </c>
    </row>
    <row r="22" spans="1:36" ht="13.5" customHeight="1">
      <c r="A22" s="100">
        <v>307</v>
      </c>
      <c r="B22" s="100">
        <v>307</v>
      </c>
      <c r="C22" s="100" t="s">
        <v>1323</v>
      </c>
      <c r="D22" s="100">
        <v>510960719</v>
      </c>
      <c r="E22" s="100" t="s">
        <v>308</v>
      </c>
      <c r="F22" s="100" t="s">
        <v>1324</v>
      </c>
      <c r="G22" s="100" t="s">
        <v>1325</v>
      </c>
      <c r="H22" s="100" t="s">
        <v>319</v>
      </c>
      <c r="I22" s="100" t="s">
        <v>751</v>
      </c>
      <c r="J22" s="100" t="s">
        <v>202</v>
      </c>
      <c r="K22" s="100" t="s">
        <v>202</v>
      </c>
      <c r="L22" s="100" t="s">
        <v>322</v>
      </c>
      <c r="M22" s="100" t="s">
        <v>337</v>
      </c>
      <c r="N22" s="100" t="s">
        <v>462</v>
      </c>
      <c r="O22" s="100" t="s">
        <v>336</v>
      </c>
      <c r="P22" s="100" t="s">
        <v>1326</v>
      </c>
      <c r="Q22" s="100" t="s">
        <v>411</v>
      </c>
      <c r="R22" s="100" t="s">
        <v>404</v>
      </c>
      <c r="S22" s="100" t="s">
        <v>1237</v>
      </c>
      <c r="T22" s="103">
        <v>15.34</v>
      </c>
      <c r="U22" s="106">
        <v>55334</v>
      </c>
      <c r="V22" s="102">
        <v>3.0200000000000001E-2</v>
      </c>
      <c r="W22" s="102">
        <v>3.0700000000000002E-2</v>
      </c>
      <c r="X22" s="100" t="s">
        <v>410</v>
      </c>
      <c r="Y22" s="100"/>
      <c r="Z22" s="103">
        <v>400000</v>
      </c>
      <c r="AA22" s="103">
        <v>1</v>
      </c>
      <c r="AB22" s="103">
        <v>99.75</v>
      </c>
      <c r="AC22" s="103">
        <v>0</v>
      </c>
      <c r="AD22" s="103">
        <v>399</v>
      </c>
      <c r="AE22" s="101"/>
      <c r="AF22" s="101"/>
      <c r="AG22" s="100"/>
      <c r="AH22" s="102">
        <v>1.9000000000000001E-4</v>
      </c>
      <c r="AI22" s="102">
        <v>9.2779999999999998E-3</v>
      </c>
      <c r="AJ22" s="102">
        <v>1.3999999999999999E-4</v>
      </c>
    </row>
    <row r="23" spans="1:36" ht="13.5" customHeight="1">
      <c r="A23" s="100">
        <v>307</v>
      </c>
      <c r="B23" s="100">
        <v>307</v>
      </c>
      <c r="C23" s="100" t="s">
        <v>1323</v>
      </c>
      <c r="D23" s="100">
        <v>510960719</v>
      </c>
      <c r="E23" s="100" t="s">
        <v>308</v>
      </c>
      <c r="F23" s="100" t="s">
        <v>1327</v>
      </c>
      <c r="G23" s="100" t="s">
        <v>1328</v>
      </c>
      <c r="H23" s="100" t="s">
        <v>319</v>
      </c>
      <c r="I23" s="100" t="s">
        <v>751</v>
      </c>
      <c r="J23" s="100" t="s">
        <v>202</v>
      </c>
      <c r="K23" s="100" t="s">
        <v>202</v>
      </c>
      <c r="L23" s="100" t="s">
        <v>322</v>
      </c>
      <c r="M23" s="100" t="s">
        <v>337</v>
      </c>
      <c r="N23" s="100" t="s">
        <v>462</v>
      </c>
      <c r="O23" s="100" t="s">
        <v>336</v>
      </c>
      <c r="P23" s="100" t="s">
        <v>1329</v>
      </c>
      <c r="Q23" s="100" t="s">
        <v>413</v>
      </c>
      <c r="R23" s="100" t="s">
        <v>404</v>
      </c>
      <c r="S23" s="100" t="s">
        <v>1237</v>
      </c>
      <c r="T23" s="103">
        <v>1.48</v>
      </c>
      <c r="U23" s="106">
        <v>46934</v>
      </c>
      <c r="V23" s="102">
        <v>1.77E-2</v>
      </c>
      <c r="W23" s="102">
        <v>2.29E-2</v>
      </c>
      <c r="X23" s="100" t="s">
        <v>410</v>
      </c>
      <c r="Y23" s="100"/>
      <c r="Z23" s="103">
        <v>297500</v>
      </c>
      <c r="AA23" s="103">
        <v>1</v>
      </c>
      <c r="AB23" s="103">
        <v>118.43</v>
      </c>
      <c r="AC23" s="103">
        <v>0</v>
      </c>
      <c r="AD23" s="103">
        <v>352.32925</v>
      </c>
      <c r="AE23" s="101"/>
      <c r="AF23" s="101"/>
      <c r="AG23" s="100"/>
      <c r="AH23" s="102">
        <v>1.83E-4</v>
      </c>
      <c r="AI23" s="102">
        <v>8.1930000000000006E-3</v>
      </c>
      <c r="AJ23" s="102">
        <v>1.2300000000000001E-4</v>
      </c>
    </row>
    <row r="24" spans="1:36" ht="13.5" customHeight="1">
      <c r="A24" s="100">
        <v>307</v>
      </c>
      <c r="B24" s="100">
        <v>307</v>
      </c>
      <c r="C24" s="100" t="s">
        <v>1330</v>
      </c>
      <c r="D24" s="100">
        <v>513436394</v>
      </c>
      <c r="E24" s="100" t="s">
        <v>308</v>
      </c>
      <c r="F24" s="100" t="s">
        <v>1331</v>
      </c>
      <c r="G24" s="100" t="s">
        <v>1332</v>
      </c>
      <c r="H24" s="100" t="s">
        <v>319</v>
      </c>
      <c r="I24" s="100" t="s">
        <v>751</v>
      </c>
      <c r="J24" s="100" t="s">
        <v>202</v>
      </c>
      <c r="K24" s="100" t="s">
        <v>202</v>
      </c>
      <c r="L24" s="100" t="s">
        <v>322</v>
      </c>
      <c r="M24" s="100" t="s">
        <v>337</v>
      </c>
      <c r="N24" s="100" t="s">
        <v>475</v>
      </c>
      <c r="O24" s="100" t="s">
        <v>336</v>
      </c>
      <c r="P24" s="100" t="s">
        <v>1232</v>
      </c>
      <c r="Q24" s="100" t="s">
        <v>411</v>
      </c>
      <c r="R24" s="100" t="s">
        <v>404</v>
      </c>
      <c r="S24" s="100" t="s">
        <v>1237</v>
      </c>
      <c r="T24" s="103">
        <v>4.3499999999999996</v>
      </c>
      <c r="U24" s="106">
        <v>48760</v>
      </c>
      <c r="V24" s="102">
        <v>2.9499999999999998E-2</v>
      </c>
      <c r="W24" s="102">
        <v>2.1499999999999998E-2</v>
      </c>
      <c r="X24" s="100" t="s">
        <v>410</v>
      </c>
      <c r="Y24" s="100"/>
      <c r="Z24" s="103">
        <v>1582679.32</v>
      </c>
      <c r="AA24" s="103">
        <v>1</v>
      </c>
      <c r="AB24" s="103">
        <v>122.68</v>
      </c>
      <c r="AC24" s="103">
        <v>0</v>
      </c>
      <c r="AD24" s="103">
        <v>1941.6309900000001</v>
      </c>
      <c r="AE24" s="101"/>
      <c r="AF24" s="101"/>
      <c r="AG24" s="100"/>
      <c r="AH24" s="102">
        <v>1.157E-3</v>
      </c>
      <c r="AI24" s="102">
        <v>4.5152999999999999E-2</v>
      </c>
      <c r="AJ24" s="102">
        <v>6.8099999999999996E-4</v>
      </c>
    </row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307</v>
      </c>
      <c r="B2" s="100">
        <v>307</v>
      </c>
      <c r="C2" s="100" t="s">
        <v>1333</v>
      </c>
      <c r="D2" s="100">
        <v>510938608</v>
      </c>
      <c r="E2" s="100" t="s">
        <v>308</v>
      </c>
      <c r="F2" s="100" t="s">
        <v>1334</v>
      </c>
      <c r="G2" s="100" t="s">
        <v>1335</v>
      </c>
      <c r="H2" s="100" t="s">
        <v>319</v>
      </c>
      <c r="I2" s="100" t="s">
        <v>981</v>
      </c>
      <c r="J2" s="100" t="s">
        <v>202</v>
      </c>
      <c r="K2" s="100" t="s">
        <v>202</v>
      </c>
      <c r="L2" s="100" t="s">
        <v>337</v>
      </c>
      <c r="M2" s="111" t="s">
        <v>571</v>
      </c>
      <c r="N2" s="100" t="s">
        <v>336</v>
      </c>
      <c r="O2" s="100" t="s">
        <v>1237</v>
      </c>
      <c r="P2" s="103">
        <v>107590.82</v>
      </c>
      <c r="Q2" s="103">
        <v>1</v>
      </c>
      <c r="R2" s="103">
        <v>4135.78</v>
      </c>
      <c r="S2" s="103">
        <v>0</v>
      </c>
      <c r="T2" s="103">
        <v>4449.7196199999998</v>
      </c>
      <c r="U2" s="102">
        <v>2.062E-3</v>
      </c>
      <c r="V2" s="102">
        <v>1.3806000000000001E-2</v>
      </c>
      <c r="W2" s="102">
        <v>1.5610000000000001E-3</v>
      </c>
    </row>
    <row r="3" spans="1:26" ht="13.5" customHeight="1">
      <c r="A3" s="100">
        <v>307</v>
      </c>
      <c r="B3" s="100">
        <v>307</v>
      </c>
      <c r="C3" s="100" t="s">
        <v>1336</v>
      </c>
      <c r="D3" s="100">
        <v>511776783</v>
      </c>
      <c r="E3" s="100" t="s">
        <v>308</v>
      </c>
      <c r="F3" s="100" t="s">
        <v>1337</v>
      </c>
      <c r="G3" s="100" t="s">
        <v>1338</v>
      </c>
      <c r="H3" s="100" t="s">
        <v>319</v>
      </c>
      <c r="I3" s="100" t="s">
        <v>981</v>
      </c>
      <c r="J3" s="100" t="s">
        <v>202</v>
      </c>
      <c r="K3" s="100" t="s">
        <v>202</v>
      </c>
      <c r="L3" s="100" t="s">
        <v>337</v>
      </c>
      <c r="M3" s="111" t="s">
        <v>573</v>
      </c>
      <c r="N3" s="100" t="s">
        <v>336</v>
      </c>
      <c r="O3" s="100" t="s">
        <v>1237</v>
      </c>
      <c r="P3" s="103">
        <v>873020</v>
      </c>
      <c r="Q3" s="103">
        <v>1</v>
      </c>
      <c r="R3" s="103">
        <v>396.28</v>
      </c>
      <c r="S3" s="103">
        <v>0</v>
      </c>
      <c r="T3" s="103">
        <v>3459.6036600000002</v>
      </c>
      <c r="U3" s="102">
        <v>6.025E-3</v>
      </c>
      <c r="V3" s="102">
        <v>1.0734E-2</v>
      </c>
      <c r="W3" s="102">
        <v>1.214E-3</v>
      </c>
    </row>
    <row r="4" spans="1:26" ht="13.5" customHeight="1">
      <c r="A4" s="100">
        <v>307</v>
      </c>
      <c r="B4" s="100">
        <v>307</v>
      </c>
      <c r="C4" s="100" t="s">
        <v>1333</v>
      </c>
      <c r="D4" s="100">
        <v>510938608</v>
      </c>
      <c r="E4" s="100" t="s">
        <v>308</v>
      </c>
      <c r="F4" s="100" t="s">
        <v>1339</v>
      </c>
      <c r="G4" s="100" t="s">
        <v>1340</v>
      </c>
      <c r="H4" s="100" t="s">
        <v>319</v>
      </c>
      <c r="I4" s="100" t="s">
        <v>981</v>
      </c>
      <c r="J4" s="100" t="s">
        <v>202</v>
      </c>
      <c r="K4" s="100" t="s">
        <v>202</v>
      </c>
      <c r="L4" s="100" t="s">
        <v>337</v>
      </c>
      <c r="M4" s="111" t="s">
        <v>573</v>
      </c>
      <c r="N4" s="100" t="s">
        <v>336</v>
      </c>
      <c r="O4" s="100" t="s">
        <v>1237</v>
      </c>
      <c r="P4" s="103">
        <v>28567</v>
      </c>
      <c r="Q4" s="103">
        <v>1</v>
      </c>
      <c r="R4" s="103">
        <v>3935.81</v>
      </c>
      <c r="S4" s="103">
        <v>0</v>
      </c>
      <c r="T4" s="103">
        <v>1124.34284</v>
      </c>
      <c r="U4" s="102">
        <v>1.2979999999999999E-3</v>
      </c>
      <c r="V4" s="102">
        <v>3.4880000000000002E-3</v>
      </c>
      <c r="W4" s="102">
        <v>3.9399999999999998E-4</v>
      </c>
    </row>
    <row r="5" spans="1:26" ht="13.5" customHeight="1">
      <c r="A5" s="100">
        <v>307</v>
      </c>
      <c r="B5" s="100">
        <v>307</v>
      </c>
      <c r="C5" s="100" t="s">
        <v>1341</v>
      </c>
      <c r="D5" s="100">
        <v>513534974</v>
      </c>
      <c r="E5" s="100" t="s">
        <v>308</v>
      </c>
      <c r="F5" s="100" t="s">
        <v>1342</v>
      </c>
      <c r="G5" s="100" t="s">
        <v>1343</v>
      </c>
      <c r="H5" s="100" t="s">
        <v>319</v>
      </c>
      <c r="I5" s="100" t="s">
        <v>978</v>
      </c>
      <c r="J5" s="100" t="s">
        <v>202</v>
      </c>
      <c r="K5" s="100" t="s">
        <v>202</v>
      </c>
      <c r="L5" s="100" t="s">
        <v>337</v>
      </c>
      <c r="M5" s="111" t="s">
        <v>572</v>
      </c>
      <c r="N5" s="100" t="s">
        <v>336</v>
      </c>
      <c r="O5" s="100" t="s">
        <v>1237</v>
      </c>
      <c r="P5" s="103">
        <v>276104</v>
      </c>
      <c r="Q5" s="103">
        <v>1</v>
      </c>
      <c r="R5" s="103">
        <v>3974</v>
      </c>
      <c r="S5" s="103">
        <v>0</v>
      </c>
      <c r="T5" s="103">
        <v>10972.372960000001</v>
      </c>
      <c r="U5" s="102">
        <v>1.0759999999999999E-3</v>
      </c>
      <c r="V5" s="102">
        <v>3.4043999999999998E-2</v>
      </c>
      <c r="W5" s="102">
        <v>3.8500000000000001E-3</v>
      </c>
    </row>
    <row r="6" spans="1:26" ht="13.5" customHeight="1">
      <c r="A6" s="100">
        <v>307</v>
      </c>
      <c r="B6" s="100">
        <v>307</v>
      </c>
      <c r="C6" s="100" t="s">
        <v>1344</v>
      </c>
      <c r="D6" s="100">
        <v>513765339</v>
      </c>
      <c r="E6" s="100" t="s">
        <v>308</v>
      </c>
      <c r="F6" s="100" t="s">
        <v>1345</v>
      </c>
      <c r="G6" s="100" t="s">
        <v>1346</v>
      </c>
      <c r="H6" s="100" t="s">
        <v>319</v>
      </c>
      <c r="I6" s="100" t="s">
        <v>981</v>
      </c>
      <c r="J6" s="100" t="s">
        <v>202</v>
      </c>
      <c r="K6" s="100" t="s">
        <v>202</v>
      </c>
      <c r="L6" s="100" t="s">
        <v>337</v>
      </c>
      <c r="M6" s="111" t="s">
        <v>573</v>
      </c>
      <c r="N6" s="100" t="s">
        <v>336</v>
      </c>
      <c r="O6" s="100" t="s">
        <v>1237</v>
      </c>
      <c r="P6" s="103">
        <v>466290</v>
      </c>
      <c r="Q6" s="103">
        <v>1</v>
      </c>
      <c r="R6" s="103">
        <v>396.31</v>
      </c>
      <c r="S6" s="103">
        <v>0</v>
      </c>
      <c r="T6" s="103">
        <v>1847.9539</v>
      </c>
      <c r="U6" s="102">
        <v>4.8799999999999999E-4</v>
      </c>
      <c r="V6" s="102">
        <v>5.7330000000000002E-3</v>
      </c>
      <c r="W6" s="102">
        <v>6.4800000000000003E-4</v>
      </c>
    </row>
    <row r="7" spans="1:26" ht="13.5" customHeight="1">
      <c r="A7" s="100">
        <v>307</v>
      </c>
      <c r="B7" s="100">
        <v>307</v>
      </c>
      <c r="C7" s="100" t="s">
        <v>1336</v>
      </c>
      <c r="D7" s="100">
        <v>511776783</v>
      </c>
      <c r="E7" s="100" t="s">
        <v>308</v>
      </c>
      <c r="F7" s="100" t="s">
        <v>1347</v>
      </c>
      <c r="G7" s="100" t="s">
        <v>1348</v>
      </c>
      <c r="H7" s="100" t="s">
        <v>319</v>
      </c>
      <c r="I7" s="100" t="s">
        <v>981</v>
      </c>
      <c r="J7" s="100" t="s">
        <v>202</v>
      </c>
      <c r="K7" s="100" t="s">
        <v>202</v>
      </c>
      <c r="L7" s="100" t="s">
        <v>337</v>
      </c>
      <c r="M7" s="111" t="s">
        <v>571</v>
      </c>
      <c r="N7" s="100" t="s">
        <v>336</v>
      </c>
      <c r="O7" s="100" t="s">
        <v>1237</v>
      </c>
      <c r="P7" s="103">
        <v>1089740</v>
      </c>
      <c r="Q7" s="103">
        <v>1</v>
      </c>
      <c r="R7" s="103">
        <v>418.08</v>
      </c>
      <c r="S7" s="103">
        <v>0</v>
      </c>
      <c r="T7" s="103">
        <v>4555.9849899999999</v>
      </c>
      <c r="U7" s="102">
        <v>4.4689999999999999E-3</v>
      </c>
      <c r="V7" s="102">
        <v>1.4135999999999999E-2</v>
      </c>
      <c r="W7" s="102">
        <v>1.5989999999999999E-3</v>
      </c>
    </row>
    <row r="8" spans="1:26" ht="13.5" customHeight="1">
      <c r="A8" s="100">
        <v>307</v>
      </c>
      <c r="B8" s="100">
        <v>307</v>
      </c>
      <c r="C8" s="100" t="s">
        <v>1341</v>
      </c>
      <c r="D8" s="100">
        <v>513534974</v>
      </c>
      <c r="E8" s="100" t="s">
        <v>308</v>
      </c>
      <c r="F8" s="100" t="s">
        <v>1349</v>
      </c>
      <c r="G8" s="100" t="s">
        <v>1350</v>
      </c>
      <c r="H8" s="100" t="s">
        <v>319</v>
      </c>
      <c r="I8" s="100" t="s">
        <v>981</v>
      </c>
      <c r="J8" s="100" t="s">
        <v>202</v>
      </c>
      <c r="K8" s="100" t="s">
        <v>202</v>
      </c>
      <c r="L8" s="100" t="s">
        <v>337</v>
      </c>
      <c r="M8" s="111" t="s">
        <v>573</v>
      </c>
      <c r="N8" s="100" t="s">
        <v>336</v>
      </c>
      <c r="O8" s="100" t="s">
        <v>1237</v>
      </c>
      <c r="P8" s="103">
        <v>175995</v>
      </c>
      <c r="Q8" s="103">
        <v>1</v>
      </c>
      <c r="R8" s="103">
        <v>396.04</v>
      </c>
      <c r="S8" s="103">
        <v>0</v>
      </c>
      <c r="T8" s="103">
        <v>697.01059999999995</v>
      </c>
      <c r="U8" s="102">
        <v>3.0600000000000001E-4</v>
      </c>
      <c r="V8" s="102">
        <v>2.1619999999999999E-3</v>
      </c>
      <c r="W8" s="102">
        <v>2.4399999999999999E-4</v>
      </c>
    </row>
    <row r="9" spans="1:26" ht="13.5" customHeight="1">
      <c r="A9" s="100">
        <v>307</v>
      </c>
      <c r="B9" s="100">
        <v>307</v>
      </c>
      <c r="C9" s="100" t="s">
        <v>1351</v>
      </c>
      <c r="D9" s="100">
        <v>511303661</v>
      </c>
      <c r="E9" s="100" t="s">
        <v>308</v>
      </c>
      <c r="F9" s="100" t="s">
        <v>1352</v>
      </c>
      <c r="G9" s="100" t="s">
        <v>1353</v>
      </c>
      <c r="H9" s="100" t="s">
        <v>319</v>
      </c>
      <c r="I9" s="100" t="s">
        <v>978</v>
      </c>
      <c r="J9" s="100" t="s">
        <v>202</v>
      </c>
      <c r="K9" s="100" t="s">
        <v>202</v>
      </c>
      <c r="L9" s="100" t="s">
        <v>337</v>
      </c>
      <c r="M9" s="111" t="s">
        <v>572</v>
      </c>
      <c r="N9" s="100" t="s">
        <v>336</v>
      </c>
      <c r="O9" s="100" t="s">
        <v>1237</v>
      </c>
      <c r="P9" s="103">
        <v>200704</v>
      </c>
      <c r="Q9" s="103">
        <v>1</v>
      </c>
      <c r="R9" s="103">
        <v>5417</v>
      </c>
      <c r="S9" s="103">
        <v>0</v>
      </c>
      <c r="T9" s="103">
        <v>10872.135679999999</v>
      </c>
      <c r="U9" s="102">
        <v>2.8670000000000002E-3</v>
      </c>
      <c r="V9" s="102">
        <v>3.3732999999999999E-2</v>
      </c>
      <c r="W9" s="102">
        <v>3.8149999999999998E-3</v>
      </c>
    </row>
    <row r="10" spans="1:26" ht="13.5" customHeight="1">
      <c r="A10" s="100">
        <v>307</v>
      </c>
      <c r="B10" s="100">
        <v>307</v>
      </c>
      <c r="C10" s="100" t="s">
        <v>1336</v>
      </c>
      <c r="D10" s="100">
        <v>511776783</v>
      </c>
      <c r="E10" s="100" t="s">
        <v>308</v>
      </c>
      <c r="F10" s="100" t="s">
        <v>1354</v>
      </c>
      <c r="G10" s="100" t="s">
        <v>1355</v>
      </c>
      <c r="H10" s="100" t="s">
        <v>319</v>
      </c>
      <c r="I10" s="100" t="s">
        <v>978</v>
      </c>
      <c r="J10" s="100" t="s">
        <v>202</v>
      </c>
      <c r="K10" s="100" t="s">
        <v>202</v>
      </c>
      <c r="L10" s="100" t="s">
        <v>337</v>
      </c>
      <c r="M10" s="111" t="s">
        <v>572</v>
      </c>
      <c r="N10" s="100" t="s">
        <v>336</v>
      </c>
      <c r="O10" s="100" t="s">
        <v>1237</v>
      </c>
      <c r="P10" s="103">
        <v>309030</v>
      </c>
      <c r="Q10" s="103">
        <v>1</v>
      </c>
      <c r="R10" s="103">
        <v>3992</v>
      </c>
      <c r="S10" s="103">
        <v>0</v>
      </c>
      <c r="T10" s="103">
        <v>12336.4776</v>
      </c>
      <c r="U10" s="102">
        <v>3.627E-3</v>
      </c>
      <c r="V10" s="102">
        <v>3.8276999999999999E-2</v>
      </c>
      <c r="W10" s="102">
        <v>4.3290000000000004E-3</v>
      </c>
    </row>
    <row r="11" spans="1:26" ht="13.5" customHeight="1">
      <c r="A11" s="100">
        <v>307</v>
      </c>
      <c r="B11" s="100">
        <v>307</v>
      </c>
      <c r="C11" s="100" t="s">
        <v>1333</v>
      </c>
      <c r="D11" s="100">
        <v>510938608</v>
      </c>
      <c r="E11" s="100" t="s">
        <v>308</v>
      </c>
      <c r="F11" s="100" t="s">
        <v>1356</v>
      </c>
      <c r="G11" s="100" t="s">
        <v>1357</v>
      </c>
      <c r="H11" s="100" t="s">
        <v>319</v>
      </c>
      <c r="I11" s="100" t="s">
        <v>978</v>
      </c>
      <c r="J11" s="100" t="s">
        <v>202</v>
      </c>
      <c r="K11" s="100" t="s">
        <v>202</v>
      </c>
      <c r="L11" s="100" t="s">
        <v>337</v>
      </c>
      <c r="M11" s="111" t="s">
        <v>572</v>
      </c>
      <c r="N11" s="100" t="s">
        <v>336</v>
      </c>
      <c r="O11" s="100" t="s">
        <v>1237</v>
      </c>
      <c r="P11" s="103">
        <v>55180.86</v>
      </c>
      <c r="Q11" s="103">
        <v>1</v>
      </c>
      <c r="R11" s="103">
        <v>39660</v>
      </c>
      <c r="S11" s="103">
        <v>0</v>
      </c>
      <c r="T11" s="103">
        <v>21884.729080000001</v>
      </c>
      <c r="U11" s="102">
        <v>2.8519999999999999E-3</v>
      </c>
      <c r="V11" s="102">
        <v>6.7903000000000005E-2</v>
      </c>
      <c r="W11" s="102">
        <v>7.6800000000000002E-3</v>
      </c>
    </row>
    <row r="12" spans="1:26" ht="13.5" customHeight="1">
      <c r="A12" s="100">
        <v>307</v>
      </c>
      <c r="B12" s="100">
        <v>307</v>
      </c>
      <c r="C12" s="100" t="s">
        <v>1351</v>
      </c>
      <c r="D12" s="100">
        <v>511303661</v>
      </c>
      <c r="E12" s="100" t="s">
        <v>308</v>
      </c>
      <c r="F12" s="100" t="s">
        <v>1358</v>
      </c>
      <c r="G12" s="100" t="s">
        <v>1359</v>
      </c>
      <c r="H12" s="100" t="s">
        <v>319</v>
      </c>
      <c r="I12" s="100" t="s">
        <v>981</v>
      </c>
      <c r="J12" s="100" t="s">
        <v>202</v>
      </c>
      <c r="K12" s="100" t="s">
        <v>202</v>
      </c>
      <c r="L12" s="100" t="s">
        <v>337</v>
      </c>
      <c r="M12" s="111" t="s">
        <v>574</v>
      </c>
      <c r="N12" s="100" t="s">
        <v>336</v>
      </c>
      <c r="O12" s="100" t="s">
        <v>1237</v>
      </c>
      <c r="P12" s="103">
        <v>1463405</v>
      </c>
      <c r="Q12" s="103">
        <v>1</v>
      </c>
      <c r="R12" s="103">
        <v>519.03</v>
      </c>
      <c r="S12" s="103">
        <v>0</v>
      </c>
      <c r="T12" s="103">
        <v>7595.5109700000003</v>
      </c>
      <c r="U12" s="102">
        <v>6.9680000000000002E-3</v>
      </c>
      <c r="V12" s="102">
        <v>2.3567000000000001E-2</v>
      </c>
      <c r="W12" s="102">
        <v>2.6649999999999998E-3</v>
      </c>
    </row>
    <row r="13" spans="1:26" ht="13.5" customHeight="1">
      <c r="A13" s="100">
        <v>307</v>
      </c>
      <c r="B13" s="100">
        <v>307</v>
      </c>
      <c r="C13" s="100" t="s">
        <v>1360</v>
      </c>
      <c r="D13" s="100" t="s">
        <v>1361</v>
      </c>
      <c r="E13" s="100" t="s">
        <v>312</v>
      </c>
      <c r="F13" s="100" t="s">
        <v>1362</v>
      </c>
      <c r="G13" s="100" t="s">
        <v>1363</v>
      </c>
      <c r="H13" s="100" t="s">
        <v>319</v>
      </c>
      <c r="I13" s="100" t="s">
        <v>980</v>
      </c>
      <c r="J13" s="100" t="s">
        <v>203</v>
      </c>
      <c r="K13" s="100" t="s">
        <v>295</v>
      </c>
      <c r="L13" s="100" t="s">
        <v>361</v>
      </c>
      <c r="M13" s="111" t="s">
        <v>733</v>
      </c>
      <c r="N13" s="100" t="s">
        <v>336</v>
      </c>
      <c r="O13" s="100" t="s">
        <v>1238</v>
      </c>
      <c r="P13" s="103">
        <v>435937</v>
      </c>
      <c r="Q13" s="103">
        <v>2.9780000000000002</v>
      </c>
      <c r="R13" s="103">
        <v>901.7</v>
      </c>
      <c r="S13" s="103">
        <v>0</v>
      </c>
      <c r="T13" s="103">
        <v>11706.05322</v>
      </c>
      <c r="U13" s="102">
        <v>2.3080000000000002E-3</v>
      </c>
      <c r="V13" s="102">
        <v>3.6320999999999999E-2</v>
      </c>
      <c r="W13" s="102">
        <v>4.1079999999999997E-3</v>
      </c>
    </row>
    <row r="14" spans="1:26" ht="13.5" customHeight="1">
      <c r="A14" s="100">
        <v>307</v>
      </c>
      <c r="B14" s="100">
        <v>307</v>
      </c>
      <c r="C14" s="100" t="s">
        <v>1364</v>
      </c>
      <c r="D14" s="100" t="s">
        <v>1365</v>
      </c>
      <c r="E14" s="100" t="s">
        <v>312</v>
      </c>
      <c r="F14" s="100" t="s">
        <v>1366</v>
      </c>
      <c r="G14" s="100" t="s">
        <v>1367</v>
      </c>
      <c r="H14" s="100" t="s">
        <v>319</v>
      </c>
      <c r="I14" s="100" t="s">
        <v>980</v>
      </c>
      <c r="J14" s="100" t="s">
        <v>203</v>
      </c>
      <c r="K14" s="100" t="s">
        <v>288</v>
      </c>
      <c r="L14" s="100" t="s">
        <v>377</v>
      </c>
      <c r="M14" s="111" t="s">
        <v>733</v>
      </c>
      <c r="N14" s="100" t="s">
        <v>336</v>
      </c>
      <c r="O14" s="100" t="s">
        <v>1238</v>
      </c>
      <c r="P14" s="103">
        <v>87418</v>
      </c>
      <c r="Q14" s="103">
        <v>2.9780000000000002</v>
      </c>
      <c r="R14" s="103">
        <v>15639</v>
      </c>
      <c r="S14" s="103">
        <v>0</v>
      </c>
      <c r="T14" s="103">
        <v>40713.134440000002</v>
      </c>
      <c r="U14" s="102">
        <v>6.0800000000000003E-4</v>
      </c>
      <c r="V14" s="102">
        <v>0.12632399999999999</v>
      </c>
      <c r="W14" s="102">
        <v>1.4289E-2</v>
      </c>
    </row>
    <row r="15" spans="1:26" ht="13.5" customHeight="1">
      <c r="A15" s="100">
        <v>307</v>
      </c>
      <c r="B15" s="100">
        <v>307</v>
      </c>
      <c r="C15" s="100" t="s">
        <v>1368</v>
      </c>
      <c r="D15" s="100" t="s">
        <v>1369</v>
      </c>
      <c r="E15" s="100" t="s">
        <v>312</v>
      </c>
      <c r="F15" s="100" t="s">
        <v>1370</v>
      </c>
      <c r="G15" s="100" t="s">
        <v>1371</v>
      </c>
      <c r="H15" s="100" t="s">
        <v>319</v>
      </c>
      <c r="I15" s="100" t="s">
        <v>980</v>
      </c>
      <c r="J15" s="100" t="s">
        <v>203</v>
      </c>
      <c r="K15" s="100" t="s">
        <v>288</v>
      </c>
      <c r="L15" s="100" t="s">
        <v>377</v>
      </c>
      <c r="M15" s="111" t="s">
        <v>733</v>
      </c>
      <c r="N15" s="100" t="s">
        <v>336</v>
      </c>
      <c r="O15" s="100" t="s">
        <v>1238</v>
      </c>
      <c r="P15" s="103">
        <v>391076</v>
      </c>
      <c r="Q15" s="103">
        <v>2.9780000000000002</v>
      </c>
      <c r="R15" s="103">
        <v>14288</v>
      </c>
      <c r="S15" s="103">
        <v>0</v>
      </c>
      <c r="T15" s="103">
        <v>166401.52398</v>
      </c>
      <c r="U15" s="102">
        <v>3.9500000000000001E-4</v>
      </c>
      <c r="V15" s="102">
        <v>0.51630699999999996</v>
      </c>
      <c r="W15" s="102">
        <v>5.8402000000000003E-2</v>
      </c>
    </row>
    <row r="16" spans="1:26" ht="13.5" customHeight="1">
      <c r="A16" s="100">
        <v>307</v>
      </c>
      <c r="B16" s="100">
        <v>307</v>
      </c>
      <c r="C16" s="100" t="s">
        <v>1372</v>
      </c>
      <c r="D16" s="100" t="s">
        <v>1373</v>
      </c>
      <c r="E16" s="100" t="s">
        <v>312</v>
      </c>
      <c r="F16" s="100" t="s">
        <v>1374</v>
      </c>
      <c r="G16" s="100" t="s">
        <v>1375</v>
      </c>
      <c r="H16" s="100" t="s">
        <v>319</v>
      </c>
      <c r="I16" s="100" t="s">
        <v>980</v>
      </c>
      <c r="J16" s="100" t="s">
        <v>203</v>
      </c>
      <c r="K16" s="100" t="s">
        <v>288</v>
      </c>
      <c r="L16" s="100" t="s">
        <v>377</v>
      </c>
      <c r="M16" s="111" t="s">
        <v>733</v>
      </c>
      <c r="N16" s="100" t="s">
        <v>336</v>
      </c>
      <c r="O16" s="100" t="s">
        <v>1238</v>
      </c>
      <c r="P16" s="103">
        <v>41976</v>
      </c>
      <c r="Q16" s="103">
        <v>2.9780000000000002</v>
      </c>
      <c r="R16" s="103">
        <v>5225</v>
      </c>
      <c r="S16" s="103">
        <v>0</v>
      </c>
      <c r="T16" s="103">
        <v>6531.4865900000004</v>
      </c>
      <c r="U16" s="102">
        <v>1.12E-4</v>
      </c>
      <c r="V16" s="102">
        <v>2.0264999999999998E-2</v>
      </c>
      <c r="W16" s="102">
        <v>2.2920000000000002E-3</v>
      </c>
    </row>
    <row r="17" spans="1:23" ht="13.5" customHeight="1">
      <c r="A17" s="100">
        <v>307</v>
      </c>
      <c r="B17" s="100">
        <v>307</v>
      </c>
      <c r="C17" s="100" t="s">
        <v>1360</v>
      </c>
      <c r="D17" s="100" t="s">
        <v>1361</v>
      </c>
      <c r="E17" s="100" t="s">
        <v>312</v>
      </c>
      <c r="F17" s="100" t="s">
        <v>1376</v>
      </c>
      <c r="G17" s="100" t="s">
        <v>1377</v>
      </c>
      <c r="H17" s="100" t="s">
        <v>319</v>
      </c>
      <c r="I17" s="100" t="s">
        <v>980</v>
      </c>
      <c r="J17" s="100" t="s">
        <v>203</v>
      </c>
      <c r="K17" s="100" t="s">
        <v>295</v>
      </c>
      <c r="L17" s="100" t="s">
        <v>377</v>
      </c>
      <c r="M17" s="111" t="s">
        <v>733</v>
      </c>
      <c r="N17" s="100" t="s">
        <v>336</v>
      </c>
      <c r="O17" s="100" t="s">
        <v>1238</v>
      </c>
      <c r="P17" s="103">
        <v>74815</v>
      </c>
      <c r="Q17" s="103">
        <v>2.9780000000000002</v>
      </c>
      <c r="R17" s="103">
        <v>7694.5</v>
      </c>
      <c r="S17" s="103">
        <v>0</v>
      </c>
      <c r="T17" s="103">
        <v>17143.274440000001</v>
      </c>
      <c r="U17" s="102">
        <v>9.6400000000000001E-4</v>
      </c>
      <c r="V17" s="102">
        <v>5.3191000000000002E-2</v>
      </c>
      <c r="W17" s="102">
        <v>6.0159999999999996E-3</v>
      </c>
    </row>
    <row r="18" spans="1:23" ht="13.5" customHeight="1"/>
    <row r="19" spans="1:23" ht="13.5" customHeight="1"/>
    <row r="20" spans="1:23" ht="13.5" customHeight="1"/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307</v>
      </c>
      <c r="B2" s="100">
        <v>307</v>
      </c>
      <c r="C2" s="100" t="s">
        <v>1001</v>
      </c>
      <c r="D2" s="100" t="s">
        <v>1378</v>
      </c>
      <c r="E2" s="100">
        <v>8287997</v>
      </c>
      <c r="F2" s="106">
        <v>41306</v>
      </c>
      <c r="G2" s="103">
        <v>1.52</v>
      </c>
      <c r="H2" s="100" t="s">
        <v>751</v>
      </c>
      <c r="I2" s="106">
        <v>46784</v>
      </c>
      <c r="J2" s="102">
        <v>4.8000000000000001E-2</v>
      </c>
      <c r="K2" s="102">
        <v>1.7100000000000001E-2</v>
      </c>
      <c r="L2" s="103">
        <v>31777000</v>
      </c>
      <c r="M2" s="103">
        <v>129.48140000000001</v>
      </c>
      <c r="N2" s="103">
        <v>41145.296569999999</v>
      </c>
      <c r="O2" s="103"/>
      <c r="P2" s="100"/>
      <c r="Q2" s="102">
        <v>0.13200200000000001</v>
      </c>
      <c r="R2" s="102">
        <v>1.444E-2</v>
      </c>
    </row>
    <row r="3" spans="1:26" ht="13.5" customHeight="1">
      <c r="A3" s="100">
        <v>307</v>
      </c>
      <c r="B3" s="100">
        <v>307</v>
      </c>
      <c r="C3" s="100" t="s">
        <v>1001</v>
      </c>
      <c r="D3" s="100" t="s">
        <v>1379</v>
      </c>
      <c r="E3" s="100">
        <v>8288946</v>
      </c>
      <c r="F3" s="106">
        <v>44228</v>
      </c>
      <c r="G3" s="103">
        <v>7.91</v>
      </c>
      <c r="H3" s="100" t="s">
        <v>751</v>
      </c>
      <c r="I3" s="106">
        <v>49706</v>
      </c>
      <c r="J3" s="102">
        <v>4.8000000000000001E-2</v>
      </c>
      <c r="K3" s="102">
        <v>1.8700000000000001E-2</v>
      </c>
      <c r="L3" s="103">
        <v>11833000</v>
      </c>
      <c r="M3" s="103">
        <v>152.4426</v>
      </c>
      <c r="N3" s="103">
        <v>18038.528989999999</v>
      </c>
      <c r="O3" s="101"/>
      <c r="P3" s="100"/>
      <c r="Q3" s="102">
        <v>5.7870999999999999E-2</v>
      </c>
      <c r="R3" s="102">
        <v>6.3299999999999997E-3</v>
      </c>
    </row>
    <row r="4" spans="1:26" ht="13.5" customHeight="1">
      <c r="A4" s="100">
        <v>307</v>
      </c>
      <c r="B4" s="100">
        <v>307</v>
      </c>
      <c r="C4" s="100" t="s">
        <v>1001</v>
      </c>
      <c r="D4" s="100" t="s">
        <v>1380</v>
      </c>
      <c r="E4" s="100">
        <v>8288938</v>
      </c>
      <c r="F4" s="106">
        <v>44197</v>
      </c>
      <c r="G4" s="103">
        <v>7.82</v>
      </c>
      <c r="H4" s="100" t="s">
        <v>751</v>
      </c>
      <c r="I4" s="106">
        <v>49675</v>
      </c>
      <c r="J4" s="102">
        <v>4.8000000000000001E-2</v>
      </c>
      <c r="K4" s="102">
        <v>1.8700000000000001E-2</v>
      </c>
      <c r="L4" s="103">
        <v>3291000</v>
      </c>
      <c r="M4" s="103">
        <v>152.52610000000001</v>
      </c>
      <c r="N4" s="103">
        <v>5019.6334500000003</v>
      </c>
      <c r="O4" s="101"/>
      <c r="P4" s="100"/>
      <c r="Q4" s="102">
        <v>1.6102999999999999E-2</v>
      </c>
      <c r="R4" s="102">
        <v>1.761E-3</v>
      </c>
    </row>
    <row r="5" spans="1:26" ht="13.5" customHeight="1">
      <c r="A5" s="100">
        <v>307</v>
      </c>
      <c r="B5" s="100">
        <v>307</v>
      </c>
      <c r="C5" s="100" t="s">
        <v>1001</v>
      </c>
      <c r="D5" s="100" t="s">
        <v>1381</v>
      </c>
      <c r="E5" s="100">
        <v>8288839</v>
      </c>
      <c r="F5" s="106">
        <v>43863</v>
      </c>
      <c r="G5" s="103">
        <v>7.21</v>
      </c>
      <c r="H5" s="100" t="s">
        <v>751</v>
      </c>
      <c r="I5" s="106">
        <v>49342</v>
      </c>
      <c r="J5" s="102">
        <v>4.8000000000000001E-2</v>
      </c>
      <c r="K5" s="102">
        <v>1.84E-2</v>
      </c>
      <c r="L5" s="103">
        <v>1989000</v>
      </c>
      <c r="M5" s="103">
        <v>148.8133</v>
      </c>
      <c r="N5" s="103">
        <v>2959.8962499999998</v>
      </c>
      <c r="O5" s="101"/>
      <c r="P5" s="100"/>
      <c r="Q5" s="102">
        <v>9.495E-3</v>
      </c>
      <c r="R5" s="102">
        <v>1.0380000000000001E-3</v>
      </c>
    </row>
    <row r="6" spans="1:26" ht="13.5" customHeight="1">
      <c r="A6" s="100">
        <v>307</v>
      </c>
      <c r="B6" s="100">
        <v>307</v>
      </c>
      <c r="C6" s="100" t="s">
        <v>1001</v>
      </c>
      <c r="D6" s="100" t="s">
        <v>1382</v>
      </c>
      <c r="E6" s="100">
        <v>8288607</v>
      </c>
      <c r="F6" s="106">
        <v>43161</v>
      </c>
      <c r="G6" s="103">
        <v>5.8</v>
      </c>
      <c r="H6" s="100" t="s">
        <v>751</v>
      </c>
      <c r="I6" s="106">
        <v>48640</v>
      </c>
      <c r="J6" s="102">
        <v>4.8000000000000001E-2</v>
      </c>
      <c r="K6" s="102">
        <v>1.77E-2</v>
      </c>
      <c r="L6" s="103">
        <v>622000</v>
      </c>
      <c r="M6" s="103">
        <v>145.74789999999999</v>
      </c>
      <c r="N6" s="103">
        <v>906.55179999999996</v>
      </c>
      <c r="O6" s="101"/>
      <c r="P6" s="100"/>
      <c r="Q6" s="102">
        <v>2.908E-3</v>
      </c>
      <c r="R6" s="102">
        <v>3.1799999999999998E-4</v>
      </c>
    </row>
    <row r="7" spans="1:26" ht="13.5" customHeight="1">
      <c r="A7" s="100">
        <v>307</v>
      </c>
      <c r="B7" s="100">
        <v>307</v>
      </c>
      <c r="C7" s="100" t="s">
        <v>1001</v>
      </c>
      <c r="D7" s="100" t="s">
        <v>1383</v>
      </c>
      <c r="E7" s="100">
        <v>8288599</v>
      </c>
      <c r="F7" s="106">
        <v>43132</v>
      </c>
      <c r="G7" s="103">
        <v>5.72</v>
      </c>
      <c r="H7" s="100" t="s">
        <v>751</v>
      </c>
      <c r="I7" s="106">
        <v>48611</v>
      </c>
      <c r="J7" s="102">
        <v>4.8000000000000001E-2</v>
      </c>
      <c r="K7" s="102">
        <v>1.7600000000000001E-2</v>
      </c>
      <c r="L7" s="103">
        <v>20976000</v>
      </c>
      <c r="M7" s="103">
        <v>145.303</v>
      </c>
      <c r="N7" s="103">
        <v>30478.75577</v>
      </c>
      <c r="O7" s="101"/>
      <c r="P7" s="100"/>
      <c r="Q7" s="102">
        <v>9.7781000000000007E-2</v>
      </c>
      <c r="R7" s="102">
        <v>1.0697E-2</v>
      </c>
    </row>
    <row r="8" spans="1:26" ht="13.5" customHeight="1">
      <c r="A8" s="100">
        <v>307</v>
      </c>
      <c r="B8" s="100">
        <v>307</v>
      </c>
      <c r="C8" s="100" t="s">
        <v>1001</v>
      </c>
      <c r="D8" s="100" t="s">
        <v>1384</v>
      </c>
      <c r="E8" s="100">
        <v>8288474</v>
      </c>
      <c r="F8" s="106">
        <v>42767</v>
      </c>
      <c r="G8" s="103">
        <v>4.9400000000000004</v>
      </c>
      <c r="H8" s="100" t="s">
        <v>751</v>
      </c>
      <c r="I8" s="106">
        <v>48245</v>
      </c>
      <c r="J8" s="102">
        <v>4.8000000000000001E-2</v>
      </c>
      <c r="K8" s="102">
        <v>1.7299999999999999E-2</v>
      </c>
      <c r="L8" s="103">
        <v>1596000</v>
      </c>
      <c r="M8" s="103">
        <v>142.8563</v>
      </c>
      <c r="N8" s="103">
        <v>2279.9871499999999</v>
      </c>
      <c r="O8" s="101"/>
      <c r="P8" s="100"/>
      <c r="Q8" s="102">
        <v>7.3140000000000002E-3</v>
      </c>
      <c r="R8" s="102">
        <v>8.0000000000000004E-4</v>
      </c>
    </row>
    <row r="9" spans="1:26" ht="13.5" customHeight="1">
      <c r="A9" s="100">
        <v>307</v>
      </c>
      <c r="B9" s="100">
        <v>307</v>
      </c>
      <c r="C9" s="100" t="s">
        <v>1001</v>
      </c>
      <c r="D9" s="100" t="s">
        <v>1385</v>
      </c>
      <c r="E9" s="100">
        <v>8288359</v>
      </c>
      <c r="F9" s="106">
        <v>42401</v>
      </c>
      <c r="G9" s="103">
        <v>4.1399999999999997</v>
      </c>
      <c r="H9" s="100" t="s">
        <v>751</v>
      </c>
      <c r="I9" s="106">
        <v>47880</v>
      </c>
      <c r="J9" s="102">
        <v>4.8000000000000001E-2</v>
      </c>
      <c r="K9" s="102">
        <v>1.7000000000000001E-2</v>
      </c>
      <c r="L9" s="103">
        <v>9147000</v>
      </c>
      <c r="M9" s="103">
        <v>139.3706</v>
      </c>
      <c r="N9" s="103">
        <v>12748.231589999999</v>
      </c>
      <c r="O9" s="101"/>
      <c r="P9" s="100"/>
      <c r="Q9" s="102">
        <v>4.0897999999999997E-2</v>
      </c>
      <c r="R9" s="102">
        <v>4.4739999999999997E-3</v>
      </c>
    </row>
    <row r="10" spans="1:26" ht="13.5" customHeight="1">
      <c r="A10" s="100">
        <v>307</v>
      </c>
      <c r="B10" s="100">
        <v>307</v>
      </c>
      <c r="C10" s="100" t="s">
        <v>1001</v>
      </c>
      <c r="D10" s="100" t="s">
        <v>1386</v>
      </c>
      <c r="E10" s="100">
        <v>8288250</v>
      </c>
      <c r="F10" s="106">
        <v>42095</v>
      </c>
      <c r="G10" s="103">
        <v>3.46</v>
      </c>
      <c r="H10" s="100" t="s">
        <v>751</v>
      </c>
      <c r="I10" s="106">
        <v>47574</v>
      </c>
      <c r="J10" s="102">
        <v>4.8000000000000001E-2</v>
      </c>
      <c r="K10" s="102">
        <v>1.6799999999999999E-2</v>
      </c>
      <c r="L10" s="103">
        <v>3743000</v>
      </c>
      <c r="M10" s="103">
        <v>136.416</v>
      </c>
      <c r="N10" s="103">
        <v>5106.0518300000003</v>
      </c>
      <c r="O10" s="101"/>
      <c r="P10" s="100"/>
      <c r="Q10" s="102">
        <v>1.6381E-2</v>
      </c>
      <c r="R10" s="102">
        <v>1.792E-3</v>
      </c>
    </row>
    <row r="11" spans="1:26" ht="13.5" customHeight="1">
      <c r="A11" s="100">
        <v>307</v>
      </c>
      <c r="B11" s="100">
        <v>307</v>
      </c>
      <c r="C11" s="100" t="s">
        <v>1001</v>
      </c>
      <c r="D11" s="100" t="s">
        <v>1387</v>
      </c>
      <c r="E11" s="100">
        <v>8288243</v>
      </c>
      <c r="F11" s="106">
        <v>42064</v>
      </c>
      <c r="G11" s="103">
        <v>3.38</v>
      </c>
      <c r="H11" s="100" t="s">
        <v>751</v>
      </c>
      <c r="I11" s="106">
        <v>47543</v>
      </c>
      <c r="J11" s="102">
        <v>4.8000000000000001E-2</v>
      </c>
      <c r="K11" s="102">
        <v>1.6799999999999999E-2</v>
      </c>
      <c r="L11" s="103">
        <v>600000</v>
      </c>
      <c r="M11" s="103">
        <v>135.6437</v>
      </c>
      <c r="N11" s="103">
        <v>813.86226999999997</v>
      </c>
      <c r="O11" s="101"/>
      <c r="P11" s="100"/>
      <c r="Q11" s="102">
        <v>2.611E-3</v>
      </c>
      <c r="R11" s="102">
        <v>2.8499999999999999E-4</v>
      </c>
    </row>
    <row r="12" spans="1:26" ht="13.5" customHeight="1">
      <c r="A12" s="100">
        <v>307</v>
      </c>
      <c r="B12" s="100">
        <v>307</v>
      </c>
      <c r="C12" s="100" t="s">
        <v>1001</v>
      </c>
      <c r="D12" s="100" t="s">
        <v>1388</v>
      </c>
      <c r="E12" s="100">
        <v>8288235</v>
      </c>
      <c r="F12" s="106">
        <v>42036</v>
      </c>
      <c r="G12" s="103">
        <v>3.3</v>
      </c>
      <c r="H12" s="100" t="s">
        <v>751</v>
      </c>
      <c r="I12" s="106">
        <v>47515</v>
      </c>
      <c r="J12" s="102">
        <v>4.8000000000000001E-2</v>
      </c>
      <c r="K12" s="102">
        <v>1.67E-2</v>
      </c>
      <c r="L12" s="103">
        <v>1347000</v>
      </c>
      <c r="M12" s="103">
        <v>134.62020000000001</v>
      </c>
      <c r="N12" s="103">
        <v>1813.33358</v>
      </c>
      <c r="O12" s="101"/>
      <c r="P12" s="100"/>
      <c r="Q12" s="102">
        <v>5.8170000000000001E-3</v>
      </c>
      <c r="R12" s="102">
        <v>6.3599999999999996E-4</v>
      </c>
    </row>
    <row r="13" spans="1:26" ht="13.5" customHeight="1">
      <c r="A13" s="100">
        <v>307</v>
      </c>
      <c r="B13" s="100">
        <v>307</v>
      </c>
      <c r="C13" s="100" t="s">
        <v>1001</v>
      </c>
      <c r="D13" s="100" t="s">
        <v>1389</v>
      </c>
      <c r="E13" s="100">
        <v>8288227</v>
      </c>
      <c r="F13" s="106">
        <v>42005</v>
      </c>
      <c r="G13" s="103">
        <v>3.22</v>
      </c>
      <c r="H13" s="100" t="s">
        <v>751</v>
      </c>
      <c r="I13" s="106">
        <v>47484</v>
      </c>
      <c r="J13" s="102">
        <v>4.8000000000000001E-2</v>
      </c>
      <c r="K13" s="102">
        <v>1.67E-2</v>
      </c>
      <c r="L13" s="103">
        <v>12633000</v>
      </c>
      <c r="M13" s="103">
        <v>134.8092</v>
      </c>
      <c r="N13" s="103">
        <v>17030.442470000002</v>
      </c>
      <c r="O13" s="101"/>
      <c r="P13" s="100"/>
      <c r="Q13" s="102">
        <v>5.4636999999999998E-2</v>
      </c>
      <c r="R13" s="102">
        <v>5.9769999999999997E-3</v>
      </c>
    </row>
    <row r="14" spans="1:26" ht="13.5" customHeight="1">
      <c r="A14" s="100">
        <v>307</v>
      </c>
      <c r="B14" s="100">
        <v>307</v>
      </c>
      <c r="C14" s="100" t="s">
        <v>1001</v>
      </c>
      <c r="D14" s="100" t="s">
        <v>1390</v>
      </c>
      <c r="E14" s="100">
        <v>8288144</v>
      </c>
      <c r="F14" s="106">
        <v>41760</v>
      </c>
      <c r="G14" s="103">
        <v>2.68</v>
      </c>
      <c r="H14" s="100" t="s">
        <v>751</v>
      </c>
      <c r="I14" s="106">
        <v>47239</v>
      </c>
      <c r="J14" s="102">
        <v>4.8000000000000001E-2</v>
      </c>
      <c r="K14" s="102">
        <v>1.67E-2</v>
      </c>
      <c r="L14" s="103">
        <v>25464000</v>
      </c>
      <c r="M14" s="103">
        <v>130.94630000000001</v>
      </c>
      <c r="N14" s="103">
        <v>33344.167930000003</v>
      </c>
      <c r="O14" s="101"/>
      <c r="P14" s="100"/>
      <c r="Q14" s="102">
        <v>0.106974</v>
      </c>
      <c r="R14" s="102">
        <v>1.1702000000000001E-2</v>
      </c>
    </row>
    <row r="15" spans="1:26" ht="13.5" customHeight="1">
      <c r="A15" s="100">
        <v>307</v>
      </c>
      <c r="B15" s="100">
        <v>307</v>
      </c>
      <c r="C15" s="100" t="s">
        <v>1001</v>
      </c>
      <c r="D15" s="100" t="s">
        <v>1391</v>
      </c>
      <c r="E15" s="100">
        <v>8288110</v>
      </c>
      <c r="F15" s="106">
        <v>41672</v>
      </c>
      <c r="G15" s="103">
        <v>2.4300000000000002</v>
      </c>
      <c r="H15" s="100" t="s">
        <v>751</v>
      </c>
      <c r="I15" s="106">
        <v>47151</v>
      </c>
      <c r="J15" s="102">
        <v>4.8000000000000001E-2</v>
      </c>
      <c r="K15" s="102">
        <v>1.67E-2</v>
      </c>
      <c r="L15" s="103">
        <v>41331000</v>
      </c>
      <c r="M15" s="103">
        <v>130.81899999999999</v>
      </c>
      <c r="N15" s="103">
        <v>54068.788800000002</v>
      </c>
      <c r="O15" s="101"/>
      <c r="P15" s="100"/>
      <c r="Q15" s="102">
        <v>0.17346300000000001</v>
      </c>
      <c r="R15" s="102">
        <v>1.8976E-2</v>
      </c>
    </row>
    <row r="16" spans="1:26" ht="13.5" customHeight="1">
      <c r="A16" s="100">
        <v>307</v>
      </c>
      <c r="B16" s="100">
        <v>307</v>
      </c>
      <c r="C16" s="100" t="s">
        <v>1001</v>
      </c>
      <c r="D16" s="100" t="s">
        <v>1392</v>
      </c>
      <c r="E16" s="100">
        <v>8288102</v>
      </c>
      <c r="F16" s="106">
        <v>41640</v>
      </c>
      <c r="G16" s="103">
        <v>2.35</v>
      </c>
      <c r="H16" s="100" t="s">
        <v>751</v>
      </c>
      <c r="I16" s="106">
        <v>47119</v>
      </c>
      <c r="J16" s="102">
        <v>4.8000000000000001E-2</v>
      </c>
      <c r="K16" s="102">
        <v>1.67E-2</v>
      </c>
      <c r="L16" s="103">
        <v>8163000</v>
      </c>
      <c r="M16" s="103">
        <v>131.13749999999999</v>
      </c>
      <c r="N16" s="103">
        <v>10704.754730000001</v>
      </c>
      <c r="O16" s="101"/>
      <c r="P16" s="100"/>
      <c r="Q16" s="102">
        <v>3.4342999999999999E-2</v>
      </c>
      <c r="R16" s="102">
        <v>3.7569999999999999E-3</v>
      </c>
    </row>
    <row r="17" spans="1:18" ht="13.5" customHeight="1">
      <c r="A17" s="100">
        <v>307</v>
      </c>
      <c r="B17" s="100">
        <v>307</v>
      </c>
      <c r="C17" s="100" t="s">
        <v>1001</v>
      </c>
      <c r="D17" s="100" t="s">
        <v>1393</v>
      </c>
      <c r="E17" s="100">
        <v>8288086</v>
      </c>
      <c r="F17" s="106">
        <v>41579</v>
      </c>
      <c r="G17" s="103">
        <v>2.23</v>
      </c>
      <c r="H17" s="100" t="s">
        <v>751</v>
      </c>
      <c r="I17" s="106">
        <v>47058</v>
      </c>
      <c r="J17" s="102">
        <v>4.8000000000000001E-2</v>
      </c>
      <c r="K17" s="102">
        <v>1.6799999999999999E-2</v>
      </c>
      <c r="L17" s="103">
        <v>16840000</v>
      </c>
      <c r="M17" s="103">
        <v>128.49260000000001</v>
      </c>
      <c r="N17" s="103">
        <v>21638.162</v>
      </c>
      <c r="O17" s="101"/>
      <c r="P17" s="100"/>
      <c r="Q17" s="102">
        <v>6.9418999999999995E-2</v>
      </c>
      <c r="R17" s="102">
        <v>7.5940000000000001E-3</v>
      </c>
    </row>
    <row r="18" spans="1:18" ht="13.5" customHeight="1">
      <c r="A18" s="100">
        <v>307</v>
      </c>
      <c r="B18" s="100">
        <v>307</v>
      </c>
      <c r="C18" s="100" t="s">
        <v>1001</v>
      </c>
      <c r="D18" s="100" t="s">
        <v>1394</v>
      </c>
      <c r="E18" s="100">
        <v>8288979</v>
      </c>
      <c r="F18" s="106">
        <v>44318</v>
      </c>
      <c r="G18" s="103">
        <v>8.16</v>
      </c>
      <c r="H18" s="100" t="s">
        <v>751</v>
      </c>
      <c r="I18" s="106">
        <v>49797</v>
      </c>
      <c r="J18" s="102">
        <v>4.8000000000000001E-2</v>
      </c>
      <c r="K18" s="102">
        <v>1.8800000000000001E-2</v>
      </c>
      <c r="L18" s="103">
        <v>11643000</v>
      </c>
      <c r="M18" s="103">
        <v>150.42179999999999</v>
      </c>
      <c r="N18" s="103">
        <v>17513.612140000001</v>
      </c>
      <c r="O18" s="101"/>
      <c r="P18" s="100"/>
      <c r="Q18" s="102">
        <v>5.6187000000000001E-2</v>
      </c>
      <c r="R18" s="102">
        <v>6.1460000000000004E-3</v>
      </c>
    </row>
    <row r="19" spans="1:18" ht="13.5" customHeight="1">
      <c r="A19" s="100">
        <v>307</v>
      </c>
      <c r="B19" s="100">
        <v>307</v>
      </c>
      <c r="C19" s="100" t="s">
        <v>1001</v>
      </c>
      <c r="D19" s="100" t="s">
        <v>1395</v>
      </c>
      <c r="E19" s="100">
        <v>8288987</v>
      </c>
      <c r="F19" s="106">
        <v>44348</v>
      </c>
      <c r="G19" s="103">
        <v>8.24</v>
      </c>
      <c r="H19" s="100" t="s">
        <v>751</v>
      </c>
      <c r="I19" s="106">
        <v>49827</v>
      </c>
      <c r="J19" s="102">
        <v>4.8000000000000001E-2</v>
      </c>
      <c r="K19" s="102">
        <v>1.89E-2</v>
      </c>
      <c r="L19" s="103">
        <v>24116000</v>
      </c>
      <c r="M19" s="103">
        <v>149.65639999999999</v>
      </c>
      <c r="N19" s="103">
        <v>36091.136489999997</v>
      </c>
      <c r="O19" s="101"/>
      <c r="P19" s="100"/>
      <c r="Q19" s="102">
        <v>0.115787</v>
      </c>
      <c r="R19" s="102">
        <v>1.2666E-2</v>
      </c>
    </row>
    <row r="20" spans="1:18" ht="13.5" customHeight="1"/>
    <row r="21" spans="1:18" ht="13.5" customHeight="1"/>
    <row r="22" spans="1:18" ht="13.5" customHeight="1"/>
    <row r="23" spans="1:18" ht="13.5" customHeight="1"/>
    <row r="24" spans="1:18" ht="13.5" customHeight="1"/>
    <row r="25" spans="1:18" ht="13.5" customHeight="1"/>
    <row r="26" spans="1:18" ht="13.5" customHeight="1"/>
    <row r="27" spans="1:18" ht="13.5" customHeight="1"/>
    <row r="28" spans="1:18" ht="13.5" customHeight="1"/>
    <row r="29" spans="1:18" ht="13.5" customHeight="1"/>
    <row r="30" spans="1:18" ht="13.5" customHeight="1"/>
    <row r="31" spans="1:18" ht="13.5" customHeight="1"/>
    <row r="32" spans="1:1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998"/>
  <sheetViews>
    <sheetView rightToLeft="1" workbookViewId="0">
      <selection activeCell="A2" sqref="A2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307</v>
      </c>
      <c r="B2" s="100">
        <v>307</v>
      </c>
      <c r="C2" s="100" t="s">
        <v>1005</v>
      </c>
      <c r="D2" s="106"/>
      <c r="E2" s="106"/>
      <c r="F2" s="103">
        <v>20707.620999999999</v>
      </c>
      <c r="G2" s="102">
        <v>7.2700000000000004E-3</v>
      </c>
    </row>
    <row r="3" spans="1:26" ht="13.5" customHeight="1">
      <c r="A3" s="100">
        <v>307</v>
      </c>
      <c r="B3" s="100">
        <v>307</v>
      </c>
      <c r="C3" s="100" t="s">
        <v>1006</v>
      </c>
      <c r="D3" s="106"/>
      <c r="E3" s="106"/>
      <c r="F3" s="103">
        <v>1485.6713400000001</v>
      </c>
      <c r="G3" s="102">
        <v>5.2099999999999998E-4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7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4" t="s">
        <v>17</v>
      </c>
      <c r="AI1" s="104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0">
        <v>307</v>
      </c>
      <c r="B2" s="100">
        <v>307</v>
      </c>
      <c r="C2" s="100" t="s">
        <v>1305</v>
      </c>
      <c r="D2" s="100">
        <v>520010869</v>
      </c>
      <c r="E2" s="100" t="s">
        <v>308</v>
      </c>
      <c r="F2" s="100" t="s">
        <v>1396</v>
      </c>
      <c r="G2" s="100" t="s">
        <v>1397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323</v>
      </c>
      <c r="M2" s="100" t="s">
        <v>475</v>
      </c>
      <c r="N2" s="100" t="s">
        <v>336</v>
      </c>
      <c r="O2" s="106">
        <v>39076</v>
      </c>
      <c r="P2" s="100" t="s">
        <v>1232</v>
      </c>
      <c r="Q2" s="100" t="s">
        <v>411</v>
      </c>
      <c r="R2" s="100" t="s">
        <v>404</v>
      </c>
      <c r="S2" s="100" t="s">
        <v>1237</v>
      </c>
      <c r="T2" s="103">
        <v>4.8899999999999997</v>
      </c>
      <c r="U2" s="106">
        <v>50034</v>
      </c>
      <c r="V2" s="102">
        <v>2.2800000000000001E-2</v>
      </c>
      <c r="W2" s="102">
        <v>4.9000000000000002E-2</v>
      </c>
      <c r="X2" s="100" t="s">
        <v>410</v>
      </c>
      <c r="Y2" s="100"/>
      <c r="Z2" s="100" t="s">
        <v>890</v>
      </c>
      <c r="AA2" s="100" t="s">
        <v>893</v>
      </c>
      <c r="AB2" s="106">
        <v>46203</v>
      </c>
      <c r="AC2" s="106"/>
      <c r="AD2" s="103">
        <v>158400.07999999999</v>
      </c>
      <c r="AE2" s="103">
        <v>1</v>
      </c>
      <c r="AF2" s="103">
        <v>166.6199</v>
      </c>
      <c r="AG2" s="103">
        <v>263.92621000000003</v>
      </c>
      <c r="AH2" s="103"/>
      <c r="AI2" s="103"/>
      <c r="AJ2" s="100"/>
      <c r="AK2" s="102">
        <v>5.9919E-2</v>
      </c>
      <c r="AL2" s="102">
        <v>9.2E-5</v>
      </c>
    </row>
    <row r="3" spans="1:38" ht="13.5" customHeight="1">
      <c r="A3" s="100">
        <v>307</v>
      </c>
      <c r="B3" s="100">
        <v>307</v>
      </c>
      <c r="C3" s="100" t="s">
        <v>1305</v>
      </c>
      <c r="D3" s="100">
        <v>520010869</v>
      </c>
      <c r="E3" s="100" t="s">
        <v>308</v>
      </c>
      <c r="F3" s="100" t="s">
        <v>1398</v>
      </c>
      <c r="G3" s="100" t="s">
        <v>1399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323</v>
      </c>
      <c r="M3" s="100" t="s">
        <v>475</v>
      </c>
      <c r="N3" s="100" t="s">
        <v>336</v>
      </c>
      <c r="O3" s="106">
        <v>40738</v>
      </c>
      <c r="P3" s="100" t="s">
        <v>1232</v>
      </c>
      <c r="Q3" s="100" t="s">
        <v>411</v>
      </c>
      <c r="R3" s="100" t="s">
        <v>404</v>
      </c>
      <c r="S3" s="100" t="s">
        <v>1237</v>
      </c>
      <c r="T3" s="103">
        <v>8.75</v>
      </c>
      <c r="U3" s="106">
        <v>54253</v>
      </c>
      <c r="V3" s="102">
        <v>2.64E-2</v>
      </c>
      <c r="W3" s="102">
        <v>4.1000000000000002E-2</v>
      </c>
      <c r="X3" s="100" t="s">
        <v>410</v>
      </c>
      <c r="Y3" s="100"/>
      <c r="Z3" s="100" t="s">
        <v>890</v>
      </c>
      <c r="AA3" s="100" t="s">
        <v>893</v>
      </c>
      <c r="AB3" s="106">
        <v>46203</v>
      </c>
      <c r="AC3" s="106"/>
      <c r="AD3" s="103">
        <v>2742308.14</v>
      </c>
      <c r="AE3" s="103">
        <v>1</v>
      </c>
      <c r="AF3" s="103">
        <v>144.82</v>
      </c>
      <c r="AG3" s="103">
        <v>3971.4106499999998</v>
      </c>
      <c r="AH3" s="101"/>
      <c r="AI3" s="101"/>
      <c r="AJ3" s="100"/>
      <c r="AK3" s="102">
        <v>0.90162699999999996</v>
      </c>
      <c r="AL3" s="102">
        <v>1.3929999999999999E-3</v>
      </c>
    </row>
    <row r="4" spans="1:38" ht="13.5" customHeight="1">
      <c r="A4" s="100">
        <v>307</v>
      </c>
      <c r="B4" s="100">
        <v>307</v>
      </c>
      <c r="C4" s="100" t="s">
        <v>1330</v>
      </c>
      <c r="D4" s="100">
        <v>513436394</v>
      </c>
      <c r="E4" s="100" t="s">
        <v>308</v>
      </c>
      <c r="F4" s="100" t="s">
        <v>1400</v>
      </c>
      <c r="G4" s="100" t="s">
        <v>1401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323</v>
      </c>
      <c r="M4" s="100" t="s">
        <v>475</v>
      </c>
      <c r="N4" s="100" t="s">
        <v>336</v>
      </c>
      <c r="O4" s="106">
        <v>40910</v>
      </c>
      <c r="P4" s="100" t="s">
        <v>1232</v>
      </c>
      <c r="Q4" s="100" t="s">
        <v>411</v>
      </c>
      <c r="R4" s="100" t="s">
        <v>404</v>
      </c>
      <c r="S4" s="100" t="s">
        <v>1237</v>
      </c>
      <c r="T4" s="103">
        <v>2.63</v>
      </c>
      <c r="U4" s="106">
        <v>48213</v>
      </c>
      <c r="V4" s="102">
        <v>2.2499999999999999E-2</v>
      </c>
      <c r="W4" s="102">
        <v>4.8000000000000001E-2</v>
      </c>
      <c r="X4" s="100" t="s">
        <v>410</v>
      </c>
      <c r="Y4" s="100"/>
      <c r="Z4" s="100" t="s">
        <v>890</v>
      </c>
      <c r="AA4" s="100" t="s">
        <v>893</v>
      </c>
      <c r="AB4" s="106">
        <v>46203</v>
      </c>
      <c r="AC4" s="106"/>
      <c r="AD4" s="103">
        <v>128785.03</v>
      </c>
      <c r="AE4" s="103">
        <v>1</v>
      </c>
      <c r="AF4" s="103">
        <v>131.51990000000001</v>
      </c>
      <c r="AG4" s="103">
        <v>169.37807000000001</v>
      </c>
      <c r="AH4" s="101"/>
      <c r="AI4" s="101"/>
      <c r="AJ4" s="100"/>
      <c r="AK4" s="102">
        <v>3.8453000000000001E-2</v>
      </c>
      <c r="AL4" s="102">
        <v>5.8999999999999998E-5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7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0">
        <v>307</v>
      </c>
      <c r="B2" s="100">
        <v>307</v>
      </c>
      <c r="C2" s="100" t="s">
        <v>1402</v>
      </c>
      <c r="D2" s="100">
        <v>520017484</v>
      </c>
      <c r="E2" s="100" t="s">
        <v>308</v>
      </c>
      <c r="F2" s="100" t="s">
        <v>1402</v>
      </c>
      <c r="G2" s="100">
        <v>23267</v>
      </c>
      <c r="H2" s="100" t="s">
        <v>311</v>
      </c>
      <c r="I2" s="100" t="s">
        <v>762</v>
      </c>
      <c r="J2" s="100" t="s">
        <v>202</v>
      </c>
      <c r="K2" s="100" t="s">
        <v>202</v>
      </c>
      <c r="L2" s="100" t="s">
        <v>323</v>
      </c>
      <c r="M2" s="100" t="s">
        <v>449</v>
      </c>
      <c r="N2" s="100" t="s">
        <v>336</v>
      </c>
      <c r="O2" s="106">
        <v>21218</v>
      </c>
      <c r="P2" s="100" t="s">
        <v>1237</v>
      </c>
      <c r="Q2" s="100" t="s">
        <v>313</v>
      </c>
      <c r="R2" s="100" t="s">
        <v>893</v>
      </c>
      <c r="S2" s="106">
        <v>46022</v>
      </c>
      <c r="T2" s="106"/>
      <c r="U2" s="103">
        <v>1</v>
      </c>
      <c r="V2" s="103">
        <v>1</v>
      </c>
      <c r="W2" s="105">
        <v>1.0000000000000001E-5</v>
      </c>
      <c r="X2" s="105">
        <v>1.0000000000000001E-5</v>
      </c>
      <c r="Y2" s="102">
        <v>0</v>
      </c>
      <c r="Z2" s="102">
        <v>0</v>
      </c>
    </row>
    <row r="3" spans="1:26" ht="13.5" customHeight="1">
      <c r="A3" s="100">
        <v>307</v>
      </c>
      <c r="B3" s="100">
        <v>307</v>
      </c>
      <c r="C3" s="100" t="s">
        <v>1403</v>
      </c>
      <c r="D3" s="100">
        <v>520028473</v>
      </c>
      <c r="E3" s="100" t="s">
        <v>308</v>
      </c>
      <c r="F3" s="100" t="s">
        <v>1404</v>
      </c>
      <c r="G3" s="100">
        <v>729848</v>
      </c>
      <c r="H3" s="100" t="s">
        <v>311</v>
      </c>
      <c r="I3" s="100" t="s">
        <v>762</v>
      </c>
      <c r="J3" s="100" t="s">
        <v>202</v>
      </c>
      <c r="K3" s="100" t="s">
        <v>202</v>
      </c>
      <c r="L3" s="100" t="s">
        <v>323</v>
      </c>
      <c r="M3" s="100" t="s">
        <v>313</v>
      </c>
      <c r="N3" s="100" t="s">
        <v>336</v>
      </c>
      <c r="O3" s="106">
        <v>24473</v>
      </c>
      <c r="P3" s="100" t="s">
        <v>1237</v>
      </c>
      <c r="Q3" s="100" t="s">
        <v>313</v>
      </c>
      <c r="R3" s="100" t="s">
        <v>893</v>
      </c>
      <c r="S3" s="106">
        <v>46022</v>
      </c>
      <c r="T3" s="106"/>
      <c r="U3" s="103">
        <v>23017</v>
      </c>
      <c r="V3" s="103">
        <v>1</v>
      </c>
      <c r="W3" s="105">
        <v>1.0000000000000001E-5</v>
      </c>
      <c r="X3" s="105">
        <v>1.0000000000000001E-5</v>
      </c>
      <c r="Y3" s="102">
        <v>0</v>
      </c>
      <c r="Z3" s="102">
        <v>0</v>
      </c>
    </row>
    <row r="4" spans="1:26" ht="13.5" customHeight="1">
      <c r="A4" s="100">
        <v>307</v>
      </c>
      <c r="B4" s="100">
        <v>307</v>
      </c>
      <c r="C4" s="100" t="s">
        <v>1403</v>
      </c>
      <c r="D4" s="100">
        <v>520028473</v>
      </c>
      <c r="E4" s="100" t="s">
        <v>308</v>
      </c>
      <c r="F4" s="100" t="s">
        <v>1405</v>
      </c>
      <c r="G4" s="100">
        <v>729830</v>
      </c>
      <c r="H4" s="100" t="s">
        <v>311</v>
      </c>
      <c r="I4" s="100" t="s">
        <v>762</v>
      </c>
      <c r="J4" s="100" t="s">
        <v>202</v>
      </c>
      <c r="K4" s="100" t="s">
        <v>202</v>
      </c>
      <c r="L4" s="100" t="s">
        <v>323</v>
      </c>
      <c r="M4" s="100" t="s">
        <v>313</v>
      </c>
      <c r="N4" s="100" t="s">
        <v>336</v>
      </c>
      <c r="O4" s="106">
        <v>24473</v>
      </c>
      <c r="P4" s="100" t="s">
        <v>1237</v>
      </c>
      <c r="Q4" s="100" t="s">
        <v>313</v>
      </c>
      <c r="R4" s="100" t="s">
        <v>893</v>
      </c>
      <c r="S4" s="106">
        <v>46022</v>
      </c>
      <c r="T4" s="106"/>
      <c r="U4" s="103">
        <v>309954</v>
      </c>
      <c r="V4" s="103">
        <v>1</v>
      </c>
      <c r="W4" s="105">
        <v>1.0000000000000001E-5</v>
      </c>
      <c r="X4" s="105">
        <v>1.0000000000000001E-5</v>
      </c>
      <c r="Y4" s="102">
        <v>0</v>
      </c>
      <c r="Z4" s="102">
        <v>0</v>
      </c>
    </row>
    <row r="5" spans="1:26" ht="13.5" customHeight="1">
      <c r="A5" s="100">
        <v>307</v>
      </c>
      <c r="B5" s="100">
        <v>307</v>
      </c>
      <c r="C5" s="100" t="s">
        <v>1403</v>
      </c>
      <c r="D5" s="100">
        <v>520028473</v>
      </c>
      <c r="E5" s="100" t="s">
        <v>308</v>
      </c>
      <c r="F5" s="100" t="s">
        <v>1406</v>
      </c>
      <c r="G5" s="100">
        <v>729822</v>
      </c>
      <c r="H5" s="100" t="s">
        <v>311</v>
      </c>
      <c r="I5" s="100" t="s">
        <v>762</v>
      </c>
      <c r="J5" s="100" t="s">
        <v>202</v>
      </c>
      <c r="K5" s="100" t="s">
        <v>202</v>
      </c>
      <c r="L5" s="100" t="s">
        <v>323</v>
      </c>
      <c r="M5" s="100" t="s">
        <v>313</v>
      </c>
      <c r="N5" s="100" t="s">
        <v>336</v>
      </c>
      <c r="O5" s="106">
        <v>24473</v>
      </c>
      <c r="P5" s="100" t="s">
        <v>1237</v>
      </c>
      <c r="Q5" s="100" t="s">
        <v>313</v>
      </c>
      <c r="R5" s="100" t="s">
        <v>893</v>
      </c>
      <c r="S5" s="106">
        <v>46022</v>
      </c>
      <c r="T5" s="106"/>
      <c r="U5" s="103">
        <v>107338</v>
      </c>
      <c r="V5" s="103">
        <v>1</v>
      </c>
      <c r="W5" s="105">
        <v>1.0000000000000001E-5</v>
      </c>
      <c r="X5" s="105">
        <v>1.0000000000000001E-5</v>
      </c>
      <c r="Y5" s="102">
        <v>0</v>
      </c>
      <c r="Z5" s="102">
        <v>0</v>
      </c>
    </row>
    <row r="6" spans="1:26" ht="13.5" customHeight="1">
      <c r="A6" s="100">
        <v>307</v>
      </c>
      <c r="B6" s="100">
        <v>307</v>
      </c>
      <c r="C6" s="100" t="s">
        <v>1403</v>
      </c>
      <c r="D6" s="100">
        <v>520028473</v>
      </c>
      <c r="E6" s="100" t="s">
        <v>308</v>
      </c>
      <c r="F6" s="100" t="s">
        <v>1407</v>
      </c>
      <c r="G6" s="100">
        <v>729814</v>
      </c>
      <c r="H6" s="100" t="s">
        <v>311</v>
      </c>
      <c r="I6" s="100" t="s">
        <v>762</v>
      </c>
      <c r="J6" s="100" t="s">
        <v>202</v>
      </c>
      <c r="K6" s="100" t="s">
        <v>202</v>
      </c>
      <c r="L6" s="100" t="s">
        <v>323</v>
      </c>
      <c r="M6" s="100" t="s">
        <v>313</v>
      </c>
      <c r="N6" s="100" t="s">
        <v>336</v>
      </c>
      <c r="O6" s="106">
        <v>24473</v>
      </c>
      <c r="P6" s="100" t="s">
        <v>1237</v>
      </c>
      <c r="Q6" s="100" t="s">
        <v>313</v>
      </c>
      <c r="R6" s="100" t="s">
        <v>893</v>
      </c>
      <c r="S6" s="106">
        <v>46022</v>
      </c>
      <c r="T6" s="106"/>
      <c r="U6" s="103">
        <v>43086</v>
      </c>
      <c r="V6" s="103">
        <v>1</v>
      </c>
      <c r="W6" s="105">
        <v>1.0000000000000001E-5</v>
      </c>
      <c r="X6" s="105">
        <v>1.0000000000000001E-5</v>
      </c>
      <c r="Y6" s="102">
        <v>0</v>
      </c>
      <c r="Z6" s="102">
        <v>0</v>
      </c>
    </row>
    <row r="7" spans="1:26" ht="13.5" customHeight="1">
      <c r="A7" s="100">
        <v>307</v>
      </c>
      <c r="B7" s="100">
        <v>307</v>
      </c>
      <c r="C7" s="100" t="s">
        <v>1408</v>
      </c>
      <c r="D7" s="100">
        <v>520025495</v>
      </c>
      <c r="E7" s="100" t="s">
        <v>308</v>
      </c>
      <c r="F7" s="100" t="s">
        <v>1409</v>
      </c>
      <c r="G7" s="100">
        <v>729749</v>
      </c>
      <c r="H7" s="100" t="s">
        <v>311</v>
      </c>
      <c r="I7" s="100" t="s">
        <v>762</v>
      </c>
      <c r="J7" s="100" t="s">
        <v>202</v>
      </c>
      <c r="K7" s="100" t="s">
        <v>202</v>
      </c>
      <c r="L7" s="100" t="s">
        <v>323</v>
      </c>
      <c r="M7" s="100" t="s">
        <v>313</v>
      </c>
      <c r="N7" s="100" t="s">
        <v>336</v>
      </c>
      <c r="O7" s="106">
        <v>24473</v>
      </c>
      <c r="P7" s="100" t="s">
        <v>1237</v>
      </c>
      <c r="Q7" s="100" t="s">
        <v>313</v>
      </c>
      <c r="R7" s="100" t="s">
        <v>893</v>
      </c>
      <c r="S7" s="106">
        <v>46022</v>
      </c>
      <c r="T7" s="106"/>
      <c r="U7" s="103">
        <v>93849730</v>
      </c>
      <c r="V7" s="103">
        <v>1</v>
      </c>
      <c r="W7" s="105">
        <v>1.0000000000000001E-5</v>
      </c>
      <c r="X7" s="103">
        <v>9.3999999999999997E-4</v>
      </c>
      <c r="Y7" s="102">
        <v>0.701492</v>
      </c>
      <c r="Z7" s="102">
        <v>0</v>
      </c>
    </row>
    <row r="8" spans="1:26" ht="13.5" customHeight="1">
      <c r="A8" s="100">
        <v>307</v>
      </c>
      <c r="B8" s="100">
        <v>307</v>
      </c>
      <c r="C8" s="100" t="s">
        <v>1410</v>
      </c>
      <c r="D8" s="100">
        <v>520025495</v>
      </c>
      <c r="E8" s="100" t="s">
        <v>308</v>
      </c>
      <c r="F8" s="100" t="s">
        <v>1411</v>
      </c>
      <c r="G8" s="100">
        <v>729731</v>
      </c>
      <c r="H8" s="100" t="s">
        <v>311</v>
      </c>
      <c r="I8" s="100" t="s">
        <v>762</v>
      </c>
      <c r="J8" s="100" t="s">
        <v>202</v>
      </c>
      <c r="K8" s="100" t="s">
        <v>202</v>
      </c>
      <c r="L8" s="100" t="s">
        <v>323</v>
      </c>
      <c r="M8" s="100" t="s">
        <v>313</v>
      </c>
      <c r="N8" s="100" t="s">
        <v>336</v>
      </c>
      <c r="O8" s="106">
        <v>24473</v>
      </c>
      <c r="P8" s="100" t="s">
        <v>1237</v>
      </c>
      <c r="Q8" s="100" t="s">
        <v>313</v>
      </c>
      <c r="R8" s="100" t="s">
        <v>893</v>
      </c>
      <c r="S8" s="106">
        <v>46022</v>
      </c>
      <c r="T8" s="106"/>
      <c r="U8" s="103">
        <v>27701</v>
      </c>
      <c r="V8" s="103">
        <v>1</v>
      </c>
      <c r="W8" s="105">
        <v>1.0000000000000001E-5</v>
      </c>
      <c r="X8" s="105">
        <v>1.0000000000000001E-5</v>
      </c>
      <c r="Y8" s="102">
        <v>0</v>
      </c>
      <c r="Z8" s="102">
        <v>0</v>
      </c>
    </row>
    <row r="9" spans="1:26" ht="13.5" customHeight="1">
      <c r="A9" s="100">
        <v>307</v>
      </c>
      <c r="B9" s="100">
        <v>307</v>
      </c>
      <c r="C9" s="100" t="s">
        <v>1412</v>
      </c>
      <c r="D9" s="100">
        <v>520023474</v>
      </c>
      <c r="E9" s="100" t="s">
        <v>308</v>
      </c>
      <c r="F9" s="100" t="s">
        <v>1413</v>
      </c>
      <c r="G9" s="100">
        <v>634022</v>
      </c>
      <c r="H9" s="100" t="s">
        <v>311</v>
      </c>
      <c r="I9" s="100" t="s">
        <v>762</v>
      </c>
      <c r="J9" s="100" t="s">
        <v>202</v>
      </c>
      <c r="K9" s="100" t="s">
        <v>202</v>
      </c>
      <c r="L9" s="100" t="s">
        <v>323</v>
      </c>
      <c r="M9" s="100" t="s">
        <v>313</v>
      </c>
      <c r="N9" s="100" t="s">
        <v>336</v>
      </c>
      <c r="O9" s="106">
        <v>22340</v>
      </c>
      <c r="P9" s="100" t="s">
        <v>1237</v>
      </c>
      <c r="Q9" s="100" t="s">
        <v>313</v>
      </c>
      <c r="R9" s="100" t="s">
        <v>893</v>
      </c>
      <c r="S9" s="106">
        <v>46022</v>
      </c>
      <c r="T9" s="106"/>
      <c r="U9" s="103">
        <v>3893.2</v>
      </c>
      <c r="V9" s="103">
        <v>1</v>
      </c>
      <c r="W9" s="103">
        <v>0.01</v>
      </c>
      <c r="X9" s="103">
        <v>3.8999999999999999E-4</v>
      </c>
      <c r="Y9" s="102">
        <v>0.29104400000000002</v>
      </c>
      <c r="Z9" s="102">
        <v>0</v>
      </c>
    </row>
    <row r="10" spans="1:26" ht="13.5" customHeight="1">
      <c r="A10" s="100">
        <v>307</v>
      </c>
      <c r="B10" s="100">
        <v>307</v>
      </c>
      <c r="C10" s="100" t="s">
        <v>1414</v>
      </c>
      <c r="D10" s="100">
        <v>520017708</v>
      </c>
      <c r="E10" s="100" t="s">
        <v>308</v>
      </c>
      <c r="F10" s="100" t="s">
        <v>1415</v>
      </c>
      <c r="G10" s="100">
        <v>44024</v>
      </c>
      <c r="H10" s="100" t="s">
        <v>311</v>
      </c>
      <c r="I10" s="100" t="s">
        <v>762</v>
      </c>
      <c r="J10" s="100" t="s">
        <v>202</v>
      </c>
      <c r="K10" s="100" t="s">
        <v>202</v>
      </c>
      <c r="L10" s="100" t="s">
        <v>323</v>
      </c>
      <c r="M10" s="100" t="s">
        <v>313</v>
      </c>
      <c r="N10" s="100" t="s">
        <v>336</v>
      </c>
      <c r="O10" s="106">
        <v>18811</v>
      </c>
      <c r="P10" s="100" t="s">
        <v>1237</v>
      </c>
      <c r="Q10" s="100" t="s">
        <v>313</v>
      </c>
      <c r="R10" s="100" t="s">
        <v>893</v>
      </c>
      <c r="S10" s="106">
        <v>46022</v>
      </c>
      <c r="T10" s="106"/>
      <c r="U10" s="103">
        <v>1</v>
      </c>
      <c r="V10" s="103">
        <v>1</v>
      </c>
      <c r="W10" s="105">
        <v>1.0000000000000001E-5</v>
      </c>
      <c r="X10" s="105">
        <v>1.0000000000000001E-5</v>
      </c>
      <c r="Y10" s="102">
        <v>0</v>
      </c>
      <c r="Z10" s="102">
        <v>0</v>
      </c>
    </row>
    <row r="11" spans="1:26" ht="13.5" customHeight="1">
      <c r="A11" s="100">
        <v>307</v>
      </c>
      <c r="B11" s="100">
        <v>307</v>
      </c>
      <c r="C11" s="100" t="s">
        <v>1410</v>
      </c>
      <c r="D11" s="100">
        <v>520025495</v>
      </c>
      <c r="E11" s="100" t="s">
        <v>308</v>
      </c>
      <c r="F11" s="100" t="s">
        <v>1416</v>
      </c>
      <c r="G11" s="100">
        <v>23275</v>
      </c>
      <c r="H11" s="100" t="s">
        <v>311</v>
      </c>
      <c r="I11" s="100" t="s">
        <v>762</v>
      </c>
      <c r="J11" s="100" t="s">
        <v>202</v>
      </c>
      <c r="K11" s="100" t="s">
        <v>202</v>
      </c>
      <c r="L11" s="100" t="s">
        <v>323</v>
      </c>
      <c r="M11" s="100" t="s">
        <v>313</v>
      </c>
      <c r="N11" s="100" t="s">
        <v>336</v>
      </c>
      <c r="O11" s="106">
        <v>24473</v>
      </c>
      <c r="P11" s="100" t="s">
        <v>1237</v>
      </c>
      <c r="Q11" s="100" t="s">
        <v>313</v>
      </c>
      <c r="R11" s="100" t="s">
        <v>893</v>
      </c>
      <c r="S11" s="106">
        <v>46022</v>
      </c>
      <c r="T11" s="106"/>
      <c r="U11" s="103">
        <v>42924</v>
      </c>
      <c r="V11" s="103">
        <v>1</v>
      </c>
      <c r="W11" s="105">
        <v>1.0000000000000001E-5</v>
      </c>
      <c r="X11" s="105">
        <v>1.0000000000000001E-5</v>
      </c>
      <c r="Y11" s="102">
        <v>0</v>
      </c>
      <c r="Z11" s="102">
        <v>0</v>
      </c>
    </row>
    <row r="12" spans="1:26" ht="13.5" customHeight="1">
      <c r="A12" s="100">
        <v>307</v>
      </c>
      <c r="B12" s="100">
        <v>307</v>
      </c>
      <c r="C12" s="100" t="s">
        <v>1408</v>
      </c>
      <c r="D12" s="100">
        <v>520025495</v>
      </c>
      <c r="E12" s="100" t="s">
        <v>308</v>
      </c>
      <c r="F12" s="100" t="s">
        <v>1417</v>
      </c>
      <c r="G12" s="100">
        <v>729970</v>
      </c>
      <c r="H12" s="100" t="s">
        <v>311</v>
      </c>
      <c r="I12" s="100" t="s">
        <v>762</v>
      </c>
      <c r="J12" s="100" t="s">
        <v>202</v>
      </c>
      <c r="K12" s="100" t="s">
        <v>202</v>
      </c>
      <c r="L12" s="100" t="s">
        <v>323</v>
      </c>
      <c r="M12" s="100" t="s">
        <v>313</v>
      </c>
      <c r="N12" s="100" t="s">
        <v>336</v>
      </c>
      <c r="O12" s="106">
        <v>24473</v>
      </c>
      <c r="P12" s="100" t="s">
        <v>1237</v>
      </c>
      <c r="Q12" s="100" t="s">
        <v>313</v>
      </c>
      <c r="R12" s="100" t="s">
        <v>893</v>
      </c>
      <c r="S12" s="106">
        <v>46022</v>
      </c>
      <c r="T12" s="106"/>
      <c r="U12" s="103">
        <v>800000</v>
      </c>
      <c r="V12" s="103">
        <v>1</v>
      </c>
      <c r="W12" s="105">
        <v>1.0000000000000001E-5</v>
      </c>
      <c r="X12" s="103">
        <v>1.0000000000000001E-5</v>
      </c>
      <c r="Y12" s="102">
        <v>7.4619999999999999E-3</v>
      </c>
      <c r="Z12" s="102">
        <v>0</v>
      </c>
    </row>
    <row r="13" spans="1:26" ht="13.5" customHeight="1">
      <c r="A13" s="100">
        <v>307</v>
      </c>
      <c r="B13" s="100">
        <v>307</v>
      </c>
      <c r="C13" s="100" t="s">
        <v>1418</v>
      </c>
      <c r="D13" s="100">
        <v>520020579</v>
      </c>
      <c r="E13" s="100" t="s">
        <v>308</v>
      </c>
      <c r="F13" s="100" t="s">
        <v>1419</v>
      </c>
      <c r="G13" s="100">
        <v>797027</v>
      </c>
      <c r="H13" s="100" t="s">
        <v>311</v>
      </c>
      <c r="I13" s="100" t="s">
        <v>762</v>
      </c>
      <c r="J13" s="100" t="s">
        <v>202</v>
      </c>
      <c r="K13" s="100" t="s">
        <v>202</v>
      </c>
      <c r="L13" s="100" t="s">
        <v>323</v>
      </c>
      <c r="M13" s="100" t="s">
        <v>313</v>
      </c>
      <c r="N13" s="100" t="s">
        <v>336</v>
      </c>
      <c r="O13" s="106">
        <v>24965</v>
      </c>
      <c r="P13" s="100" t="s">
        <v>1237</v>
      </c>
      <c r="Q13" s="100" t="s">
        <v>313</v>
      </c>
      <c r="R13" s="100" t="s">
        <v>893</v>
      </c>
      <c r="S13" s="106">
        <v>46022</v>
      </c>
      <c r="T13" s="106"/>
      <c r="U13" s="103">
        <v>9.5</v>
      </c>
      <c r="V13" s="103">
        <v>1</v>
      </c>
      <c r="W13" s="105">
        <v>1.0000000000000001E-5</v>
      </c>
      <c r="X13" s="105">
        <v>1.0000000000000001E-5</v>
      </c>
      <c r="Y13" s="102">
        <v>0</v>
      </c>
      <c r="Z13" s="102">
        <v>0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/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625" bestFit="1" customWidth="1"/>
    <col min="7" max="7" width="8" bestFit="1" customWidth="1"/>
    <col min="8" max="8" width="10.625" customWidth="1"/>
    <col min="9" max="9" width="9.75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5" bestFit="1" customWidth="1"/>
    <col min="14" max="14" width="8" bestFit="1" customWidth="1"/>
    <col min="15" max="15" width="10.625" customWidth="1"/>
    <col min="16" max="16" width="9.75" bestFit="1" customWidth="1"/>
    <col min="17" max="17" width="8.75" bestFit="1" customWidth="1"/>
    <col min="18" max="18" width="8.62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7" width="8.125" bestFit="1" customWidth="1"/>
    <col min="28" max="28" width="6.375" bestFit="1" customWidth="1"/>
    <col min="29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104" t="s">
        <v>119</v>
      </c>
      <c r="G1" s="104" t="s">
        <v>120</v>
      </c>
      <c r="H1" s="104" t="s">
        <v>121</v>
      </c>
      <c r="I1" s="108" t="s">
        <v>122</v>
      </c>
      <c r="J1" s="108" t="s">
        <v>123</v>
      </c>
      <c r="K1" s="21" t="s">
        <v>124</v>
      </c>
      <c r="L1" s="21" t="s">
        <v>125</v>
      </c>
      <c r="M1" s="104" t="s">
        <v>126</v>
      </c>
      <c r="N1" s="104" t="s">
        <v>127</v>
      </c>
      <c r="O1" s="104" t="s">
        <v>128</v>
      </c>
      <c r="P1" s="108" t="s">
        <v>129</v>
      </c>
      <c r="Q1" s="108" t="s">
        <v>130</v>
      </c>
      <c r="R1" s="104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7" t="s">
        <v>136</v>
      </c>
      <c r="AA1" s="107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108" t="s">
        <v>143</v>
      </c>
      <c r="AI1" s="104" t="s">
        <v>144</v>
      </c>
      <c r="AJ1" s="104" t="s">
        <v>145</v>
      </c>
      <c r="AK1" s="21" t="s">
        <v>146</v>
      </c>
      <c r="AL1" s="108" t="s">
        <v>147</v>
      </c>
      <c r="AM1" s="21" t="s">
        <v>148</v>
      </c>
      <c r="AN1" s="108" t="s">
        <v>64</v>
      </c>
      <c r="AO1" s="108" t="s">
        <v>65</v>
      </c>
    </row>
    <row r="2" spans="1:41" ht="13.5" customHeight="1">
      <c r="A2" s="100">
        <v>307</v>
      </c>
      <c r="B2" s="100">
        <v>307</v>
      </c>
      <c r="C2" s="100"/>
      <c r="D2" s="100"/>
      <c r="E2" s="100"/>
      <c r="F2" s="103"/>
      <c r="G2" s="103"/>
      <c r="H2" s="103"/>
      <c r="I2" s="102"/>
      <c r="J2" s="102"/>
      <c r="K2" s="100"/>
      <c r="L2" s="100"/>
      <c r="M2" s="103"/>
      <c r="N2" s="103"/>
      <c r="O2" s="103"/>
      <c r="P2" s="102"/>
      <c r="Q2" s="102"/>
      <c r="R2" s="103"/>
      <c r="S2" s="100"/>
      <c r="T2" s="100"/>
      <c r="U2" s="100"/>
      <c r="V2" s="100"/>
      <c r="W2" s="100"/>
      <c r="X2" s="100"/>
      <c r="Y2" s="100"/>
      <c r="Z2" s="106"/>
      <c r="AA2" s="106"/>
      <c r="AB2" s="100"/>
      <c r="AC2" s="100"/>
      <c r="AD2" s="100"/>
      <c r="AE2" s="100"/>
      <c r="AF2" s="100"/>
      <c r="AG2" s="100"/>
      <c r="AH2" s="102"/>
      <c r="AI2" s="103"/>
      <c r="AJ2" s="103"/>
      <c r="AK2" s="100"/>
      <c r="AL2" s="102"/>
      <c r="AM2" s="100"/>
      <c r="AN2" s="102"/>
      <c r="AO2" s="102"/>
    </row>
    <row r="3" spans="1:41" ht="13.5" customHeight="1"/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7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4" t="s">
        <v>72</v>
      </c>
      <c r="U1" s="21" t="s">
        <v>158</v>
      </c>
      <c r="V1" s="108" t="s">
        <v>63</v>
      </c>
      <c r="W1" s="21" t="s">
        <v>96</v>
      </c>
      <c r="X1" s="21" t="s">
        <v>84</v>
      </c>
      <c r="Y1" s="108" t="s">
        <v>159</v>
      </c>
      <c r="Z1" s="108" t="s">
        <v>74</v>
      </c>
      <c r="AA1" s="107" t="s">
        <v>73</v>
      </c>
      <c r="AB1" s="21" t="s">
        <v>85</v>
      </c>
      <c r="AC1" s="21" t="s">
        <v>160</v>
      </c>
      <c r="AD1" s="104" t="s">
        <v>161</v>
      </c>
      <c r="AE1" s="108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7" t="s">
        <v>104</v>
      </c>
      <c r="AO1" s="107" t="s">
        <v>105</v>
      </c>
      <c r="AP1" s="108" t="s">
        <v>168</v>
      </c>
      <c r="AQ1" s="104" t="s">
        <v>169</v>
      </c>
      <c r="AR1" s="104" t="s">
        <v>170</v>
      </c>
      <c r="AS1" s="104" t="s">
        <v>62</v>
      </c>
      <c r="AT1" s="104" t="s">
        <v>16</v>
      </c>
      <c r="AU1" s="104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108" t="s">
        <v>64</v>
      </c>
      <c r="BA1" s="108" t="s">
        <v>65</v>
      </c>
    </row>
    <row r="2" spans="1:53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7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7" t="s">
        <v>104</v>
      </c>
      <c r="Q1" s="21" t="s">
        <v>60</v>
      </c>
      <c r="R1" s="104" t="s">
        <v>171</v>
      </c>
      <c r="S1" s="104" t="s">
        <v>16</v>
      </c>
      <c r="T1" s="104" t="s">
        <v>17</v>
      </c>
      <c r="U1" s="104" t="s">
        <v>87</v>
      </c>
      <c r="V1" s="21" t="s">
        <v>18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6"/>
      <c r="H2" s="100"/>
      <c r="I2" s="100"/>
      <c r="J2" s="100"/>
      <c r="K2" s="102"/>
      <c r="L2" s="100"/>
      <c r="M2" s="100"/>
      <c r="N2" s="100"/>
      <c r="O2" s="100"/>
      <c r="P2" s="106"/>
      <c r="Q2" s="100"/>
      <c r="R2" s="103"/>
      <c r="S2" s="103"/>
      <c r="T2" s="103"/>
      <c r="U2" s="103"/>
      <c r="V2" s="100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307</v>
      </c>
      <c r="B2" s="100">
        <v>307</v>
      </c>
      <c r="C2" s="100" t="s">
        <v>1420</v>
      </c>
      <c r="D2" s="100">
        <v>1111115</v>
      </c>
      <c r="E2" s="100" t="s">
        <v>1057</v>
      </c>
      <c r="F2" s="100" t="s">
        <v>202</v>
      </c>
      <c r="G2" s="100" t="s">
        <v>202</v>
      </c>
      <c r="H2" s="100" t="s">
        <v>336</v>
      </c>
      <c r="I2" s="106">
        <v>46203</v>
      </c>
      <c r="J2" s="100" t="s">
        <v>1237</v>
      </c>
      <c r="K2" s="106">
        <v>46203</v>
      </c>
      <c r="L2" s="103">
        <v>179.285</v>
      </c>
      <c r="M2" s="103">
        <v>1</v>
      </c>
      <c r="N2" s="103">
        <v>179.285</v>
      </c>
      <c r="O2" s="103"/>
      <c r="P2" s="100"/>
      <c r="Q2" s="102">
        <v>1.2E-4</v>
      </c>
      <c r="R2" s="102">
        <v>6.2000000000000003E-5</v>
      </c>
    </row>
    <row r="3" spans="1:26" ht="13.5" customHeight="1">
      <c r="A3" s="100">
        <v>307</v>
      </c>
      <c r="B3" s="100">
        <v>307</v>
      </c>
      <c r="C3" s="100" t="s">
        <v>1421</v>
      </c>
      <c r="D3" s="100">
        <v>7893905</v>
      </c>
      <c r="E3" s="100" t="s">
        <v>1055</v>
      </c>
      <c r="F3" s="100" t="s">
        <v>202</v>
      </c>
      <c r="G3" s="100" t="s">
        <v>202</v>
      </c>
      <c r="H3" s="100" t="s">
        <v>336</v>
      </c>
      <c r="I3" s="106">
        <v>37668</v>
      </c>
      <c r="J3" s="100" t="s">
        <v>1237</v>
      </c>
      <c r="K3" s="106">
        <v>46203</v>
      </c>
      <c r="L3" s="103">
        <v>1464954.23966</v>
      </c>
      <c r="M3" s="103">
        <v>1</v>
      </c>
      <c r="N3" s="103">
        <v>1464954.23966</v>
      </c>
      <c r="O3" s="101"/>
      <c r="P3" s="100"/>
      <c r="Q3" s="102">
        <v>0.98774200000000001</v>
      </c>
      <c r="R3" s="102">
        <v>0.51415500000000003</v>
      </c>
    </row>
    <row r="4" spans="1:26" ht="13.5" customHeight="1">
      <c r="A4" s="100">
        <v>307</v>
      </c>
      <c r="B4" s="100">
        <v>307</v>
      </c>
      <c r="C4" s="100" t="s">
        <v>1422</v>
      </c>
      <c r="D4" s="100">
        <v>7900000</v>
      </c>
      <c r="E4" s="100" t="s">
        <v>1054</v>
      </c>
      <c r="F4" s="100" t="s">
        <v>202</v>
      </c>
      <c r="G4" s="100" t="s">
        <v>202</v>
      </c>
      <c r="H4" s="100" t="s">
        <v>336</v>
      </c>
      <c r="I4" s="106">
        <v>39658</v>
      </c>
      <c r="J4" s="100" t="s">
        <v>1237</v>
      </c>
      <c r="K4" s="106">
        <v>46203</v>
      </c>
      <c r="L4" s="103">
        <v>18000</v>
      </c>
      <c r="M4" s="103">
        <v>1</v>
      </c>
      <c r="N4" s="103">
        <v>18000</v>
      </c>
      <c r="O4" s="101"/>
      <c r="P4" s="100"/>
      <c r="Q4" s="102">
        <v>1.2135999999999999E-2</v>
      </c>
      <c r="R4" s="102">
        <v>6.3169999999999997E-3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307</v>
      </c>
      <c r="B2" s="100">
        <v>307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307</v>
      </c>
      <c r="B2" s="100">
        <v>307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2026-07-27T05:54:07Z</dcterms:modified>
</cp:coreProperties>
</file>